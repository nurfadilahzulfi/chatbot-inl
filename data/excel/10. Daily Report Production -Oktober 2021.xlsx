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1\001. DAILY\"/>
    </mc:Choice>
  </mc:AlternateContent>
  <xr:revisionPtr revIDLastSave="0" documentId="13_ncr:1_{1954FB7C-2FFB-49DF-8E9B-CBAA546CA1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ktober" sheetId="40" r:id="rId1"/>
    <sheet name="Sheet1" sheetId="42" state="hidden" r:id="rId2"/>
    <sheet name="Trace Quality" sheetId="41" state="hidden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V23" i="40" l="1"/>
  <c r="AL77" i="40"/>
  <c r="E38" i="41" l="1"/>
  <c r="D38" i="41"/>
  <c r="E37" i="41"/>
  <c r="D37" i="41"/>
  <c r="E36" i="41"/>
  <c r="D36" i="41"/>
  <c r="E35" i="41"/>
  <c r="E39" i="41" s="1"/>
  <c r="D35" i="41"/>
  <c r="D39" i="41" s="1"/>
  <c r="H31" i="41"/>
  <c r="G31" i="41"/>
  <c r="D30" i="41"/>
  <c r="D29" i="41"/>
  <c r="D28" i="41"/>
  <c r="D27" i="41"/>
  <c r="E20" i="41"/>
  <c r="D20" i="41"/>
  <c r="E19" i="41"/>
  <c r="D19" i="41"/>
  <c r="E18" i="41"/>
  <c r="D18" i="41"/>
  <c r="E17" i="41"/>
  <c r="E21" i="41" s="1"/>
  <c r="D17" i="41"/>
  <c r="H13" i="41"/>
  <c r="G13" i="41"/>
  <c r="D12" i="41"/>
  <c r="D11" i="41"/>
  <c r="D10" i="41"/>
  <c r="D9" i="41"/>
  <c r="AH169" i="40"/>
  <c r="AJ165" i="40"/>
  <c r="AI165" i="40"/>
  <c r="AH165" i="40"/>
  <c r="AG165" i="40"/>
  <c r="AF165" i="40"/>
  <c r="AE165" i="40"/>
  <c r="AD165" i="40"/>
  <c r="AC165" i="40"/>
  <c r="AB165" i="40"/>
  <c r="AA165" i="40"/>
  <c r="Z165" i="40"/>
  <c r="Y165" i="40"/>
  <c r="X165" i="40"/>
  <c r="W165" i="40"/>
  <c r="V165" i="40"/>
  <c r="U165" i="40"/>
  <c r="T165" i="40"/>
  <c r="S165" i="40"/>
  <c r="R165" i="40"/>
  <c r="Q165" i="40"/>
  <c r="P165" i="40"/>
  <c r="O165" i="40"/>
  <c r="N165" i="40"/>
  <c r="M165" i="40"/>
  <c r="L165" i="40"/>
  <c r="K165" i="40"/>
  <c r="J165" i="40"/>
  <c r="I165" i="40"/>
  <c r="H165" i="40"/>
  <c r="G165" i="40"/>
  <c r="F165" i="40"/>
  <c r="AL164" i="40"/>
  <c r="AL163" i="40"/>
  <c r="AL162" i="40"/>
  <c r="AL161" i="40"/>
  <c r="AL160" i="40"/>
  <c r="AI158" i="40"/>
  <c r="AH158" i="40"/>
  <c r="AG158" i="40"/>
  <c r="AF158" i="40"/>
  <c r="AE158" i="40"/>
  <c r="AD158" i="40"/>
  <c r="AC158" i="40"/>
  <c r="AB158" i="40"/>
  <c r="AA158" i="40"/>
  <c r="Z158" i="40"/>
  <c r="Y158" i="40"/>
  <c r="X158" i="40"/>
  <c r="W158" i="40"/>
  <c r="V158" i="40"/>
  <c r="U158" i="40"/>
  <c r="T158" i="40"/>
  <c r="S158" i="40"/>
  <c r="R158" i="40"/>
  <c r="Q158" i="40"/>
  <c r="P158" i="40"/>
  <c r="O158" i="40"/>
  <c r="N158" i="40"/>
  <c r="M158" i="40"/>
  <c r="L158" i="40"/>
  <c r="K158" i="40"/>
  <c r="J158" i="40"/>
  <c r="I158" i="40"/>
  <c r="H158" i="40"/>
  <c r="G158" i="40"/>
  <c r="F158" i="40"/>
  <c r="AJ157" i="40"/>
  <c r="AL157" i="40" s="1"/>
  <c r="AL156" i="40"/>
  <c r="AL155" i="40"/>
  <c r="AJ154" i="40"/>
  <c r="AL154" i="40" s="1"/>
  <c r="AL153" i="40"/>
  <c r="AJ151" i="40"/>
  <c r="AI151" i="40"/>
  <c r="AH151" i="40"/>
  <c r="AG151" i="40"/>
  <c r="AF151" i="40"/>
  <c r="AE151" i="40"/>
  <c r="AD151" i="40"/>
  <c r="AC151" i="40"/>
  <c r="AB151" i="40"/>
  <c r="AA151" i="40"/>
  <c r="Z151" i="40"/>
  <c r="Y151" i="40"/>
  <c r="X151" i="40"/>
  <c r="W151" i="40"/>
  <c r="V151" i="40"/>
  <c r="U151" i="40"/>
  <c r="T151" i="40"/>
  <c r="S151" i="40"/>
  <c r="R151" i="40"/>
  <c r="Q151" i="40"/>
  <c r="P151" i="40"/>
  <c r="O151" i="40"/>
  <c r="N151" i="40"/>
  <c r="M151" i="40"/>
  <c r="L151" i="40"/>
  <c r="K151" i="40"/>
  <c r="J151" i="40"/>
  <c r="I151" i="40"/>
  <c r="H151" i="40"/>
  <c r="G151" i="40"/>
  <c r="F151" i="40"/>
  <c r="AL151" i="40" s="1"/>
  <c r="AL150" i="40"/>
  <c r="AL147" i="40"/>
  <c r="AJ146" i="40"/>
  <c r="AI146" i="40"/>
  <c r="AH146" i="40"/>
  <c r="AG146" i="40"/>
  <c r="AF146" i="40"/>
  <c r="AE146" i="40"/>
  <c r="AD146" i="40"/>
  <c r="AC146" i="40"/>
  <c r="AB146" i="40"/>
  <c r="AA146" i="40"/>
  <c r="Z146" i="40"/>
  <c r="Y146" i="40"/>
  <c r="X146" i="40"/>
  <c r="W146" i="40"/>
  <c r="V146" i="40"/>
  <c r="U146" i="40"/>
  <c r="T146" i="40"/>
  <c r="S146" i="40"/>
  <c r="R146" i="40"/>
  <c r="Q146" i="40"/>
  <c r="P146" i="40"/>
  <c r="O146" i="40"/>
  <c r="N146" i="40"/>
  <c r="M146" i="40"/>
  <c r="L146" i="40"/>
  <c r="K146" i="40"/>
  <c r="J146" i="40"/>
  <c r="I146" i="40"/>
  <c r="H146" i="40"/>
  <c r="G146" i="40"/>
  <c r="F146" i="40"/>
  <c r="AL146" i="40" s="1"/>
  <c r="AL145" i="40"/>
  <c r="IT145" i="40" s="1"/>
  <c r="D145" i="40"/>
  <c r="D146" i="40" s="1"/>
  <c r="AL144" i="40"/>
  <c r="AL143" i="40"/>
  <c r="AL141" i="40"/>
  <c r="AH139" i="40"/>
  <c r="AG139" i="40"/>
  <c r="AD139" i="40"/>
  <c r="AC139" i="40"/>
  <c r="Z139" i="40"/>
  <c r="Y139" i="40"/>
  <c r="V139" i="40"/>
  <c r="U139" i="40"/>
  <c r="R139" i="40"/>
  <c r="Q139" i="40"/>
  <c r="N139" i="40"/>
  <c r="M139" i="40"/>
  <c r="J139" i="40"/>
  <c r="I139" i="40"/>
  <c r="F139" i="40"/>
  <c r="D139" i="40"/>
  <c r="AJ138" i="40"/>
  <c r="AJ139" i="40" s="1"/>
  <c r="AI138" i="40"/>
  <c r="AI139" i="40" s="1"/>
  <c r="AH138" i="40"/>
  <c r="AG138" i="40"/>
  <c r="AF138" i="40"/>
  <c r="AF139" i="40" s="1"/>
  <c r="AE138" i="40"/>
  <c r="AE139" i="40" s="1"/>
  <c r="AD138" i="40"/>
  <c r="AC138" i="40"/>
  <c r="AB138" i="40"/>
  <c r="AB139" i="40" s="1"/>
  <c r="AA138" i="40"/>
  <c r="AA139" i="40" s="1"/>
  <c r="Z138" i="40"/>
  <c r="Y138" i="40"/>
  <c r="X138" i="40"/>
  <c r="X139" i="40" s="1"/>
  <c r="W138" i="40"/>
  <c r="W139" i="40" s="1"/>
  <c r="V138" i="40"/>
  <c r="U138" i="40"/>
  <c r="T138" i="40"/>
  <c r="T139" i="40" s="1"/>
  <c r="S138" i="40"/>
  <c r="S139" i="40" s="1"/>
  <c r="R138" i="40"/>
  <c r="Q138" i="40"/>
  <c r="P138" i="40"/>
  <c r="P139" i="40" s="1"/>
  <c r="O138" i="40"/>
  <c r="O139" i="40" s="1"/>
  <c r="N138" i="40"/>
  <c r="M138" i="40"/>
  <c r="L138" i="40"/>
  <c r="L139" i="40" s="1"/>
  <c r="K138" i="40"/>
  <c r="K139" i="40" s="1"/>
  <c r="J138" i="40"/>
  <c r="I138" i="40"/>
  <c r="H138" i="40"/>
  <c r="H139" i="40" s="1"/>
  <c r="G138" i="40"/>
  <c r="G139" i="40" s="1"/>
  <c r="F138" i="40"/>
  <c r="AL137" i="40"/>
  <c r="AL136" i="40"/>
  <c r="AL134" i="40"/>
  <c r="D134" i="40"/>
  <c r="AJ132" i="40"/>
  <c r="AJ131" i="40" s="1"/>
  <c r="AI132" i="40"/>
  <c r="AH132" i="40"/>
  <c r="AG132" i="40"/>
  <c r="AG131" i="40" s="1"/>
  <c r="AF132" i="40"/>
  <c r="AF131" i="40" s="1"/>
  <c r="AE132" i="40"/>
  <c r="AD132" i="40"/>
  <c r="AC132" i="40"/>
  <c r="AC131" i="40" s="1"/>
  <c r="AB132" i="40"/>
  <c r="AB131" i="40" s="1"/>
  <c r="AA132" i="40"/>
  <c r="Z132" i="40"/>
  <c r="Y132" i="40"/>
  <c r="Y131" i="40" s="1"/>
  <c r="X132" i="40"/>
  <c r="X131" i="40" s="1"/>
  <c r="W132" i="40"/>
  <c r="V132" i="40"/>
  <c r="U132" i="40"/>
  <c r="U131" i="40" s="1"/>
  <c r="T132" i="40"/>
  <c r="T131" i="40" s="1"/>
  <c r="S132" i="40"/>
  <c r="R132" i="40"/>
  <c r="Q132" i="40"/>
  <c r="Q131" i="40" s="1"/>
  <c r="P132" i="40"/>
  <c r="P131" i="40" s="1"/>
  <c r="O132" i="40"/>
  <c r="N132" i="40"/>
  <c r="M132" i="40"/>
  <c r="M131" i="40" s="1"/>
  <c r="L132" i="40"/>
  <c r="L131" i="40" s="1"/>
  <c r="K132" i="40"/>
  <c r="J132" i="40"/>
  <c r="I132" i="40"/>
  <c r="I131" i="40" s="1"/>
  <c r="H132" i="40"/>
  <c r="H131" i="40" s="1"/>
  <c r="G132" i="40"/>
  <c r="F132" i="40"/>
  <c r="D132" i="40"/>
  <c r="AI131" i="40"/>
  <c r="AH131" i="40"/>
  <c r="AE131" i="40"/>
  <c r="AD131" i="40"/>
  <c r="AA131" i="40"/>
  <c r="Z131" i="40"/>
  <c r="W131" i="40"/>
  <c r="V131" i="40"/>
  <c r="S131" i="40"/>
  <c r="R131" i="40"/>
  <c r="O131" i="40"/>
  <c r="N131" i="40"/>
  <c r="K131" i="40"/>
  <c r="J131" i="40"/>
  <c r="G131" i="40"/>
  <c r="F131" i="40"/>
  <c r="AL130" i="40"/>
  <c r="IV128" i="40"/>
  <c r="AL128" i="40"/>
  <c r="AL127" i="40"/>
  <c r="AL125" i="40"/>
  <c r="AL124" i="40"/>
  <c r="AJ123" i="40"/>
  <c r="AI123" i="40"/>
  <c r="AH123" i="40"/>
  <c r="AG123" i="40"/>
  <c r="AF123" i="40"/>
  <c r="AE123" i="40"/>
  <c r="AD123" i="40"/>
  <c r="AC123" i="40"/>
  <c r="AB123" i="40"/>
  <c r="AA123" i="40"/>
  <c r="Z123" i="40"/>
  <c r="Y123" i="40"/>
  <c r="X123" i="40"/>
  <c r="W123" i="40"/>
  <c r="V123" i="40"/>
  <c r="U123" i="40"/>
  <c r="T123" i="40"/>
  <c r="S123" i="40"/>
  <c r="R123" i="40"/>
  <c r="Q123" i="40"/>
  <c r="P123" i="40"/>
  <c r="O123" i="40"/>
  <c r="N123" i="40"/>
  <c r="M123" i="40"/>
  <c r="L123" i="40"/>
  <c r="K123" i="40"/>
  <c r="J123" i="40"/>
  <c r="I123" i="40"/>
  <c r="AL123" i="40" s="1"/>
  <c r="H123" i="40"/>
  <c r="G123" i="40"/>
  <c r="F123" i="40"/>
  <c r="AL121" i="40"/>
  <c r="AL120" i="40"/>
  <c r="AJ119" i="40"/>
  <c r="AI119" i="40"/>
  <c r="AH119" i="40"/>
  <c r="AG119" i="40"/>
  <c r="AF119" i="40"/>
  <c r="AE119" i="40"/>
  <c r="AD119" i="40"/>
  <c r="AC119" i="40"/>
  <c r="AB119" i="40"/>
  <c r="AA119" i="40"/>
  <c r="Z119" i="40"/>
  <c r="Y119" i="40"/>
  <c r="X119" i="40"/>
  <c r="W119" i="40"/>
  <c r="V119" i="40"/>
  <c r="U119" i="40"/>
  <c r="T119" i="40"/>
  <c r="S119" i="40"/>
  <c r="R119" i="40"/>
  <c r="Q119" i="40"/>
  <c r="P119" i="40"/>
  <c r="O119" i="40"/>
  <c r="N119" i="40"/>
  <c r="M119" i="40"/>
  <c r="L119" i="40"/>
  <c r="K119" i="40"/>
  <c r="J119" i="40"/>
  <c r="I119" i="40"/>
  <c r="H119" i="40"/>
  <c r="G119" i="40"/>
  <c r="F119" i="40"/>
  <c r="AI117" i="40"/>
  <c r="AE117" i="40"/>
  <c r="AA117" i="40"/>
  <c r="W117" i="40"/>
  <c r="S117" i="40"/>
  <c r="O117" i="40"/>
  <c r="K117" i="40"/>
  <c r="G117" i="40"/>
  <c r="AI116" i="40"/>
  <c r="AE116" i="40"/>
  <c r="AA116" i="40"/>
  <c r="W116" i="40"/>
  <c r="S116" i="40"/>
  <c r="O116" i="40"/>
  <c r="K116" i="40"/>
  <c r="G116" i="40"/>
  <c r="AJ114" i="40"/>
  <c r="AI114" i="40"/>
  <c r="AH114" i="40"/>
  <c r="AG114" i="40"/>
  <c r="AF114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S114" i="40"/>
  <c r="R114" i="40"/>
  <c r="Q114" i="40"/>
  <c r="P114" i="40"/>
  <c r="O114" i="40"/>
  <c r="N114" i="40"/>
  <c r="M114" i="40"/>
  <c r="L114" i="40"/>
  <c r="K114" i="40"/>
  <c r="J114" i="40"/>
  <c r="I114" i="40"/>
  <c r="H114" i="40"/>
  <c r="G114" i="40"/>
  <c r="F114" i="40"/>
  <c r="AJ113" i="40"/>
  <c r="AI113" i="40"/>
  <c r="AH113" i="40"/>
  <c r="AG113" i="40"/>
  <c r="AF113" i="40"/>
  <c r="AE113" i="40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R113" i="40"/>
  <c r="Q113" i="40"/>
  <c r="P113" i="40"/>
  <c r="O113" i="40"/>
  <c r="N113" i="40"/>
  <c r="M113" i="40"/>
  <c r="L113" i="40"/>
  <c r="K113" i="40"/>
  <c r="J113" i="40"/>
  <c r="I113" i="40"/>
  <c r="H113" i="40"/>
  <c r="G113" i="40"/>
  <c r="F113" i="40"/>
  <c r="AL110" i="40"/>
  <c r="AL109" i="40"/>
  <c r="AL116" i="40" s="1"/>
  <c r="AL107" i="40"/>
  <c r="AL114" i="40" s="1"/>
  <c r="AL106" i="40"/>
  <c r="AL113" i="40" s="1"/>
  <c r="AI103" i="40"/>
  <c r="AH103" i="40"/>
  <c r="AG103" i="40"/>
  <c r="AF103" i="40"/>
  <c r="AE103" i="40"/>
  <c r="AD103" i="40"/>
  <c r="AC103" i="40"/>
  <c r="AB103" i="40"/>
  <c r="AA103" i="40"/>
  <c r="Z103" i="40"/>
  <c r="Y103" i="40"/>
  <c r="X103" i="40"/>
  <c r="W103" i="40"/>
  <c r="V103" i="40"/>
  <c r="U103" i="40"/>
  <c r="T103" i="40"/>
  <c r="S103" i="40"/>
  <c r="R103" i="40"/>
  <c r="Q103" i="40"/>
  <c r="P103" i="40"/>
  <c r="O103" i="40"/>
  <c r="N103" i="40"/>
  <c r="M103" i="40"/>
  <c r="L103" i="40"/>
  <c r="K103" i="40"/>
  <c r="J103" i="40"/>
  <c r="I103" i="40"/>
  <c r="H103" i="40"/>
  <c r="G103" i="40"/>
  <c r="F103" i="40"/>
  <c r="AL103" i="40" s="1"/>
  <c r="AJ102" i="40"/>
  <c r="AJ117" i="40" s="1"/>
  <c r="AI102" i="40"/>
  <c r="AH102" i="40"/>
  <c r="AH117" i="40" s="1"/>
  <c r="AG102" i="40"/>
  <c r="AG117" i="40" s="1"/>
  <c r="AF102" i="40"/>
  <c r="AF117" i="40" s="1"/>
  <c r="AE102" i="40"/>
  <c r="AD102" i="40"/>
  <c r="AD117" i="40" s="1"/>
  <c r="AC102" i="40"/>
  <c r="AC117" i="40" s="1"/>
  <c r="AB102" i="40"/>
  <c r="AB117" i="40" s="1"/>
  <c r="AA102" i="40"/>
  <c r="Z102" i="40"/>
  <c r="Z117" i="40" s="1"/>
  <c r="Y102" i="40"/>
  <c r="Y117" i="40" s="1"/>
  <c r="X102" i="40"/>
  <c r="X117" i="40" s="1"/>
  <c r="W102" i="40"/>
  <c r="V102" i="40"/>
  <c r="V117" i="40" s="1"/>
  <c r="U102" i="40"/>
  <c r="U117" i="40" s="1"/>
  <c r="T102" i="40"/>
  <c r="T117" i="40" s="1"/>
  <c r="S102" i="40"/>
  <c r="R102" i="40"/>
  <c r="R117" i="40" s="1"/>
  <c r="Q102" i="40"/>
  <c r="Q117" i="40" s="1"/>
  <c r="P102" i="40"/>
  <c r="P117" i="40" s="1"/>
  <c r="O102" i="40"/>
  <c r="N102" i="40"/>
  <c r="N117" i="40" s="1"/>
  <c r="M102" i="40"/>
  <c r="M117" i="40" s="1"/>
  <c r="L102" i="40"/>
  <c r="L117" i="40" s="1"/>
  <c r="K102" i="40"/>
  <c r="J102" i="40"/>
  <c r="J117" i="40" s="1"/>
  <c r="I102" i="40"/>
  <c r="I117" i="40" s="1"/>
  <c r="H102" i="40"/>
  <c r="H117" i="40" s="1"/>
  <c r="G102" i="40"/>
  <c r="F102" i="40"/>
  <c r="F117" i="40" s="1"/>
  <c r="AL101" i="40"/>
  <c r="AJ101" i="40"/>
  <c r="AJ116" i="40" s="1"/>
  <c r="AI101" i="40"/>
  <c r="AH101" i="40"/>
  <c r="AH116" i="40" s="1"/>
  <c r="AG101" i="40"/>
  <c r="AG116" i="40" s="1"/>
  <c r="AF101" i="40"/>
  <c r="AF116" i="40" s="1"/>
  <c r="AE101" i="40"/>
  <c r="AD101" i="40"/>
  <c r="AD116" i="40" s="1"/>
  <c r="AC101" i="40"/>
  <c r="AC116" i="40" s="1"/>
  <c r="AB101" i="40"/>
  <c r="AB116" i="40" s="1"/>
  <c r="AA101" i="40"/>
  <c r="Z101" i="40"/>
  <c r="Z116" i="40" s="1"/>
  <c r="Y101" i="40"/>
  <c r="Y116" i="40" s="1"/>
  <c r="X101" i="40"/>
  <c r="X116" i="40" s="1"/>
  <c r="W101" i="40"/>
  <c r="V101" i="40"/>
  <c r="V116" i="40" s="1"/>
  <c r="U101" i="40"/>
  <c r="U116" i="40" s="1"/>
  <c r="T101" i="40"/>
  <c r="T116" i="40" s="1"/>
  <c r="S101" i="40"/>
  <c r="R101" i="40"/>
  <c r="R116" i="40" s="1"/>
  <c r="Q101" i="40"/>
  <c r="Q116" i="40" s="1"/>
  <c r="P101" i="40"/>
  <c r="P116" i="40" s="1"/>
  <c r="O101" i="40"/>
  <c r="N101" i="40"/>
  <c r="N116" i="40" s="1"/>
  <c r="M101" i="40"/>
  <c r="M116" i="40" s="1"/>
  <c r="L101" i="40"/>
  <c r="L116" i="40" s="1"/>
  <c r="K101" i="40"/>
  <c r="J101" i="40"/>
  <c r="J116" i="40" s="1"/>
  <c r="I101" i="40"/>
  <c r="I116" i="40" s="1"/>
  <c r="H101" i="40"/>
  <c r="H116" i="40" s="1"/>
  <c r="G101" i="40"/>
  <c r="F101" i="40"/>
  <c r="F116" i="40" s="1"/>
  <c r="AL99" i="40"/>
  <c r="AL102" i="40" s="1"/>
  <c r="AL98" i="40"/>
  <c r="T96" i="40"/>
  <c r="AJ95" i="40"/>
  <c r="AJ96" i="40" s="1"/>
  <c r="AI95" i="40"/>
  <c r="AI96" i="40" s="1"/>
  <c r="AH95" i="40"/>
  <c r="AH96" i="40" s="1"/>
  <c r="AG95" i="40"/>
  <c r="AG96" i="40" s="1"/>
  <c r="AF95" i="40"/>
  <c r="AF96" i="40" s="1"/>
  <c r="AE95" i="40"/>
  <c r="AE96" i="40" s="1"/>
  <c r="AD95" i="40"/>
  <c r="AD96" i="40" s="1"/>
  <c r="AC95" i="40"/>
  <c r="AC96" i="40" s="1"/>
  <c r="AB95" i="40"/>
  <c r="AB96" i="40" s="1"/>
  <c r="AA95" i="40"/>
  <c r="AA96" i="40" s="1"/>
  <c r="Z95" i="40"/>
  <c r="Z96" i="40" s="1"/>
  <c r="Y95" i="40"/>
  <c r="Y96" i="40" s="1"/>
  <c r="X95" i="40"/>
  <c r="X96" i="40" s="1"/>
  <c r="W95" i="40"/>
  <c r="W96" i="40" s="1"/>
  <c r="V95" i="40"/>
  <c r="V96" i="40" s="1"/>
  <c r="U95" i="40"/>
  <c r="U96" i="40" s="1"/>
  <c r="T95" i="40"/>
  <c r="S95" i="40"/>
  <c r="S96" i="40" s="1"/>
  <c r="R95" i="40"/>
  <c r="R96" i="40" s="1"/>
  <c r="Q95" i="40"/>
  <c r="Q96" i="40" s="1"/>
  <c r="P95" i="40"/>
  <c r="P96" i="40" s="1"/>
  <c r="O95" i="40"/>
  <c r="O96" i="40" s="1"/>
  <c r="N95" i="40"/>
  <c r="N96" i="40" s="1"/>
  <c r="M95" i="40"/>
  <c r="M96" i="40" s="1"/>
  <c r="L95" i="40"/>
  <c r="L96" i="40" s="1"/>
  <c r="K95" i="40"/>
  <c r="K96" i="40" s="1"/>
  <c r="J95" i="40"/>
  <c r="J96" i="40" s="1"/>
  <c r="I95" i="40"/>
  <c r="I96" i="40" s="1"/>
  <c r="H95" i="40"/>
  <c r="AL95" i="40" s="1"/>
  <c r="G95" i="40"/>
  <c r="G96" i="40" s="1"/>
  <c r="F95" i="40"/>
  <c r="F96" i="40" s="1"/>
  <c r="AG92" i="40"/>
  <c r="AC92" i="40"/>
  <c r="Y92" i="40"/>
  <c r="U92" i="40"/>
  <c r="Q92" i="40"/>
  <c r="M92" i="40"/>
  <c r="I92" i="40"/>
  <c r="AG91" i="40"/>
  <c r="AC91" i="40"/>
  <c r="Y91" i="40"/>
  <c r="U91" i="40"/>
  <c r="Q91" i="40"/>
  <c r="M91" i="40"/>
  <c r="I91" i="40"/>
  <c r="AL89" i="40"/>
  <c r="AJ89" i="40"/>
  <c r="AI89" i="40"/>
  <c r="AH89" i="40"/>
  <c r="AG89" i="40"/>
  <c r="AF89" i="40"/>
  <c r="AE89" i="40"/>
  <c r="AD89" i="40"/>
  <c r="AC89" i="40"/>
  <c r="AB89" i="40"/>
  <c r="AA89" i="40"/>
  <c r="Z89" i="40"/>
  <c r="Y89" i="40"/>
  <c r="X89" i="40"/>
  <c r="W89" i="40"/>
  <c r="V89" i="40"/>
  <c r="U89" i="40"/>
  <c r="T89" i="40"/>
  <c r="S89" i="40"/>
  <c r="R89" i="40"/>
  <c r="Q89" i="40"/>
  <c r="P89" i="40"/>
  <c r="O89" i="40"/>
  <c r="N89" i="40"/>
  <c r="M89" i="40"/>
  <c r="L89" i="40"/>
  <c r="K89" i="40"/>
  <c r="J89" i="40"/>
  <c r="I89" i="40"/>
  <c r="H89" i="40"/>
  <c r="G89" i="40"/>
  <c r="F89" i="40"/>
  <c r="AL88" i="40"/>
  <c r="AJ88" i="40"/>
  <c r="AI88" i="40"/>
  <c r="AH88" i="40"/>
  <c r="AG88" i="40"/>
  <c r="AF88" i="40"/>
  <c r="AE88" i="40"/>
  <c r="AD88" i="40"/>
  <c r="AC88" i="40"/>
  <c r="AB88" i="40"/>
  <c r="AA88" i="40"/>
  <c r="Z88" i="40"/>
  <c r="Y88" i="40"/>
  <c r="X88" i="40"/>
  <c r="W88" i="40"/>
  <c r="V88" i="40"/>
  <c r="U88" i="40"/>
  <c r="T88" i="40"/>
  <c r="S88" i="40"/>
  <c r="R88" i="40"/>
  <c r="Q88" i="40"/>
  <c r="P88" i="40"/>
  <c r="O88" i="40"/>
  <c r="N88" i="40"/>
  <c r="M88" i="40"/>
  <c r="L88" i="40"/>
  <c r="K88" i="40"/>
  <c r="J88" i="40"/>
  <c r="I88" i="40"/>
  <c r="H88" i="40"/>
  <c r="G88" i="40"/>
  <c r="F88" i="40"/>
  <c r="AL85" i="40"/>
  <c r="AL92" i="40" s="1"/>
  <c r="AL84" i="40"/>
  <c r="AL82" i="40"/>
  <c r="AL81" i="40"/>
  <c r="AJ78" i="40"/>
  <c r="AI78" i="40"/>
  <c r="AH78" i="40"/>
  <c r="AG78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AL78" i="40" s="1"/>
  <c r="H78" i="40"/>
  <c r="G78" i="40"/>
  <c r="F78" i="40"/>
  <c r="AJ76" i="40"/>
  <c r="AJ92" i="40" s="1"/>
  <c r="AI76" i="40"/>
  <c r="AI92" i="40" s="1"/>
  <c r="AH76" i="40"/>
  <c r="AH92" i="40" s="1"/>
  <c r="AG76" i="40"/>
  <c r="AF76" i="40"/>
  <c r="AF92" i="40" s="1"/>
  <c r="AE76" i="40"/>
  <c r="AE92" i="40" s="1"/>
  <c r="AD76" i="40"/>
  <c r="AD92" i="40" s="1"/>
  <c r="AC76" i="40"/>
  <c r="AB76" i="40"/>
  <c r="AB92" i="40" s="1"/>
  <c r="AA76" i="40"/>
  <c r="AA92" i="40" s="1"/>
  <c r="Z76" i="40"/>
  <c r="Z92" i="40" s="1"/>
  <c r="Y76" i="40"/>
  <c r="X76" i="40"/>
  <c r="X92" i="40" s="1"/>
  <c r="W76" i="40"/>
  <c r="W92" i="40" s="1"/>
  <c r="V76" i="40"/>
  <c r="V92" i="40" s="1"/>
  <c r="U76" i="40"/>
  <c r="T76" i="40"/>
  <c r="T92" i="40" s="1"/>
  <c r="S76" i="40"/>
  <c r="S92" i="40" s="1"/>
  <c r="R76" i="40"/>
  <c r="R92" i="40" s="1"/>
  <c r="Q76" i="40"/>
  <c r="P76" i="40"/>
  <c r="P92" i="40" s="1"/>
  <c r="O76" i="40"/>
  <c r="O92" i="40" s="1"/>
  <c r="N76" i="40"/>
  <c r="N92" i="40" s="1"/>
  <c r="M76" i="40"/>
  <c r="L76" i="40"/>
  <c r="L92" i="40" s="1"/>
  <c r="K76" i="40"/>
  <c r="K92" i="40" s="1"/>
  <c r="J76" i="40"/>
  <c r="J92" i="40" s="1"/>
  <c r="I76" i="40"/>
  <c r="H76" i="40"/>
  <c r="H92" i="40" s="1"/>
  <c r="G76" i="40"/>
  <c r="G92" i="40" s="1"/>
  <c r="F76" i="40"/>
  <c r="F92" i="40" s="1"/>
  <c r="AJ75" i="40"/>
  <c r="AJ91" i="40" s="1"/>
  <c r="AI75" i="40"/>
  <c r="AI91" i="40" s="1"/>
  <c r="AH75" i="40"/>
  <c r="AH91" i="40" s="1"/>
  <c r="AG75" i="40"/>
  <c r="AF75" i="40"/>
  <c r="AF91" i="40" s="1"/>
  <c r="AE75" i="40"/>
  <c r="AE91" i="40" s="1"/>
  <c r="AD75" i="40"/>
  <c r="AD91" i="40" s="1"/>
  <c r="AC75" i="40"/>
  <c r="AB75" i="40"/>
  <c r="AB91" i="40" s="1"/>
  <c r="AA75" i="40"/>
  <c r="AA91" i="40" s="1"/>
  <c r="Z75" i="40"/>
  <c r="Z91" i="40" s="1"/>
  <c r="Y75" i="40"/>
  <c r="X75" i="40"/>
  <c r="X91" i="40" s="1"/>
  <c r="W75" i="40"/>
  <c r="W91" i="40" s="1"/>
  <c r="V75" i="40"/>
  <c r="V91" i="40" s="1"/>
  <c r="U75" i="40"/>
  <c r="T75" i="40"/>
  <c r="T91" i="40" s="1"/>
  <c r="S75" i="40"/>
  <c r="S91" i="40" s="1"/>
  <c r="R75" i="40"/>
  <c r="R91" i="40" s="1"/>
  <c r="Q75" i="40"/>
  <c r="P75" i="40"/>
  <c r="P91" i="40" s="1"/>
  <c r="O75" i="40"/>
  <c r="O91" i="40" s="1"/>
  <c r="N75" i="40"/>
  <c r="N91" i="40" s="1"/>
  <c r="M75" i="40"/>
  <c r="L75" i="40"/>
  <c r="L91" i="40" s="1"/>
  <c r="K75" i="40"/>
  <c r="K91" i="40" s="1"/>
  <c r="J75" i="40"/>
  <c r="J91" i="40" s="1"/>
  <c r="I75" i="40"/>
  <c r="H75" i="40"/>
  <c r="H91" i="40" s="1"/>
  <c r="G75" i="40"/>
  <c r="G91" i="40" s="1"/>
  <c r="F75" i="40"/>
  <c r="F91" i="40" s="1"/>
  <c r="AL73" i="40"/>
  <c r="AL76" i="40" s="1"/>
  <c r="AL72" i="40"/>
  <c r="AL75" i="40" s="1"/>
  <c r="AL91" i="40" s="1"/>
  <c r="AL70" i="40"/>
  <c r="Y69" i="40"/>
  <c r="I69" i="40"/>
  <c r="AJ68" i="40"/>
  <c r="AJ69" i="40" s="1"/>
  <c r="AI68" i="40"/>
  <c r="AI69" i="40" s="1"/>
  <c r="AH68" i="40"/>
  <c r="AH69" i="40" s="1"/>
  <c r="AG68" i="40"/>
  <c r="AG69" i="40" s="1"/>
  <c r="AF68" i="40"/>
  <c r="AF69" i="40" s="1"/>
  <c r="AE68" i="40"/>
  <c r="AE69" i="40" s="1"/>
  <c r="AD68" i="40"/>
  <c r="AD69" i="40" s="1"/>
  <c r="AC68" i="40"/>
  <c r="AC69" i="40" s="1"/>
  <c r="AB68" i="40"/>
  <c r="AB69" i="40" s="1"/>
  <c r="AA68" i="40"/>
  <c r="AA69" i="40" s="1"/>
  <c r="Z68" i="40"/>
  <c r="Z69" i="40" s="1"/>
  <c r="Y68" i="40"/>
  <c r="X68" i="40"/>
  <c r="X69" i="40" s="1"/>
  <c r="W68" i="40"/>
  <c r="W69" i="40" s="1"/>
  <c r="V68" i="40"/>
  <c r="V69" i="40" s="1"/>
  <c r="U68" i="40"/>
  <c r="U69" i="40" s="1"/>
  <c r="T68" i="40"/>
  <c r="T69" i="40" s="1"/>
  <c r="S68" i="40"/>
  <c r="S69" i="40" s="1"/>
  <c r="R68" i="40"/>
  <c r="R69" i="40" s="1"/>
  <c r="Q68" i="40"/>
  <c r="Q69" i="40" s="1"/>
  <c r="P68" i="40"/>
  <c r="P69" i="40" s="1"/>
  <c r="O68" i="40"/>
  <c r="O69" i="40" s="1"/>
  <c r="N68" i="40"/>
  <c r="N69" i="40" s="1"/>
  <c r="M68" i="40"/>
  <c r="M69" i="40" s="1"/>
  <c r="L68" i="40"/>
  <c r="L69" i="40" s="1"/>
  <c r="K68" i="40"/>
  <c r="K69" i="40" s="1"/>
  <c r="J68" i="40"/>
  <c r="J69" i="40" s="1"/>
  <c r="I68" i="40"/>
  <c r="AL68" i="40" s="1"/>
  <c r="H68" i="40"/>
  <c r="H69" i="40" s="1"/>
  <c r="G68" i="40"/>
  <c r="G69" i="40" s="1"/>
  <c r="F68" i="40"/>
  <c r="F69" i="40" s="1"/>
  <c r="AL67" i="40"/>
  <c r="AL66" i="40"/>
  <c r="AJ64" i="40"/>
  <c r="AI64" i="40"/>
  <c r="AH64" i="40"/>
  <c r="AG64" i="40"/>
  <c r="AE64" i="40"/>
  <c r="AD64" i="40"/>
  <c r="AC64" i="40"/>
  <c r="AB64" i="40"/>
  <c r="AA64" i="40"/>
  <c r="Z64" i="40"/>
  <c r="Y64" i="40"/>
  <c r="X64" i="40"/>
  <c r="W64" i="40"/>
  <c r="T64" i="40"/>
  <c r="S64" i="40"/>
  <c r="O64" i="40"/>
  <c r="N64" i="40"/>
  <c r="M64" i="40"/>
  <c r="L64" i="40"/>
  <c r="K64" i="40"/>
  <c r="I64" i="40"/>
  <c r="H64" i="40"/>
  <c r="G64" i="40"/>
  <c r="F64" i="40"/>
  <c r="AQ63" i="40"/>
  <c r="AL63" i="40"/>
  <c r="AJ62" i="40"/>
  <c r="AI62" i="40"/>
  <c r="AH62" i="40"/>
  <c r="AG62" i="40"/>
  <c r="AF62" i="40"/>
  <c r="AE62" i="40"/>
  <c r="AD62" i="40"/>
  <c r="AC62" i="40"/>
  <c r="AB62" i="40"/>
  <c r="AA62" i="40"/>
  <c r="Z62" i="40"/>
  <c r="Y62" i="40"/>
  <c r="X62" i="40"/>
  <c r="W62" i="40"/>
  <c r="U62" i="40"/>
  <c r="T62" i="40"/>
  <c r="S62" i="40"/>
  <c r="Q62" i="40"/>
  <c r="P62" i="40"/>
  <c r="O62" i="40"/>
  <c r="N62" i="40"/>
  <c r="M62" i="40"/>
  <c r="L62" i="40"/>
  <c r="K62" i="40"/>
  <c r="J62" i="40"/>
  <c r="I62" i="40"/>
  <c r="H62" i="40"/>
  <c r="G62" i="40"/>
  <c r="F62" i="40"/>
  <c r="AJ61" i="40"/>
  <c r="AI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U61" i="40"/>
  <c r="T61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G61" i="40"/>
  <c r="F61" i="40"/>
  <c r="AQ60" i="40"/>
  <c r="AL60" i="40"/>
  <c r="AJ59" i="40"/>
  <c r="AI59" i="40"/>
  <c r="AH59" i="40"/>
  <c r="AG59" i="40"/>
  <c r="AD59" i="40"/>
  <c r="AC59" i="40"/>
  <c r="AB59" i="40"/>
  <c r="AA59" i="40"/>
  <c r="Z59" i="40"/>
  <c r="Y59" i="40"/>
  <c r="X59" i="40"/>
  <c r="W59" i="40"/>
  <c r="T59" i="40"/>
  <c r="S59" i="40"/>
  <c r="O59" i="40"/>
  <c r="N59" i="40"/>
  <c r="M59" i="40"/>
  <c r="L59" i="40"/>
  <c r="I59" i="40"/>
  <c r="H59" i="40"/>
  <c r="G59" i="40"/>
  <c r="F59" i="40"/>
  <c r="AQ58" i="40"/>
  <c r="AL58" i="40"/>
  <c r="DS57" i="40"/>
  <c r="AJ57" i="40"/>
  <c r="AI57" i="40"/>
  <c r="AH57" i="40"/>
  <c r="AG57" i="40"/>
  <c r="AD57" i="40"/>
  <c r="AC57" i="40"/>
  <c r="AB57" i="40"/>
  <c r="AA57" i="40"/>
  <c r="Z57" i="40"/>
  <c r="Y57" i="40"/>
  <c r="X57" i="40"/>
  <c r="W57" i="40"/>
  <c r="U57" i="40"/>
  <c r="T57" i="40"/>
  <c r="S57" i="40"/>
  <c r="Q57" i="40"/>
  <c r="O57" i="40"/>
  <c r="N57" i="40"/>
  <c r="M57" i="40"/>
  <c r="L57" i="40"/>
  <c r="I57" i="40"/>
  <c r="H57" i="40"/>
  <c r="G57" i="40"/>
  <c r="F57" i="40"/>
  <c r="AF56" i="40"/>
  <c r="AE56" i="40"/>
  <c r="V56" i="40"/>
  <c r="U56" i="40"/>
  <c r="U64" i="40" s="1"/>
  <c r="R56" i="40"/>
  <c r="Q56" i="40"/>
  <c r="Q64" i="40" s="1"/>
  <c r="P56" i="40"/>
  <c r="K56" i="40"/>
  <c r="J56" i="40"/>
  <c r="AJ54" i="40"/>
  <c r="AI54" i="40"/>
  <c r="AE54" i="40"/>
  <c r="AD54" i="40"/>
  <c r="AC54" i="40"/>
  <c r="AB54" i="40"/>
  <c r="AA54" i="40"/>
  <c r="Z54" i="40"/>
  <c r="Y54" i="40"/>
  <c r="X54" i="40"/>
  <c r="V54" i="40"/>
  <c r="P54" i="40"/>
  <c r="O54" i="40"/>
  <c r="N54" i="40"/>
  <c r="M54" i="40"/>
  <c r="J54" i="40"/>
  <c r="AJ53" i="40"/>
  <c r="AI53" i="40"/>
  <c r="AE53" i="40"/>
  <c r="AD53" i="40"/>
  <c r="AC53" i="40"/>
  <c r="AB53" i="40"/>
  <c r="AA53" i="40"/>
  <c r="Z53" i="40"/>
  <c r="Y53" i="40"/>
  <c r="X53" i="40"/>
  <c r="T53" i="40"/>
  <c r="P53" i="40"/>
  <c r="O53" i="40"/>
  <c r="N53" i="40"/>
  <c r="M53" i="40"/>
  <c r="J53" i="40"/>
  <c r="F53" i="40"/>
  <c r="AJ52" i="40"/>
  <c r="AI52" i="40"/>
  <c r="AH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AJ51" i="40"/>
  <c r="AI51" i="40"/>
  <c r="AH51" i="40"/>
  <c r="AG51" i="40"/>
  <c r="AD51" i="40"/>
  <c r="AC51" i="40"/>
  <c r="AB51" i="40"/>
  <c r="AA51" i="40"/>
  <c r="Z51" i="40"/>
  <c r="Y51" i="40"/>
  <c r="X51" i="40"/>
  <c r="W51" i="40"/>
  <c r="V51" i="40"/>
  <c r="U51" i="40"/>
  <c r="T51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G51" i="40"/>
  <c r="F51" i="40"/>
  <c r="AD50" i="40"/>
  <c r="Z50" i="40"/>
  <c r="V50" i="40"/>
  <c r="S50" i="40"/>
  <c r="R50" i="40"/>
  <c r="Q50" i="40"/>
  <c r="N50" i="40"/>
  <c r="J50" i="40"/>
  <c r="F50" i="40"/>
  <c r="AD49" i="40"/>
  <c r="Z49" i="40"/>
  <c r="V49" i="40"/>
  <c r="S49" i="40"/>
  <c r="R49" i="40"/>
  <c r="Q49" i="40"/>
  <c r="N49" i="40"/>
  <c r="J49" i="40"/>
  <c r="F49" i="40"/>
  <c r="AJ48" i="40"/>
  <c r="AI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AJ47" i="40"/>
  <c r="AI47" i="40"/>
  <c r="AH47" i="40"/>
  <c r="AG47" i="40"/>
  <c r="AF47" i="40"/>
  <c r="AE47" i="40"/>
  <c r="AD47" i="40"/>
  <c r="AC47" i="40"/>
  <c r="AB47" i="40"/>
  <c r="AA47" i="40"/>
  <c r="Z47" i="40"/>
  <c r="Y47" i="40"/>
  <c r="X47" i="40"/>
  <c r="W47" i="40"/>
  <c r="T47" i="40"/>
  <c r="S47" i="40"/>
  <c r="Q47" i="40"/>
  <c r="P47" i="40"/>
  <c r="O47" i="40"/>
  <c r="N47" i="40"/>
  <c r="M47" i="40"/>
  <c r="L47" i="40"/>
  <c r="K47" i="40"/>
  <c r="J47" i="40"/>
  <c r="I47" i="40"/>
  <c r="H47" i="40"/>
  <c r="G47" i="40"/>
  <c r="F47" i="40"/>
  <c r="GU45" i="40"/>
  <c r="AZ45" i="40"/>
  <c r="AQ45" i="40"/>
  <c r="AL45" i="40"/>
  <c r="GU44" i="40"/>
  <c r="AQ44" i="40"/>
  <c r="AH44" i="40"/>
  <c r="AH53" i="40" s="1"/>
  <c r="AG44" i="40"/>
  <c r="AF44" i="40"/>
  <c r="S44" i="40"/>
  <c r="R44" i="40"/>
  <c r="R53" i="40" s="1"/>
  <c r="Q44" i="40"/>
  <c r="L44" i="40"/>
  <c r="K44" i="40"/>
  <c r="AL44" i="40" s="1"/>
  <c r="GU43" i="40"/>
  <c r="AQ43" i="40"/>
  <c r="AL43" i="40"/>
  <c r="AH42" i="40"/>
  <c r="AH54" i="40" s="1"/>
  <c r="AG42" i="40"/>
  <c r="AG54" i="40" s="1"/>
  <c r="W42" i="40"/>
  <c r="V42" i="40"/>
  <c r="GU42" i="40" s="1"/>
  <c r="GV44" i="40" s="1"/>
  <c r="U42" i="40"/>
  <c r="T42" i="40"/>
  <c r="T54" i="40" s="1"/>
  <c r="S42" i="40"/>
  <c r="S54" i="40" s="1"/>
  <c r="R42" i="40"/>
  <c r="R54" i="40" s="1"/>
  <c r="Q42" i="40"/>
  <c r="Q54" i="40" s="1"/>
  <c r="K42" i="40"/>
  <c r="K54" i="40" s="1"/>
  <c r="J42" i="40"/>
  <c r="I42" i="40"/>
  <c r="I54" i="40" s="1"/>
  <c r="H42" i="40"/>
  <c r="H54" i="40" s="1"/>
  <c r="G42" i="40"/>
  <c r="G54" i="40" s="1"/>
  <c r="F42" i="40"/>
  <c r="F54" i="40" s="1"/>
  <c r="AF41" i="40"/>
  <c r="AF59" i="40" s="1"/>
  <c r="Q41" i="40"/>
  <c r="Q59" i="40" s="1"/>
  <c r="P41" i="40"/>
  <c r="P59" i="40" s="1"/>
  <c r="AL39" i="40"/>
  <c r="AL52" i="40" s="1"/>
  <c r="AL38" i="40"/>
  <c r="AL51" i="40" s="1"/>
  <c r="AL37" i="40"/>
  <c r="AL36" i="40"/>
  <c r="GU34" i="40"/>
  <c r="GV34" i="40" s="1"/>
  <c r="AQ34" i="40"/>
  <c r="AR34" i="40" s="1"/>
  <c r="AH34" i="40"/>
  <c r="W34" i="40"/>
  <c r="W50" i="40" s="1"/>
  <c r="GU33" i="40"/>
  <c r="GV33" i="40" s="1"/>
  <c r="AQ33" i="40"/>
  <c r="AR33" i="40" s="1"/>
  <c r="AL33" i="40"/>
  <c r="AJ32" i="40"/>
  <c r="AJ50" i="40" s="1"/>
  <c r="AI32" i="40"/>
  <c r="AI50" i="40" s="1"/>
  <c r="AG32" i="40"/>
  <c r="AG50" i="40" s="1"/>
  <c r="AF32" i="40"/>
  <c r="AF50" i="40" s="1"/>
  <c r="AE32" i="40"/>
  <c r="AE50" i="40" s="1"/>
  <c r="AD32" i="40"/>
  <c r="AC32" i="40"/>
  <c r="AC50" i="40" s="1"/>
  <c r="AB32" i="40"/>
  <c r="AB50" i="40" s="1"/>
  <c r="AA32" i="40"/>
  <c r="AA50" i="40" s="1"/>
  <c r="Z32" i="40"/>
  <c r="AQ32" i="40" s="1"/>
  <c r="Y32" i="40"/>
  <c r="Y50" i="40" s="1"/>
  <c r="X32" i="40"/>
  <c r="X50" i="40" s="1"/>
  <c r="W32" i="40"/>
  <c r="W49" i="40" s="1"/>
  <c r="V32" i="40"/>
  <c r="U32" i="40"/>
  <c r="U50" i="40" s="1"/>
  <c r="T32" i="40"/>
  <c r="GU32" i="40" s="1"/>
  <c r="P32" i="40"/>
  <c r="P50" i="40" s="1"/>
  <c r="O32" i="40"/>
  <c r="O50" i="40" s="1"/>
  <c r="N32" i="40"/>
  <c r="M32" i="40"/>
  <c r="M50" i="40" s="1"/>
  <c r="L32" i="40"/>
  <c r="L50" i="40" s="1"/>
  <c r="K32" i="40"/>
  <c r="K50" i="40" s="1"/>
  <c r="J32" i="40"/>
  <c r="I32" i="40"/>
  <c r="I50" i="40" s="1"/>
  <c r="H32" i="40"/>
  <c r="H50" i="40" s="1"/>
  <c r="G32" i="40"/>
  <c r="G50" i="40" s="1"/>
  <c r="F32" i="40"/>
  <c r="GU30" i="40"/>
  <c r="GV30" i="40" s="1"/>
  <c r="AQ30" i="40"/>
  <c r="AR30" i="40" s="1"/>
  <c r="AL30" i="40"/>
  <c r="AL48" i="40" s="1"/>
  <c r="D30" i="40"/>
  <c r="AQ29" i="40"/>
  <c r="AR29" i="40" s="1"/>
  <c r="AR31" i="40" s="1"/>
  <c r="V29" i="40"/>
  <c r="V62" i="40" s="1"/>
  <c r="U29" i="40"/>
  <c r="GU29" i="40" s="1"/>
  <c r="GV29" i="40" s="1"/>
  <c r="R29" i="40"/>
  <c r="R62" i="40" s="1"/>
  <c r="D29" i="40"/>
  <c r="HR28" i="40"/>
  <c r="HR29" i="40" s="1"/>
  <c r="AQ27" i="40"/>
  <c r="AL27" i="40"/>
  <c r="AQ26" i="40"/>
  <c r="AL26" i="40"/>
  <c r="AQ25" i="40"/>
  <c r="AL25" i="40"/>
  <c r="AQ24" i="40"/>
  <c r="AL24" i="40"/>
  <c r="GU23" i="40"/>
  <c r="AQ23" i="40"/>
  <c r="AR23" i="40" s="1"/>
  <c r="AR25" i="40" s="1"/>
  <c r="AN23" i="40"/>
  <c r="AL23" i="40"/>
  <c r="AL61" i="40" s="1"/>
  <c r="AO61" i="40" s="1"/>
  <c r="AQ22" i="40"/>
  <c r="AL22" i="40"/>
  <c r="AO134" i="40" s="1"/>
  <c r="AO135" i="40" s="1"/>
  <c r="AJ19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L18" i="40"/>
  <c r="K18" i="40"/>
  <c r="J18" i="40"/>
  <c r="I18" i="40"/>
  <c r="H18" i="40"/>
  <c r="G18" i="40"/>
  <c r="F18" i="40"/>
  <c r="AL17" i="40"/>
  <c r="AL18" i="40" s="1"/>
  <c r="AL16" i="40"/>
  <c r="AJ14" i="40"/>
  <c r="AI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AL13" i="40"/>
  <c r="AL14" i="40" s="1"/>
  <c r="AL12" i="40"/>
  <c r="AL10" i="40"/>
  <c r="AJ10" i="40"/>
  <c r="AI10" i="40"/>
  <c r="AH10" i="40"/>
  <c r="AG10" i="40"/>
  <c r="AF10" i="40"/>
  <c r="AE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AR9" i="40"/>
  <c r="AR11" i="40" s="1"/>
  <c r="AQ9" i="40"/>
  <c r="AQ11" i="40" s="1"/>
  <c r="AL9" i="40"/>
  <c r="AL19" i="40" s="1"/>
  <c r="AO19" i="40" s="1"/>
  <c r="AL8" i="40"/>
  <c r="AL69" i="40" l="1"/>
  <c r="AF53" i="40"/>
  <c r="GV45" i="40"/>
  <c r="GV47" i="40" s="1"/>
  <c r="AH50" i="40"/>
  <c r="W54" i="40"/>
  <c r="W53" i="40"/>
  <c r="AL34" i="40"/>
  <c r="L42" i="40"/>
  <c r="AF42" i="40"/>
  <c r="Q53" i="40"/>
  <c r="AG53" i="40"/>
  <c r="G49" i="40"/>
  <c r="K49" i="40"/>
  <c r="O49" i="40"/>
  <c r="AA49" i="40"/>
  <c r="AE49" i="40"/>
  <c r="AI49" i="40"/>
  <c r="G53" i="40"/>
  <c r="K53" i="40"/>
  <c r="V53" i="40"/>
  <c r="J64" i="40"/>
  <c r="J57" i="40"/>
  <c r="AL56" i="40"/>
  <c r="R64" i="40"/>
  <c r="AF64" i="40"/>
  <c r="AF57" i="40"/>
  <c r="AQ61" i="40"/>
  <c r="H96" i="40"/>
  <c r="AL96" i="40" s="1"/>
  <c r="AL94" i="40" s="1"/>
  <c r="AL131" i="40"/>
  <c r="AL132" i="40" s="1"/>
  <c r="AO23" i="40"/>
  <c r="AN25" i="40"/>
  <c r="AL64" i="40"/>
  <c r="AH32" i="40"/>
  <c r="AH49" i="40" s="1"/>
  <c r="U54" i="40"/>
  <c r="U53" i="40"/>
  <c r="U47" i="40"/>
  <c r="U41" i="40" s="1"/>
  <c r="U59" i="40" s="1"/>
  <c r="H49" i="40"/>
  <c r="L49" i="40"/>
  <c r="P49" i="40"/>
  <c r="T49" i="40"/>
  <c r="X49" i="40"/>
  <c r="AB49" i="40"/>
  <c r="AF49" i="40"/>
  <c r="AJ49" i="40"/>
  <c r="T50" i="40"/>
  <c r="AF51" i="40"/>
  <c r="H53" i="40"/>
  <c r="AQ56" i="40"/>
  <c r="AL119" i="40"/>
  <c r="AO128" i="40"/>
  <c r="AO141" i="40"/>
  <c r="AJ158" i="40"/>
  <c r="D21" i="41"/>
  <c r="AZ25" i="40"/>
  <c r="AL29" i="40"/>
  <c r="J41" i="40"/>
  <c r="R41" i="40"/>
  <c r="R59" i="40" s="1"/>
  <c r="S53" i="40"/>
  <c r="R47" i="40"/>
  <c r="V47" i="40"/>
  <c r="V41" i="40" s="1"/>
  <c r="I49" i="40"/>
  <c r="M49" i="40"/>
  <c r="U49" i="40"/>
  <c r="Y49" i="40"/>
  <c r="AC49" i="40"/>
  <c r="AG49" i="40"/>
  <c r="AG52" i="40"/>
  <c r="I53" i="40"/>
  <c r="P64" i="40"/>
  <c r="P57" i="40"/>
  <c r="V64" i="40"/>
  <c r="AL117" i="40"/>
  <c r="AL138" i="40"/>
  <c r="AL139" i="40" s="1"/>
  <c r="AO150" i="40"/>
  <c r="AL158" i="40"/>
  <c r="AL165" i="40"/>
  <c r="V59" i="40" l="1"/>
  <c r="V57" i="40"/>
  <c r="AL50" i="40"/>
  <c r="J59" i="40"/>
  <c r="R57" i="40"/>
  <c r="AL62" i="40"/>
  <c r="AL47" i="40"/>
  <c r="L54" i="40"/>
  <c r="K41" i="40"/>
  <c r="L53" i="40"/>
  <c r="AF52" i="40"/>
  <c r="AE41" i="40"/>
  <c r="AF54" i="40"/>
  <c r="AQ42" i="40"/>
  <c r="AL42" i="40"/>
  <c r="AZ26" i="40"/>
  <c r="AZ28" i="40"/>
  <c r="AZ29" i="40" s="1"/>
  <c r="AL32" i="40"/>
  <c r="AR45" i="40" l="1"/>
  <c r="AR44" i="40"/>
  <c r="K59" i="40"/>
  <c r="DS59" i="40" s="1"/>
  <c r="K57" i="40"/>
  <c r="AL53" i="40"/>
  <c r="AL54" i="40"/>
  <c r="AZ41" i="40"/>
  <c r="AZ42" i="40" s="1"/>
  <c r="AZ46" i="40" s="1"/>
  <c r="HR32" i="40"/>
  <c r="HR33" i="40" s="1"/>
  <c r="HR34" i="40" s="1"/>
  <c r="AL49" i="40"/>
  <c r="AE59" i="40"/>
  <c r="AE51" i="40"/>
  <c r="AQ41" i="40"/>
  <c r="AE57" i="40"/>
  <c r="AL41" i="40"/>
  <c r="AL59" i="40" l="1"/>
  <c r="AL57" i="40"/>
  <c r="AQ59" i="40"/>
  <c r="AQ57" i="40"/>
  <c r="AO57" i="40" l="1"/>
  <c r="AR57" i="40"/>
  <c r="AR59" i="40"/>
  <c r="AO59" i="40"/>
</calcChain>
</file>

<file path=xl/sharedStrings.xml><?xml version="1.0" encoding="utf-8"?>
<sst xmlns="http://schemas.openxmlformats.org/spreadsheetml/2006/main" count="368" uniqueCount="141">
  <si>
    <t>PRODUCTION REPORT</t>
  </si>
  <si>
    <t>No</t>
  </si>
  <si>
    <t>ITEM</t>
  </si>
  <si>
    <t>Budget / Norma</t>
  </si>
  <si>
    <t>UoM</t>
  </si>
  <si>
    <t>OKTOBER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</si>
  <si>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</si>
  <si>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</si>
  <si>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</si>
  <si>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</si>
  <si>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</si>
  <si>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</si>
  <si>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</si>
  <si>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</si>
  <si>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Incoming CPO (Group) Piping Line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</si>
  <si>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</si>
  <si>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</si>
  <si>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</si>
  <si>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</si>
  <si>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</si>
  <si>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</si>
  <si>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</si>
  <si>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</si>
  <si>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</si>
  <si>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</si>
  <si>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</si>
  <si>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</si>
  <si>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</si>
  <si>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</si>
  <si>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</si>
  <si>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</si>
  <si>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</si>
  <si>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</si>
  <si>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</si>
  <si>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</si>
  <si>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</si>
  <si>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</si>
  <si>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</si>
  <si>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</si>
  <si>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</si>
  <si>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</si>
  <si>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</si>
  <si>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</si>
  <si>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</si>
  <si>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</si>
  <si>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</si>
  <si>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</si>
  <si>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</si>
  <si>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</si>
  <si>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</si>
  <si>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</si>
  <si>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</si>
  <si>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</si>
  <si>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</si>
  <si>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</si>
  <si>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</si>
  <si>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</si>
  <si>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</si>
  <si>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</si>
  <si>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</si>
  <si>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</si>
  <si>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</si>
  <si>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</si>
  <si>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</si>
  <si>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</si>
  <si>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</si>
  <si>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</si>
  <si>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</si>
  <si>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</si>
  <si>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- remelt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</si>
  <si>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</si>
  <si>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</si>
  <si>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</si>
  <si>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</si>
  <si>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</si>
  <si>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</si>
  <si>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</si>
  <si>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</si>
  <si>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</si>
  <si>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</si>
  <si>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</si>
  <si>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</si>
  <si>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</si>
  <si>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</si>
  <si>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</si>
  <si>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 xml:space="preserve">OUTGOING SALVACO </t>
  </si>
  <si>
    <t>Outgoing Salvaco</t>
  </si>
  <si>
    <t>Outgoing in Kg</t>
  </si>
  <si>
    <t>OUTGOING NUSAKITA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</si>
  <si>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</si>
  <si>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</si>
  <si>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</si>
  <si>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</si>
  <si>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</si>
  <si>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</si>
  <si>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</si>
  <si>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</si>
  <si>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</si>
  <si>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</si>
  <si>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</si>
  <si>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</si>
  <si>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</si>
  <si>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</si>
  <si>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</si>
  <si>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</si>
  <si>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</si>
  <si>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</si>
  <si>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</si>
  <si>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</si>
  <si>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</si>
  <si>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</si>
  <si>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</si>
  <si>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</si>
  <si>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</si>
  <si>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</si>
  <si>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</si>
  <si>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</si>
  <si>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</si>
  <si>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</si>
  <si>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</si>
  <si>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</si>
  <si>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</si>
  <si>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Component of Oil</t>
  </si>
  <si>
    <t xml:space="preserve">3 - 5 Agustus </t>
  </si>
  <si>
    <t>30 Juli - 2 Agst</t>
  </si>
  <si>
    <t>27 - 29 Juli</t>
  </si>
  <si>
    <t>23 - 26 Juli</t>
  </si>
  <si>
    <t>16 - 22 Juli</t>
  </si>
  <si>
    <t>9 - 15 Juli</t>
  </si>
  <si>
    <t>2 - 8 Juli</t>
  </si>
  <si>
    <t>OLEIN IV 60</t>
  </si>
  <si>
    <t>Feed to Refinery</t>
  </si>
  <si>
    <t>Quality Feed</t>
  </si>
  <si>
    <t>Quality on Tank</t>
  </si>
  <si>
    <t>Storage Tank</t>
  </si>
  <si>
    <t xml:space="preserve">Qty Feed </t>
  </si>
  <si>
    <t>FFA</t>
  </si>
  <si>
    <t>DOBI</t>
  </si>
  <si>
    <t>Average</t>
  </si>
  <si>
    <t>Perhitungan Quality secara Proporsional</t>
  </si>
  <si>
    <t>% CPO 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</si>
</sst>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64" formatCode="_(* #,##0.0000_);_(* \(#,##0.0000\);_(* &quot;-&quot;??.0000_);_(@_)"/>
    <numFmt numFmtId="166" formatCode="_-* #,##0.00_-;\-* #,##0.00_-;_-* &quot;-&quot;_-;_-@_-"/>
    <numFmt numFmtId="167" formatCode="_(* #,##0.000_);_(* \(#,##0.000\);_(* &quot;-&quot;??_);_(@_)"/>
    <numFmt numFmtId="168" formatCode="_(* #,##0_);_(* \(#,##0\);_(* &quot;-&quot;??_);_(@_)"/>
    <numFmt numFmtId="169" formatCode="_(* #,##0.00_);_(* \(#,##0.00\);_(* &quot;-&quot;??_);_(@_)"/>
    <numFmt numFmtId="170" formatCode="_(* #,##0.0000_);_(* \(#,##0.0000\);_(* &quot;-&quot;??.00_);_(@_)"/>
    <numFmt numFmtId="171" formatCode="_(* #.##0_);_(* \(#.##0\);_(* &quot;-&quot;??_);_(@_)"/>
    <numFmt numFmtId="172" formatCode="_(* #,##0.000_);_(* \(#,##0.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0.00_);\(0.00\)"/>
    <numFmt numFmtId="176" formatCode="_(* #,##0.0000_);_(* \(#,##0.0000\);_(* &quot;-&quot;??_);_(@_)"/>
    <numFmt numFmtId="177" formatCode="_(* #,##0.0000_);_(* \(#,##0.0000\);_(* &quot;-&quot;??.000_);_(@_)"/>
    <numFmt numFmtId="178" formatCode="_(* #,###.0000_);_(* \(#,###.0000\);_(* &quot;-&quot;?,?00.00_);_(@_)"/>
  </numFmts>
  <fonts count="20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4">
    <xf numFmtId="0" fontId="0" fillId="0" borderId="0"/>
    <xf numFmtId="16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6" fillId="0" borderId="0">
      <protection locked="0"/>
    </xf>
    <xf numFmtId="0" fontId="16" fillId="0" borderId="0">
      <protection locked="0"/>
    </xf>
    <xf numFmtId="169" fontId="19" fillId="0" borderId="0" applyFont="0" applyFill="0" applyBorder="0" applyAlignment="0" applyProtection="0"/>
    <xf numFmtId="0" fontId="17" fillId="0" borderId="0"/>
    <xf numFmtId="0" fontId="19" fillId="0" borderId="0"/>
    <xf numFmtId="41" fontId="17" fillId="0" borderId="0" applyFont="0" applyFill="0" applyBorder="0" applyAlignment="0" applyProtection="0"/>
    <xf numFmtId="41" fontId="19" fillId="0" borderId="0" applyFont="0" applyFill="0" applyBorder="0" applyAlignment="0" applyProtection="0"/>
    <xf numFmtId="169" fontId="16" fillId="0" borderId="0">
      <protection locked="0"/>
    </xf>
    <xf numFmtId="41" fontId="17" fillId="0" borderId="0" applyFont="0" applyFill="0" applyBorder="0" applyAlignment="0" applyProtection="0"/>
    <xf numFmtId="41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293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0" xfId="0" applyFont="1"/>
    <xf numFmtId="0" fontId="0" fillId="0" borderId="0" xfId="0" applyFont="1" applyAlignment="1">
      <alignment vertical="center"/>
    </xf>
    <xf numFmtId="0" fontId="1" fillId="2" borderId="0" xfId="0" applyFont="1" applyFill="1"/>
    <xf numFmtId="0" fontId="3" fillId="0" borderId="0" xfId="0" applyFont="1" applyFill="1"/>
    <xf numFmtId="0" fontId="1" fillId="0" borderId="0" xfId="0" applyFont="1" applyFill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168" fontId="1" fillId="0" borderId="4" xfId="1" applyNumberFormat="1" applyFont="1" applyBorder="1"/>
    <xf numFmtId="169" fontId="1" fillId="0" borderId="4" xfId="1" applyFont="1" applyBorder="1"/>
    <xf numFmtId="0" fontId="1" fillId="0" borderId="5" xfId="0" applyFont="1" applyBorder="1"/>
    <xf numFmtId="169" fontId="1" fillId="0" borderId="5" xfId="1" applyFont="1" applyBorder="1"/>
    <xf numFmtId="169" fontId="1" fillId="4" borderId="5" xfId="1" applyFont="1" applyFill="1" applyBorder="1"/>
    <xf numFmtId="0" fontId="1" fillId="0" borderId="0" xfId="0" applyFont="1" applyAlignment="1">
      <alignment horizontal="center"/>
    </xf>
    <xf numFmtId="169" fontId="1" fillId="0" borderId="0" xfId="1" applyFont="1"/>
    <xf numFmtId="169" fontId="1" fillId="0" borderId="0" xfId="0" applyNumberFormat="1" applyFont="1"/>
    <xf numFmtId="169" fontId="1" fillId="5" borderId="0" xfId="0" applyNumberFormat="1" applyFont="1" applyFill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9" fontId="1" fillId="0" borderId="7" xfId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9" fontId="1" fillId="0" borderId="9" xfId="1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169" fontId="1" fillId="0" borderId="0" xfId="1" applyFont="1" applyAlignment="1">
      <alignment horizontal="center"/>
    </xf>
    <xf numFmtId="0" fontId="3" fillId="0" borderId="3" xfId="0" applyFont="1" applyBorder="1" applyAlignment="1">
      <alignment horizontal="center"/>
    </xf>
    <xf numFmtId="169" fontId="1" fillId="0" borderId="10" xfId="1" applyFont="1" applyBorder="1" applyAlignment="1">
      <alignment horizontal="center"/>
    </xf>
    <xf numFmtId="169" fontId="1" fillId="0" borderId="11" xfId="1" applyFont="1" applyBorder="1" applyAlignment="1">
      <alignment horizontal="center"/>
    </xf>
    <xf numFmtId="168" fontId="1" fillId="0" borderId="0" xfId="1" applyNumberFormat="1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71" fontId="1" fillId="0" borderId="0" xfId="0" applyNumberFormat="1" applyFont="1"/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top"/>
    </xf>
    <xf numFmtId="0" fontId="3" fillId="5" borderId="13" xfId="0" applyFont="1" applyFill="1" applyBorder="1" applyAlignment="1">
      <alignment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8" fontId="1" fillId="0" borderId="13" xfId="1" applyNumberFormat="1" applyFont="1" applyFill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8" fontId="1" fillId="0" borderId="7" xfId="1" applyNumberFormat="1" applyFont="1" applyFill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9" fontId="5" fillId="0" borderId="9" xfId="1" applyNumberFormat="1" applyFont="1" applyFill="1" applyBorder="1" applyAlignment="1">
      <alignment horizontal="right" vertical="center"/>
    </xf>
    <xf numFmtId="0" fontId="3" fillId="5" borderId="7" xfId="0" applyFont="1" applyFill="1" applyBorder="1" applyAlignment="1">
      <alignment vertical="center"/>
    </xf>
    <xf numFmtId="169" fontId="5" fillId="0" borderId="7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8" fontId="3" fillId="0" borderId="4" xfId="1" applyNumberFormat="1" applyFont="1" applyFill="1" applyBorder="1" applyAlignment="1">
      <alignment horizontal="right" vertical="center"/>
    </xf>
    <xf numFmtId="0" fontId="3" fillId="0" borderId="13" xfId="0" applyFont="1" applyBorder="1" applyAlignment="1">
      <alignment horizontal="center"/>
    </xf>
    <xf numFmtId="0" fontId="1" fillId="5" borderId="13" xfId="0" applyFont="1" applyFill="1" applyBorder="1" applyAlignment="1">
      <alignment horizontal="center" vertical="center"/>
    </xf>
    <xf numFmtId="168" fontId="1" fillId="5" borderId="13" xfId="1" applyNumberFormat="1" applyFont="1" applyFill="1" applyBorder="1"/>
    <xf numFmtId="0" fontId="3" fillId="0" borderId="7" xfId="0" applyFont="1" applyBorder="1" applyAlignment="1">
      <alignment horizontal="center"/>
    </xf>
    <xf numFmtId="0" fontId="6" fillId="0" borderId="13" xfId="0" applyFont="1" applyBorder="1" applyAlignment="1">
      <alignment vertical="center"/>
    </xf>
    <xf numFmtId="168" fontId="1" fillId="0" borderId="13" xfId="1" applyNumberFormat="1" applyFont="1" applyFill="1" applyBorder="1"/>
    <xf numFmtId="168" fontId="1" fillId="0" borderId="7" xfId="1" applyNumberFormat="1" applyFont="1" applyFill="1" applyBorder="1"/>
    <xf numFmtId="0" fontId="3" fillId="0" borderId="7" xfId="0" applyFont="1" applyFill="1" applyBorder="1" applyAlignment="1">
      <alignment horizontal="center"/>
    </xf>
    <xf numFmtId="0" fontId="1" fillId="8" borderId="7" xfId="0" applyFont="1" applyFill="1" applyBorder="1"/>
    <xf numFmtId="168" fontId="1" fillId="7" borderId="7" xfId="1" applyNumberFormat="1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168" fontId="1" fillId="8" borderId="7" xfId="1" applyNumberFormat="1" applyFont="1" applyFill="1" applyBorder="1"/>
    <xf numFmtId="0" fontId="7" fillId="0" borderId="7" xfId="0" applyFont="1" applyFill="1" applyBorder="1" applyAlignment="1">
      <alignment horizontal="center"/>
    </xf>
    <xf numFmtId="169" fontId="2" fillId="7" borderId="7" xfId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66" fontId="1" fillId="0" borderId="7" xfId="2" applyNumberFormat="1" applyFont="1" applyFill="1" applyBorder="1"/>
    <xf numFmtId="169" fontId="1" fillId="7" borderId="7" xfId="1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169" fontId="1" fillId="7" borderId="7" xfId="1" applyFont="1" applyFill="1" applyBorder="1" applyAlignment="1">
      <alignment horizontal="right"/>
    </xf>
    <xf numFmtId="166" fontId="2" fillId="0" borderId="7" xfId="2" applyNumberFormat="1" applyFont="1" applyFill="1" applyBorder="1"/>
    <xf numFmtId="0" fontId="8" fillId="2" borderId="7" xfId="0" applyFont="1" applyFill="1" applyBorder="1"/>
    <xf numFmtId="0" fontId="1" fillId="7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13" xfId="0" applyFont="1" applyBorder="1"/>
    <xf numFmtId="0" fontId="9" fillId="7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" fillId="9" borderId="7" xfId="0" applyFont="1" applyFill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3" fillId="5" borderId="13" xfId="0" applyFont="1" applyFill="1" applyBorder="1"/>
    <xf numFmtId="0" fontId="1" fillId="5" borderId="13" xfId="0" applyFont="1" applyFill="1" applyBorder="1" applyAlignment="1">
      <alignment horizontal="center"/>
    </xf>
    <xf numFmtId="0" fontId="1" fillId="2" borderId="7" xfId="0" applyFont="1" applyFill="1" applyBorder="1"/>
    <xf numFmtId="169" fontId="1" fillId="0" borderId="7" xfId="1" applyFont="1" applyFill="1" applyBorder="1"/>
    <xf numFmtId="169" fontId="1" fillId="0" borderId="7" xfId="1" applyNumberFormat="1" applyFont="1" applyFill="1" applyBorder="1"/>
    <xf numFmtId="0" fontId="1" fillId="0" borderId="7" xfId="0" applyFont="1" applyBorder="1"/>
    <xf numFmtId="169" fontId="1" fillId="7" borderId="14" xfId="1" applyFont="1" applyFill="1" applyBorder="1" applyAlignment="1">
      <alignment horizontal="center"/>
    </xf>
    <xf numFmtId="168" fontId="1" fillId="0" borderId="14" xfId="1" applyNumberFormat="1" applyFont="1" applyFill="1" applyBorder="1"/>
    <xf numFmtId="0" fontId="1" fillId="0" borderId="15" xfId="0" applyFont="1" applyBorder="1"/>
    <xf numFmtId="0" fontId="1" fillId="7" borderId="15" xfId="0" applyFont="1" applyFill="1" applyBorder="1" applyAlignment="1">
      <alignment horizontal="center"/>
    </xf>
    <xf numFmtId="169" fontId="1" fillId="0" borderId="15" xfId="1" applyFont="1" applyFill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172" fontId="1" fillId="0" borderId="7" xfId="1" applyNumberFormat="1" applyFont="1" applyFill="1" applyBorder="1"/>
    <xf numFmtId="0" fontId="3" fillId="2" borderId="13" xfId="0" applyFont="1" applyFill="1" applyBorder="1" applyAlignment="1">
      <alignment horizontal="center"/>
    </xf>
    <xf numFmtId="173" fontId="1" fillId="7" borderId="13" xfId="1" applyNumberFormat="1" applyFont="1" applyFill="1" applyBorder="1" applyAlignment="1">
      <alignment horizontal="center"/>
    </xf>
    <xf numFmtId="169" fontId="10" fillId="0" borderId="13" xfId="1" applyFont="1" applyFill="1" applyBorder="1"/>
    <xf numFmtId="174" fontId="1" fillId="7" borderId="7" xfId="1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71" fontId="1" fillId="0" borderId="13" xfId="1" applyNumberFormat="1" applyFont="1" applyFill="1" applyBorder="1"/>
    <xf numFmtId="169" fontId="1" fillId="0" borderId="15" xfId="1" applyNumberFormat="1" applyFont="1" applyFill="1" applyBorder="1"/>
    <xf numFmtId="172" fontId="11" fillId="0" borderId="7" xfId="1" applyNumberFormat="1" applyFont="1" applyFill="1" applyBorder="1"/>
    <xf numFmtId="168" fontId="1" fillId="2" borderId="7" xfId="1" applyNumberFormat="1" applyFont="1" applyFill="1" applyBorder="1" applyAlignment="1">
      <alignment vertical="center"/>
    </xf>
    <xf numFmtId="168" fontId="3" fillId="0" borderId="13" xfId="1" applyNumberFormat="1" applyFont="1" applyFill="1" applyBorder="1"/>
    <xf numFmtId="168" fontId="3" fillId="2" borderId="13" xfId="1" applyNumberFormat="1" applyFont="1" applyFill="1" applyBorder="1"/>
    <xf numFmtId="168" fontId="1" fillId="0" borderId="16" xfId="1" applyNumberFormat="1" applyFont="1" applyFill="1" applyBorder="1"/>
    <xf numFmtId="168" fontId="1" fillId="5" borderId="13" xfId="1" applyNumberFormat="1" applyFont="1" applyFill="1" applyBorder="1" applyAlignment="1">
      <alignment horizontal="right" vertical="center"/>
    </xf>
    <xf numFmtId="168" fontId="3" fillId="0" borderId="13" xfId="1" applyNumberFormat="1" applyFont="1" applyFill="1" applyBorder="1" applyAlignment="1">
      <alignment horizontal="center"/>
    </xf>
    <xf numFmtId="168" fontId="1" fillId="9" borderId="7" xfId="1" applyNumberFormat="1" applyFont="1" applyFill="1" applyBorder="1" applyAlignment="1">
      <alignment horizontal="center" vertical="center"/>
    </xf>
    <xf numFmtId="172" fontId="2" fillId="0" borderId="7" xfId="1" applyNumberFormat="1" applyFont="1" applyFill="1" applyBorder="1"/>
    <xf numFmtId="168" fontId="1" fillId="0" borderId="0" xfId="0" applyNumberFormat="1" applyFont="1"/>
    <xf numFmtId="0" fontId="12" fillId="5" borderId="19" xfId="0" applyFont="1" applyFill="1" applyBorder="1" applyAlignment="1">
      <alignment vertical="center"/>
    </xf>
    <xf numFmtId="168" fontId="1" fillId="0" borderId="19" xfId="1" applyNumberFormat="1" applyFont="1" applyBorder="1"/>
    <xf numFmtId="175" fontId="13" fillId="0" borderId="19" xfId="0" applyNumberFormat="1" applyFont="1" applyBorder="1"/>
    <xf numFmtId="0" fontId="12" fillId="5" borderId="20" xfId="0" applyFont="1" applyFill="1" applyBorder="1" applyAlignment="1">
      <alignment vertical="center"/>
    </xf>
    <xf numFmtId="169" fontId="5" fillId="0" borderId="0" xfId="0" applyNumberFormat="1" applyFont="1"/>
    <xf numFmtId="169" fontId="5" fillId="0" borderId="19" xfId="0" applyNumberFormat="1" applyFont="1" applyBorder="1"/>
    <xf numFmtId="168" fontId="3" fillId="0" borderId="21" xfId="1" applyNumberFormat="1" applyFont="1" applyBorder="1" applyAlignment="1">
      <alignment vertical="center"/>
    </xf>
    <xf numFmtId="0" fontId="8" fillId="0" borderId="19" xfId="0" applyFont="1" applyBorder="1"/>
    <xf numFmtId="168" fontId="1" fillId="0" borderId="19" xfId="0" applyNumberFormat="1" applyFont="1" applyBorder="1"/>
    <xf numFmtId="0" fontId="14" fillId="0" borderId="0" xfId="0" applyFont="1" applyFill="1"/>
    <xf numFmtId="168" fontId="1" fillId="0" borderId="0" xfId="1" applyNumberFormat="1" applyFont="1" applyFill="1"/>
    <xf numFmtId="169" fontId="1" fillId="0" borderId="19" xfId="0" applyNumberFormat="1" applyFont="1" applyFill="1" applyBorder="1"/>
    <xf numFmtId="168" fontId="2" fillId="0" borderId="0" xfId="1" applyNumberFormat="1" applyFont="1"/>
    <xf numFmtId="169" fontId="2" fillId="0" borderId="0" xfId="1" applyFont="1"/>
    <xf numFmtId="0" fontId="14" fillId="2" borderId="0" xfId="0" applyFont="1" applyFill="1"/>
    <xf numFmtId="168" fontId="12" fillId="0" borderId="19" xfId="0" applyNumberFormat="1" applyFont="1" applyBorder="1"/>
    <xf numFmtId="0" fontId="14" fillId="0" borderId="0" xfId="0" applyFont="1"/>
    <xf numFmtId="168" fontId="8" fillId="0" borderId="19" xfId="0" applyNumberFormat="1" applyFont="1" applyBorder="1"/>
    <xf numFmtId="0" fontId="14" fillId="0" borderId="0" xfId="0" applyFont="1" applyAlignment="1">
      <alignment vertical="center"/>
    </xf>
    <xf numFmtId="168" fontId="1" fillId="0" borderId="19" xfId="0" applyNumberFormat="1" applyFont="1" applyBorder="1" applyAlignment="1">
      <alignment vertical="center"/>
    </xf>
    <xf numFmtId="168" fontId="1" fillId="0" borderId="19" xfId="1" applyNumberFormat="1" applyFont="1" applyBorder="1" applyAlignment="1">
      <alignment vertical="center"/>
    </xf>
    <xf numFmtId="0" fontId="14" fillId="0" borderId="0" xfId="0" applyFont="1" applyBorder="1"/>
    <xf numFmtId="0" fontId="3" fillId="5" borderId="20" xfId="0" applyFont="1" applyFill="1" applyBorder="1"/>
    <xf numFmtId="169" fontId="1" fillId="0" borderId="19" xfId="1" applyFont="1" applyBorder="1"/>
    <xf numFmtId="169" fontId="1" fillId="0" borderId="0" xfId="1" applyNumberFormat="1" applyFont="1" applyFill="1" applyBorder="1"/>
    <xf numFmtId="168" fontId="1" fillId="0" borderId="22" xfId="0" applyNumberFormat="1" applyFont="1" applyBorder="1"/>
    <xf numFmtId="169" fontId="1" fillId="0" borderId="23" xfId="1" applyFont="1" applyBorder="1"/>
    <xf numFmtId="172" fontId="1" fillId="0" borderId="19" xfId="1" applyNumberFormat="1" applyFont="1" applyBorder="1"/>
    <xf numFmtId="0" fontId="10" fillId="2" borderId="0" xfId="0" applyFont="1" applyFill="1" applyBorder="1"/>
    <xf numFmtId="169" fontId="10" fillId="0" borderId="20" xfId="1" applyFont="1" applyFill="1" applyBorder="1"/>
    <xf numFmtId="0" fontId="14" fillId="2" borderId="0" xfId="0" applyFont="1" applyFill="1" applyBorder="1"/>
    <xf numFmtId="169" fontId="1" fillId="2" borderId="19" xfId="0" applyNumberFormat="1" applyFont="1" applyFill="1" applyBorder="1"/>
    <xf numFmtId="169" fontId="1" fillId="2" borderId="0" xfId="0" applyNumberFormat="1" applyFont="1" applyFill="1"/>
    <xf numFmtId="168" fontId="1" fillId="0" borderId="0" xfId="0" applyNumberFormat="1" applyFont="1" applyFill="1"/>
    <xf numFmtId="168" fontId="2" fillId="0" borderId="0" xfId="0" applyNumberFormat="1" applyFont="1"/>
    <xf numFmtId="169" fontId="1" fillId="0" borderId="0" xfId="1" applyFont="1" applyFill="1"/>
    <xf numFmtId="168" fontId="1" fillId="0" borderId="0" xfId="1" applyNumberFormat="1" applyFont="1" applyAlignment="1">
      <alignment vertical="center"/>
    </xf>
    <xf numFmtId="169" fontId="1" fillId="0" borderId="0" xfId="1" applyFont="1" applyAlignment="1">
      <alignment vertical="center"/>
    </xf>
    <xf numFmtId="168" fontId="1" fillId="2" borderId="0" xfId="1" applyNumberFormat="1" applyFont="1" applyFill="1"/>
    <xf numFmtId="169" fontId="1" fillId="2" borderId="0" xfId="1" applyFont="1" applyFill="1"/>
    <xf numFmtId="0" fontId="3" fillId="0" borderId="7" xfId="0" applyFont="1" applyFill="1" applyBorder="1" applyAlignment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68" fontId="3" fillId="0" borderId="7" xfId="1" applyNumberFormat="1" applyFont="1" applyFill="1" applyBorder="1"/>
    <xf numFmtId="0" fontId="3" fillId="7" borderId="7" xfId="0" applyFont="1" applyFill="1" applyBorder="1" applyAlignment="1">
      <alignment horizontal="center"/>
    </xf>
    <xf numFmtId="169" fontId="3" fillId="0" borderId="7" xfId="1" applyNumberFormat="1" applyFont="1" applyFill="1" applyBorder="1"/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168" fontId="1" fillId="0" borderId="7" xfId="1" applyNumberFormat="1" applyFont="1" applyFill="1" applyBorder="1" applyAlignment="1">
      <alignment vertical="center"/>
    </xf>
    <xf numFmtId="168" fontId="1" fillId="0" borderId="10" xfId="1" applyNumberFormat="1" applyFont="1" applyFill="1" applyBorder="1" applyAlignment="1">
      <alignment wrapText="1"/>
    </xf>
    <xf numFmtId="168" fontId="1" fillId="0" borderId="7" xfId="1" applyNumberFormat="1" applyFont="1" applyFill="1" applyBorder="1" applyAlignment="1">
      <alignment wrapText="1"/>
    </xf>
    <xf numFmtId="0" fontId="3" fillId="0" borderId="1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2" fillId="2" borderId="7" xfId="0" applyFont="1" applyFill="1" applyBorder="1"/>
    <xf numFmtId="170" fontId="11" fillId="0" borderId="7" xfId="1" applyNumberFormat="1" applyFont="1" applyFill="1" applyBorder="1"/>
    <xf numFmtId="173" fontId="1" fillId="7" borderId="7" xfId="1" applyNumberFormat="1" applyFont="1" applyFill="1" applyBorder="1" applyAlignment="1">
      <alignment horizontal="center"/>
    </xf>
    <xf numFmtId="170" fontId="2" fillId="0" borderId="7" xfId="1" applyNumberFormat="1" applyFont="1" applyFill="1" applyBorder="1"/>
    <xf numFmtId="168" fontId="1" fillId="0" borderId="7" xfId="1" applyNumberFormat="1" applyFont="1" applyFill="1" applyBorder="1" applyAlignment="1"/>
    <xf numFmtId="168" fontId="1" fillId="0" borderId="7" xfId="1" applyNumberFormat="1" applyFont="1" applyBorder="1"/>
    <xf numFmtId="176" fontId="11" fillId="0" borderId="7" xfId="1" applyNumberFormat="1" applyFont="1" applyFill="1" applyBorder="1"/>
    <xf numFmtId="176" fontId="2" fillId="0" borderId="7" xfId="1" applyNumberFormat="1" applyFont="1" applyFill="1" applyBorder="1"/>
    <xf numFmtId="177" fontId="2" fillId="0" borderId="7" xfId="1" applyNumberFormat="1" applyFont="1" applyFill="1" applyBorder="1"/>
    <xf numFmtId="177" fontId="1" fillId="0" borderId="7" xfId="1" applyNumberFormat="1" applyFont="1" applyFill="1" applyBorder="1"/>
    <xf numFmtId="176" fontId="1" fillId="0" borderId="7" xfId="1" applyNumberFormat="1" applyFont="1" applyFill="1" applyBorder="1"/>
    <xf numFmtId="168" fontId="3" fillId="0" borderId="0" xfId="0" applyNumberFormat="1" applyFont="1" applyFill="1"/>
    <xf numFmtId="169" fontId="3" fillId="0" borderId="19" xfId="0" applyNumberFormat="1" applyFont="1" applyFill="1" applyBorder="1"/>
    <xf numFmtId="0" fontId="15" fillId="0" borderId="0" xfId="0" applyFont="1" applyFill="1"/>
    <xf numFmtId="169" fontId="1" fillId="0" borderId="0" xfId="0" applyNumberFormat="1" applyFont="1" applyFill="1"/>
    <xf numFmtId="168" fontId="12" fillId="0" borderId="19" xfId="0" applyNumberFormat="1" applyFont="1" applyFill="1" applyBorder="1"/>
    <xf numFmtId="0" fontId="14" fillId="0" borderId="0" xfId="0" applyFont="1" applyFill="1" applyAlignment="1">
      <alignment vertical="center"/>
    </xf>
    <xf numFmtId="168" fontId="1" fillId="0" borderId="19" xfId="0" applyNumberFormat="1" applyFont="1" applyFill="1" applyBorder="1"/>
    <xf numFmtId="168" fontId="1" fillId="0" borderId="6" xfId="1" applyNumberFormat="1" applyFont="1" applyFill="1" applyBorder="1" applyAlignment="1"/>
    <xf numFmtId="168" fontId="1" fillId="0" borderId="0" xfId="1" applyNumberFormat="1" applyFont="1" applyFill="1" applyAlignment="1">
      <alignment vertical="center"/>
    </xf>
    <xf numFmtId="168" fontId="1" fillId="0" borderId="19" xfId="0" applyNumberFormat="1" applyFont="1" applyFill="1" applyBorder="1" applyAlignment="1">
      <alignment vertical="center"/>
    </xf>
    <xf numFmtId="176" fontId="1" fillId="0" borderId="19" xfId="0" applyNumberFormat="1" applyFont="1" applyFill="1" applyBorder="1"/>
    <xf numFmtId="164" fontId="1" fillId="0" borderId="7" xfId="1" applyNumberFormat="1" applyFont="1" applyFill="1" applyBorder="1"/>
    <xf numFmtId="176" fontId="3" fillId="0" borderId="19" xfId="0" applyNumberFormat="1" applyFont="1" applyFill="1" applyBorder="1"/>
    <xf numFmtId="168" fontId="3" fillId="0" borderId="0" xfId="1" applyNumberFormat="1" applyFont="1" applyFill="1"/>
    <xf numFmtId="176" fontId="1" fillId="0" borderId="0" xfId="0" applyNumberFormat="1" applyFont="1" applyFill="1"/>
    <xf numFmtId="176" fontId="1" fillId="2" borderId="0" xfId="0" applyNumberFormat="1" applyFont="1" applyFill="1"/>
    <xf numFmtId="170" fontId="1" fillId="0" borderId="7" xfId="1" applyNumberFormat="1" applyFont="1" applyFill="1" applyBorder="1"/>
    <xf numFmtId="0" fontId="3" fillId="0" borderId="9" xfId="0" applyFont="1" applyBorder="1" applyAlignment="1">
      <alignment horizontal="center"/>
    </xf>
    <xf numFmtId="169" fontId="3" fillId="7" borderId="9" xfId="1" applyFont="1" applyFill="1" applyBorder="1" applyAlignment="1">
      <alignment horizontal="center"/>
    </xf>
    <xf numFmtId="170" fontId="3" fillId="0" borderId="9" xfId="1" applyNumberFormat="1" applyFont="1" applyFill="1" applyBorder="1"/>
    <xf numFmtId="0" fontId="3" fillId="5" borderId="7" xfId="0" applyFont="1" applyFill="1" applyBorder="1" applyAlignment="1">
      <alignment horizontal="center"/>
    </xf>
    <xf numFmtId="176" fontId="3" fillId="5" borderId="7" xfId="1" applyNumberFormat="1" applyFont="1" applyFill="1" applyBorder="1"/>
    <xf numFmtId="168" fontId="3" fillId="7" borderId="7" xfId="1" applyNumberFormat="1" applyFont="1" applyFill="1" applyBorder="1" applyAlignment="1">
      <alignment horizontal="center"/>
    </xf>
    <xf numFmtId="169" fontId="1" fillId="7" borderId="7" xfId="1" applyFont="1" applyFill="1" applyBorder="1" applyAlignment="1">
      <alignment horizontal="center" vertical="center"/>
    </xf>
    <xf numFmtId="169" fontId="1" fillId="0" borderId="7" xfId="1" applyNumberFormat="1" applyFont="1" applyFill="1" applyBorder="1" applyAlignment="1">
      <alignment vertical="center"/>
    </xf>
    <xf numFmtId="169" fontId="1" fillId="7" borderId="7" xfId="1" applyFont="1" applyFill="1" applyBorder="1" applyAlignment="1">
      <alignment vertical="center"/>
    </xf>
    <xf numFmtId="0" fontId="1" fillId="7" borderId="7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168" fontId="11" fillId="0" borderId="7" xfId="1" applyNumberFormat="1" applyFont="1" applyFill="1" applyBorder="1"/>
    <xf numFmtId="0" fontId="1" fillId="5" borderId="13" xfId="0" applyFont="1" applyFill="1" applyBorder="1"/>
    <xf numFmtId="0" fontId="3" fillId="2" borderId="9" xfId="0" applyFont="1" applyFill="1" applyBorder="1"/>
    <xf numFmtId="0" fontId="3" fillId="7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8" fontId="3" fillId="0" borderId="9" xfId="1" applyNumberFormat="1" applyFont="1" applyBorder="1"/>
    <xf numFmtId="176" fontId="3" fillId="0" borderId="9" xfId="1" applyNumberFormat="1" applyFont="1" applyFill="1" applyBorder="1"/>
    <xf numFmtId="169" fontId="11" fillId="0" borderId="7" xfId="1" applyNumberFormat="1" applyFont="1" applyFill="1" applyBorder="1" applyAlignment="1">
      <alignment vertical="center"/>
    </xf>
    <xf numFmtId="168" fontId="2" fillId="0" borderId="7" xfId="1" applyNumberFormat="1" applyFont="1" applyFill="1" applyBorder="1"/>
    <xf numFmtId="169" fontId="1" fillId="5" borderId="13" xfId="1" applyNumberFormat="1" applyFont="1" applyFill="1" applyBorder="1"/>
    <xf numFmtId="169" fontId="2" fillId="0" borderId="7" xfId="1" applyNumberFormat="1" applyFont="1" applyFill="1" applyBorder="1" applyAlignment="1">
      <alignment vertical="center"/>
    </xf>
    <xf numFmtId="0" fontId="12" fillId="0" borderId="19" xfId="0" applyFont="1" applyBorder="1"/>
    <xf numFmtId="178" fontId="1" fillId="0" borderId="19" xfId="0" applyNumberFormat="1" applyFont="1" applyBorder="1"/>
    <xf numFmtId="0" fontId="15" fillId="0" borderId="0" xfId="0" applyFont="1"/>
    <xf numFmtId="176" fontId="3" fillId="0" borderId="18" xfId="0" applyNumberFormat="1" applyFont="1" applyBorder="1"/>
    <xf numFmtId="169" fontId="3" fillId="5" borderId="20" xfId="1" applyNumberFormat="1" applyFont="1" applyFill="1" applyBorder="1"/>
    <xf numFmtId="168" fontId="3" fillId="0" borderId="19" xfId="0" applyNumberFormat="1" applyFont="1" applyBorder="1"/>
    <xf numFmtId="168" fontId="3" fillId="0" borderId="0" xfId="0" applyNumberFormat="1" applyFont="1"/>
    <xf numFmtId="167" fontId="12" fillId="0" borderId="19" xfId="0" applyNumberFormat="1" applyFont="1" applyBorder="1"/>
    <xf numFmtId="169" fontId="3" fillId="0" borderId="19" xfId="1" applyFont="1" applyBorder="1" applyAlignment="1">
      <alignment vertical="center"/>
    </xf>
    <xf numFmtId="168" fontId="12" fillId="0" borderId="19" xfId="0" applyNumberFormat="1" applyFont="1" applyBorder="1" applyAlignment="1">
      <alignment vertical="center"/>
    </xf>
    <xf numFmtId="169" fontId="1" fillId="0" borderId="19" xfId="1" applyFont="1" applyBorder="1" applyAlignment="1">
      <alignment vertical="center"/>
    </xf>
    <xf numFmtId="168" fontId="3" fillId="5" borderId="20" xfId="1" applyNumberFormat="1" applyFont="1" applyFill="1" applyBorder="1"/>
    <xf numFmtId="0" fontId="8" fillId="5" borderId="20" xfId="0" applyFont="1" applyFill="1" applyBorder="1"/>
    <xf numFmtId="168" fontId="3" fillId="0" borderId="0" xfId="1" applyNumberFormat="1" applyFont="1"/>
    <xf numFmtId="168" fontId="3" fillId="0" borderId="18" xfId="0" applyNumberFormat="1" applyFont="1" applyBorder="1"/>
    <xf numFmtId="0" fontId="8" fillId="5" borderId="19" xfId="0" applyFont="1" applyFill="1" applyBorder="1"/>
    <xf numFmtId="168" fontId="3" fillId="0" borderId="24" xfId="0" applyNumberFormat="1" applyFont="1" applyBorder="1"/>
    <xf numFmtId="169" fontId="1" fillId="0" borderId="0" xfId="0" applyNumberFormat="1" applyFont="1" applyAlignment="1">
      <alignment vertical="center"/>
    </xf>
    <xf numFmtId="0" fontId="3" fillId="5" borderId="19" xfId="0" quotePrefix="1" applyFont="1" applyFill="1" applyBorder="1"/>
    <xf numFmtId="0" fontId="2" fillId="0" borderId="7" xfId="0" quotePrefix="1" applyFont="1" applyFill="1" applyBorder="1"/>
    <xf numFmtId="0" fontId="1" fillId="0" borderId="7" xfId="0" quotePrefix="1" applyFont="1" applyFill="1" applyBorder="1"/>
    <xf numFmtId="0" fontId="1" fillId="8" borderId="7" xfId="0" quotePrefix="1" applyFont="1" applyFill="1" applyBorder="1"/>
    <xf numFmtId="0" fontId="1" fillId="8" borderId="7" xfId="0" quotePrefix="1" applyFont="1" applyFill="1" applyBorder="1" applyAlignment="1">
      <alignment horizontal="center"/>
    </xf>
    <xf numFmtId="0" fontId="3" fillId="5" borderId="13" xfId="0" quotePrefix="1" applyFont="1" applyFill="1" applyBorder="1"/>
    <xf numFmtId="0" fontId="3" fillId="5" borderId="20" xfId="0" quotePrefix="1" applyFont="1" applyFill="1" applyBorder="1"/>
    <xf numFmtId="0" fontId="1" fillId="2" borderId="7" xfId="0" quotePrefix="1" applyFont="1" applyFill="1" applyBorder="1"/>
    <xf numFmtId="0" fontId="1" fillId="2" borderId="7" xfId="0" quotePrefix="1" applyFont="1" applyFill="1" applyBorder="1" applyAlignment="1">
      <alignment horizontal="center"/>
    </xf>
    <xf numFmtId="0" fontId="1" fillId="0" borderId="7" xfId="0" quotePrefix="1" applyFont="1" applyBorder="1"/>
    <xf numFmtId="0" fontId="1" fillId="0" borderId="7" xfId="0" quotePrefix="1" applyFont="1" applyBorder="1" applyAlignment="1">
      <alignment horizontal="center"/>
    </xf>
    <xf numFmtId="0" fontId="1" fillId="0" borderId="14" xfId="0" quotePrefix="1" applyFont="1" applyBorder="1"/>
    <xf numFmtId="0" fontId="1" fillId="0" borderId="14" xfId="0" quotePrefix="1" applyFont="1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0" fontId="1" fillId="0" borderId="9" xfId="0" quotePrefix="1" applyFont="1" applyBorder="1" applyAlignment="1">
      <alignment horizontal="center"/>
    </xf>
    <xf numFmtId="0" fontId="3" fillId="2" borderId="13" xfId="0" quotePrefix="1" applyFont="1" applyFill="1" applyBorder="1"/>
    <xf numFmtId="0" fontId="1" fillId="2" borderId="13" xfId="0" quotePrefix="1" applyFont="1" applyFill="1" applyBorder="1" applyAlignment="1">
      <alignment horizontal="center"/>
    </xf>
    <xf numFmtId="0" fontId="1" fillId="2" borderId="9" xfId="0" quotePrefix="1" applyFont="1" applyFill="1" applyBorder="1"/>
    <xf numFmtId="0" fontId="1" fillId="2" borderId="9" xfId="0" quotePrefix="1" applyFont="1" applyFill="1" applyBorder="1" applyAlignment="1">
      <alignment horizontal="center"/>
    </xf>
    <xf numFmtId="0" fontId="3" fillId="0" borderId="7" xfId="0" quotePrefix="1" applyFont="1" applyFill="1" applyBorder="1"/>
    <xf numFmtId="0" fontId="3" fillId="0" borderId="7" xfId="0" quotePrefix="1" applyFont="1" applyFill="1" applyBorder="1" applyAlignment="1">
      <alignment horizontal="center"/>
    </xf>
    <xf numFmtId="0" fontId="12" fillId="0" borderId="7" xfId="0" quotePrefix="1" applyFont="1" applyFill="1" applyBorder="1"/>
    <xf numFmtId="0" fontId="1" fillId="0" borderId="7" xfId="0" quotePrefix="1" applyFont="1" applyFill="1" applyBorder="1" applyAlignment="1">
      <alignment horizontal="center"/>
    </xf>
    <xf numFmtId="0" fontId="1" fillId="0" borderId="7" xfId="0" quotePrefix="1" applyFont="1" applyFill="1" applyBorder="1" applyAlignment="1">
      <alignment vertical="center"/>
    </xf>
    <xf numFmtId="0" fontId="1" fillId="0" borderId="7" xfId="0" quotePrefix="1" applyFont="1" applyFill="1" applyBorder="1" applyAlignment="1">
      <alignment horizontal="center" vertical="center"/>
    </xf>
    <xf numFmtId="0" fontId="3" fillId="0" borderId="7" xfId="0" quotePrefix="1" applyFont="1" applyBorder="1"/>
    <xf numFmtId="0" fontId="3" fillId="0" borderId="9" xfId="0" quotePrefix="1" applyFont="1" applyBorder="1"/>
    <xf numFmtId="0" fontId="3" fillId="0" borderId="9" xfId="0" quotePrefix="1" applyFont="1" applyBorder="1" applyAlignment="1">
      <alignment horizontal="center"/>
    </xf>
    <xf numFmtId="0" fontId="3" fillId="5" borderId="7" xfId="0" quotePrefix="1" applyFont="1" applyFill="1" applyBorder="1"/>
    <xf numFmtId="0" fontId="12" fillId="0" borderId="7" xfId="0" quotePrefix="1" applyFont="1" applyBorder="1"/>
    <xf numFmtId="0" fontId="1" fillId="0" borderId="7" xfId="0" quotePrefix="1" applyFont="1" applyBorder="1" applyAlignment="1">
      <alignment vertical="center"/>
    </xf>
    <xf numFmtId="0" fontId="1" fillId="0" borderId="7" xfId="0" quotePrefix="1" applyFont="1" applyBorder="1" applyAlignment="1">
      <alignment horizontal="center" vertical="center"/>
    </xf>
    <xf numFmtId="0" fontId="3" fillId="0" borderId="7" xfId="0" quotePrefix="1" applyFont="1" applyBorder="1" applyAlignment="1">
      <alignment vertical="center"/>
    </xf>
    <xf numFmtId="0" fontId="3" fillId="2" borderId="7" xfId="0" quotePrefix="1" applyFont="1" applyFill="1" applyBorder="1"/>
    <xf numFmtId="0" fontId="3" fillId="2" borderId="7" xfId="0" quotePrefix="1" applyFont="1" applyFill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4">
    <cellStyle name="Comma" xfId="1" builtinId="3"/>
    <cellStyle name="Comma [0]" xfId="2" builtinId="6"/>
    <cellStyle name="Comma [0] 2" xfId="12" xr:uid="{00000000-0005-0000-0000-00003A000000}"/>
    <cellStyle name="Comma [0] 2 2" xfId="11" xr:uid="{00000000-0005-0000-0000-000034000000}"/>
    <cellStyle name="Comma [0] 3" xfId="14" xr:uid="{00000000-0005-0000-0000-00003C000000}"/>
    <cellStyle name="Comma [0] 3 2" xfId="15" xr:uid="{00000000-0005-0000-0000-00003D000000}"/>
    <cellStyle name="Comma 2" xfId="19" xr:uid="{00000000-0005-0000-0000-000042000000}"/>
    <cellStyle name="Comma 3" xfId="13" xr:uid="{00000000-0005-0000-0000-00003B000000}"/>
    <cellStyle name="Comma 4" xfId="16" xr:uid="{00000000-0005-0000-0000-00003E000000}"/>
    <cellStyle name="Comma 4 2" xfId="8" xr:uid="{00000000-0005-0000-0000-000023000000}"/>
    <cellStyle name="Comma 4 2 2" xfId="17" xr:uid="{00000000-0005-0000-0000-000040000000}"/>
    <cellStyle name="Normal" xfId="0" builtinId="0"/>
    <cellStyle name="Normal 2" xfId="9" xr:uid="{00000000-0005-0000-0000-000026000000}"/>
    <cellStyle name="Normal 2 10" xfId="6" xr:uid="{00000000-0005-0000-0000-000017000000}"/>
    <cellStyle name="Normal 2 2 2" xfId="23" xr:uid="{00000000-0005-0000-0000-000046000000}"/>
    <cellStyle name="Normal 3" xfId="10" xr:uid="{00000000-0005-0000-0000-00002B000000}"/>
    <cellStyle name="Normal 3 2 2 2" xfId="4" xr:uid="{00000000-0005-0000-0000-00000C000000}"/>
    <cellStyle name="Normal 3 2 2 2 2 2" xfId="20" xr:uid="{00000000-0005-0000-0000-000043000000}"/>
    <cellStyle name="Normal 3 2 2 2 2 2 2 2" xfId="21" xr:uid="{00000000-0005-0000-0000-000044000000}"/>
    <cellStyle name="Normal 3 2 2 2 2 2 2 2 2" xfId="22" xr:uid="{00000000-0005-0000-0000-000045000000}"/>
    <cellStyle name="Normal 4" xfId="7" xr:uid="{00000000-0005-0000-0000-00001A000000}"/>
    <cellStyle name="Normal 8" xfId="5" xr:uid="{00000000-0005-0000-0000-000014000000}"/>
    <cellStyle name="Normal 8 2" xfId="18" xr:uid="{00000000-0005-0000-0000-000041000000}"/>
    <cellStyle name="Normal 8 2 2" xfId="3" xr:uid="{00000000-0005-0000-0000-000006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JU175"/>
  <sheetViews>
    <sheetView showGridLines="0" tabSelected="1" topLeftCell="A4" workbookViewId="0">
      <pane xSplit="5" ySplit="3" topLeftCell="AI7" activePane="bottomRight" state="frozen"/>
      <selection pane="topRight"/>
      <selection pane="bottomLeft"/>
      <selection pane="bottomRight" activeCell="IV25" sqref="IV25"/>
    </sheetView>
  </sheetViews>
  <sheetFormatPr defaultColWidth="9" defaultRowHeight="15"/>
  <cols>
    <col min="1" max="1" width="1.5703125" style="3" customWidth="1"/>
    <col min="2" max="2" width="4.7109375" style="17" customWidth="1"/>
    <col min="3" max="3" width="40.7109375" style="3" customWidth="1"/>
    <col min="4" max="4" width="11.85546875" style="3" customWidth="1"/>
    <col min="5" max="5" width="8.28515625" style="3" customWidth="1"/>
    <col min="6" max="12" width="13.42578125" style="3" customWidth="1"/>
    <col min="13" max="14" width="12.7109375" style="3" customWidth="1"/>
    <col min="15" max="19" width="13.42578125" style="3" customWidth="1"/>
    <col min="20" max="22" width="12.85546875" style="3" customWidth="1"/>
    <col min="23" max="23" width="13.42578125" style="3" customWidth="1"/>
    <col min="24" max="24" width="14.5703125" style="3" customWidth="1"/>
    <col min="25" max="25" width="13.42578125" style="3" customWidth="1"/>
    <col min="26" max="28" width="13.7109375" style="3" customWidth="1"/>
    <col min="29" max="33" width="13.42578125" style="3" customWidth="1"/>
    <col min="34" max="37" width="13.7109375" style="3" customWidth="1"/>
    <col min="38" max="38" width="20.7109375" style="3" customWidth="1"/>
    <col min="39" max="39" width="7.85546875" style="3" customWidth="1"/>
    <col min="40" max="40" width="9" style="3" hidden="1" customWidth="1"/>
    <col min="41" max="41" width="10.140625" style="33" hidden="1" customWidth="1"/>
    <col min="42" max="42" width="0.140625" style="3" hidden="1" customWidth="1"/>
    <col min="43" max="43" width="13.42578125" style="3" hidden="1" customWidth="1"/>
    <col min="44" max="44" width="9" style="3" hidden="1" customWidth="1"/>
    <col min="45" max="45" width="6.7109375" style="3" hidden="1" customWidth="1"/>
    <col min="46" max="46" width="9.140625" style="3" hidden="1" customWidth="1"/>
    <col min="47" max="47" width="9.85546875" style="3" hidden="1" customWidth="1"/>
    <col min="48" max="48" width="13.42578125" style="3" hidden="1" customWidth="1"/>
    <col min="49" max="51" width="9.140625" style="3" hidden="1" customWidth="1"/>
    <col min="52" max="52" width="13.42578125" style="3" hidden="1" customWidth="1"/>
    <col min="53" max="53" width="9.28515625" style="3" hidden="1" customWidth="1"/>
    <col min="54" max="109" width="9.140625" style="3" hidden="1" customWidth="1"/>
    <col min="110" max="110" width="9" style="3" hidden="1" customWidth="1"/>
    <col min="111" max="111" width="9.140625" style="3" hidden="1" customWidth="1"/>
    <col min="112" max="112" width="13.28515625" style="3" hidden="1" customWidth="1"/>
    <col min="113" max="120" width="9.140625" style="3" hidden="1" customWidth="1"/>
    <col min="121" max="121" width="13.42578125" style="3" hidden="1" customWidth="1"/>
    <col min="122" max="122" width="9.140625" style="3" hidden="1" customWidth="1"/>
    <col min="123" max="124" width="7.85546875" style="3" hidden="1" customWidth="1"/>
    <col min="125" max="202" width="9.140625" style="3" hidden="1" customWidth="1"/>
    <col min="203" max="203" width="13.42578125" style="3" hidden="1" customWidth="1"/>
    <col min="204" max="204" width="7.85546875" style="3" hidden="1" customWidth="1"/>
    <col min="205" max="225" width="9.140625" style="3" hidden="1" customWidth="1"/>
    <col min="226" max="226" width="13.42578125" style="3" hidden="1" customWidth="1"/>
    <col min="227" max="253" width="9.140625" style="3" hidden="1" customWidth="1"/>
    <col min="254" max="254" width="4.5703125" style="3" hidden="1" customWidth="1"/>
    <col min="255" max="255" width="12.85546875" style="3" hidden="1" customWidth="1"/>
    <col min="256" max="256" width="15.28515625" style="3"/>
    <col min="257" max="15434" width="9.140625" style="3"/>
    <col min="15435" max="15436" width="9" style="3"/>
    <col min="15437" max="15438" width="9.140625"/>
  </cols>
  <sheetData>
    <row r="1" spans="2:112">
      <c r="B1" s="34"/>
    </row>
    <row r="2" spans="2:112" ht="18">
      <c r="B2" s="278" t="s">
        <v>0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35"/>
      <c r="AK2" s="35"/>
    </row>
    <row r="3" spans="2:112">
      <c r="B3" s="36"/>
    </row>
    <row r="4" spans="2:112">
      <c r="C4" s="37"/>
      <c r="D4" s="33"/>
    </row>
    <row r="5" spans="2:112">
      <c r="B5" s="281" t="s">
        <v>1</v>
      </c>
      <c r="C5" s="281" t="s">
        <v>2</v>
      </c>
      <c r="D5" s="282" t="s">
        <v>3</v>
      </c>
      <c r="E5" s="284" t="s">
        <v>4</v>
      </c>
      <c r="F5" s="279" t="s">
        <v>5</v>
      </c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  <c r="AC5" s="280"/>
      <c r="AD5" s="280"/>
      <c r="AE5" s="280"/>
      <c r="AF5" s="280"/>
      <c r="AG5" s="280"/>
      <c r="AH5" s="280"/>
      <c r="AI5" s="280"/>
      <c r="AJ5" s="38"/>
      <c r="AL5" s="276" t="s">
        <v>6</v>
      </c>
    </row>
    <row r="6" spans="2:112">
      <c r="B6" s="281"/>
      <c r="C6" s="281"/>
      <c r="D6" s="283"/>
      <c r="E6" s="285"/>
      <c r="F6" s="39">
        <v>1</v>
      </c>
      <c r="G6" s="39">
        <v>2</v>
      </c>
      <c r="H6" s="39">
        <v>3</v>
      </c>
      <c r="I6" s="39">
        <v>4</v>
      </c>
      <c r="J6" s="39">
        <v>5</v>
      </c>
      <c r="K6" s="39">
        <v>6</v>
      </c>
      <c r="L6" s="39">
        <v>7</v>
      </c>
      <c r="M6" s="39">
        <v>8</v>
      </c>
      <c r="N6" s="39">
        <v>9</v>
      </c>
      <c r="O6" s="39">
        <v>10</v>
      </c>
      <c r="P6" s="39">
        <v>11</v>
      </c>
      <c r="Q6" s="39">
        <v>12</v>
      </c>
      <c r="R6" s="39">
        <v>13</v>
      </c>
      <c r="S6" s="39">
        <v>14</v>
      </c>
      <c r="T6" s="39">
        <v>15</v>
      </c>
      <c r="U6" s="39">
        <v>16</v>
      </c>
      <c r="V6" s="39">
        <v>17</v>
      </c>
      <c r="W6" s="39">
        <v>18</v>
      </c>
      <c r="X6" s="39">
        <v>19</v>
      </c>
      <c r="Y6" s="39">
        <v>20</v>
      </c>
      <c r="Z6" s="39">
        <v>21</v>
      </c>
      <c r="AA6" s="39">
        <v>22</v>
      </c>
      <c r="AB6" s="39">
        <v>23</v>
      </c>
      <c r="AC6" s="39">
        <v>24</v>
      </c>
      <c r="AD6" s="39">
        <v>25</v>
      </c>
      <c r="AE6" s="39">
        <v>26</v>
      </c>
      <c r="AF6" s="39">
        <v>27</v>
      </c>
      <c r="AG6" s="39">
        <v>28</v>
      </c>
      <c r="AH6" s="39">
        <v>29</v>
      </c>
      <c r="AI6" s="39">
        <v>30</v>
      </c>
      <c r="AJ6" s="39">
        <v>31</v>
      </c>
      <c r="AL6" s="277"/>
    </row>
    <row r="7" spans="2:112">
      <c r="B7" s="40">
        <v>1</v>
      </c>
      <c r="C7" s="41" t="s">
        <v>7</v>
      </c>
      <c r="D7" s="42"/>
      <c r="E7" s="43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119"/>
      <c r="AL7" s="120" t="s">
        <v>8</v>
      </c>
    </row>
    <row r="8" spans="2:112">
      <c r="B8" s="40"/>
      <c r="C8" s="45" t="s">
        <v>9</v>
      </c>
      <c r="D8" s="46"/>
      <c r="E8" s="47" t="s">
        <v>10</v>
      </c>
      <c r="F8" s="48">
        <v>2075640</v>
      </c>
      <c r="G8" s="48">
        <v>1841170</v>
      </c>
      <c r="H8" s="48">
        <v>969870</v>
      </c>
      <c r="I8" s="48">
        <v>1565240</v>
      </c>
      <c r="J8" s="48">
        <v>1600560</v>
      </c>
      <c r="K8" s="48">
        <v>1038820</v>
      </c>
      <c r="L8" s="48">
        <v>1097400</v>
      </c>
      <c r="M8" s="48">
        <v>1311720</v>
      </c>
      <c r="N8" s="48">
        <v>1747340</v>
      </c>
      <c r="O8" s="48">
        <v>1110510</v>
      </c>
      <c r="P8" s="48">
        <v>817600</v>
      </c>
      <c r="Q8" s="48">
        <v>782570</v>
      </c>
      <c r="R8" s="48">
        <v>1561270</v>
      </c>
      <c r="S8" s="48">
        <v>1286400</v>
      </c>
      <c r="T8" s="48">
        <v>1954930</v>
      </c>
      <c r="U8" s="48">
        <v>2205040</v>
      </c>
      <c r="V8" s="48">
        <v>933720</v>
      </c>
      <c r="W8" s="48">
        <v>1323230</v>
      </c>
      <c r="X8" s="48">
        <v>1579650</v>
      </c>
      <c r="Y8" s="48">
        <v>1333870</v>
      </c>
      <c r="Z8" s="48">
        <v>1587710</v>
      </c>
      <c r="AA8" s="48">
        <v>1675100</v>
      </c>
      <c r="AB8" s="48">
        <v>1900350</v>
      </c>
      <c r="AC8" s="48">
        <v>1034210</v>
      </c>
      <c r="AD8" s="48">
        <v>889890</v>
      </c>
      <c r="AE8" s="48">
        <v>1152590</v>
      </c>
      <c r="AF8" s="48">
        <v>1971690</v>
      </c>
      <c r="AG8" s="48">
        <v>2529200</v>
      </c>
      <c r="AH8" s="48">
        <v>2081580</v>
      </c>
      <c r="AI8" s="48">
        <v>2395520</v>
      </c>
      <c r="AJ8" s="48">
        <v>1557170</v>
      </c>
      <c r="AK8" s="119"/>
      <c r="AL8" s="121">
        <f t="shared" ref="AL8:AL13" si="0">SUM(F8:AJ8)</f>
        <v>46911560</v>
      </c>
      <c r="AQ8" s="33">
        <v>53312</v>
      </c>
    </row>
    <row r="9" spans="2:112">
      <c r="B9" s="40"/>
      <c r="C9" s="45" t="s">
        <v>11</v>
      </c>
      <c r="D9" s="46"/>
      <c r="E9" s="47" t="s">
        <v>10</v>
      </c>
      <c r="F9" s="48">
        <v>2075280</v>
      </c>
      <c r="G9" s="48">
        <v>1840130</v>
      </c>
      <c r="H9" s="48">
        <v>969640</v>
      </c>
      <c r="I9" s="48">
        <v>1564450</v>
      </c>
      <c r="J9" s="48">
        <v>1599580</v>
      </c>
      <c r="K9" s="48">
        <v>1038040</v>
      </c>
      <c r="L9" s="48">
        <v>1096630</v>
      </c>
      <c r="M9" s="48">
        <v>1310690</v>
      </c>
      <c r="N9" s="48">
        <v>1746300</v>
      </c>
      <c r="O9" s="48">
        <v>1109590</v>
      </c>
      <c r="P9" s="48">
        <v>817230</v>
      </c>
      <c r="Q9" s="48">
        <v>781880</v>
      </c>
      <c r="R9" s="48">
        <v>1559900</v>
      </c>
      <c r="S9" s="48">
        <v>1286030</v>
      </c>
      <c r="T9" s="48">
        <v>1953980</v>
      </c>
      <c r="U9" s="48">
        <v>2201950</v>
      </c>
      <c r="V9" s="48">
        <v>932620</v>
      </c>
      <c r="W9" s="48">
        <v>1319050</v>
      </c>
      <c r="X9" s="48">
        <v>1576870</v>
      </c>
      <c r="Y9" s="48">
        <v>1333060</v>
      </c>
      <c r="Z9" s="48">
        <v>1586470</v>
      </c>
      <c r="AA9" s="48">
        <v>1671260</v>
      </c>
      <c r="AB9" s="48">
        <v>1896410</v>
      </c>
      <c r="AC9" s="48">
        <v>1031960</v>
      </c>
      <c r="AD9" s="48">
        <v>887650</v>
      </c>
      <c r="AE9" s="48">
        <v>1151170</v>
      </c>
      <c r="AF9" s="48">
        <v>1968980</v>
      </c>
      <c r="AG9" s="48">
        <v>2524750</v>
      </c>
      <c r="AH9" s="48">
        <v>2078590</v>
      </c>
      <c r="AI9" s="48">
        <v>2390510</v>
      </c>
      <c r="AJ9" s="48">
        <v>1555790</v>
      </c>
      <c r="AK9" s="119"/>
      <c r="AL9" s="121">
        <f t="shared" si="0"/>
        <v>46856440</v>
      </c>
      <c r="AQ9" s="119">
        <f>AL23/1000</f>
        <v>54292.828000000001</v>
      </c>
      <c r="AR9" s="119">
        <f>AQ9-AQ8</f>
        <v>980.82800000000134</v>
      </c>
    </row>
    <row r="10" spans="2:112">
      <c r="B10" s="40"/>
      <c r="C10" s="49" t="s">
        <v>12</v>
      </c>
      <c r="D10" s="50"/>
      <c r="E10" s="51" t="s">
        <v>13</v>
      </c>
      <c r="F10" s="52">
        <f t="shared" ref="F10:AJ10" si="1">((F9-F8)/F8)*100</f>
        <v>-1.7344048100826733E-2</v>
      </c>
      <c r="G10" s="52">
        <f t="shared" si="1"/>
        <v>-5.6485821515666668E-2</v>
      </c>
      <c r="H10" s="52">
        <f t="shared" si="1"/>
        <v>-2.3714518440615753E-2</v>
      </c>
      <c r="I10" s="52">
        <f t="shared" si="1"/>
        <v>-5.0471493189542818E-2</v>
      </c>
      <c r="J10" s="52">
        <f t="shared" si="1"/>
        <v>-6.1228570000499825E-2</v>
      </c>
      <c r="K10" s="52">
        <f t="shared" si="1"/>
        <v>-7.5085192814924623E-2</v>
      </c>
      <c r="L10" s="52">
        <f t="shared" si="1"/>
        <v>-7.016584654638236E-2</v>
      </c>
      <c r="M10" s="52">
        <f t="shared" si="1"/>
        <v>-7.8522855487451595E-2</v>
      </c>
      <c r="N10" s="52">
        <f t="shared" si="1"/>
        <v>-5.9519040369933732E-2</v>
      </c>
      <c r="O10" s="52">
        <f t="shared" si="1"/>
        <v>-8.2844819047104487E-2</v>
      </c>
      <c r="P10" s="52">
        <f t="shared" si="1"/>
        <v>-4.5254403131115457E-2</v>
      </c>
      <c r="Q10" s="52">
        <f t="shared" si="1"/>
        <v>-8.8171026234074898E-2</v>
      </c>
      <c r="R10" s="52">
        <f t="shared" si="1"/>
        <v>-8.7749076072684409E-2</v>
      </c>
      <c r="S10" s="52">
        <f t="shared" si="1"/>
        <v>-2.8762437810945275E-2</v>
      </c>
      <c r="T10" s="52">
        <f t="shared" si="1"/>
        <v>-4.8595090361291712E-2</v>
      </c>
      <c r="U10" s="52">
        <f t="shared" si="1"/>
        <v>-0.14013351231723686</v>
      </c>
      <c r="V10" s="52">
        <f t="shared" si="1"/>
        <v>-0.11780833654628797</v>
      </c>
      <c r="W10" s="52">
        <f t="shared" si="1"/>
        <v>-0.31589368439349169</v>
      </c>
      <c r="X10" s="52">
        <f t="shared" si="1"/>
        <v>-0.17598835185009337</v>
      </c>
      <c r="Y10" s="52">
        <f t="shared" si="1"/>
        <v>-6.0725557962919924E-2</v>
      </c>
      <c r="Z10" s="52">
        <f t="shared" si="1"/>
        <v>-7.8099904894470662E-2</v>
      </c>
      <c r="AA10" s="52">
        <f t="shared" si="1"/>
        <v>-0.22924004537042564</v>
      </c>
      <c r="AB10" s="52">
        <f t="shared" si="1"/>
        <v>-0.20733022864209225</v>
      </c>
      <c r="AC10" s="52">
        <f t="shared" si="1"/>
        <v>-0.21755736262461201</v>
      </c>
      <c r="AD10" s="52">
        <f t="shared" si="1"/>
        <v>-0.25171650428704673</v>
      </c>
      <c r="AE10" s="52">
        <f t="shared" si="1"/>
        <v>-0.12320079126141993</v>
      </c>
      <c r="AF10" s="52">
        <f t="shared" si="1"/>
        <v>-0.1374455416419417</v>
      </c>
      <c r="AG10" s="52">
        <f t="shared" si="1"/>
        <v>-0.17594496283409772</v>
      </c>
      <c r="AH10" s="52">
        <f t="shared" si="1"/>
        <v>-0.14364088817148513</v>
      </c>
      <c r="AI10" s="52">
        <f t="shared" si="1"/>
        <v>-0.20914039540475554</v>
      </c>
      <c r="AJ10" s="52">
        <f t="shared" si="1"/>
        <v>-8.8622308418477111E-2</v>
      </c>
      <c r="AK10" s="119"/>
      <c r="AL10" s="122">
        <f>((AL9-AL8)/AL8)*100</f>
        <v>-0.11749769140058441</v>
      </c>
    </row>
    <row r="11" spans="2:112">
      <c r="B11" s="40"/>
      <c r="C11" s="41" t="s">
        <v>14</v>
      </c>
      <c r="D11" s="42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119"/>
      <c r="AL11" s="120" t="s">
        <v>8</v>
      </c>
      <c r="AQ11" s="18">
        <f>AQ9/AQ8*100</f>
        <v>101.83978841536614</v>
      </c>
      <c r="AR11" s="119">
        <f>-AR9/4</f>
        <v>-245.20700000000033</v>
      </c>
    </row>
    <row r="12" spans="2:112">
      <c r="B12" s="40"/>
      <c r="C12" s="45" t="s">
        <v>15</v>
      </c>
      <c r="D12" s="46"/>
      <c r="E12" s="47" t="s">
        <v>10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526942</v>
      </c>
      <c r="O12" s="48">
        <v>0</v>
      </c>
      <c r="P12" s="48">
        <v>435375</v>
      </c>
      <c r="Q12" s="48">
        <v>0</v>
      </c>
      <c r="R12" s="48">
        <v>0</v>
      </c>
      <c r="S12" s="48">
        <v>0</v>
      </c>
      <c r="T12" s="48">
        <v>0</v>
      </c>
      <c r="U12" s="48">
        <v>484982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415315</v>
      </c>
      <c r="AC12" s="48">
        <v>0</v>
      </c>
      <c r="AD12" s="48">
        <v>0</v>
      </c>
      <c r="AE12" s="48">
        <v>0</v>
      </c>
      <c r="AF12" s="48">
        <v>0</v>
      </c>
      <c r="AG12" s="48">
        <v>593176</v>
      </c>
      <c r="AH12" s="48">
        <v>0</v>
      </c>
      <c r="AI12" s="48">
        <v>461008</v>
      </c>
      <c r="AJ12" s="48">
        <v>0</v>
      </c>
      <c r="AK12" s="119"/>
      <c r="AL12" s="121">
        <f t="shared" si="0"/>
        <v>2916798</v>
      </c>
      <c r="AZ12" s="33"/>
      <c r="DH12" s="119"/>
    </row>
    <row r="13" spans="2:112">
      <c r="B13" s="40"/>
      <c r="C13" s="45" t="s">
        <v>16</v>
      </c>
      <c r="D13" s="46"/>
      <c r="E13" s="47" t="s">
        <v>10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526748</v>
      </c>
      <c r="O13" s="48">
        <v>0</v>
      </c>
      <c r="P13" s="48">
        <v>435017</v>
      </c>
      <c r="Q13" s="48">
        <v>0</v>
      </c>
      <c r="R13" s="48">
        <v>0</v>
      </c>
      <c r="S13" s="48">
        <v>0</v>
      </c>
      <c r="T13" s="48">
        <v>0</v>
      </c>
      <c r="U13" s="48">
        <v>484533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414873</v>
      </c>
      <c r="AC13" s="48">
        <v>0</v>
      </c>
      <c r="AD13" s="48">
        <v>0</v>
      </c>
      <c r="AE13" s="48">
        <v>0</v>
      </c>
      <c r="AF13" s="48">
        <v>0</v>
      </c>
      <c r="AG13" s="48">
        <v>593058</v>
      </c>
      <c r="AH13" s="48">
        <v>0</v>
      </c>
      <c r="AI13" s="48">
        <v>460618</v>
      </c>
      <c r="AJ13" s="48">
        <v>0</v>
      </c>
      <c r="AK13" s="119"/>
      <c r="AL13" s="121">
        <f t="shared" si="0"/>
        <v>2914847</v>
      </c>
      <c r="AZ13" s="33"/>
      <c r="DH13" s="119"/>
    </row>
    <row r="14" spans="2:112">
      <c r="B14" s="40"/>
      <c r="C14" s="49" t="s">
        <v>17</v>
      </c>
      <c r="D14" s="50"/>
      <c r="E14" s="51" t="s">
        <v>13</v>
      </c>
      <c r="F14" s="52" t="e">
        <f t="shared" ref="F14:AJ14" si="2">((F13-F12)/F12)*100</f>
        <v>#DIV/0!</v>
      </c>
      <c r="G14" s="52" t="e">
        <f t="shared" si="2"/>
        <v>#DIV/0!</v>
      </c>
      <c r="H14" s="52" t="e">
        <f t="shared" si="2"/>
        <v>#DIV/0!</v>
      </c>
      <c r="I14" s="52" t="e">
        <f t="shared" si="2"/>
        <v>#DIV/0!</v>
      </c>
      <c r="J14" s="52" t="e">
        <f t="shared" si="2"/>
        <v>#DIV/0!</v>
      </c>
      <c r="K14" s="52" t="e">
        <f t="shared" si="2"/>
        <v>#DIV/0!</v>
      </c>
      <c r="L14" s="52" t="e">
        <f t="shared" si="2"/>
        <v>#DIV/0!</v>
      </c>
      <c r="M14" s="52" t="e">
        <f t="shared" si="2"/>
        <v>#DIV/0!</v>
      </c>
      <c r="N14" s="52">
        <f t="shared" si="2"/>
        <v>-3.6816196089892249E-2</v>
      </c>
      <c r="O14" s="52" t="e">
        <f t="shared" si="2"/>
        <v>#DIV/0!</v>
      </c>
      <c r="P14" s="52">
        <f t="shared" si="2"/>
        <v>-8.2227964398507034E-2</v>
      </c>
      <c r="Q14" s="52" t="e">
        <f t="shared" si="2"/>
        <v>#DIV/0!</v>
      </c>
      <c r="R14" s="52" t="e">
        <f t="shared" si="2"/>
        <v>#DIV/0!</v>
      </c>
      <c r="S14" s="52" t="e">
        <f t="shared" si="2"/>
        <v>#DIV/0!</v>
      </c>
      <c r="T14" s="52" t="e">
        <f t="shared" si="2"/>
        <v>#DIV/0!</v>
      </c>
      <c r="U14" s="52">
        <f t="shared" si="2"/>
        <v>-9.2580755574433696E-2</v>
      </c>
      <c r="V14" s="52" t="e">
        <f t="shared" si="2"/>
        <v>#DIV/0!</v>
      </c>
      <c r="W14" s="52" t="e">
        <f t="shared" si="2"/>
        <v>#DIV/0!</v>
      </c>
      <c r="X14" s="52" t="e">
        <f t="shared" si="2"/>
        <v>#DIV/0!</v>
      </c>
      <c r="Y14" s="52" t="e">
        <f t="shared" si="2"/>
        <v>#DIV/0!</v>
      </c>
      <c r="Z14" s="52" t="e">
        <f t="shared" si="2"/>
        <v>#DIV/0!</v>
      </c>
      <c r="AA14" s="52" t="e">
        <f t="shared" si="2"/>
        <v>#DIV/0!</v>
      </c>
      <c r="AB14" s="52">
        <f t="shared" si="2"/>
        <v>-0.10642524348988118</v>
      </c>
      <c r="AC14" s="52" t="e">
        <f t="shared" si="2"/>
        <v>#DIV/0!</v>
      </c>
      <c r="AD14" s="52" t="e">
        <f t="shared" si="2"/>
        <v>#DIV/0!</v>
      </c>
      <c r="AE14" s="52" t="e">
        <f t="shared" si="2"/>
        <v>#DIV/0!</v>
      </c>
      <c r="AF14" s="52" t="e">
        <f t="shared" si="2"/>
        <v>#DIV/0!</v>
      </c>
      <c r="AG14" s="52">
        <f t="shared" si="2"/>
        <v>-1.9892915424764322E-2</v>
      </c>
      <c r="AH14" s="52" t="e">
        <f t="shared" si="2"/>
        <v>#DIV/0!</v>
      </c>
      <c r="AI14" s="52">
        <f t="shared" si="2"/>
        <v>-8.4597230416825736E-2</v>
      </c>
      <c r="AJ14" s="52" t="e">
        <f t="shared" si="2"/>
        <v>#DIV/0!</v>
      </c>
      <c r="AK14" s="119"/>
      <c r="AL14" s="122">
        <f>((AL13-AL12)/AL12)*100</f>
        <v>-6.6888416681580284E-2</v>
      </c>
    </row>
    <row r="15" spans="2:112">
      <c r="B15" s="40"/>
      <c r="C15" s="53" t="s">
        <v>18</v>
      </c>
      <c r="D15" s="46"/>
      <c r="E15" s="47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119"/>
      <c r="AL15" s="123" t="s">
        <v>19</v>
      </c>
    </row>
    <row r="16" spans="2:112">
      <c r="B16" s="40"/>
      <c r="C16" s="45" t="s">
        <v>9</v>
      </c>
      <c r="D16" s="46"/>
      <c r="E16" s="47" t="s">
        <v>10</v>
      </c>
      <c r="F16" s="48">
        <v>151160</v>
      </c>
      <c r="G16" s="48">
        <v>114510</v>
      </c>
      <c r="H16" s="48">
        <v>104720</v>
      </c>
      <c r="I16" s="48">
        <v>91300</v>
      </c>
      <c r="J16" s="48">
        <v>52900</v>
      </c>
      <c r="K16" s="48">
        <v>82110</v>
      </c>
      <c r="L16" s="48">
        <v>54380</v>
      </c>
      <c r="M16" s="48">
        <v>211990</v>
      </c>
      <c r="N16" s="48">
        <v>27070</v>
      </c>
      <c r="O16" s="48">
        <v>0</v>
      </c>
      <c r="P16" s="48">
        <v>72180</v>
      </c>
      <c r="Q16" s="48">
        <v>0</v>
      </c>
      <c r="R16" s="48">
        <v>0</v>
      </c>
      <c r="S16" s="48">
        <v>0</v>
      </c>
      <c r="T16" s="48">
        <v>0</v>
      </c>
      <c r="U16" s="48">
        <v>0</v>
      </c>
      <c r="V16" s="111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  <c r="AB16" s="48">
        <v>0</v>
      </c>
      <c r="AC16" s="48">
        <v>0</v>
      </c>
      <c r="AD16" s="48">
        <v>0</v>
      </c>
      <c r="AE16" s="48">
        <v>0</v>
      </c>
      <c r="AF16" s="48">
        <v>0</v>
      </c>
      <c r="AG16" s="48">
        <v>0</v>
      </c>
      <c r="AH16" s="48">
        <v>0</v>
      </c>
      <c r="AI16" s="48">
        <v>0</v>
      </c>
      <c r="AJ16" s="48">
        <v>0</v>
      </c>
      <c r="AK16" s="119"/>
      <c r="AL16" s="121">
        <f>SUM(F16:AJ16)</f>
        <v>962320</v>
      </c>
      <c r="AQ16" s="119"/>
      <c r="AZ16" s="119"/>
    </row>
    <row r="17" spans="1:15484">
      <c r="B17" s="40"/>
      <c r="C17" s="45" t="s">
        <v>11</v>
      </c>
      <c r="D17" s="46"/>
      <c r="E17" s="47" t="s">
        <v>10</v>
      </c>
      <c r="F17" s="48">
        <v>151070</v>
      </c>
      <c r="G17" s="48">
        <v>114510</v>
      </c>
      <c r="H17" s="48">
        <v>104780</v>
      </c>
      <c r="I17" s="48">
        <v>91250</v>
      </c>
      <c r="J17" s="48">
        <v>52880</v>
      </c>
      <c r="K17" s="48">
        <v>82070</v>
      </c>
      <c r="L17" s="48">
        <v>54340</v>
      </c>
      <c r="M17" s="48">
        <v>211740</v>
      </c>
      <c r="N17" s="48">
        <v>26900</v>
      </c>
      <c r="O17" s="48">
        <v>0</v>
      </c>
      <c r="P17" s="48">
        <v>72000</v>
      </c>
      <c r="Q17" s="48">
        <v>0</v>
      </c>
      <c r="R17" s="48">
        <v>0</v>
      </c>
      <c r="S17" s="48">
        <v>0</v>
      </c>
      <c r="T17" s="48"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  <c r="AB17" s="48">
        <v>0</v>
      </c>
      <c r="AC17" s="48">
        <v>0</v>
      </c>
      <c r="AD17" s="48">
        <v>0</v>
      </c>
      <c r="AE17" s="48">
        <v>0</v>
      </c>
      <c r="AF17" s="48">
        <v>0</v>
      </c>
      <c r="AG17" s="48">
        <v>0</v>
      </c>
      <c r="AH17" s="48">
        <v>0</v>
      </c>
      <c r="AI17" s="48">
        <v>0</v>
      </c>
      <c r="AJ17" s="48">
        <v>0</v>
      </c>
      <c r="AK17" s="119"/>
      <c r="AL17" s="121">
        <f>SUM(F17:AJ17)</f>
        <v>961540</v>
      </c>
      <c r="AQ17" s="119"/>
    </row>
    <row r="18" spans="1:15484">
      <c r="B18" s="40"/>
      <c r="C18" s="45" t="s">
        <v>12</v>
      </c>
      <c r="D18" s="46"/>
      <c r="E18" s="47" t="s">
        <v>13</v>
      </c>
      <c r="F18" s="54">
        <f t="shared" ref="F18:AJ18" si="3">((F17-F16)/F16)*100</f>
        <v>-5.9539560730351937E-2</v>
      </c>
      <c r="G18" s="54">
        <f t="shared" si="3"/>
        <v>0</v>
      </c>
      <c r="H18" s="54">
        <f t="shared" si="3"/>
        <v>5.7295645530939653E-2</v>
      </c>
      <c r="I18" s="54">
        <f t="shared" si="3"/>
        <v>-5.4764512595837894E-2</v>
      </c>
      <c r="J18" s="54">
        <f t="shared" si="3"/>
        <v>-3.780718336483932E-2</v>
      </c>
      <c r="K18" s="54">
        <f t="shared" si="3"/>
        <v>-4.8715138229204723E-2</v>
      </c>
      <c r="L18" s="54">
        <f t="shared" si="3"/>
        <v>-7.3556454578889305E-2</v>
      </c>
      <c r="M18" s="54">
        <f t="shared" si="3"/>
        <v>-0.11793009104203028</v>
      </c>
      <c r="N18" s="54">
        <f t="shared" si="3"/>
        <v>-0.6280014776505356</v>
      </c>
      <c r="O18" s="54" t="e">
        <f t="shared" si="3"/>
        <v>#DIV/0!</v>
      </c>
      <c r="P18" s="54">
        <f t="shared" si="3"/>
        <v>-0.24937655860349126</v>
      </c>
      <c r="Q18" s="54" t="e">
        <f t="shared" si="3"/>
        <v>#DIV/0!</v>
      </c>
      <c r="R18" s="54" t="e">
        <f t="shared" si="3"/>
        <v>#DIV/0!</v>
      </c>
      <c r="S18" s="54" t="e">
        <f t="shared" si="3"/>
        <v>#DIV/0!</v>
      </c>
      <c r="T18" s="54" t="e">
        <f t="shared" si="3"/>
        <v>#DIV/0!</v>
      </c>
      <c r="U18" s="54" t="e">
        <f t="shared" si="3"/>
        <v>#DIV/0!</v>
      </c>
      <c r="V18" s="54" t="e">
        <f t="shared" si="3"/>
        <v>#DIV/0!</v>
      </c>
      <c r="W18" s="54" t="e">
        <f t="shared" si="3"/>
        <v>#DIV/0!</v>
      </c>
      <c r="X18" s="54" t="e">
        <f t="shared" si="3"/>
        <v>#DIV/0!</v>
      </c>
      <c r="Y18" s="54" t="e">
        <f t="shared" si="3"/>
        <v>#DIV/0!</v>
      </c>
      <c r="Z18" s="54" t="e">
        <f t="shared" si="3"/>
        <v>#DIV/0!</v>
      </c>
      <c r="AA18" s="54" t="e">
        <f t="shared" si="3"/>
        <v>#DIV/0!</v>
      </c>
      <c r="AB18" s="54" t="e">
        <f t="shared" si="3"/>
        <v>#DIV/0!</v>
      </c>
      <c r="AC18" s="54" t="e">
        <f t="shared" si="3"/>
        <v>#DIV/0!</v>
      </c>
      <c r="AD18" s="54" t="e">
        <f t="shared" si="3"/>
        <v>#DIV/0!</v>
      </c>
      <c r="AE18" s="54" t="e">
        <f t="shared" si="3"/>
        <v>#DIV/0!</v>
      </c>
      <c r="AF18" s="54" t="e">
        <f t="shared" si="3"/>
        <v>#DIV/0!</v>
      </c>
      <c r="AG18" s="54" t="e">
        <f t="shared" si="3"/>
        <v>#DIV/0!</v>
      </c>
      <c r="AH18" s="54" t="e">
        <f t="shared" si="3"/>
        <v>#DIV/0!</v>
      </c>
      <c r="AI18" s="54" t="e">
        <f t="shared" si="3"/>
        <v>#DIV/0!</v>
      </c>
      <c r="AJ18" s="54" t="e">
        <f t="shared" si="3"/>
        <v>#DIV/0!</v>
      </c>
      <c r="AK18" s="124"/>
      <c r="AL18" s="125">
        <f>((AL17-AL16)/AL16)*100</f>
        <v>-8.1054119211904557E-2</v>
      </c>
    </row>
    <row r="19" spans="1:15484">
      <c r="B19" s="40"/>
      <c r="C19" s="55" t="s">
        <v>20</v>
      </c>
      <c r="D19" s="56"/>
      <c r="E19" s="57" t="s">
        <v>10</v>
      </c>
      <c r="F19" s="58">
        <f t="shared" ref="F19:AJ19" si="4">SUM(F9,F13,F17)</f>
        <v>2226350</v>
      </c>
      <c r="G19" s="58">
        <f t="shared" si="4"/>
        <v>1954640</v>
      </c>
      <c r="H19" s="58">
        <f t="shared" si="4"/>
        <v>1074420</v>
      </c>
      <c r="I19" s="58">
        <f t="shared" si="4"/>
        <v>1655700</v>
      </c>
      <c r="J19" s="58">
        <f t="shared" si="4"/>
        <v>1652460</v>
      </c>
      <c r="K19" s="58">
        <f t="shared" si="4"/>
        <v>1120110</v>
      </c>
      <c r="L19" s="58">
        <f t="shared" si="4"/>
        <v>1150970</v>
      </c>
      <c r="M19" s="58">
        <f t="shared" si="4"/>
        <v>1522430</v>
      </c>
      <c r="N19" s="58">
        <f t="shared" si="4"/>
        <v>2299948</v>
      </c>
      <c r="O19" s="58">
        <f t="shared" si="4"/>
        <v>1109590</v>
      </c>
      <c r="P19" s="58">
        <f t="shared" si="4"/>
        <v>1324247</v>
      </c>
      <c r="Q19" s="58">
        <f t="shared" si="4"/>
        <v>781880</v>
      </c>
      <c r="R19" s="58">
        <f t="shared" si="4"/>
        <v>1559900</v>
      </c>
      <c r="S19" s="58">
        <f t="shared" si="4"/>
        <v>1286030</v>
      </c>
      <c r="T19" s="58">
        <f t="shared" si="4"/>
        <v>1953980</v>
      </c>
      <c r="U19" s="58">
        <f t="shared" si="4"/>
        <v>2686483</v>
      </c>
      <c r="V19" s="58">
        <f t="shared" si="4"/>
        <v>932620</v>
      </c>
      <c r="W19" s="58">
        <f t="shared" si="4"/>
        <v>1319050</v>
      </c>
      <c r="X19" s="58">
        <f t="shared" si="4"/>
        <v>1576870</v>
      </c>
      <c r="Y19" s="58">
        <f t="shared" si="4"/>
        <v>1333060</v>
      </c>
      <c r="Z19" s="58">
        <f t="shared" si="4"/>
        <v>1586470</v>
      </c>
      <c r="AA19" s="58">
        <f t="shared" si="4"/>
        <v>1671260</v>
      </c>
      <c r="AB19" s="58">
        <f t="shared" si="4"/>
        <v>2311283</v>
      </c>
      <c r="AC19" s="58">
        <f t="shared" si="4"/>
        <v>1031960</v>
      </c>
      <c r="AD19" s="58">
        <f t="shared" si="4"/>
        <v>887650</v>
      </c>
      <c r="AE19" s="58">
        <f t="shared" si="4"/>
        <v>1151170</v>
      </c>
      <c r="AF19" s="58">
        <f t="shared" si="4"/>
        <v>1968980</v>
      </c>
      <c r="AG19" s="58">
        <f t="shared" si="4"/>
        <v>3117808</v>
      </c>
      <c r="AH19" s="58">
        <f t="shared" si="4"/>
        <v>2078590</v>
      </c>
      <c r="AI19" s="58">
        <f t="shared" si="4"/>
        <v>2851128</v>
      </c>
      <c r="AJ19" s="58">
        <f t="shared" si="4"/>
        <v>1555790</v>
      </c>
      <c r="AK19" s="119"/>
      <c r="AL19" s="126">
        <f>SUM(AL9,AL13,AL17)</f>
        <v>50732827</v>
      </c>
      <c r="AM19" s="119"/>
      <c r="AN19" s="119"/>
      <c r="AO19" s="33">
        <f>AL19/1000/AL22</f>
        <v>1636.5428064516129</v>
      </c>
      <c r="DT19" s="119"/>
    </row>
    <row r="20" spans="1:15484">
      <c r="B20" s="59">
        <v>2</v>
      </c>
      <c r="C20" s="41" t="s">
        <v>21</v>
      </c>
      <c r="D20" s="60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115"/>
      <c r="AD20" s="61"/>
      <c r="AE20" s="61"/>
      <c r="AF20" s="61"/>
      <c r="AG20" s="61"/>
      <c r="AH20" s="115"/>
      <c r="AI20" s="115"/>
      <c r="AJ20" s="115"/>
      <c r="AK20" s="119"/>
      <c r="AL20" s="241" t="s">
        <v>22</v>
      </c>
    </row>
    <row r="21" spans="1:15484">
      <c r="B21" s="62"/>
      <c r="C21" s="63" t="s">
        <v>23</v>
      </c>
      <c r="D21" s="42"/>
      <c r="E21" s="43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112"/>
      <c r="U21" s="113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119"/>
      <c r="AL21" s="127" t="s">
        <v>23</v>
      </c>
      <c r="AZ21" s="33"/>
    </row>
    <row r="22" spans="1:15484">
      <c r="B22" s="62"/>
      <c r="C22" s="45" t="s">
        <v>24</v>
      </c>
      <c r="D22" s="46"/>
      <c r="E22" s="47" t="s">
        <v>25</v>
      </c>
      <c r="F22" s="65">
        <v>1</v>
      </c>
      <c r="G22" s="65">
        <v>1</v>
      </c>
      <c r="H22" s="65">
        <v>1</v>
      </c>
      <c r="I22" s="65">
        <v>1</v>
      </c>
      <c r="J22" s="65">
        <v>1</v>
      </c>
      <c r="K22" s="65">
        <v>1</v>
      </c>
      <c r="L22" s="65">
        <v>1</v>
      </c>
      <c r="M22" s="65">
        <v>1</v>
      </c>
      <c r="N22" s="65">
        <v>1</v>
      </c>
      <c r="O22" s="65">
        <v>1</v>
      </c>
      <c r="P22" s="65">
        <v>1</v>
      </c>
      <c r="Q22" s="65">
        <v>1</v>
      </c>
      <c r="R22" s="65">
        <v>1</v>
      </c>
      <c r="S22" s="65">
        <v>1</v>
      </c>
      <c r="T22" s="65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>
        <v>1</v>
      </c>
      <c r="AH22" s="65">
        <v>1</v>
      </c>
      <c r="AI22" s="65">
        <v>1</v>
      </c>
      <c r="AJ22" s="65">
        <v>1</v>
      </c>
      <c r="AK22" s="119"/>
      <c r="AL22" s="128">
        <f>SUM(F22:AJ22)</f>
        <v>31</v>
      </c>
      <c r="AM22" s="33"/>
      <c r="AN22" s="33"/>
      <c r="AQ22" s="119">
        <f>SUM(Z22:AF22)</f>
        <v>7</v>
      </c>
      <c r="AZ22" s="119"/>
    </row>
    <row r="23" spans="1:15484" s="1" customFormat="1">
      <c r="B23" s="66"/>
      <c r="C23" s="67" t="s">
        <v>26</v>
      </c>
      <c r="D23" s="68">
        <v>2000000</v>
      </c>
      <c r="E23" s="69" t="s">
        <v>10</v>
      </c>
      <c r="F23" s="70">
        <v>2001307</v>
      </c>
      <c r="G23" s="70">
        <v>2005167</v>
      </c>
      <c r="H23" s="70">
        <v>2025879</v>
      </c>
      <c r="I23" s="70">
        <v>1960521</v>
      </c>
      <c r="J23" s="70">
        <v>1818764</v>
      </c>
      <c r="K23" s="70">
        <v>1859483</v>
      </c>
      <c r="L23" s="70">
        <v>1856244</v>
      </c>
      <c r="M23" s="70">
        <v>1776668</v>
      </c>
      <c r="N23" s="70">
        <v>1807283</v>
      </c>
      <c r="O23" s="70">
        <v>1905348</v>
      </c>
      <c r="P23" s="70">
        <v>1607581</v>
      </c>
      <c r="Q23" s="70">
        <v>1694381</v>
      </c>
      <c r="R23" s="70">
        <v>1593462</v>
      </c>
      <c r="S23" s="70">
        <v>1741474</v>
      </c>
      <c r="T23" s="70">
        <v>1926030</v>
      </c>
      <c r="U23" s="70">
        <v>1816346</v>
      </c>
      <c r="V23" s="70">
        <v>1687607</v>
      </c>
      <c r="W23" s="70">
        <v>1623216</v>
      </c>
      <c r="X23" s="70">
        <v>1553217</v>
      </c>
      <c r="Y23" s="70">
        <v>1524267</v>
      </c>
      <c r="Z23" s="70">
        <v>1609980</v>
      </c>
      <c r="AA23" s="70">
        <v>1788414</v>
      </c>
      <c r="AB23" s="70">
        <v>1717539</v>
      </c>
      <c r="AC23" s="70">
        <v>1782756</v>
      </c>
      <c r="AD23" s="70">
        <v>1509803</v>
      </c>
      <c r="AE23" s="70">
        <v>1294598</v>
      </c>
      <c r="AF23" s="70">
        <v>1442757</v>
      </c>
      <c r="AG23" s="70">
        <v>1677499</v>
      </c>
      <c r="AH23" s="70">
        <v>1853256</v>
      </c>
      <c r="AI23" s="70">
        <v>1919791</v>
      </c>
      <c r="AJ23" s="70">
        <v>1912190</v>
      </c>
      <c r="AK23" s="129"/>
      <c r="AL23" s="128">
        <f>SUM(F23:AJ23)</f>
        <v>54292828</v>
      </c>
      <c r="AM23" s="130"/>
      <c r="AN23" s="130">
        <f>AL23/1000</f>
        <v>54292.828000000001</v>
      </c>
      <c r="AO23" s="130">
        <f>AL23/1000/AL22</f>
        <v>1751.3815483870969</v>
      </c>
      <c r="AQ23" s="119">
        <f>SUM(Z23:AF23)</f>
        <v>11145847</v>
      </c>
      <c r="AR23" s="153">
        <f>AQ23/1000</f>
        <v>11145.847</v>
      </c>
      <c r="AZ23" s="130">
        <v>53312</v>
      </c>
      <c r="DF23" s="153"/>
      <c r="DJ23" s="153"/>
      <c r="DQ23" s="153"/>
      <c r="DT23" s="153"/>
      <c r="GU23" s="153">
        <f>SUM(T23:Z23)</f>
        <v>11740663</v>
      </c>
      <c r="IV23" s="130">
        <f>AVERAGE(AE23:AG23)</f>
        <v>1471618</v>
      </c>
    </row>
    <row r="24" spans="1:15484" s="1" customFormat="1" hidden="1">
      <c r="B24" s="66"/>
      <c r="C24" s="67" t="s">
        <v>27</v>
      </c>
      <c r="D24" s="68"/>
      <c r="E24" s="69" t="s">
        <v>10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129"/>
      <c r="AL24" s="121">
        <f>SUM(F24:AI24)</f>
        <v>0</v>
      </c>
      <c r="AM24" s="130"/>
      <c r="AN24" s="130"/>
      <c r="AO24" s="130"/>
      <c r="AQ24" s="119">
        <f>SUM(L24:R24)</f>
        <v>0</v>
      </c>
      <c r="AZ24" s="130"/>
    </row>
    <row r="25" spans="1:15484" s="2" customFormat="1">
      <c r="A25" s="21"/>
      <c r="B25" s="71"/>
      <c r="C25" s="242" t="s">
        <v>28</v>
      </c>
      <c r="D25" s="72">
        <v>5</v>
      </c>
      <c r="E25" s="73" t="s">
        <v>13</v>
      </c>
      <c r="F25" s="74">
        <v>4.45</v>
      </c>
      <c r="G25" s="74">
        <v>4.41</v>
      </c>
      <c r="H25" s="74">
        <v>4.62</v>
      </c>
      <c r="I25" s="74">
        <v>4.33</v>
      </c>
      <c r="J25" s="74">
        <v>4.24</v>
      </c>
      <c r="K25" s="74">
        <v>4.51</v>
      </c>
      <c r="L25" s="74">
        <v>4.4800000000000004</v>
      </c>
      <c r="M25" s="74">
        <v>4.4400000000000004</v>
      </c>
      <c r="N25" s="74">
        <v>4.34</v>
      </c>
      <c r="O25" s="74">
        <v>4.34</v>
      </c>
      <c r="P25" s="74">
        <v>4.3899999999999997</v>
      </c>
      <c r="Q25" s="74">
        <v>4.38</v>
      </c>
      <c r="R25" s="74">
        <v>4.3</v>
      </c>
      <c r="S25" s="74">
        <v>4.17</v>
      </c>
      <c r="T25" s="74">
        <v>4.09</v>
      </c>
      <c r="U25" s="74">
        <v>4.13</v>
      </c>
      <c r="V25" s="74">
        <v>4.0199999999999996</v>
      </c>
      <c r="W25" s="74">
        <v>4.3099999999999996</v>
      </c>
      <c r="X25" s="74">
        <v>3.99</v>
      </c>
      <c r="Y25" s="74">
        <v>3.97</v>
      </c>
      <c r="Z25" s="74">
        <v>3.98</v>
      </c>
      <c r="AA25" s="74">
        <v>4.28</v>
      </c>
      <c r="AB25" s="74">
        <v>3.95</v>
      </c>
      <c r="AC25" s="74">
        <v>3.98</v>
      </c>
      <c r="AD25" s="74">
        <v>4.49</v>
      </c>
      <c r="AE25" s="74">
        <v>4.33</v>
      </c>
      <c r="AF25" s="74">
        <v>4.0199999999999996</v>
      </c>
      <c r="AG25" s="74">
        <v>3.99</v>
      </c>
      <c r="AH25" s="74">
        <v>4.07</v>
      </c>
      <c r="AI25" s="74">
        <v>4.01</v>
      </c>
      <c r="AJ25" s="74">
        <v>4.04</v>
      </c>
      <c r="AL25" s="131">
        <f>AVERAGE(F25:AJ25)</f>
        <v>4.2274193548387098</v>
      </c>
      <c r="AM25" s="132"/>
      <c r="AN25" s="132">
        <f>AN23/AL22</f>
        <v>1751.3815483870969</v>
      </c>
      <c r="AO25" s="132"/>
      <c r="AP25" s="21"/>
      <c r="AQ25" s="18">
        <f t="shared" ref="AQ25:AQ27" si="5">AVERAGE(Y25:AE25)</f>
        <v>4.1399999999999997</v>
      </c>
      <c r="AR25" s="154">
        <f>AR23/AQ22</f>
        <v>1592.2638571428572</v>
      </c>
      <c r="AS25" s="133"/>
      <c r="AT25" s="21"/>
      <c r="AU25" s="21"/>
      <c r="AV25" s="21"/>
      <c r="AW25" s="21"/>
      <c r="AX25" s="21"/>
      <c r="AY25" s="21"/>
      <c r="AZ25" s="132">
        <f>AL23/1000</f>
        <v>54292.828000000001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154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  <c r="ALP25" s="21"/>
      <c r="ALQ25" s="21"/>
      <c r="ALR25" s="21"/>
      <c r="ALS25" s="21"/>
      <c r="ALT25" s="21"/>
      <c r="ALU25" s="21"/>
      <c r="ALV25" s="21"/>
      <c r="ALW25" s="21"/>
      <c r="ALX25" s="21"/>
      <c r="ALY25" s="21"/>
      <c r="ALZ25" s="21"/>
      <c r="AMA25" s="21"/>
      <c r="AMB25" s="21"/>
      <c r="AMC25" s="21"/>
      <c r="AMD25" s="21"/>
      <c r="AME25" s="21"/>
      <c r="AMF25" s="21"/>
      <c r="AMG25" s="21"/>
      <c r="AMH25" s="21"/>
      <c r="AMI25" s="21"/>
      <c r="AMJ25" s="21"/>
      <c r="AMK25" s="21"/>
      <c r="AML25" s="21"/>
      <c r="AMM25" s="21"/>
      <c r="AMN25" s="21"/>
      <c r="AMO25" s="21"/>
      <c r="AMP25" s="21"/>
      <c r="AMQ25" s="21"/>
      <c r="AMR25" s="21"/>
      <c r="AMS25" s="21"/>
      <c r="AMT25" s="21"/>
      <c r="AMU25" s="21"/>
      <c r="AMV25" s="21"/>
      <c r="AMW25" s="21"/>
      <c r="AMX25" s="21"/>
      <c r="AMY25" s="21"/>
      <c r="AMZ25" s="21"/>
      <c r="ANA25" s="21"/>
      <c r="ANB25" s="21"/>
      <c r="ANC25" s="21"/>
      <c r="AND25" s="21"/>
      <c r="ANE25" s="21"/>
      <c r="ANF25" s="21"/>
      <c r="ANG25" s="21"/>
      <c r="ANH25" s="21"/>
      <c r="ANI25" s="21"/>
      <c r="ANJ25" s="21"/>
      <c r="ANK25" s="21"/>
      <c r="ANL25" s="21"/>
      <c r="ANM25" s="21"/>
      <c r="ANN25" s="21"/>
      <c r="ANO25" s="21"/>
      <c r="ANP25" s="21"/>
      <c r="ANQ25" s="21"/>
      <c r="ANR25" s="21"/>
      <c r="ANS25" s="21"/>
      <c r="ANT25" s="21"/>
      <c r="ANU25" s="21"/>
      <c r="ANV25" s="21"/>
      <c r="ANW25" s="21"/>
      <c r="ANX25" s="21"/>
      <c r="ANY25" s="21"/>
      <c r="ANZ25" s="21"/>
      <c r="AOA25" s="21"/>
      <c r="AOB25" s="21"/>
      <c r="AOC25" s="21"/>
      <c r="AOD25" s="21"/>
      <c r="AOE25" s="21"/>
      <c r="AOF25" s="21"/>
      <c r="AOG25" s="21"/>
      <c r="AOH25" s="21"/>
      <c r="AOI25" s="21"/>
      <c r="AOJ25" s="21"/>
      <c r="AOK25" s="21"/>
      <c r="AOL25" s="21"/>
      <c r="AOM25" s="21"/>
      <c r="AON25" s="21"/>
      <c r="AOO25" s="21"/>
      <c r="AOP25" s="21"/>
      <c r="AOQ25" s="21"/>
      <c r="AOR25" s="21"/>
      <c r="AOS25" s="21"/>
      <c r="AOT25" s="21"/>
      <c r="AOU25" s="21"/>
      <c r="AOV25" s="21"/>
      <c r="AOW25" s="21"/>
      <c r="AOX25" s="21"/>
      <c r="AOY25" s="21"/>
      <c r="AOZ25" s="21"/>
      <c r="APA25" s="21"/>
      <c r="APB25" s="21"/>
      <c r="APC25" s="21"/>
      <c r="APD25" s="21"/>
      <c r="APE25" s="21"/>
      <c r="APF25" s="21"/>
      <c r="APG25" s="21"/>
      <c r="APH25" s="21"/>
      <c r="API25" s="21"/>
      <c r="APJ25" s="21"/>
      <c r="APK25" s="21"/>
      <c r="APL25" s="21"/>
      <c r="APM25" s="21"/>
      <c r="APN25" s="21"/>
      <c r="APO25" s="21"/>
      <c r="APP25" s="21"/>
      <c r="APQ25" s="21"/>
      <c r="APR25" s="21"/>
      <c r="APS25" s="21"/>
      <c r="APT25" s="21"/>
      <c r="APU25" s="21"/>
      <c r="APV25" s="21"/>
      <c r="APW25" s="21"/>
      <c r="APX25" s="21"/>
      <c r="APY25" s="21"/>
      <c r="APZ25" s="21"/>
      <c r="AQA25" s="21"/>
      <c r="AQB25" s="21"/>
      <c r="AQC25" s="21"/>
      <c r="AQD25" s="21"/>
      <c r="AQE25" s="21"/>
      <c r="AQF25" s="21"/>
      <c r="AQG25" s="21"/>
      <c r="AQH25" s="21"/>
      <c r="AQI25" s="21"/>
      <c r="AQJ25" s="21"/>
      <c r="AQK25" s="21"/>
      <c r="AQL25" s="21"/>
      <c r="AQM25" s="21"/>
      <c r="AQN25" s="21"/>
      <c r="AQO25" s="21"/>
      <c r="AQP25" s="21"/>
      <c r="AQQ25" s="21"/>
      <c r="AQR25" s="21"/>
      <c r="AQS25" s="21"/>
      <c r="AQT25" s="21"/>
      <c r="AQU25" s="21"/>
      <c r="AQV25" s="21"/>
      <c r="AQW25" s="21"/>
      <c r="AQX25" s="21"/>
      <c r="AQY25" s="21"/>
      <c r="AQZ25" s="21"/>
      <c r="ARA25" s="21"/>
      <c r="ARB25" s="21"/>
      <c r="ARC25" s="21"/>
      <c r="ARD25" s="21"/>
      <c r="ARE25" s="21"/>
      <c r="ARF25" s="21"/>
      <c r="ARG25" s="21"/>
      <c r="ARH25" s="21"/>
      <c r="ARI25" s="21"/>
      <c r="ARJ25" s="21"/>
      <c r="ARK25" s="21"/>
      <c r="ARL25" s="21"/>
      <c r="ARM25" s="21"/>
      <c r="ARN25" s="21"/>
      <c r="ARO25" s="21"/>
      <c r="ARP25" s="21"/>
      <c r="ARQ25" s="21"/>
      <c r="ARR25" s="21"/>
      <c r="ARS25" s="21"/>
      <c r="ART25" s="21"/>
      <c r="ARU25" s="21"/>
      <c r="ARV25" s="21"/>
      <c r="ARW25" s="21"/>
      <c r="ARX25" s="21"/>
      <c r="ARY25" s="21"/>
      <c r="ARZ25" s="21"/>
      <c r="ASA25" s="21"/>
      <c r="ASB25" s="21"/>
      <c r="ASC25" s="21"/>
      <c r="ASD25" s="21"/>
      <c r="ASE25" s="21"/>
      <c r="ASF25" s="21"/>
      <c r="ASG25" s="21"/>
      <c r="ASH25" s="21"/>
      <c r="ASI25" s="21"/>
      <c r="ASJ25" s="21"/>
      <c r="ASK25" s="21"/>
      <c r="ASL25" s="21"/>
      <c r="ASM25" s="21"/>
      <c r="ASN25" s="21"/>
      <c r="ASO25" s="21"/>
      <c r="ASP25" s="21"/>
      <c r="ASQ25" s="21"/>
      <c r="ASR25" s="21"/>
      <c r="ASS25" s="21"/>
      <c r="AST25" s="21"/>
      <c r="ASU25" s="21"/>
      <c r="ASV25" s="21"/>
      <c r="ASW25" s="21"/>
      <c r="ASX25" s="21"/>
      <c r="ASY25" s="21"/>
      <c r="ASZ25" s="21"/>
      <c r="ATA25" s="21"/>
      <c r="ATB25" s="21"/>
      <c r="ATC25" s="21"/>
      <c r="ATD25" s="21"/>
      <c r="ATE25" s="21"/>
      <c r="ATF25" s="21"/>
      <c r="ATG25" s="21"/>
      <c r="ATH25" s="21"/>
      <c r="ATI25" s="21"/>
      <c r="ATJ25" s="21"/>
      <c r="ATK25" s="21"/>
      <c r="ATL25" s="21"/>
      <c r="ATM25" s="21"/>
      <c r="ATN25" s="21"/>
      <c r="ATO25" s="21"/>
      <c r="ATP25" s="21"/>
      <c r="ATQ25" s="21"/>
      <c r="ATR25" s="21"/>
      <c r="ATS25" s="21"/>
      <c r="ATT25" s="21"/>
      <c r="ATU25" s="21"/>
      <c r="ATV25" s="21"/>
      <c r="ATW25" s="21"/>
      <c r="ATX25" s="21"/>
      <c r="ATY25" s="21"/>
      <c r="ATZ25" s="21"/>
      <c r="AUA25" s="21"/>
      <c r="AUB25" s="21"/>
      <c r="AUC25" s="21"/>
      <c r="AUD25" s="21"/>
      <c r="AUE25" s="21"/>
      <c r="AUF25" s="21"/>
      <c r="AUG25" s="21"/>
      <c r="AUH25" s="21"/>
      <c r="AUI25" s="21"/>
      <c r="AUJ25" s="21"/>
      <c r="AUK25" s="21"/>
      <c r="AUL25" s="21"/>
      <c r="AUM25" s="21"/>
      <c r="AUN25" s="21"/>
      <c r="AUO25" s="21"/>
      <c r="AUP25" s="21"/>
      <c r="AUQ25" s="21"/>
      <c r="AUR25" s="21"/>
      <c r="AUS25" s="21"/>
      <c r="AUT25" s="21"/>
      <c r="AUU25" s="21"/>
      <c r="AUV25" s="21"/>
      <c r="AUW25" s="21"/>
      <c r="AUX25" s="21"/>
      <c r="AUY25" s="21"/>
      <c r="AUZ25" s="21"/>
      <c r="AVA25" s="21"/>
      <c r="AVB25" s="21"/>
      <c r="AVC25" s="21"/>
      <c r="AVD25" s="21"/>
      <c r="AVE25" s="21"/>
      <c r="AVF25" s="21"/>
      <c r="AVG25" s="21"/>
      <c r="AVH25" s="21"/>
      <c r="AVI25" s="21"/>
      <c r="AVJ25" s="21"/>
      <c r="AVK25" s="21"/>
      <c r="AVL25" s="21"/>
      <c r="AVM25" s="21"/>
      <c r="AVN25" s="21"/>
      <c r="AVO25" s="21"/>
      <c r="AVP25" s="21"/>
      <c r="AVQ25" s="21"/>
      <c r="AVR25" s="21"/>
      <c r="AVS25" s="21"/>
      <c r="AVT25" s="21"/>
      <c r="AVU25" s="21"/>
      <c r="AVV25" s="21"/>
      <c r="AVW25" s="21"/>
      <c r="AVX25" s="21"/>
      <c r="AVY25" s="21"/>
      <c r="AVZ25" s="21"/>
      <c r="AWA25" s="21"/>
      <c r="AWB25" s="21"/>
      <c r="AWC25" s="21"/>
      <c r="AWD25" s="21"/>
      <c r="AWE25" s="21"/>
      <c r="AWF25" s="21"/>
      <c r="AWG25" s="21"/>
      <c r="AWH25" s="21"/>
      <c r="AWI25" s="21"/>
      <c r="AWJ25" s="21"/>
      <c r="AWK25" s="21"/>
      <c r="AWL25" s="21"/>
      <c r="AWM25" s="21"/>
      <c r="AWN25" s="21"/>
      <c r="AWO25" s="21"/>
      <c r="AWP25" s="21"/>
      <c r="AWQ25" s="21"/>
      <c r="AWR25" s="21"/>
      <c r="AWS25" s="21"/>
      <c r="AWT25" s="21"/>
      <c r="AWU25" s="21"/>
      <c r="AWV25" s="21"/>
      <c r="AWW25" s="21"/>
      <c r="AWX25" s="21"/>
      <c r="AWY25" s="21"/>
      <c r="AWZ25" s="21"/>
      <c r="AXA25" s="21"/>
      <c r="AXB25" s="21"/>
      <c r="AXC25" s="21"/>
      <c r="AXD25" s="21"/>
      <c r="AXE25" s="21"/>
      <c r="AXF25" s="21"/>
      <c r="AXG25" s="21"/>
      <c r="AXH25" s="21"/>
      <c r="AXI25" s="21"/>
      <c r="AXJ25" s="21"/>
      <c r="AXK25" s="21"/>
      <c r="AXL25" s="21"/>
      <c r="AXM25" s="21"/>
      <c r="AXN25" s="21"/>
      <c r="AXO25" s="21"/>
      <c r="AXP25" s="21"/>
      <c r="AXQ25" s="21"/>
      <c r="AXR25" s="21"/>
      <c r="AXS25" s="21"/>
      <c r="AXT25" s="21"/>
      <c r="AXU25" s="21"/>
      <c r="AXV25" s="21"/>
      <c r="AXW25" s="21"/>
      <c r="AXX25" s="21"/>
      <c r="AXY25" s="21"/>
      <c r="AXZ25" s="21"/>
      <c r="AYA25" s="21"/>
      <c r="AYB25" s="21"/>
      <c r="AYC25" s="21"/>
      <c r="AYD25" s="21"/>
      <c r="AYE25" s="21"/>
      <c r="AYF25" s="21"/>
      <c r="AYG25" s="21"/>
      <c r="AYH25" s="21"/>
      <c r="AYI25" s="21"/>
      <c r="AYJ25" s="21"/>
      <c r="AYK25" s="21"/>
      <c r="AYL25" s="21"/>
      <c r="AYM25" s="21"/>
      <c r="AYN25" s="21"/>
      <c r="AYO25" s="21"/>
      <c r="AYP25" s="21"/>
      <c r="AYQ25" s="21"/>
      <c r="AYR25" s="21"/>
      <c r="AYS25" s="21"/>
      <c r="AYT25" s="21"/>
      <c r="AYU25" s="21"/>
      <c r="AYV25" s="21"/>
      <c r="AYW25" s="21"/>
      <c r="AYX25" s="21"/>
      <c r="AYY25" s="21"/>
      <c r="AYZ25" s="21"/>
      <c r="AZA25" s="21"/>
      <c r="AZB25" s="21"/>
      <c r="AZC25" s="21"/>
      <c r="AZD25" s="21"/>
      <c r="AZE25" s="21"/>
      <c r="AZF25" s="21"/>
      <c r="AZG25" s="21"/>
      <c r="AZH25" s="21"/>
      <c r="AZI25" s="21"/>
      <c r="AZJ25" s="21"/>
      <c r="AZK25" s="21"/>
      <c r="AZL25" s="21"/>
      <c r="AZM25" s="21"/>
      <c r="AZN25" s="21"/>
      <c r="AZO25" s="21"/>
      <c r="AZP25" s="21"/>
      <c r="AZQ25" s="21"/>
      <c r="AZR25" s="21"/>
      <c r="AZS25" s="21"/>
      <c r="AZT25" s="21"/>
      <c r="AZU25" s="21"/>
      <c r="AZV25" s="21"/>
      <c r="AZW25" s="21"/>
      <c r="AZX25" s="21"/>
      <c r="AZY25" s="21"/>
      <c r="AZZ25" s="21"/>
      <c r="BAA25" s="21"/>
      <c r="BAB25" s="21"/>
      <c r="BAC25" s="21"/>
      <c r="BAD25" s="21"/>
      <c r="BAE25" s="21"/>
      <c r="BAF25" s="21"/>
      <c r="BAG25" s="21"/>
      <c r="BAH25" s="21"/>
      <c r="BAI25" s="21"/>
      <c r="BAJ25" s="21"/>
      <c r="BAK25" s="21"/>
      <c r="BAL25" s="21"/>
      <c r="BAM25" s="21"/>
      <c r="BAN25" s="21"/>
      <c r="BAO25" s="21"/>
      <c r="BAP25" s="21"/>
      <c r="BAQ25" s="21"/>
      <c r="BAR25" s="21"/>
      <c r="BAS25" s="21"/>
      <c r="BAT25" s="21"/>
      <c r="BAU25" s="21"/>
      <c r="BAV25" s="21"/>
      <c r="BAW25" s="21"/>
      <c r="BAX25" s="21"/>
      <c r="BAY25" s="21"/>
      <c r="BAZ25" s="21"/>
      <c r="BBA25" s="21"/>
      <c r="BBB25" s="21"/>
      <c r="BBC25" s="21"/>
      <c r="BBD25" s="21"/>
      <c r="BBE25" s="21"/>
      <c r="BBF25" s="21"/>
      <c r="BBG25" s="21"/>
      <c r="BBH25" s="21"/>
      <c r="BBI25" s="21"/>
      <c r="BBJ25" s="21"/>
      <c r="BBK25" s="21"/>
      <c r="BBL25" s="21"/>
      <c r="BBM25" s="21"/>
      <c r="BBN25" s="21"/>
      <c r="BBO25" s="21"/>
      <c r="BBP25" s="21"/>
      <c r="BBQ25" s="21"/>
      <c r="BBR25" s="21"/>
      <c r="BBS25" s="21"/>
      <c r="BBT25" s="21"/>
      <c r="BBU25" s="21"/>
      <c r="BBV25" s="21"/>
      <c r="BBW25" s="21"/>
      <c r="BBX25" s="21"/>
      <c r="BBY25" s="21"/>
      <c r="BBZ25" s="21"/>
      <c r="BCA25" s="21"/>
      <c r="BCB25" s="21"/>
      <c r="BCC25" s="21"/>
      <c r="BCD25" s="21"/>
      <c r="BCE25" s="21"/>
      <c r="BCF25" s="21"/>
      <c r="BCG25" s="21"/>
      <c r="BCH25" s="21"/>
      <c r="BCI25" s="21"/>
      <c r="BCJ25" s="21"/>
      <c r="BCK25" s="21"/>
      <c r="BCL25" s="21"/>
      <c r="BCM25" s="21"/>
      <c r="BCN25" s="21"/>
      <c r="BCO25" s="21"/>
      <c r="BCP25" s="21"/>
      <c r="BCQ25" s="21"/>
      <c r="BCR25" s="21"/>
      <c r="BCS25" s="21"/>
      <c r="BCT25" s="21"/>
      <c r="BCU25" s="21"/>
      <c r="BCV25" s="21"/>
      <c r="BCW25" s="21"/>
      <c r="BCX25" s="21"/>
      <c r="BCY25" s="21"/>
      <c r="BCZ25" s="21"/>
      <c r="BDA25" s="21"/>
      <c r="BDB25" s="21"/>
      <c r="BDC25" s="21"/>
      <c r="BDD25" s="21"/>
      <c r="BDE25" s="21"/>
      <c r="BDF25" s="21"/>
      <c r="BDG25" s="21"/>
      <c r="BDH25" s="21"/>
      <c r="BDI25" s="21"/>
      <c r="BDJ25" s="21"/>
      <c r="BDK25" s="21"/>
      <c r="BDL25" s="21"/>
      <c r="BDM25" s="21"/>
      <c r="BDN25" s="21"/>
      <c r="BDO25" s="21"/>
      <c r="BDP25" s="21"/>
      <c r="BDQ25" s="21"/>
      <c r="BDR25" s="21"/>
      <c r="BDS25" s="21"/>
      <c r="BDT25" s="21"/>
      <c r="BDU25" s="21"/>
      <c r="BDV25" s="21"/>
      <c r="BDW25" s="21"/>
      <c r="BDX25" s="21"/>
      <c r="BDY25" s="21"/>
      <c r="BDZ25" s="21"/>
      <c r="BEA25" s="21"/>
      <c r="BEB25" s="21"/>
      <c r="BEC25" s="21"/>
      <c r="BED25" s="21"/>
      <c r="BEE25" s="21"/>
      <c r="BEF25" s="21"/>
      <c r="BEG25" s="21"/>
      <c r="BEH25" s="21"/>
      <c r="BEI25" s="21"/>
      <c r="BEJ25" s="21"/>
      <c r="BEK25" s="21"/>
      <c r="BEL25" s="21"/>
      <c r="BEM25" s="21"/>
      <c r="BEN25" s="21"/>
      <c r="BEO25" s="21"/>
      <c r="BEP25" s="21"/>
      <c r="BEQ25" s="21"/>
      <c r="BER25" s="21"/>
      <c r="BES25" s="21"/>
      <c r="BET25" s="21"/>
      <c r="BEU25" s="21"/>
      <c r="BEV25" s="21"/>
      <c r="BEW25" s="21"/>
      <c r="BEX25" s="21"/>
      <c r="BEY25" s="21"/>
      <c r="BEZ25" s="21"/>
      <c r="BFA25" s="21"/>
      <c r="BFB25" s="21"/>
      <c r="BFC25" s="21"/>
      <c r="BFD25" s="21"/>
      <c r="BFE25" s="21"/>
      <c r="BFF25" s="21"/>
      <c r="BFG25" s="21"/>
      <c r="BFH25" s="21"/>
      <c r="BFI25" s="21"/>
      <c r="BFJ25" s="21"/>
      <c r="BFK25" s="21"/>
      <c r="BFL25" s="21"/>
      <c r="BFM25" s="21"/>
      <c r="BFN25" s="21"/>
      <c r="BFO25" s="21"/>
      <c r="BFP25" s="21"/>
      <c r="BFQ25" s="21"/>
      <c r="BFR25" s="21"/>
      <c r="BFS25" s="21"/>
      <c r="BFT25" s="21"/>
      <c r="BFU25" s="21"/>
      <c r="BFV25" s="21"/>
      <c r="BFW25" s="21"/>
      <c r="BFX25" s="21"/>
      <c r="BFY25" s="21"/>
      <c r="BFZ25" s="21"/>
      <c r="BGA25" s="21"/>
      <c r="BGB25" s="21"/>
      <c r="BGC25" s="21"/>
      <c r="BGD25" s="21"/>
      <c r="BGE25" s="21"/>
      <c r="BGF25" s="21"/>
      <c r="BGG25" s="21"/>
      <c r="BGH25" s="21"/>
      <c r="BGI25" s="21"/>
      <c r="BGJ25" s="21"/>
      <c r="BGK25" s="21"/>
      <c r="BGL25" s="21"/>
      <c r="BGM25" s="21"/>
      <c r="BGN25" s="21"/>
      <c r="BGO25" s="21"/>
      <c r="BGP25" s="21"/>
      <c r="BGQ25" s="21"/>
      <c r="BGR25" s="21"/>
      <c r="BGS25" s="21"/>
      <c r="BGT25" s="21"/>
      <c r="BGU25" s="21"/>
      <c r="BGV25" s="21"/>
      <c r="BGW25" s="21"/>
      <c r="BGX25" s="21"/>
      <c r="BGY25" s="21"/>
      <c r="BGZ25" s="21"/>
      <c r="BHA25" s="21"/>
      <c r="BHB25" s="21"/>
      <c r="BHC25" s="21"/>
      <c r="BHD25" s="21"/>
      <c r="BHE25" s="21"/>
      <c r="BHF25" s="21"/>
      <c r="BHG25" s="21"/>
      <c r="BHH25" s="21"/>
      <c r="BHI25" s="21"/>
      <c r="BHJ25" s="21"/>
      <c r="BHK25" s="21"/>
      <c r="BHL25" s="21"/>
      <c r="BHM25" s="21"/>
      <c r="BHN25" s="21"/>
      <c r="BHO25" s="21"/>
      <c r="BHP25" s="21"/>
      <c r="BHQ25" s="21"/>
      <c r="BHR25" s="21"/>
      <c r="BHS25" s="21"/>
      <c r="BHT25" s="21"/>
      <c r="BHU25" s="21"/>
      <c r="BHV25" s="21"/>
      <c r="BHW25" s="21"/>
      <c r="BHX25" s="21"/>
      <c r="BHY25" s="21"/>
      <c r="BHZ25" s="21"/>
      <c r="BIA25" s="21"/>
      <c r="BIB25" s="21"/>
      <c r="BIC25" s="21"/>
      <c r="BID25" s="21"/>
      <c r="BIE25" s="21"/>
      <c r="BIF25" s="21"/>
      <c r="BIG25" s="21"/>
      <c r="BIH25" s="21"/>
      <c r="BII25" s="21"/>
      <c r="BIJ25" s="21"/>
      <c r="BIK25" s="21"/>
      <c r="BIL25" s="21"/>
      <c r="BIM25" s="21"/>
      <c r="BIN25" s="21"/>
      <c r="BIO25" s="21"/>
      <c r="BIP25" s="21"/>
      <c r="BIQ25" s="21"/>
      <c r="BIR25" s="21"/>
      <c r="BIS25" s="21"/>
      <c r="BIT25" s="21"/>
      <c r="BIU25" s="21"/>
      <c r="BIV25" s="21"/>
      <c r="BIW25" s="21"/>
      <c r="BIX25" s="21"/>
      <c r="BIY25" s="21"/>
      <c r="BIZ25" s="21"/>
      <c r="BJA25" s="21"/>
      <c r="BJB25" s="21"/>
      <c r="BJC25" s="21"/>
      <c r="BJD25" s="21"/>
      <c r="BJE25" s="21"/>
      <c r="BJF25" s="21"/>
      <c r="BJG25" s="21"/>
      <c r="BJH25" s="21"/>
      <c r="BJI25" s="21"/>
      <c r="BJJ25" s="21"/>
      <c r="BJK25" s="21"/>
      <c r="BJL25" s="21"/>
      <c r="BJM25" s="21"/>
      <c r="BJN25" s="21"/>
      <c r="BJO25" s="21"/>
      <c r="BJP25" s="21"/>
      <c r="BJQ25" s="21"/>
      <c r="BJR25" s="21"/>
      <c r="BJS25" s="21"/>
      <c r="BJT25" s="21"/>
      <c r="BJU25" s="21"/>
      <c r="BJV25" s="21"/>
      <c r="BJW25" s="21"/>
      <c r="BJX25" s="21"/>
      <c r="BJY25" s="21"/>
      <c r="BJZ25" s="21"/>
      <c r="BKA25" s="21"/>
      <c r="BKB25" s="21"/>
      <c r="BKC25" s="21"/>
      <c r="BKD25" s="21"/>
      <c r="BKE25" s="21"/>
      <c r="BKF25" s="21"/>
      <c r="BKG25" s="21"/>
      <c r="BKH25" s="21"/>
      <c r="BKI25" s="21"/>
      <c r="BKJ25" s="21"/>
      <c r="BKK25" s="21"/>
      <c r="BKL25" s="21"/>
      <c r="BKM25" s="21"/>
      <c r="BKN25" s="21"/>
      <c r="BKO25" s="21"/>
      <c r="BKP25" s="21"/>
      <c r="BKQ25" s="21"/>
      <c r="BKR25" s="21"/>
      <c r="BKS25" s="21"/>
      <c r="BKT25" s="21"/>
      <c r="BKU25" s="21"/>
      <c r="BKV25" s="21"/>
      <c r="BKW25" s="21"/>
      <c r="BKX25" s="21"/>
      <c r="BKY25" s="21"/>
      <c r="BKZ25" s="21"/>
      <c r="BLA25" s="21"/>
      <c r="BLB25" s="21"/>
      <c r="BLC25" s="21"/>
      <c r="BLD25" s="21"/>
      <c r="BLE25" s="21"/>
      <c r="BLF25" s="21"/>
      <c r="BLG25" s="21"/>
      <c r="BLH25" s="21"/>
      <c r="BLI25" s="21"/>
      <c r="BLJ25" s="21"/>
      <c r="BLK25" s="21"/>
      <c r="BLL25" s="21"/>
      <c r="BLM25" s="21"/>
      <c r="BLN25" s="21"/>
      <c r="BLO25" s="21"/>
      <c r="BLP25" s="21"/>
      <c r="BLQ25" s="21"/>
      <c r="BLR25" s="21"/>
      <c r="BLS25" s="21"/>
      <c r="BLT25" s="21"/>
      <c r="BLU25" s="21"/>
      <c r="BLV25" s="21"/>
      <c r="BLW25" s="21"/>
      <c r="BLX25" s="21"/>
      <c r="BLY25" s="21"/>
      <c r="BLZ25" s="21"/>
      <c r="BMA25" s="21"/>
      <c r="BMB25" s="21"/>
      <c r="BMC25" s="21"/>
      <c r="BMD25" s="21"/>
      <c r="BME25" s="21"/>
      <c r="BMF25" s="21"/>
      <c r="BMG25" s="21"/>
      <c r="BMH25" s="21"/>
      <c r="BMI25" s="21"/>
      <c r="BMJ25" s="21"/>
      <c r="BMK25" s="21"/>
      <c r="BML25" s="21"/>
      <c r="BMM25" s="21"/>
      <c r="BMN25" s="21"/>
      <c r="BMO25" s="21"/>
      <c r="BMP25" s="21"/>
      <c r="BMQ25" s="21"/>
      <c r="BMR25" s="21"/>
      <c r="BMS25" s="21"/>
      <c r="BMT25" s="21"/>
      <c r="BMU25" s="21"/>
      <c r="BMV25" s="21"/>
      <c r="BMW25" s="21"/>
      <c r="BMX25" s="21"/>
      <c r="BMY25" s="21"/>
      <c r="BMZ25" s="21"/>
      <c r="BNA25" s="21"/>
      <c r="BNB25" s="21"/>
      <c r="BNC25" s="21"/>
      <c r="BND25" s="21"/>
      <c r="BNE25" s="21"/>
      <c r="BNF25" s="21"/>
      <c r="BNG25" s="21"/>
      <c r="BNH25" s="21"/>
      <c r="BNI25" s="21"/>
      <c r="BNJ25" s="21"/>
      <c r="BNK25" s="21"/>
      <c r="BNL25" s="21"/>
      <c r="BNM25" s="21"/>
      <c r="BNN25" s="21"/>
      <c r="BNO25" s="21"/>
      <c r="BNP25" s="21"/>
      <c r="BNQ25" s="21"/>
      <c r="BNR25" s="21"/>
      <c r="BNS25" s="21"/>
      <c r="BNT25" s="21"/>
      <c r="BNU25" s="21"/>
      <c r="BNV25" s="21"/>
      <c r="BNW25" s="21"/>
      <c r="BNX25" s="21"/>
      <c r="BNY25" s="21"/>
      <c r="BNZ25" s="21"/>
      <c r="BOA25" s="21"/>
      <c r="BOB25" s="21"/>
      <c r="BOC25" s="21"/>
      <c r="BOD25" s="21"/>
      <c r="BOE25" s="21"/>
      <c r="BOF25" s="21"/>
      <c r="BOG25" s="21"/>
      <c r="BOH25" s="21"/>
      <c r="BOI25" s="21"/>
      <c r="BOJ25" s="21"/>
      <c r="BOK25" s="21"/>
      <c r="BOL25" s="21"/>
      <c r="BOM25" s="21"/>
      <c r="BON25" s="21"/>
      <c r="BOO25" s="21"/>
      <c r="BOP25" s="21"/>
      <c r="BOQ25" s="21"/>
      <c r="BOR25" s="21"/>
      <c r="BOS25" s="21"/>
      <c r="BOT25" s="21"/>
      <c r="BOU25" s="21"/>
      <c r="BOV25" s="21"/>
      <c r="BOW25" s="21"/>
      <c r="BOX25" s="21"/>
      <c r="BOY25" s="21"/>
      <c r="BOZ25" s="21"/>
      <c r="BPA25" s="21"/>
      <c r="BPB25" s="21"/>
      <c r="BPC25" s="21"/>
      <c r="BPD25" s="21"/>
      <c r="BPE25" s="21"/>
      <c r="BPF25" s="21"/>
      <c r="BPG25" s="21"/>
      <c r="BPH25" s="21"/>
      <c r="BPI25" s="21"/>
      <c r="BPJ25" s="21"/>
      <c r="BPK25" s="21"/>
      <c r="BPL25" s="21"/>
      <c r="BPM25" s="21"/>
      <c r="BPN25" s="21"/>
      <c r="BPO25" s="21"/>
      <c r="BPP25" s="21"/>
      <c r="BPQ25" s="21"/>
      <c r="BPR25" s="21"/>
      <c r="BPS25" s="21"/>
      <c r="BPT25" s="21"/>
      <c r="BPU25" s="21"/>
      <c r="BPV25" s="21"/>
      <c r="BPW25" s="21"/>
      <c r="BPX25" s="21"/>
      <c r="BPY25" s="21"/>
      <c r="BPZ25" s="21"/>
      <c r="BQA25" s="21"/>
      <c r="BQB25" s="21"/>
      <c r="BQC25" s="21"/>
      <c r="BQD25" s="21"/>
      <c r="BQE25" s="21"/>
      <c r="BQF25" s="21"/>
      <c r="BQG25" s="21"/>
      <c r="BQH25" s="21"/>
      <c r="BQI25" s="21"/>
      <c r="BQJ25" s="21"/>
      <c r="BQK25" s="21"/>
      <c r="BQL25" s="21"/>
      <c r="BQM25" s="21"/>
      <c r="BQN25" s="21"/>
      <c r="BQO25" s="21"/>
      <c r="BQP25" s="21"/>
      <c r="BQQ25" s="21"/>
      <c r="BQR25" s="21"/>
      <c r="BQS25" s="21"/>
      <c r="BQT25" s="21"/>
      <c r="BQU25" s="21"/>
      <c r="BQV25" s="21"/>
      <c r="BQW25" s="21"/>
      <c r="BQX25" s="21"/>
      <c r="BQY25" s="21"/>
      <c r="BQZ25" s="21"/>
      <c r="BRA25" s="21"/>
      <c r="BRB25" s="21"/>
      <c r="BRC25" s="21"/>
      <c r="BRD25" s="21"/>
      <c r="BRE25" s="21"/>
      <c r="BRF25" s="21"/>
      <c r="BRG25" s="21"/>
      <c r="BRH25" s="21"/>
      <c r="BRI25" s="21"/>
      <c r="BRJ25" s="21"/>
      <c r="BRK25" s="21"/>
      <c r="BRL25" s="21"/>
      <c r="BRM25" s="21"/>
      <c r="BRN25" s="21"/>
      <c r="BRO25" s="21"/>
      <c r="BRP25" s="21"/>
      <c r="BRQ25" s="21"/>
      <c r="BRR25" s="21"/>
      <c r="BRS25" s="21"/>
      <c r="BRT25" s="21"/>
      <c r="BRU25" s="21"/>
      <c r="BRV25" s="21"/>
      <c r="BRW25" s="21"/>
      <c r="BRX25" s="21"/>
      <c r="BRY25" s="21"/>
      <c r="BRZ25" s="21"/>
      <c r="BSA25" s="21"/>
      <c r="BSB25" s="21"/>
      <c r="BSC25" s="21"/>
      <c r="BSD25" s="21"/>
      <c r="BSE25" s="21"/>
      <c r="BSF25" s="21"/>
      <c r="BSG25" s="21"/>
      <c r="BSH25" s="21"/>
      <c r="BSI25" s="21"/>
      <c r="BSJ25" s="21"/>
      <c r="BSK25" s="21"/>
      <c r="BSL25" s="21"/>
      <c r="BSM25" s="21"/>
      <c r="BSN25" s="21"/>
      <c r="BSO25" s="21"/>
      <c r="BSP25" s="21"/>
      <c r="BSQ25" s="21"/>
      <c r="BSR25" s="21"/>
      <c r="BSS25" s="21"/>
      <c r="BST25" s="21"/>
      <c r="BSU25" s="21"/>
      <c r="BSV25" s="21"/>
      <c r="BSW25" s="21"/>
      <c r="BSX25" s="21"/>
      <c r="BSY25" s="21"/>
      <c r="BSZ25" s="21"/>
      <c r="BTA25" s="21"/>
      <c r="BTB25" s="21"/>
      <c r="BTC25" s="21"/>
      <c r="BTD25" s="21"/>
      <c r="BTE25" s="21"/>
      <c r="BTF25" s="21"/>
      <c r="BTG25" s="21"/>
      <c r="BTH25" s="21"/>
      <c r="BTI25" s="21"/>
      <c r="BTJ25" s="21"/>
      <c r="BTK25" s="21"/>
      <c r="BTL25" s="21"/>
      <c r="BTM25" s="21"/>
      <c r="BTN25" s="21"/>
      <c r="BTO25" s="21"/>
      <c r="BTP25" s="21"/>
      <c r="BTQ25" s="21"/>
      <c r="BTR25" s="21"/>
      <c r="BTS25" s="21"/>
      <c r="BTT25" s="21"/>
      <c r="BTU25" s="21"/>
      <c r="BTV25" s="21"/>
      <c r="BTW25" s="21"/>
      <c r="BTX25" s="21"/>
      <c r="BTY25" s="21"/>
      <c r="BTZ25" s="21"/>
      <c r="BUA25" s="21"/>
      <c r="BUB25" s="21"/>
      <c r="BUC25" s="21"/>
      <c r="BUD25" s="21"/>
      <c r="BUE25" s="21"/>
      <c r="BUF25" s="21"/>
      <c r="BUG25" s="21"/>
      <c r="BUH25" s="21"/>
      <c r="BUI25" s="21"/>
      <c r="BUJ25" s="21"/>
      <c r="BUK25" s="21"/>
      <c r="BUL25" s="21"/>
      <c r="BUM25" s="21"/>
      <c r="BUN25" s="21"/>
      <c r="BUO25" s="21"/>
      <c r="BUP25" s="21"/>
      <c r="BUQ25" s="21"/>
      <c r="BUR25" s="21"/>
      <c r="BUS25" s="21"/>
      <c r="BUT25" s="21"/>
      <c r="BUU25" s="21"/>
      <c r="BUV25" s="21"/>
      <c r="BUW25" s="21"/>
      <c r="BUX25" s="21"/>
      <c r="BUY25" s="21"/>
      <c r="BUZ25" s="21"/>
      <c r="BVA25" s="21"/>
      <c r="BVB25" s="21"/>
      <c r="BVC25" s="21"/>
      <c r="BVD25" s="21"/>
      <c r="BVE25" s="21"/>
      <c r="BVF25" s="21"/>
      <c r="BVG25" s="21"/>
      <c r="BVH25" s="21"/>
      <c r="BVI25" s="21"/>
      <c r="BVJ25" s="21"/>
      <c r="BVK25" s="21"/>
      <c r="BVL25" s="21"/>
      <c r="BVM25" s="21"/>
      <c r="BVN25" s="21"/>
      <c r="BVO25" s="21"/>
      <c r="BVP25" s="21"/>
      <c r="BVQ25" s="21"/>
      <c r="BVR25" s="21"/>
      <c r="BVS25" s="21"/>
      <c r="BVT25" s="21"/>
      <c r="BVU25" s="21"/>
      <c r="BVV25" s="21"/>
      <c r="BVW25" s="21"/>
      <c r="BVX25" s="21"/>
      <c r="BVY25" s="21"/>
      <c r="BVZ25" s="21"/>
      <c r="BWA25" s="21"/>
      <c r="BWB25" s="21"/>
      <c r="BWC25" s="21"/>
      <c r="BWD25" s="21"/>
      <c r="BWE25" s="21"/>
      <c r="BWF25" s="21"/>
      <c r="BWG25" s="21"/>
      <c r="BWH25" s="21"/>
      <c r="BWI25" s="21"/>
      <c r="BWJ25" s="21"/>
      <c r="BWK25" s="21"/>
      <c r="BWL25" s="21"/>
      <c r="BWM25" s="21"/>
      <c r="BWN25" s="21"/>
      <c r="BWO25" s="21"/>
      <c r="BWP25" s="21"/>
      <c r="BWQ25" s="21"/>
      <c r="BWR25" s="21"/>
      <c r="BWS25" s="21"/>
      <c r="BWT25" s="21"/>
      <c r="BWU25" s="21"/>
      <c r="BWV25" s="21"/>
      <c r="BWW25" s="21"/>
      <c r="BWX25" s="21"/>
      <c r="BWY25" s="21"/>
      <c r="BWZ25" s="21"/>
      <c r="BXA25" s="21"/>
      <c r="BXB25" s="21"/>
      <c r="BXC25" s="21"/>
      <c r="BXD25" s="21"/>
      <c r="BXE25" s="21"/>
      <c r="BXF25" s="21"/>
      <c r="BXG25" s="21"/>
      <c r="BXH25" s="21"/>
      <c r="BXI25" s="21"/>
      <c r="BXJ25" s="21"/>
      <c r="BXK25" s="21"/>
      <c r="BXL25" s="21"/>
      <c r="BXM25" s="21"/>
      <c r="BXN25" s="21"/>
      <c r="BXO25" s="21"/>
      <c r="BXP25" s="21"/>
      <c r="BXQ25" s="21"/>
      <c r="BXR25" s="21"/>
      <c r="BXS25" s="21"/>
      <c r="BXT25" s="21"/>
      <c r="BXU25" s="21"/>
      <c r="BXV25" s="21"/>
      <c r="BXW25" s="21"/>
      <c r="BXX25" s="21"/>
      <c r="BXY25" s="21"/>
      <c r="BXZ25" s="21"/>
      <c r="BYA25" s="21"/>
      <c r="BYB25" s="21"/>
      <c r="BYC25" s="21"/>
      <c r="BYD25" s="21"/>
      <c r="BYE25" s="21"/>
      <c r="BYF25" s="21"/>
      <c r="BYG25" s="21"/>
      <c r="BYH25" s="21"/>
      <c r="BYI25" s="21"/>
      <c r="BYJ25" s="21"/>
      <c r="BYK25" s="21"/>
      <c r="BYL25" s="21"/>
      <c r="BYM25" s="21"/>
      <c r="BYN25" s="21"/>
      <c r="BYO25" s="21"/>
      <c r="BYP25" s="21"/>
      <c r="BYQ25" s="21"/>
      <c r="BYR25" s="21"/>
      <c r="BYS25" s="21"/>
      <c r="BYT25" s="21"/>
      <c r="BYU25" s="21"/>
      <c r="BYV25" s="21"/>
      <c r="BYW25" s="21"/>
      <c r="BYX25" s="21"/>
      <c r="BYY25" s="21"/>
      <c r="BYZ25" s="21"/>
      <c r="BZA25" s="21"/>
      <c r="BZB25" s="21"/>
      <c r="BZC25" s="21"/>
      <c r="BZD25" s="21"/>
      <c r="BZE25" s="21"/>
      <c r="BZF25" s="21"/>
      <c r="BZG25" s="21"/>
      <c r="BZH25" s="21"/>
      <c r="BZI25" s="21"/>
      <c r="BZJ25" s="21"/>
      <c r="BZK25" s="21"/>
      <c r="BZL25" s="21"/>
      <c r="BZM25" s="21"/>
      <c r="BZN25" s="21"/>
      <c r="BZO25" s="21"/>
      <c r="BZP25" s="21"/>
      <c r="BZQ25" s="21"/>
      <c r="BZR25" s="21"/>
      <c r="BZS25" s="21"/>
      <c r="BZT25" s="21"/>
      <c r="BZU25" s="21"/>
      <c r="BZV25" s="21"/>
      <c r="BZW25" s="21"/>
      <c r="BZX25" s="21"/>
      <c r="BZY25" s="21"/>
      <c r="BZZ25" s="21"/>
      <c r="CAA25" s="21"/>
      <c r="CAB25" s="21"/>
      <c r="CAC25" s="21"/>
      <c r="CAD25" s="21"/>
      <c r="CAE25" s="21"/>
      <c r="CAF25" s="21"/>
      <c r="CAG25" s="21"/>
      <c r="CAH25" s="21"/>
      <c r="CAI25" s="21"/>
      <c r="CAJ25" s="21"/>
      <c r="CAK25" s="21"/>
      <c r="CAL25" s="21"/>
      <c r="CAM25" s="21"/>
      <c r="CAN25" s="21"/>
      <c r="CAO25" s="21"/>
      <c r="CAP25" s="21"/>
      <c r="CAQ25" s="21"/>
      <c r="CAR25" s="21"/>
      <c r="CAS25" s="21"/>
      <c r="CAT25" s="21"/>
      <c r="CAU25" s="21"/>
      <c r="CAV25" s="21"/>
      <c r="CAW25" s="21"/>
      <c r="CAX25" s="21"/>
      <c r="CAY25" s="21"/>
      <c r="CAZ25" s="21"/>
      <c r="CBA25" s="21"/>
      <c r="CBB25" s="21"/>
      <c r="CBC25" s="21"/>
      <c r="CBD25" s="21"/>
      <c r="CBE25" s="21"/>
      <c r="CBF25" s="21"/>
      <c r="CBG25" s="21"/>
      <c r="CBH25" s="21"/>
      <c r="CBI25" s="21"/>
      <c r="CBJ25" s="21"/>
      <c r="CBK25" s="21"/>
      <c r="CBL25" s="21"/>
      <c r="CBM25" s="21"/>
      <c r="CBN25" s="21"/>
      <c r="CBO25" s="21"/>
      <c r="CBP25" s="21"/>
      <c r="CBQ25" s="21"/>
      <c r="CBR25" s="21"/>
      <c r="CBS25" s="21"/>
      <c r="CBT25" s="21"/>
      <c r="CBU25" s="21"/>
      <c r="CBV25" s="21"/>
      <c r="CBW25" s="21"/>
      <c r="CBX25" s="21"/>
      <c r="CBY25" s="21"/>
      <c r="CBZ25" s="21"/>
      <c r="CCA25" s="21"/>
      <c r="CCB25" s="21"/>
      <c r="CCC25" s="21"/>
      <c r="CCD25" s="21"/>
      <c r="CCE25" s="21"/>
      <c r="CCF25" s="21"/>
      <c r="CCG25" s="21"/>
      <c r="CCH25" s="21"/>
      <c r="CCI25" s="21"/>
      <c r="CCJ25" s="21"/>
      <c r="CCK25" s="21"/>
      <c r="CCL25" s="21"/>
      <c r="CCM25" s="21"/>
      <c r="CCN25" s="21"/>
      <c r="CCO25" s="21"/>
      <c r="CCP25" s="21"/>
      <c r="CCQ25" s="21"/>
      <c r="CCR25" s="21"/>
      <c r="CCS25" s="21"/>
      <c r="CCT25" s="21"/>
      <c r="CCU25" s="21"/>
      <c r="CCV25" s="21"/>
      <c r="CCW25" s="21"/>
      <c r="CCX25" s="21"/>
      <c r="CCY25" s="21"/>
      <c r="CCZ25" s="21"/>
      <c r="CDA25" s="21"/>
      <c r="CDB25" s="21"/>
      <c r="CDC25" s="21"/>
      <c r="CDD25" s="21"/>
      <c r="CDE25" s="21"/>
      <c r="CDF25" s="21"/>
      <c r="CDG25" s="21"/>
      <c r="CDH25" s="21"/>
      <c r="CDI25" s="21"/>
      <c r="CDJ25" s="21"/>
      <c r="CDK25" s="21"/>
      <c r="CDL25" s="21"/>
      <c r="CDM25" s="21"/>
      <c r="CDN25" s="21"/>
      <c r="CDO25" s="21"/>
      <c r="CDP25" s="21"/>
      <c r="CDQ25" s="21"/>
      <c r="CDR25" s="21"/>
      <c r="CDS25" s="21"/>
      <c r="CDT25" s="21"/>
      <c r="CDU25" s="21"/>
      <c r="CDV25" s="21"/>
      <c r="CDW25" s="21"/>
      <c r="CDX25" s="21"/>
      <c r="CDY25" s="21"/>
      <c r="CDZ25" s="21"/>
      <c r="CEA25" s="21"/>
      <c r="CEB25" s="21"/>
      <c r="CEC25" s="21"/>
      <c r="CED25" s="21"/>
      <c r="CEE25" s="21"/>
      <c r="CEF25" s="21"/>
      <c r="CEG25" s="21"/>
      <c r="CEH25" s="21"/>
      <c r="CEI25" s="21"/>
      <c r="CEJ25" s="21"/>
      <c r="CEK25" s="21"/>
      <c r="CEL25" s="21"/>
      <c r="CEM25" s="21"/>
      <c r="CEN25" s="21"/>
      <c r="CEO25" s="21"/>
      <c r="CEP25" s="21"/>
      <c r="CEQ25" s="21"/>
      <c r="CER25" s="21"/>
      <c r="CES25" s="21"/>
      <c r="CET25" s="21"/>
      <c r="CEU25" s="21"/>
      <c r="CEV25" s="21"/>
      <c r="CEW25" s="21"/>
      <c r="CEX25" s="21"/>
      <c r="CEY25" s="21"/>
      <c r="CEZ25" s="21"/>
      <c r="CFA25" s="21"/>
      <c r="CFB25" s="21"/>
      <c r="CFC25" s="21"/>
      <c r="CFD25" s="21"/>
      <c r="CFE25" s="21"/>
      <c r="CFF25" s="21"/>
      <c r="CFG25" s="21"/>
      <c r="CFH25" s="21"/>
      <c r="CFI25" s="21"/>
      <c r="CFJ25" s="21"/>
      <c r="CFK25" s="21"/>
      <c r="CFL25" s="21"/>
      <c r="CFM25" s="21"/>
      <c r="CFN25" s="21"/>
      <c r="CFO25" s="21"/>
      <c r="CFP25" s="21"/>
      <c r="CFQ25" s="21"/>
      <c r="CFR25" s="21"/>
      <c r="CFS25" s="21"/>
      <c r="CFT25" s="21"/>
      <c r="CFU25" s="21"/>
      <c r="CFV25" s="21"/>
      <c r="CFW25" s="21"/>
      <c r="CFX25" s="21"/>
      <c r="CFY25" s="21"/>
      <c r="CFZ25" s="21"/>
      <c r="CGA25" s="21"/>
      <c r="CGB25" s="21"/>
      <c r="CGC25" s="21"/>
      <c r="CGD25" s="21"/>
      <c r="CGE25" s="21"/>
      <c r="CGF25" s="21"/>
      <c r="CGG25" s="21"/>
      <c r="CGH25" s="21"/>
      <c r="CGI25" s="21"/>
      <c r="CGJ25" s="21"/>
      <c r="CGK25" s="21"/>
      <c r="CGL25" s="21"/>
      <c r="CGM25" s="21"/>
      <c r="CGN25" s="21"/>
      <c r="CGO25" s="21"/>
      <c r="CGP25" s="21"/>
      <c r="CGQ25" s="21"/>
      <c r="CGR25" s="21"/>
      <c r="CGS25" s="21"/>
      <c r="CGT25" s="21"/>
      <c r="CGU25" s="21"/>
      <c r="CGV25" s="21"/>
      <c r="CGW25" s="21"/>
      <c r="CGX25" s="21"/>
      <c r="CGY25" s="21"/>
      <c r="CGZ25" s="21"/>
      <c r="CHA25" s="21"/>
      <c r="CHB25" s="21"/>
      <c r="CHC25" s="21"/>
      <c r="CHD25" s="21"/>
      <c r="CHE25" s="21"/>
      <c r="CHF25" s="21"/>
      <c r="CHG25" s="21"/>
      <c r="CHH25" s="21"/>
      <c r="CHI25" s="21"/>
      <c r="CHJ25" s="21"/>
      <c r="CHK25" s="21"/>
      <c r="CHL25" s="21"/>
      <c r="CHM25" s="21"/>
      <c r="CHN25" s="21"/>
      <c r="CHO25" s="21"/>
      <c r="CHP25" s="21"/>
      <c r="CHQ25" s="21"/>
      <c r="CHR25" s="21"/>
      <c r="CHS25" s="21"/>
      <c r="CHT25" s="21"/>
      <c r="CHU25" s="21"/>
      <c r="CHV25" s="21"/>
      <c r="CHW25" s="21"/>
      <c r="CHX25" s="21"/>
      <c r="CHY25" s="21"/>
      <c r="CHZ25" s="21"/>
      <c r="CIA25" s="21"/>
      <c r="CIB25" s="21"/>
      <c r="CIC25" s="21"/>
      <c r="CID25" s="21"/>
      <c r="CIE25" s="21"/>
      <c r="CIF25" s="21"/>
      <c r="CIG25" s="21"/>
      <c r="CIH25" s="21"/>
      <c r="CII25" s="21"/>
      <c r="CIJ25" s="21"/>
      <c r="CIK25" s="21"/>
      <c r="CIL25" s="21"/>
      <c r="CIM25" s="21"/>
      <c r="CIN25" s="21"/>
      <c r="CIO25" s="21"/>
      <c r="CIP25" s="21"/>
      <c r="CIQ25" s="21"/>
      <c r="CIR25" s="21"/>
      <c r="CIS25" s="21"/>
      <c r="CIT25" s="21"/>
      <c r="CIU25" s="21"/>
      <c r="CIV25" s="21"/>
      <c r="CIW25" s="21"/>
      <c r="CIX25" s="21"/>
      <c r="CIY25" s="21"/>
      <c r="CIZ25" s="21"/>
      <c r="CJA25" s="21"/>
      <c r="CJB25" s="21"/>
      <c r="CJC25" s="21"/>
      <c r="CJD25" s="21"/>
      <c r="CJE25" s="21"/>
      <c r="CJF25" s="21"/>
      <c r="CJG25" s="21"/>
      <c r="CJH25" s="21"/>
      <c r="CJI25" s="21"/>
      <c r="CJJ25" s="21"/>
      <c r="CJK25" s="21"/>
      <c r="CJL25" s="21"/>
      <c r="CJM25" s="21"/>
      <c r="CJN25" s="21"/>
      <c r="CJO25" s="21"/>
      <c r="CJP25" s="21"/>
      <c r="CJQ25" s="21"/>
      <c r="CJR25" s="21"/>
      <c r="CJS25" s="21"/>
      <c r="CJT25" s="21"/>
      <c r="CJU25" s="21"/>
      <c r="CJV25" s="21"/>
      <c r="CJW25" s="21"/>
      <c r="CJX25" s="21"/>
      <c r="CJY25" s="21"/>
      <c r="CJZ25" s="21"/>
      <c r="CKA25" s="21"/>
      <c r="CKB25" s="21"/>
      <c r="CKC25" s="21"/>
      <c r="CKD25" s="21"/>
      <c r="CKE25" s="21"/>
      <c r="CKF25" s="21"/>
      <c r="CKG25" s="21"/>
      <c r="CKH25" s="21"/>
      <c r="CKI25" s="21"/>
      <c r="CKJ25" s="21"/>
      <c r="CKK25" s="21"/>
      <c r="CKL25" s="21"/>
      <c r="CKM25" s="21"/>
      <c r="CKN25" s="21"/>
      <c r="CKO25" s="21"/>
      <c r="CKP25" s="21"/>
      <c r="CKQ25" s="21"/>
      <c r="CKR25" s="21"/>
      <c r="CKS25" s="21"/>
      <c r="CKT25" s="21"/>
      <c r="CKU25" s="21"/>
      <c r="CKV25" s="21"/>
      <c r="CKW25" s="21"/>
      <c r="CKX25" s="21"/>
      <c r="CKY25" s="21"/>
      <c r="CKZ25" s="21"/>
      <c r="CLA25" s="21"/>
      <c r="CLB25" s="21"/>
      <c r="CLC25" s="21"/>
      <c r="CLD25" s="21"/>
      <c r="CLE25" s="21"/>
      <c r="CLF25" s="21"/>
      <c r="CLG25" s="21"/>
      <c r="CLH25" s="21"/>
      <c r="CLI25" s="21"/>
      <c r="CLJ25" s="21"/>
      <c r="CLK25" s="21"/>
      <c r="CLL25" s="21"/>
      <c r="CLM25" s="21"/>
      <c r="CLN25" s="21"/>
      <c r="CLO25" s="21"/>
      <c r="CLP25" s="21"/>
      <c r="CLQ25" s="21"/>
      <c r="CLR25" s="21"/>
      <c r="CLS25" s="21"/>
      <c r="CLT25" s="21"/>
      <c r="CLU25" s="21"/>
      <c r="CLV25" s="21"/>
      <c r="CLW25" s="21"/>
      <c r="CLX25" s="21"/>
      <c r="CLY25" s="21"/>
      <c r="CLZ25" s="21"/>
      <c r="CMA25" s="21"/>
      <c r="CMB25" s="21"/>
      <c r="CMC25" s="21"/>
      <c r="CMD25" s="21"/>
      <c r="CME25" s="21"/>
      <c r="CMF25" s="21"/>
      <c r="CMG25" s="21"/>
      <c r="CMH25" s="21"/>
      <c r="CMI25" s="21"/>
      <c r="CMJ25" s="21"/>
      <c r="CMK25" s="21"/>
      <c r="CML25" s="21"/>
      <c r="CMM25" s="21"/>
      <c r="CMN25" s="21"/>
      <c r="CMO25" s="21"/>
      <c r="CMP25" s="21"/>
      <c r="CMQ25" s="21"/>
      <c r="CMR25" s="21"/>
      <c r="CMS25" s="21"/>
      <c r="CMT25" s="21"/>
      <c r="CMU25" s="21"/>
      <c r="CMV25" s="21"/>
      <c r="CMW25" s="21"/>
      <c r="CMX25" s="21"/>
      <c r="CMY25" s="21"/>
      <c r="CMZ25" s="21"/>
      <c r="CNA25" s="21"/>
      <c r="CNB25" s="21"/>
      <c r="CNC25" s="21"/>
      <c r="CND25" s="21"/>
      <c r="CNE25" s="21"/>
      <c r="CNF25" s="21"/>
      <c r="CNG25" s="21"/>
      <c r="CNH25" s="21"/>
      <c r="CNI25" s="21"/>
      <c r="CNJ25" s="21"/>
      <c r="CNK25" s="21"/>
      <c r="CNL25" s="21"/>
      <c r="CNM25" s="21"/>
      <c r="CNN25" s="21"/>
      <c r="CNO25" s="21"/>
      <c r="CNP25" s="21"/>
      <c r="CNQ25" s="21"/>
      <c r="CNR25" s="21"/>
      <c r="CNS25" s="21"/>
      <c r="CNT25" s="21"/>
      <c r="CNU25" s="21"/>
      <c r="CNV25" s="21"/>
      <c r="CNW25" s="21"/>
      <c r="CNX25" s="21"/>
      <c r="CNY25" s="21"/>
      <c r="CNZ25" s="21"/>
      <c r="COA25" s="21"/>
      <c r="COB25" s="21"/>
      <c r="COC25" s="21"/>
      <c r="COD25" s="21"/>
      <c r="COE25" s="21"/>
      <c r="COF25" s="21"/>
      <c r="COG25" s="21"/>
      <c r="COH25" s="21"/>
      <c r="COI25" s="21"/>
      <c r="COJ25" s="21"/>
      <c r="COK25" s="21"/>
      <c r="COL25" s="21"/>
      <c r="COM25" s="21"/>
      <c r="CON25" s="21"/>
      <c r="COO25" s="21"/>
      <c r="COP25" s="21"/>
      <c r="COQ25" s="21"/>
      <c r="COR25" s="21"/>
      <c r="COS25" s="21"/>
      <c r="COT25" s="21"/>
      <c r="COU25" s="21"/>
      <c r="COV25" s="21"/>
      <c r="COW25" s="21"/>
      <c r="COX25" s="21"/>
      <c r="COY25" s="21"/>
      <c r="COZ25" s="21"/>
      <c r="CPA25" s="21"/>
      <c r="CPB25" s="21"/>
      <c r="CPC25" s="21"/>
      <c r="CPD25" s="21"/>
      <c r="CPE25" s="21"/>
      <c r="CPF25" s="21"/>
      <c r="CPG25" s="21"/>
      <c r="CPH25" s="21"/>
      <c r="CPI25" s="21"/>
      <c r="CPJ25" s="21"/>
      <c r="CPK25" s="21"/>
      <c r="CPL25" s="21"/>
      <c r="CPM25" s="21"/>
      <c r="CPN25" s="21"/>
      <c r="CPO25" s="21"/>
      <c r="CPP25" s="21"/>
      <c r="CPQ25" s="21"/>
      <c r="CPR25" s="21"/>
      <c r="CPS25" s="21"/>
      <c r="CPT25" s="21"/>
      <c r="CPU25" s="21"/>
      <c r="CPV25" s="21"/>
      <c r="CPW25" s="21"/>
      <c r="CPX25" s="21"/>
      <c r="CPY25" s="21"/>
      <c r="CPZ25" s="21"/>
      <c r="CQA25" s="21"/>
      <c r="CQB25" s="21"/>
      <c r="CQC25" s="21"/>
      <c r="CQD25" s="21"/>
      <c r="CQE25" s="21"/>
      <c r="CQF25" s="21"/>
      <c r="CQG25" s="21"/>
      <c r="CQH25" s="21"/>
      <c r="CQI25" s="21"/>
      <c r="CQJ25" s="21"/>
      <c r="CQK25" s="21"/>
      <c r="CQL25" s="21"/>
      <c r="CQM25" s="21"/>
      <c r="CQN25" s="21"/>
      <c r="CQO25" s="21"/>
      <c r="CQP25" s="21"/>
      <c r="CQQ25" s="21"/>
      <c r="CQR25" s="21"/>
      <c r="CQS25" s="21"/>
      <c r="CQT25" s="21"/>
      <c r="CQU25" s="21"/>
      <c r="CQV25" s="21"/>
      <c r="CQW25" s="21"/>
      <c r="CQX25" s="21"/>
      <c r="CQY25" s="21"/>
      <c r="CQZ25" s="21"/>
      <c r="CRA25" s="21"/>
      <c r="CRB25" s="21"/>
      <c r="CRC25" s="21"/>
      <c r="CRD25" s="21"/>
      <c r="CRE25" s="21"/>
      <c r="CRF25" s="21"/>
      <c r="CRG25" s="21"/>
      <c r="CRH25" s="21"/>
      <c r="CRI25" s="21"/>
      <c r="CRJ25" s="21"/>
      <c r="CRK25" s="21"/>
      <c r="CRL25" s="21"/>
      <c r="CRM25" s="21"/>
      <c r="CRN25" s="21"/>
      <c r="CRO25" s="21"/>
      <c r="CRP25" s="21"/>
      <c r="CRQ25" s="21"/>
      <c r="CRR25" s="21"/>
      <c r="CRS25" s="21"/>
      <c r="CRT25" s="21"/>
      <c r="CRU25" s="21"/>
      <c r="CRV25" s="21"/>
      <c r="CRW25" s="21"/>
      <c r="CRX25" s="21"/>
      <c r="CRY25" s="21"/>
      <c r="CRZ25" s="21"/>
      <c r="CSA25" s="21"/>
      <c r="CSB25" s="21"/>
      <c r="CSC25" s="21"/>
      <c r="CSD25" s="21"/>
      <c r="CSE25" s="21"/>
      <c r="CSF25" s="21"/>
      <c r="CSG25" s="21"/>
      <c r="CSH25" s="21"/>
      <c r="CSI25" s="21"/>
      <c r="CSJ25" s="21"/>
      <c r="CSK25" s="21"/>
      <c r="CSL25" s="21"/>
      <c r="CSM25" s="21"/>
      <c r="CSN25" s="21"/>
      <c r="CSO25" s="21"/>
      <c r="CSP25" s="21"/>
      <c r="CSQ25" s="21"/>
      <c r="CSR25" s="21"/>
      <c r="CSS25" s="21"/>
      <c r="CST25" s="21"/>
      <c r="CSU25" s="21"/>
      <c r="CSV25" s="21"/>
      <c r="CSW25" s="21"/>
      <c r="CSX25" s="21"/>
      <c r="CSY25" s="21"/>
      <c r="CSZ25" s="21"/>
      <c r="CTA25" s="21"/>
      <c r="CTB25" s="21"/>
      <c r="CTC25" s="21"/>
      <c r="CTD25" s="21"/>
      <c r="CTE25" s="21"/>
      <c r="CTF25" s="21"/>
      <c r="CTG25" s="21"/>
      <c r="CTH25" s="21"/>
      <c r="CTI25" s="21"/>
      <c r="CTJ25" s="21"/>
      <c r="CTK25" s="21"/>
      <c r="CTL25" s="21"/>
      <c r="CTM25" s="21"/>
      <c r="CTN25" s="21"/>
      <c r="CTO25" s="21"/>
      <c r="CTP25" s="21"/>
      <c r="CTQ25" s="21"/>
      <c r="CTR25" s="21"/>
      <c r="CTS25" s="21"/>
      <c r="CTT25" s="21"/>
      <c r="CTU25" s="21"/>
      <c r="CTV25" s="21"/>
      <c r="CTW25" s="21"/>
      <c r="CTX25" s="21"/>
      <c r="CTY25" s="21"/>
      <c r="CTZ25" s="21"/>
      <c r="CUA25" s="21"/>
      <c r="CUB25" s="21"/>
      <c r="CUC25" s="21"/>
      <c r="CUD25" s="21"/>
      <c r="CUE25" s="21"/>
      <c r="CUF25" s="21"/>
      <c r="CUG25" s="21"/>
      <c r="CUH25" s="21"/>
      <c r="CUI25" s="21"/>
      <c r="CUJ25" s="21"/>
      <c r="CUK25" s="21"/>
      <c r="CUL25" s="21"/>
      <c r="CUM25" s="21"/>
      <c r="CUN25" s="21"/>
      <c r="CUO25" s="21"/>
      <c r="CUP25" s="21"/>
      <c r="CUQ25" s="21"/>
      <c r="CUR25" s="21"/>
      <c r="CUS25" s="21"/>
      <c r="CUT25" s="21"/>
      <c r="CUU25" s="21"/>
      <c r="CUV25" s="21"/>
      <c r="CUW25" s="21"/>
      <c r="CUX25" s="21"/>
      <c r="CUY25" s="21"/>
      <c r="CUZ25" s="21"/>
      <c r="CVA25" s="21"/>
      <c r="CVB25" s="21"/>
      <c r="CVC25" s="21"/>
      <c r="CVD25" s="21"/>
      <c r="CVE25" s="21"/>
      <c r="CVF25" s="21"/>
      <c r="CVG25" s="21"/>
      <c r="CVH25" s="21"/>
      <c r="CVI25" s="21"/>
      <c r="CVJ25" s="21"/>
      <c r="CVK25" s="21"/>
      <c r="CVL25" s="21"/>
      <c r="CVM25" s="21"/>
      <c r="CVN25" s="21"/>
      <c r="CVO25" s="21"/>
      <c r="CVP25" s="21"/>
      <c r="CVQ25" s="21"/>
      <c r="CVR25" s="21"/>
      <c r="CVS25" s="21"/>
      <c r="CVT25" s="21"/>
      <c r="CVU25" s="21"/>
      <c r="CVV25" s="21"/>
      <c r="CVW25" s="21"/>
      <c r="CVX25" s="21"/>
      <c r="CVY25" s="21"/>
      <c r="CVZ25" s="21"/>
      <c r="CWA25" s="21"/>
      <c r="CWB25" s="21"/>
      <c r="CWC25" s="21"/>
      <c r="CWD25" s="21"/>
      <c r="CWE25" s="21"/>
      <c r="CWF25" s="21"/>
      <c r="CWG25" s="21"/>
      <c r="CWH25" s="21"/>
      <c r="CWI25" s="21"/>
      <c r="CWJ25" s="21"/>
      <c r="CWK25" s="21"/>
      <c r="CWL25" s="21"/>
      <c r="CWM25" s="21"/>
      <c r="CWN25" s="21"/>
      <c r="CWO25" s="21"/>
      <c r="CWP25" s="21"/>
      <c r="CWQ25" s="21"/>
      <c r="CWR25" s="21"/>
      <c r="CWS25" s="21"/>
      <c r="CWT25" s="21"/>
      <c r="CWU25" s="21"/>
      <c r="CWV25" s="21"/>
      <c r="CWW25" s="21"/>
      <c r="CWX25" s="21"/>
      <c r="CWY25" s="21"/>
      <c r="CWZ25" s="21"/>
      <c r="CXA25" s="21"/>
      <c r="CXB25" s="21"/>
      <c r="CXC25" s="21"/>
      <c r="CXD25" s="21"/>
      <c r="CXE25" s="21"/>
      <c r="CXF25" s="21"/>
      <c r="CXG25" s="21"/>
      <c r="CXH25" s="21"/>
      <c r="CXI25" s="21"/>
      <c r="CXJ25" s="21"/>
      <c r="CXK25" s="21"/>
      <c r="CXL25" s="21"/>
      <c r="CXM25" s="21"/>
      <c r="CXN25" s="21"/>
      <c r="CXO25" s="21"/>
      <c r="CXP25" s="21"/>
      <c r="CXQ25" s="21"/>
      <c r="CXR25" s="21"/>
      <c r="CXS25" s="21"/>
      <c r="CXT25" s="21"/>
      <c r="CXU25" s="21"/>
      <c r="CXV25" s="21"/>
      <c r="CXW25" s="21"/>
      <c r="CXX25" s="21"/>
      <c r="CXY25" s="21"/>
      <c r="CXZ25" s="21"/>
      <c r="CYA25" s="21"/>
      <c r="CYB25" s="21"/>
      <c r="CYC25" s="21"/>
      <c r="CYD25" s="21"/>
      <c r="CYE25" s="21"/>
      <c r="CYF25" s="21"/>
      <c r="CYG25" s="21"/>
      <c r="CYH25" s="21"/>
      <c r="CYI25" s="21"/>
      <c r="CYJ25" s="21"/>
      <c r="CYK25" s="21"/>
      <c r="CYL25" s="21"/>
      <c r="CYM25" s="21"/>
      <c r="CYN25" s="21"/>
      <c r="CYO25" s="21"/>
      <c r="CYP25" s="21"/>
      <c r="CYQ25" s="21"/>
      <c r="CYR25" s="21"/>
      <c r="CYS25" s="21"/>
      <c r="CYT25" s="21"/>
      <c r="CYU25" s="21"/>
      <c r="CYV25" s="21"/>
      <c r="CYW25" s="21"/>
      <c r="CYX25" s="21"/>
      <c r="CYY25" s="21"/>
      <c r="CYZ25" s="21"/>
      <c r="CZA25" s="21"/>
      <c r="CZB25" s="21"/>
      <c r="CZC25" s="21"/>
      <c r="CZD25" s="21"/>
      <c r="CZE25" s="21"/>
      <c r="CZF25" s="21"/>
      <c r="CZG25" s="21"/>
      <c r="CZH25" s="21"/>
      <c r="CZI25" s="21"/>
      <c r="CZJ25" s="21"/>
      <c r="CZK25" s="21"/>
      <c r="CZL25" s="21"/>
      <c r="CZM25" s="21"/>
      <c r="CZN25" s="21"/>
      <c r="CZO25" s="21"/>
      <c r="CZP25" s="21"/>
      <c r="CZQ25" s="21"/>
      <c r="CZR25" s="21"/>
      <c r="CZS25" s="21"/>
      <c r="CZT25" s="21"/>
      <c r="CZU25" s="21"/>
      <c r="CZV25" s="21"/>
      <c r="CZW25" s="21"/>
      <c r="CZX25" s="21"/>
      <c r="CZY25" s="21"/>
      <c r="CZZ25" s="21"/>
      <c r="DAA25" s="21"/>
      <c r="DAB25" s="21"/>
      <c r="DAC25" s="21"/>
      <c r="DAD25" s="21"/>
      <c r="DAE25" s="21"/>
      <c r="DAF25" s="21"/>
      <c r="DAG25" s="21"/>
      <c r="DAH25" s="21"/>
      <c r="DAI25" s="21"/>
      <c r="DAJ25" s="21"/>
      <c r="DAK25" s="21"/>
      <c r="DAL25" s="21"/>
      <c r="DAM25" s="21"/>
      <c r="DAN25" s="21"/>
      <c r="DAO25" s="21"/>
      <c r="DAP25" s="21"/>
      <c r="DAQ25" s="21"/>
      <c r="DAR25" s="21"/>
      <c r="DAS25" s="21"/>
      <c r="DAT25" s="21"/>
      <c r="DAU25" s="21"/>
      <c r="DAV25" s="21"/>
      <c r="DAW25" s="21"/>
      <c r="DAX25" s="21"/>
      <c r="DAY25" s="21"/>
      <c r="DAZ25" s="21"/>
      <c r="DBA25" s="21"/>
      <c r="DBB25" s="21"/>
      <c r="DBC25" s="21"/>
      <c r="DBD25" s="21"/>
      <c r="DBE25" s="21"/>
      <c r="DBF25" s="21"/>
      <c r="DBG25" s="21"/>
      <c r="DBH25" s="21"/>
      <c r="DBI25" s="21"/>
      <c r="DBJ25" s="21"/>
      <c r="DBK25" s="21"/>
      <c r="DBL25" s="21"/>
      <c r="DBM25" s="21"/>
      <c r="DBN25" s="21"/>
      <c r="DBO25" s="21"/>
      <c r="DBP25" s="21"/>
      <c r="DBQ25" s="21"/>
      <c r="DBR25" s="21"/>
      <c r="DBS25" s="21"/>
      <c r="DBT25" s="21"/>
      <c r="DBU25" s="21"/>
      <c r="DBV25" s="21"/>
      <c r="DBW25" s="21"/>
      <c r="DBX25" s="21"/>
      <c r="DBY25" s="21"/>
      <c r="DBZ25" s="21"/>
      <c r="DCA25" s="21"/>
      <c r="DCB25" s="21"/>
      <c r="DCC25" s="21"/>
      <c r="DCD25" s="21"/>
      <c r="DCE25" s="21"/>
      <c r="DCF25" s="21"/>
      <c r="DCG25" s="21"/>
      <c r="DCH25" s="21"/>
      <c r="DCI25" s="21"/>
      <c r="DCJ25" s="21"/>
      <c r="DCK25" s="21"/>
      <c r="DCL25" s="21"/>
      <c r="DCM25" s="21"/>
      <c r="DCN25" s="21"/>
      <c r="DCO25" s="21"/>
      <c r="DCP25" s="21"/>
      <c r="DCQ25" s="21"/>
      <c r="DCR25" s="21"/>
      <c r="DCS25" s="21"/>
      <c r="DCT25" s="21"/>
      <c r="DCU25" s="21"/>
      <c r="DCV25" s="21"/>
      <c r="DCW25" s="21"/>
      <c r="DCX25" s="21"/>
      <c r="DCY25" s="21"/>
      <c r="DCZ25" s="21"/>
      <c r="DDA25" s="21"/>
      <c r="DDB25" s="21"/>
      <c r="DDC25" s="21"/>
      <c r="DDD25" s="21"/>
      <c r="DDE25" s="21"/>
      <c r="DDF25" s="21"/>
      <c r="DDG25" s="21"/>
      <c r="DDH25" s="21"/>
      <c r="DDI25" s="21"/>
      <c r="DDJ25" s="21"/>
      <c r="DDK25" s="21"/>
      <c r="DDL25" s="21"/>
      <c r="DDM25" s="21"/>
      <c r="DDN25" s="21"/>
      <c r="DDO25" s="21"/>
      <c r="DDP25" s="21"/>
      <c r="DDQ25" s="21"/>
      <c r="DDR25" s="21"/>
      <c r="DDS25" s="21"/>
      <c r="DDT25" s="21"/>
      <c r="DDU25" s="21"/>
      <c r="DDV25" s="21"/>
      <c r="DDW25" s="21"/>
      <c r="DDX25" s="21"/>
      <c r="DDY25" s="21"/>
      <c r="DDZ25" s="21"/>
      <c r="DEA25" s="21"/>
      <c r="DEB25" s="21"/>
      <c r="DEC25" s="21"/>
      <c r="DED25" s="21"/>
      <c r="DEE25" s="21"/>
      <c r="DEF25" s="21"/>
      <c r="DEG25" s="21"/>
      <c r="DEH25" s="21"/>
      <c r="DEI25" s="21"/>
      <c r="DEJ25" s="21"/>
      <c r="DEK25" s="21"/>
      <c r="DEL25" s="21"/>
      <c r="DEM25" s="21"/>
      <c r="DEN25" s="21"/>
      <c r="DEO25" s="21"/>
      <c r="DEP25" s="21"/>
      <c r="DEQ25" s="21"/>
      <c r="DER25" s="21"/>
      <c r="DES25" s="21"/>
      <c r="DET25" s="21"/>
      <c r="DEU25" s="21"/>
      <c r="DEV25" s="21"/>
      <c r="DEW25" s="21"/>
      <c r="DEX25" s="21"/>
      <c r="DEY25" s="21"/>
      <c r="DEZ25" s="21"/>
      <c r="DFA25" s="21"/>
      <c r="DFB25" s="21"/>
      <c r="DFC25" s="21"/>
      <c r="DFD25" s="21"/>
      <c r="DFE25" s="21"/>
      <c r="DFF25" s="21"/>
      <c r="DFG25" s="21"/>
      <c r="DFH25" s="21"/>
      <c r="DFI25" s="21"/>
      <c r="DFJ25" s="21"/>
      <c r="DFK25" s="21"/>
      <c r="DFL25" s="21"/>
      <c r="DFM25" s="21"/>
      <c r="DFN25" s="21"/>
      <c r="DFO25" s="21"/>
      <c r="DFP25" s="21"/>
      <c r="DFQ25" s="21"/>
      <c r="DFR25" s="21"/>
      <c r="DFS25" s="21"/>
      <c r="DFT25" s="21"/>
      <c r="DFU25" s="21"/>
      <c r="DFV25" s="21"/>
      <c r="DFW25" s="21"/>
      <c r="DFX25" s="21"/>
      <c r="DFY25" s="21"/>
      <c r="DFZ25" s="21"/>
      <c r="DGA25" s="21"/>
      <c r="DGB25" s="21"/>
      <c r="DGC25" s="21"/>
      <c r="DGD25" s="21"/>
      <c r="DGE25" s="21"/>
      <c r="DGF25" s="21"/>
      <c r="DGG25" s="21"/>
      <c r="DGH25" s="21"/>
      <c r="DGI25" s="21"/>
      <c r="DGJ25" s="21"/>
      <c r="DGK25" s="21"/>
      <c r="DGL25" s="21"/>
      <c r="DGM25" s="21"/>
      <c r="DGN25" s="21"/>
      <c r="DGO25" s="21"/>
      <c r="DGP25" s="21"/>
      <c r="DGQ25" s="21"/>
      <c r="DGR25" s="21"/>
      <c r="DGS25" s="21"/>
      <c r="DGT25" s="21"/>
      <c r="DGU25" s="21"/>
      <c r="DGV25" s="21"/>
      <c r="DGW25" s="21"/>
      <c r="DGX25" s="21"/>
      <c r="DGY25" s="21"/>
      <c r="DGZ25" s="21"/>
      <c r="DHA25" s="21"/>
      <c r="DHB25" s="21"/>
      <c r="DHC25" s="21"/>
      <c r="DHD25" s="21"/>
      <c r="DHE25" s="21"/>
      <c r="DHF25" s="21"/>
      <c r="DHG25" s="21"/>
      <c r="DHH25" s="21"/>
      <c r="DHI25" s="21"/>
      <c r="DHJ25" s="21"/>
      <c r="DHK25" s="21"/>
      <c r="DHL25" s="21"/>
      <c r="DHM25" s="21"/>
      <c r="DHN25" s="21"/>
      <c r="DHO25" s="21"/>
      <c r="DHP25" s="21"/>
      <c r="DHQ25" s="21"/>
      <c r="DHR25" s="21"/>
      <c r="DHS25" s="21"/>
      <c r="DHT25" s="21"/>
      <c r="DHU25" s="21"/>
      <c r="DHV25" s="21"/>
      <c r="DHW25" s="21"/>
      <c r="DHX25" s="21"/>
      <c r="DHY25" s="21"/>
      <c r="DHZ25" s="21"/>
      <c r="DIA25" s="21"/>
      <c r="DIB25" s="21"/>
      <c r="DIC25" s="21"/>
      <c r="DID25" s="21"/>
      <c r="DIE25" s="21"/>
      <c r="DIF25" s="21"/>
      <c r="DIG25" s="21"/>
      <c r="DIH25" s="21"/>
      <c r="DII25" s="21"/>
      <c r="DIJ25" s="21"/>
      <c r="DIK25" s="21"/>
      <c r="DIL25" s="21"/>
      <c r="DIM25" s="21"/>
      <c r="DIN25" s="21"/>
      <c r="DIO25" s="21"/>
      <c r="DIP25" s="21"/>
      <c r="DIQ25" s="21"/>
      <c r="DIR25" s="21"/>
      <c r="DIS25" s="21"/>
      <c r="DIT25" s="21"/>
      <c r="DIU25" s="21"/>
      <c r="DIV25" s="21"/>
      <c r="DIW25" s="21"/>
      <c r="DIX25" s="21"/>
      <c r="DIY25" s="21"/>
      <c r="DIZ25" s="21"/>
      <c r="DJA25" s="21"/>
      <c r="DJB25" s="21"/>
      <c r="DJC25" s="21"/>
      <c r="DJD25" s="21"/>
      <c r="DJE25" s="21"/>
      <c r="DJF25" s="21"/>
      <c r="DJG25" s="21"/>
      <c r="DJH25" s="21"/>
      <c r="DJI25" s="21"/>
      <c r="DJJ25" s="21"/>
      <c r="DJK25" s="21"/>
      <c r="DJL25" s="21"/>
      <c r="DJM25" s="21"/>
      <c r="DJN25" s="21"/>
      <c r="DJO25" s="21"/>
      <c r="DJP25" s="21"/>
      <c r="DJQ25" s="21"/>
      <c r="DJR25" s="21"/>
      <c r="DJS25" s="21"/>
      <c r="DJT25" s="21"/>
      <c r="DJU25" s="21"/>
      <c r="DJV25" s="21"/>
      <c r="DJW25" s="21"/>
      <c r="DJX25" s="21"/>
      <c r="DJY25" s="21"/>
      <c r="DJZ25" s="21"/>
      <c r="DKA25" s="21"/>
      <c r="DKB25" s="21"/>
      <c r="DKC25" s="21"/>
      <c r="DKD25" s="21"/>
      <c r="DKE25" s="21"/>
      <c r="DKF25" s="21"/>
      <c r="DKG25" s="21"/>
      <c r="DKH25" s="21"/>
      <c r="DKI25" s="21"/>
      <c r="DKJ25" s="21"/>
      <c r="DKK25" s="21"/>
      <c r="DKL25" s="21"/>
      <c r="DKM25" s="21"/>
      <c r="DKN25" s="21"/>
      <c r="DKO25" s="21"/>
      <c r="DKP25" s="21"/>
      <c r="DKQ25" s="21"/>
      <c r="DKR25" s="21"/>
      <c r="DKS25" s="21"/>
      <c r="DKT25" s="21"/>
      <c r="DKU25" s="21"/>
      <c r="DKV25" s="21"/>
      <c r="DKW25" s="21"/>
      <c r="DKX25" s="21"/>
      <c r="DKY25" s="21"/>
      <c r="DKZ25" s="21"/>
      <c r="DLA25" s="21"/>
      <c r="DLB25" s="21"/>
      <c r="DLC25" s="21"/>
      <c r="DLD25" s="21"/>
      <c r="DLE25" s="21"/>
      <c r="DLF25" s="21"/>
      <c r="DLG25" s="21"/>
      <c r="DLH25" s="21"/>
      <c r="DLI25" s="21"/>
      <c r="DLJ25" s="21"/>
      <c r="DLK25" s="21"/>
      <c r="DLL25" s="21"/>
      <c r="DLM25" s="21"/>
      <c r="DLN25" s="21"/>
      <c r="DLO25" s="21"/>
      <c r="DLP25" s="21"/>
      <c r="DLQ25" s="21"/>
      <c r="DLR25" s="21"/>
      <c r="DLS25" s="21"/>
      <c r="DLT25" s="21"/>
      <c r="DLU25" s="21"/>
      <c r="DLV25" s="21"/>
      <c r="DLW25" s="21"/>
      <c r="DLX25" s="21"/>
      <c r="DLY25" s="21"/>
      <c r="DLZ25" s="21"/>
      <c r="DMA25" s="21"/>
      <c r="DMB25" s="21"/>
      <c r="DMC25" s="21"/>
      <c r="DMD25" s="21"/>
      <c r="DME25" s="21"/>
      <c r="DMF25" s="21"/>
      <c r="DMG25" s="21"/>
      <c r="DMH25" s="21"/>
      <c r="DMI25" s="21"/>
      <c r="DMJ25" s="21"/>
      <c r="DMK25" s="21"/>
      <c r="DML25" s="21"/>
      <c r="DMM25" s="21"/>
      <c r="DMN25" s="21"/>
      <c r="DMO25" s="21"/>
      <c r="DMP25" s="21"/>
      <c r="DMQ25" s="21"/>
      <c r="DMR25" s="21"/>
      <c r="DMS25" s="21"/>
      <c r="DMT25" s="21"/>
      <c r="DMU25" s="21"/>
      <c r="DMV25" s="21"/>
      <c r="DMW25" s="21"/>
      <c r="DMX25" s="21"/>
      <c r="DMY25" s="21"/>
      <c r="DMZ25" s="21"/>
      <c r="DNA25" s="21"/>
      <c r="DNB25" s="21"/>
      <c r="DNC25" s="21"/>
      <c r="DND25" s="21"/>
      <c r="DNE25" s="21"/>
      <c r="DNF25" s="21"/>
      <c r="DNG25" s="21"/>
      <c r="DNH25" s="21"/>
      <c r="DNI25" s="21"/>
      <c r="DNJ25" s="21"/>
      <c r="DNK25" s="21"/>
      <c r="DNL25" s="21"/>
      <c r="DNM25" s="21"/>
      <c r="DNN25" s="21"/>
      <c r="DNO25" s="21"/>
      <c r="DNP25" s="21"/>
      <c r="DNQ25" s="21"/>
      <c r="DNR25" s="21"/>
      <c r="DNS25" s="21"/>
      <c r="DNT25" s="21"/>
      <c r="DNU25" s="21"/>
      <c r="DNV25" s="21"/>
      <c r="DNW25" s="21"/>
      <c r="DNX25" s="21"/>
      <c r="DNY25" s="21"/>
      <c r="DNZ25" s="21"/>
      <c r="DOA25" s="21"/>
      <c r="DOB25" s="21"/>
      <c r="DOC25" s="21"/>
      <c r="DOD25" s="21"/>
      <c r="DOE25" s="21"/>
      <c r="DOF25" s="21"/>
      <c r="DOG25" s="21"/>
      <c r="DOH25" s="21"/>
      <c r="DOI25" s="21"/>
      <c r="DOJ25" s="21"/>
      <c r="DOK25" s="21"/>
      <c r="DOL25" s="21"/>
      <c r="DOM25" s="21"/>
      <c r="DON25" s="21"/>
      <c r="DOO25" s="21"/>
      <c r="DOP25" s="21"/>
      <c r="DOQ25" s="21"/>
      <c r="DOR25" s="21"/>
      <c r="DOS25" s="21"/>
      <c r="DOT25" s="21"/>
      <c r="DOU25" s="21"/>
      <c r="DOV25" s="21"/>
      <c r="DOW25" s="21"/>
      <c r="DOX25" s="21"/>
      <c r="DOY25" s="21"/>
      <c r="DOZ25" s="21"/>
      <c r="DPA25" s="21"/>
      <c r="DPB25" s="21"/>
      <c r="DPC25" s="21"/>
      <c r="DPD25" s="21"/>
      <c r="DPE25" s="21"/>
      <c r="DPF25" s="21"/>
      <c r="DPG25" s="21"/>
      <c r="DPH25" s="21"/>
      <c r="DPI25" s="21"/>
      <c r="DPJ25" s="21"/>
      <c r="DPK25" s="21"/>
      <c r="DPL25" s="21"/>
      <c r="DPM25" s="21"/>
      <c r="DPN25" s="21"/>
      <c r="DPO25" s="21"/>
      <c r="DPP25" s="21"/>
      <c r="DPQ25" s="21"/>
      <c r="DPR25" s="21"/>
      <c r="DPS25" s="21"/>
      <c r="DPT25" s="21"/>
      <c r="DPU25" s="21"/>
      <c r="DPV25" s="21"/>
      <c r="DPW25" s="21"/>
      <c r="DPX25" s="21"/>
      <c r="DPY25" s="21"/>
      <c r="DPZ25" s="21"/>
      <c r="DQA25" s="21"/>
      <c r="DQB25" s="21"/>
      <c r="DQC25" s="21"/>
      <c r="DQD25" s="21"/>
      <c r="DQE25" s="21"/>
      <c r="DQF25" s="21"/>
      <c r="DQG25" s="21"/>
      <c r="DQH25" s="21"/>
      <c r="DQI25" s="21"/>
      <c r="DQJ25" s="21"/>
      <c r="DQK25" s="21"/>
      <c r="DQL25" s="21"/>
      <c r="DQM25" s="21"/>
      <c r="DQN25" s="21"/>
      <c r="DQO25" s="21"/>
      <c r="DQP25" s="21"/>
      <c r="DQQ25" s="21"/>
      <c r="DQR25" s="21"/>
      <c r="DQS25" s="21"/>
      <c r="DQT25" s="21"/>
      <c r="DQU25" s="21"/>
      <c r="DQV25" s="21"/>
      <c r="DQW25" s="21"/>
      <c r="DQX25" s="21"/>
      <c r="DQY25" s="21"/>
      <c r="DQZ25" s="21"/>
      <c r="DRA25" s="21"/>
      <c r="DRB25" s="21"/>
      <c r="DRC25" s="21"/>
      <c r="DRD25" s="21"/>
      <c r="DRE25" s="21"/>
      <c r="DRF25" s="21"/>
      <c r="DRG25" s="21"/>
      <c r="DRH25" s="21"/>
      <c r="DRI25" s="21"/>
      <c r="DRJ25" s="21"/>
      <c r="DRK25" s="21"/>
      <c r="DRL25" s="21"/>
      <c r="DRM25" s="21"/>
      <c r="DRN25" s="21"/>
      <c r="DRO25" s="21"/>
      <c r="DRP25" s="21"/>
      <c r="DRQ25" s="21"/>
      <c r="DRR25" s="21"/>
      <c r="DRS25" s="21"/>
      <c r="DRT25" s="21"/>
      <c r="DRU25" s="21"/>
      <c r="DRV25" s="21"/>
      <c r="DRW25" s="21"/>
      <c r="DRX25" s="21"/>
      <c r="DRY25" s="21"/>
      <c r="DRZ25" s="21"/>
      <c r="DSA25" s="21"/>
      <c r="DSB25" s="21"/>
      <c r="DSC25" s="21"/>
      <c r="DSD25" s="21"/>
      <c r="DSE25" s="21"/>
      <c r="DSF25" s="21"/>
      <c r="DSG25" s="21"/>
      <c r="DSH25" s="21"/>
      <c r="DSI25" s="21"/>
      <c r="DSJ25" s="21"/>
      <c r="DSK25" s="21"/>
      <c r="DSL25" s="21"/>
      <c r="DSM25" s="21"/>
      <c r="DSN25" s="21"/>
      <c r="DSO25" s="21"/>
      <c r="DSP25" s="21"/>
      <c r="DSQ25" s="21"/>
      <c r="DSR25" s="21"/>
      <c r="DSS25" s="21"/>
      <c r="DST25" s="21"/>
      <c r="DSU25" s="21"/>
      <c r="DSV25" s="21"/>
      <c r="DSW25" s="21"/>
      <c r="DSX25" s="21"/>
      <c r="DSY25" s="21"/>
      <c r="DSZ25" s="21"/>
      <c r="DTA25" s="21"/>
      <c r="DTB25" s="21"/>
      <c r="DTC25" s="21"/>
      <c r="DTD25" s="21"/>
      <c r="DTE25" s="21"/>
      <c r="DTF25" s="21"/>
      <c r="DTG25" s="21"/>
      <c r="DTH25" s="21"/>
      <c r="DTI25" s="21"/>
      <c r="DTJ25" s="21"/>
      <c r="DTK25" s="21"/>
      <c r="DTL25" s="21"/>
      <c r="DTM25" s="21"/>
      <c r="DTN25" s="21"/>
      <c r="DTO25" s="21"/>
      <c r="DTP25" s="21"/>
      <c r="DTQ25" s="21"/>
      <c r="DTR25" s="21"/>
      <c r="DTS25" s="21"/>
      <c r="DTT25" s="21"/>
      <c r="DTU25" s="21"/>
      <c r="DTV25" s="21"/>
      <c r="DTW25" s="21"/>
      <c r="DTX25" s="21"/>
      <c r="DTY25" s="21"/>
      <c r="DTZ25" s="21"/>
      <c r="DUA25" s="21"/>
      <c r="DUB25" s="21"/>
      <c r="DUC25" s="21"/>
      <c r="DUD25" s="21"/>
      <c r="DUE25" s="21"/>
      <c r="DUF25" s="21"/>
      <c r="DUG25" s="21"/>
      <c r="DUH25" s="21"/>
      <c r="DUI25" s="21"/>
      <c r="DUJ25" s="21"/>
      <c r="DUK25" s="21"/>
      <c r="DUL25" s="21"/>
      <c r="DUM25" s="21"/>
      <c r="DUN25" s="21"/>
      <c r="DUO25" s="21"/>
      <c r="DUP25" s="21"/>
      <c r="DUQ25" s="21"/>
      <c r="DUR25" s="21"/>
      <c r="DUS25" s="21"/>
      <c r="DUT25" s="21"/>
      <c r="DUU25" s="21"/>
      <c r="DUV25" s="21"/>
      <c r="DUW25" s="21"/>
      <c r="DUX25" s="21"/>
      <c r="DUY25" s="21"/>
      <c r="DUZ25" s="21"/>
      <c r="DVA25" s="21"/>
      <c r="DVB25" s="21"/>
      <c r="DVC25" s="21"/>
      <c r="DVD25" s="21"/>
      <c r="DVE25" s="21"/>
      <c r="DVF25" s="21"/>
      <c r="DVG25" s="21"/>
      <c r="DVH25" s="21"/>
      <c r="DVI25" s="21"/>
      <c r="DVJ25" s="21"/>
      <c r="DVK25" s="21"/>
      <c r="DVL25" s="21"/>
      <c r="DVM25" s="21"/>
      <c r="DVN25" s="21"/>
      <c r="DVO25" s="21"/>
      <c r="DVP25" s="21"/>
      <c r="DVQ25" s="21"/>
      <c r="DVR25" s="21"/>
      <c r="DVS25" s="21"/>
      <c r="DVT25" s="21"/>
      <c r="DVU25" s="21"/>
      <c r="DVV25" s="21"/>
      <c r="DVW25" s="21"/>
      <c r="DVX25" s="21"/>
      <c r="DVY25" s="21"/>
      <c r="DVZ25" s="21"/>
      <c r="DWA25" s="21"/>
      <c r="DWB25" s="21"/>
      <c r="DWC25" s="21"/>
      <c r="DWD25" s="21"/>
      <c r="DWE25" s="21"/>
      <c r="DWF25" s="21"/>
      <c r="DWG25" s="21"/>
      <c r="DWH25" s="21"/>
      <c r="DWI25" s="21"/>
      <c r="DWJ25" s="21"/>
      <c r="DWK25" s="21"/>
      <c r="DWL25" s="21"/>
      <c r="DWM25" s="21"/>
      <c r="DWN25" s="21"/>
      <c r="DWO25" s="21"/>
      <c r="DWP25" s="21"/>
      <c r="DWQ25" s="21"/>
      <c r="DWR25" s="21"/>
      <c r="DWS25" s="21"/>
      <c r="DWT25" s="21"/>
      <c r="DWU25" s="21"/>
      <c r="DWV25" s="21"/>
      <c r="DWW25" s="21"/>
      <c r="DWX25" s="21"/>
      <c r="DWY25" s="21"/>
      <c r="DWZ25" s="21"/>
      <c r="DXA25" s="21"/>
      <c r="DXB25" s="21"/>
      <c r="DXC25" s="21"/>
      <c r="DXD25" s="21"/>
      <c r="DXE25" s="21"/>
      <c r="DXF25" s="21"/>
      <c r="DXG25" s="21"/>
      <c r="DXH25" s="21"/>
      <c r="DXI25" s="21"/>
      <c r="DXJ25" s="21"/>
      <c r="DXK25" s="21"/>
      <c r="DXL25" s="21"/>
      <c r="DXM25" s="21"/>
      <c r="DXN25" s="21"/>
      <c r="DXO25" s="21"/>
      <c r="DXP25" s="21"/>
      <c r="DXQ25" s="21"/>
      <c r="DXR25" s="21"/>
      <c r="DXS25" s="21"/>
      <c r="DXT25" s="21"/>
      <c r="DXU25" s="21"/>
      <c r="DXV25" s="21"/>
      <c r="DXW25" s="21"/>
      <c r="DXX25" s="21"/>
      <c r="DXY25" s="21"/>
      <c r="DXZ25" s="21"/>
      <c r="DYA25" s="21"/>
      <c r="DYB25" s="21"/>
      <c r="DYC25" s="21"/>
      <c r="DYD25" s="21"/>
      <c r="DYE25" s="21"/>
      <c r="DYF25" s="21"/>
      <c r="DYG25" s="21"/>
      <c r="DYH25" s="21"/>
      <c r="DYI25" s="21"/>
      <c r="DYJ25" s="21"/>
      <c r="DYK25" s="21"/>
      <c r="DYL25" s="21"/>
      <c r="DYM25" s="21"/>
      <c r="DYN25" s="21"/>
      <c r="DYO25" s="21"/>
      <c r="DYP25" s="21"/>
      <c r="DYQ25" s="21"/>
      <c r="DYR25" s="21"/>
      <c r="DYS25" s="21"/>
      <c r="DYT25" s="21"/>
      <c r="DYU25" s="21"/>
      <c r="DYV25" s="21"/>
      <c r="DYW25" s="21"/>
      <c r="DYX25" s="21"/>
      <c r="DYY25" s="21"/>
      <c r="DYZ25" s="21"/>
      <c r="DZA25" s="21"/>
      <c r="DZB25" s="21"/>
      <c r="DZC25" s="21"/>
      <c r="DZD25" s="21"/>
      <c r="DZE25" s="21"/>
      <c r="DZF25" s="21"/>
      <c r="DZG25" s="21"/>
      <c r="DZH25" s="21"/>
      <c r="DZI25" s="21"/>
      <c r="DZJ25" s="21"/>
      <c r="DZK25" s="21"/>
      <c r="DZL25" s="21"/>
      <c r="DZM25" s="21"/>
      <c r="DZN25" s="21"/>
      <c r="DZO25" s="21"/>
      <c r="DZP25" s="21"/>
      <c r="DZQ25" s="21"/>
      <c r="DZR25" s="21"/>
      <c r="DZS25" s="21"/>
      <c r="DZT25" s="21"/>
      <c r="DZU25" s="21"/>
      <c r="DZV25" s="21"/>
      <c r="DZW25" s="21"/>
      <c r="DZX25" s="21"/>
      <c r="DZY25" s="21"/>
      <c r="DZZ25" s="21"/>
      <c r="EAA25" s="21"/>
      <c r="EAB25" s="21"/>
      <c r="EAC25" s="21"/>
      <c r="EAD25" s="21"/>
      <c r="EAE25" s="21"/>
      <c r="EAF25" s="21"/>
      <c r="EAG25" s="21"/>
      <c r="EAH25" s="21"/>
      <c r="EAI25" s="21"/>
      <c r="EAJ25" s="21"/>
      <c r="EAK25" s="21"/>
      <c r="EAL25" s="21"/>
      <c r="EAM25" s="21"/>
      <c r="EAN25" s="21"/>
      <c r="EAO25" s="21"/>
      <c r="EAP25" s="21"/>
      <c r="EAQ25" s="21"/>
      <c r="EAR25" s="21"/>
      <c r="EAS25" s="21"/>
      <c r="EAT25" s="21"/>
      <c r="EAU25" s="21"/>
      <c r="EAV25" s="21"/>
      <c r="EAW25" s="21"/>
      <c r="EAX25" s="21"/>
      <c r="EAY25" s="21"/>
      <c r="EAZ25" s="21"/>
      <c r="EBA25" s="21"/>
      <c r="EBB25" s="21"/>
      <c r="EBC25" s="21"/>
      <c r="EBD25" s="21"/>
      <c r="EBE25" s="21"/>
      <c r="EBF25" s="21"/>
      <c r="EBG25" s="21"/>
      <c r="EBH25" s="21"/>
      <c r="EBI25" s="21"/>
      <c r="EBJ25" s="21"/>
      <c r="EBK25" s="21"/>
      <c r="EBL25" s="21"/>
      <c r="EBM25" s="21"/>
      <c r="EBN25" s="21"/>
      <c r="EBO25" s="21"/>
      <c r="EBP25" s="21"/>
      <c r="EBQ25" s="21"/>
      <c r="EBR25" s="21"/>
      <c r="EBS25" s="21"/>
      <c r="EBT25" s="21"/>
      <c r="EBU25" s="21"/>
      <c r="EBV25" s="21"/>
      <c r="EBW25" s="21"/>
      <c r="EBX25" s="21"/>
      <c r="EBY25" s="21"/>
      <c r="EBZ25" s="21"/>
      <c r="ECA25" s="21"/>
      <c r="ECB25" s="21"/>
      <c r="ECC25" s="21"/>
      <c r="ECD25" s="21"/>
      <c r="ECE25" s="21"/>
      <c r="ECF25" s="21"/>
      <c r="ECG25" s="21"/>
      <c r="ECH25" s="21"/>
      <c r="ECI25" s="21"/>
      <c r="ECJ25" s="21"/>
      <c r="ECK25" s="21"/>
      <c r="ECL25" s="21"/>
      <c r="ECM25" s="21"/>
      <c r="ECN25" s="21"/>
      <c r="ECO25" s="21"/>
      <c r="ECP25" s="21"/>
      <c r="ECQ25" s="21"/>
      <c r="ECR25" s="21"/>
      <c r="ECS25" s="21"/>
      <c r="ECT25" s="21"/>
      <c r="ECU25" s="21"/>
      <c r="ECV25" s="21"/>
      <c r="ECW25" s="21"/>
      <c r="ECX25" s="21"/>
      <c r="ECY25" s="21"/>
      <c r="ECZ25" s="21"/>
      <c r="EDA25" s="21"/>
      <c r="EDB25" s="21"/>
      <c r="EDC25" s="21"/>
      <c r="EDD25" s="21"/>
      <c r="EDE25" s="21"/>
      <c r="EDF25" s="21"/>
      <c r="EDG25" s="21"/>
      <c r="EDH25" s="21"/>
      <c r="EDI25" s="21"/>
      <c r="EDJ25" s="21"/>
      <c r="EDK25" s="21"/>
      <c r="EDL25" s="21"/>
      <c r="EDM25" s="21"/>
      <c r="EDN25" s="21"/>
      <c r="EDO25" s="21"/>
      <c r="EDP25" s="21"/>
      <c r="EDQ25" s="21"/>
      <c r="EDR25" s="21"/>
      <c r="EDS25" s="21"/>
      <c r="EDT25" s="21"/>
      <c r="EDU25" s="21"/>
      <c r="EDV25" s="21"/>
      <c r="EDW25" s="21"/>
      <c r="EDX25" s="21"/>
      <c r="EDY25" s="21"/>
      <c r="EDZ25" s="21"/>
      <c r="EEA25" s="21"/>
      <c r="EEB25" s="21"/>
      <c r="EEC25" s="21"/>
      <c r="EED25" s="21"/>
      <c r="EEE25" s="21"/>
      <c r="EEF25" s="21"/>
      <c r="EEG25" s="21"/>
      <c r="EEH25" s="21"/>
      <c r="EEI25" s="21"/>
      <c r="EEJ25" s="21"/>
      <c r="EEK25" s="21"/>
      <c r="EEL25" s="21"/>
      <c r="EEM25" s="21"/>
      <c r="EEN25" s="21"/>
      <c r="EEO25" s="21"/>
      <c r="EEP25" s="21"/>
      <c r="EEQ25" s="21"/>
      <c r="EER25" s="21"/>
      <c r="EES25" s="21"/>
      <c r="EET25" s="21"/>
      <c r="EEU25" s="21"/>
      <c r="EEV25" s="21"/>
      <c r="EEW25" s="21"/>
      <c r="EEX25" s="21"/>
      <c r="EEY25" s="21"/>
      <c r="EEZ25" s="21"/>
      <c r="EFA25" s="21"/>
      <c r="EFB25" s="21"/>
      <c r="EFC25" s="21"/>
      <c r="EFD25" s="21"/>
      <c r="EFE25" s="21"/>
      <c r="EFF25" s="21"/>
      <c r="EFG25" s="21"/>
      <c r="EFH25" s="21"/>
      <c r="EFI25" s="21"/>
      <c r="EFJ25" s="21"/>
      <c r="EFK25" s="21"/>
      <c r="EFL25" s="21"/>
      <c r="EFM25" s="21"/>
      <c r="EFN25" s="21"/>
      <c r="EFO25" s="21"/>
      <c r="EFP25" s="21"/>
      <c r="EFQ25" s="21"/>
      <c r="EFR25" s="21"/>
      <c r="EFS25" s="21"/>
      <c r="EFT25" s="21"/>
      <c r="EFU25" s="21"/>
      <c r="EFV25" s="21"/>
      <c r="EFW25" s="21"/>
      <c r="EFX25" s="21"/>
      <c r="EFY25" s="21"/>
      <c r="EFZ25" s="21"/>
      <c r="EGA25" s="21"/>
      <c r="EGB25" s="21"/>
      <c r="EGC25" s="21"/>
      <c r="EGD25" s="21"/>
      <c r="EGE25" s="21"/>
      <c r="EGF25" s="21"/>
      <c r="EGG25" s="21"/>
      <c r="EGH25" s="21"/>
      <c r="EGI25" s="21"/>
      <c r="EGJ25" s="21"/>
      <c r="EGK25" s="21"/>
      <c r="EGL25" s="21"/>
      <c r="EGM25" s="21"/>
      <c r="EGN25" s="21"/>
      <c r="EGO25" s="21"/>
      <c r="EGP25" s="21"/>
      <c r="EGQ25" s="21"/>
      <c r="EGR25" s="21"/>
      <c r="EGS25" s="21"/>
      <c r="EGT25" s="21"/>
      <c r="EGU25" s="21"/>
      <c r="EGV25" s="21"/>
      <c r="EGW25" s="21"/>
      <c r="EGX25" s="21"/>
      <c r="EGY25" s="21"/>
      <c r="EGZ25" s="21"/>
      <c r="EHA25" s="21"/>
      <c r="EHB25" s="21"/>
      <c r="EHC25" s="21"/>
      <c r="EHD25" s="21"/>
      <c r="EHE25" s="21"/>
      <c r="EHF25" s="21"/>
      <c r="EHG25" s="21"/>
      <c r="EHH25" s="21"/>
      <c r="EHI25" s="21"/>
      <c r="EHJ25" s="21"/>
      <c r="EHK25" s="21"/>
      <c r="EHL25" s="21"/>
      <c r="EHM25" s="21"/>
      <c r="EHN25" s="21"/>
      <c r="EHO25" s="21"/>
      <c r="EHP25" s="21"/>
      <c r="EHQ25" s="21"/>
      <c r="EHR25" s="21"/>
      <c r="EHS25" s="21"/>
      <c r="EHT25" s="21"/>
      <c r="EHU25" s="21"/>
      <c r="EHV25" s="21"/>
      <c r="EHW25" s="21"/>
      <c r="EHX25" s="21"/>
      <c r="EHY25" s="21"/>
      <c r="EHZ25" s="21"/>
      <c r="EIA25" s="21"/>
      <c r="EIB25" s="21"/>
      <c r="EIC25" s="21"/>
      <c r="EID25" s="21"/>
      <c r="EIE25" s="21"/>
      <c r="EIF25" s="21"/>
      <c r="EIG25" s="21"/>
      <c r="EIH25" s="21"/>
      <c r="EII25" s="21"/>
      <c r="EIJ25" s="21"/>
      <c r="EIK25" s="21"/>
      <c r="EIL25" s="21"/>
      <c r="EIM25" s="21"/>
      <c r="EIN25" s="21"/>
      <c r="EIO25" s="21"/>
      <c r="EIP25" s="21"/>
      <c r="EIQ25" s="21"/>
      <c r="EIR25" s="21"/>
      <c r="EIS25" s="21"/>
      <c r="EIT25" s="21"/>
      <c r="EIU25" s="21"/>
      <c r="EIV25" s="21"/>
      <c r="EIW25" s="21"/>
      <c r="EIX25" s="21"/>
      <c r="EIY25" s="21"/>
      <c r="EIZ25" s="21"/>
      <c r="EJA25" s="21"/>
      <c r="EJB25" s="21"/>
      <c r="EJC25" s="21"/>
      <c r="EJD25" s="21"/>
      <c r="EJE25" s="21"/>
      <c r="EJF25" s="21"/>
      <c r="EJG25" s="21"/>
      <c r="EJH25" s="21"/>
      <c r="EJI25" s="21"/>
      <c r="EJJ25" s="21"/>
      <c r="EJK25" s="21"/>
      <c r="EJL25" s="21"/>
      <c r="EJM25" s="21"/>
      <c r="EJN25" s="21"/>
      <c r="EJO25" s="21"/>
      <c r="EJP25" s="21"/>
      <c r="EJQ25" s="21"/>
      <c r="EJR25" s="21"/>
      <c r="EJS25" s="21"/>
      <c r="EJT25" s="21"/>
      <c r="EJU25" s="21"/>
      <c r="EJV25" s="21"/>
      <c r="EJW25" s="21"/>
      <c r="EJX25" s="21"/>
      <c r="EJY25" s="21"/>
      <c r="EJZ25" s="21"/>
      <c r="EKA25" s="21"/>
      <c r="EKB25" s="21"/>
      <c r="EKC25" s="21"/>
      <c r="EKD25" s="21"/>
      <c r="EKE25" s="21"/>
      <c r="EKF25" s="21"/>
      <c r="EKG25" s="21"/>
      <c r="EKH25" s="21"/>
      <c r="EKI25" s="21"/>
      <c r="EKJ25" s="21"/>
      <c r="EKK25" s="21"/>
      <c r="EKL25" s="21"/>
      <c r="EKM25" s="21"/>
      <c r="EKN25" s="21"/>
      <c r="EKO25" s="21"/>
      <c r="EKP25" s="21"/>
      <c r="EKQ25" s="21"/>
      <c r="EKR25" s="21"/>
      <c r="EKS25" s="21"/>
      <c r="EKT25" s="21"/>
      <c r="EKU25" s="21"/>
      <c r="EKV25" s="21"/>
      <c r="EKW25" s="21"/>
      <c r="EKX25" s="21"/>
      <c r="EKY25" s="21"/>
      <c r="EKZ25" s="21"/>
      <c r="ELA25" s="21"/>
      <c r="ELB25" s="21"/>
      <c r="ELC25" s="21"/>
      <c r="ELD25" s="21"/>
      <c r="ELE25" s="21"/>
      <c r="ELF25" s="21"/>
      <c r="ELG25" s="21"/>
      <c r="ELH25" s="21"/>
      <c r="ELI25" s="21"/>
      <c r="ELJ25" s="21"/>
      <c r="ELK25" s="21"/>
      <c r="ELL25" s="21"/>
      <c r="ELM25" s="21"/>
      <c r="ELN25" s="21"/>
      <c r="ELO25" s="21"/>
      <c r="ELP25" s="21"/>
      <c r="ELQ25" s="21"/>
      <c r="ELR25" s="21"/>
      <c r="ELS25" s="21"/>
      <c r="ELT25" s="21"/>
      <c r="ELU25" s="21"/>
      <c r="ELV25" s="21"/>
      <c r="ELW25" s="21"/>
      <c r="ELX25" s="21"/>
      <c r="ELY25" s="21"/>
      <c r="ELZ25" s="21"/>
      <c r="EMA25" s="21"/>
      <c r="EMB25" s="21"/>
      <c r="EMC25" s="21"/>
      <c r="EMD25" s="21"/>
      <c r="EME25" s="21"/>
      <c r="EMF25" s="21"/>
      <c r="EMG25" s="21"/>
      <c r="EMH25" s="21"/>
      <c r="EMI25" s="21"/>
      <c r="EMJ25" s="21"/>
      <c r="EMK25" s="21"/>
      <c r="EML25" s="21"/>
      <c r="EMM25" s="21"/>
      <c r="EMN25" s="21"/>
      <c r="EMO25" s="21"/>
      <c r="EMP25" s="21"/>
      <c r="EMQ25" s="21"/>
      <c r="EMR25" s="21"/>
      <c r="EMS25" s="21"/>
      <c r="EMT25" s="21"/>
      <c r="EMU25" s="21"/>
      <c r="EMV25" s="21"/>
      <c r="EMW25" s="21"/>
      <c r="EMX25" s="21"/>
      <c r="EMY25" s="21"/>
      <c r="EMZ25" s="21"/>
      <c r="ENA25" s="21"/>
      <c r="ENB25" s="21"/>
      <c r="ENC25" s="21"/>
      <c r="END25" s="21"/>
      <c r="ENE25" s="21"/>
      <c r="ENF25" s="21"/>
      <c r="ENG25" s="21"/>
      <c r="ENH25" s="21"/>
      <c r="ENI25" s="21"/>
      <c r="ENJ25" s="21"/>
      <c r="ENK25" s="21"/>
      <c r="ENL25" s="21"/>
      <c r="ENM25" s="21"/>
      <c r="ENN25" s="21"/>
      <c r="ENO25" s="21"/>
      <c r="ENP25" s="21"/>
      <c r="ENQ25" s="21"/>
      <c r="ENR25" s="21"/>
      <c r="ENS25" s="21"/>
      <c r="ENT25" s="21"/>
      <c r="ENU25" s="21"/>
      <c r="ENV25" s="21"/>
      <c r="ENW25" s="21"/>
      <c r="ENX25" s="21"/>
      <c r="ENY25" s="21"/>
      <c r="ENZ25" s="21"/>
      <c r="EOA25" s="21"/>
      <c r="EOB25" s="21"/>
      <c r="EOC25" s="21"/>
      <c r="EOD25" s="21"/>
      <c r="EOE25" s="21"/>
      <c r="EOF25" s="21"/>
      <c r="EOG25" s="21"/>
      <c r="EOH25" s="21"/>
      <c r="EOI25" s="21"/>
      <c r="EOJ25" s="21"/>
      <c r="EOK25" s="21"/>
      <c r="EOL25" s="21"/>
      <c r="EOM25" s="21"/>
      <c r="EON25" s="21"/>
      <c r="EOO25" s="21"/>
      <c r="EOP25" s="21"/>
      <c r="EOQ25" s="21"/>
      <c r="EOR25" s="21"/>
      <c r="EOS25" s="21"/>
      <c r="EOT25" s="21"/>
      <c r="EOU25" s="21"/>
      <c r="EOV25" s="21"/>
      <c r="EOW25" s="21"/>
      <c r="EOX25" s="21"/>
      <c r="EOY25" s="21"/>
      <c r="EOZ25" s="21"/>
      <c r="EPA25" s="21"/>
      <c r="EPB25" s="21"/>
      <c r="EPC25" s="21"/>
      <c r="EPD25" s="21"/>
      <c r="EPE25" s="21"/>
      <c r="EPF25" s="21"/>
      <c r="EPG25" s="21"/>
      <c r="EPH25" s="21"/>
      <c r="EPI25" s="21"/>
      <c r="EPJ25" s="21"/>
      <c r="EPK25" s="21"/>
      <c r="EPL25" s="21"/>
      <c r="EPM25" s="21"/>
      <c r="EPN25" s="21"/>
      <c r="EPO25" s="21"/>
      <c r="EPP25" s="21"/>
      <c r="EPQ25" s="21"/>
      <c r="EPR25" s="21"/>
      <c r="EPS25" s="21"/>
      <c r="EPT25" s="21"/>
      <c r="EPU25" s="21"/>
      <c r="EPV25" s="21"/>
      <c r="EPW25" s="21"/>
      <c r="EPX25" s="21"/>
      <c r="EPY25" s="21"/>
      <c r="EPZ25" s="21"/>
      <c r="EQA25" s="21"/>
      <c r="EQB25" s="21"/>
      <c r="EQC25" s="21"/>
      <c r="EQD25" s="21"/>
      <c r="EQE25" s="21"/>
      <c r="EQF25" s="21"/>
      <c r="EQG25" s="21"/>
      <c r="EQH25" s="21"/>
      <c r="EQI25" s="21"/>
      <c r="EQJ25" s="21"/>
      <c r="EQK25" s="21"/>
      <c r="EQL25" s="21"/>
      <c r="EQM25" s="21"/>
      <c r="EQN25" s="21"/>
      <c r="EQO25" s="21"/>
      <c r="EQP25" s="21"/>
      <c r="EQQ25" s="21"/>
      <c r="EQR25" s="21"/>
      <c r="EQS25" s="21"/>
      <c r="EQT25" s="21"/>
      <c r="EQU25" s="21"/>
      <c r="EQV25" s="21"/>
      <c r="EQW25" s="21"/>
      <c r="EQX25" s="21"/>
      <c r="EQY25" s="21"/>
      <c r="EQZ25" s="21"/>
      <c r="ERA25" s="21"/>
      <c r="ERB25" s="21"/>
      <c r="ERC25" s="21"/>
      <c r="ERD25" s="21"/>
      <c r="ERE25" s="21"/>
      <c r="ERF25" s="21"/>
      <c r="ERG25" s="21"/>
      <c r="ERH25" s="21"/>
      <c r="ERI25" s="21"/>
      <c r="ERJ25" s="21"/>
      <c r="ERK25" s="21"/>
      <c r="ERL25" s="21"/>
      <c r="ERM25" s="21"/>
      <c r="ERN25" s="21"/>
      <c r="ERO25" s="21"/>
      <c r="ERP25" s="21"/>
      <c r="ERQ25" s="21"/>
      <c r="ERR25" s="21"/>
      <c r="ERS25" s="21"/>
      <c r="ERT25" s="21"/>
      <c r="ERU25" s="21"/>
      <c r="ERV25" s="21"/>
      <c r="ERW25" s="21"/>
      <c r="ERX25" s="21"/>
      <c r="ERY25" s="21"/>
      <c r="ERZ25" s="21"/>
      <c r="ESA25" s="21"/>
      <c r="ESB25" s="21"/>
      <c r="ESC25" s="21"/>
      <c r="ESD25" s="21"/>
      <c r="ESE25" s="21"/>
      <c r="ESF25" s="21"/>
      <c r="ESG25" s="21"/>
      <c r="ESH25" s="21"/>
      <c r="ESI25" s="21"/>
      <c r="ESJ25" s="21"/>
      <c r="ESK25" s="21"/>
      <c r="ESL25" s="21"/>
      <c r="ESM25" s="21"/>
      <c r="ESN25" s="21"/>
      <c r="ESO25" s="21"/>
      <c r="ESP25" s="21"/>
      <c r="ESQ25" s="21"/>
      <c r="ESR25" s="21"/>
      <c r="ESS25" s="21"/>
      <c r="EST25" s="21"/>
      <c r="ESU25" s="21"/>
      <c r="ESV25" s="21"/>
      <c r="ESW25" s="21"/>
      <c r="ESX25" s="21"/>
      <c r="ESY25" s="21"/>
      <c r="ESZ25" s="21"/>
      <c r="ETA25" s="21"/>
      <c r="ETB25" s="21"/>
      <c r="ETC25" s="21"/>
      <c r="ETD25" s="21"/>
      <c r="ETE25" s="21"/>
      <c r="ETF25" s="21"/>
      <c r="ETG25" s="21"/>
      <c r="ETH25" s="21"/>
      <c r="ETI25" s="21"/>
      <c r="ETJ25" s="21"/>
      <c r="ETK25" s="21"/>
      <c r="ETL25" s="21"/>
      <c r="ETM25" s="21"/>
      <c r="ETN25" s="21"/>
      <c r="ETO25" s="21"/>
      <c r="ETP25" s="21"/>
      <c r="ETQ25" s="21"/>
      <c r="ETR25" s="21"/>
      <c r="ETS25" s="21"/>
      <c r="ETT25" s="21"/>
      <c r="ETU25" s="21"/>
      <c r="ETV25" s="21"/>
      <c r="ETW25" s="21"/>
      <c r="ETX25" s="21"/>
      <c r="ETY25" s="21"/>
      <c r="ETZ25" s="21"/>
      <c r="EUA25" s="21"/>
      <c r="EUB25" s="21"/>
      <c r="EUC25" s="21"/>
      <c r="EUD25" s="21"/>
      <c r="EUE25" s="21"/>
      <c r="EUF25" s="21"/>
      <c r="EUG25" s="21"/>
      <c r="EUH25" s="21"/>
      <c r="EUI25" s="21"/>
      <c r="EUJ25" s="21"/>
      <c r="EUK25" s="21"/>
      <c r="EUL25" s="21"/>
      <c r="EUM25" s="21"/>
      <c r="EUN25" s="21"/>
      <c r="EUO25" s="21"/>
      <c r="EUP25" s="21"/>
      <c r="EUQ25" s="21"/>
      <c r="EUR25" s="21"/>
      <c r="EUS25" s="21"/>
      <c r="EUT25" s="21"/>
      <c r="EUU25" s="21"/>
      <c r="EUV25" s="21"/>
      <c r="EUW25" s="21"/>
      <c r="EUX25" s="21"/>
      <c r="EUY25" s="21"/>
      <c r="EUZ25" s="21"/>
      <c r="EVA25" s="21"/>
      <c r="EVB25" s="21"/>
      <c r="EVC25" s="21"/>
      <c r="EVD25" s="21"/>
      <c r="EVE25" s="21"/>
      <c r="EVF25" s="21"/>
      <c r="EVG25" s="21"/>
      <c r="EVH25" s="21"/>
      <c r="EVI25" s="21"/>
      <c r="EVJ25" s="21"/>
      <c r="EVK25" s="21"/>
      <c r="EVL25" s="21"/>
      <c r="EVM25" s="21"/>
      <c r="EVN25" s="21"/>
      <c r="EVO25" s="21"/>
      <c r="EVP25" s="21"/>
      <c r="EVQ25" s="21"/>
      <c r="EVR25" s="21"/>
      <c r="EVS25" s="21"/>
      <c r="EVT25" s="21"/>
      <c r="EVU25" s="21"/>
      <c r="EVV25" s="21"/>
      <c r="EVW25" s="21"/>
      <c r="EVX25" s="21"/>
      <c r="EVY25" s="21"/>
      <c r="EVZ25" s="21"/>
      <c r="EWA25" s="21"/>
      <c r="EWB25" s="21"/>
      <c r="EWC25" s="21"/>
      <c r="EWD25" s="21"/>
      <c r="EWE25" s="21"/>
      <c r="EWF25" s="21"/>
      <c r="EWG25" s="21"/>
      <c r="EWH25" s="21"/>
      <c r="EWI25" s="21"/>
      <c r="EWJ25" s="21"/>
      <c r="EWK25" s="21"/>
      <c r="EWL25" s="21"/>
      <c r="EWM25" s="21"/>
      <c r="EWN25" s="21"/>
      <c r="EWO25" s="21"/>
      <c r="EWP25" s="21"/>
      <c r="EWQ25" s="21"/>
      <c r="EWR25" s="21"/>
      <c r="EWS25" s="21"/>
      <c r="EWT25" s="21"/>
      <c r="EWU25" s="21"/>
      <c r="EWV25" s="21"/>
      <c r="EWW25" s="21"/>
      <c r="EWX25" s="21"/>
      <c r="EWY25" s="21"/>
      <c r="EWZ25" s="21"/>
      <c r="EXA25" s="21"/>
      <c r="EXB25" s="21"/>
      <c r="EXC25" s="21"/>
      <c r="EXD25" s="21"/>
      <c r="EXE25" s="21"/>
      <c r="EXF25" s="21"/>
      <c r="EXG25" s="21"/>
      <c r="EXH25" s="21"/>
      <c r="EXI25" s="21"/>
      <c r="EXJ25" s="21"/>
      <c r="EXK25" s="21"/>
      <c r="EXL25" s="21"/>
      <c r="EXM25" s="21"/>
      <c r="EXN25" s="21"/>
      <c r="EXO25" s="21"/>
      <c r="EXP25" s="21"/>
      <c r="EXQ25" s="21"/>
      <c r="EXR25" s="21"/>
      <c r="EXS25" s="21"/>
      <c r="EXT25" s="21"/>
      <c r="EXU25" s="21"/>
      <c r="EXV25" s="21"/>
      <c r="EXW25" s="21"/>
      <c r="EXX25" s="21"/>
      <c r="EXY25" s="21"/>
      <c r="EXZ25" s="21"/>
      <c r="EYA25" s="21"/>
      <c r="EYB25" s="21"/>
      <c r="EYC25" s="21"/>
      <c r="EYD25" s="21"/>
      <c r="EYE25" s="21"/>
      <c r="EYF25" s="21"/>
      <c r="EYG25" s="21"/>
      <c r="EYH25" s="21"/>
      <c r="EYI25" s="21"/>
      <c r="EYJ25" s="21"/>
      <c r="EYK25" s="21"/>
      <c r="EYL25" s="21"/>
      <c r="EYM25" s="21"/>
      <c r="EYN25" s="21"/>
      <c r="EYO25" s="21"/>
      <c r="EYP25" s="21"/>
      <c r="EYQ25" s="21"/>
      <c r="EYR25" s="21"/>
      <c r="EYS25" s="21"/>
      <c r="EYT25" s="21"/>
      <c r="EYU25" s="21"/>
      <c r="EYV25" s="21"/>
      <c r="EYW25" s="21"/>
      <c r="EYX25" s="21"/>
      <c r="EYY25" s="21"/>
      <c r="EYZ25" s="21"/>
      <c r="EZA25" s="21"/>
      <c r="EZB25" s="21"/>
      <c r="EZC25" s="21"/>
      <c r="EZD25" s="21"/>
      <c r="EZE25" s="21"/>
      <c r="EZF25" s="21"/>
      <c r="EZG25" s="21"/>
      <c r="EZH25" s="21"/>
      <c r="EZI25" s="21"/>
      <c r="EZJ25" s="21"/>
      <c r="EZK25" s="21"/>
      <c r="EZL25" s="21"/>
      <c r="EZM25" s="21"/>
      <c r="EZN25" s="21"/>
      <c r="EZO25" s="21"/>
      <c r="EZP25" s="21"/>
      <c r="EZQ25" s="21"/>
      <c r="EZR25" s="21"/>
      <c r="EZS25" s="21"/>
      <c r="EZT25" s="21"/>
      <c r="EZU25" s="21"/>
      <c r="EZV25" s="21"/>
      <c r="EZW25" s="21"/>
      <c r="EZX25" s="21"/>
      <c r="EZY25" s="21"/>
      <c r="EZZ25" s="21"/>
      <c r="FAA25" s="21"/>
      <c r="FAB25" s="21"/>
      <c r="FAC25" s="21"/>
      <c r="FAD25" s="21"/>
      <c r="FAE25" s="21"/>
      <c r="FAF25" s="21"/>
      <c r="FAG25" s="21"/>
      <c r="FAH25" s="21"/>
      <c r="FAI25" s="21"/>
      <c r="FAJ25" s="21"/>
      <c r="FAK25" s="21"/>
      <c r="FAL25" s="21"/>
      <c r="FAM25" s="21"/>
      <c r="FAN25" s="21"/>
      <c r="FAO25" s="21"/>
      <c r="FAP25" s="21"/>
      <c r="FAQ25" s="21"/>
      <c r="FAR25" s="21"/>
      <c r="FAS25" s="21"/>
      <c r="FAT25" s="21"/>
      <c r="FAU25" s="21"/>
      <c r="FAV25" s="21"/>
      <c r="FAW25" s="21"/>
      <c r="FAX25" s="21"/>
      <c r="FAY25" s="21"/>
      <c r="FAZ25" s="21"/>
      <c r="FBA25" s="21"/>
      <c r="FBB25" s="21"/>
      <c r="FBC25" s="21"/>
      <c r="FBD25" s="21"/>
      <c r="FBE25" s="21"/>
      <c r="FBF25" s="21"/>
      <c r="FBG25" s="21"/>
      <c r="FBH25" s="21"/>
      <c r="FBI25" s="21"/>
      <c r="FBJ25" s="21"/>
      <c r="FBK25" s="21"/>
      <c r="FBL25" s="21"/>
      <c r="FBM25" s="21"/>
      <c r="FBN25" s="21"/>
      <c r="FBO25" s="21"/>
      <c r="FBP25" s="21"/>
      <c r="FBQ25" s="21"/>
      <c r="FBR25" s="21"/>
      <c r="FBS25" s="21"/>
      <c r="FBT25" s="21"/>
      <c r="FBU25" s="21"/>
      <c r="FBV25" s="21"/>
      <c r="FBW25" s="21"/>
      <c r="FBX25" s="21"/>
      <c r="FBY25" s="21"/>
      <c r="FBZ25" s="21"/>
      <c r="FCA25" s="21"/>
      <c r="FCB25" s="21"/>
      <c r="FCC25" s="21"/>
      <c r="FCD25" s="21"/>
      <c r="FCE25" s="21"/>
      <c r="FCF25" s="21"/>
      <c r="FCG25" s="21"/>
      <c r="FCH25" s="21"/>
      <c r="FCI25" s="21"/>
      <c r="FCJ25" s="21"/>
      <c r="FCK25" s="21"/>
      <c r="FCL25" s="21"/>
      <c r="FCM25" s="21"/>
      <c r="FCN25" s="21"/>
      <c r="FCO25" s="21"/>
      <c r="FCP25" s="21"/>
      <c r="FCQ25" s="21"/>
      <c r="FCR25" s="21"/>
      <c r="FCS25" s="21"/>
      <c r="FCT25" s="21"/>
      <c r="FCU25" s="21"/>
      <c r="FCV25" s="21"/>
      <c r="FCW25" s="21"/>
      <c r="FCX25" s="21"/>
      <c r="FCY25" s="21"/>
      <c r="FCZ25" s="21"/>
      <c r="FDA25" s="21"/>
      <c r="FDB25" s="21"/>
      <c r="FDC25" s="21"/>
      <c r="FDD25" s="21"/>
      <c r="FDE25" s="21"/>
      <c r="FDF25" s="21"/>
      <c r="FDG25" s="21"/>
      <c r="FDH25" s="21"/>
      <c r="FDI25" s="21"/>
      <c r="FDJ25" s="21"/>
      <c r="FDK25" s="21"/>
      <c r="FDL25" s="21"/>
      <c r="FDM25" s="21"/>
      <c r="FDN25" s="21"/>
      <c r="FDO25" s="21"/>
      <c r="FDP25" s="21"/>
      <c r="FDQ25" s="21"/>
      <c r="FDR25" s="21"/>
      <c r="FDS25" s="21"/>
      <c r="FDT25" s="21"/>
      <c r="FDU25" s="21"/>
      <c r="FDV25" s="21"/>
      <c r="FDW25" s="21"/>
      <c r="FDX25" s="21"/>
      <c r="FDY25" s="21"/>
      <c r="FDZ25" s="21"/>
      <c r="FEA25" s="21"/>
      <c r="FEB25" s="21"/>
      <c r="FEC25" s="21"/>
      <c r="FED25" s="21"/>
      <c r="FEE25" s="21"/>
      <c r="FEF25" s="21"/>
      <c r="FEG25" s="21"/>
      <c r="FEH25" s="21"/>
      <c r="FEI25" s="21"/>
      <c r="FEJ25" s="21"/>
      <c r="FEK25" s="21"/>
      <c r="FEL25" s="21"/>
      <c r="FEM25" s="21"/>
      <c r="FEN25" s="21"/>
      <c r="FEO25" s="21"/>
      <c r="FEP25" s="21"/>
      <c r="FEQ25" s="21"/>
      <c r="FER25" s="21"/>
      <c r="FES25" s="21"/>
      <c r="FET25" s="21"/>
      <c r="FEU25" s="21"/>
      <c r="FEV25" s="21"/>
      <c r="FEW25" s="21"/>
      <c r="FEX25" s="21"/>
      <c r="FEY25" s="21"/>
      <c r="FEZ25" s="21"/>
      <c r="FFA25" s="21"/>
      <c r="FFB25" s="21"/>
      <c r="FFC25" s="21"/>
      <c r="FFD25" s="21"/>
      <c r="FFE25" s="21"/>
      <c r="FFF25" s="21"/>
      <c r="FFG25" s="21"/>
      <c r="FFH25" s="21"/>
      <c r="FFI25" s="21"/>
      <c r="FFJ25" s="21"/>
      <c r="FFK25" s="21"/>
      <c r="FFL25" s="21"/>
      <c r="FFM25" s="21"/>
      <c r="FFN25" s="21"/>
      <c r="FFO25" s="21"/>
      <c r="FFP25" s="21"/>
      <c r="FFQ25" s="21"/>
      <c r="FFR25" s="21"/>
      <c r="FFS25" s="21"/>
      <c r="FFT25" s="21"/>
      <c r="FFU25" s="21"/>
      <c r="FFV25" s="21"/>
      <c r="FFW25" s="21"/>
      <c r="FFX25" s="21"/>
      <c r="FFY25" s="21"/>
      <c r="FFZ25" s="21"/>
      <c r="FGA25" s="21"/>
      <c r="FGB25" s="21"/>
      <c r="FGC25" s="21"/>
      <c r="FGD25" s="21"/>
      <c r="FGE25" s="21"/>
      <c r="FGF25" s="21"/>
      <c r="FGG25" s="21"/>
      <c r="FGH25" s="21"/>
      <c r="FGI25" s="21"/>
      <c r="FGJ25" s="21"/>
      <c r="FGK25" s="21"/>
      <c r="FGL25" s="21"/>
      <c r="FGM25" s="21"/>
      <c r="FGN25" s="21"/>
      <c r="FGO25" s="21"/>
      <c r="FGP25" s="21"/>
      <c r="FGQ25" s="21"/>
      <c r="FGR25" s="21"/>
      <c r="FGS25" s="21"/>
      <c r="FGT25" s="21"/>
      <c r="FGU25" s="21"/>
      <c r="FGV25" s="21"/>
      <c r="FGW25" s="21"/>
      <c r="FGX25" s="21"/>
      <c r="FGY25" s="21"/>
      <c r="FGZ25" s="21"/>
      <c r="FHA25" s="21"/>
      <c r="FHB25" s="21"/>
      <c r="FHC25" s="21"/>
      <c r="FHD25" s="21"/>
      <c r="FHE25" s="21"/>
      <c r="FHF25" s="21"/>
      <c r="FHG25" s="21"/>
      <c r="FHH25" s="21"/>
      <c r="FHI25" s="21"/>
      <c r="FHJ25" s="21"/>
      <c r="FHK25" s="21"/>
      <c r="FHL25" s="21"/>
      <c r="FHM25" s="21"/>
      <c r="FHN25" s="21"/>
      <c r="FHO25" s="21"/>
      <c r="FHP25" s="21"/>
      <c r="FHQ25" s="21"/>
      <c r="FHR25" s="21"/>
      <c r="FHS25" s="21"/>
      <c r="FHT25" s="21"/>
      <c r="FHU25" s="21"/>
      <c r="FHV25" s="21"/>
      <c r="FHW25" s="21"/>
      <c r="FHX25" s="21"/>
      <c r="FHY25" s="21"/>
      <c r="FHZ25" s="21"/>
      <c r="FIA25" s="21"/>
      <c r="FIB25" s="21"/>
      <c r="FIC25" s="21"/>
      <c r="FID25" s="21"/>
      <c r="FIE25" s="21"/>
      <c r="FIF25" s="21"/>
      <c r="FIG25" s="21"/>
      <c r="FIH25" s="21"/>
      <c r="FII25" s="21"/>
      <c r="FIJ25" s="21"/>
      <c r="FIK25" s="21"/>
      <c r="FIL25" s="21"/>
      <c r="FIM25" s="21"/>
      <c r="FIN25" s="21"/>
      <c r="FIO25" s="21"/>
      <c r="FIP25" s="21"/>
      <c r="FIQ25" s="21"/>
      <c r="FIR25" s="21"/>
      <c r="FIS25" s="21"/>
      <c r="FIT25" s="21"/>
      <c r="FIU25" s="21"/>
      <c r="FIV25" s="21"/>
      <c r="FIW25" s="21"/>
      <c r="FIX25" s="21"/>
      <c r="FIY25" s="21"/>
      <c r="FIZ25" s="21"/>
      <c r="FJA25" s="21"/>
      <c r="FJB25" s="21"/>
      <c r="FJC25" s="21"/>
      <c r="FJD25" s="21"/>
      <c r="FJE25" s="21"/>
      <c r="FJF25" s="21"/>
      <c r="FJG25" s="21"/>
      <c r="FJH25" s="21"/>
      <c r="FJI25" s="21"/>
      <c r="FJJ25" s="21"/>
      <c r="FJK25" s="21"/>
      <c r="FJL25" s="21"/>
      <c r="FJM25" s="21"/>
      <c r="FJN25" s="21"/>
      <c r="FJO25" s="21"/>
      <c r="FJP25" s="21"/>
      <c r="FJQ25" s="21"/>
      <c r="FJR25" s="21"/>
      <c r="FJS25" s="21"/>
      <c r="FJT25" s="21"/>
      <c r="FJU25" s="21"/>
      <c r="FJV25" s="21"/>
      <c r="FJW25" s="21"/>
      <c r="FJX25" s="21"/>
      <c r="FJY25" s="21"/>
      <c r="FJZ25" s="21"/>
      <c r="FKA25" s="21"/>
      <c r="FKB25" s="21"/>
      <c r="FKC25" s="21"/>
      <c r="FKD25" s="21"/>
      <c r="FKE25" s="21"/>
      <c r="FKF25" s="21"/>
      <c r="FKG25" s="21"/>
      <c r="FKH25" s="21"/>
      <c r="FKI25" s="21"/>
      <c r="FKJ25" s="21"/>
      <c r="FKK25" s="21"/>
      <c r="FKL25" s="21"/>
      <c r="FKM25" s="21"/>
      <c r="FKN25" s="21"/>
      <c r="FKO25" s="21"/>
      <c r="FKP25" s="21"/>
      <c r="FKQ25" s="21"/>
      <c r="FKR25" s="21"/>
      <c r="FKS25" s="21"/>
      <c r="FKT25" s="21"/>
      <c r="FKU25" s="21"/>
      <c r="FKV25" s="21"/>
      <c r="FKW25" s="21"/>
      <c r="FKX25" s="21"/>
      <c r="FKY25" s="21"/>
      <c r="FKZ25" s="21"/>
      <c r="FLA25" s="21"/>
      <c r="FLB25" s="21"/>
      <c r="FLC25" s="21"/>
      <c r="FLD25" s="21"/>
      <c r="FLE25" s="21"/>
      <c r="FLF25" s="21"/>
      <c r="FLG25" s="21"/>
      <c r="FLH25" s="21"/>
      <c r="FLI25" s="21"/>
      <c r="FLJ25" s="21"/>
      <c r="FLK25" s="21"/>
      <c r="FLL25" s="21"/>
      <c r="FLM25" s="21"/>
      <c r="FLN25" s="21"/>
      <c r="FLO25" s="21"/>
      <c r="FLP25" s="21"/>
      <c r="FLQ25" s="21"/>
      <c r="FLR25" s="21"/>
      <c r="FLS25" s="21"/>
      <c r="FLT25" s="21"/>
      <c r="FLU25" s="21"/>
      <c r="FLV25" s="21"/>
      <c r="FLW25" s="21"/>
      <c r="FLX25" s="21"/>
      <c r="FLY25" s="21"/>
      <c r="FLZ25" s="21"/>
      <c r="FMA25" s="21"/>
      <c r="FMB25" s="21"/>
      <c r="FMC25" s="21"/>
      <c r="FMD25" s="21"/>
      <c r="FME25" s="21"/>
      <c r="FMF25" s="21"/>
      <c r="FMG25" s="21"/>
      <c r="FMH25" s="21"/>
      <c r="FMI25" s="21"/>
      <c r="FMJ25" s="21"/>
      <c r="FMK25" s="21"/>
      <c r="FML25" s="21"/>
      <c r="FMM25" s="21"/>
      <c r="FMN25" s="21"/>
      <c r="FMO25" s="21"/>
      <c r="FMP25" s="21"/>
      <c r="FMQ25" s="21"/>
      <c r="FMR25" s="21"/>
      <c r="FMS25" s="21"/>
      <c r="FMT25" s="21"/>
      <c r="FMU25" s="21"/>
      <c r="FMV25" s="21"/>
      <c r="FMW25" s="21"/>
      <c r="FMX25" s="21"/>
      <c r="FMY25" s="21"/>
      <c r="FMZ25" s="21"/>
      <c r="FNA25" s="21"/>
      <c r="FNB25" s="21"/>
      <c r="FNC25" s="21"/>
      <c r="FND25" s="21"/>
      <c r="FNE25" s="21"/>
      <c r="FNF25" s="21"/>
      <c r="FNG25" s="21"/>
      <c r="FNH25" s="21"/>
      <c r="FNI25" s="21"/>
      <c r="FNJ25" s="21"/>
      <c r="FNK25" s="21"/>
      <c r="FNL25" s="21"/>
      <c r="FNM25" s="21"/>
      <c r="FNN25" s="21"/>
      <c r="FNO25" s="21"/>
      <c r="FNP25" s="21"/>
      <c r="FNQ25" s="21"/>
      <c r="FNR25" s="21"/>
      <c r="FNS25" s="21"/>
      <c r="FNT25" s="21"/>
      <c r="FNU25" s="21"/>
      <c r="FNV25" s="21"/>
      <c r="FNW25" s="21"/>
      <c r="FNX25" s="21"/>
      <c r="FNY25" s="21"/>
      <c r="FNZ25" s="21"/>
      <c r="FOA25" s="21"/>
      <c r="FOB25" s="21"/>
      <c r="FOC25" s="21"/>
      <c r="FOD25" s="21"/>
      <c r="FOE25" s="21"/>
      <c r="FOF25" s="21"/>
      <c r="FOG25" s="21"/>
      <c r="FOH25" s="21"/>
      <c r="FOI25" s="21"/>
      <c r="FOJ25" s="21"/>
      <c r="FOK25" s="21"/>
      <c r="FOL25" s="21"/>
      <c r="FOM25" s="21"/>
      <c r="FON25" s="21"/>
      <c r="FOO25" s="21"/>
      <c r="FOP25" s="21"/>
      <c r="FOQ25" s="21"/>
      <c r="FOR25" s="21"/>
      <c r="FOS25" s="21"/>
      <c r="FOT25" s="21"/>
      <c r="FOU25" s="21"/>
      <c r="FOV25" s="21"/>
      <c r="FOW25" s="21"/>
      <c r="FOX25" s="21"/>
      <c r="FOY25" s="21"/>
      <c r="FOZ25" s="21"/>
      <c r="FPA25" s="21"/>
      <c r="FPB25" s="21"/>
      <c r="FPC25" s="21"/>
      <c r="FPD25" s="21"/>
      <c r="FPE25" s="21"/>
      <c r="FPF25" s="21"/>
      <c r="FPG25" s="21"/>
      <c r="FPH25" s="21"/>
      <c r="FPI25" s="21"/>
      <c r="FPJ25" s="21"/>
      <c r="FPK25" s="21"/>
      <c r="FPL25" s="21"/>
      <c r="FPM25" s="21"/>
      <c r="FPN25" s="21"/>
      <c r="FPO25" s="21"/>
      <c r="FPP25" s="21"/>
      <c r="FPQ25" s="21"/>
      <c r="FPR25" s="21"/>
      <c r="FPS25" s="21"/>
      <c r="FPT25" s="21"/>
      <c r="FPU25" s="21"/>
      <c r="FPV25" s="21"/>
      <c r="FPW25" s="21"/>
      <c r="FPX25" s="21"/>
      <c r="FPY25" s="21"/>
      <c r="FPZ25" s="21"/>
      <c r="FQA25" s="21"/>
      <c r="FQB25" s="21"/>
      <c r="FQC25" s="21"/>
      <c r="FQD25" s="21"/>
      <c r="FQE25" s="21"/>
      <c r="FQF25" s="21"/>
      <c r="FQG25" s="21"/>
      <c r="FQH25" s="21"/>
      <c r="FQI25" s="21"/>
      <c r="FQJ25" s="21"/>
      <c r="FQK25" s="21"/>
      <c r="FQL25" s="21"/>
      <c r="FQM25" s="21"/>
      <c r="FQN25" s="21"/>
      <c r="FQO25" s="21"/>
      <c r="FQP25" s="21"/>
      <c r="FQQ25" s="21"/>
      <c r="FQR25" s="21"/>
      <c r="FQS25" s="21"/>
      <c r="FQT25" s="21"/>
      <c r="FQU25" s="21"/>
      <c r="FQV25" s="21"/>
      <c r="FQW25" s="21"/>
      <c r="FQX25" s="21"/>
      <c r="FQY25" s="21"/>
      <c r="FQZ25" s="21"/>
      <c r="FRA25" s="21"/>
      <c r="FRB25" s="21"/>
      <c r="FRC25" s="21"/>
      <c r="FRD25" s="21"/>
      <c r="FRE25" s="21"/>
      <c r="FRF25" s="21"/>
      <c r="FRG25" s="21"/>
      <c r="FRH25" s="21"/>
      <c r="FRI25" s="21"/>
      <c r="FRJ25" s="21"/>
      <c r="FRK25" s="21"/>
      <c r="FRL25" s="21"/>
      <c r="FRM25" s="21"/>
      <c r="FRN25" s="21"/>
      <c r="FRO25" s="21"/>
      <c r="FRP25" s="21"/>
      <c r="FRQ25" s="21"/>
      <c r="FRR25" s="21"/>
      <c r="FRS25" s="21"/>
      <c r="FRT25" s="21"/>
      <c r="FRU25" s="21"/>
      <c r="FRV25" s="21"/>
      <c r="FRW25" s="21"/>
      <c r="FRX25" s="21"/>
      <c r="FRY25" s="21"/>
      <c r="FRZ25" s="21"/>
      <c r="FSA25" s="21"/>
      <c r="FSB25" s="21"/>
      <c r="FSC25" s="21"/>
      <c r="FSD25" s="21"/>
      <c r="FSE25" s="21"/>
      <c r="FSF25" s="21"/>
      <c r="FSG25" s="21"/>
      <c r="FSH25" s="21"/>
      <c r="FSI25" s="21"/>
      <c r="FSJ25" s="21"/>
      <c r="FSK25" s="21"/>
      <c r="FSL25" s="21"/>
      <c r="FSM25" s="21"/>
      <c r="FSN25" s="21"/>
      <c r="FSO25" s="21"/>
      <c r="FSP25" s="21"/>
      <c r="FSQ25" s="21"/>
      <c r="FSR25" s="21"/>
      <c r="FSS25" s="21"/>
      <c r="FST25" s="21"/>
      <c r="FSU25" s="21"/>
      <c r="FSV25" s="21"/>
      <c r="FSW25" s="21"/>
      <c r="FSX25" s="21"/>
      <c r="FSY25" s="21"/>
      <c r="FSZ25" s="21"/>
      <c r="FTA25" s="21"/>
      <c r="FTB25" s="21"/>
      <c r="FTC25" s="21"/>
      <c r="FTD25" s="21"/>
      <c r="FTE25" s="21"/>
      <c r="FTF25" s="21"/>
      <c r="FTG25" s="21"/>
      <c r="FTH25" s="21"/>
      <c r="FTI25" s="21"/>
      <c r="FTJ25" s="21"/>
      <c r="FTK25" s="21"/>
      <c r="FTL25" s="21"/>
      <c r="FTM25" s="21"/>
      <c r="FTN25" s="21"/>
      <c r="FTO25" s="21"/>
      <c r="FTP25" s="21"/>
      <c r="FTQ25" s="21"/>
      <c r="FTR25" s="21"/>
      <c r="FTS25" s="21"/>
      <c r="FTT25" s="21"/>
      <c r="FTU25" s="21"/>
      <c r="FTV25" s="21"/>
      <c r="FTW25" s="21"/>
      <c r="FTX25" s="21"/>
      <c r="FTY25" s="21"/>
      <c r="FTZ25" s="21"/>
      <c r="FUA25" s="21"/>
      <c r="FUB25" s="21"/>
      <c r="FUC25" s="21"/>
      <c r="FUD25" s="21"/>
      <c r="FUE25" s="21"/>
      <c r="FUF25" s="21"/>
      <c r="FUG25" s="21"/>
      <c r="FUH25" s="21"/>
      <c r="FUI25" s="21"/>
      <c r="FUJ25" s="21"/>
      <c r="FUK25" s="21"/>
      <c r="FUL25" s="21"/>
      <c r="FUM25" s="21"/>
      <c r="FUN25" s="21"/>
      <c r="FUO25" s="21"/>
      <c r="FUP25" s="21"/>
      <c r="FUQ25" s="21"/>
      <c r="FUR25" s="21"/>
      <c r="FUS25" s="21"/>
      <c r="FUT25" s="21"/>
      <c r="FUU25" s="21"/>
      <c r="FUV25" s="21"/>
      <c r="FUW25" s="21"/>
      <c r="FUX25" s="21"/>
      <c r="FUY25" s="21"/>
      <c r="FUZ25" s="21"/>
      <c r="FVA25" s="21"/>
      <c r="FVB25" s="21"/>
      <c r="FVC25" s="21"/>
      <c r="FVD25" s="21"/>
      <c r="FVE25" s="21"/>
      <c r="FVF25" s="21"/>
      <c r="FVG25" s="21"/>
      <c r="FVH25" s="21"/>
      <c r="FVI25" s="21"/>
      <c r="FVJ25" s="21"/>
      <c r="FVK25" s="21"/>
      <c r="FVL25" s="21"/>
      <c r="FVM25" s="21"/>
      <c r="FVN25" s="21"/>
      <c r="FVO25" s="21"/>
      <c r="FVP25" s="21"/>
      <c r="FVQ25" s="21"/>
      <c r="FVR25" s="21"/>
      <c r="FVS25" s="21"/>
      <c r="FVT25" s="21"/>
      <c r="FVU25" s="21"/>
      <c r="FVV25" s="21"/>
      <c r="FVW25" s="21"/>
      <c r="FVX25" s="21"/>
      <c r="FVY25" s="21"/>
      <c r="FVZ25" s="21"/>
      <c r="FWA25" s="21"/>
      <c r="FWB25" s="21"/>
      <c r="FWC25" s="21"/>
      <c r="FWD25" s="21"/>
      <c r="FWE25" s="21"/>
      <c r="FWF25" s="21"/>
      <c r="FWG25" s="21"/>
      <c r="FWH25" s="21"/>
      <c r="FWI25" s="21"/>
      <c r="FWJ25" s="21"/>
      <c r="FWK25" s="21"/>
      <c r="FWL25" s="21"/>
      <c r="FWM25" s="21"/>
      <c r="FWN25" s="21"/>
      <c r="FWO25" s="21"/>
      <c r="FWP25" s="21"/>
      <c r="FWQ25" s="21"/>
      <c r="FWR25" s="21"/>
      <c r="FWS25" s="21"/>
      <c r="FWT25" s="21"/>
      <c r="FWU25" s="21"/>
      <c r="FWV25" s="21"/>
      <c r="FWW25" s="21"/>
      <c r="FWX25" s="21"/>
      <c r="FWY25" s="21"/>
      <c r="FWZ25" s="21"/>
      <c r="FXA25" s="21"/>
      <c r="FXB25" s="21"/>
      <c r="FXC25" s="21"/>
      <c r="FXD25" s="21"/>
      <c r="FXE25" s="21"/>
      <c r="FXF25" s="21"/>
      <c r="FXG25" s="21"/>
      <c r="FXH25" s="21"/>
      <c r="FXI25" s="21"/>
      <c r="FXJ25" s="21"/>
      <c r="FXK25" s="21"/>
      <c r="FXL25" s="21"/>
      <c r="FXM25" s="21"/>
      <c r="FXN25" s="21"/>
      <c r="FXO25" s="21"/>
      <c r="FXP25" s="21"/>
      <c r="FXQ25" s="21"/>
      <c r="FXR25" s="21"/>
      <c r="FXS25" s="21"/>
      <c r="FXT25" s="21"/>
      <c r="FXU25" s="21"/>
      <c r="FXV25" s="21"/>
      <c r="FXW25" s="21"/>
      <c r="FXX25" s="21"/>
      <c r="FXY25" s="21"/>
      <c r="FXZ25" s="21"/>
      <c r="FYA25" s="21"/>
      <c r="FYB25" s="21"/>
      <c r="FYC25" s="21"/>
      <c r="FYD25" s="21"/>
      <c r="FYE25" s="21"/>
      <c r="FYF25" s="21"/>
      <c r="FYG25" s="21"/>
      <c r="FYH25" s="21"/>
      <c r="FYI25" s="21"/>
      <c r="FYJ25" s="21"/>
      <c r="FYK25" s="21"/>
      <c r="FYL25" s="21"/>
      <c r="FYM25" s="21"/>
      <c r="FYN25" s="21"/>
      <c r="FYO25" s="21"/>
      <c r="FYP25" s="21"/>
      <c r="FYQ25" s="21"/>
      <c r="FYR25" s="21"/>
      <c r="FYS25" s="21"/>
      <c r="FYT25" s="21"/>
      <c r="FYU25" s="21"/>
      <c r="FYV25" s="21"/>
      <c r="FYW25" s="21"/>
      <c r="FYX25" s="21"/>
      <c r="FYY25" s="21"/>
      <c r="FYZ25" s="21"/>
      <c r="FZA25" s="21"/>
      <c r="FZB25" s="21"/>
      <c r="FZC25" s="21"/>
      <c r="FZD25" s="21"/>
      <c r="FZE25" s="21"/>
      <c r="FZF25" s="21"/>
      <c r="FZG25" s="21"/>
      <c r="FZH25" s="21"/>
      <c r="FZI25" s="21"/>
      <c r="FZJ25" s="21"/>
      <c r="FZK25" s="21"/>
      <c r="FZL25" s="21"/>
      <c r="FZM25" s="21"/>
      <c r="FZN25" s="21"/>
      <c r="FZO25" s="21"/>
      <c r="FZP25" s="21"/>
      <c r="FZQ25" s="21"/>
      <c r="FZR25" s="21"/>
      <c r="FZS25" s="21"/>
      <c r="FZT25" s="21"/>
      <c r="FZU25" s="21"/>
      <c r="FZV25" s="21"/>
      <c r="FZW25" s="21"/>
      <c r="FZX25" s="21"/>
      <c r="FZY25" s="21"/>
      <c r="FZZ25" s="21"/>
      <c r="GAA25" s="21"/>
      <c r="GAB25" s="21"/>
      <c r="GAC25" s="21"/>
      <c r="GAD25" s="21"/>
      <c r="GAE25" s="21"/>
      <c r="GAF25" s="21"/>
      <c r="GAG25" s="21"/>
      <c r="GAH25" s="21"/>
      <c r="GAI25" s="21"/>
      <c r="GAJ25" s="21"/>
      <c r="GAK25" s="21"/>
      <c r="GAL25" s="21"/>
      <c r="GAM25" s="21"/>
      <c r="GAN25" s="21"/>
      <c r="GAO25" s="21"/>
      <c r="GAP25" s="21"/>
      <c r="GAQ25" s="21"/>
      <c r="GAR25" s="21"/>
      <c r="GAS25" s="21"/>
      <c r="GAT25" s="21"/>
      <c r="GAU25" s="21"/>
      <c r="GAV25" s="21"/>
      <c r="GAW25" s="21"/>
      <c r="GAX25" s="21"/>
      <c r="GAY25" s="21"/>
      <c r="GAZ25" s="21"/>
      <c r="GBA25" s="21"/>
      <c r="GBB25" s="21"/>
      <c r="GBC25" s="21"/>
      <c r="GBD25" s="21"/>
      <c r="GBE25" s="21"/>
      <c r="GBF25" s="21"/>
      <c r="GBG25" s="21"/>
      <c r="GBH25" s="21"/>
      <c r="GBI25" s="21"/>
      <c r="GBJ25" s="21"/>
      <c r="GBK25" s="21"/>
      <c r="GBL25" s="21"/>
      <c r="GBM25" s="21"/>
      <c r="GBN25" s="21"/>
      <c r="GBO25" s="21"/>
      <c r="GBP25" s="21"/>
      <c r="GBQ25" s="21"/>
      <c r="GBR25" s="21"/>
      <c r="GBS25" s="21"/>
      <c r="GBT25" s="21"/>
      <c r="GBU25" s="21"/>
      <c r="GBV25" s="21"/>
      <c r="GBW25" s="21"/>
      <c r="GBX25" s="21"/>
      <c r="GBY25" s="21"/>
      <c r="GBZ25" s="21"/>
      <c r="GCA25" s="21"/>
      <c r="GCB25" s="21"/>
      <c r="GCC25" s="21"/>
      <c r="GCD25" s="21"/>
      <c r="GCE25" s="21"/>
      <c r="GCF25" s="21"/>
      <c r="GCG25" s="21"/>
      <c r="GCH25" s="21"/>
      <c r="GCI25" s="21"/>
      <c r="GCJ25" s="21"/>
      <c r="GCK25" s="21"/>
      <c r="GCL25" s="21"/>
      <c r="GCM25" s="21"/>
      <c r="GCN25" s="21"/>
      <c r="GCO25" s="21"/>
      <c r="GCP25" s="21"/>
      <c r="GCQ25" s="21"/>
      <c r="GCR25" s="21"/>
      <c r="GCS25" s="21"/>
      <c r="GCT25" s="21"/>
      <c r="GCU25" s="21"/>
      <c r="GCV25" s="21"/>
      <c r="GCW25" s="21"/>
      <c r="GCX25" s="21"/>
      <c r="GCY25" s="21"/>
      <c r="GCZ25" s="21"/>
      <c r="GDA25" s="21"/>
      <c r="GDB25" s="21"/>
      <c r="GDC25" s="21"/>
      <c r="GDD25" s="21"/>
      <c r="GDE25" s="21"/>
      <c r="GDF25" s="21"/>
      <c r="GDG25" s="21"/>
      <c r="GDH25" s="21"/>
      <c r="GDI25" s="21"/>
      <c r="GDJ25" s="21"/>
      <c r="GDK25" s="21"/>
      <c r="GDL25" s="21"/>
      <c r="GDM25" s="21"/>
      <c r="GDN25" s="21"/>
      <c r="GDO25" s="21"/>
      <c r="GDP25" s="21"/>
      <c r="GDQ25" s="21"/>
      <c r="GDR25" s="21"/>
      <c r="GDS25" s="21"/>
      <c r="GDT25" s="21"/>
      <c r="GDU25" s="21"/>
      <c r="GDV25" s="21"/>
      <c r="GDW25" s="21"/>
      <c r="GDX25" s="21"/>
      <c r="GDY25" s="21"/>
      <c r="GDZ25" s="21"/>
      <c r="GEA25" s="21"/>
      <c r="GEB25" s="21"/>
      <c r="GEC25" s="21"/>
      <c r="GED25" s="21"/>
      <c r="GEE25" s="21"/>
      <c r="GEF25" s="21"/>
      <c r="GEG25" s="21"/>
      <c r="GEH25" s="21"/>
      <c r="GEI25" s="21"/>
      <c r="GEJ25" s="21"/>
      <c r="GEK25" s="21"/>
      <c r="GEL25" s="21"/>
      <c r="GEM25" s="21"/>
      <c r="GEN25" s="21"/>
      <c r="GEO25" s="21"/>
      <c r="GEP25" s="21"/>
      <c r="GEQ25" s="21"/>
      <c r="GER25" s="21"/>
      <c r="GES25" s="21"/>
      <c r="GET25" s="21"/>
      <c r="GEU25" s="21"/>
      <c r="GEV25" s="21"/>
      <c r="GEW25" s="21"/>
      <c r="GEX25" s="21"/>
      <c r="GEY25" s="21"/>
      <c r="GEZ25" s="21"/>
      <c r="GFA25" s="21"/>
      <c r="GFB25" s="21"/>
      <c r="GFC25" s="21"/>
      <c r="GFD25" s="21"/>
      <c r="GFE25" s="21"/>
      <c r="GFF25" s="21"/>
      <c r="GFG25" s="21"/>
      <c r="GFH25" s="21"/>
      <c r="GFI25" s="21"/>
      <c r="GFJ25" s="21"/>
      <c r="GFK25" s="21"/>
      <c r="GFL25" s="21"/>
      <c r="GFM25" s="21"/>
      <c r="GFN25" s="21"/>
      <c r="GFO25" s="21"/>
      <c r="GFP25" s="21"/>
      <c r="GFQ25" s="21"/>
      <c r="GFR25" s="21"/>
      <c r="GFS25" s="21"/>
      <c r="GFT25" s="21"/>
      <c r="GFU25" s="21"/>
      <c r="GFV25" s="21"/>
      <c r="GFW25" s="21"/>
      <c r="GFX25" s="21"/>
      <c r="GFY25" s="21"/>
      <c r="GFZ25" s="21"/>
      <c r="GGA25" s="21"/>
      <c r="GGB25" s="21"/>
      <c r="GGC25" s="21"/>
      <c r="GGD25" s="21"/>
      <c r="GGE25" s="21"/>
      <c r="GGF25" s="21"/>
      <c r="GGG25" s="21"/>
      <c r="GGH25" s="21"/>
      <c r="GGI25" s="21"/>
      <c r="GGJ25" s="21"/>
      <c r="GGK25" s="21"/>
      <c r="GGL25" s="21"/>
      <c r="GGM25" s="21"/>
      <c r="GGN25" s="21"/>
      <c r="GGO25" s="21"/>
      <c r="GGP25" s="21"/>
      <c r="GGQ25" s="21"/>
      <c r="GGR25" s="21"/>
      <c r="GGS25" s="21"/>
      <c r="GGT25" s="21"/>
      <c r="GGU25" s="21"/>
      <c r="GGV25" s="21"/>
      <c r="GGW25" s="21"/>
      <c r="GGX25" s="21"/>
      <c r="GGY25" s="21"/>
      <c r="GGZ25" s="21"/>
      <c r="GHA25" s="21"/>
      <c r="GHB25" s="21"/>
      <c r="GHC25" s="21"/>
      <c r="GHD25" s="21"/>
      <c r="GHE25" s="21"/>
      <c r="GHF25" s="21"/>
      <c r="GHG25" s="21"/>
      <c r="GHH25" s="21"/>
      <c r="GHI25" s="21"/>
      <c r="GHJ25" s="21"/>
      <c r="GHK25" s="21"/>
      <c r="GHL25" s="21"/>
      <c r="GHM25" s="21"/>
      <c r="GHN25" s="21"/>
      <c r="GHO25" s="21"/>
      <c r="GHP25" s="21"/>
      <c r="GHQ25" s="21"/>
      <c r="GHR25" s="21"/>
      <c r="GHS25" s="21"/>
      <c r="GHT25" s="21"/>
      <c r="GHU25" s="21"/>
      <c r="GHV25" s="21"/>
      <c r="GHW25" s="21"/>
      <c r="GHX25" s="21"/>
      <c r="GHY25" s="21"/>
      <c r="GHZ25" s="21"/>
      <c r="GIA25" s="21"/>
      <c r="GIB25" s="21"/>
      <c r="GIC25" s="21"/>
      <c r="GID25" s="21"/>
      <c r="GIE25" s="21"/>
      <c r="GIF25" s="21"/>
      <c r="GIG25" s="21"/>
      <c r="GIH25" s="21"/>
      <c r="GII25" s="21"/>
      <c r="GIJ25" s="21"/>
      <c r="GIK25" s="21"/>
      <c r="GIL25" s="21"/>
      <c r="GIM25" s="21"/>
      <c r="GIN25" s="21"/>
      <c r="GIO25" s="21"/>
      <c r="GIP25" s="21"/>
      <c r="GIQ25" s="21"/>
      <c r="GIR25" s="21"/>
      <c r="GIS25" s="21"/>
      <c r="GIT25" s="21"/>
      <c r="GIU25" s="21"/>
      <c r="GIV25" s="21"/>
      <c r="GIW25" s="21"/>
      <c r="GIX25" s="21"/>
      <c r="GIY25" s="21"/>
      <c r="GIZ25" s="21"/>
      <c r="GJA25" s="21"/>
      <c r="GJB25" s="21"/>
      <c r="GJC25" s="21"/>
      <c r="GJD25" s="21"/>
      <c r="GJE25" s="21"/>
      <c r="GJF25" s="21"/>
      <c r="GJG25" s="21"/>
      <c r="GJH25" s="21"/>
      <c r="GJI25" s="21"/>
      <c r="GJJ25" s="21"/>
      <c r="GJK25" s="21"/>
      <c r="GJL25" s="21"/>
      <c r="GJM25" s="21"/>
      <c r="GJN25" s="21"/>
      <c r="GJO25" s="21"/>
      <c r="GJP25" s="21"/>
      <c r="GJQ25" s="21"/>
      <c r="GJR25" s="21"/>
      <c r="GJS25" s="21"/>
      <c r="GJT25" s="21"/>
      <c r="GJU25" s="21"/>
      <c r="GJV25" s="21"/>
      <c r="GJW25" s="21"/>
      <c r="GJX25" s="21"/>
      <c r="GJY25" s="21"/>
      <c r="GJZ25" s="21"/>
      <c r="GKA25" s="21"/>
      <c r="GKB25" s="21"/>
      <c r="GKC25" s="21"/>
      <c r="GKD25" s="21"/>
      <c r="GKE25" s="21"/>
      <c r="GKF25" s="21"/>
      <c r="GKG25" s="21"/>
      <c r="GKH25" s="21"/>
      <c r="GKI25" s="21"/>
      <c r="GKJ25" s="21"/>
      <c r="GKK25" s="21"/>
      <c r="GKL25" s="21"/>
      <c r="GKM25" s="21"/>
      <c r="GKN25" s="21"/>
      <c r="GKO25" s="21"/>
      <c r="GKP25" s="21"/>
      <c r="GKQ25" s="21"/>
      <c r="GKR25" s="21"/>
      <c r="GKS25" s="21"/>
      <c r="GKT25" s="21"/>
      <c r="GKU25" s="21"/>
      <c r="GKV25" s="21"/>
      <c r="GKW25" s="21"/>
      <c r="GKX25" s="21"/>
      <c r="GKY25" s="21"/>
      <c r="GKZ25" s="21"/>
      <c r="GLA25" s="21"/>
      <c r="GLB25" s="21"/>
      <c r="GLC25" s="21"/>
      <c r="GLD25" s="21"/>
      <c r="GLE25" s="21"/>
      <c r="GLF25" s="21"/>
      <c r="GLG25" s="21"/>
      <c r="GLH25" s="21"/>
      <c r="GLI25" s="21"/>
      <c r="GLJ25" s="21"/>
      <c r="GLK25" s="21"/>
      <c r="GLL25" s="21"/>
      <c r="GLM25" s="21"/>
      <c r="GLN25" s="21"/>
      <c r="GLO25" s="21"/>
      <c r="GLP25" s="21"/>
      <c r="GLQ25" s="21"/>
      <c r="GLR25" s="21"/>
      <c r="GLS25" s="21"/>
      <c r="GLT25" s="21"/>
      <c r="GLU25" s="21"/>
      <c r="GLV25" s="21"/>
      <c r="GLW25" s="21"/>
      <c r="GLX25" s="21"/>
      <c r="GLY25" s="21"/>
      <c r="GLZ25" s="21"/>
      <c r="GMA25" s="21"/>
      <c r="GMB25" s="21"/>
      <c r="GMC25" s="21"/>
      <c r="GMD25" s="21"/>
      <c r="GME25" s="21"/>
      <c r="GMF25" s="21"/>
      <c r="GMG25" s="21"/>
      <c r="GMH25" s="21"/>
      <c r="GMI25" s="21"/>
      <c r="GMJ25" s="21"/>
      <c r="GMK25" s="21"/>
      <c r="GML25" s="21"/>
      <c r="GMM25" s="21"/>
      <c r="GMN25" s="21"/>
      <c r="GMO25" s="21"/>
      <c r="GMP25" s="21"/>
      <c r="GMQ25" s="21"/>
      <c r="GMR25" s="21"/>
      <c r="GMS25" s="21"/>
      <c r="GMT25" s="21"/>
      <c r="GMU25" s="21"/>
      <c r="GMV25" s="21"/>
      <c r="GMW25" s="21"/>
      <c r="GMX25" s="21"/>
      <c r="GMY25" s="21"/>
      <c r="GMZ25" s="21"/>
      <c r="GNA25" s="21"/>
      <c r="GNB25" s="21"/>
      <c r="GNC25" s="21"/>
      <c r="GND25" s="21"/>
      <c r="GNE25" s="21"/>
      <c r="GNF25" s="21"/>
      <c r="GNG25" s="21"/>
      <c r="GNH25" s="21"/>
      <c r="GNI25" s="21"/>
      <c r="GNJ25" s="21"/>
      <c r="GNK25" s="21"/>
      <c r="GNL25" s="21"/>
      <c r="GNM25" s="21"/>
      <c r="GNN25" s="21"/>
      <c r="GNO25" s="21"/>
      <c r="GNP25" s="21"/>
      <c r="GNQ25" s="21"/>
      <c r="GNR25" s="21"/>
      <c r="GNS25" s="21"/>
      <c r="GNT25" s="21"/>
      <c r="GNU25" s="21"/>
      <c r="GNV25" s="21"/>
      <c r="GNW25" s="21"/>
      <c r="GNX25" s="21"/>
      <c r="GNY25" s="21"/>
      <c r="GNZ25" s="21"/>
      <c r="GOA25" s="21"/>
      <c r="GOB25" s="21"/>
      <c r="GOC25" s="21"/>
      <c r="GOD25" s="21"/>
      <c r="GOE25" s="21"/>
      <c r="GOF25" s="21"/>
      <c r="GOG25" s="21"/>
      <c r="GOH25" s="21"/>
      <c r="GOI25" s="21"/>
      <c r="GOJ25" s="21"/>
      <c r="GOK25" s="21"/>
      <c r="GOL25" s="21"/>
      <c r="GOM25" s="21"/>
      <c r="GON25" s="21"/>
      <c r="GOO25" s="21"/>
      <c r="GOP25" s="21"/>
      <c r="GOQ25" s="21"/>
      <c r="GOR25" s="21"/>
      <c r="GOS25" s="21"/>
      <c r="GOT25" s="21"/>
      <c r="GOU25" s="21"/>
      <c r="GOV25" s="21"/>
      <c r="GOW25" s="21"/>
      <c r="GOX25" s="21"/>
      <c r="GOY25" s="21"/>
      <c r="GOZ25" s="21"/>
      <c r="GPA25" s="21"/>
      <c r="GPB25" s="21"/>
      <c r="GPC25" s="21"/>
      <c r="GPD25" s="21"/>
      <c r="GPE25" s="21"/>
      <c r="GPF25" s="21"/>
      <c r="GPG25" s="21"/>
      <c r="GPH25" s="21"/>
      <c r="GPI25" s="21"/>
      <c r="GPJ25" s="21"/>
      <c r="GPK25" s="21"/>
      <c r="GPL25" s="21"/>
      <c r="GPM25" s="21"/>
      <c r="GPN25" s="21"/>
      <c r="GPO25" s="21"/>
      <c r="GPP25" s="21"/>
      <c r="GPQ25" s="21"/>
      <c r="GPR25" s="21"/>
      <c r="GPS25" s="21"/>
      <c r="GPT25" s="21"/>
      <c r="GPU25" s="21"/>
      <c r="GPV25" s="21"/>
      <c r="GPW25" s="21"/>
      <c r="GPX25" s="21"/>
      <c r="GPY25" s="21"/>
      <c r="GPZ25" s="21"/>
      <c r="GQA25" s="21"/>
      <c r="GQB25" s="21"/>
      <c r="GQC25" s="21"/>
      <c r="GQD25" s="21"/>
      <c r="GQE25" s="21"/>
      <c r="GQF25" s="21"/>
      <c r="GQG25" s="21"/>
      <c r="GQH25" s="21"/>
      <c r="GQI25" s="21"/>
      <c r="GQJ25" s="21"/>
      <c r="GQK25" s="21"/>
      <c r="GQL25" s="21"/>
      <c r="GQM25" s="21"/>
      <c r="GQN25" s="21"/>
      <c r="GQO25" s="21"/>
      <c r="GQP25" s="21"/>
      <c r="GQQ25" s="21"/>
      <c r="GQR25" s="21"/>
      <c r="GQS25" s="21"/>
      <c r="GQT25" s="21"/>
      <c r="GQU25" s="21"/>
      <c r="GQV25" s="21"/>
      <c r="GQW25" s="21"/>
      <c r="GQX25" s="21"/>
      <c r="GQY25" s="21"/>
      <c r="GQZ25" s="21"/>
      <c r="GRA25" s="21"/>
      <c r="GRB25" s="21"/>
      <c r="GRC25" s="21"/>
      <c r="GRD25" s="21"/>
      <c r="GRE25" s="21"/>
      <c r="GRF25" s="21"/>
      <c r="GRG25" s="21"/>
      <c r="GRH25" s="21"/>
      <c r="GRI25" s="21"/>
      <c r="GRJ25" s="21"/>
      <c r="GRK25" s="21"/>
      <c r="GRL25" s="21"/>
      <c r="GRM25" s="21"/>
      <c r="GRN25" s="21"/>
      <c r="GRO25" s="21"/>
      <c r="GRP25" s="21"/>
      <c r="GRQ25" s="21"/>
      <c r="GRR25" s="21"/>
      <c r="GRS25" s="21"/>
      <c r="GRT25" s="21"/>
      <c r="GRU25" s="21"/>
      <c r="GRV25" s="21"/>
      <c r="GRW25" s="21"/>
      <c r="GRX25" s="21"/>
      <c r="GRY25" s="21"/>
      <c r="GRZ25" s="21"/>
      <c r="GSA25" s="21"/>
      <c r="GSB25" s="21"/>
      <c r="GSC25" s="21"/>
      <c r="GSD25" s="21"/>
      <c r="GSE25" s="21"/>
      <c r="GSF25" s="21"/>
      <c r="GSG25" s="21"/>
      <c r="GSH25" s="21"/>
      <c r="GSI25" s="21"/>
      <c r="GSJ25" s="21"/>
      <c r="GSK25" s="21"/>
      <c r="GSL25" s="21"/>
      <c r="GSM25" s="21"/>
      <c r="GSN25" s="21"/>
      <c r="GSO25" s="21"/>
      <c r="GSP25" s="21"/>
      <c r="GSQ25" s="21"/>
      <c r="GSR25" s="21"/>
      <c r="GSS25" s="21"/>
      <c r="GST25" s="21"/>
      <c r="GSU25" s="21"/>
      <c r="GSV25" s="21"/>
      <c r="GSW25" s="21"/>
      <c r="GSX25" s="21"/>
      <c r="GSY25" s="21"/>
      <c r="GSZ25" s="21"/>
      <c r="GTA25" s="21"/>
      <c r="GTB25" s="21"/>
      <c r="GTC25" s="21"/>
      <c r="GTD25" s="21"/>
      <c r="GTE25" s="21"/>
      <c r="GTF25" s="21"/>
      <c r="GTG25" s="21"/>
      <c r="GTH25" s="21"/>
      <c r="GTI25" s="21"/>
      <c r="GTJ25" s="21"/>
      <c r="GTK25" s="21"/>
      <c r="GTL25" s="21"/>
      <c r="GTM25" s="21"/>
      <c r="GTN25" s="21"/>
      <c r="GTO25" s="21"/>
      <c r="GTP25" s="21"/>
      <c r="GTQ25" s="21"/>
      <c r="GTR25" s="21"/>
      <c r="GTS25" s="21"/>
      <c r="GTT25" s="21"/>
      <c r="GTU25" s="21"/>
      <c r="GTV25" s="21"/>
      <c r="GTW25" s="21"/>
      <c r="GTX25" s="21"/>
      <c r="GTY25" s="21"/>
      <c r="GTZ25" s="21"/>
      <c r="GUA25" s="21"/>
      <c r="GUB25" s="21"/>
      <c r="GUC25" s="21"/>
      <c r="GUD25" s="21"/>
      <c r="GUE25" s="21"/>
      <c r="GUF25" s="21"/>
      <c r="GUG25" s="21"/>
      <c r="GUH25" s="21"/>
      <c r="GUI25" s="21"/>
      <c r="GUJ25" s="21"/>
      <c r="GUK25" s="21"/>
      <c r="GUL25" s="21"/>
      <c r="GUM25" s="21"/>
      <c r="GUN25" s="21"/>
      <c r="GUO25" s="21"/>
      <c r="GUP25" s="21"/>
      <c r="GUQ25" s="21"/>
      <c r="GUR25" s="21"/>
      <c r="GUS25" s="21"/>
      <c r="GUT25" s="21"/>
      <c r="GUU25" s="21"/>
      <c r="GUV25" s="21"/>
      <c r="GUW25" s="21"/>
      <c r="GUX25" s="21"/>
      <c r="GUY25" s="21"/>
      <c r="GUZ25" s="21"/>
      <c r="GVA25" s="21"/>
      <c r="GVB25" s="21"/>
      <c r="GVC25" s="21"/>
      <c r="GVD25" s="21"/>
      <c r="GVE25" s="21"/>
      <c r="GVF25" s="21"/>
      <c r="GVG25" s="21"/>
      <c r="GVH25" s="21"/>
      <c r="GVI25" s="21"/>
      <c r="GVJ25" s="21"/>
      <c r="GVK25" s="21"/>
      <c r="GVL25" s="21"/>
      <c r="GVM25" s="21"/>
      <c r="GVN25" s="21"/>
      <c r="GVO25" s="21"/>
      <c r="GVP25" s="21"/>
      <c r="GVQ25" s="21"/>
      <c r="GVR25" s="21"/>
      <c r="GVS25" s="21"/>
      <c r="GVT25" s="21"/>
      <c r="GVU25" s="21"/>
      <c r="GVV25" s="21"/>
      <c r="GVW25" s="21"/>
      <c r="GVX25" s="21"/>
      <c r="GVY25" s="21"/>
      <c r="GVZ25" s="21"/>
      <c r="GWA25" s="21"/>
      <c r="GWB25" s="21"/>
      <c r="GWC25" s="21"/>
      <c r="GWD25" s="21"/>
      <c r="GWE25" s="21"/>
      <c r="GWF25" s="21"/>
      <c r="GWG25" s="21"/>
      <c r="GWH25" s="21"/>
      <c r="GWI25" s="21"/>
      <c r="GWJ25" s="21"/>
      <c r="GWK25" s="21"/>
      <c r="GWL25" s="21"/>
      <c r="GWM25" s="21"/>
      <c r="GWN25" s="21"/>
      <c r="GWO25" s="21"/>
      <c r="GWP25" s="21"/>
      <c r="GWQ25" s="21"/>
      <c r="GWR25" s="21"/>
      <c r="GWS25" s="21"/>
      <c r="GWT25" s="21"/>
      <c r="GWU25" s="21"/>
      <c r="GWV25" s="21"/>
      <c r="GWW25" s="21"/>
      <c r="GWX25" s="21"/>
      <c r="GWY25" s="21"/>
      <c r="GWZ25" s="21"/>
      <c r="GXA25" s="21"/>
      <c r="GXB25" s="21"/>
      <c r="GXC25" s="21"/>
      <c r="GXD25" s="21"/>
      <c r="GXE25" s="21"/>
      <c r="GXF25" s="21"/>
      <c r="GXG25" s="21"/>
      <c r="GXH25" s="21"/>
      <c r="GXI25" s="21"/>
      <c r="GXJ25" s="21"/>
      <c r="GXK25" s="21"/>
      <c r="GXL25" s="21"/>
      <c r="GXM25" s="21"/>
      <c r="GXN25" s="21"/>
      <c r="GXO25" s="21"/>
      <c r="GXP25" s="21"/>
      <c r="GXQ25" s="21"/>
      <c r="GXR25" s="21"/>
      <c r="GXS25" s="21"/>
      <c r="GXT25" s="21"/>
      <c r="GXU25" s="21"/>
      <c r="GXV25" s="21"/>
      <c r="GXW25" s="21"/>
      <c r="GXX25" s="21"/>
      <c r="GXY25" s="21"/>
      <c r="GXZ25" s="21"/>
      <c r="GYA25" s="21"/>
      <c r="GYB25" s="21"/>
      <c r="GYC25" s="21"/>
      <c r="GYD25" s="21"/>
      <c r="GYE25" s="21"/>
      <c r="GYF25" s="21"/>
      <c r="GYG25" s="21"/>
      <c r="GYH25" s="21"/>
      <c r="GYI25" s="21"/>
      <c r="GYJ25" s="21"/>
      <c r="GYK25" s="21"/>
      <c r="GYL25" s="21"/>
      <c r="GYM25" s="21"/>
      <c r="GYN25" s="21"/>
      <c r="GYO25" s="21"/>
      <c r="GYP25" s="21"/>
      <c r="GYQ25" s="21"/>
      <c r="GYR25" s="21"/>
      <c r="GYS25" s="21"/>
      <c r="GYT25" s="21"/>
      <c r="GYU25" s="21"/>
      <c r="GYV25" s="21"/>
      <c r="GYW25" s="21"/>
      <c r="GYX25" s="21"/>
      <c r="GYY25" s="21"/>
      <c r="GYZ25" s="21"/>
      <c r="GZA25" s="21"/>
      <c r="GZB25" s="21"/>
      <c r="GZC25" s="21"/>
      <c r="GZD25" s="21"/>
      <c r="GZE25" s="21"/>
      <c r="GZF25" s="21"/>
      <c r="GZG25" s="21"/>
      <c r="GZH25" s="21"/>
      <c r="GZI25" s="21"/>
      <c r="GZJ25" s="21"/>
      <c r="GZK25" s="21"/>
      <c r="GZL25" s="21"/>
      <c r="GZM25" s="21"/>
      <c r="GZN25" s="21"/>
      <c r="GZO25" s="21"/>
      <c r="GZP25" s="21"/>
      <c r="GZQ25" s="21"/>
      <c r="GZR25" s="21"/>
      <c r="GZS25" s="21"/>
      <c r="GZT25" s="21"/>
      <c r="GZU25" s="21"/>
      <c r="GZV25" s="21"/>
      <c r="GZW25" s="21"/>
      <c r="GZX25" s="21"/>
      <c r="GZY25" s="21"/>
      <c r="GZZ25" s="21"/>
      <c r="HAA25" s="21"/>
      <c r="HAB25" s="21"/>
      <c r="HAC25" s="21"/>
      <c r="HAD25" s="21"/>
      <c r="HAE25" s="21"/>
      <c r="HAF25" s="21"/>
      <c r="HAG25" s="21"/>
      <c r="HAH25" s="21"/>
      <c r="HAI25" s="21"/>
      <c r="HAJ25" s="21"/>
      <c r="HAK25" s="21"/>
      <c r="HAL25" s="21"/>
      <c r="HAM25" s="21"/>
      <c r="HAN25" s="21"/>
      <c r="HAO25" s="21"/>
      <c r="HAP25" s="21"/>
      <c r="HAQ25" s="21"/>
      <c r="HAR25" s="21"/>
      <c r="HAS25" s="21"/>
      <c r="HAT25" s="21"/>
      <c r="HAU25" s="21"/>
      <c r="HAV25" s="21"/>
      <c r="HAW25" s="21"/>
      <c r="HAX25" s="21"/>
      <c r="HAY25" s="21"/>
      <c r="HAZ25" s="21"/>
      <c r="HBA25" s="21"/>
      <c r="HBB25" s="21"/>
      <c r="HBC25" s="21"/>
      <c r="HBD25" s="21"/>
      <c r="HBE25" s="21"/>
      <c r="HBF25" s="21"/>
      <c r="HBG25" s="21"/>
      <c r="HBH25" s="21"/>
      <c r="HBI25" s="21"/>
      <c r="HBJ25" s="21"/>
      <c r="HBK25" s="21"/>
      <c r="HBL25" s="21"/>
      <c r="HBM25" s="21"/>
      <c r="HBN25" s="21"/>
      <c r="HBO25" s="21"/>
      <c r="HBP25" s="21"/>
      <c r="HBQ25" s="21"/>
      <c r="HBR25" s="21"/>
      <c r="HBS25" s="21"/>
      <c r="HBT25" s="21"/>
      <c r="HBU25" s="21"/>
      <c r="HBV25" s="21"/>
      <c r="HBW25" s="21"/>
      <c r="HBX25" s="21"/>
      <c r="HBY25" s="21"/>
      <c r="HBZ25" s="21"/>
      <c r="HCA25" s="21"/>
      <c r="HCB25" s="21"/>
      <c r="HCC25" s="21"/>
      <c r="HCD25" s="21"/>
      <c r="HCE25" s="21"/>
      <c r="HCF25" s="21"/>
      <c r="HCG25" s="21"/>
      <c r="HCH25" s="21"/>
      <c r="HCI25" s="21"/>
      <c r="HCJ25" s="21"/>
      <c r="HCK25" s="21"/>
      <c r="HCL25" s="21"/>
      <c r="HCM25" s="21"/>
      <c r="HCN25" s="21"/>
      <c r="HCO25" s="21"/>
      <c r="HCP25" s="21"/>
      <c r="HCQ25" s="21"/>
      <c r="HCR25" s="21"/>
      <c r="HCS25" s="21"/>
      <c r="HCT25" s="21"/>
      <c r="HCU25" s="21"/>
      <c r="HCV25" s="21"/>
      <c r="HCW25" s="21"/>
      <c r="HCX25" s="21"/>
      <c r="HCY25" s="21"/>
      <c r="HCZ25" s="21"/>
      <c r="HDA25" s="21"/>
      <c r="HDB25" s="21"/>
      <c r="HDC25" s="21"/>
      <c r="HDD25" s="21"/>
      <c r="HDE25" s="21"/>
      <c r="HDF25" s="21"/>
      <c r="HDG25" s="21"/>
      <c r="HDH25" s="21"/>
      <c r="HDI25" s="21"/>
      <c r="HDJ25" s="21"/>
      <c r="HDK25" s="21"/>
      <c r="HDL25" s="21"/>
      <c r="HDM25" s="21"/>
      <c r="HDN25" s="21"/>
      <c r="HDO25" s="21"/>
      <c r="HDP25" s="21"/>
      <c r="HDQ25" s="21"/>
      <c r="HDR25" s="21"/>
      <c r="HDS25" s="21"/>
      <c r="HDT25" s="21"/>
      <c r="HDU25" s="21"/>
      <c r="HDV25" s="21"/>
      <c r="HDW25" s="21"/>
      <c r="HDX25" s="21"/>
      <c r="HDY25" s="21"/>
      <c r="HDZ25" s="21"/>
      <c r="HEA25" s="21"/>
      <c r="HEB25" s="21"/>
      <c r="HEC25" s="21"/>
      <c r="HED25" s="21"/>
      <c r="HEE25" s="21"/>
      <c r="HEF25" s="21"/>
      <c r="HEG25" s="21"/>
      <c r="HEH25" s="21"/>
      <c r="HEI25" s="21"/>
      <c r="HEJ25" s="21"/>
      <c r="HEK25" s="21"/>
      <c r="HEL25" s="21"/>
      <c r="HEM25" s="21"/>
      <c r="HEN25" s="21"/>
      <c r="HEO25" s="21"/>
      <c r="HEP25" s="21"/>
      <c r="HEQ25" s="21"/>
      <c r="HER25" s="21"/>
      <c r="HES25" s="21"/>
      <c r="HET25" s="21"/>
      <c r="HEU25" s="21"/>
      <c r="HEV25" s="21"/>
      <c r="HEW25" s="21"/>
      <c r="HEX25" s="21"/>
      <c r="HEY25" s="21"/>
      <c r="HEZ25" s="21"/>
      <c r="HFA25" s="21"/>
      <c r="HFB25" s="21"/>
      <c r="HFC25" s="21"/>
      <c r="HFD25" s="21"/>
      <c r="HFE25" s="21"/>
      <c r="HFF25" s="21"/>
      <c r="HFG25" s="21"/>
      <c r="HFH25" s="21"/>
      <c r="HFI25" s="21"/>
      <c r="HFJ25" s="21"/>
      <c r="HFK25" s="21"/>
      <c r="HFL25" s="21"/>
      <c r="HFM25" s="21"/>
      <c r="HFN25" s="21"/>
      <c r="HFO25" s="21"/>
      <c r="HFP25" s="21"/>
      <c r="HFQ25" s="21"/>
      <c r="HFR25" s="21"/>
      <c r="HFS25" s="21"/>
      <c r="HFT25" s="21"/>
      <c r="HFU25" s="21"/>
      <c r="HFV25" s="21"/>
      <c r="HFW25" s="21"/>
      <c r="HFX25" s="21"/>
      <c r="HFY25" s="21"/>
      <c r="HFZ25" s="21"/>
      <c r="HGA25" s="21"/>
      <c r="HGB25" s="21"/>
      <c r="HGC25" s="21"/>
      <c r="HGD25" s="21"/>
      <c r="HGE25" s="21"/>
      <c r="HGF25" s="21"/>
      <c r="HGG25" s="21"/>
      <c r="HGH25" s="21"/>
      <c r="HGI25" s="21"/>
      <c r="HGJ25" s="21"/>
      <c r="HGK25" s="21"/>
      <c r="HGL25" s="21"/>
      <c r="HGM25" s="21"/>
      <c r="HGN25" s="21"/>
      <c r="HGO25" s="21"/>
      <c r="HGP25" s="21"/>
      <c r="HGQ25" s="21"/>
      <c r="HGR25" s="21"/>
      <c r="HGS25" s="21"/>
      <c r="HGT25" s="21"/>
      <c r="HGU25" s="21"/>
      <c r="HGV25" s="21"/>
      <c r="HGW25" s="21"/>
      <c r="HGX25" s="21"/>
      <c r="HGY25" s="21"/>
      <c r="HGZ25" s="21"/>
      <c r="HHA25" s="21"/>
      <c r="HHB25" s="21"/>
      <c r="HHC25" s="21"/>
      <c r="HHD25" s="21"/>
      <c r="HHE25" s="21"/>
      <c r="HHF25" s="21"/>
      <c r="HHG25" s="21"/>
      <c r="HHH25" s="21"/>
      <c r="HHI25" s="21"/>
      <c r="HHJ25" s="21"/>
      <c r="HHK25" s="21"/>
      <c r="HHL25" s="21"/>
      <c r="HHM25" s="21"/>
      <c r="HHN25" s="21"/>
      <c r="HHO25" s="21"/>
      <c r="HHP25" s="21"/>
      <c r="HHQ25" s="21"/>
      <c r="HHR25" s="21"/>
      <c r="HHS25" s="21"/>
      <c r="HHT25" s="21"/>
      <c r="HHU25" s="21"/>
      <c r="HHV25" s="21"/>
      <c r="HHW25" s="21"/>
      <c r="HHX25" s="21"/>
      <c r="HHY25" s="21"/>
      <c r="HHZ25" s="21"/>
      <c r="HIA25" s="21"/>
      <c r="HIB25" s="21"/>
      <c r="HIC25" s="21"/>
      <c r="HID25" s="21"/>
      <c r="HIE25" s="21"/>
      <c r="HIF25" s="21"/>
      <c r="HIG25" s="21"/>
      <c r="HIH25" s="21"/>
      <c r="HII25" s="21"/>
      <c r="HIJ25" s="21"/>
      <c r="HIK25" s="21"/>
      <c r="HIL25" s="21"/>
      <c r="HIM25" s="21"/>
      <c r="HIN25" s="21"/>
      <c r="HIO25" s="21"/>
      <c r="HIP25" s="21"/>
      <c r="HIQ25" s="21"/>
      <c r="HIR25" s="21"/>
      <c r="HIS25" s="21"/>
      <c r="HIT25" s="21"/>
      <c r="HIU25" s="21"/>
      <c r="HIV25" s="21"/>
      <c r="HIW25" s="21"/>
      <c r="HIX25" s="21"/>
      <c r="HIY25" s="21"/>
      <c r="HIZ25" s="21"/>
      <c r="HJA25" s="21"/>
      <c r="HJB25" s="21"/>
      <c r="HJC25" s="21"/>
      <c r="HJD25" s="21"/>
      <c r="HJE25" s="21"/>
      <c r="HJF25" s="21"/>
      <c r="HJG25" s="21"/>
      <c r="HJH25" s="21"/>
      <c r="HJI25" s="21"/>
      <c r="HJJ25" s="21"/>
      <c r="HJK25" s="21"/>
      <c r="HJL25" s="21"/>
      <c r="HJM25" s="21"/>
      <c r="HJN25" s="21"/>
      <c r="HJO25" s="21"/>
      <c r="HJP25" s="21"/>
      <c r="HJQ25" s="21"/>
      <c r="HJR25" s="21"/>
      <c r="HJS25" s="21"/>
      <c r="HJT25" s="21"/>
      <c r="HJU25" s="21"/>
      <c r="HJV25" s="21"/>
      <c r="HJW25" s="21"/>
      <c r="HJX25" s="21"/>
      <c r="HJY25" s="21"/>
      <c r="HJZ25" s="21"/>
      <c r="HKA25" s="21"/>
      <c r="HKB25" s="21"/>
      <c r="HKC25" s="21"/>
      <c r="HKD25" s="21"/>
      <c r="HKE25" s="21"/>
      <c r="HKF25" s="21"/>
      <c r="HKG25" s="21"/>
      <c r="HKH25" s="21"/>
      <c r="HKI25" s="21"/>
      <c r="HKJ25" s="21"/>
      <c r="HKK25" s="21"/>
      <c r="HKL25" s="21"/>
      <c r="HKM25" s="21"/>
      <c r="HKN25" s="21"/>
      <c r="HKO25" s="21"/>
      <c r="HKP25" s="21"/>
      <c r="HKQ25" s="21"/>
      <c r="HKR25" s="21"/>
      <c r="HKS25" s="21"/>
      <c r="HKT25" s="21"/>
      <c r="HKU25" s="21"/>
      <c r="HKV25" s="21"/>
      <c r="HKW25" s="21"/>
      <c r="HKX25" s="21"/>
      <c r="HKY25" s="21"/>
      <c r="HKZ25" s="21"/>
      <c r="HLA25" s="21"/>
      <c r="HLB25" s="21"/>
      <c r="HLC25" s="21"/>
      <c r="HLD25" s="21"/>
      <c r="HLE25" s="21"/>
      <c r="HLF25" s="21"/>
      <c r="HLG25" s="21"/>
      <c r="HLH25" s="21"/>
      <c r="HLI25" s="21"/>
      <c r="HLJ25" s="21"/>
      <c r="HLK25" s="21"/>
      <c r="HLL25" s="21"/>
      <c r="HLM25" s="21"/>
      <c r="HLN25" s="21"/>
      <c r="HLO25" s="21"/>
      <c r="HLP25" s="21"/>
      <c r="HLQ25" s="21"/>
      <c r="HLR25" s="21"/>
      <c r="HLS25" s="21"/>
      <c r="HLT25" s="21"/>
      <c r="HLU25" s="21"/>
      <c r="HLV25" s="21"/>
      <c r="HLW25" s="21"/>
      <c r="HLX25" s="21"/>
      <c r="HLY25" s="21"/>
      <c r="HLZ25" s="21"/>
      <c r="HMA25" s="21"/>
      <c r="HMB25" s="21"/>
      <c r="HMC25" s="21"/>
      <c r="HMD25" s="21"/>
      <c r="HME25" s="21"/>
      <c r="HMF25" s="21"/>
      <c r="HMG25" s="21"/>
      <c r="HMH25" s="21"/>
      <c r="HMI25" s="21"/>
      <c r="HMJ25" s="21"/>
      <c r="HMK25" s="21"/>
      <c r="HML25" s="21"/>
      <c r="HMM25" s="21"/>
      <c r="HMN25" s="21"/>
      <c r="HMO25" s="21"/>
      <c r="HMP25" s="21"/>
      <c r="HMQ25" s="21"/>
      <c r="HMR25" s="21"/>
      <c r="HMS25" s="21"/>
      <c r="HMT25" s="21"/>
      <c r="HMU25" s="21"/>
      <c r="HMV25" s="21"/>
      <c r="HMW25" s="21"/>
      <c r="HMX25" s="21"/>
      <c r="HMY25" s="21"/>
      <c r="HMZ25" s="21"/>
      <c r="HNA25" s="21"/>
      <c r="HNB25" s="21"/>
      <c r="HNC25" s="21"/>
      <c r="HND25" s="21"/>
      <c r="HNE25" s="21"/>
      <c r="HNF25" s="21"/>
      <c r="HNG25" s="21"/>
      <c r="HNH25" s="21"/>
      <c r="HNI25" s="21"/>
      <c r="HNJ25" s="21"/>
      <c r="HNK25" s="21"/>
      <c r="HNL25" s="21"/>
      <c r="HNM25" s="21"/>
      <c r="HNN25" s="21"/>
      <c r="HNO25" s="21"/>
      <c r="HNP25" s="21"/>
      <c r="HNQ25" s="21"/>
      <c r="HNR25" s="21"/>
      <c r="HNS25" s="21"/>
      <c r="HNT25" s="21"/>
      <c r="HNU25" s="21"/>
      <c r="HNV25" s="21"/>
      <c r="HNW25" s="21"/>
      <c r="HNX25" s="21"/>
      <c r="HNY25" s="21"/>
      <c r="HNZ25" s="21"/>
      <c r="HOA25" s="21"/>
      <c r="HOB25" s="21"/>
      <c r="HOC25" s="21"/>
      <c r="HOD25" s="21"/>
      <c r="HOE25" s="21"/>
      <c r="HOF25" s="21"/>
      <c r="HOG25" s="21"/>
      <c r="HOH25" s="21"/>
      <c r="HOI25" s="21"/>
      <c r="HOJ25" s="21"/>
      <c r="HOK25" s="21"/>
      <c r="HOL25" s="21"/>
      <c r="HOM25" s="21"/>
      <c r="HON25" s="21"/>
      <c r="HOO25" s="21"/>
      <c r="HOP25" s="21"/>
      <c r="HOQ25" s="21"/>
      <c r="HOR25" s="21"/>
      <c r="HOS25" s="21"/>
      <c r="HOT25" s="21"/>
      <c r="HOU25" s="21"/>
      <c r="HOV25" s="21"/>
      <c r="HOW25" s="21"/>
      <c r="HOX25" s="21"/>
      <c r="HOY25" s="21"/>
      <c r="HOZ25" s="21"/>
      <c r="HPA25" s="21"/>
      <c r="HPB25" s="21"/>
      <c r="HPC25" s="21"/>
      <c r="HPD25" s="21"/>
      <c r="HPE25" s="21"/>
      <c r="HPF25" s="21"/>
      <c r="HPG25" s="21"/>
      <c r="HPH25" s="21"/>
      <c r="HPI25" s="21"/>
      <c r="HPJ25" s="21"/>
      <c r="HPK25" s="21"/>
      <c r="HPL25" s="21"/>
      <c r="HPM25" s="21"/>
      <c r="HPN25" s="21"/>
      <c r="HPO25" s="21"/>
      <c r="HPP25" s="21"/>
      <c r="HPQ25" s="21"/>
      <c r="HPR25" s="21"/>
      <c r="HPS25" s="21"/>
      <c r="HPT25" s="21"/>
      <c r="HPU25" s="21"/>
      <c r="HPV25" s="21"/>
      <c r="HPW25" s="21"/>
      <c r="HPX25" s="21"/>
      <c r="HPY25" s="21"/>
      <c r="HPZ25" s="21"/>
      <c r="HQA25" s="21"/>
      <c r="HQB25" s="21"/>
      <c r="HQC25" s="21"/>
      <c r="HQD25" s="21"/>
      <c r="HQE25" s="21"/>
      <c r="HQF25" s="21"/>
      <c r="HQG25" s="21"/>
      <c r="HQH25" s="21"/>
      <c r="HQI25" s="21"/>
      <c r="HQJ25" s="21"/>
      <c r="HQK25" s="21"/>
      <c r="HQL25" s="21"/>
      <c r="HQM25" s="21"/>
      <c r="HQN25" s="21"/>
      <c r="HQO25" s="21"/>
      <c r="HQP25" s="21"/>
      <c r="HQQ25" s="21"/>
      <c r="HQR25" s="21"/>
      <c r="HQS25" s="21"/>
      <c r="HQT25" s="21"/>
      <c r="HQU25" s="21"/>
      <c r="HQV25" s="21"/>
      <c r="HQW25" s="21"/>
      <c r="HQX25" s="21"/>
      <c r="HQY25" s="21"/>
      <c r="HQZ25" s="21"/>
      <c r="HRA25" s="21"/>
      <c r="HRB25" s="21"/>
      <c r="HRC25" s="21"/>
      <c r="HRD25" s="21"/>
      <c r="HRE25" s="21"/>
      <c r="HRF25" s="21"/>
      <c r="HRG25" s="21"/>
      <c r="HRH25" s="21"/>
      <c r="HRI25" s="21"/>
      <c r="HRJ25" s="21"/>
      <c r="HRK25" s="21"/>
      <c r="HRL25" s="21"/>
      <c r="HRM25" s="21"/>
      <c r="HRN25" s="21"/>
      <c r="HRO25" s="21"/>
      <c r="HRP25" s="21"/>
      <c r="HRQ25" s="21"/>
      <c r="HRR25" s="21"/>
      <c r="HRS25" s="21"/>
      <c r="HRT25" s="21"/>
      <c r="HRU25" s="21"/>
      <c r="HRV25" s="21"/>
      <c r="HRW25" s="21"/>
      <c r="HRX25" s="21"/>
      <c r="HRY25" s="21"/>
      <c r="HRZ25" s="21"/>
      <c r="HSA25" s="21"/>
      <c r="HSB25" s="21"/>
      <c r="HSC25" s="21"/>
      <c r="HSD25" s="21"/>
      <c r="HSE25" s="21"/>
      <c r="HSF25" s="21"/>
      <c r="HSG25" s="21"/>
      <c r="HSH25" s="21"/>
      <c r="HSI25" s="21"/>
      <c r="HSJ25" s="21"/>
      <c r="HSK25" s="21"/>
      <c r="HSL25" s="21"/>
      <c r="HSM25" s="21"/>
      <c r="HSN25" s="21"/>
      <c r="HSO25" s="21"/>
      <c r="HSP25" s="21"/>
      <c r="HSQ25" s="21"/>
      <c r="HSR25" s="21"/>
      <c r="HSS25" s="21"/>
      <c r="HST25" s="21"/>
      <c r="HSU25" s="21"/>
      <c r="HSV25" s="21"/>
      <c r="HSW25" s="21"/>
      <c r="HSX25" s="21"/>
      <c r="HSY25" s="21"/>
      <c r="HSZ25" s="21"/>
      <c r="HTA25" s="21"/>
      <c r="HTB25" s="21"/>
      <c r="HTC25" s="21"/>
      <c r="HTD25" s="21"/>
      <c r="HTE25" s="21"/>
      <c r="HTF25" s="21"/>
      <c r="HTG25" s="21"/>
      <c r="HTH25" s="21"/>
      <c r="HTI25" s="21"/>
      <c r="HTJ25" s="21"/>
      <c r="HTK25" s="21"/>
      <c r="HTL25" s="21"/>
      <c r="HTM25" s="21"/>
      <c r="HTN25" s="21"/>
      <c r="HTO25" s="21"/>
      <c r="HTP25" s="21"/>
      <c r="HTQ25" s="21"/>
      <c r="HTR25" s="21"/>
      <c r="HTS25" s="21"/>
      <c r="HTT25" s="21"/>
      <c r="HTU25" s="21"/>
      <c r="HTV25" s="21"/>
      <c r="HTW25" s="21"/>
      <c r="HTX25" s="21"/>
      <c r="HTY25" s="21"/>
      <c r="HTZ25" s="21"/>
      <c r="HUA25" s="21"/>
      <c r="HUB25" s="21"/>
      <c r="HUC25" s="21"/>
      <c r="HUD25" s="21"/>
      <c r="HUE25" s="21"/>
      <c r="HUF25" s="21"/>
      <c r="HUG25" s="21"/>
      <c r="HUH25" s="21"/>
      <c r="HUI25" s="21"/>
      <c r="HUJ25" s="21"/>
      <c r="HUK25" s="21"/>
      <c r="HUL25" s="21"/>
      <c r="HUM25" s="21"/>
      <c r="HUN25" s="21"/>
      <c r="HUO25" s="21"/>
      <c r="HUP25" s="21"/>
      <c r="HUQ25" s="21"/>
      <c r="HUR25" s="21"/>
      <c r="HUS25" s="21"/>
      <c r="HUT25" s="21"/>
      <c r="HUU25" s="21"/>
      <c r="HUV25" s="21"/>
      <c r="HUW25" s="21"/>
      <c r="HUX25" s="21"/>
      <c r="HUY25" s="21"/>
      <c r="HUZ25" s="21"/>
      <c r="HVA25" s="21"/>
      <c r="HVB25" s="21"/>
      <c r="HVC25" s="21"/>
      <c r="HVD25" s="21"/>
      <c r="HVE25" s="21"/>
      <c r="HVF25" s="21"/>
      <c r="HVG25" s="21"/>
      <c r="HVH25" s="21"/>
      <c r="HVI25" s="21"/>
      <c r="HVJ25" s="21"/>
      <c r="HVK25" s="21"/>
      <c r="HVL25" s="21"/>
      <c r="HVM25" s="21"/>
      <c r="HVN25" s="21"/>
      <c r="HVO25" s="21"/>
      <c r="HVP25" s="21"/>
      <c r="HVQ25" s="21"/>
      <c r="HVR25" s="21"/>
      <c r="HVS25" s="21"/>
      <c r="HVT25" s="21"/>
      <c r="HVU25" s="21"/>
      <c r="HVV25" s="21"/>
      <c r="HVW25" s="21"/>
      <c r="HVX25" s="21"/>
      <c r="HVY25" s="21"/>
      <c r="HVZ25" s="21"/>
      <c r="HWA25" s="21"/>
      <c r="HWB25" s="21"/>
      <c r="HWC25" s="21"/>
      <c r="HWD25" s="21"/>
      <c r="HWE25" s="21"/>
      <c r="HWF25" s="21"/>
      <c r="HWG25" s="21"/>
      <c r="HWH25" s="21"/>
      <c r="HWI25" s="21"/>
      <c r="HWJ25" s="21"/>
      <c r="HWK25" s="21"/>
      <c r="HWL25" s="21"/>
      <c r="HWM25" s="21"/>
      <c r="HWN25" s="21"/>
      <c r="HWO25" s="21"/>
      <c r="HWP25" s="21"/>
      <c r="HWQ25" s="21"/>
      <c r="HWR25" s="21"/>
      <c r="HWS25" s="21"/>
      <c r="HWT25" s="21"/>
      <c r="HWU25" s="21"/>
      <c r="HWV25" s="21"/>
      <c r="HWW25" s="21"/>
      <c r="HWX25" s="21"/>
      <c r="HWY25" s="21"/>
      <c r="HWZ25" s="21"/>
      <c r="HXA25" s="21"/>
      <c r="HXB25" s="21"/>
      <c r="HXC25" s="21"/>
      <c r="HXD25" s="21"/>
      <c r="HXE25" s="21"/>
      <c r="HXF25" s="21"/>
      <c r="HXG25" s="21"/>
      <c r="HXH25" s="21"/>
      <c r="HXI25" s="21"/>
      <c r="HXJ25" s="21"/>
      <c r="HXK25" s="21"/>
      <c r="HXL25" s="21"/>
      <c r="HXM25" s="21"/>
      <c r="HXN25" s="21"/>
      <c r="HXO25" s="21"/>
      <c r="HXP25" s="21"/>
      <c r="HXQ25" s="21"/>
      <c r="HXR25" s="21"/>
      <c r="HXS25" s="21"/>
      <c r="HXT25" s="21"/>
      <c r="HXU25" s="21"/>
      <c r="HXV25" s="21"/>
      <c r="HXW25" s="21"/>
      <c r="HXX25" s="21"/>
      <c r="HXY25" s="21"/>
      <c r="HXZ25" s="21"/>
      <c r="HYA25" s="21"/>
      <c r="HYB25" s="21"/>
      <c r="HYC25" s="21"/>
      <c r="HYD25" s="21"/>
      <c r="HYE25" s="21"/>
      <c r="HYF25" s="21"/>
      <c r="HYG25" s="21"/>
      <c r="HYH25" s="21"/>
      <c r="HYI25" s="21"/>
      <c r="HYJ25" s="21"/>
      <c r="HYK25" s="21"/>
      <c r="HYL25" s="21"/>
      <c r="HYM25" s="21"/>
      <c r="HYN25" s="21"/>
      <c r="HYO25" s="21"/>
      <c r="HYP25" s="21"/>
      <c r="HYQ25" s="21"/>
      <c r="HYR25" s="21"/>
      <c r="HYS25" s="21"/>
      <c r="HYT25" s="21"/>
      <c r="HYU25" s="21"/>
      <c r="HYV25" s="21"/>
      <c r="HYW25" s="21"/>
      <c r="HYX25" s="21"/>
      <c r="HYY25" s="21"/>
      <c r="HYZ25" s="21"/>
      <c r="HZA25" s="21"/>
      <c r="HZB25" s="21"/>
      <c r="HZC25" s="21"/>
      <c r="HZD25" s="21"/>
      <c r="HZE25" s="21"/>
      <c r="HZF25" s="21"/>
      <c r="HZG25" s="21"/>
      <c r="HZH25" s="21"/>
      <c r="HZI25" s="21"/>
      <c r="HZJ25" s="21"/>
      <c r="HZK25" s="21"/>
      <c r="HZL25" s="21"/>
      <c r="HZM25" s="21"/>
      <c r="HZN25" s="21"/>
      <c r="HZO25" s="21"/>
      <c r="HZP25" s="21"/>
      <c r="HZQ25" s="21"/>
      <c r="HZR25" s="21"/>
      <c r="HZS25" s="21"/>
      <c r="HZT25" s="21"/>
      <c r="HZU25" s="21"/>
      <c r="HZV25" s="21"/>
      <c r="HZW25" s="21"/>
      <c r="HZX25" s="21"/>
      <c r="HZY25" s="21"/>
      <c r="HZZ25" s="21"/>
      <c r="IAA25" s="21"/>
      <c r="IAB25" s="21"/>
      <c r="IAC25" s="21"/>
      <c r="IAD25" s="21"/>
      <c r="IAE25" s="21"/>
      <c r="IAF25" s="21"/>
      <c r="IAG25" s="21"/>
      <c r="IAH25" s="21"/>
      <c r="IAI25" s="21"/>
      <c r="IAJ25" s="21"/>
      <c r="IAK25" s="21"/>
      <c r="IAL25" s="21"/>
      <c r="IAM25" s="21"/>
      <c r="IAN25" s="21"/>
      <c r="IAO25" s="21"/>
      <c r="IAP25" s="21"/>
      <c r="IAQ25" s="21"/>
      <c r="IAR25" s="21"/>
      <c r="IAS25" s="21"/>
      <c r="IAT25" s="21"/>
      <c r="IAU25" s="21"/>
      <c r="IAV25" s="21"/>
      <c r="IAW25" s="21"/>
      <c r="IAX25" s="21"/>
      <c r="IAY25" s="21"/>
      <c r="IAZ25" s="21"/>
      <c r="IBA25" s="21"/>
      <c r="IBB25" s="21"/>
      <c r="IBC25" s="21"/>
      <c r="IBD25" s="21"/>
      <c r="IBE25" s="21"/>
      <c r="IBF25" s="21"/>
      <c r="IBG25" s="21"/>
      <c r="IBH25" s="21"/>
      <c r="IBI25" s="21"/>
      <c r="IBJ25" s="21"/>
      <c r="IBK25" s="21"/>
      <c r="IBL25" s="21"/>
      <c r="IBM25" s="21"/>
      <c r="IBN25" s="21"/>
      <c r="IBO25" s="21"/>
      <c r="IBP25" s="21"/>
      <c r="IBQ25" s="21"/>
      <c r="IBR25" s="21"/>
      <c r="IBS25" s="21"/>
      <c r="IBT25" s="21"/>
      <c r="IBU25" s="21"/>
      <c r="IBV25" s="21"/>
      <c r="IBW25" s="21"/>
      <c r="IBX25" s="21"/>
      <c r="IBY25" s="21"/>
      <c r="IBZ25" s="21"/>
      <c r="ICA25" s="21"/>
      <c r="ICB25" s="21"/>
      <c r="ICC25" s="21"/>
      <c r="ICD25" s="21"/>
      <c r="ICE25" s="21"/>
      <c r="ICF25" s="21"/>
      <c r="ICG25" s="21"/>
      <c r="ICH25" s="21"/>
      <c r="ICI25" s="21"/>
      <c r="ICJ25" s="21"/>
      <c r="ICK25" s="21"/>
      <c r="ICL25" s="21"/>
      <c r="ICM25" s="21"/>
      <c r="ICN25" s="21"/>
      <c r="ICO25" s="21"/>
      <c r="ICP25" s="21"/>
      <c r="ICQ25" s="21"/>
      <c r="ICR25" s="21"/>
      <c r="ICS25" s="21"/>
      <c r="ICT25" s="21"/>
      <c r="ICU25" s="21"/>
      <c r="ICV25" s="21"/>
      <c r="ICW25" s="21"/>
      <c r="ICX25" s="21"/>
      <c r="ICY25" s="21"/>
      <c r="ICZ25" s="21"/>
      <c r="IDA25" s="21"/>
      <c r="IDB25" s="21"/>
      <c r="IDC25" s="21"/>
      <c r="IDD25" s="21"/>
      <c r="IDE25" s="21"/>
      <c r="IDF25" s="21"/>
      <c r="IDG25" s="21"/>
      <c r="IDH25" s="21"/>
      <c r="IDI25" s="21"/>
      <c r="IDJ25" s="21"/>
      <c r="IDK25" s="21"/>
      <c r="IDL25" s="21"/>
      <c r="IDM25" s="21"/>
      <c r="IDN25" s="21"/>
      <c r="IDO25" s="21"/>
      <c r="IDP25" s="21"/>
      <c r="IDQ25" s="21"/>
      <c r="IDR25" s="21"/>
      <c r="IDS25" s="21"/>
      <c r="IDT25" s="21"/>
      <c r="IDU25" s="21"/>
      <c r="IDV25" s="21"/>
      <c r="IDW25" s="21"/>
      <c r="IDX25" s="21"/>
      <c r="IDY25" s="21"/>
      <c r="IDZ25" s="21"/>
      <c r="IEA25" s="21"/>
      <c r="IEB25" s="21"/>
      <c r="IEC25" s="21"/>
      <c r="IED25" s="21"/>
      <c r="IEE25" s="21"/>
      <c r="IEF25" s="21"/>
      <c r="IEG25" s="21"/>
      <c r="IEH25" s="21"/>
      <c r="IEI25" s="21"/>
      <c r="IEJ25" s="21"/>
      <c r="IEK25" s="21"/>
      <c r="IEL25" s="21"/>
      <c r="IEM25" s="21"/>
      <c r="IEN25" s="21"/>
      <c r="IEO25" s="21"/>
      <c r="IEP25" s="21"/>
      <c r="IEQ25" s="21"/>
      <c r="IER25" s="21"/>
      <c r="IES25" s="21"/>
      <c r="IET25" s="21"/>
      <c r="IEU25" s="21"/>
      <c r="IEV25" s="21"/>
      <c r="IEW25" s="21"/>
      <c r="IEX25" s="21"/>
      <c r="IEY25" s="21"/>
      <c r="IEZ25" s="21"/>
      <c r="IFA25" s="21"/>
      <c r="IFB25" s="21"/>
      <c r="IFC25" s="21"/>
      <c r="IFD25" s="21"/>
      <c r="IFE25" s="21"/>
      <c r="IFF25" s="21"/>
      <c r="IFG25" s="21"/>
      <c r="IFH25" s="21"/>
      <c r="IFI25" s="21"/>
      <c r="IFJ25" s="21"/>
      <c r="IFK25" s="21"/>
      <c r="IFL25" s="21"/>
      <c r="IFM25" s="21"/>
      <c r="IFN25" s="21"/>
      <c r="IFO25" s="21"/>
      <c r="IFP25" s="21"/>
      <c r="IFQ25" s="21"/>
      <c r="IFR25" s="21"/>
      <c r="IFS25" s="21"/>
      <c r="IFT25" s="21"/>
      <c r="IFU25" s="21"/>
      <c r="IFV25" s="21"/>
      <c r="IFW25" s="21"/>
      <c r="IFX25" s="21"/>
      <c r="IFY25" s="21"/>
      <c r="IFZ25" s="21"/>
      <c r="IGA25" s="21"/>
      <c r="IGB25" s="21"/>
      <c r="IGC25" s="21"/>
      <c r="IGD25" s="21"/>
      <c r="IGE25" s="21"/>
      <c r="IGF25" s="21"/>
      <c r="IGG25" s="21"/>
      <c r="IGH25" s="21"/>
      <c r="IGI25" s="21"/>
      <c r="IGJ25" s="21"/>
      <c r="IGK25" s="21"/>
      <c r="IGL25" s="21"/>
      <c r="IGM25" s="21"/>
      <c r="IGN25" s="21"/>
      <c r="IGO25" s="21"/>
      <c r="IGP25" s="21"/>
      <c r="IGQ25" s="21"/>
      <c r="IGR25" s="21"/>
      <c r="IGS25" s="21"/>
      <c r="IGT25" s="21"/>
      <c r="IGU25" s="21"/>
      <c r="IGV25" s="21"/>
      <c r="IGW25" s="21"/>
      <c r="IGX25" s="21"/>
      <c r="IGY25" s="21"/>
      <c r="IGZ25" s="21"/>
      <c r="IHA25" s="21"/>
      <c r="IHB25" s="21"/>
      <c r="IHC25" s="21"/>
      <c r="IHD25" s="21"/>
      <c r="IHE25" s="21"/>
      <c r="IHF25" s="21"/>
      <c r="IHG25" s="21"/>
      <c r="IHH25" s="21"/>
      <c r="IHI25" s="21"/>
      <c r="IHJ25" s="21"/>
      <c r="IHK25" s="21"/>
      <c r="IHL25" s="21"/>
      <c r="IHM25" s="21"/>
      <c r="IHN25" s="21"/>
      <c r="IHO25" s="21"/>
      <c r="IHP25" s="21"/>
      <c r="IHQ25" s="21"/>
      <c r="IHR25" s="21"/>
      <c r="IHS25" s="21"/>
      <c r="IHT25" s="21"/>
      <c r="IHU25" s="21"/>
      <c r="IHV25" s="21"/>
      <c r="IHW25" s="21"/>
      <c r="IHX25" s="21"/>
      <c r="IHY25" s="21"/>
      <c r="IHZ25" s="21"/>
      <c r="IIA25" s="21"/>
      <c r="IIB25" s="21"/>
      <c r="IIC25" s="21"/>
      <c r="IID25" s="21"/>
      <c r="IIE25" s="21"/>
      <c r="IIF25" s="21"/>
      <c r="IIG25" s="21"/>
      <c r="IIH25" s="21"/>
      <c r="III25" s="21"/>
      <c r="IIJ25" s="21"/>
      <c r="IIK25" s="21"/>
      <c r="IIL25" s="21"/>
      <c r="IIM25" s="21"/>
      <c r="IIN25" s="21"/>
      <c r="IIO25" s="21"/>
      <c r="IIP25" s="21"/>
      <c r="IIQ25" s="21"/>
      <c r="IIR25" s="21"/>
      <c r="IIS25" s="21"/>
      <c r="IIT25" s="21"/>
      <c r="IIU25" s="21"/>
      <c r="IIV25" s="21"/>
      <c r="IIW25" s="21"/>
      <c r="IIX25" s="21"/>
      <c r="IIY25" s="21"/>
      <c r="IIZ25" s="21"/>
      <c r="IJA25" s="21"/>
      <c r="IJB25" s="21"/>
      <c r="IJC25" s="21"/>
      <c r="IJD25" s="21"/>
      <c r="IJE25" s="21"/>
      <c r="IJF25" s="21"/>
      <c r="IJG25" s="21"/>
      <c r="IJH25" s="21"/>
      <c r="IJI25" s="21"/>
      <c r="IJJ25" s="21"/>
      <c r="IJK25" s="21"/>
      <c r="IJL25" s="21"/>
      <c r="IJM25" s="21"/>
      <c r="IJN25" s="21"/>
      <c r="IJO25" s="21"/>
      <c r="IJP25" s="21"/>
      <c r="IJQ25" s="21"/>
      <c r="IJR25" s="21"/>
      <c r="IJS25" s="21"/>
      <c r="IJT25" s="21"/>
      <c r="IJU25" s="21"/>
      <c r="IJV25" s="21"/>
      <c r="IJW25" s="21"/>
      <c r="IJX25" s="21"/>
      <c r="IJY25" s="21"/>
      <c r="IJZ25" s="21"/>
      <c r="IKA25" s="21"/>
      <c r="IKB25" s="21"/>
      <c r="IKC25" s="21"/>
      <c r="IKD25" s="21"/>
      <c r="IKE25" s="21"/>
      <c r="IKF25" s="21"/>
      <c r="IKG25" s="21"/>
      <c r="IKH25" s="21"/>
      <c r="IKI25" s="21"/>
      <c r="IKJ25" s="21"/>
      <c r="IKK25" s="21"/>
      <c r="IKL25" s="21"/>
      <c r="IKM25" s="21"/>
      <c r="IKN25" s="21"/>
      <c r="IKO25" s="21"/>
      <c r="IKP25" s="21"/>
      <c r="IKQ25" s="21"/>
      <c r="IKR25" s="21"/>
      <c r="IKS25" s="21"/>
      <c r="IKT25" s="21"/>
      <c r="IKU25" s="21"/>
      <c r="IKV25" s="21"/>
      <c r="IKW25" s="21"/>
      <c r="IKX25" s="21"/>
      <c r="IKY25" s="21"/>
      <c r="IKZ25" s="21"/>
      <c r="ILA25" s="21"/>
      <c r="ILB25" s="21"/>
      <c r="ILC25" s="21"/>
      <c r="ILD25" s="21"/>
      <c r="ILE25" s="21"/>
      <c r="ILF25" s="21"/>
      <c r="ILG25" s="21"/>
      <c r="ILH25" s="21"/>
      <c r="ILI25" s="21"/>
      <c r="ILJ25" s="21"/>
      <c r="ILK25" s="21"/>
      <c r="ILL25" s="21"/>
      <c r="ILM25" s="21"/>
      <c r="ILN25" s="21"/>
      <c r="ILO25" s="21"/>
      <c r="ILP25" s="21"/>
      <c r="ILQ25" s="21"/>
      <c r="ILR25" s="21"/>
      <c r="ILS25" s="21"/>
      <c r="ILT25" s="21"/>
      <c r="ILU25" s="21"/>
      <c r="ILV25" s="21"/>
      <c r="ILW25" s="21"/>
      <c r="ILX25" s="21"/>
      <c r="ILY25" s="21"/>
      <c r="ILZ25" s="21"/>
      <c r="IMA25" s="21"/>
      <c r="IMB25" s="21"/>
      <c r="IMC25" s="21"/>
      <c r="IMD25" s="21"/>
      <c r="IME25" s="21"/>
      <c r="IMF25" s="21"/>
      <c r="IMG25" s="21"/>
      <c r="IMH25" s="21"/>
      <c r="IMI25" s="21"/>
      <c r="IMJ25" s="21"/>
      <c r="IMK25" s="21"/>
      <c r="IML25" s="21"/>
      <c r="IMM25" s="21"/>
      <c r="IMN25" s="21"/>
      <c r="IMO25" s="21"/>
      <c r="IMP25" s="21"/>
      <c r="IMQ25" s="21"/>
      <c r="IMR25" s="21"/>
      <c r="IMS25" s="21"/>
      <c r="IMT25" s="21"/>
      <c r="IMU25" s="21"/>
      <c r="IMV25" s="21"/>
      <c r="IMW25" s="21"/>
      <c r="IMX25" s="21"/>
      <c r="IMY25" s="21"/>
      <c r="IMZ25" s="21"/>
      <c r="INA25" s="21"/>
      <c r="INB25" s="21"/>
      <c r="INC25" s="21"/>
      <c r="IND25" s="21"/>
      <c r="INE25" s="21"/>
      <c r="INF25" s="21"/>
      <c r="ING25" s="21"/>
      <c r="INH25" s="21"/>
      <c r="INI25" s="21"/>
      <c r="INJ25" s="21"/>
      <c r="INK25" s="21"/>
      <c r="INL25" s="21"/>
      <c r="INM25" s="21"/>
      <c r="INN25" s="21"/>
      <c r="INO25" s="21"/>
      <c r="INP25" s="21"/>
      <c r="INQ25" s="21"/>
      <c r="INR25" s="21"/>
      <c r="INS25" s="21"/>
      <c r="INT25" s="21"/>
      <c r="INU25" s="21"/>
      <c r="INV25" s="21"/>
      <c r="INW25" s="21"/>
      <c r="INX25" s="21"/>
      <c r="INY25" s="21"/>
      <c r="INZ25" s="21"/>
      <c r="IOA25" s="21"/>
      <c r="IOB25" s="21"/>
      <c r="IOC25" s="21"/>
      <c r="IOD25" s="21"/>
      <c r="IOE25" s="21"/>
      <c r="IOF25" s="21"/>
      <c r="IOG25" s="21"/>
      <c r="IOH25" s="21"/>
      <c r="IOI25" s="21"/>
      <c r="IOJ25" s="21"/>
      <c r="IOK25" s="21"/>
      <c r="IOL25" s="21"/>
      <c r="IOM25" s="21"/>
      <c r="ION25" s="21"/>
      <c r="IOO25" s="21"/>
      <c r="IOP25" s="21"/>
      <c r="IOQ25" s="21"/>
      <c r="IOR25" s="21"/>
      <c r="IOS25" s="21"/>
      <c r="IOT25" s="21"/>
      <c r="IOU25" s="21"/>
      <c r="IOV25" s="21"/>
      <c r="IOW25" s="21"/>
      <c r="IOX25" s="21"/>
      <c r="IOY25" s="21"/>
      <c r="IOZ25" s="21"/>
      <c r="IPA25" s="21"/>
      <c r="IPB25" s="21"/>
      <c r="IPC25" s="21"/>
      <c r="IPD25" s="21"/>
      <c r="IPE25" s="21"/>
      <c r="IPF25" s="21"/>
      <c r="IPG25" s="21"/>
      <c r="IPH25" s="21"/>
      <c r="IPI25" s="21"/>
      <c r="IPJ25" s="21"/>
      <c r="IPK25" s="21"/>
      <c r="IPL25" s="21"/>
      <c r="IPM25" s="21"/>
      <c r="IPN25" s="21"/>
      <c r="IPO25" s="21"/>
      <c r="IPP25" s="21"/>
      <c r="IPQ25" s="21"/>
      <c r="IPR25" s="21"/>
      <c r="IPS25" s="21"/>
      <c r="IPT25" s="21"/>
      <c r="IPU25" s="21"/>
      <c r="IPV25" s="21"/>
      <c r="IPW25" s="21"/>
      <c r="IPX25" s="21"/>
      <c r="IPY25" s="21"/>
      <c r="IPZ25" s="21"/>
      <c r="IQA25" s="21"/>
      <c r="IQB25" s="21"/>
      <c r="IQC25" s="21"/>
      <c r="IQD25" s="21"/>
      <c r="IQE25" s="21"/>
      <c r="IQF25" s="21"/>
      <c r="IQG25" s="21"/>
      <c r="IQH25" s="21"/>
      <c r="IQI25" s="21"/>
      <c r="IQJ25" s="21"/>
      <c r="IQK25" s="21"/>
      <c r="IQL25" s="21"/>
      <c r="IQM25" s="21"/>
      <c r="IQN25" s="21"/>
      <c r="IQO25" s="21"/>
      <c r="IQP25" s="21"/>
      <c r="IQQ25" s="21"/>
      <c r="IQR25" s="21"/>
      <c r="IQS25" s="21"/>
      <c r="IQT25" s="21"/>
      <c r="IQU25" s="21"/>
      <c r="IQV25" s="21"/>
      <c r="IQW25" s="21"/>
      <c r="IQX25" s="21"/>
      <c r="IQY25" s="21"/>
      <c r="IQZ25" s="21"/>
      <c r="IRA25" s="21"/>
      <c r="IRB25" s="21"/>
      <c r="IRC25" s="21"/>
      <c r="IRD25" s="21"/>
      <c r="IRE25" s="21"/>
      <c r="IRF25" s="21"/>
      <c r="IRG25" s="21"/>
      <c r="IRH25" s="21"/>
      <c r="IRI25" s="21"/>
      <c r="IRJ25" s="21"/>
      <c r="IRK25" s="21"/>
      <c r="IRL25" s="21"/>
      <c r="IRM25" s="21"/>
      <c r="IRN25" s="21"/>
      <c r="IRO25" s="21"/>
      <c r="IRP25" s="21"/>
      <c r="IRQ25" s="21"/>
      <c r="IRR25" s="21"/>
      <c r="IRS25" s="21"/>
      <c r="IRT25" s="21"/>
      <c r="IRU25" s="21"/>
      <c r="IRV25" s="21"/>
      <c r="IRW25" s="21"/>
      <c r="IRX25" s="21"/>
      <c r="IRY25" s="21"/>
      <c r="IRZ25" s="21"/>
      <c r="ISA25" s="21"/>
      <c r="ISB25" s="21"/>
      <c r="ISC25" s="21"/>
      <c r="ISD25" s="21"/>
      <c r="ISE25" s="21"/>
      <c r="ISF25" s="21"/>
      <c r="ISG25" s="21"/>
      <c r="ISH25" s="21"/>
      <c r="ISI25" s="21"/>
      <c r="ISJ25" s="21"/>
      <c r="ISK25" s="21"/>
      <c r="ISL25" s="21"/>
      <c r="ISM25" s="21"/>
      <c r="ISN25" s="21"/>
      <c r="ISO25" s="21"/>
      <c r="ISP25" s="21"/>
      <c r="ISQ25" s="21"/>
      <c r="ISR25" s="21"/>
      <c r="ISS25" s="21"/>
      <c r="IST25" s="21"/>
      <c r="ISU25" s="21"/>
      <c r="ISV25" s="21"/>
      <c r="ISW25" s="21"/>
      <c r="ISX25" s="21"/>
      <c r="ISY25" s="21"/>
      <c r="ISZ25" s="21"/>
      <c r="ITA25" s="21"/>
      <c r="ITB25" s="21"/>
      <c r="ITC25" s="21"/>
      <c r="ITD25" s="21"/>
      <c r="ITE25" s="21"/>
      <c r="ITF25" s="21"/>
      <c r="ITG25" s="21"/>
      <c r="ITH25" s="21"/>
      <c r="ITI25" s="21"/>
      <c r="ITJ25" s="21"/>
      <c r="ITK25" s="21"/>
      <c r="ITL25" s="21"/>
      <c r="ITM25" s="21"/>
      <c r="ITN25" s="21"/>
      <c r="ITO25" s="21"/>
      <c r="ITP25" s="21"/>
      <c r="ITQ25" s="21"/>
      <c r="ITR25" s="21"/>
      <c r="ITS25" s="21"/>
      <c r="ITT25" s="21"/>
      <c r="ITU25" s="21"/>
      <c r="ITV25" s="21"/>
      <c r="ITW25" s="21"/>
      <c r="ITX25" s="21"/>
      <c r="ITY25" s="21"/>
      <c r="ITZ25" s="21"/>
      <c r="IUA25" s="21"/>
      <c r="IUB25" s="21"/>
      <c r="IUC25" s="21"/>
      <c r="IUD25" s="21"/>
      <c r="IUE25" s="21"/>
      <c r="IUF25" s="21"/>
      <c r="IUG25" s="21"/>
      <c r="IUH25" s="21"/>
      <c r="IUI25" s="21"/>
      <c r="IUJ25" s="21"/>
      <c r="IUK25" s="21"/>
      <c r="IUL25" s="21"/>
      <c r="IUM25" s="21"/>
      <c r="IUN25" s="21"/>
      <c r="IUO25" s="21"/>
      <c r="IUP25" s="21"/>
      <c r="IUQ25" s="21"/>
      <c r="IUR25" s="21"/>
      <c r="IUS25" s="21"/>
      <c r="IUT25" s="21"/>
      <c r="IUU25" s="21"/>
      <c r="IUV25" s="21"/>
      <c r="IUW25" s="21"/>
      <c r="IUX25" s="21"/>
      <c r="IUY25" s="21"/>
      <c r="IUZ25" s="21"/>
      <c r="IVA25" s="21"/>
      <c r="IVB25" s="21"/>
      <c r="IVC25" s="21"/>
      <c r="IVD25" s="21"/>
      <c r="IVE25" s="21"/>
      <c r="IVF25" s="21"/>
      <c r="IVG25" s="21"/>
      <c r="IVH25" s="21"/>
      <c r="IVI25" s="21"/>
      <c r="IVJ25" s="21"/>
      <c r="IVK25" s="21"/>
      <c r="IVL25" s="21"/>
      <c r="IVM25" s="21"/>
      <c r="IVN25" s="21"/>
      <c r="IVO25" s="21"/>
      <c r="IVP25" s="21"/>
      <c r="IVQ25" s="21"/>
      <c r="IVR25" s="21"/>
      <c r="IVS25" s="21"/>
      <c r="IVT25" s="21"/>
      <c r="IVU25" s="21"/>
      <c r="IVV25" s="21"/>
      <c r="IVW25" s="21"/>
      <c r="IVX25" s="21"/>
      <c r="IVY25" s="21"/>
      <c r="IVZ25" s="21"/>
      <c r="IWA25" s="21"/>
      <c r="IWB25" s="21"/>
      <c r="IWC25" s="21"/>
      <c r="IWD25" s="21"/>
      <c r="IWE25" s="21"/>
      <c r="IWF25" s="21"/>
      <c r="IWG25" s="21"/>
      <c r="IWH25" s="21"/>
      <c r="IWI25" s="21"/>
      <c r="IWJ25" s="21"/>
      <c r="IWK25" s="21"/>
      <c r="IWL25" s="21"/>
      <c r="IWM25" s="21"/>
      <c r="IWN25" s="21"/>
      <c r="IWO25" s="21"/>
      <c r="IWP25" s="21"/>
      <c r="IWQ25" s="21"/>
      <c r="IWR25" s="21"/>
      <c r="IWS25" s="21"/>
      <c r="IWT25" s="21"/>
      <c r="IWU25" s="21"/>
      <c r="IWV25" s="21"/>
      <c r="IWW25" s="21"/>
      <c r="IWX25" s="21"/>
      <c r="IWY25" s="21"/>
      <c r="IWZ25" s="21"/>
      <c r="IXA25" s="21"/>
      <c r="IXB25" s="21"/>
      <c r="IXC25" s="21"/>
      <c r="IXD25" s="21"/>
      <c r="IXE25" s="21"/>
      <c r="IXF25" s="21"/>
      <c r="IXG25" s="21"/>
      <c r="IXH25" s="21"/>
      <c r="IXI25" s="21"/>
      <c r="IXJ25" s="21"/>
      <c r="IXK25" s="21"/>
      <c r="IXL25" s="21"/>
      <c r="IXM25" s="21"/>
      <c r="IXN25" s="21"/>
      <c r="IXO25" s="21"/>
      <c r="IXP25" s="21"/>
      <c r="IXQ25" s="21"/>
      <c r="IXR25" s="21"/>
      <c r="IXS25" s="21"/>
      <c r="IXT25" s="21"/>
      <c r="IXU25" s="21"/>
      <c r="IXV25" s="21"/>
      <c r="IXW25" s="21"/>
      <c r="IXX25" s="21"/>
      <c r="IXY25" s="21"/>
      <c r="IXZ25" s="21"/>
      <c r="IYA25" s="21"/>
      <c r="IYB25" s="21"/>
      <c r="IYC25" s="21"/>
      <c r="IYD25" s="21"/>
      <c r="IYE25" s="21"/>
      <c r="IYF25" s="21"/>
      <c r="IYG25" s="21"/>
      <c r="IYH25" s="21"/>
      <c r="IYI25" s="21"/>
      <c r="IYJ25" s="21"/>
      <c r="IYK25" s="21"/>
      <c r="IYL25" s="21"/>
      <c r="IYM25" s="21"/>
      <c r="IYN25" s="21"/>
      <c r="IYO25" s="21"/>
      <c r="IYP25" s="21"/>
      <c r="IYQ25" s="21"/>
      <c r="IYR25" s="21"/>
      <c r="IYS25" s="21"/>
      <c r="IYT25" s="21"/>
      <c r="IYU25" s="21"/>
      <c r="IYV25" s="21"/>
      <c r="IYW25" s="21"/>
      <c r="IYX25" s="21"/>
      <c r="IYY25" s="21"/>
      <c r="IYZ25" s="21"/>
      <c r="IZA25" s="21"/>
      <c r="IZB25" s="21"/>
      <c r="IZC25" s="21"/>
      <c r="IZD25" s="21"/>
      <c r="IZE25" s="21"/>
      <c r="IZF25" s="21"/>
      <c r="IZG25" s="21"/>
      <c r="IZH25" s="21"/>
      <c r="IZI25" s="21"/>
      <c r="IZJ25" s="21"/>
      <c r="IZK25" s="21"/>
      <c r="IZL25" s="21"/>
      <c r="IZM25" s="21"/>
      <c r="IZN25" s="21"/>
      <c r="IZO25" s="21"/>
      <c r="IZP25" s="21"/>
      <c r="IZQ25" s="21"/>
      <c r="IZR25" s="21"/>
      <c r="IZS25" s="21"/>
      <c r="IZT25" s="21"/>
      <c r="IZU25" s="21"/>
      <c r="IZV25" s="21"/>
      <c r="IZW25" s="21"/>
      <c r="IZX25" s="21"/>
      <c r="IZY25" s="21"/>
      <c r="IZZ25" s="21"/>
      <c r="JAA25" s="21"/>
      <c r="JAB25" s="21"/>
      <c r="JAC25" s="21"/>
      <c r="JAD25" s="21"/>
      <c r="JAE25" s="21"/>
      <c r="JAF25" s="21"/>
      <c r="JAG25" s="21"/>
      <c r="JAH25" s="21"/>
      <c r="JAI25" s="21"/>
      <c r="JAJ25" s="21"/>
      <c r="JAK25" s="21"/>
      <c r="JAL25" s="21"/>
      <c r="JAM25" s="21"/>
      <c r="JAN25" s="21"/>
      <c r="JAO25" s="21"/>
      <c r="JAP25" s="21"/>
      <c r="JAQ25" s="21"/>
      <c r="JAR25" s="21"/>
      <c r="JAS25" s="21"/>
      <c r="JAT25" s="21"/>
      <c r="JAU25" s="21"/>
      <c r="JAV25" s="21"/>
      <c r="JAW25" s="21"/>
      <c r="JAX25" s="21"/>
      <c r="JAY25" s="21"/>
      <c r="JAZ25" s="21"/>
      <c r="JBA25" s="21"/>
      <c r="JBB25" s="21"/>
      <c r="JBC25" s="21"/>
      <c r="JBD25" s="21"/>
      <c r="JBE25" s="21"/>
      <c r="JBF25" s="21"/>
      <c r="JBG25" s="21"/>
      <c r="JBH25" s="21"/>
      <c r="JBI25" s="21"/>
      <c r="JBJ25" s="21"/>
      <c r="JBK25" s="21"/>
      <c r="JBL25" s="21"/>
      <c r="JBM25" s="21"/>
      <c r="JBN25" s="21"/>
      <c r="JBO25" s="21"/>
      <c r="JBP25" s="21"/>
      <c r="JBQ25" s="21"/>
      <c r="JBR25" s="21"/>
      <c r="JBS25" s="21"/>
      <c r="JBT25" s="21"/>
      <c r="JBU25" s="21"/>
      <c r="JBV25" s="21"/>
      <c r="JBW25" s="21"/>
      <c r="JBX25" s="21"/>
      <c r="JBY25" s="21"/>
      <c r="JBZ25" s="21"/>
      <c r="JCA25" s="21"/>
      <c r="JCB25" s="21"/>
      <c r="JCC25" s="21"/>
      <c r="JCD25" s="21"/>
      <c r="JCE25" s="21"/>
      <c r="JCF25" s="21"/>
      <c r="JCG25" s="21"/>
      <c r="JCH25" s="21"/>
      <c r="JCI25" s="21"/>
      <c r="JCJ25" s="21"/>
      <c r="JCK25" s="21"/>
      <c r="JCL25" s="21"/>
      <c r="JCM25" s="21"/>
      <c r="JCN25" s="21"/>
      <c r="JCO25" s="21"/>
      <c r="JCP25" s="21"/>
      <c r="JCQ25" s="21"/>
      <c r="JCR25" s="21"/>
      <c r="JCS25" s="21"/>
      <c r="JCT25" s="21"/>
      <c r="JCU25" s="21"/>
      <c r="JCV25" s="21"/>
      <c r="JCW25" s="21"/>
      <c r="JCX25" s="21"/>
      <c r="JCY25" s="21"/>
      <c r="JCZ25" s="21"/>
      <c r="JDA25" s="21"/>
      <c r="JDB25" s="21"/>
      <c r="JDC25" s="21"/>
      <c r="JDD25" s="21"/>
      <c r="JDE25" s="21"/>
      <c r="JDF25" s="21"/>
      <c r="JDG25" s="21"/>
      <c r="JDH25" s="21"/>
      <c r="JDI25" s="21"/>
      <c r="JDJ25" s="21"/>
      <c r="JDK25" s="21"/>
      <c r="JDL25" s="21"/>
      <c r="JDM25" s="21"/>
      <c r="JDN25" s="21"/>
      <c r="JDO25" s="21"/>
      <c r="JDP25" s="21"/>
      <c r="JDQ25" s="21"/>
      <c r="JDR25" s="21"/>
      <c r="JDS25" s="21"/>
      <c r="JDT25" s="21"/>
      <c r="JDU25" s="21"/>
      <c r="JDV25" s="21"/>
      <c r="JDW25" s="21"/>
      <c r="JDX25" s="21"/>
      <c r="JDY25" s="21"/>
      <c r="JDZ25" s="21"/>
      <c r="JEA25" s="21"/>
      <c r="JEB25" s="21"/>
      <c r="JEC25" s="21"/>
      <c r="JED25" s="21"/>
      <c r="JEE25" s="21"/>
      <c r="JEF25" s="21"/>
      <c r="JEG25" s="21"/>
      <c r="JEH25" s="21"/>
      <c r="JEI25" s="21"/>
      <c r="JEJ25" s="21"/>
      <c r="JEK25" s="21"/>
      <c r="JEL25" s="21"/>
      <c r="JEM25" s="21"/>
      <c r="JEN25" s="21"/>
      <c r="JEO25" s="21"/>
      <c r="JEP25" s="21"/>
      <c r="JEQ25" s="21"/>
      <c r="JER25" s="21"/>
      <c r="JES25" s="21"/>
      <c r="JET25" s="21"/>
      <c r="JEU25" s="21"/>
      <c r="JEV25" s="21"/>
      <c r="JEW25" s="21"/>
      <c r="JEX25" s="21"/>
      <c r="JEY25" s="21"/>
      <c r="JEZ25" s="21"/>
      <c r="JFA25" s="21"/>
      <c r="JFB25" s="21"/>
      <c r="JFC25" s="21"/>
      <c r="JFD25" s="21"/>
      <c r="JFE25" s="21"/>
      <c r="JFF25" s="21"/>
      <c r="JFG25" s="21"/>
      <c r="JFH25" s="21"/>
      <c r="JFI25" s="21"/>
      <c r="JFJ25" s="21"/>
      <c r="JFK25" s="21"/>
      <c r="JFL25" s="21"/>
      <c r="JFM25" s="21"/>
      <c r="JFN25" s="21"/>
      <c r="JFO25" s="21"/>
      <c r="JFP25" s="21"/>
      <c r="JFQ25" s="21"/>
      <c r="JFR25" s="21"/>
      <c r="JFS25" s="21"/>
      <c r="JFT25" s="21"/>
      <c r="JFU25" s="21"/>
      <c r="JFV25" s="21"/>
      <c r="JFW25" s="21"/>
      <c r="JFX25" s="21"/>
      <c r="JFY25" s="21"/>
      <c r="JFZ25" s="21"/>
      <c r="JGA25" s="21"/>
      <c r="JGB25" s="21"/>
      <c r="JGC25" s="21"/>
      <c r="JGD25" s="21"/>
      <c r="JGE25" s="21"/>
      <c r="JGF25" s="21"/>
      <c r="JGG25" s="21"/>
      <c r="JGH25" s="21"/>
      <c r="JGI25" s="21"/>
      <c r="JGJ25" s="21"/>
      <c r="JGK25" s="21"/>
      <c r="JGL25" s="21"/>
      <c r="JGM25" s="21"/>
      <c r="JGN25" s="21"/>
      <c r="JGO25" s="21"/>
      <c r="JGP25" s="21"/>
      <c r="JGQ25" s="21"/>
      <c r="JGR25" s="21"/>
      <c r="JGS25" s="21"/>
      <c r="JGT25" s="21"/>
      <c r="JGU25" s="21"/>
      <c r="JGV25" s="21"/>
      <c r="JGW25" s="21"/>
      <c r="JGX25" s="21"/>
      <c r="JGY25" s="21"/>
      <c r="JGZ25" s="21"/>
      <c r="JHA25" s="21"/>
      <c r="JHB25" s="21"/>
      <c r="JHC25" s="21"/>
      <c r="JHD25" s="21"/>
      <c r="JHE25" s="21"/>
      <c r="JHF25" s="21"/>
      <c r="JHG25" s="21"/>
      <c r="JHH25" s="21"/>
      <c r="JHI25" s="21"/>
      <c r="JHJ25" s="21"/>
      <c r="JHK25" s="21"/>
      <c r="JHL25" s="21"/>
      <c r="JHM25" s="21"/>
      <c r="JHN25" s="21"/>
      <c r="JHO25" s="21"/>
      <c r="JHP25" s="21"/>
      <c r="JHQ25" s="21"/>
      <c r="JHR25" s="21"/>
      <c r="JHS25" s="21"/>
      <c r="JHT25" s="21"/>
      <c r="JHU25" s="21"/>
      <c r="JHV25" s="21"/>
      <c r="JHW25" s="21"/>
      <c r="JHX25" s="21"/>
      <c r="JHY25" s="21"/>
      <c r="JHZ25" s="21"/>
      <c r="JIA25" s="21"/>
      <c r="JIB25" s="21"/>
      <c r="JIC25" s="21"/>
      <c r="JID25" s="21"/>
      <c r="JIE25" s="21"/>
      <c r="JIF25" s="21"/>
      <c r="JIG25" s="21"/>
      <c r="JIH25" s="21"/>
      <c r="JII25" s="21"/>
      <c r="JIJ25" s="21"/>
      <c r="JIK25" s="21"/>
      <c r="JIL25" s="21"/>
      <c r="JIM25" s="21"/>
      <c r="JIN25" s="21"/>
      <c r="JIO25" s="21"/>
      <c r="JIP25" s="21"/>
      <c r="JIQ25" s="21"/>
      <c r="JIR25" s="21"/>
      <c r="JIS25" s="21"/>
      <c r="JIT25" s="21"/>
      <c r="JIU25" s="21"/>
      <c r="JIV25" s="21"/>
      <c r="JIW25" s="21"/>
      <c r="JIX25" s="21"/>
      <c r="JIY25" s="21"/>
      <c r="JIZ25" s="21"/>
      <c r="JJA25" s="21"/>
      <c r="JJB25" s="21"/>
      <c r="JJC25" s="21"/>
      <c r="JJD25" s="21"/>
      <c r="JJE25" s="21"/>
      <c r="JJF25" s="21"/>
      <c r="JJG25" s="21"/>
      <c r="JJH25" s="21"/>
      <c r="JJI25" s="21"/>
      <c r="JJJ25" s="21"/>
      <c r="JJK25" s="21"/>
      <c r="JJL25" s="21"/>
      <c r="JJM25" s="21"/>
      <c r="JJN25" s="21"/>
      <c r="JJO25" s="21"/>
      <c r="JJP25" s="21"/>
      <c r="JJQ25" s="21"/>
      <c r="JJR25" s="21"/>
      <c r="JJS25" s="21"/>
      <c r="JJT25" s="21"/>
      <c r="JJU25" s="21"/>
      <c r="JJV25" s="21"/>
      <c r="JJW25" s="21"/>
      <c r="JJX25" s="21"/>
      <c r="JJY25" s="21"/>
      <c r="JJZ25" s="21"/>
      <c r="JKA25" s="21"/>
      <c r="JKB25" s="21"/>
      <c r="JKC25" s="21"/>
      <c r="JKD25" s="21"/>
      <c r="JKE25" s="21"/>
      <c r="JKF25" s="21"/>
      <c r="JKG25" s="21"/>
      <c r="JKH25" s="21"/>
      <c r="JKI25" s="21"/>
      <c r="JKJ25" s="21"/>
      <c r="JKK25" s="21"/>
      <c r="JKL25" s="21"/>
      <c r="JKM25" s="21"/>
      <c r="JKN25" s="21"/>
      <c r="JKO25" s="21"/>
      <c r="JKP25" s="21"/>
      <c r="JKQ25" s="21"/>
      <c r="JKR25" s="21"/>
      <c r="JKS25" s="21"/>
      <c r="JKT25" s="21"/>
      <c r="JKU25" s="21"/>
      <c r="JKV25" s="21"/>
      <c r="JKW25" s="21"/>
      <c r="JKX25" s="21"/>
      <c r="JKY25" s="21"/>
      <c r="JKZ25" s="21"/>
      <c r="JLA25" s="21"/>
      <c r="JLB25" s="21"/>
      <c r="JLC25" s="21"/>
      <c r="JLD25" s="21"/>
      <c r="JLE25" s="21"/>
      <c r="JLF25" s="21"/>
      <c r="JLG25" s="21"/>
      <c r="JLH25" s="21"/>
      <c r="JLI25" s="21"/>
      <c r="JLJ25" s="21"/>
      <c r="JLK25" s="21"/>
      <c r="JLL25" s="21"/>
      <c r="JLM25" s="21"/>
      <c r="JLN25" s="21"/>
      <c r="JLO25" s="21"/>
      <c r="JLP25" s="21"/>
      <c r="JLQ25" s="21"/>
      <c r="JLR25" s="21"/>
      <c r="JLS25" s="21"/>
      <c r="JLT25" s="21"/>
      <c r="JLU25" s="21"/>
      <c r="JLV25" s="21"/>
      <c r="JLW25" s="21"/>
      <c r="JLX25" s="21"/>
      <c r="JLY25" s="21"/>
      <c r="JLZ25" s="21"/>
      <c r="JMA25" s="21"/>
      <c r="JMB25" s="21"/>
      <c r="JMC25" s="21"/>
      <c r="JMD25" s="21"/>
      <c r="JME25" s="21"/>
      <c r="JMF25" s="21"/>
      <c r="JMG25" s="21"/>
      <c r="JMH25" s="21"/>
      <c r="JMI25" s="21"/>
      <c r="JMJ25" s="21"/>
      <c r="JMK25" s="21"/>
      <c r="JML25" s="21"/>
      <c r="JMM25" s="21"/>
      <c r="JMN25" s="21"/>
      <c r="JMO25" s="21"/>
      <c r="JMP25" s="21"/>
      <c r="JMQ25" s="21"/>
      <c r="JMR25" s="21"/>
      <c r="JMS25" s="21"/>
      <c r="JMT25" s="21"/>
      <c r="JMU25" s="21"/>
      <c r="JMV25" s="21"/>
      <c r="JMW25" s="21"/>
      <c r="JMX25" s="21"/>
      <c r="JMY25" s="21"/>
      <c r="JMZ25" s="21"/>
      <c r="JNA25" s="21"/>
      <c r="JNB25" s="21"/>
      <c r="JNC25" s="21"/>
      <c r="JND25" s="21"/>
      <c r="JNE25" s="21"/>
      <c r="JNF25" s="21"/>
      <c r="JNG25" s="21"/>
      <c r="JNH25" s="21"/>
      <c r="JNI25" s="21"/>
      <c r="JNJ25" s="21"/>
      <c r="JNK25" s="21"/>
      <c r="JNL25" s="21"/>
      <c r="JNM25" s="21"/>
      <c r="JNN25" s="21"/>
      <c r="JNO25" s="21"/>
      <c r="JNP25" s="21"/>
      <c r="JNQ25" s="21"/>
      <c r="JNR25" s="21"/>
      <c r="JNS25" s="21"/>
      <c r="JNT25" s="21"/>
      <c r="JNU25" s="21"/>
      <c r="JNV25" s="21"/>
      <c r="JNW25" s="21"/>
      <c r="JNX25" s="21"/>
      <c r="JNY25" s="21"/>
      <c r="JNZ25" s="21"/>
      <c r="JOA25" s="21"/>
      <c r="JOB25" s="21"/>
      <c r="JOC25" s="21"/>
      <c r="JOD25" s="21"/>
      <c r="JOE25" s="21"/>
      <c r="JOF25" s="21"/>
      <c r="JOG25" s="21"/>
      <c r="JOH25" s="21"/>
      <c r="JOI25" s="21"/>
      <c r="JOJ25" s="21"/>
      <c r="JOK25" s="21"/>
      <c r="JOL25" s="21"/>
      <c r="JOM25" s="21"/>
      <c r="JON25" s="21"/>
      <c r="JOO25" s="21"/>
      <c r="JOP25" s="21"/>
      <c r="JOQ25" s="21"/>
      <c r="JOR25" s="21"/>
      <c r="JOS25" s="21"/>
      <c r="JOT25" s="21"/>
      <c r="JOU25" s="21"/>
      <c r="JOV25" s="21"/>
      <c r="JOW25" s="21"/>
      <c r="JOX25" s="21"/>
      <c r="JOY25" s="21"/>
      <c r="JOZ25" s="21"/>
      <c r="JPA25" s="21"/>
      <c r="JPB25" s="21"/>
      <c r="JPC25" s="21"/>
      <c r="JPD25" s="21"/>
      <c r="JPE25" s="21"/>
      <c r="JPF25" s="21"/>
      <c r="JPG25" s="21"/>
      <c r="JPH25" s="21"/>
      <c r="JPI25" s="21"/>
      <c r="JPJ25" s="21"/>
      <c r="JPK25" s="21"/>
      <c r="JPL25" s="21"/>
      <c r="JPM25" s="21"/>
      <c r="JPN25" s="21"/>
      <c r="JPO25" s="21"/>
      <c r="JPP25" s="21"/>
      <c r="JPQ25" s="21"/>
      <c r="JPR25" s="21"/>
      <c r="JPS25" s="21"/>
      <c r="JPT25" s="21"/>
      <c r="JPU25" s="21"/>
      <c r="JPV25" s="21"/>
      <c r="JPW25" s="21"/>
      <c r="JPX25" s="21"/>
      <c r="JPY25" s="21"/>
      <c r="JPZ25" s="21"/>
      <c r="JQA25" s="21"/>
      <c r="JQB25" s="21"/>
      <c r="JQC25" s="21"/>
      <c r="JQD25" s="21"/>
      <c r="JQE25" s="21"/>
      <c r="JQF25" s="21"/>
      <c r="JQG25" s="21"/>
      <c r="JQH25" s="21"/>
      <c r="JQI25" s="21"/>
      <c r="JQJ25" s="21"/>
      <c r="JQK25" s="21"/>
      <c r="JQL25" s="21"/>
      <c r="JQM25" s="21"/>
      <c r="JQN25" s="21"/>
      <c r="JQO25" s="21"/>
      <c r="JQP25" s="21"/>
      <c r="JQQ25" s="21"/>
      <c r="JQR25" s="21"/>
      <c r="JQS25" s="21"/>
      <c r="JQT25" s="21"/>
      <c r="JQU25" s="21"/>
      <c r="JQV25" s="21"/>
      <c r="JQW25" s="21"/>
      <c r="JQX25" s="21"/>
      <c r="JQY25" s="21"/>
      <c r="JQZ25" s="21"/>
      <c r="JRA25" s="21"/>
      <c r="JRB25" s="21"/>
      <c r="JRC25" s="21"/>
      <c r="JRD25" s="21"/>
      <c r="JRE25" s="21"/>
      <c r="JRF25" s="21"/>
      <c r="JRG25" s="21"/>
      <c r="JRH25" s="21"/>
      <c r="JRI25" s="21"/>
      <c r="JRJ25" s="21"/>
      <c r="JRK25" s="21"/>
      <c r="JRL25" s="21"/>
      <c r="JRM25" s="21"/>
      <c r="JRN25" s="21"/>
      <c r="JRO25" s="21"/>
      <c r="JRP25" s="21"/>
      <c r="JRQ25" s="21"/>
      <c r="JRR25" s="21"/>
      <c r="JRS25" s="21"/>
      <c r="JRT25" s="21"/>
      <c r="JRU25" s="21"/>
      <c r="JRV25" s="21"/>
      <c r="JRW25" s="21"/>
      <c r="JRX25" s="21"/>
      <c r="JRY25" s="21"/>
      <c r="JRZ25" s="21"/>
      <c r="JSA25" s="21"/>
      <c r="JSB25" s="21"/>
      <c r="JSC25" s="21"/>
      <c r="JSD25" s="21"/>
      <c r="JSE25" s="21"/>
      <c r="JSF25" s="21"/>
      <c r="JSG25" s="21"/>
      <c r="JSH25" s="21"/>
      <c r="JSI25" s="21"/>
      <c r="JSJ25" s="21"/>
      <c r="JSK25" s="21"/>
      <c r="JSL25" s="21"/>
      <c r="JSM25" s="21"/>
      <c r="JSN25" s="21"/>
      <c r="JSO25" s="21"/>
      <c r="JSP25" s="21"/>
      <c r="JSQ25" s="21"/>
      <c r="JSR25" s="21"/>
      <c r="JSS25" s="21"/>
      <c r="JST25" s="21"/>
      <c r="JSU25" s="21"/>
      <c r="JSV25" s="21"/>
      <c r="JSW25" s="21"/>
      <c r="JSX25" s="21"/>
      <c r="JSY25" s="21"/>
      <c r="JSZ25" s="21"/>
      <c r="JTA25" s="21"/>
      <c r="JTB25" s="21"/>
      <c r="JTC25" s="21"/>
      <c r="JTD25" s="21"/>
      <c r="JTE25" s="21"/>
      <c r="JTF25" s="21"/>
      <c r="JTG25" s="21"/>
      <c r="JTH25" s="21"/>
      <c r="JTI25" s="21"/>
      <c r="JTJ25" s="21"/>
      <c r="JTK25" s="21"/>
      <c r="JTL25" s="21"/>
      <c r="JTM25" s="21"/>
      <c r="JTN25" s="21"/>
      <c r="JTO25" s="21"/>
      <c r="JTP25" s="21"/>
      <c r="JTQ25" s="21"/>
      <c r="JTR25" s="21"/>
      <c r="JTS25" s="21"/>
      <c r="JTT25" s="21"/>
      <c r="JTU25" s="21"/>
      <c r="JTV25" s="21"/>
      <c r="JTW25" s="21"/>
      <c r="JTX25" s="21"/>
      <c r="JTY25" s="21"/>
      <c r="JTZ25" s="21"/>
      <c r="JUA25" s="21"/>
      <c r="JUB25" s="21"/>
      <c r="JUC25" s="21"/>
      <c r="JUD25" s="21"/>
      <c r="JUE25" s="21"/>
      <c r="JUF25" s="21"/>
      <c r="JUG25" s="21"/>
      <c r="JUH25" s="21"/>
      <c r="JUI25" s="21"/>
      <c r="JUJ25" s="21"/>
      <c r="JUK25" s="21"/>
      <c r="JUL25" s="21"/>
      <c r="JUM25" s="21"/>
      <c r="JUN25" s="21"/>
      <c r="JUO25" s="21"/>
      <c r="JUP25" s="21"/>
      <c r="JUQ25" s="21"/>
      <c r="JUR25" s="21"/>
      <c r="JUS25" s="21"/>
      <c r="JUT25" s="21"/>
      <c r="JUU25" s="21"/>
      <c r="JUV25" s="21"/>
      <c r="JUW25" s="21"/>
      <c r="JUX25" s="21"/>
      <c r="JUY25" s="21"/>
      <c r="JUZ25" s="21"/>
      <c r="JVA25" s="21"/>
      <c r="JVB25" s="21"/>
      <c r="JVC25" s="21"/>
      <c r="JVD25" s="21"/>
      <c r="JVE25" s="21"/>
      <c r="JVF25" s="21"/>
      <c r="JVG25" s="21"/>
      <c r="JVH25" s="21"/>
      <c r="JVI25" s="21"/>
      <c r="JVJ25" s="21"/>
      <c r="JVK25" s="21"/>
      <c r="JVL25" s="21"/>
      <c r="JVM25" s="21"/>
      <c r="JVN25" s="21"/>
      <c r="JVO25" s="21"/>
      <c r="JVP25" s="21"/>
      <c r="JVQ25" s="21"/>
      <c r="JVR25" s="21"/>
      <c r="JVS25" s="21"/>
      <c r="JVT25" s="21"/>
      <c r="JVU25" s="21"/>
      <c r="JVV25" s="21"/>
      <c r="JVW25" s="21"/>
      <c r="JVX25" s="21"/>
      <c r="JVY25" s="21"/>
      <c r="JVZ25" s="21"/>
      <c r="JWA25" s="21"/>
      <c r="JWB25" s="21"/>
      <c r="JWC25" s="21"/>
      <c r="JWD25" s="21"/>
      <c r="JWE25" s="21"/>
      <c r="JWF25" s="21"/>
      <c r="JWG25" s="21"/>
      <c r="JWH25" s="21"/>
      <c r="JWI25" s="21"/>
      <c r="JWJ25" s="21"/>
      <c r="JWK25" s="21"/>
      <c r="JWL25" s="21"/>
      <c r="JWM25" s="21"/>
      <c r="JWN25" s="21"/>
      <c r="JWO25" s="21"/>
      <c r="JWP25" s="21"/>
      <c r="JWQ25" s="21"/>
      <c r="JWR25" s="21"/>
      <c r="JWS25" s="21"/>
      <c r="JWT25" s="21"/>
      <c r="JWU25" s="21"/>
      <c r="JWV25" s="21"/>
      <c r="JWW25" s="21"/>
      <c r="JWX25" s="21"/>
      <c r="JWY25" s="21"/>
      <c r="JWZ25" s="21"/>
      <c r="JXA25" s="21"/>
      <c r="JXB25" s="21"/>
      <c r="JXC25" s="21"/>
      <c r="JXD25" s="21"/>
      <c r="JXE25" s="21"/>
      <c r="JXF25" s="21"/>
      <c r="JXG25" s="21"/>
      <c r="JXH25" s="21"/>
      <c r="JXI25" s="21"/>
      <c r="JXJ25" s="21"/>
      <c r="JXK25" s="21"/>
      <c r="JXL25" s="21"/>
      <c r="JXM25" s="21"/>
      <c r="JXN25" s="21"/>
      <c r="JXO25" s="21"/>
      <c r="JXP25" s="21"/>
      <c r="JXQ25" s="21"/>
      <c r="JXR25" s="21"/>
      <c r="JXS25" s="21"/>
      <c r="JXT25" s="21"/>
      <c r="JXU25" s="21"/>
      <c r="JXV25" s="21"/>
      <c r="JXW25" s="21"/>
      <c r="JXX25" s="21"/>
      <c r="JXY25" s="21"/>
      <c r="JXZ25" s="21"/>
      <c r="JYA25" s="21"/>
      <c r="JYB25" s="21"/>
      <c r="JYC25" s="21"/>
      <c r="JYD25" s="21"/>
      <c r="JYE25" s="21"/>
      <c r="JYF25" s="21"/>
      <c r="JYG25" s="21"/>
      <c r="JYH25" s="21"/>
      <c r="JYI25" s="21"/>
      <c r="JYJ25" s="21"/>
      <c r="JYK25" s="21"/>
      <c r="JYL25" s="21"/>
      <c r="JYM25" s="21"/>
      <c r="JYN25" s="21"/>
      <c r="JYO25" s="21"/>
      <c r="JYP25" s="21"/>
      <c r="JYQ25" s="21"/>
      <c r="JYR25" s="21"/>
      <c r="JYS25" s="21"/>
      <c r="JYT25" s="21"/>
      <c r="JYU25" s="21"/>
      <c r="JYV25" s="21"/>
      <c r="JYW25" s="21"/>
      <c r="JYX25" s="21"/>
      <c r="JYY25" s="21"/>
      <c r="JYZ25" s="21"/>
      <c r="JZA25" s="21"/>
      <c r="JZB25" s="21"/>
      <c r="JZC25" s="21"/>
      <c r="JZD25" s="21"/>
      <c r="JZE25" s="21"/>
      <c r="JZF25" s="21"/>
      <c r="JZG25" s="21"/>
      <c r="JZH25" s="21"/>
      <c r="JZI25" s="21"/>
      <c r="JZJ25" s="21"/>
      <c r="JZK25" s="21"/>
      <c r="JZL25" s="21"/>
      <c r="JZM25" s="21"/>
      <c r="JZN25" s="21"/>
      <c r="JZO25" s="21"/>
      <c r="JZP25" s="21"/>
      <c r="JZQ25" s="21"/>
      <c r="JZR25" s="21"/>
      <c r="JZS25" s="21"/>
      <c r="JZT25" s="21"/>
      <c r="JZU25" s="21"/>
      <c r="JZV25" s="21"/>
      <c r="JZW25" s="21"/>
      <c r="JZX25" s="21"/>
      <c r="JZY25" s="21"/>
      <c r="JZZ25" s="21"/>
      <c r="KAA25" s="21"/>
      <c r="KAB25" s="21"/>
      <c r="KAC25" s="21"/>
      <c r="KAD25" s="21"/>
      <c r="KAE25" s="21"/>
      <c r="KAF25" s="21"/>
      <c r="KAG25" s="21"/>
      <c r="KAH25" s="21"/>
      <c r="KAI25" s="21"/>
      <c r="KAJ25" s="21"/>
      <c r="KAK25" s="21"/>
      <c r="KAL25" s="21"/>
      <c r="KAM25" s="21"/>
      <c r="KAN25" s="21"/>
      <c r="KAO25" s="21"/>
      <c r="KAP25" s="21"/>
      <c r="KAQ25" s="21"/>
      <c r="KAR25" s="21"/>
      <c r="KAS25" s="21"/>
      <c r="KAT25" s="21"/>
      <c r="KAU25" s="21"/>
      <c r="KAV25" s="21"/>
      <c r="KAW25" s="21"/>
      <c r="KAX25" s="21"/>
      <c r="KAY25" s="21"/>
      <c r="KAZ25" s="21"/>
      <c r="KBA25" s="21"/>
      <c r="KBB25" s="21"/>
      <c r="KBC25" s="21"/>
      <c r="KBD25" s="21"/>
      <c r="KBE25" s="21"/>
      <c r="KBF25" s="21"/>
      <c r="KBG25" s="21"/>
      <c r="KBH25" s="21"/>
      <c r="KBI25" s="21"/>
      <c r="KBJ25" s="21"/>
      <c r="KBK25" s="21"/>
      <c r="KBL25" s="21"/>
      <c r="KBM25" s="21"/>
      <c r="KBN25" s="21"/>
      <c r="KBO25" s="21"/>
      <c r="KBP25" s="21"/>
      <c r="KBQ25" s="21"/>
      <c r="KBR25" s="21"/>
      <c r="KBS25" s="21"/>
      <c r="KBT25" s="21"/>
      <c r="KBU25" s="21"/>
      <c r="KBV25" s="21"/>
      <c r="KBW25" s="21"/>
      <c r="KBX25" s="21"/>
      <c r="KBY25" s="21"/>
      <c r="KBZ25" s="21"/>
      <c r="KCA25" s="21"/>
      <c r="KCB25" s="21"/>
      <c r="KCC25" s="21"/>
      <c r="KCD25" s="21"/>
      <c r="KCE25" s="21"/>
      <c r="KCF25" s="21"/>
      <c r="KCG25" s="21"/>
      <c r="KCH25" s="21"/>
      <c r="KCI25" s="21"/>
      <c r="KCJ25" s="21"/>
      <c r="KCK25" s="21"/>
      <c r="KCL25" s="21"/>
      <c r="KCM25" s="21"/>
      <c r="KCN25" s="21"/>
      <c r="KCO25" s="21"/>
      <c r="KCP25" s="21"/>
      <c r="KCQ25" s="21"/>
      <c r="KCR25" s="21"/>
      <c r="KCS25" s="21"/>
      <c r="KCT25" s="21"/>
      <c r="KCU25" s="21"/>
      <c r="KCV25" s="21"/>
      <c r="KCW25" s="21"/>
      <c r="KCX25" s="21"/>
      <c r="KCY25" s="21"/>
      <c r="KCZ25" s="21"/>
      <c r="KDA25" s="21"/>
      <c r="KDB25" s="21"/>
      <c r="KDC25" s="21"/>
      <c r="KDD25" s="21"/>
      <c r="KDE25" s="21"/>
      <c r="KDF25" s="21"/>
      <c r="KDG25" s="21"/>
      <c r="KDH25" s="21"/>
      <c r="KDI25" s="21"/>
      <c r="KDJ25" s="21"/>
      <c r="KDK25" s="21"/>
      <c r="KDL25" s="21"/>
      <c r="KDM25" s="21"/>
      <c r="KDN25" s="21"/>
      <c r="KDO25" s="21"/>
      <c r="KDP25" s="21"/>
      <c r="KDQ25" s="21"/>
      <c r="KDR25" s="21"/>
      <c r="KDS25" s="21"/>
      <c r="KDT25" s="21"/>
      <c r="KDU25" s="21"/>
      <c r="KDV25" s="21"/>
      <c r="KDW25" s="21"/>
      <c r="KDX25" s="21"/>
      <c r="KDY25" s="21"/>
      <c r="KDZ25" s="21"/>
      <c r="KEA25" s="21"/>
      <c r="KEB25" s="21"/>
      <c r="KEC25" s="21"/>
      <c r="KED25" s="21"/>
      <c r="KEE25" s="21"/>
      <c r="KEF25" s="21"/>
      <c r="KEG25" s="21"/>
      <c r="KEH25" s="21"/>
      <c r="KEI25" s="21"/>
      <c r="KEJ25" s="21"/>
      <c r="KEK25" s="21"/>
      <c r="KEL25" s="21"/>
      <c r="KEM25" s="21"/>
      <c r="KEN25" s="21"/>
      <c r="KEO25" s="21"/>
      <c r="KEP25" s="21"/>
      <c r="KEQ25" s="21"/>
      <c r="KER25" s="21"/>
      <c r="KES25" s="21"/>
      <c r="KET25" s="21"/>
      <c r="KEU25" s="21"/>
      <c r="KEV25" s="21"/>
      <c r="KEW25" s="21"/>
      <c r="KEX25" s="21"/>
      <c r="KEY25" s="21"/>
      <c r="KEZ25" s="21"/>
      <c r="KFA25" s="21"/>
      <c r="KFB25" s="21"/>
      <c r="KFC25" s="21"/>
      <c r="KFD25" s="21"/>
      <c r="KFE25" s="21"/>
      <c r="KFF25" s="21"/>
      <c r="KFG25" s="21"/>
      <c r="KFH25" s="21"/>
      <c r="KFI25" s="21"/>
      <c r="KFJ25" s="21"/>
      <c r="KFK25" s="21"/>
      <c r="KFL25" s="21"/>
      <c r="KFM25" s="21"/>
      <c r="KFN25" s="21"/>
      <c r="KFO25" s="21"/>
      <c r="KFP25" s="21"/>
      <c r="KFQ25" s="21"/>
      <c r="KFR25" s="21"/>
      <c r="KFS25" s="21"/>
      <c r="KFT25" s="21"/>
      <c r="KFU25" s="21"/>
      <c r="KFV25" s="21"/>
      <c r="KFW25" s="21"/>
      <c r="KFX25" s="21"/>
      <c r="KFY25" s="21"/>
      <c r="KFZ25" s="21"/>
      <c r="KGA25" s="21"/>
      <c r="KGB25" s="21"/>
      <c r="KGC25" s="21"/>
      <c r="KGD25" s="21"/>
      <c r="KGE25" s="21"/>
      <c r="KGF25" s="21"/>
      <c r="KGG25" s="21"/>
      <c r="KGH25" s="21"/>
      <c r="KGI25" s="21"/>
      <c r="KGJ25" s="21"/>
      <c r="KGK25" s="21"/>
      <c r="KGL25" s="21"/>
      <c r="KGM25" s="21"/>
      <c r="KGN25" s="21"/>
      <c r="KGO25" s="21"/>
      <c r="KGP25" s="21"/>
      <c r="KGQ25" s="21"/>
      <c r="KGR25" s="21"/>
      <c r="KGS25" s="21"/>
      <c r="KGT25" s="21"/>
      <c r="KGU25" s="21"/>
      <c r="KGV25" s="21"/>
      <c r="KGW25" s="21"/>
      <c r="KGX25" s="21"/>
      <c r="KGY25" s="21"/>
      <c r="KGZ25" s="21"/>
      <c r="KHA25" s="21"/>
      <c r="KHB25" s="21"/>
      <c r="KHC25" s="21"/>
      <c r="KHD25" s="21"/>
      <c r="KHE25" s="21"/>
      <c r="KHF25" s="21"/>
      <c r="KHG25" s="21"/>
      <c r="KHH25" s="21"/>
      <c r="KHI25" s="21"/>
      <c r="KHJ25" s="21"/>
      <c r="KHK25" s="21"/>
      <c r="KHL25" s="21"/>
      <c r="KHM25" s="21"/>
      <c r="KHN25" s="21"/>
      <c r="KHO25" s="21"/>
      <c r="KHP25" s="21"/>
      <c r="KHQ25" s="21"/>
      <c r="KHR25" s="21"/>
      <c r="KHS25" s="21"/>
      <c r="KHT25" s="21"/>
      <c r="KHU25" s="21"/>
      <c r="KHV25" s="21"/>
      <c r="KHW25" s="21"/>
      <c r="KHX25" s="21"/>
      <c r="KHY25" s="21"/>
      <c r="KHZ25" s="21"/>
      <c r="KIA25" s="21"/>
      <c r="KIB25" s="21"/>
      <c r="KIC25" s="21"/>
      <c r="KID25" s="21"/>
      <c r="KIE25" s="21"/>
      <c r="KIF25" s="21"/>
      <c r="KIG25" s="21"/>
      <c r="KIH25" s="21"/>
      <c r="KII25" s="21"/>
      <c r="KIJ25" s="21"/>
      <c r="KIK25" s="21"/>
      <c r="KIL25" s="21"/>
      <c r="KIM25" s="21"/>
      <c r="KIN25" s="21"/>
      <c r="KIO25" s="21"/>
      <c r="KIP25" s="21"/>
      <c r="KIQ25" s="21"/>
      <c r="KIR25" s="21"/>
      <c r="KIS25" s="21"/>
      <c r="KIT25" s="21"/>
      <c r="KIU25" s="21"/>
      <c r="KIV25" s="21"/>
      <c r="KIW25" s="21"/>
      <c r="KIX25" s="21"/>
      <c r="KIY25" s="21"/>
      <c r="KIZ25" s="21"/>
      <c r="KJA25" s="21"/>
      <c r="KJB25" s="21"/>
      <c r="KJC25" s="21"/>
      <c r="KJD25" s="21"/>
      <c r="KJE25" s="21"/>
      <c r="KJF25" s="21"/>
      <c r="KJG25" s="21"/>
      <c r="KJH25" s="21"/>
      <c r="KJI25" s="21"/>
      <c r="KJJ25" s="21"/>
      <c r="KJK25" s="21"/>
      <c r="KJL25" s="21"/>
      <c r="KJM25" s="21"/>
      <c r="KJN25" s="21"/>
      <c r="KJO25" s="21"/>
      <c r="KJP25" s="21"/>
      <c r="KJQ25" s="21"/>
      <c r="KJR25" s="21"/>
      <c r="KJS25" s="21"/>
      <c r="KJT25" s="21"/>
      <c r="KJU25" s="21"/>
      <c r="KJV25" s="21"/>
      <c r="KJW25" s="21"/>
      <c r="KJX25" s="21"/>
      <c r="KJY25" s="21"/>
      <c r="KJZ25" s="21"/>
      <c r="KKA25" s="21"/>
      <c r="KKB25" s="21"/>
      <c r="KKC25" s="21"/>
      <c r="KKD25" s="21"/>
      <c r="KKE25" s="21"/>
      <c r="KKF25" s="21"/>
      <c r="KKG25" s="21"/>
      <c r="KKH25" s="21"/>
      <c r="KKI25" s="21"/>
      <c r="KKJ25" s="21"/>
      <c r="KKK25" s="21"/>
      <c r="KKL25" s="21"/>
      <c r="KKM25" s="21"/>
      <c r="KKN25" s="21"/>
      <c r="KKO25" s="21"/>
      <c r="KKP25" s="21"/>
      <c r="KKQ25" s="21"/>
      <c r="KKR25" s="21"/>
      <c r="KKS25" s="21"/>
      <c r="KKT25" s="21"/>
      <c r="KKU25" s="21"/>
      <c r="KKV25" s="21"/>
      <c r="KKW25" s="21"/>
      <c r="KKX25" s="21"/>
      <c r="KKY25" s="21"/>
      <c r="KKZ25" s="21"/>
      <c r="KLA25" s="21"/>
      <c r="KLB25" s="21"/>
      <c r="KLC25" s="21"/>
      <c r="KLD25" s="21"/>
      <c r="KLE25" s="21"/>
      <c r="KLF25" s="21"/>
      <c r="KLG25" s="21"/>
      <c r="KLH25" s="21"/>
      <c r="KLI25" s="21"/>
      <c r="KLJ25" s="21"/>
      <c r="KLK25" s="21"/>
      <c r="KLL25" s="21"/>
      <c r="KLM25" s="21"/>
      <c r="KLN25" s="21"/>
      <c r="KLO25" s="21"/>
      <c r="KLP25" s="21"/>
      <c r="KLQ25" s="21"/>
      <c r="KLR25" s="21"/>
      <c r="KLS25" s="21"/>
      <c r="KLT25" s="21"/>
      <c r="KLU25" s="21"/>
      <c r="KLV25" s="21"/>
      <c r="KLW25" s="21"/>
      <c r="KLX25" s="21"/>
      <c r="KLY25" s="21"/>
      <c r="KLZ25" s="21"/>
      <c r="KMA25" s="21"/>
      <c r="KMB25" s="21"/>
      <c r="KMC25" s="21"/>
      <c r="KMD25" s="21"/>
      <c r="KME25" s="21"/>
      <c r="KMF25" s="21"/>
      <c r="KMG25" s="21"/>
      <c r="KMH25" s="21"/>
      <c r="KMI25" s="21"/>
      <c r="KMJ25" s="21"/>
      <c r="KMK25" s="21"/>
      <c r="KML25" s="21"/>
      <c r="KMM25" s="21"/>
      <c r="KMN25" s="21"/>
      <c r="KMO25" s="21"/>
      <c r="KMP25" s="21"/>
      <c r="KMQ25" s="21"/>
      <c r="KMR25" s="21"/>
      <c r="KMS25" s="21"/>
      <c r="KMT25" s="21"/>
      <c r="KMU25" s="21"/>
      <c r="KMV25" s="21"/>
      <c r="KMW25" s="21"/>
      <c r="KMX25" s="21"/>
      <c r="KMY25" s="21"/>
      <c r="KMZ25" s="21"/>
      <c r="KNA25" s="21"/>
      <c r="KNB25" s="21"/>
      <c r="KNC25" s="21"/>
      <c r="KND25" s="21"/>
      <c r="KNE25" s="21"/>
      <c r="KNF25" s="21"/>
      <c r="KNG25" s="21"/>
      <c r="KNH25" s="21"/>
      <c r="KNI25" s="21"/>
      <c r="KNJ25" s="21"/>
      <c r="KNK25" s="21"/>
      <c r="KNL25" s="21"/>
      <c r="KNM25" s="21"/>
      <c r="KNN25" s="21"/>
      <c r="KNO25" s="21"/>
      <c r="KNP25" s="21"/>
      <c r="KNQ25" s="21"/>
      <c r="KNR25" s="21"/>
      <c r="KNS25" s="21"/>
      <c r="KNT25" s="21"/>
      <c r="KNU25" s="21"/>
      <c r="KNV25" s="21"/>
      <c r="KNW25" s="21"/>
      <c r="KNX25" s="21"/>
      <c r="KNY25" s="21"/>
      <c r="KNZ25" s="21"/>
      <c r="KOA25" s="21"/>
      <c r="KOB25" s="21"/>
      <c r="KOC25" s="21"/>
      <c r="KOD25" s="21"/>
      <c r="KOE25" s="21"/>
      <c r="KOF25" s="21"/>
      <c r="KOG25" s="21"/>
      <c r="KOH25" s="21"/>
      <c r="KOI25" s="21"/>
      <c r="KOJ25" s="21"/>
      <c r="KOK25" s="21"/>
      <c r="KOL25" s="21"/>
      <c r="KOM25" s="21"/>
      <c r="KON25" s="21"/>
      <c r="KOO25" s="21"/>
      <c r="KOP25" s="21"/>
      <c r="KOQ25" s="21"/>
      <c r="KOR25" s="21"/>
      <c r="KOS25" s="21"/>
      <c r="KOT25" s="21"/>
      <c r="KOU25" s="21"/>
      <c r="KOV25" s="21"/>
      <c r="KOW25" s="21"/>
      <c r="KOX25" s="21"/>
      <c r="KOY25" s="21"/>
      <c r="KOZ25" s="21"/>
      <c r="KPA25" s="21"/>
      <c r="KPB25" s="21"/>
      <c r="KPC25" s="21"/>
      <c r="KPD25" s="21"/>
      <c r="KPE25" s="21"/>
      <c r="KPF25" s="21"/>
      <c r="KPG25" s="21"/>
      <c r="KPH25" s="21"/>
      <c r="KPI25" s="21"/>
      <c r="KPJ25" s="21"/>
      <c r="KPK25" s="21"/>
      <c r="KPL25" s="21"/>
      <c r="KPM25" s="21"/>
      <c r="KPN25" s="21"/>
      <c r="KPO25" s="21"/>
      <c r="KPP25" s="21"/>
      <c r="KPQ25" s="21"/>
      <c r="KPR25" s="21"/>
      <c r="KPS25" s="21"/>
      <c r="KPT25" s="21"/>
      <c r="KPU25" s="21"/>
      <c r="KPV25" s="21"/>
      <c r="KPW25" s="21"/>
      <c r="KPX25" s="21"/>
      <c r="KPY25" s="21"/>
      <c r="KPZ25" s="21"/>
      <c r="KQA25" s="21"/>
      <c r="KQB25" s="21"/>
      <c r="KQC25" s="21"/>
      <c r="KQD25" s="21"/>
      <c r="KQE25" s="21"/>
      <c r="KQF25" s="21"/>
      <c r="KQG25" s="21"/>
      <c r="KQH25" s="21"/>
      <c r="KQI25" s="21"/>
      <c r="KQJ25" s="21"/>
      <c r="KQK25" s="21"/>
      <c r="KQL25" s="21"/>
      <c r="KQM25" s="21"/>
      <c r="KQN25" s="21"/>
      <c r="KQO25" s="21"/>
      <c r="KQP25" s="21"/>
      <c r="KQQ25" s="21"/>
      <c r="KQR25" s="21"/>
      <c r="KQS25" s="21"/>
      <c r="KQT25" s="21"/>
      <c r="KQU25" s="21"/>
      <c r="KQV25" s="21"/>
      <c r="KQW25" s="21"/>
      <c r="KQX25" s="21"/>
      <c r="KQY25" s="21"/>
      <c r="KQZ25" s="21"/>
      <c r="KRA25" s="21"/>
      <c r="KRB25" s="21"/>
      <c r="KRC25" s="21"/>
      <c r="KRD25" s="21"/>
      <c r="KRE25" s="21"/>
      <c r="KRF25" s="21"/>
      <c r="KRG25" s="21"/>
      <c r="KRH25" s="21"/>
      <c r="KRI25" s="21"/>
      <c r="KRJ25" s="21"/>
      <c r="KRK25" s="21"/>
      <c r="KRL25" s="21"/>
      <c r="KRM25" s="21"/>
      <c r="KRN25" s="21"/>
      <c r="KRO25" s="21"/>
      <c r="KRP25" s="21"/>
      <c r="KRQ25" s="21"/>
      <c r="KRR25" s="21"/>
      <c r="KRS25" s="21"/>
      <c r="KRT25" s="21"/>
      <c r="KRU25" s="21"/>
      <c r="KRV25" s="21"/>
      <c r="KRW25" s="21"/>
      <c r="KRX25" s="21"/>
      <c r="KRY25" s="21"/>
      <c r="KRZ25" s="21"/>
      <c r="KSA25" s="21"/>
      <c r="KSB25" s="21"/>
      <c r="KSC25" s="21"/>
      <c r="KSD25" s="21"/>
      <c r="KSE25" s="21"/>
      <c r="KSF25" s="21"/>
      <c r="KSG25" s="21"/>
      <c r="KSH25" s="21"/>
      <c r="KSI25" s="21"/>
      <c r="KSJ25" s="21"/>
      <c r="KSK25" s="21"/>
      <c r="KSL25" s="21"/>
      <c r="KSM25" s="21"/>
      <c r="KSN25" s="21"/>
      <c r="KSO25" s="21"/>
      <c r="KSP25" s="21"/>
      <c r="KSQ25" s="21"/>
      <c r="KSR25" s="21"/>
      <c r="KSS25" s="21"/>
      <c r="KST25" s="21"/>
      <c r="KSU25" s="21"/>
      <c r="KSV25" s="21"/>
      <c r="KSW25" s="21"/>
      <c r="KSX25" s="21"/>
      <c r="KSY25" s="21"/>
      <c r="KSZ25" s="21"/>
      <c r="KTA25" s="21"/>
      <c r="KTB25" s="21"/>
      <c r="KTC25" s="21"/>
      <c r="KTD25" s="21"/>
      <c r="KTE25" s="21"/>
      <c r="KTF25" s="21"/>
      <c r="KTG25" s="21"/>
      <c r="KTH25" s="21"/>
      <c r="KTI25" s="21"/>
      <c r="KTJ25" s="21"/>
      <c r="KTK25" s="21"/>
      <c r="KTL25" s="21"/>
      <c r="KTM25" s="21"/>
      <c r="KTN25" s="21"/>
      <c r="KTO25" s="21"/>
      <c r="KTP25" s="21"/>
      <c r="KTQ25" s="21"/>
      <c r="KTR25" s="21"/>
      <c r="KTS25" s="21"/>
      <c r="KTT25" s="21"/>
      <c r="KTU25" s="21"/>
      <c r="KTV25" s="21"/>
      <c r="KTW25" s="21"/>
      <c r="KTX25" s="21"/>
      <c r="KTY25" s="21"/>
      <c r="KTZ25" s="21"/>
      <c r="KUA25" s="21"/>
      <c r="KUB25" s="21"/>
      <c r="KUC25" s="21"/>
      <c r="KUD25" s="21"/>
      <c r="KUE25" s="21"/>
      <c r="KUF25" s="21"/>
      <c r="KUG25" s="21"/>
      <c r="KUH25" s="21"/>
      <c r="KUI25" s="21"/>
      <c r="KUJ25" s="21"/>
      <c r="KUK25" s="21"/>
      <c r="KUL25" s="21"/>
      <c r="KUM25" s="21"/>
      <c r="KUN25" s="21"/>
      <c r="KUO25" s="21"/>
      <c r="KUP25" s="21"/>
      <c r="KUQ25" s="21"/>
      <c r="KUR25" s="21"/>
      <c r="KUS25" s="21"/>
      <c r="KUT25" s="21"/>
      <c r="KUU25" s="21"/>
      <c r="KUV25" s="21"/>
      <c r="KUW25" s="21"/>
      <c r="KUX25" s="21"/>
      <c r="KUY25" s="21"/>
      <c r="KUZ25" s="21"/>
      <c r="KVA25" s="21"/>
      <c r="KVB25" s="21"/>
      <c r="KVC25" s="21"/>
      <c r="KVD25" s="21"/>
      <c r="KVE25" s="21"/>
      <c r="KVF25" s="21"/>
      <c r="KVG25" s="21"/>
      <c r="KVH25" s="21"/>
      <c r="KVI25" s="21"/>
      <c r="KVJ25" s="21"/>
      <c r="KVK25" s="21"/>
      <c r="KVL25" s="21"/>
      <c r="KVM25" s="21"/>
      <c r="KVN25" s="21"/>
      <c r="KVO25" s="21"/>
      <c r="KVP25" s="21"/>
      <c r="KVQ25" s="21"/>
      <c r="KVR25" s="21"/>
      <c r="KVS25" s="21"/>
      <c r="KVT25" s="21"/>
      <c r="KVU25" s="21"/>
      <c r="KVV25" s="21"/>
      <c r="KVW25" s="21"/>
      <c r="KVX25" s="21"/>
      <c r="KVY25" s="21"/>
      <c r="KVZ25" s="21"/>
      <c r="KWA25" s="21"/>
      <c r="KWB25" s="21"/>
      <c r="KWC25" s="21"/>
      <c r="KWD25" s="21"/>
      <c r="KWE25" s="21"/>
      <c r="KWF25" s="21"/>
      <c r="KWG25" s="21"/>
      <c r="KWH25" s="21"/>
      <c r="KWI25" s="21"/>
      <c r="KWJ25" s="21"/>
      <c r="KWK25" s="21"/>
      <c r="KWL25" s="21"/>
      <c r="KWM25" s="21"/>
      <c r="KWN25" s="21"/>
      <c r="KWO25" s="21"/>
      <c r="KWP25" s="21"/>
      <c r="KWQ25" s="21"/>
      <c r="KWR25" s="21"/>
      <c r="KWS25" s="21"/>
      <c r="KWT25" s="21"/>
      <c r="KWU25" s="21"/>
      <c r="KWV25" s="21"/>
      <c r="KWW25" s="21"/>
      <c r="KWX25" s="21"/>
      <c r="KWY25" s="21"/>
      <c r="KWZ25" s="21"/>
      <c r="KXA25" s="21"/>
      <c r="KXB25" s="21"/>
      <c r="KXC25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" s="21"/>
      <c r="KXN25" s="21"/>
      <c r="KXO25" s="21"/>
      <c r="KXP25" s="21"/>
      <c r="KXQ25" s="21"/>
      <c r="KXR25" s="21"/>
      <c r="KXS25" s="21"/>
      <c r="KXT25" s="21"/>
      <c r="KXU25" s="21"/>
      <c r="KXV25" s="21"/>
      <c r="KXW25" s="21"/>
      <c r="KXX25" s="21"/>
      <c r="KXY25" s="21"/>
      <c r="KXZ25" s="21"/>
      <c r="KYA25" s="21"/>
      <c r="KYB25" s="21"/>
      <c r="KYC25" s="21"/>
      <c r="KYD25" s="21"/>
      <c r="KYE25" s="21"/>
      <c r="KYF25" s="21"/>
      <c r="KYG25" s="21"/>
      <c r="KYH25" s="21"/>
      <c r="KYI25" s="21"/>
      <c r="KYJ25" s="21"/>
      <c r="KYK25" s="21"/>
      <c r="KYL25" s="21"/>
      <c r="KYM25" s="21"/>
      <c r="KYN25" s="21"/>
      <c r="KYO25" s="21"/>
      <c r="KYP25" s="21"/>
      <c r="KYQ25" s="21"/>
      <c r="KYR25" s="21"/>
      <c r="KYS25" s="21"/>
      <c r="KYT25" s="21"/>
      <c r="KYU25" s="21"/>
      <c r="KYV25" s="21"/>
      <c r="KYW25" s="21"/>
      <c r="KYX25" s="21"/>
      <c r="KYY25" s="21"/>
      <c r="KYZ25" s="21"/>
      <c r="KZA25" s="21"/>
      <c r="KZB25" s="21"/>
      <c r="KZC25" s="21"/>
      <c r="KZD25" s="21"/>
      <c r="KZE25" s="21"/>
      <c r="KZF25" s="21"/>
      <c r="KZG25" s="21"/>
      <c r="KZH25" s="21"/>
      <c r="KZI25" s="21"/>
      <c r="KZJ25" s="21"/>
      <c r="KZK25" s="21"/>
      <c r="KZL25" s="21"/>
      <c r="KZM25" s="21"/>
      <c r="KZN25" s="21"/>
      <c r="KZO25" s="21"/>
      <c r="KZP25" s="21"/>
      <c r="KZQ25" s="21"/>
      <c r="KZR25" s="21"/>
      <c r="KZS25" s="21"/>
      <c r="KZT25" s="21"/>
      <c r="KZU25" s="21"/>
      <c r="KZV25" s="21"/>
      <c r="KZW25" s="21"/>
      <c r="KZX25" s="21"/>
      <c r="KZY25" s="21"/>
      <c r="KZZ25" s="21"/>
      <c r="LAA25" s="21"/>
      <c r="LAB25" s="21"/>
      <c r="LAC25" s="21"/>
      <c r="LAD25" s="21"/>
      <c r="LAE25" s="21"/>
      <c r="LAF25" s="21"/>
      <c r="LAG25" s="21"/>
      <c r="LAH25" s="21"/>
      <c r="LAI25" s="21"/>
      <c r="LAJ25" s="21"/>
      <c r="LAK25" s="21"/>
      <c r="LAL25" s="21"/>
      <c r="LAM25" s="21"/>
      <c r="LAN25" s="21"/>
      <c r="LAO25" s="21"/>
      <c r="LAP25" s="21"/>
      <c r="LAQ25" s="21"/>
      <c r="LAR25" s="21"/>
      <c r="LAS25" s="21"/>
      <c r="LAT25" s="21"/>
      <c r="LAU25" s="21"/>
      <c r="LAV25" s="21"/>
      <c r="LAW25" s="21"/>
      <c r="LAX25" s="21"/>
      <c r="LAY25" s="21"/>
      <c r="LAZ25" s="21"/>
      <c r="LBA25" s="21"/>
      <c r="LBB25" s="21"/>
      <c r="LBC25" s="21"/>
      <c r="LBD25" s="21"/>
      <c r="LBE25" s="21"/>
      <c r="LBF25" s="21"/>
      <c r="LBG25" s="21"/>
      <c r="LBH25" s="21"/>
      <c r="LBI25" s="21"/>
      <c r="LBJ25" s="21"/>
      <c r="LBK25" s="21"/>
      <c r="LBL25" s="21"/>
      <c r="LBM25" s="21"/>
      <c r="LBN25" s="21"/>
      <c r="LBO25" s="21"/>
      <c r="LBP25" s="21"/>
      <c r="LBQ25" s="21"/>
      <c r="LBR25" s="21"/>
      <c r="LBS25" s="21"/>
      <c r="LBT25" s="21"/>
      <c r="LBU25" s="21"/>
      <c r="LBV25" s="21"/>
      <c r="LBW25" s="21"/>
      <c r="LBX25" s="21"/>
      <c r="LBY25" s="21"/>
      <c r="LBZ25" s="21"/>
      <c r="LCA25" s="21"/>
      <c r="LCB25" s="21"/>
      <c r="LCC25" s="21"/>
      <c r="LCD25" s="21"/>
      <c r="LCE25" s="21"/>
      <c r="LCF25" s="21"/>
      <c r="LCG25" s="21"/>
      <c r="LCH25" s="21"/>
      <c r="LCI25" s="21"/>
      <c r="LCJ25" s="21"/>
      <c r="LCK25" s="21"/>
      <c r="LCL25" s="21"/>
      <c r="LCM25" s="21"/>
      <c r="LCN25" s="21"/>
      <c r="LCO25" s="21"/>
      <c r="LCP25" s="21"/>
      <c r="LCQ25" s="21"/>
      <c r="LCR25" s="21"/>
      <c r="LCS25" s="21"/>
      <c r="LCT25" s="21"/>
      <c r="LCU25" s="21"/>
      <c r="LCV25" s="21"/>
      <c r="LCW25" s="21"/>
      <c r="LCX25" s="21"/>
      <c r="LCY25" s="21"/>
      <c r="LCZ25" s="21"/>
      <c r="LDA25" s="21"/>
      <c r="LDB25" s="21"/>
      <c r="LDC25" s="21"/>
      <c r="LDD25" s="21"/>
      <c r="LDE25" s="21"/>
      <c r="LDF25" s="21"/>
      <c r="LDG25" s="21"/>
      <c r="LDH25" s="21"/>
      <c r="LDI25" s="21"/>
      <c r="LDJ25" s="21"/>
      <c r="LDK25" s="21"/>
      <c r="LDL25" s="21"/>
      <c r="LDM25" s="21"/>
      <c r="LDN25" s="21"/>
      <c r="LDO25" s="21"/>
      <c r="LDP25" s="21"/>
      <c r="LDQ25" s="21"/>
      <c r="LDR25" s="21"/>
      <c r="LDS25" s="21"/>
      <c r="LDT25" s="21"/>
      <c r="LDU25" s="21"/>
      <c r="LDV25" s="21"/>
      <c r="LDW25" s="21"/>
      <c r="LDX25" s="21"/>
      <c r="LDY25" s="21"/>
      <c r="LDZ25" s="21"/>
      <c r="LEA25" s="21"/>
      <c r="LEB25" s="21"/>
      <c r="LEC25" s="21"/>
      <c r="LED25" s="21"/>
      <c r="LEE25" s="21"/>
      <c r="LEF25" s="21"/>
      <c r="LEG25" s="21"/>
      <c r="LEH25" s="21"/>
      <c r="LEI25" s="21"/>
      <c r="LEJ25" s="21"/>
      <c r="LEK25" s="21"/>
      <c r="LEL25" s="21"/>
      <c r="LEM25" s="21"/>
      <c r="LEN25" s="21"/>
      <c r="LEO25" s="21"/>
      <c r="LEP25" s="21"/>
      <c r="LEQ25" s="21"/>
      <c r="LER25" s="21"/>
      <c r="LES25" s="21"/>
      <c r="LET25" s="21"/>
      <c r="LEU25" s="21"/>
      <c r="LEV25" s="21"/>
      <c r="LEW25" s="21"/>
      <c r="LEX25" s="21"/>
      <c r="LEY25" s="21"/>
      <c r="LEZ25" s="21"/>
      <c r="LFA25" s="21"/>
      <c r="LFB25" s="21"/>
      <c r="LFC25" s="21"/>
      <c r="LFD25" s="21"/>
      <c r="LFE25" s="21"/>
      <c r="LFF25" s="21"/>
      <c r="LFG25" s="21"/>
      <c r="LFH25" s="21"/>
      <c r="LFI25" s="21"/>
      <c r="LFJ25" s="21"/>
      <c r="LFK25" s="21"/>
      <c r="LFL25" s="21"/>
      <c r="LFM25" s="21"/>
      <c r="LFN25" s="21"/>
      <c r="LFO25" s="21"/>
      <c r="LFP25" s="21"/>
      <c r="LFQ25" s="21"/>
      <c r="LFR25" s="21"/>
      <c r="LFS25" s="21"/>
      <c r="LFT25" s="21"/>
      <c r="LFU25" s="21"/>
      <c r="LFV25" s="21"/>
      <c r="LFW25" s="21"/>
      <c r="LFX25" s="21"/>
      <c r="LFY25" s="21"/>
      <c r="LFZ25" s="21"/>
      <c r="LGA25" s="21"/>
      <c r="LGB25" s="21"/>
      <c r="LGC25" s="21"/>
      <c r="LGD25" s="21"/>
      <c r="LGE25" s="21"/>
      <c r="LGF25" s="21"/>
      <c r="LGG25" s="21"/>
      <c r="LGH25" s="21"/>
      <c r="LGI25" s="21"/>
      <c r="LGJ25" s="21"/>
      <c r="LGK25" s="21"/>
      <c r="LGL25" s="21"/>
      <c r="LGM25" s="21"/>
      <c r="LGN25" s="21"/>
      <c r="LGO25" s="21"/>
      <c r="LGP25" s="21"/>
      <c r="LGQ25" s="21"/>
      <c r="LGR25" s="21"/>
      <c r="LGS25" s="21"/>
      <c r="LGT25" s="21"/>
      <c r="LGU25" s="21"/>
      <c r="LGV25" s="21"/>
      <c r="LGW25" s="21"/>
      <c r="LGX25" s="21"/>
      <c r="LGY25" s="21"/>
      <c r="LGZ25" s="21"/>
      <c r="LHA25" s="21"/>
      <c r="LHB25" s="21"/>
      <c r="LHC25" s="21"/>
      <c r="LHD25" s="21"/>
      <c r="LHE25" s="21"/>
      <c r="LHF25" s="21"/>
      <c r="LHG25" s="21"/>
      <c r="LHH25" s="21"/>
      <c r="LHI25" s="21"/>
      <c r="LHJ25" s="21"/>
      <c r="LHK25" s="21"/>
      <c r="LHL25" s="21"/>
      <c r="LHM25" s="21"/>
      <c r="LHN25" s="21"/>
      <c r="LHO25" s="21"/>
      <c r="LHP25" s="21"/>
      <c r="LHQ25" s="21"/>
      <c r="LHR25" s="21"/>
      <c r="LHS25" s="21"/>
      <c r="LHT25" s="21"/>
      <c r="LHU25" s="21"/>
      <c r="LHV25" s="21"/>
      <c r="LHW25" s="21"/>
      <c r="LHX25" s="21"/>
      <c r="LHY25" s="21"/>
      <c r="LHZ25" s="21"/>
      <c r="LIA25" s="21"/>
      <c r="LIB25" s="21"/>
      <c r="LIC25" s="21"/>
      <c r="LID25" s="21"/>
      <c r="LIE25" s="21"/>
      <c r="LIF25" s="21"/>
      <c r="LIG25" s="21"/>
      <c r="LIH25" s="21"/>
      <c r="LII25" s="21"/>
      <c r="LIJ25" s="21"/>
      <c r="LIK25" s="21"/>
      <c r="LIL25" s="21"/>
      <c r="LIM25" s="21"/>
      <c r="LIN25" s="21"/>
      <c r="LIO25" s="21"/>
      <c r="LIP25" s="21"/>
      <c r="LIQ25" s="21"/>
      <c r="LIR25" s="21"/>
      <c r="LIS25" s="21"/>
      <c r="LIT25" s="21"/>
      <c r="LIU25" s="21"/>
      <c r="LIV25" s="21"/>
      <c r="LIW25" s="21"/>
      <c r="LIX25" s="21"/>
      <c r="LIY25" s="21"/>
      <c r="LIZ25" s="21"/>
      <c r="LJA25" s="21"/>
      <c r="LJB25" s="21"/>
      <c r="LJC25" s="21"/>
      <c r="LJD25" s="21"/>
      <c r="LJE25" s="21"/>
      <c r="LJF25" s="21"/>
      <c r="LJG25" s="21"/>
      <c r="LJH25" s="21"/>
      <c r="LJI25" s="21"/>
      <c r="LJJ25" s="21"/>
      <c r="LJK25" s="21"/>
      <c r="LJL25" s="21"/>
      <c r="LJM25" s="21"/>
      <c r="LJN25" s="21"/>
      <c r="LJO25" s="21"/>
      <c r="LJP25" s="21"/>
      <c r="LJQ25" s="21"/>
      <c r="LJR25" s="21"/>
      <c r="LJS25" s="21"/>
      <c r="LJT25" s="21"/>
      <c r="LJU25" s="21"/>
      <c r="LJV25" s="21"/>
      <c r="LJW25" s="21"/>
      <c r="LJX25" s="21"/>
      <c r="LJY25" s="21"/>
      <c r="LJZ25" s="21"/>
      <c r="LKA25" s="21"/>
      <c r="LKB25" s="21"/>
      <c r="LKC25" s="21"/>
      <c r="LKD25" s="21"/>
      <c r="LKE25" s="21"/>
      <c r="LKF25" s="21"/>
      <c r="LKG25" s="21"/>
      <c r="LKH25" s="21"/>
      <c r="LKI25" s="21"/>
      <c r="LKJ25" s="21"/>
      <c r="LKK25" s="21"/>
      <c r="LKL25" s="21"/>
      <c r="LKM25" s="21"/>
      <c r="LKN25" s="21"/>
      <c r="LKO25" s="21"/>
      <c r="LKP25" s="21"/>
      <c r="LKQ25" s="21"/>
      <c r="LKR25" s="21"/>
      <c r="LKS25" s="21"/>
      <c r="LKT25" s="21"/>
      <c r="LKU25" s="21"/>
      <c r="LKV25" s="21"/>
      <c r="LKW25" s="21"/>
      <c r="LKX25" s="21"/>
      <c r="LKY25" s="21"/>
      <c r="LKZ25" s="21"/>
      <c r="LLA25" s="21"/>
      <c r="LLB25" s="21"/>
      <c r="LLC25" s="21"/>
      <c r="LLD25" s="21"/>
      <c r="LLE25" s="21"/>
      <c r="LLF25" s="21"/>
      <c r="LLG25" s="21"/>
      <c r="LLH25" s="21"/>
      <c r="LLI25" s="21"/>
      <c r="LLJ25" s="21"/>
      <c r="LLK25" s="21"/>
      <c r="LLL25" s="21"/>
      <c r="LLM25" s="21"/>
      <c r="LLN25" s="21"/>
      <c r="LLO25" s="21"/>
      <c r="LLP25" s="21"/>
      <c r="LLQ25" s="21"/>
      <c r="LLR25" s="21"/>
      <c r="LLS25" s="21"/>
      <c r="LLT25" s="21"/>
      <c r="LLU25" s="21"/>
      <c r="LLV25" s="21"/>
      <c r="LLW25" s="21"/>
      <c r="LLX25" s="21"/>
      <c r="LLY25" s="21"/>
      <c r="LLZ25" s="21"/>
      <c r="LMA25" s="21"/>
      <c r="LMB25" s="21"/>
      <c r="LMC25" s="21"/>
      <c r="LMD25" s="21"/>
      <c r="LME25" s="21"/>
      <c r="LMF25" s="21"/>
      <c r="LMG25" s="21"/>
      <c r="LMH25" s="21"/>
      <c r="LMI25" s="21"/>
      <c r="LMJ25" s="21"/>
      <c r="LMK25" s="21"/>
      <c r="LML25" s="21"/>
      <c r="LMM25" s="21"/>
      <c r="LMN25" s="21"/>
      <c r="LMO25" s="21"/>
      <c r="LMP25" s="21"/>
      <c r="LMQ25" s="21"/>
      <c r="LMR25" s="21"/>
      <c r="LMS25" s="21"/>
      <c r="LMT25" s="21"/>
      <c r="LMU25" s="21"/>
      <c r="LMV25" s="21"/>
      <c r="LMW25" s="21"/>
      <c r="LMX25" s="21"/>
      <c r="LMY25" s="21"/>
      <c r="LMZ25" s="21"/>
      <c r="LNA25" s="21"/>
      <c r="LNB25" s="21"/>
      <c r="LNC25" s="21"/>
      <c r="LND25" s="21"/>
      <c r="LNE25" s="21"/>
      <c r="LNF25" s="21"/>
      <c r="LNG25" s="21"/>
      <c r="LNH25" s="21"/>
      <c r="LNI25" s="21"/>
      <c r="LNJ25" s="21"/>
      <c r="LNK25" s="21"/>
      <c r="LNL25" s="21"/>
      <c r="LNM25" s="21"/>
      <c r="LNN25" s="21"/>
      <c r="LNO25" s="21"/>
      <c r="LNP25" s="21"/>
      <c r="LNQ25" s="21"/>
      <c r="LNR25" s="21"/>
      <c r="LNS25" s="21"/>
      <c r="LNT25" s="21"/>
      <c r="LNU25" s="21"/>
      <c r="LNV25" s="21"/>
      <c r="LNW25" s="21"/>
      <c r="LNX25" s="21"/>
      <c r="LNY25" s="21"/>
      <c r="LNZ25" s="21"/>
      <c r="LOA25" s="21"/>
      <c r="LOB25" s="21"/>
      <c r="LOC25" s="21"/>
      <c r="LOD25" s="21"/>
      <c r="LOE25" s="21"/>
      <c r="LOF25" s="21"/>
      <c r="LOG25" s="21"/>
      <c r="LOH25" s="21"/>
      <c r="LOI25" s="21"/>
      <c r="LOJ25" s="21"/>
      <c r="LOK25" s="21"/>
      <c r="LOL25" s="21"/>
      <c r="LOM25" s="21"/>
      <c r="LON25" s="21"/>
      <c r="LOO25" s="21"/>
      <c r="LOP25" s="21"/>
      <c r="LOQ25" s="21"/>
      <c r="LOR25" s="21"/>
      <c r="LOS25" s="21"/>
      <c r="LOT25" s="21"/>
      <c r="LOU25" s="21"/>
      <c r="LOV25" s="21"/>
      <c r="LOW25" s="21"/>
      <c r="LOX25" s="21"/>
      <c r="LOY25" s="21"/>
      <c r="LOZ25" s="21"/>
      <c r="LPA25" s="21"/>
      <c r="LPB25" s="21"/>
      <c r="LPC25" s="21"/>
      <c r="LPD25" s="21"/>
      <c r="LPE25" s="21"/>
      <c r="LPF25" s="21"/>
      <c r="LPG25" s="21"/>
      <c r="LPH25" s="21"/>
      <c r="LPI25" s="21"/>
      <c r="LPJ25" s="21"/>
      <c r="LPK25" s="21"/>
      <c r="LPL25" s="21"/>
      <c r="LPM25" s="21"/>
      <c r="LPN25" s="21"/>
      <c r="LPO25" s="21"/>
      <c r="LPP25" s="21"/>
      <c r="LPQ25" s="21"/>
      <c r="LPR25" s="21"/>
      <c r="LPS25" s="21"/>
      <c r="LPT25" s="21"/>
      <c r="LPU25" s="21"/>
      <c r="LPV25" s="21"/>
      <c r="LPW25" s="21"/>
      <c r="LPX25" s="21"/>
      <c r="LPY25" s="21"/>
      <c r="LPZ25" s="21"/>
      <c r="LQA25" s="21"/>
      <c r="LQB25" s="21"/>
      <c r="LQC25" s="21"/>
      <c r="LQD25" s="21"/>
      <c r="LQE25" s="21"/>
      <c r="LQF25" s="21"/>
      <c r="LQG25" s="21"/>
      <c r="LQH25" s="21"/>
      <c r="LQI25" s="21"/>
      <c r="LQJ25" s="21"/>
      <c r="LQK25" s="21"/>
      <c r="LQL25" s="21"/>
      <c r="LQM25" s="21"/>
      <c r="LQN25" s="21"/>
      <c r="LQO25" s="21"/>
      <c r="LQP25" s="21"/>
      <c r="LQQ25" s="21"/>
      <c r="LQR25" s="21"/>
      <c r="LQS25" s="21"/>
      <c r="LQT25" s="21"/>
      <c r="LQU25" s="21"/>
      <c r="LQV25" s="21"/>
      <c r="LQW25" s="21"/>
      <c r="LQX25" s="21"/>
      <c r="LQY25" s="21"/>
      <c r="LQZ25" s="21"/>
      <c r="LRA25" s="21"/>
      <c r="LRB25" s="21"/>
      <c r="LRC25" s="21"/>
      <c r="LRD25" s="21"/>
      <c r="LRE25" s="21"/>
      <c r="LRF25" s="21"/>
      <c r="LRG25" s="21"/>
      <c r="LRH25" s="21"/>
      <c r="LRI25" s="21"/>
      <c r="LRJ25" s="21"/>
      <c r="LRK25" s="21"/>
      <c r="LRL25" s="21"/>
      <c r="LRM25" s="21"/>
      <c r="LRN25" s="21"/>
      <c r="LRO25" s="21"/>
      <c r="LRP25" s="21"/>
      <c r="LRQ25" s="21"/>
      <c r="LRR25" s="21"/>
      <c r="LRS25" s="21"/>
      <c r="LRT25" s="21"/>
      <c r="LRU25" s="21"/>
      <c r="LRV25" s="21"/>
      <c r="LRW25" s="21"/>
      <c r="LRX25" s="21"/>
      <c r="LRY25" s="21"/>
      <c r="LRZ25" s="21"/>
      <c r="LSA25" s="21"/>
      <c r="LSB25" s="21"/>
      <c r="LSC25" s="21"/>
      <c r="LSD25" s="21"/>
      <c r="LSE25" s="21"/>
      <c r="LSF25" s="21"/>
      <c r="LSG25" s="21"/>
      <c r="LSH25" s="21"/>
      <c r="LSI25" s="21"/>
      <c r="LSJ25" s="21"/>
      <c r="LSK25" s="21"/>
      <c r="LSL25" s="21"/>
      <c r="LSM25" s="21"/>
      <c r="LSN25" s="21"/>
      <c r="LSO25" s="21"/>
      <c r="LSP25" s="21"/>
      <c r="LSQ25" s="21"/>
      <c r="LSR25" s="21"/>
      <c r="LSS25" s="21"/>
      <c r="LST25" s="21"/>
      <c r="LSU25" s="21"/>
      <c r="LSV25" s="21"/>
      <c r="LSW25" s="21"/>
      <c r="LSX25" s="21"/>
      <c r="LSY25" s="21"/>
      <c r="LSZ25" s="21"/>
      <c r="LTA25" s="21"/>
      <c r="LTB25" s="21"/>
      <c r="LTC25" s="21"/>
      <c r="LTD25" s="21"/>
      <c r="LTE25" s="21"/>
      <c r="LTF25" s="21"/>
      <c r="LTG25" s="21"/>
      <c r="LTH25" s="21"/>
      <c r="LTI25" s="21"/>
      <c r="LTJ25" s="21"/>
      <c r="LTK25" s="21"/>
      <c r="LTL25" s="21"/>
      <c r="LTM25" s="21"/>
      <c r="LTN25" s="21"/>
      <c r="LTO25" s="21"/>
      <c r="LTP25" s="21"/>
      <c r="LTQ25" s="21"/>
      <c r="LTR25" s="21"/>
      <c r="LTS25" s="21"/>
      <c r="LTT25" s="21"/>
      <c r="LTU25" s="21"/>
      <c r="LTV25" s="21"/>
      <c r="LTW25" s="21"/>
      <c r="LTX25" s="21"/>
      <c r="LTY25" s="21"/>
      <c r="LTZ25" s="21"/>
      <c r="LUA25" s="21"/>
      <c r="LUB25" s="21"/>
      <c r="LUC25" s="21"/>
      <c r="LUD25" s="21"/>
      <c r="LUE25" s="21"/>
      <c r="LUF25" s="21"/>
      <c r="LUG25" s="21"/>
      <c r="LUH25" s="21"/>
      <c r="LUI25" s="21"/>
      <c r="LUJ25" s="21"/>
      <c r="LUK25" s="21"/>
      <c r="LUL25" s="21"/>
      <c r="LUM25" s="21"/>
      <c r="LUN25" s="21"/>
      <c r="LUO25" s="21"/>
      <c r="LUP25" s="21"/>
      <c r="LUQ25" s="21"/>
      <c r="LUR25" s="21"/>
      <c r="LUS25" s="21"/>
      <c r="LUT25" s="21"/>
      <c r="LUU25" s="21"/>
      <c r="LUV25" s="21"/>
      <c r="LUW25" s="21"/>
      <c r="LUX25" s="21"/>
      <c r="LUY25" s="21"/>
      <c r="LUZ25" s="21"/>
      <c r="LVA25" s="21"/>
      <c r="LVB25" s="21"/>
      <c r="LVC25" s="21"/>
      <c r="LVD25" s="21"/>
      <c r="LVE25" s="21"/>
      <c r="LVF25" s="21"/>
      <c r="LVG25" s="21"/>
      <c r="LVH25" s="21"/>
      <c r="LVI25" s="21"/>
      <c r="LVJ25" s="21"/>
      <c r="LVK25" s="21"/>
      <c r="LVL25" s="21"/>
      <c r="LVM25" s="21"/>
      <c r="LVN25" s="21"/>
      <c r="LVO25" s="21"/>
      <c r="LVP25" s="21"/>
      <c r="LVQ25" s="21"/>
      <c r="LVR25" s="21"/>
      <c r="LVS25" s="21"/>
      <c r="LVT25" s="21"/>
      <c r="LVU25" s="21"/>
      <c r="LVV25" s="21"/>
      <c r="LVW25" s="21"/>
      <c r="LVX25" s="21"/>
      <c r="LVY25" s="21"/>
      <c r="LVZ25" s="21"/>
      <c r="LWA25" s="21"/>
      <c r="LWB25" s="21"/>
      <c r="LWC25" s="21"/>
      <c r="LWD25" s="21"/>
      <c r="LWE25" s="21"/>
      <c r="LWF25" s="21"/>
      <c r="LWG25" s="21"/>
      <c r="LWH25" s="21"/>
      <c r="LWI25" s="21"/>
      <c r="LWJ25" s="21"/>
      <c r="LWK25" s="21"/>
      <c r="LWL25" s="21"/>
      <c r="LWM25" s="21"/>
      <c r="LWN25" s="21"/>
      <c r="LWO25" s="21"/>
      <c r="LWP25" s="21"/>
      <c r="LWQ25" s="21"/>
      <c r="LWR25" s="21"/>
      <c r="LWS25" s="21"/>
      <c r="LWT25" s="21"/>
      <c r="LWU25" s="21"/>
      <c r="LWV25" s="21"/>
      <c r="LWW25" s="21"/>
      <c r="LWX25" s="21"/>
      <c r="LWY25" s="21"/>
      <c r="LWZ25" s="21"/>
      <c r="LXA25" s="21"/>
      <c r="LXB25" s="21"/>
      <c r="LXC25" s="21"/>
      <c r="LXD25" s="21"/>
      <c r="LXE25" s="21"/>
      <c r="LXF25" s="21"/>
      <c r="LXG25" s="21"/>
      <c r="LXH25" s="21"/>
      <c r="LXI25" s="21"/>
      <c r="LXJ25" s="21"/>
      <c r="LXK25" s="21"/>
      <c r="LXL25" s="21"/>
      <c r="LXM25" s="21"/>
      <c r="LXN25" s="21"/>
      <c r="LXO25" s="21"/>
      <c r="LXP25" s="21"/>
      <c r="LXQ25" s="21"/>
      <c r="LXR25" s="21"/>
      <c r="LXS25" s="21"/>
      <c r="LXT25" s="21"/>
      <c r="LXU25" s="21"/>
      <c r="LXV25" s="21"/>
      <c r="LXW25" s="21"/>
      <c r="LXX25" s="21"/>
      <c r="LXY25" s="21"/>
      <c r="LXZ25" s="21"/>
      <c r="LYA25" s="21"/>
      <c r="LYB25" s="21"/>
      <c r="LYC25" s="21"/>
      <c r="LYD25" s="21"/>
      <c r="LYE25" s="21"/>
      <c r="LYF25" s="21"/>
      <c r="LYG25" s="21"/>
      <c r="LYH25" s="21"/>
      <c r="LYI25" s="21"/>
      <c r="LYJ25" s="21"/>
      <c r="LYK25" s="21"/>
      <c r="LYL25" s="21"/>
      <c r="LYM25" s="21"/>
      <c r="LYN25" s="21"/>
      <c r="LYO25" s="21"/>
      <c r="LYP25" s="21"/>
      <c r="LYQ25" s="21"/>
      <c r="LYR25" s="21"/>
      <c r="LYS25" s="21"/>
      <c r="LYT25" s="21"/>
      <c r="LYU25" s="21"/>
      <c r="LYV25" s="21"/>
      <c r="LYW25" s="21"/>
      <c r="LYX25" s="21"/>
      <c r="LYY25" s="21"/>
      <c r="LYZ25" s="21"/>
      <c r="LZA25" s="21"/>
      <c r="LZB25" s="21"/>
      <c r="LZC25" s="21"/>
      <c r="LZD25" s="21"/>
      <c r="LZE25" s="21"/>
      <c r="LZF25" s="21"/>
      <c r="LZG25" s="21"/>
      <c r="LZH25" s="21"/>
      <c r="LZI25" s="21"/>
      <c r="LZJ25" s="21"/>
      <c r="LZK25" s="21"/>
      <c r="LZL25" s="21"/>
      <c r="LZM25" s="21"/>
      <c r="LZN25" s="21"/>
      <c r="LZO25" s="21"/>
      <c r="LZP25" s="21"/>
      <c r="LZQ25" s="21"/>
      <c r="LZR25" s="21"/>
      <c r="LZS25" s="21"/>
      <c r="LZT25" s="21"/>
      <c r="LZU25" s="21"/>
      <c r="LZV25" s="21"/>
      <c r="LZW25" s="21"/>
      <c r="LZX25" s="21"/>
      <c r="LZY25" s="21"/>
      <c r="LZZ25" s="21"/>
      <c r="MAA25" s="21"/>
      <c r="MAB25" s="21"/>
      <c r="MAC25" s="21"/>
      <c r="MAD25" s="21"/>
      <c r="MAE25" s="21"/>
      <c r="MAF25" s="21"/>
      <c r="MAG25" s="21"/>
      <c r="MAH25" s="21"/>
      <c r="MAI25" s="21"/>
      <c r="MAJ25" s="21"/>
      <c r="MAK25" s="21"/>
      <c r="MAL25" s="21"/>
      <c r="MAM25" s="21"/>
      <c r="MAN25" s="21"/>
      <c r="MAO25" s="21"/>
      <c r="MAP25" s="21"/>
      <c r="MAQ25" s="21"/>
      <c r="MAR25" s="21"/>
      <c r="MAS25" s="21"/>
      <c r="MAT25" s="21"/>
      <c r="MAU25" s="21"/>
      <c r="MAV25" s="21"/>
      <c r="MAW25" s="21"/>
      <c r="MAX25" s="21"/>
      <c r="MAY25" s="21"/>
      <c r="MAZ25" s="21"/>
      <c r="MBA25" s="21"/>
      <c r="MBB25" s="21"/>
      <c r="MBC25" s="21"/>
      <c r="MBD25" s="21"/>
      <c r="MBE25" s="21"/>
      <c r="MBF25" s="21"/>
      <c r="MBG25" s="21"/>
      <c r="MBH25" s="21"/>
      <c r="MBI25" s="21"/>
      <c r="MBJ25" s="21"/>
      <c r="MBK25" s="21"/>
      <c r="MBL25" s="21"/>
      <c r="MBM25" s="21"/>
      <c r="MBN25" s="21"/>
      <c r="MBO25" s="21"/>
      <c r="MBP25" s="21"/>
      <c r="MBQ25" s="21"/>
      <c r="MBR25" s="21"/>
      <c r="MBS25" s="21"/>
      <c r="MBT25" s="21"/>
      <c r="MBU25" s="21"/>
      <c r="MBV25" s="21"/>
      <c r="MBW25" s="21"/>
      <c r="MBX25" s="21"/>
      <c r="MBY25" s="21"/>
      <c r="MBZ25" s="21"/>
      <c r="MCA25" s="21"/>
      <c r="MCB25" s="21"/>
      <c r="MCC25" s="21"/>
      <c r="MCD25" s="21"/>
      <c r="MCE25" s="21"/>
      <c r="MCF25" s="21"/>
      <c r="MCG25" s="21"/>
      <c r="MCH25" s="21"/>
      <c r="MCI25" s="21"/>
      <c r="MCJ25" s="21"/>
      <c r="MCK25" s="21"/>
      <c r="MCL25" s="21"/>
      <c r="MCM25" s="21"/>
      <c r="MCN25" s="21"/>
      <c r="MCO25" s="21"/>
      <c r="MCP25" s="21"/>
      <c r="MCQ25" s="21"/>
      <c r="MCR25" s="21"/>
      <c r="MCS25" s="21"/>
      <c r="MCT25" s="21"/>
      <c r="MCU25" s="21"/>
      <c r="MCV25" s="21"/>
      <c r="MCW25" s="21"/>
      <c r="MCX25" s="21"/>
      <c r="MCY25" s="21"/>
      <c r="MCZ25" s="21"/>
      <c r="MDA25" s="21"/>
      <c r="MDB25" s="21"/>
      <c r="MDC25" s="21"/>
      <c r="MDD25" s="21"/>
      <c r="MDE25" s="21"/>
      <c r="MDF25" s="21"/>
      <c r="MDG25" s="21"/>
      <c r="MDH25" s="21"/>
      <c r="MDI25" s="21"/>
      <c r="MDJ25" s="21"/>
      <c r="MDK25" s="21"/>
      <c r="MDL25" s="21"/>
      <c r="MDM25" s="21"/>
      <c r="MDN25" s="21"/>
      <c r="MDO25" s="21"/>
      <c r="MDP25" s="21"/>
      <c r="MDQ25" s="21"/>
      <c r="MDR25" s="21"/>
      <c r="MDS25" s="21"/>
      <c r="MDT25" s="21"/>
      <c r="MDU25" s="21"/>
      <c r="MDV25" s="21"/>
      <c r="MDW25" s="21"/>
      <c r="MDX25" s="21"/>
      <c r="MDY25" s="21"/>
      <c r="MDZ25" s="21"/>
      <c r="MEA25" s="21"/>
      <c r="MEB25" s="21"/>
      <c r="MEC25" s="21"/>
      <c r="MED25" s="21"/>
      <c r="MEE25" s="21"/>
      <c r="MEF25" s="21"/>
      <c r="MEG25" s="21"/>
      <c r="MEH25" s="21"/>
      <c r="MEI25" s="21"/>
      <c r="MEJ25" s="21"/>
      <c r="MEK25" s="21"/>
      <c r="MEL25" s="21"/>
      <c r="MEM25" s="21"/>
      <c r="MEN25" s="21"/>
      <c r="MEO25" s="21"/>
      <c r="MEP25" s="21"/>
      <c r="MEQ25" s="21"/>
      <c r="MER25" s="21"/>
      <c r="MES25" s="21"/>
      <c r="MET25" s="21"/>
      <c r="MEU25" s="21"/>
      <c r="MEV25" s="21"/>
      <c r="MEW25" s="21"/>
      <c r="MEX25" s="21"/>
      <c r="MEY25" s="21"/>
      <c r="MEZ25" s="21"/>
      <c r="MFA25" s="21"/>
      <c r="MFB25" s="21"/>
      <c r="MFC25" s="21"/>
      <c r="MFD25" s="21"/>
      <c r="MFE25" s="21"/>
      <c r="MFF25" s="21"/>
      <c r="MFG25" s="21"/>
      <c r="MFH25" s="21"/>
      <c r="MFI25" s="21"/>
      <c r="MFJ25" s="21"/>
      <c r="MFK25" s="21"/>
      <c r="MFL25" s="21"/>
      <c r="MFM25" s="21"/>
      <c r="MFN25" s="21"/>
      <c r="MFO25" s="21"/>
      <c r="MFP25" s="21"/>
      <c r="MFQ25" s="21"/>
      <c r="MFR25" s="21"/>
      <c r="MFS25" s="21"/>
      <c r="MFT25" s="21"/>
      <c r="MFU25" s="21"/>
      <c r="MFV25" s="21"/>
      <c r="MFW25" s="21"/>
      <c r="MFX25" s="21"/>
      <c r="MFY25" s="21"/>
      <c r="MFZ25" s="21"/>
      <c r="MGA25" s="21"/>
      <c r="MGB25" s="21"/>
      <c r="MGC25" s="21"/>
      <c r="MGD25" s="21"/>
      <c r="MGE25" s="21"/>
      <c r="MGF25" s="21"/>
      <c r="MGG25" s="21"/>
      <c r="MGH25" s="21"/>
      <c r="MGI25" s="21"/>
      <c r="MGJ25" s="21"/>
      <c r="MGK25" s="21"/>
      <c r="MGL25" s="21"/>
      <c r="MGM25" s="21"/>
      <c r="MGN25" s="21"/>
      <c r="MGO25" s="21"/>
      <c r="MGP25" s="21"/>
      <c r="MGQ25" s="21"/>
      <c r="MGR25" s="21"/>
      <c r="MGS25" s="21"/>
      <c r="MGT25" s="21"/>
      <c r="MGU25" s="21"/>
      <c r="MGV25" s="21"/>
      <c r="MGW25" s="21"/>
      <c r="MGX25" s="21"/>
      <c r="MGY25" s="21"/>
      <c r="MGZ25" s="21"/>
      <c r="MHA25" s="21"/>
      <c r="MHB25" s="21"/>
      <c r="MHC25" s="21"/>
      <c r="MHD25" s="21"/>
      <c r="MHE25" s="21"/>
      <c r="MHF25" s="21"/>
      <c r="MHG25" s="21"/>
      <c r="MHH25" s="21"/>
      <c r="MHI25" s="21"/>
      <c r="MHJ25" s="21"/>
      <c r="MHK25" s="21"/>
      <c r="MHL25" s="21"/>
      <c r="MHM25" s="21"/>
      <c r="MHN25" s="21"/>
      <c r="MHO25" s="21"/>
      <c r="MHP25" s="21"/>
      <c r="MHQ25" s="21"/>
      <c r="MHR25" s="21"/>
      <c r="MHS25" s="21"/>
      <c r="MHT25" s="21"/>
      <c r="MHU25" s="21"/>
      <c r="MHV25" s="21"/>
      <c r="MHW25" s="21"/>
      <c r="MHX25" s="21"/>
      <c r="MHY25" s="21"/>
      <c r="MHZ25" s="21"/>
      <c r="MIA25" s="21"/>
      <c r="MIB25" s="21"/>
      <c r="MIC25" s="21"/>
      <c r="MID25" s="21"/>
      <c r="MIE25" s="21"/>
      <c r="MIF25" s="21"/>
      <c r="MIG25" s="21"/>
      <c r="MIH25" s="21"/>
      <c r="MII25" s="21"/>
      <c r="MIJ25" s="21"/>
      <c r="MIK25" s="21"/>
      <c r="MIL25" s="21"/>
      <c r="MIM25" s="21"/>
      <c r="MIN25" s="21"/>
      <c r="MIO25" s="21"/>
      <c r="MIP25" s="21"/>
      <c r="MIQ25" s="21"/>
      <c r="MIR25" s="21"/>
      <c r="MIS25" s="21"/>
      <c r="MIT25" s="21"/>
      <c r="MIU25" s="21"/>
      <c r="MIV25" s="21"/>
      <c r="MIW25" s="21"/>
      <c r="MIX25" s="21"/>
      <c r="MIY25" s="21"/>
      <c r="MIZ25" s="21"/>
      <c r="MJA25" s="21"/>
      <c r="MJB25" s="21"/>
      <c r="MJC25" s="21"/>
      <c r="MJD25" s="21"/>
      <c r="MJE25" s="21"/>
      <c r="MJF25" s="21"/>
      <c r="MJG25" s="21"/>
      <c r="MJH25" s="21"/>
      <c r="MJI25" s="21"/>
      <c r="MJJ25" s="21"/>
      <c r="MJK25" s="21"/>
      <c r="MJL25" s="21"/>
      <c r="MJM25" s="21"/>
      <c r="MJN25" s="21"/>
      <c r="MJO25" s="21"/>
      <c r="MJP25" s="21"/>
      <c r="MJQ25" s="21"/>
      <c r="MJR25" s="21"/>
      <c r="MJS25" s="21"/>
      <c r="MJT25" s="21"/>
      <c r="MJU25" s="21"/>
      <c r="MJV25" s="21"/>
      <c r="MJW25" s="21"/>
      <c r="MJX25" s="21"/>
      <c r="MJY25" s="21"/>
      <c r="MJZ25" s="21"/>
      <c r="MKA25" s="21"/>
      <c r="MKB25" s="21"/>
      <c r="MKC25" s="21"/>
      <c r="MKD25" s="21"/>
      <c r="MKE25" s="21"/>
      <c r="MKF25" s="21"/>
      <c r="MKG25" s="21"/>
      <c r="MKH25" s="21"/>
      <c r="MKI25" s="21"/>
      <c r="MKJ25" s="21"/>
      <c r="MKK25" s="21"/>
      <c r="MKL25" s="21"/>
      <c r="MKM25" s="21"/>
      <c r="MKN25" s="21"/>
      <c r="MKO25" s="21"/>
      <c r="MKP25" s="21"/>
      <c r="MKQ25" s="21"/>
      <c r="MKR25" s="21"/>
      <c r="MKS25" s="21"/>
      <c r="MKT25" s="21"/>
      <c r="MKU25" s="21"/>
      <c r="MKV25" s="21"/>
      <c r="MKW25" s="21"/>
      <c r="MKX25" s="21"/>
      <c r="MKY25" s="21"/>
      <c r="MKZ25" s="21"/>
      <c r="MLA25" s="21"/>
      <c r="MLB25" s="21"/>
      <c r="MLC25" s="21"/>
      <c r="MLD25" s="21"/>
      <c r="MLE25" s="21"/>
      <c r="MLF25" s="21"/>
      <c r="MLG25" s="21"/>
      <c r="MLH25" s="21"/>
      <c r="MLI25" s="21"/>
      <c r="MLJ25" s="21"/>
      <c r="MLK25" s="21"/>
      <c r="MLL25" s="21"/>
      <c r="MLM25" s="21"/>
      <c r="MLN25" s="21"/>
      <c r="MLO25" s="21"/>
      <c r="MLP25" s="21"/>
      <c r="MLQ25" s="21"/>
      <c r="MLR25" s="21"/>
      <c r="MLS25" s="21"/>
      <c r="MLT25" s="21"/>
      <c r="MLU25" s="21"/>
      <c r="MLV25" s="21"/>
      <c r="MLW25" s="21"/>
      <c r="MLX25" s="21"/>
      <c r="MLY25" s="21"/>
      <c r="MLZ25" s="21"/>
      <c r="MMA25" s="21"/>
      <c r="MMB25" s="21"/>
      <c r="MMC25" s="21"/>
      <c r="MMD25" s="21"/>
      <c r="MME25" s="21"/>
      <c r="MMF25" s="21"/>
      <c r="MMG25" s="21"/>
      <c r="MMH25" s="21"/>
      <c r="MMI25" s="21"/>
      <c r="MMJ25" s="21"/>
      <c r="MMK25" s="21"/>
      <c r="MML25" s="21"/>
      <c r="MMM25" s="21"/>
      <c r="MMN25" s="21"/>
      <c r="MMO25" s="21"/>
      <c r="MMP25" s="21"/>
      <c r="MMQ25" s="21"/>
      <c r="MMR25" s="21"/>
      <c r="MMS25" s="21"/>
      <c r="MMT25" s="21"/>
      <c r="MMU25" s="21"/>
      <c r="MMV25" s="21"/>
      <c r="MMW25" s="21"/>
      <c r="MMX25" s="21"/>
      <c r="MMY25" s="21"/>
      <c r="MMZ25" s="21"/>
      <c r="MNA25" s="21"/>
      <c r="MNB25" s="21"/>
      <c r="MNC25" s="21"/>
      <c r="MND25" s="21"/>
      <c r="MNE25" s="21"/>
      <c r="MNF25" s="21"/>
      <c r="MNG25" s="21"/>
      <c r="MNH25" s="21"/>
      <c r="MNI25" s="21"/>
      <c r="MNJ25" s="21"/>
      <c r="MNK25" s="21"/>
      <c r="MNL25" s="21"/>
      <c r="MNM25" s="21"/>
      <c r="MNN25" s="21"/>
      <c r="MNO25" s="21"/>
      <c r="MNP25" s="21"/>
      <c r="MNQ25" s="21"/>
      <c r="MNR25" s="21"/>
      <c r="MNS25" s="21"/>
      <c r="MNT25" s="21"/>
      <c r="MNU25" s="21"/>
      <c r="MNV25" s="21"/>
      <c r="MNW25" s="21"/>
      <c r="MNX25" s="21"/>
      <c r="MNY25" s="21"/>
      <c r="MNZ25" s="21"/>
      <c r="MOA25" s="21"/>
      <c r="MOB25" s="21"/>
      <c r="MOC25" s="21"/>
      <c r="MOD25" s="21"/>
      <c r="MOE25" s="21"/>
      <c r="MOF25" s="21"/>
      <c r="MOG25" s="21"/>
      <c r="MOH25" s="21"/>
      <c r="MOI25" s="21"/>
      <c r="MOJ25" s="21"/>
      <c r="MOK25" s="21"/>
      <c r="MOL25" s="21"/>
      <c r="MOM25" s="21"/>
      <c r="MON25" s="21"/>
      <c r="MOO25" s="21"/>
      <c r="MOP25" s="21"/>
      <c r="MOQ25" s="21"/>
      <c r="MOR25" s="21"/>
      <c r="MOS25" s="21"/>
      <c r="MOT25" s="21"/>
      <c r="MOU25" s="21"/>
      <c r="MOV25" s="21"/>
      <c r="MOW25" s="21"/>
      <c r="MOX25" s="21"/>
      <c r="MOY25" s="21"/>
      <c r="MOZ25" s="21"/>
      <c r="MPA25" s="21"/>
      <c r="MPB25" s="21"/>
      <c r="MPC25" s="21"/>
      <c r="MPD25" s="21"/>
      <c r="MPE25" s="21"/>
      <c r="MPF25" s="21"/>
      <c r="MPG25" s="21"/>
      <c r="MPH25" s="21"/>
      <c r="MPI25" s="21"/>
      <c r="MPJ25" s="21"/>
      <c r="MPK25" s="21"/>
      <c r="MPL25" s="21"/>
      <c r="MPM25" s="21"/>
      <c r="MPN25" s="21"/>
      <c r="MPO25" s="21"/>
      <c r="MPP25" s="21"/>
      <c r="MPQ25" s="21"/>
      <c r="MPR25" s="21"/>
      <c r="MPS25" s="21"/>
      <c r="MPT25" s="21"/>
      <c r="MPU25" s="21"/>
      <c r="MPV25" s="21"/>
      <c r="MPW25" s="21"/>
      <c r="MPX25" s="21"/>
      <c r="MPY25" s="21"/>
      <c r="MPZ25" s="21"/>
      <c r="MQA25" s="21"/>
      <c r="MQB25" s="21"/>
      <c r="MQC25" s="21"/>
      <c r="MQD25" s="21"/>
      <c r="MQE25" s="21"/>
      <c r="MQF25" s="21"/>
      <c r="MQG25" s="21"/>
      <c r="MQH25" s="21"/>
      <c r="MQI25" s="21"/>
      <c r="MQJ25" s="21"/>
      <c r="MQK25" s="21"/>
      <c r="MQL25" s="21"/>
      <c r="MQM25" s="21"/>
      <c r="MQN25" s="21"/>
      <c r="MQO25" s="21"/>
      <c r="MQP25" s="21"/>
      <c r="MQQ25" s="21"/>
      <c r="MQR25" s="21"/>
      <c r="MQS25" s="21"/>
      <c r="MQT25" s="21"/>
      <c r="MQU25" s="21"/>
      <c r="MQV25" s="21"/>
      <c r="MQW25" s="21"/>
      <c r="MQX25" s="21"/>
      <c r="MQY25" s="21"/>
      <c r="MQZ25" s="21"/>
      <c r="MRA25" s="21"/>
      <c r="MRB25" s="21"/>
      <c r="MRC25" s="21"/>
      <c r="MRD25" s="21"/>
      <c r="MRE25" s="21"/>
      <c r="MRF25" s="21"/>
      <c r="MRG25" s="21"/>
      <c r="MRH25" s="21"/>
      <c r="MRI25" s="21"/>
      <c r="MRJ25" s="21"/>
      <c r="MRK25" s="21"/>
      <c r="MRL25" s="21"/>
      <c r="MRM25" s="21"/>
      <c r="MRN25" s="21"/>
      <c r="MRO25" s="21"/>
      <c r="MRP25" s="21"/>
      <c r="MRQ25" s="21"/>
      <c r="MRR25" s="21"/>
      <c r="MRS25" s="21"/>
      <c r="MRT25" s="21"/>
      <c r="MRU25" s="21"/>
      <c r="MRV25" s="21"/>
      <c r="MRW25" s="21"/>
      <c r="MRX25" s="21"/>
      <c r="MRY25" s="21"/>
      <c r="MRZ25" s="21"/>
      <c r="MSA25" s="21"/>
      <c r="MSB25" s="21"/>
      <c r="MSC25" s="21"/>
      <c r="MSD25" s="21"/>
      <c r="MSE25" s="21"/>
      <c r="MSF25" s="21"/>
      <c r="MSG25" s="21"/>
      <c r="MSH25" s="21"/>
      <c r="MSI25" s="21"/>
      <c r="MSJ25" s="21"/>
      <c r="MSK25" s="21"/>
      <c r="MSL25" s="21"/>
      <c r="MSM25" s="21"/>
      <c r="MSN25" s="21"/>
      <c r="MSO25" s="21"/>
      <c r="MSP25" s="21"/>
      <c r="MSQ25" s="21"/>
      <c r="MSR25" s="21"/>
      <c r="MSS25" s="21"/>
      <c r="MST25" s="21"/>
      <c r="MSU25" s="21"/>
      <c r="MSV25" s="21"/>
      <c r="MSW25" s="21"/>
      <c r="MSX25" s="21"/>
      <c r="MSY25" s="21"/>
      <c r="MSZ25" s="21"/>
      <c r="MTA25" s="21"/>
      <c r="MTB25" s="21"/>
      <c r="MTC25" s="21"/>
      <c r="MTD25" s="21"/>
      <c r="MTE25" s="21"/>
      <c r="MTF25" s="21"/>
      <c r="MTG25" s="21"/>
      <c r="MTH25" s="21"/>
      <c r="MTI25" s="21"/>
      <c r="MTJ25" s="21"/>
      <c r="MTK25" s="21"/>
      <c r="MTL25" s="21"/>
      <c r="MTM25" s="21"/>
      <c r="MTN25" s="21"/>
      <c r="MTO25" s="21"/>
      <c r="MTP25" s="21"/>
      <c r="MTQ25" s="21"/>
      <c r="MTR25" s="21"/>
      <c r="MTS25" s="21"/>
      <c r="MTT25" s="21"/>
      <c r="MTU25" s="21"/>
      <c r="MTV25" s="21"/>
      <c r="MTW25" s="21"/>
      <c r="MTX25" s="21"/>
      <c r="MTY25" s="21"/>
      <c r="MTZ25" s="21"/>
      <c r="MUA25" s="21"/>
      <c r="MUB25" s="21"/>
      <c r="MUC25" s="21"/>
      <c r="MUD25" s="21"/>
      <c r="MUE25" s="21"/>
      <c r="MUF25" s="21"/>
      <c r="MUG25" s="21"/>
      <c r="MUH25" s="21"/>
      <c r="MUI25" s="21"/>
      <c r="MUJ25" s="21"/>
      <c r="MUK25" s="21"/>
      <c r="MUL25" s="21"/>
      <c r="MUM25" s="21"/>
      <c r="MUN25" s="21"/>
      <c r="MUO25" s="21"/>
      <c r="MUP25" s="21"/>
      <c r="MUQ25" s="21"/>
      <c r="MUR25" s="21"/>
      <c r="MUS25" s="21"/>
      <c r="MUT25" s="21"/>
      <c r="MUU25" s="21"/>
      <c r="MUV25" s="21"/>
      <c r="MUW25" s="21"/>
      <c r="MUX25" s="21"/>
      <c r="MUY25" s="21"/>
      <c r="MUZ25" s="21"/>
      <c r="MVA25" s="21"/>
      <c r="MVB25" s="21"/>
      <c r="MVC25" s="21"/>
      <c r="MVD25" s="21"/>
      <c r="MVE25" s="21"/>
      <c r="MVF25" s="21"/>
      <c r="MVG25" s="21"/>
      <c r="MVH25" s="21"/>
      <c r="MVI25" s="21"/>
      <c r="MVJ25" s="21"/>
      <c r="MVK25" s="21"/>
      <c r="MVL25" s="21"/>
      <c r="MVM25" s="21"/>
      <c r="MVN25" s="21"/>
      <c r="MVO25" s="21"/>
      <c r="MVP25" s="21"/>
      <c r="MVQ25" s="21"/>
      <c r="MVR25" s="21"/>
      <c r="MVS25" s="21"/>
      <c r="MVT25" s="21"/>
      <c r="MVU25" s="21"/>
      <c r="MVV25" s="21"/>
      <c r="MVW25" s="21"/>
      <c r="MVX25" s="21"/>
      <c r="MVY25" s="21"/>
      <c r="MVZ25" s="21"/>
      <c r="MWA25" s="21"/>
      <c r="MWB25" s="21"/>
      <c r="MWC25" s="21"/>
      <c r="MWD25" s="21"/>
      <c r="MWE25" s="21"/>
      <c r="MWF25" s="21"/>
      <c r="MWG25" s="21"/>
      <c r="MWH25" s="21"/>
      <c r="MWI25" s="21"/>
      <c r="MWJ25" s="21"/>
      <c r="MWK25" s="21"/>
      <c r="MWL25" s="21"/>
      <c r="MWM25" s="21"/>
      <c r="MWN25" s="21"/>
      <c r="MWO25" s="21"/>
      <c r="MWP25" s="21"/>
      <c r="MWQ25" s="21"/>
      <c r="MWR25" s="21"/>
      <c r="MWS25" s="21"/>
      <c r="MWT25" s="21"/>
      <c r="MWU25" s="21"/>
      <c r="MWV25" s="21"/>
      <c r="MWW25" s="21"/>
      <c r="MWX25" s="21"/>
      <c r="MWY25" s="21"/>
      <c r="MWZ25" s="21"/>
      <c r="MXA25" s="21"/>
      <c r="MXB25" s="21"/>
      <c r="MXC25" s="21"/>
      <c r="MXD25" s="21"/>
      <c r="MXE25" s="21"/>
      <c r="MXF25" s="21"/>
      <c r="MXG25" s="21"/>
      <c r="MXH25" s="21"/>
      <c r="MXI25" s="21"/>
      <c r="MXJ25" s="21"/>
      <c r="MXK25" s="21"/>
      <c r="MXL25" s="21"/>
      <c r="MXM25" s="21"/>
      <c r="MXN25" s="21"/>
      <c r="MXO25" s="21"/>
      <c r="MXP25" s="21"/>
      <c r="MXQ25" s="21"/>
      <c r="MXR25" s="21"/>
      <c r="MXS25" s="21"/>
      <c r="MXT25" s="21"/>
      <c r="MXU25" s="21"/>
      <c r="MXV25" s="21"/>
      <c r="MXW25" s="21"/>
      <c r="MXX25" s="21"/>
      <c r="MXY25" s="21"/>
      <c r="MXZ25" s="21"/>
      <c r="MYA25" s="21"/>
      <c r="MYB25" s="21"/>
      <c r="MYC25" s="21"/>
      <c r="MYD25" s="21"/>
      <c r="MYE25" s="21"/>
      <c r="MYF25" s="21"/>
      <c r="MYG25" s="21"/>
      <c r="MYH25" s="21"/>
      <c r="MYI25" s="21"/>
      <c r="MYJ25" s="21"/>
      <c r="MYK25" s="21"/>
      <c r="MYL25" s="21"/>
      <c r="MYM25" s="21"/>
      <c r="MYN25" s="21"/>
      <c r="MYO25" s="21"/>
      <c r="MYP25" s="21"/>
      <c r="MYQ25" s="21"/>
      <c r="MYR25" s="21"/>
      <c r="MYS25" s="21"/>
      <c r="MYT25" s="21"/>
      <c r="MYU25" s="21"/>
      <c r="MYV25" s="21"/>
      <c r="MYW25" s="21"/>
      <c r="MYX25" s="21"/>
      <c r="MYY25" s="21"/>
      <c r="MYZ25" s="21"/>
      <c r="MZA25" s="21"/>
      <c r="MZB25" s="21"/>
      <c r="MZC25" s="21"/>
      <c r="MZD25" s="21"/>
      <c r="MZE25" s="21"/>
      <c r="MZF25" s="21"/>
      <c r="MZG25" s="21"/>
      <c r="MZH25" s="21"/>
      <c r="MZI25" s="21"/>
      <c r="MZJ25" s="21"/>
      <c r="MZK25" s="21"/>
      <c r="MZL25" s="21"/>
      <c r="MZM25" s="21"/>
      <c r="MZN25" s="21"/>
      <c r="MZO25" s="21"/>
      <c r="MZP25" s="21"/>
      <c r="MZQ25" s="21"/>
      <c r="MZR25" s="21"/>
      <c r="MZS25" s="21"/>
      <c r="MZT25" s="21"/>
      <c r="MZU25" s="21"/>
      <c r="MZV25" s="21"/>
      <c r="MZW25" s="21"/>
      <c r="MZX25" s="21"/>
      <c r="MZY25" s="21"/>
      <c r="MZZ25" s="21"/>
      <c r="NAA25" s="21"/>
      <c r="NAB25" s="21"/>
      <c r="NAC25" s="21"/>
      <c r="NAD25" s="21"/>
      <c r="NAE25" s="21"/>
      <c r="NAF25" s="21"/>
      <c r="NAG25" s="21"/>
      <c r="NAH25" s="21"/>
      <c r="NAI25" s="21"/>
      <c r="NAJ25" s="21"/>
      <c r="NAK25" s="21"/>
      <c r="NAL25" s="21"/>
      <c r="NAM25" s="21"/>
      <c r="NAN25" s="21"/>
      <c r="NAO25" s="21"/>
      <c r="NAP25" s="21"/>
      <c r="NAQ25" s="21"/>
      <c r="NAR25" s="21"/>
      <c r="NAS25" s="21"/>
      <c r="NAT25" s="21"/>
      <c r="NAU25" s="21"/>
      <c r="NAV25" s="21"/>
      <c r="NAW25" s="21"/>
      <c r="NAX25" s="21"/>
      <c r="NAY25" s="21"/>
      <c r="NAZ25" s="21"/>
      <c r="NBA25" s="21"/>
      <c r="NBB25" s="21"/>
      <c r="NBC25" s="21"/>
      <c r="NBD25" s="21"/>
      <c r="NBE25" s="21"/>
      <c r="NBF25" s="21"/>
      <c r="NBG25" s="21"/>
      <c r="NBH25" s="21"/>
      <c r="NBI25" s="21"/>
      <c r="NBJ25" s="21"/>
      <c r="NBK25" s="21"/>
      <c r="NBL25" s="21"/>
      <c r="NBM25" s="21"/>
      <c r="NBN25" s="21"/>
      <c r="NBO25" s="21"/>
      <c r="NBP25" s="21"/>
      <c r="NBQ25" s="21"/>
      <c r="NBR25" s="21"/>
      <c r="NBS25" s="21"/>
      <c r="NBT25" s="21"/>
      <c r="NBU25" s="21"/>
      <c r="NBV25" s="21"/>
      <c r="NBW25" s="21"/>
      <c r="NBX25" s="21"/>
      <c r="NBY25" s="21"/>
      <c r="NBZ25" s="21"/>
      <c r="NCA25" s="21"/>
      <c r="NCB25" s="21"/>
      <c r="NCC25" s="21"/>
      <c r="NCD25" s="21"/>
      <c r="NCE25" s="21"/>
      <c r="NCF25" s="21"/>
      <c r="NCG25" s="21"/>
      <c r="NCH25" s="21"/>
      <c r="NCI25" s="21"/>
      <c r="NCJ25" s="21"/>
      <c r="NCK25" s="21"/>
      <c r="NCL25" s="21"/>
      <c r="NCM25" s="21"/>
      <c r="NCN25" s="21"/>
      <c r="NCO25" s="21"/>
      <c r="NCP25" s="21"/>
      <c r="NCQ25" s="21"/>
      <c r="NCR25" s="21"/>
      <c r="NCS25" s="21"/>
      <c r="NCT25" s="21"/>
      <c r="NCU25" s="21"/>
      <c r="NCV25" s="21"/>
      <c r="NCW25" s="21"/>
      <c r="NCX25" s="21"/>
      <c r="NCY25" s="21"/>
      <c r="NCZ25" s="21"/>
      <c r="NDA25" s="21"/>
      <c r="NDB25" s="21"/>
      <c r="NDC25" s="21"/>
      <c r="NDD25" s="21"/>
      <c r="NDE25" s="21"/>
      <c r="NDF25" s="21"/>
      <c r="NDG25" s="21"/>
      <c r="NDH25" s="21"/>
      <c r="NDI25" s="21"/>
      <c r="NDJ25" s="21"/>
      <c r="NDK25" s="21"/>
      <c r="NDL25" s="21"/>
      <c r="NDM25" s="21"/>
      <c r="NDN25" s="21"/>
      <c r="NDO25" s="21"/>
      <c r="NDP25" s="21"/>
      <c r="NDQ25" s="21"/>
      <c r="NDR25" s="21"/>
      <c r="NDS25" s="21"/>
      <c r="NDT25" s="21"/>
      <c r="NDU25" s="21"/>
      <c r="NDV25" s="21"/>
      <c r="NDW25" s="21"/>
      <c r="NDX25" s="21"/>
      <c r="NDY25" s="21"/>
      <c r="NDZ25" s="21"/>
      <c r="NEA25" s="21"/>
      <c r="NEB25" s="21"/>
      <c r="NEC25" s="21"/>
      <c r="NED25" s="21"/>
      <c r="NEE25" s="21"/>
      <c r="NEF25" s="21"/>
      <c r="NEG25" s="21"/>
      <c r="NEH25" s="21"/>
      <c r="NEI25" s="21"/>
      <c r="NEJ25" s="21"/>
      <c r="NEK25" s="21"/>
      <c r="NEL25" s="21"/>
      <c r="NEM25" s="21"/>
      <c r="NEN25" s="21"/>
      <c r="NEO25" s="21"/>
      <c r="NEP25" s="21"/>
      <c r="NEQ25" s="21"/>
      <c r="NER25" s="21"/>
      <c r="NES25" s="21"/>
      <c r="NET25" s="21"/>
      <c r="NEU25" s="21"/>
      <c r="NEV25" s="21"/>
      <c r="NEW25" s="21"/>
      <c r="NEX25" s="21"/>
      <c r="NEY25" s="21"/>
      <c r="NEZ25" s="21"/>
      <c r="NFA25" s="21"/>
      <c r="NFB25" s="21"/>
      <c r="NFC25" s="21"/>
      <c r="NFD25" s="21"/>
      <c r="NFE25" s="21"/>
      <c r="NFF25" s="21"/>
      <c r="NFG25" s="21"/>
      <c r="NFH25" s="21"/>
      <c r="NFI25" s="21"/>
      <c r="NFJ25" s="21"/>
      <c r="NFK25" s="21"/>
      <c r="NFL25" s="21"/>
      <c r="NFM25" s="21"/>
      <c r="NFN25" s="21"/>
      <c r="NFO25" s="21"/>
      <c r="NFP25" s="21"/>
      <c r="NFQ25" s="21"/>
      <c r="NFR25" s="21"/>
      <c r="NFS25" s="21"/>
      <c r="NFT25" s="21"/>
      <c r="NFU25" s="21"/>
      <c r="NFV25" s="21"/>
      <c r="NFW25" s="21"/>
      <c r="NFX25" s="21"/>
      <c r="NFY25" s="21"/>
      <c r="NFZ25" s="21"/>
      <c r="NGA25" s="21"/>
      <c r="NGB25" s="21"/>
      <c r="NGC25" s="21"/>
      <c r="NGD25" s="21"/>
      <c r="NGE25" s="21"/>
      <c r="NGF25" s="21"/>
      <c r="NGG25" s="21"/>
      <c r="NGH25" s="21"/>
      <c r="NGI25" s="21"/>
      <c r="NGJ25" s="21"/>
      <c r="NGK25" s="21"/>
      <c r="NGL25" s="21"/>
      <c r="NGM25" s="21"/>
      <c r="NGN25" s="21"/>
      <c r="NGO25" s="21"/>
      <c r="NGP25" s="21"/>
      <c r="NGQ25" s="21"/>
      <c r="NGR25" s="21"/>
      <c r="NGS25" s="21"/>
      <c r="NGT25" s="21"/>
      <c r="NGU25" s="21"/>
      <c r="NGV25" s="21"/>
      <c r="NGW25" s="21"/>
      <c r="NGX25" s="21"/>
      <c r="NGY25" s="21"/>
      <c r="NGZ25" s="21"/>
      <c r="NHA25" s="21"/>
      <c r="NHB25" s="21"/>
      <c r="NHC25" s="21"/>
      <c r="NHD25" s="21"/>
      <c r="NHE25" s="21"/>
      <c r="NHF25" s="21"/>
      <c r="NHG25" s="21"/>
      <c r="NHH25" s="21"/>
      <c r="NHI25" s="21"/>
      <c r="NHJ25" s="21"/>
      <c r="NHK25" s="21"/>
      <c r="NHL25" s="21"/>
      <c r="NHM25" s="21"/>
      <c r="NHN25" s="21"/>
      <c r="NHO25" s="21"/>
      <c r="NHP25" s="21"/>
      <c r="NHQ25" s="21"/>
      <c r="NHR25" s="21"/>
      <c r="NHS25" s="21"/>
      <c r="NHT25" s="21"/>
      <c r="NHU25" s="21"/>
      <c r="NHV25" s="21"/>
      <c r="NHW25" s="21"/>
      <c r="NHX25" s="21"/>
      <c r="NHY25" s="21"/>
      <c r="NHZ25" s="21"/>
      <c r="NIA25" s="21"/>
      <c r="NIB25" s="21"/>
      <c r="NIC25" s="21"/>
      <c r="NID25" s="21"/>
      <c r="NIE25" s="21"/>
      <c r="NIF25" s="21"/>
      <c r="NIG25" s="21"/>
      <c r="NIH25" s="21"/>
      <c r="NII25" s="21"/>
      <c r="NIJ25" s="21"/>
      <c r="NIK25" s="21"/>
      <c r="NIL25" s="21"/>
      <c r="NIM25" s="21"/>
      <c r="NIN25" s="21"/>
      <c r="NIO25" s="21"/>
      <c r="NIP25" s="21"/>
      <c r="NIQ25" s="21"/>
      <c r="NIR25" s="21"/>
      <c r="NIS25" s="21"/>
      <c r="NIT25" s="21"/>
      <c r="NIU25" s="21"/>
      <c r="NIV25" s="21"/>
      <c r="NIW25" s="21"/>
      <c r="NIX25" s="21"/>
      <c r="NIY25" s="21"/>
      <c r="NIZ25" s="21"/>
      <c r="NJA25" s="21"/>
      <c r="NJB25" s="21"/>
      <c r="NJC25" s="21"/>
      <c r="NJD25" s="21"/>
      <c r="NJE25" s="21"/>
      <c r="NJF25" s="21"/>
      <c r="NJG25" s="21"/>
      <c r="NJH25" s="21"/>
      <c r="NJI25" s="21"/>
      <c r="NJJ25" s="21"/>
      <c r="NJK25" s="21"/>
      <c r="NJL25" s="21"/>
      <c r="NJM25" s="21"/>
      <c r="NJN25" s="21"/>
      <c r="NJO25" s="21"/>
      <c r="NJP25" s="21"/>
      <c r="NJQ25" s="21"/>
      <c r="NJR25" s="21"/>
      <c r="NJS25" s="21"/>
      <c r="NJT25" s="21"/>
      <c r="NJU25" s="21"/>
      <c r="NJV25" s="21"/>
      <c r="NJW25" s="21"/>
      <c r="NJX25" s="21"/>
      <c r="NJY25" s="21"/>
      <c r="NJZ25" s="21"/>
      <c r="NKA25" s="21"/>
      <c r="NKB25" s="21"/>
      <c r="NKC25" s="21"/>
      <c r="NKD25" s="21"/>
      <c r="NKE25" s="21"/>
      <c r="NKF25" s="21"/>
      <c r="NKG25" s="21"/>
      <c r="NKH25" s="21"/>
      <c r="NKI25" s="21"/>
      <c r="NKJ25" s="21"/>
      <c r="NKK25" s="21"/>
      <c r="NKL25" s="21"/>
      <c r="NKM25" s="21"/>
      <c r="NKN25" s="21"/>
      <c r="NKO25" s="21"/>
      <c r="NKP25" s="21"/>
      <c r="NKQ25" s="21"/>
      <c r="NKR25" s="21"/>
      <c r="NKS25" s="21"/>
      <c r="NKT25" s="21"/>
      <c r="NKU25" s="21"/>
      <c r="NKV25" s="21"/>
      <c r="NKW25" s="21"/>
      <c r="NKX25" s="21"/>
      <c r="NKY25" s="21"/>
      <c r="NKZ25" s="21"/>
      <c r="NLA25" s="21"/>
      <c r="NLB25" s="21"/>
      <c r="NLC25" s="21"/>
      <c r="NLD25" s="21"/>
      <c r="NLE25" s="21"/>
      <c r="NLF25" s="21"/>
      <c r="NLG25" s="21"/>
      <c r="NLH25" s="21"/>
      <c r="NLI25" s="21"/>
      <c r="NLJ25" s="21"/>
      <c r="NLK25" s="21"/>
      <c r="NLL25" s="21"/>
      <c r="NLM25" s="21"/>
      <c r="NLN25" s="21"/>
      <c r="NLO25" s="21"/>
      <c r="NLP25" s="21"/>
      <c r="NLQ25" s="21"/>
      <c r="NLR25" s="21"/>
      <c r="NLS25" s="21"/>
      <c r="NLT25" s="21"/>
      <c r="NLU25" s="21"/>
      <c r="NLV25" s="21"/>
      <c r="NLW25" s="21"/>
      <c r="NLX25" s="21"/>
      <c r="NLY25" s="21"/>
      <c r="NLZ25" s="21"/>
      <c r="NMA25" s="21"/>
      <c r="NMB25" s="21"/>
      <c r="NMC25" s="21"/>
      <c r="NMD25" s="21"/>
      <c r="NME25" s="21"/>
      <c r="NMF25" s="21"/>
      <c r="NMG25" s="21"/>
      <c r="NMH25" s="21"/>
      <c r="NMI25" s="21"/>
      <c r="NMJ25" s="21"/>
      <c r="NMK25" s="21"/>
      <c r="NML25" s="21"/>
      <c r="NMM25" s="21"/>
      <c r="NMN25" s="21"/>
      <c r="NMO25" s="21"/>
      <c r="NMP25" s="21"/>
      <c r="NMQ25" s="21"/>
      <c r="NMR25" s="21"/>
      <c r="NMS25" s="21"/>
      <c r="NMT25" s="21"/>
      <c r="NMU25" s="21"/>
      <c r="NMV25" s="21"/>
      <c r="NMW25" s="21"/>
      <c r="NMX25" s="21"/>
      <c r="NMY25" s="21"/>
      <c r="NMZ25" s="21"/>
      <c r="NNA25" s="21"/>
      <c r="NNB25" s="21"/>
      <c r="NNC25" s="21"/>
      <c r="NND25" s="21"/>
      <c r="NNE25" s="21"/>
      <c r="NNF25" s="21"/>
      <c r="NNG25" s="21"/>
      <c r="NNH25" s="21"/>
      <c r="NNI25" s="21"/>
      <c r="NNJ25" s="21"/>
      <c r="NNK25" s="21"/>
      <c r="NNL25" s="21"/>
      <c r="NNM25" s="21"/>
      <c r="NNN25" s="21"/>
      <c r="NNO25" s="21"/>
      <c r="NNP25" s="21"/>
      <c r="NNQ25" s="21"/>
      <c r="NNR25" s="21"/>
      <c r="NNS25" s="21"/>
      <c r="NNT25" s="21"/>
      <c r="NNU25" s="21"/>
      <c r="NNV25" s="21"/>
      <c r="NNW25" s="21"/>
      <c r="NNX25" s="21"/>
      <c r="NNY25" s="21"/>
      <c r="NNZ25" s="21"/>
      <c r="NOA25" s="21"/>
      <c r="NOB25" s="21"/>
      <c r="NOC25" s="21"/>
      <c r="NOD25" s="21"/>
      <c r="NOE25" s="21"/>
      <c r="NOF25" s="21"/>
      <c r="NOG25" s="21"/>
      <c r="NOH25" s="21"/>
      <c r="NOI25" s="21"/>
      <c r="NOJ25" s="21"/>
      <c r="NOK25" s="21"/>
      <c r="NOL25" s="21"/>
      <c r="NOM25" s="21"/>
      <c r="NON25" s="21"/>
      <c r="NOO25" s="21"/>
      <c r="NOP25" s="21"/>
      <c r="NOQ25" s="21"/>
      <c r="NOR25" s="21"/>
      <c r="NOS25" s="21"/>
      <c r="NOT25" s="21"/>
      <c r="NOU25" s="21"/>
      <c r="NOV25" s="21"/>
      <c r="NOW25" s="21"/>
      <c r="NOX25" s="21"/>
      <c r="NOY25" s="21"/>
      <c r="NOZ25" s="21"/>
      <c r="NPA25" s="21"/>
      <c r="NPB25" s="21"/>
      <c r="NPC25" s="21"/>
      <c r="NPD25" s="21"/>
      <c r="NPE25" s="21"/>
      <c r="NPF25" s="21"/>
      <c r="NPG25" s="21"/>
      <c r="NPH25" s="21"/>
      <c r="NPI25" s="21"/>
      <c r="NPJ25" s="21"/>
      <c r="NPK25" s="21"/>
      <c r="NPL25" s="21"/>
      <c r="NPM25" s="21"/>
      <c r="NPN25" s="21"/>
      <c r="NPO25" s="21"/>
      <c r="NPP25" s="21"/>
      <c r="NPQ25" s="21"/>
      <c r="NPR25" s="21"/>
      <c r="NPS25" s="21"/>
      <c r="NPT25" s="21"/>
      <c r="NPU25" s="21"/>
      <c r="NPV25" s="21"/>
      <c r="NPW25" s="21"/>
      <c r="NPX25" s="21"/>
      <c r="NPY25" s="21"/>
      <c r="NPZ25" s="21"/>
      <c r="NQA25" s="21"/>
      <c r="NQB25" s="21"/>
      <c r="NQC25" s="21"/>
      <c r="NQD25" s="21"/>
      <c r="NQE25" s="21"/>
      <c r="NQF25" s="21"/>
      <c r="NQG25" s="21"/>
      <c r="NQH25" s="21"/>
      <c r="NQI25" s="21"/>
      <c r="NQJ25" s="21"/>
      <c r="NQK25" s="21"/>
      <c r="NQL25" s="21"/>
      <c r="NQM25" s="21"/>
      <c r="NQN25" s="21"/>
      <c r="NQO25" s="21"/>
      <c r="NQP25" s="21"/>
      <c r="NQQ25" s="21"/>
      <c r="NQR25" s="21"/>
      <c r="NQS25" s="21"/>
      <c r="NQT25" s="21"/>
      <c r="NQU25" s="21"/>
      <c r="NQV25" s="21"/>
      <c r="NQW25" s="21"/>
      <c r="NQX25" s="21"/>
      <c r="NQY25" s="21"/>
      <c r="NQZ25" s="21"/>
      <c r="NRA25" s="21"/>
      <c r="NRB25" s="21"/>
      <c r="NRC25" s="21"/>
      <c r="NRD25" s="21"/>
      <c r="NRE25" s="21"/>
      <c r="NRF25" s="21"/>
      <c r="NRG25" s="21"/>
      <c r="NRH25" s="21"/>
      <c r="NRI25" s="21"/>
      <c r="NRJ25" s="21"/>
      <c r="NRK25" s="21"/>
      <c r="NRL25" s="21"/>
      <c r="NRM25" s="21"/>
      <c r="NRN25" s="21"/>
      <c r="NRO25" s="21"/>
      <c r="NRP25" s="21"/>
      <c r="NRQ25" s="21"/>
      <c r="NRR25" s="21"/>
      <c r="NRS25" s="21"/>
      <c r="NRT25" s="21"/>
      <c r="NRU25" s="21"/>
      <c r="NRV25" s="21"/>
      <c r="NRW25" s="21"/>
      <c r="NRX25" s="21"/>
      <c r="NRY25" s="21"/>
      <c r="NRZ25" s="21"/>
      <c r="NSA25" s="21"/>
      <c r="NSB25" s="21"/>
      <c r="NSC25" s="21"/>
      <c r="NSD25" s="21"/>
      <c r="NSE25" s="21"/>
      <c r="NSF25" s="21"/>
      <c r="NSG25" s="21"/>
      <c r="NSH25" s="21"/>
      <c r="NSI25" s="21"/>
      <c r="NSJ25" s="21"/>
      <c r="NSK25" s="21"/>
      <c r="NSL25" s="21"/>
      <c r="NSM25" s="21"/>
      <c r="NSN25" s="21"/>
      <c r="NSO25" s="21"/>
      <c r="NSP25" s="21"/>
      <c r="NSQ25" s="21"/>
      <c r="NSR25" s="21"/>
      <c r="NSS25" s="21"/>
      <c r="NST25" s="21"/>
      <c r="NSU25" s="21"/>
      <c r="NSV25" s="21"/>
      <c r="NSW25" s="21"/>
      <c r="NSX25" s="21"/>
      <c r="NSY25" s="21"/>
      <c r="NSZ25" s="21"/>
      <c r="NTA25" s="21"/>
      <c r="NTB25" s="21"/>
      <c r="NTC25" s="21"/>
      <c r="NTD25" s="21"/>
      <c r="NTE25" s="21"/>
      <c r="NTF25" s="21"/>
      <c r="NTG25" s="21"/>
      <c r="NTH25" s="21"/>
      <c r="NTI25" s="21"/>
      <c r="NTJ25" s="21"/>
      <c r="NTK25" s="21"/>
      <c r="NTL25" s="21"/>
      <c r="NTM25" s="21"/>
      <c r="NTN25" s="21"/>
      <c r="NTO25" s="21"/>
      <c r="NTP25" s="21"/>
      <c r="NTQ25" s="21"/>
      <c r="NTR25" s="21"/>
      <c r="NTS25" s="21"/>
      <c r="NTT25" s="21"/>
      <c r="NTU25" s="21"/>
      <c r="NTV25" s="21"/>
      <c r="NTW25" s="21"/>
      <c r="NTX25" s="21"/>
      <c r="NTY25" s="21"/>
      <c r="NTZ25" s="21"/>
      <c r="NUA25" s="21"/>
      <c r="NUB25" s="21"/>
      <c r="NUC25" s="21"/>
      <c r="NUD25" s="21"/>
      <c r="NUE25" s="21"/>
      <c r="NUF25" s="21"/>
      <c r="NUG25" s="21"/>
      <c r="NUH25" s="21"/>
      <c r="NUI25" s="21"/>
      <c r="NUJ25" s="21"/>
      <c r="NUK25" s="21"/>
      <c r="NUL25" s="21"/>
      <c r="NUM25" s="21"/>
      <c r="NUN25" s="21"/>
      <c r="NUO25" s="21"/>
      <c r="NUP25" s="21"/>
      <c r="NUQ25" s="21"/>
      <c r="NUR25" s="21"/>
      <c r="NUS25" s="21"/>
      <c r="NUT25" s="21"/>
      <c r="NUU25" s="21"/>
      <c r="NUV25" s="21"/>
      <c r="NUW25" s="21"/>
      <c r="NUX25" s="21"/>
      <c r="NUY25" s="21"/>
      <c r="NUZ25" s="21"/>
      <c r="NVA25" s="21"/>
      <c r="NVB25" s="21"/>
      <c r="NVC25" s="21"/>
      <c r="NVD25" s="21"/>
      <c r="NVE25" s="21"/>
      <c r="NVF25" s="21"/>
      <c r="NVG25" s="21"/>
      <c r="NVH25" s="21"/>
      <c r="NVI25" s="21"/>
      <c r="NVJ25" s="21"/>
      <c r="NVK25" s="21"/>
      <c r="NVL25" s="21"/>
      <c r="NVM25" s="21"/>
      <c r="NVN25" s="21"/>
      <c r="NVO25" s="21"/>
      <c r="NVP25" s="21"/>
      <c r="NVQ25" s="21"/>
      <c r="NVR25" s="21"/>
      <c r="NVS25" s="21"/>
      <c r="NVT25" s="21"/>
      <c r="NVU25" s="21"/>
      <c r="NVV25" s="21"/>
      <c r="NVW25" s="21"/>
      <c r="NVX25" s="21"/>
      <c r="NVY25" s="21"/>
      <c r="NVZ25" s="21"/>
      <c r="NWA25" s="21"/>
      <c r="NWB25" s="21"/>
      <c r="NWC25" s="21"/>
      <c r="NWD25" s="21"/>
      <c r="NWE25" s="21"/>
      <c r="NWF25" s="21"/>
      <c r="NWG25" s="21"/>
      <c r="NWH25" s="21"/>
      <c r="NWI25" s="21"/>
      <c r="NWJ25" s="21"/>
      <c r="NWK25" s="21"/>
      <c r="NWL25" s="21"/>
      <c r="NWM25" s="21"/>
      <c r="NWN25" s="21"/>
      <c r="NWO25" s="21"/>
      <c r="NWP25" s="21"/>
      <c r="NWQ25" s="21"/>
      <c r="NWR25" s="21"/>
      <c r="NWS25" s="21"/>
      <c r="NWT25" s="21"/>
      <c r="NWU25" s="21"/>
      <c r="NWV25" s="21"/>
      <c r="NWW25" s="21"/>
      <c r="NWX25" s="21"/>
      <c r="NWY25" s="21"/>
      <c r="NWZ25" s="21"/>
      <c r="NXA25" s="21"/>
      <c r="NXB25" s="21"/>
      <c r="NXC25" s="21"/>
      <c r="NXD25" s="21"/>
      <c r="NXE25" s="21"/>
      <c r="NXF25" s="21"/>
      <c r="NXG25" s="21"/>
      <c r="NXH25" s="21"/>
      <c r="NXI25" s="21"/>
      <c r="NXJ25" s="21"/>
      <c r="NXK25" s="21"/>
      <c r="NXL25" s="21"/>
      <c r="NXM25" s="21"/>
      <c r="NXN25" s="21"/>
      <c r="NXO25" s="21"/>
      <c r="NXP25" s="21"/>
      <c r="NXQ25" s="21"/>
      <c r="NXR25" s="21"/>
      <c r="NXS25" s="21"/>
      <c r="NXT25" s="21"/>
      <c r="NXU25" s="21"/>
      <c r="NXV25" s="21"/>
      <c r="NXW25" s="21"/>
      <c r="NXX25" s="21"/>
      <c r="NXY25" s="21"/>
      <c r="NXZ25" s="21"/>
      <c r="NYA25" s="21"/>
      <c r="NYB25" s="21"/>
      <c r="NYC25" s="21"/>
      <c r="NYD25" s="21"/>
      <c r="NYE25" s="21"/>
      <c r="NYF25" s="21"/>
      <c r="NYG25" s="21"/>
      <c r="NYH25" s="21"/>
      <c r="NYI25" s="21"/>
      <c r="NYJ25" s="21"/>
      <c r="NYK25" s="21"/>
      <c r="NYL25" s="21"/>
      <c r="NYM25" s="21"/>
      <c r="NYN25" s="21"/>
      <c r="NYO25" s="21"/>
      <c r="NYP25" s="21"/>
      <c r="NYQ25" s="21"/>
      <c r="NYR25" s="21"/>
      <c r="NYS25" s="21"/>
      <c r="NYT25" s="21"/>
      <c r="NYU25" s="21"/>
      <c r="NYV25" s="21"/>
      <c r="NYW25" s="21"/>
      <c r="NYX25" s="21"/>
      <c r="NYY25" s="21"/>
      <c r="NYZ25" s="21"/>
      <c r="NZA25" s="21"/>
      <c r="NZB25" s="21"/>
      <c r="NZC25" s="21"/>
      <c r="NZD25" s="21"/>
      <c r="NZE25" s="21"/>
      <c r="NZF25" s="21"/>
      <c r="NZG25" s="21"/>
      <c r="NZH25" s="21"/>
      <c r="NZI25" s="21"/>
      <c r="NZJ25" s="21"/>
      <c r="NZK25" s="21"/>
      <c r="NZL25" s="21"/>
      <c r="NZM25" s="21"/>
      <c r="NZN25" s="21"/>
      <c r="NZO25" s="21"/>
      <c r="NZP25" s="21"/>
      <c r="NZQ25" s="21"/>
      <c r="NZR25" s="21"/>
      <c r="NZS25" s="21"/>
      <c r="NZT25" s="21"/>
      <c r="NZU25" s="21"/>
      <c r="NZV25" s="21"/>
      <c r="NZW25" s="21"/>
      <c r="NZX25" s="21"/>
      <c r="NZY25" s="21"/>
      <c r="NZZ25" s="21"/>
      <c r="OAA25" s="21"/>
      <c r="OAB25" s="21"/>
      <c r="OAC25" s="21"/>
      <c r="OAD25" s="21"/>
      <c r="OAE25" s="21"/>
      <c r="OAF25" s="21"/>
      <c r="OAG25" s="21"/>
      <c r="OAH25" s="21"/>
      <c r="OAI25" s="21"/>
      <c r="OAJ25" s="21"/>
      <c r="OAK25" s="21"/>
      <c r="OAL25" s="21"/>
      <c r="OAM25" s="21"/>
      <c r="OAN25" s="21"/>
      <c r="OAO25" s="21"/>
      <c r="OAP25" s="21"/>
      <c r="OAQ25" s="21"/>
      <c r="OAR25" s="21"/>
      <c r="OAS25" s="21"/>
      <c r="OAT25" s="21"/>
      <c r="OAU25" s="21"/>
      <c r="OAV25" s="21"/>
      <c r="OAW25" s="21"/>
      <c r="OAX25" s="21"/>
      <c r="OAY25" s="21"/>
      <c r="OAZ25" s="21"/>
      <c r="OBA25" s="21"/>
      <c r="OBB25" s="21"/>
      <c r="OBC25" s="21"/>
      <c r="OBD25" s="21"/>
      <c r="OBE25" s="21"/>
      <c r="OBF25" s="21"/>
      <c r="OBG25" s="21"/>
      <c r="OBH25" s="21"/>
      <c r="OBI25" s="21"/>
      <c r="OBJ25" s="21"/>
      <c r="OBK25" s="21"/>
      <c r="OBL25" s="21"/>
      <c r="OBM25" s="21"/>
      <c r="OBN25" s="21"/>
      <c r="OBO25" s="21"/>
      <c r="OBP25" s="21"/>
      <c r="OBQ25" s="21"/>
      <c r="OBR25" s="21"/>
      <c r="OBS25" s="21"/>
      <c r="OBT25" s="21"/>
      <c r="OBU25" s="21"/>
      <c r="OBV25" s="21"/>
      <c r="OBW25" s="21"/>
      <c r="OBX25" s="21"/>
      <c r="OBY25" s="21"/>
      <c r="OBZ25" s="21"/>
      <c r="OCA25" s="21"/>
      <c r="OCB25" s="21"/>
      <c r="OCC25" s="21"/>
      <c r="OCD25" s="21"/>
      <c r="OCE25" s="21"/>
      <c r="OCF25" s="21"/>
      <c r="OCG25" s="21"/>
      <c r="OCH25" s="21"/>
      <c r="OCI25" s="21"/>
      <c r="OCJ25" s="21"/>
      <c r="OCK25" s="21"/>
      <c r="OCL25" s="21"/>
      <c r="OCM25" s="21"/>
      <c r="OCN25" s="21"/>
      <c r="OCO25" s="21"/>
      <c r="OCP25" s="21"/>
      <c r="OCQ25" s="21"/>
      <c r="OCR25" s="21"/>
      <c r="OCS25" s="21"/>
      <c r="OCT25" s="21"/>
      <c r="OCU25" s="21"/>
      <c r="OCV25" s="21"/>
      <c r="OCW25" s="21"/>
      <c r="OCX25" s="21"/>
      <c r="OCY25" s="21"/>
      <c r="OCZ25" s="21"/>
      <c r="ODA25" s="21"/>
      <c r="ODB25" s="21"/>
      <c r="ODC25" s="21"/>
      <c r="ODD25" s="21"/>
      <c r="ODE25" s="21"/>
      <c r="ODF25" s="21"/>
      <c r="ODG25" s="21"/>
      <c r="ODH25" s="21"/>
      <c r="ODI25" s="21"/>
      <c r="ODJ25" s="21"/>
      <c r="ODK25" s="21"/>
      <c r="ODL25" s="21"/>
      <c r="ODM25" s="21"/>
      <c r="ODN25" s="21"/>
      <c r="ODO25" s="21"/>
      <c r="ODP25" s="21"/>
      <c r="ODQ25" s="21"/>
      <c r="ODR25" s="21"/>
      <c r="ODS25" s="21"/>
      <c r="ODT25" s="21"/>
      <c r="ODU25" s="21"/>
      <c r="ODV25" s="21"/>
      <c r="ODW25" s="21"/>
      <c r="ODX25" s="21"/>
      <c r="ODY25" s="21"/>
      <c r="ODZ25" s="21"/>
      <c r="OEA25" s="21"/>
      <c r="OEB25" s="21"/>
      <c r="OEC25" s="21"/>
      <c r="OED25" s="21"/>
      <c r="OEE25" s="21"/>
      <c r="OEF25" s="21"/>
      <c r="OEG25" s="21"/>
      <c r="OEH25" s="21"/>
      <c r="OEI25" s="21"/>
      <c r="OEJ25" s="21"/>
      <c r="OEK25" s="21"/>
      <c r="OEL25" s="21"/>
      <c r="OEM25" s="21"/>
      <c r="OEN25" s="21"/>
      <c r="OEO25" s="21"/>
      <c r="OEP25" s="21"/>
      <c r="OEQ25" s="21"/>
      <c r="OER25" s="21"/>
      <c r="OES25" s="21"/>
      <c r="OET25" s="21"/>
      <c r="OEU25" s="21"/>
      <c r="OEV25" s="21"/>
      <c r="OEW25" s="21"/>
      <c r="OEX25" s="21"/>
      <c r="OEY25" s="21"/>
      <c r="OEZ25" s="21"/>
      <c r="OFA25" s="21"/>
      <c r="OFB25" s="21"/>
      <c r="OFC25" s="21"/>
      <c r="OFD25" s="21"/>
      <c r="OFE25" s="21"/>
      <c r="OFF25" s="21"/>
      <c r="OFG25" s="21"/>
      <c r="OFH25" s="21"/>
      <c r="OFI25" s="21"/>
      <c r="OFJ25" s="21"/>
      <c r="OFK25" s="21"/>
      <c r="OFL25" s="21"/>
      <c r="OFM25" s="21"/>
      <c r="OFN25" s="21"/>
      <c r="OFO25" s="21"/>
      <c r="OFP25" s="21"/>
      <c r="OFQ25" s="21"/>
      <c r="OFR25" s="21"/>
      <c r="OFS25" s="21"/>
      <c r="OFT25" s="21"/>
      <c r="OFU25" s="21"/>
      <c r="OFV25" s="21"/>
      <c r="OFW25" s="21"/>
      <c r="OFX25" s="21"/>
      <c r="OFY25" s="21"/>
      <c r="OFZ25" s="21"/>
      <c r="OGA25" s="21"/>
      <c r="OGB25" s="21"/>
      <c r="OGC25" s="21"/>
      <c r="OGD25" s="21"/>
      <c r="OGE25" s="21"/>
      <c r="OGF25" s="21"/>
      <c r="OGG25" s="21"/>
      <c r="OGH25" s="21"/>
      <c r="OGI25" s="21"/>
      <c r="OGJ25" s="21"/>
      <c r="OGK25" s="21"/>
      <c r="OGL25" s="21"/>
      <c r="OGM25" s="21"/>
      <c r="OGN25" s="21"/>
      <c r="OGO25" s="21"/>
      <c r="OGP25" s="21"/>
      <c r="OGQ25" s="21"/>
      <c r="OGR25" s="21"/>
      <c r="OGS25" s="21"/>
      <c r="OGT25" s="21"/>
      <c r="OGU25" s="21"/>
      <c r="OGV25" s="21"/>
      <c r="OGW25" s="21"/>
      <c r="OGX25" s="21"/>
      <c r="OGY25" s="21"/>
      <c r="OGZ25" s="21"/>
      <c r="OHA25" s="21"/>
      <c r="OHB25" s="21"/>
      <c r="OHC25" s="21"/>
      <c r="OHD25" s="21"/>
      <c r="OHE25" s="21"/>
      <c r="OHF25" s="21"/>
      <c r="OHG25" s="21"/>
      <c r="OHH25" s="21"/>
      <c r="OHI25" s="21"/>
      <c r="OHJ25" s="21"/>
      <c r="OHK25" s="21"/>
      <c r="OHL25" s="21"/>
      <c r="OHM25" s="21"/>
      <c r="OHN25" s="21"/>
      <c r="OHO25" s="21"/>
      <c r="OHP25" s="21"/>
      <c r="OHQ25" s="21"/>
      <c r="OHR25" s="21"/>
      <c r="OHS25" s="21"/>
      <c r="OHT25" s="21"/>
      <c r="OHU25" s="21"/>
      <c r="OHV25" s="21"/>
      <c r="OHW25" s="21"/>
      <c r="OHX25" s="21"/>
      <c r="OHY25" s="21"/>
      <c r="OHZ25" s="21"/>
      <c r="OIA25" s="21"/>
      <c r="OIB25" s="21"/>
      <c r="OIC25" s="21"/>
      <c r="OID25" s="21"/>
      <c r="OIE25" s="21"/>
      <c r="OIF25" s="21"/>
      <c r="OIG25" s="21"/>
      <c r="OIH25" s="21"/>
      <c r="OII25" s="21"/>
      <c r="OIJ25" s="21"/>
      <c r="OIK25" s="21"/>
      <c r="OIL25" s="21"/>
      <c r="OIM25" s="21"/>
      <c r="OIN25" s="21"/>
      <c r="OIO25" s="21"/>
      <c r="OIP25" s="21"/>
      <c r="OIQ25" s="21"/>
      <c r="OIR25" s="21"/>
      <c r="OIS25" s="21"/>
      <c r="OIT25" s="21"/>
      <c r="OIU25" s="21"/>
      <c r="OIV25" s="21"/>
      <c r="OIW25" s="21"/>
      <c r="OIX25" s="21"/>
      <c r="OIY25" s="21"/>
      <c r="OIZ25" s="21"/>
      <c r="OJA25" s="21"/>
      <c r="OJB25" s="21"/>
      <c r="OJC25" s="21"/>
      <c r="OJD25" s="21"/>
      <c r="OJE25" s="21"/>
      <c r="OJF25" s="21"/>
      <c r="OJG25" s="21"/>
      <c r="OJH25" s="21"/>
      <c r="OJI25" s="21"/>
      <c r="OJJ25" s="21"/>
      <c r="OJK25" s="21"/>
      <c r="OJL25" s="21"/>
      <c r="OJM25" s="21"/>
      <c r="OJN25" s="21"/>
      <c r="OJO25" s="21"/>
      <c r="OJP25" s="21"/>
      <c r="OJQ25" s="21"/>
      <c r="OJR25" s="21"/>
      <c r="OJS25" s="21"/>
      <c r="OJT25" s="21"/>
      <c r="OJU25" s="21"/>
      <c r="OJV25" s="21"/>
      <c r="OJW25" s="21"/>
      <c r="OJX25" s="21"/>
      <c r="OJY25" s="21"/>
      <c r="OJZ25" s="21"/>
      <c r="OKA25" s="21"/>
      <c r="OKB25" s="21"/>
      <c r="OKC25" s="21"/>
      <c r="OKD25" s="21"/>
      <c r="OKE25" s="21"/>
      <c r="OKF25" s="21"/>
      <c r="OKG25" s="21"/>
      <c r="OKH25" s="21"/>
      <c r="OKI25" s="21"/>
      <c r="OKJ25" s="21"/>
      <c r="OKK25" s="21"/>
      <c r="OKL25" s="21"/>
      <c r="OKM25" s="21"/>
      <c r="OKN25" s="21"/>
      <c r="OKO25" s="21"/>
      <c r="OKP25" s="21"/>
      <c r="OKQ25" s="21"/>
      <c r="OKR25" s="21"/>
      <c r="OKS25" s="21"/>
      <c r="OKT25" s="21"/>
      <c r="OKU25" s="21"/>
      <c r="OKV25" s="21"/>
      <c r="OKW25" s="21"/>
      <c r="OKX25" s="21"/>
      <c r="OKY25" s="21"/>
      <c r="OKZ25" s="21"/>
      <c r="OLA25" s="21"/>
      <c r="OLB25" s="21"/>
      <c r="OLC25" s="21"/>
      <c r="OLD25" s="21"/>
      <c r="OLE25" s="21"/>
      <c r="OLF25" s="21"/>
      <c r="OLG25" s="21"/>
      <c r="OLH25" s="21"/>
      <c r="OLI25" s="21"/>
      <c r="OLJ25" s="21"/>
      <c r="OLK25" s="21"/>
      <c r="OLL25" s="21"/>
      <c r="OLM25" s="21"/>
      <c r="OLN25" s="21"/>
      <c r="OLO25" s="21"/>
      <c r="OLP25" s="21"/>
      <c r="OLQ25" s="21"/>
      <c r="OLR25" s="21"/>
      <c r="OLS25" s="21"/>
      <c r="OLT25" s="21"/>
      <c r="OLU25" s="21"/>
      <c r="OLV25" s="21"/>
      <c r="OLW25" s="21"/>
      <c r="OLX25" s="21"/>
      <c r="OLY25" s="21"/>
      <c r="OLZ25" s="21"/>
      <c r="OMA25" s="21"/>
      <c r="OMB25" s="21"/>
      <c r="OMC25" s="21"/>
      <c r="OMD25" s="21"/>
      <c r="OME25" s="21"/>
      <c r="OMF25" s="21"/>
      <c r="OMG25" s="21"/>
      <c r="OMH25" s="21"/>
      <c r="OMI25" s="21"/>
      <c r="OMJ25" s="21"/>
      <c r="OMK25" s="21"/>
      <c r="OML25" s="21"/>
      <c r="OMM25" s="21"/>
      <c r="OMN25" s="21"/>
      <c r="OMO25" s="21"/>
      <c r="OMP25" s="21"/>
      <c r="OMQ25" s="21"/>
      <c r="OMR25" s="21"/>
      <c r="OMS25" s="21"/>
      <c r="OMT25" s="21"/>
      <c r="OMU25" s="21"/>
      <c r="OMV25" s="21"/>
      <c r="OMW25" s="21"/>
      <c r="OMX25" s="21"/>
      <c r="OMY25" s="21"/>
      <c r="OMZ25" s="21"/>
      <c r="ONA25" s="21"/>
      <c r="ONB25" s="21"/>
      <c r="ONC25" s="21"/>
      <c r="OND25" s="21"/>
      <c r="ONE25" s="21"/>
      <c r="ONF25" s="21"/>
      <c r="ONG25" s="21"/>
      <c r="ONH25" s="21"/>
      <c r="ONI25" s="21"/>
      <c r="ONJ25" s="21"/>
      <c r="ONK25" s="21"/>
      <c r="ONL25" s="21"/>
      <c r="ONM25" s="21"/>
      <c r="ONN25" s="21"/>
      <c r="ONO25" s="21"/>
      <c r="ONP25" s="21"/>
      <c r="ONQ25" s="21"/>
      <c r="ONR25" s="21"/>
      <c r="ONS25" s="21"/>
      <c r="ONT25" s="21"/>
      <c r="ONU25" s="21"/>
      <c r="ONV25" s="21"/>
      <c r="ONW25" s="21"/>
      <c r="ONX25" s="21"/>
      <c r="ONY25" s="21"/>
      <c r="ONZ25" s="21"/>
      <c r="OOA25" s="21"/>
      <c r="OOB25" s="21"/>
      <c r="OOC25" s="21"/>
      <c r="OOD25" s="21"/>
      <c r="OOE25" s="21"/>
      <c r="OOF25" s="21"/>
      <c r="OOG25" s="21"/>
      <c r="OOH25" s="21"/>
      <c r="OOI25" s="21"/>
      <c r="OOJ25" s="21"/>
      <c r="OOK25" s="21"/>
      <c r="OOL25" s="21"/>
      <c r="OOM25" s="21"/>
      <c r="OON25" s="21"/>
      <c r="OOO25" s="21"/>
      <c r="OOP25" s="21"/>
      <c r="OOQ25" s="21"/>
      <c r="OOR25" s="21"/>
      <c r="OOS25" s="21"/>
      <c r="OOT25" s="21"/>
      <c r="OOU25" s="21"/>
      <c r="OOV25" s="21"/>
      <c r="OOW25" s="21"/>
      <c r="OOX25" s="21"/>
      <c r="OOY25" s="21"/>
      <c r="OOZ25" s="21"/>
      <c r="OPA25" s="21"/>
      <c r="OPB25" s="21"/>
      <c r="OPC25" s="21"/>
      <c r="OPD25" s="21"/>
      <c r="OPE25" s="21"/>
      <c r="OPF25" s="21"/>
      <c r="OPG25" s="21"/>
      <c r="OPH25" s="21"/>
      <c r="OPI25" s="21"/>
      <c r="OPJ25" s="21"/>
      <c r="OPK25" s="21"/>
      <c r="OPL25" s="21"/>
      <c r="OPM25" s="21"/>
      <c r="OPN25" s="21"/>
      <c r="OPO25" s="21"/>
      <c r="OPP25" s="21"/>
      <c r="OPQ25" s="21"/>
      <c r="OPR25" s="21"/>
      <c r="OPS25" s="21"/>
      <c r="OPT25" s="21"/>
      <c r="OPU25" s="21"/>
      <c r="OPV25" s="21"/>
      <c r="OPW25" s="21"/>
      <c r="OPX25" s="21"/>
      <c r="OPY25" s="21"/>
      <c r="OPZ25" s="21"/>
      <c r="OQA25" s="21"/>
      <c r="OQB25" s="21"/>
      <c r="OQC25" s="21"/>
      <c r="OQD25" s="21"/>
      <c r="OQE25" s="21"/>
      <c r="OQF25" s="21"/>
      <c r="OQG25" s="21"/>
      <c r="OQH25" s="21"/>
      <c r="OQI25" s="21"/>
      <c r="OQJ25" s="21"/>
      <c r="OQK25" s="21"/>
      <c r="OQL25" s="21"/>
      <c r="OQM25" s="21"/>
      <c r="OQN25" s="21"/>
      <c r="OQO25" s="21"/>
      <c r="OQP25" s="21"/>
      <c r="OQQ25" s="21"/>
      <c r="OQR25" s="21"/>
      <c r="OQS25" s="21"/>
      <c r="OQT25" s="21"/>
      <c r="OQU25" s="21"/>
      <c r="OQV25" s="21"/>
      <c r="OQW25" s="21"/>
      <c r="OQX25" s="21"/>
      <c r="OQY25" s="21"/>
      <c r="OQZ25" s="21"/>
      <c r="ORA25" s="21"/>
      <c r="ORB25" s="21"/>
      <c r="ORC25" s="21"/>
      <c r="ORD25" s="21"/>
      <c r="ORE25" s="21"/>
      <c r="ORF25" s="21"/>
      <c r="ORG25" s="21"/>
      <c r="ORH25" s="21"/>
      <c r="ORI25" s="21"/>
      <c r="ORJ25" s="21"/>
      <c r="ORK25" s="21"/>
      <c r="ORL25" s="21"/>
      <c r="ORM25" s="21"/>
      <c r="ORN25" s="21"/>
      <c r="ORO25" s="21"/>
      <c r="ORP25" s="21"/>
      <c r="ORQ25" s="21"/>
      <c r="ORR25" s="21"/>
      <c r="ORS25" s="21"/>
      <c r="ORT25" s="21"/>
      <c r="ORU25" s="21"/>
      <c r="ORV25" s="21"/>
      <c r="ORW25" s="21"/>
      <c r="ORX25" s="21"/>
      <c r="ORY25" s="21"/>
      <c r="ORZ25" s="21"/>
      <c r="OSA25" s="21"/>
      <c r="OSB25" s="21"/>
      <c r="OSC25" s="21"/>
      <c r="OSD25" s="21"/>
      <c r="OSE25" s="21"/>
      <c r="OSF25" s="21"/>
      <c r="OSG25" s="21"/>
      <c r="OSH25" s="21"/>
      <c r="OSI25" s="21"/>
      <c r="OSJ25" s="21"/>
      <c r="OSK25" s="21"/>
      <c r="OSL25" s="21"/>
      <c r="OSM25" s="21"/>
      <c r="OSN25" s="21"/>
      <c r="OSO25" s="21"/>
      <c r="OSP25" s="21"/>
      <c r="OSQ25" s="21"/>
      <c r="OSR25" s="21"/>
      <c r="OSS25" s="21"/>
      <c r="OST25" s="21"/>
      <c r="OSU25" s="21"/>
      <c r="OSV25" s="21"/>
      <c r="OSW25" s="21"/>
      <c r="OSX25" s="21"/>
      <c r="OSY25" s="21"/>
      <c r="OSZ25" s="21"/>
      <c r="OTA25" s="21"/>
      <c r="OTB25" s="21"/>
      <c r="OTC25" s="21"/>
      <c r="OTD25" s="21"/>
      <c r="OTE25" s="21"/>
      <c r="OTF25" s="21"/>
      <c r="OTG25" s="21"/>
      <c r="OTH25" s="21"/>
      <c r="OTI25" s="21"/>
      <c r="OTJ25" s="21"/>
      <c r="OTK25" s="21"/>
      <c r="OTL25" s="21"/>
      <c r="OTM25" s="21"/>
      <c r="OTN25" s="21"/>
      <c r="OTO25" s="21"/>
      <c r="OTP25" s="21"/>
      <c r="OTQ25" s="21"/>
      <c r="OTR25" s="21"/>
      <c r="OTS25" s="21"/>
      <c r="OTT25" s="21"/>
      <c r="OTU25" s="21"/>
      <c r="OTV25" s="21"/>
      <c r="OTW25" s="21"/>
      <c r="OTX25" s="21"/>
      <c r="OTY25" s="21"/>
      <c r="OTZ25" s="21"/>
      <c r="OUA25" s="21"/>
      <c r="OUB25" s="21"/>
      <c r="OUC25" s="21"/>
      <c r="OUD25" s="21"/>
      <c r="OUE25" s="21"/>
      <c r="OUF25" s="21"/>
      <c r="OUG25" s="21"/>
      <c r="OUH25" s="21"/>
      <c r="OUI25" s="21"/>
      <c r="OUJ25" s="21"/>
      <c r="OUK25" s="21"/>
      <c r="OUL25" s="21"/>
      <c r="OUM25" s="21"/>
      <c r="OUN25" s="21"/>
      <c r="OUO25" s="21"/>
      <c r="OUP25" s="21"/>
      <c r="OUQ25" s="21"/>
      <c r="OUR25" s="21"/>
      <c r="OUS25" s="21"/>
      <c r="OUT25" s="21"/>
      <c r="OUU25" s="21"/>
      <c r="OUV25" s="21"/>
      <c r="OUW25" s="21"/>
      <c r="OUX25" s="21"/>
      <c r="OUY25" s="21"/>
      <c r="OUZ25" s="21"/>
      <c r="OVA25" s="21"/>
      <c r="OVB25" s="21"/>
      <c r="OVC25" s="21"/>
      <c r="OVD25" s="21"/>
      <c r="OVE25" s="21"/>
      <c r="OVF25" s="21"/>
      <c r="OVG25" s="21"/>
      <c r="OVH25" s="21"/>
      <c r="OVI25" s="21"/>
      <c r="OVJ25" s="21"/>
      <c r="OVK25" s="21"/>
      <c r="OVL25" s="21"/>
      <c r="OVM25" s="21"/>
      <c r="OVN25" s="21"/>
      <c r="OVO25" s="21"/>
      <c r="OVP25" s="21"/>
      <c r="OVQ25" s="21"/>
      <c r="OVR25" s="21"/>
      <c r="OVS25" s="21"/>
      <c r="OVT25" s="21"/>
      <c r="OVU25" s="21"/>
      <c r="OVV25" s="21"/>
      <c r="OVW25" s="21"/>
      <c r="OVX25" s="21"/>
      <c r="OVY25" s="21"/>
      <c r="OVZ25" s="21"/>
      <c r="OWA25" s="21"/>
      <c r="OWB25" s="21"/>
      <c r="OWC25" s="21"/>
      <c r="OWD25" s="21"/>
      <c r="OWE25" s="21"/>
      <c r="OWF25" s="21"/>
      <c r="OWG25" s="21"/>
      <c r="OWH25" s="21"/>
      <c r="OWI25" s="21"/>
      <c r="OWJ25" s="21"/>
      <c r="OWK25" s="21"/>
      <c r="OWL25" s="21"/>
      <c r="OWM25" s="21"/>
      <c r="OWN25" s="21"/>
      <c r="OWO25" s="21"/>
      <c r="OWP25" s="21"/>
      <c r="OWQ25" s="21"/>
      <c r="OWR25" s="21"/>
      <c r="OWS25" s="21"/>
      <c r="OWT25" s="21"/>
      <c r="OWU25" s="21"/>
      <c r="OWV25" s="21"/>
      <c r="OWW25" s="21"/>
      <c r="OWX25" s="21"/>
      <c r="OWY25" s="21"/>
      <c r="OWZ25" s="21"/>
      <c r="OXA25" s="21"/>
      <c r="OXB25" s="21"/>
      <c r="OXC25" s="21"/>
      <c r="OXD25" s="21"/>
      <c r="OXE25" s="21"/>
      <c r="OXF25" s="21"/>
      <c r="OXG25" s="21"/>
      <c r="OXH25" s="21"/>
      <c r="OXI25" s="21"/>
      <c r="OXJ25" s="21"/>
      <c r="OXK25" s="21"/>
      <c r="OXL25" s="21"/>
      <c r="OXM25" s="21"/>
      <c r="OXN25" s="21"/>
      <c r="OXO25" s="21"/>
      <c r="OXP25" s="21"/>
      <c r="OXQ25" s="21"/>
      <c r="OXR25" s="21"/>
      <c r="OXS25" s="21"/>
      <c r="OXT25" s="21"/>
      <c r="OXU25" s="21"/>
      <c r="OXV25" s="21"/>
      <c r="OXW25" s="21"/>
      <c r="OXX25" s="21"/>
      <c r="OXY25" s="21"/>
      <c r="OXZ25" s="21"/>
      <c r="OYA25" s="21"/>
      <c r="OYB25" s="21"/>
      <c r="OYC25" s="21"/>
      <c r="OYD25" s="21"/>
      <c r="OYE25" s="21"/>
      <c r="OYF25" s="21"/>
      <c r="OYG25" s="21"/>
      <c r="OYH25" s="21"/>
      <c r="OYI25" s="21"/>
      <c r="OYJ25" s="21"/>
      <c r="OYK25" s="21"/>
      <c r="OYL25" s="21"/>
      <c r="OYM25" s="21"/>
      <c r="OYN25" s="21"/>
      <c r="OYO25" s="21"/>
      <c r="OYP25" s="21"/>
      <c r="OYQ25" s="21"/>
      <c r="OYR25" s="21"/>
      <c r="OYS25" s="21"/>
      <c r="OYT25" s="21"/>
      <c r="OYU25" s="21"/>
      <c r="OYV25" s="21"/>
      <c r="OYW25" s="21"/>
      <c r="OYX25" s="21"/>
      <c r="OYY25" s="21"/>
      <c r="OYZ25" s="21"/>
      <c r="OZA25" s="21"/>
      <c r="OZB25" s="21"/>
      <c r="OZC25" s="21"/>
      <c r="OZD25" s="21"/>
      <c r="OZE25" s="21"/>
      <c r="OZF25" s="21"/>
      <c r="OZG25" s="21"/>
      <c r="OZH25" s="21"/>
      <c r="OZI25" s="21"/>
      <c r="OZJ25" s="21"/>
      <c r="OZK25" s="21"/>
      <c r="OZL25" s="21"/>
      <c r="OZM25" s="21"/>
      <c r="OZN25" s="21"/>
      <c r="OZO25" s="21"/>
      <c r="OZP25" s="21"/>
      <c r="OZQ25" s="21"/>
      <c r="OZR25" s="21"/>
      <c r="OZS25" s="21"/>
      <c r="OZT25" s="21"/>
      <c r="OZU25" s="21"/>
      <c r="OZV25" s="21"/>
      <c r="OZW25" s="21"/>
      <c r="OZX25" s="21"/>
      <c r="OZY25" s="21"/>
      <c r="OZZ25" s="21"/>
      <c r="PAA25" s="21"/>
      <c r="PAB25" s="21"/>
      <c r="PAC25" s="21"/>
      <c r="PAD25" s="21"/>
      <c r="PAE25" s="21"/>
      <c r="PAF25" s="21"/>
      <c r="PAG25" s="21"/>
      <c r="PAH25" s="21"/>
      <c r="PAI25" s="21"/>
      <c r="PAJ25" s="21"/>
      <c r="PAK25" s="21"/>
      <c r="PAL25" s="21"/>
      <c r="PAM25" s="21"/>
      <c r="PAN25" s="21"/>
      <c r="PAO25" s="21"/>
      <c r="PAP25" s="21"/>
      <c r="PAQ25" s="21"/>
      <c r="PAR25" s="21"/>
      <c r="PAS25" s="21"/>
      <c r="PAT25" s="21"/>
      <c r="PAU25" s="21"/>
      <c r="PAV25" s="21"/>
      <c r="PAW25" s="21"/>
      <c r="PAX25" s="21"/>
      <c r="PAY25" s="21"/>
      <c r="PAZ25" s="21"/>
      <c r="PBA25" s="21"/>
      <c r="PBB25" s="21"/>
      <c r="PBC25" s="21"/>
      <c r="PBD25" s="21"/>
      <c r="PBE25" s="21"/>
      <c r="PBF25" s="21"/>
      <c r="PBG25" s="21"/>
      <c r="PBH25" s="21"/>
      <c r="PBI25" s="21"/>
      <c r="PBJ25" s="21"/>
      <c r="PBK25" s="21"/>
      <c r="PBL25" s="21"/>
      <c r="PBM25" s="21"/>
      <c r="PBN25" s="21"/>
      <c r="PBO25" s="21"/>
      <c r="PBP25" s="21"/>
      <c r="PBQ25" s="21"/>
      <c r="PBR25" s="21"/>
      <c r="PBS25" s="21"/>
      <c r="PBT25" s="21"/>
      <c r="PBU25" s="21"/>
      <c r="PBV25" s="21"/>
      <c r="PBW25" s="21"/>
      <c r="PBX25" s="21"/>
      <c r="PBY25" s="21"/>
      <c r="PBZ25" s="21"/>
      <c r="PCA25" s="21"/>
      <c r="PCB25" s="21"/>
      <c r="PCC25" s="21"/>
      <c r="PCD25" s="21"/>
      <c r="PCE25" s="21"/>
      <c r="PCF25" s="21"/>
      <c r="PCG25" s="21"/>
      <c r="PCH25" s="21"/>
      <c r="PCI25" s="21"/>
      <c r="PCJ25" s="21"/>
      <c r="PCK25" s="21"/>
      <c r="PCL25" s="21"/>
      <c r="PCM25" s="21"/>
      <c r="PCN25" s="21"/>
      <c r="PCO25" s="21"/>
      <c r="PCP25" s="21"/>
      <c r="PCQ25" s="21"/>
      <c r="PCR25" s="21"/>
      <c r="PCS25" s="21"/>
      <c r="PCT25" s="21"/>
      <c r="PCU25" s="21"/>
      <c r="PCV25" s="21"/>
      <c r="PCW25" s="21"/>
      <c r="PCX25" s="21"/>
      <c r="PCY25" s="21"/>
      <c r="PCZ25" s="21"/>
      <c r="PDA25" s="21"/>
      <c r="PDB25" s="21"/>
      <c r="PDC25" s="21"/>
      <c r="PDD25" s="21"/>
      <c r="PDE25" s="21"/>
      <c r="PDF25" s="21"/>
      <c r="PDG25" s="21"/>
      <c r="PDH25" s="21"/>
      <c r="PDI25" s="21"/>
      <c r="PDJ25" s="21"/>
      <c r="PDK25" s="21"/>
      <c r="PDL25" s="21"/>
      <c r="PDM25" s="21"/>
      <c r="PDN25" s="21"/>
      <c r="PDO25" s="21"/>
      <c r="PDP25" s="21"/>
      <c r="PDQ25" s="21"/>
      <c r="PDR25" s="21"/>
      <c r="PDS25" s="21"/>
      <c r="PDT25" s="21"/>
      <c r="PDU25" s="21"/>
      <c r="PDV25" s="21"/>
      <c r="PDW25" s="21"/>
      <c r="PDX25" s="21"/>
      <c r="PDY25" s="21"/>
      <c r="PDZ25" s="21"/>
      <c r="PEA25" s="21"/>
      <c r="PEB25" s="21"/>
      <c r="PEC25" s="21"/>
      <c r="PED25" s="21"/>
      <c r="PEE25" s="21"/>
      <c r="PEF25" s="21"/>
      <c r="PEG25" s="21"/>
      <c r="PEH25" s="21"/>
      <c r="PEI25" s="21"/>
      <c r="PEJ25" s="21"/>
      <c r="PEK25" s="21"/>
      <c r="PEL25" s="21"/>
      <c r="PEM25" s="21"/>
      <c r="PEN25" s="21"/>
      <c r="PEO25" s="21"/>
      <c r="PEP25" s="21"/>
      <c r="PEQ25" s="21"/>
      <c r="PER25" s="21"/>
      <c r="PES25" s="21"/>
      <c r="PET25" s="21"/>
      <c r="PEU25" s="21"/>
      <c r="PEV25" s="21"/>
      <c r="PEW25" s="21"/>
      <c r="PEX25" s="21"/>
      <c r="PEY25" s="21"/>
      <c r="PEZ25" s="21"/>
      <c r="PFA25" s="21"/>
      <c r="PFB25" s="21"/>
      <c r="PFC25" s="21"/>
      <c r="PFD25" s="21"/>
      <c r="PFE25" s="21"/>
      <c r="PFF25" s="21"/>
      <c r="PFG25" s="21"/>
      <c r="PFH25" s="21"/>
      <c r="PFI25" s="21"/>
      <c r="PFJ25" s="21"/>
      <c r="PFK25" s="21"/>
      <c r="PFL25" s="21"/>
      <c r="PFM25" s="21"/>
      <c r="PFN25" s="21"/>
      <c r="PFO25" s="21"/>
      <c r="PFP25" s="21"/>
      <c r="PFQ25" s="21"/>
      <c r="PFR25" s="21"/>
      <c r="PFS25" s="21"/>
      <c r="PFT25" s="21"/>
      <c r="PFU25" s="21"/>
      <c r="PFV25" s="21"/>
      <c r="PFW25" s="21"/>
      <c r="PFX25" s="21"/>
      <c r="PFY25" s="21"/>
      <c r="PFZ25" s="21"/>
      <c r="PGA25" s="21"/>
      <c r="PGB25" s="21"/>
      <c r="PGC25" s="21"/>
      <c r="PGD25" s="21"/>
      <c r="PGE25" s="21"/>
      <c r="PGF25" s="21"/>
      <c r="PGG25" s="21"/>
      <c r="PGH25" s="21"/>
      <c r="PGI25" s="21"/>
      <c r="PGJ25" s="21"/>
      <c r="PGK25" s="21"/>
      <c r="PGL25" s="21"/>
      <c r="PGM25" s="21"/>
      <c r="PGN25" s="21"/>
      <c r="PGO25" s="21"/>
      <c r="PGP25" s="21"/>
      <c r="PGQ25" s="21"/>
      <c r="PGR25" s="21"/>
      <c r="PGS25" s="21"/>
      <c r="PGT25" s="21"/>
      <c r="PGU25" s="21"/>
      <c r="PGV25" s="21"/>
      <c r="PGW25" s="21"/>
      <c r="PGX25" s="21"/>
      <c r="PGY25" s="21"/>
      <c r="PGZ25" s="21"/>
      <c r="PHA25" s="21"/>
      <c r="PHB25" s="21"/>
      <c r="PHC25" s="21"/>
      <c r="PHD25" s="21"/>
      <c r="PHE25" s="21"/>
      <c r="PHF25" s="21"/>
      <c r="PHG25" s="21"/>
      <c r="PHH25" s="21"/>
      <c r="PHI25" s="21"/>
      <c r="PHJ25" s="21"/>
      <c r="PHK25" s="21"/>
      <c r="PHL25" s="21"/>
      <c r="PHM25" s="21"/>
      <c r="PHN25" s="21"/>
      <c r="PHO25" s="21"/>
      <c r="PHP25" s="21"/>
      <c r="PHQ25" s="21"/>
      <c r="PHR25" s="21"/>
      <c r="PHS25" s="21"/>
      <c r="PHT25" s="21"/>
      <c r="PHU25" s="21"/>
      <c r="PHV25" s="21"/>
      <c r="PHW25" s="21"/>
      <c r="PHX25" s="21"/>
      <c r="PHY25" s="21"/>
      <c r="PHZ25" s="21"/>
      <c r="PIA25" s="21"/>
      <c r="PIB25" s="21"/>
      <c r="PIC25" s="21"/>
      <c r="PID25" s="21"/>
      <c r="PIE25" s="21"/>
      <c r="PIF25" s="21"/>
      <c r="PIG25" s="21"/>
      <c r="PIH25" s="21"/>
      <c r="PII25" s="21"/>
      <c r="PIJ25" s="21"/>
      <c r="PIK25" s="21"/>
      <c r="PIL25" s="21"/>
      <c r="PIM25" s="21"/>
      <c r="PIN25" s="21"/>
      <c r="PIO25" s="21"/>
      <c r="PIP25" s="21"/>
      <c r="PIQ25" s="21"/>
      <c r="PIR25" s="21"/>
      <c r="PIS25" s="21"/>
      <c r="PIT25" s="21"/>
      <c r="PIU25" s="21"/>
      <c r="PIV25" s="21"/>
      <c r="PIW25" s="21"/>
      <c r="PIX25" s="21"/>
      <c r="PIY25" s="21"/>
      <c r="PIZ25" s="21"/>
      <c r="PJA25" s="21"/>
      <c r="PJB25" s="21"/>
      <c r="PJC25" s="21"/>
      <c r="PJD25" s="21"/>
      <c r="PJE25" s="21"/>
      <c r="PJF25" s="21"/>
      <c r="PJG25" s="21"/>
      <c r="PJH25" s="21"/>
      <c r="PJI25" s="21"/>
      <c r="PJJ25" s="21"/>
      <c r="PJK25" s="21"/>
      <c r="PJL25" s="21"/>
      <c r="PJM25" s="21"/>
      <c r="PJN25" s="21"/>
      <c r="PJO25" s="21"/>
      <c r="PJP25" s="21"/>
      <c r="PJQ25" s="21"/>
      <c r="PJR25" s="21"/>
      <c r="PJS25" s="21"/>
      <c r="PJT25" s="21"/>
      <c r="PJU25" s="21"/>
      <c r="PJV25" s="21"/>
      <c r="PJW25" s="21"/>
      <c r="PJX25" s="21"/>
      <c r="PJY25" s="21"/>
      <c r="PJZ25" s="21"/>
      <c r="PKA25" s="21"/>
      <c r="PKB25" s="21"/>
      <c r="PKC25" s="21"/>
      <c r="PKD25" s="21"/>
      <c r="PKE25" s="21"/>
      <c r="PKF25" s="21"/>
      <c r="PKG25" s="21"/>
      <c r="PKH25" s="21"/>
      <c r="PKI25" s="21"/>
      <c r="PKJ25" s="21"/>
      <c r="PKK25" s="21"/>
      <c r="PKL25" s="21"/>
      <c r="PKM25" s="21"/>
      <c r="PKN25" s="21"/>
      <c r="PKO25" s="21"/>
      <c r="PKP25" s="21"/>
      <c r="PKQ25" s="21"/>
      <c r="PKR25" s="21"/>
      <c r="PKS25" s="21"/>
      <c r="PKT25" s="21"/>
      <c r="PKU25" s="21"/>
      <c r="PKV25" s="21"/>
      <c r="PKW25" s="21"/>
      <c r="PKX25" s="21"/>
      <c r="PKY25" s="21"/>
      <c r="PKZ25" s="21"/>
      <c r="PLA25" s="21"/>
      <c r="PLB25" s="21"/>
      <c r="PLC25" s="21"/>
      <c r="PLD25" s="21"/>
      <c r="PLE25" s="21"/>
      <c r="PLF25" s="21"/>
      <c r="PLG25" s="21"/>
      <c r="PLH25" s="21"/>
      <c r="PLI25" s="21"/>
      <c r="PLJ25" s="21"/>
      <c r="PLK25" s="21"/>
      <c r="PLL25" s="21"/>
      <c r="PLM25" s="21"/>
      <c r="PLN25" s="21"/>
      <c r="PLO25" s="21"/>
      <c r="PLP25" s="21"/>
      <c r="PLQ25" s="21"/>
      <c r="PLR25" s="21"/>
      <c r="PLS25" s="21"/>
      <c r="PLT25" s="21"/>
      <c r="PLU25" s="21"/>
      <c r="PLV25" s="21"/>
      <c r="PLW25" s="21"/>
      <c r="PLX25" s="21"/>
      <c r="PLY25" s="21"/>
      <c r="PLZ25" s="21"/>
      <c r="PMA25" s="21"/>
      <c r="PMB25" s="21"/>
      <c r="PMC25" s="21"/>
      <c r="PMD25" s="21"/>
      <c r="PME25" s="21"/>
      <c r="PMF25" s="21"/>
      <c r="PMG25" s="21"/>
      <c r="PMH25" s="21"/>
      <c r="PMI25" s="21"/>
      <c r="PMJ25" s="21"/>
      <c r="PMK25" s="21"/>
      <c r="PML25" s="21"/>
      <c r="PMM25" s="21"/>
      <c r="PMN25" s="21"/>
      <c r="PMO25" s="21"/>
      <c r="PMP25" s="21"/>
      <c r="PMQ25" s="21"/>
      <c r="PMR25" s="21"/>
      <c r="PMS25" s="21"/>
      <c r="PMT25" s="21"/>
      <c r="PMU25" s="21"/>
      <c r="PMV25" s="21"/>
      <c r="PMW25" s="21"/>
      <c r="PMX25" s="21"/>
      <c r="PMY25" s="21"/>
      <c r="PMZ25" s="21"/>
      <c r="PNA25" s="21"/>
      <c r="PNB25" s="21"/>
      <c r="PNC25" s="21"/>
      <c r="PND25" s="21"/>
      <c r="PNE25" s="21"/>
      <c r="PNF25" s="21"/>
      <c r="PNG25" s="21"/>
      <c r="PNH25" s="21"/>
      <c r="PNI25" s="21"/>
      <c r="PNJ25" s="21"/>
      <c r="PNK25" s="21"/>
      <c r="PNL25" s="21"/>
      <c r="PNM25" s="21"/>
      <c r="PNN25" s="21"/>
      <c r="PNO25" s="21"/>
      <c r="PNP25" s="21"/>
      <c r="PNQ25" s="21"/>
      <c r="PNR25" s="21"/>
      <c r="PNS25" s="21"/>
      <c r="PNT25" s="21"/>
      <c r="PNU25" s="21"/>
      <c r="PNV25" s="21"/>
      <c r="PNW25" s="21"/>
      <c r="PNX25" s="21"/>
      <c r="PNY25" s="21"/>
      <c r="PNZ25" s="21"/>
      <c r="POA25" s="21"/>
      <c r="POB25" s="21"/>
      <c r="POC25" s="21"/>
      <c r="POD25" s="21"/>
      <c r="POE25" s="21"/>
      <c r="POF25" s="21"/>
      <c r="POG25" s="21"/>
      <c r="POH25" s="21"/>
      <c r="POI25" s="21"/>
      <c r="POJ25" s="21"/>
      <c r="POK25" s="21"/>
      <c r="POL25" s="21"/>
      <c r="POM25" s="21"/>
      <c r="PON25" s="21"/>
      <c r="POO25" s="21"/>
      <c r="POP25" s="21"/>
      <c r="POQ25" s="21"/>
      <c r="POR25" s="21"/>
      <c r="POS25" s="21"/>
      <c r="POT25" s="21"/>
      <c r="POU25" s="21"/>
      <c r="POV25" s="21"/>
      <c r="POW25" s="21"/>
      <c r="POX25" s="21"/>
      <c r="POY25" s="21"/>
      <c r="POZ25" s="21"/>
      <c r="PPA25" s="21"/>
      <c r="PPB25" s="21"/>
      <c r="PPC25" s="21"/>
      <c r="PPD25" s="21"/>
      <c r="PPE25" s="21"/>
      <c r="PPF25" s="21"/>
      <c r="PPG25" s="21"/>
      <c r="PPH25" s="21"/>
      <c r="PPI25" s="21"/>
      <c r="PPJ25" s="21"/>
      <c r="PPK25" s="21"/>
      <c r="PPL25" s="21"/>
      <c r="PPM25" s="21"/>
      <c r="PPN25" s="21"/>
      <c r="PPO25" s="21"/>
      <c r="PPP25" s="21"/>
      <c r="PPQ25" s="21"/>
      <c r="PPR25" s="21"/>
      <c r="PPS25" s="21"/>
      <c r="PPT25" s="21"/>
      <c r="PPU25" s="21"/>
      <c r="PPV25" s="21"/>
      <c r="PPW25" s="21"/>
      <c r="PPX25" s="21"/>
      <c r="PPY25" s="21"/>
      <c r="PPZ25" s="21"/>
      <c r="PQA25" s="21"/>
      <c r="PQB25" s="21"/>
      <c r="PQC25" s="21"/>
      <c r="PQD25" s="21"/>
      <c r="PQE25" s="21"/>
      <c r="PQF25" s="21"/>
      <c r="PQG25" s="21"/>
      <c r="PQH25" s="21"/>
      <c r="PQI25" s="21"/>
      <c r="PQJ25" s="21"/>
      <c r="PQK25" s="21"/>
      <c r="PQL25" s="21"/>
      <c r="PQM25" s="21"/>
      <c r="PQN25" s="21"/>
      <c r="PQO25" s="21"/>
      <c r="PQP25" s="21"/>
      <c r="PQQ25" s="21"/>
      <c r="PQR25" s="21"/>
      <c r="PQS25" s="21"/>
      <c r="PQT25" s="21"/>
      <c r="PQU25" s="21"/>
      <c r="PQV25" s="21"/>
      <c r="PQW25" s="21"/>
      <c r="PQX25" s="21"/>
      <c r="PQY25" s="21"/>
      <c r="PQZ25" s="21"/>
      <c r="PRA25" s="21"/>
      <c r="PRB25" s="21"/>
      <c r="PRC25" s="21"/>
      <c r="PRD25" s="21"/>
      <c r="PRE25" s="21"/>
      <c r="PRF25" s="21"/>
      <c r="PRG25" s="21"/>
      <c r="PRH25" s="21"/>
      <c r="PRI25" s="21"/>
      <c r="PRJ25" s="21"/>
      <c r="PRK25" s="21"/>
      <c r="PRL25" s="21"/>
      <c r="PRM25" s="21"/>
      <c r="PRN25" s="21"/>
      <c r="PRO25" s="21"/>
      <c r="PRP25" s="21"/>
      <c r="PRQ25" s="21"/>
      <c r="PRR25" s="21"/>
      <c r="PRS25" s="21"/>
      <c r="PRT25" s="21"/>
      <c r="PRU25" s="21"/>
      <c r="PRV25" s="21"/>
      <c r="PRW25" s="21"/>
      <c r="PRX25" s="21"/>
      <c r="PRY25" s="21"/>
      <c r="PRZ25" s="21"/>
      <c r="PSA25" s="21"/>
      <c r="PSB25" s="21"/>
      <c r="PSC25" s="21"/>
      <c r="PSD25" s="21"/>
      <c r="PSE25" s="21"/>
      <c r="PSF25" s="21"/>
      <c r="PSG25" s="21"/>
      <c r="PSH25" s="21"/>
      <c r="PSI25" s="21"/>
      <c r="PSJ25" s="21"/>
      <c r="PSK25" s="21"/>
      <c r="PSL25" s="21"/>
      <c r="PSM25" s="21"/>
      <c r="PSN25" s="21"/>
      <c r="PSO25" s="21"/>
      <c r="PSP25" s="21"/>
      <c r="PSQ25" s="21"/>
      <c r="PSR25" s="21"/>
      <c r="PSS25" s="21"/>
      <c r="PST25" s="21"/>
      <c r="PSU25" s="21"/>
      <c r="PSV25" s="21"/>
      <c r="PSW25" s="21"/>
      <c r="PSX25" s="21"/>
      <c r="PSY25" s="21"/>
      <c r="PSZ25" s="21"/>
      <c r="PTA25" s="21"/>
      <c r="PTB25" s="21"/>
      <c r="PTC25" s="21"/>
      <c r="PTD25" s="21"/>
      <c r="PTE25" s="21"/>
      <c r="PTF25" s="21"/>
      <c r="PTG25" s="21"/>
      <c r="PTH25" s="21"/>
      <c r="PTI25" s="21"/>
      <c r="PTJ25" s="21"/>
      <c r="PTK25" s="21"/>
      <c r="PTL25" s="21"/>
      <c r="PTM25" s="21"/>
      <c r="PTN25" s="21"/>
      <c r="PTO25" s="21"/>
      <c r="PTP25" s="21"/>
      <c r="PTQ25" s="21"/>
      <c r="PTR25" s="21"/>
      <c r="PTS25" s="21"/>
      <c r="PTT25" s="21"/>
      <c r="PTU25" s="21"/>
      <c r="PTV25" s="21"/>
      <c r="PTW25" s="21"/>
      <c r="PTX25" s="21"/>
      <c r="PTY25" s="21"/>
      <c r="PTZ25" s="21"/>
      <c r="PUA25" s="21"/>
      <c r="PUB25" s="21"/>
      <c r="PUC25" s="21"/>
      <c r="PUD25" s="21"/>
      <c r="PUE25" s="21"/>
      <c r="PUF25" s="21"/>
      <c r="PUG25" s="21"/>
      <c r="PUH25" s="21"/>
      <c r="PUI25" s="21"/>
      <c r="PUJ25" s="21"/>
      <c r="PUK25" s="21"/>
      <c r="PUL25" s="21"/>
      <c r="PUM25" s="21"/>
      <c r="PUN25" s="21"/>
      <c r="PUO25" s="21"/>
      <c r="PUP25" s="21"/>
      <c r="PUQ25" s="21"/>
      <c r="PUR25" s="21"/>
      <c r="PUS25" s="21"/>
      <c r="PUT25" s="21"/>
      <c r="PUU25" s="21"/>
      <c r="PUV25" s="21"/>
      <c r="PUW25" s="21"/>
      <c r="PUX25" s="21"/>
      <c r="PUY25" s="21"/>
      <c r="PUZ25" s="21"/>
      <c r="PVA25" s="21"/>
      <c r="PVB25" s="21"/>
      <c r="PVC25" s="21"/>
      <c r="PVD25" s="21"/>
      <c r="PVE25" s="21"/>
      <c r="PVF25" s="21"/>
      <c r="PVG25" s="21"/>
      <c r="PVH25" s="21"/>
      <c r="PVI25" s="21"/>
      <c r="PVJ25" s="21"/>
      <c r="PVK25" s="21"/>
      <c r="PVL25" s="21"/>
      <c r="PVM25" s="21"/>
      <c r="PVN25" s="21"/>
      <c r="PVO25" s="21"/>
      <c r="PVP25" s="21"/>
      <c r="PVQ25" s="21"/>
      <c r="PVR25" s="21"/>
      <c r="PVS25" s="21"/>
      <c r="PVT25" s="21"/>
      <c r="PVU25" s="21"/>
      <c r="PVV25" s="21"/>
      <c r="PVW25" s="21"/>
      <c r="PVX25" s="21"/>
      <c r="PVY25" s="21"/>
      <c r="PVZ25" s="21"/>
      <c r="PWA25" s="21"/>
      <c r="PWB25" s="21"/>
      <c r="PWC25" s="21"/>
      <c r="PWD25" s="21"/>
      <c r="PWE25" s="21"/>
      <c r="PWF25" s="21"/>
      <c r="PWG25" s="21"/>
      <c r="PWH25" s="21"/>
      <c r="PWI25" s="21"/>
      <c r="PWJ25" s="21"/>
      <c r="PWK25" s="21"/>
      <c r="PWL25" s="21"/>
      <c r="PWM25" s="21"/>
      <c r="PWN25" s="21"/>
      <c r="PWO25" s="21"/>
      <c r="PWP25" s="21"/>
      <c r="PWQ25" s="21"/>
      <c r="PWR25" s="21"/>
      <c r="PWS25" s="21"/>
      <c r="PWT25" s="21"/>
      <c r="PWU25" s="21"/>
      <c r="PWV25" s="21"/>
      <c r="PWW25" s="21"/>
      <c r="PWX25" s="21"/>
      <c r="PWY25" s="21"/>
      <c r="PWZ25" s="21"/>
      <c r="PXA25" s="21"/>
      <c r="PXB25" s="21"/>
      <c r="PXC25" s="21"/>
      <c r="PXD25" s="21"/>
      <c r="PXE25" s="21"/>
      <c r="PXF25" s="21"/>
      <c r="PXG25" s="21"/>
      <c r="PXH25" s="21"/>
      <c r="PXI25" s="21"/>
      <c r="PXJ25" s="21"/>
      <c r="PXK25" s="21"/>
      <c r="PXL25" s="21"/>
      <c r="PXM25" s="21"/>
      <c r="PXN25" s="21"/>
      <c r="PXO25" s="21"/>
      <c r="PXP25" s="21"/>
      <c r="PXQ25" s="21"/>
      <c r="PXR25" s="21"/>
      <c r="PXS25" s="21"/>
      <c r="PXT25" s="21"/>
      <c r="PXU25" s="21"/>
      <c r="PXV25" s="21"/>
      <c r="PXW25" s="21"/>
      <c r="PXX25" s="21"/>
      <c r="PXY25" s="21"/>
      <c r="PXZ25" s="21"/>
      <c r="PYA25" s="21"/>
      <c r="PYB25" s="21"/>
      <c r="PYC25" s="21"/>
      <c r="PYD25" s="21"/>
      <c r="PYE25" s="21"/>
      <c r="PYF25" s="21"/>
      <c r="PYG25" s="21"/>
      <c r="PYH25" s="21"/>
      <c r="PYI25" s="21"/>
      <c r="PYJ25" s="21"/>
      <c r="PYK25" s="21"/>
      <c r="PYL25" s="21"/>
      <c r="PYM25" s="21"/>
      <c r="PYN25" s="21"/>
      <c r="PYO25" s="21"/>
      <c r="PYP25" s="21"/>
      <c r="PYQ25" s="21"/>
      <c r="PYR25" s="21"/>
      <c r="PYS25" s="21"/>
      <c r="PYT25" s="21"/>
      <c r="PYU25" s="21"/>
      <c r="PYV25" s="21"/>
      <c r="PYW25" s="21"/>
      <c r="PYX25" s="21"/>
      <c r="PYY25" s="21"/>
      <c r="PYZ25" s="21"/>
      <c r="PZA25" s="21"/>
      <c r="PZB25" s="21"/>
      <c r="PZC25" s="21"/>
      <c r="PZD25" s="21"/>
      <c r="PZE25" s="21"/>
      <c r="PZF25" s="21"/>
      <c r="PZG25" s="21"/>
      <c r="PZH25" s="21"/>
      <c r="PZI25" s="21"/>
      <c r="PZJ25" s="21"/>
      <c r="PZK25" s="21"/>
      <c r="PZL25" s="21"/>
      <c r="PZM25" s="21"/>
      <c r="PZN25" s="21"/>
      <c r="PZO25" s="21"/>
      <c r="PZP25" s="21"/>
      <c r="PZQ25" s="21"/>
      <c r="PZR25" s="21"/>
      <c r="PZS25" s="21"/>
      <c r="PZT25" s="21"/>
      <c r="PZU25" s="21"/>
      <c r="PZV25" s="21"/>
      <c r="PZW25" s="21"/>
      <c r="PZX25" s="21"/>
      <c r="PZY25" s="21"/>
      <c r="PZZ25" s="21"/>
      <c r="QAA25" s="21"/>
      <c r="QAB25" s="21"/>
      <c r="QAC25" s="21"/>
      <c r="QAD25" s="21"/>
      <c r="QAE25" s="21"/>
      <c r="QAF25" s="21"/>
      <c r="QAG25" s="21"/>
      <c r="QAH25" s="21"/>
      <c r="QAI25" s="21"/>
      <c r="QAJ25" s="21"/>
      <c r="QAK25" s="21"/>
      <c r="QAL25" s="21"/>
      <c r="QAM25" s="21"/>
      <c r="QAN25" s="21"/>
      <c r="QAO25" s="21"/>
      <c r="QAP25" s="21"/>
      <c r="QAQ25" s="21"/>
      <c r="QAR25" s="21"/>
      <c r="QAS25" s="21"/>
      <c r="QAT25" s="21"/>
      <c r="QAU25" s="21"/>
      <c r="QAV25" s="21"/>
      <c r="QAW25" s="21"/>
      <c r="QAX25" s="21"/>
      <c r="QAY25" s="21"/>
      <c r="QAZ25" s="21"/>
      <c r="QBA25" s="21"/>
      <c r="QBB25" s="21"/>
      <c r="QBC25" s="21"/>
      <c r="QBD25" s="21"/>
      <c r="QBE25" s="21"/>
      <c r="QBF25" s="21"/>
      <c r="QBG25" s="21"/>
      <c r="QBH25" s="21"/>
      <c r="QBI25" s="21"/>
      <c r="QBJ25" s="21"/>
      <c r="QBK25" s="21"/>
      <c r="QBL25" s="21"/>
      <c r="QBM25" s="21"/>
      <c r="QBN25" s="21"/>
      <c r="QBO25" s="21"/>
      <c r="QBP25" s="21"/>
      <c r="QBQ25" s="21"/>
      <c r="QBR25" s="21"/>
      <c r="QBS25" s="21"/>
      <c r="QBT25" s="21"/>
      <c r="QBU25" s="21"/>
      <c r="QBV25" s="21"/>
      <c r="QBW25" s="21"/>
      <c r="QBX25" s="21"/>
      <c r="QBY25" s="21"/>
      <c r="QBZ25" s="21"/>
      <c r="QCA25" s="21"/>
      <c r="QCB25" s="21"/>
      <c r="QCC25" s="21"/>
      <c r="QCD25" s="21"/>
      <c r="QCE25" s="21"/>
      <c r="QCF25" s="21"/>
      <c r="QCG25" s="21"/>
      <c r="QCH25" s="21"/>
      <c r="QCI25" s="21"/>
      <c r="QCJ25" s="21"/>
      <c r="QCK25" s="21"/>
      <c r="QCL25" s="21"/>
      <c r="QCM25" s="21"/>
      <c r="QCN25" s="21"/>
      <c r="QCO25" s="21"/>
      <c r="QCP25" s="21"/>
      <c r="QCQ25" s="21"/>
      <c r="QCR25" s="21"/>
      <c r="QCS25" s="21"/>
      <c r="QCT25" s="21"/>
      <c r="QCU25" s="21"/>
      <c r="QCV25" s="21"/>
      <c r="QCW25" s="21"/>
      <c r="QCX25" s="21"/>
      <c r="QCY25" s="21"/>
      <c r="QCZ25" s="21"/>
      <c r="QDA25" s="21"/>
      <c r="QDB25" s="21"/>
      <c r="QDC25" s="21"/>
      <c r="QDD25" s="21"/>
      <c r="QDE25" s="21"/>
      <c r="QDF25" s="21"/>
      <c r="QDG25" s="21"/>
      <c r="QDH25" s="21"/>
      <c r="QDI25" s="21"/>
      <c r="QDJ25" s="21"/>
      <c r="QDK25" s="21"/>
      <c r="QDL25" s="21"/>
      <c r="QDM25" s="21"/>
      <c r="QDN25" s="21"/>
      <c r="QDO25" s="21"/>
      <c r="QDP25" s="21"/>
      <c r="QDQ25" s="21"/>
      <c r="QDR25" s="21"/>
      <c r="QDS25" s="21"/>
      <c r="QDT25" s="21"/>
      <c r="QDU25" s="21"/>
      <c r="QDV25" s="21"/>
      <c r="QDW25" s="21"/>
      <c r="QDX25" s="21"/>
      <c r="QDY25" s="21"/>
      <c r="QDZ25" s="21"/>
      <c r="QEA25" s="21"/>
      <c r="QEB25" s="21"/>
      <c r="QEC25" s="21"/>
      <c r="QED25" s="21"/>
      <c r="QEE25" s="21"/>
      <c r="QEF25" s="21"/>
      <c r="QEG25" s="21"/>
      <c r="QEH25" s="21"/>
      <c r="QEI25" s="21"/>
      <c r="QEJ25" s="21"/>
      <c r="QEK25" s="21"/>
      <c r="QEL25" s="21"/>
      <c r="QEM25" s="21"/>
      <c r="QEN25" s="21"/>
      <c r="QEO25" s="21"/>
      <c r="QEP25" s="21"/>
      <c r="QEQ25" s="21"/>
      <c r="QER25" s="21"/>
      <c r="QES25" s="21"/>
      <c r="QET25" s="21"/>
      <c r="QEU25" s="21"/>
      <c r="QEV25" s="21"/>
      <c r="QEW25" s="21"/>
      <c r="QEX25" s="21"/>
      <c r="QEY25" s="21"/>
      <c r="QEZ25" s="21"/>
      <c r="QFA25" s="21"/>
      <c r="QFB25" s="21"/>
      <c r="QFC25" s="21"/>
      <c r="QFD25" s="21"/>
      <c r="QFE25" s="21"/>
      <c r="QFF25" s="21"/>
      <c r="QFG25" s="21"/>
      <c r="QFH25" s="21"/>
      <c r="QFI25" s="21"/>
      <c r="QFJ25" s="21"/>
      <c r="QFK25" s="21"/>
      <c r="QFL25" s="21"/>
      <c r="QFM25" s="21"/>
      <c r="QFN25" s="21"/>
      <c r="QFO25" s="21"/>
      <c r="QFP25" s="21"/>
      <c r="QFQ25" s="21"/>
      <c r="QFR25" s="21"/>
      <c r="QFS25" s="21"/>
      <c r="QFT25" s="21"/>
      <c r="QFU25" s="21"/>
      <c r="QFV25" s="21"/>
      <c r="QFW25" s="21"/>
      <c r="QFX25" s="21"/>
      <c r="QFY25" s="21"/>
      <c r="QFZ25" s="21"/>
      <c r="QGA25" s="21"/>
      <c r="QGB25" s="21"/>
      <c r="QGC25" s="21"/>
      <c r="QGD25" s="21"/>
      <c r="QGE25" s="21"/>
      <c r="QGF25" s="21"/>
      <c r="QGG25" s="21"/>
      <c r="QGH25" s="21"/>
      <c r="QGI25" s="21"/>
      <c r="QGJ25" s="21"/>
      <c r="QGK25" s="21"/>
      <c r="QGL25" s="21"/>
      <c r="QGM25" s="21"/>
      <c r="QGN25" s="21"/>
      <c r="QGO25" s="21"/>
      <c r="QGP25" s="21"/>
      <c r="QGQ25" s="21"/>
      <c r="QGR25" s="21"/>
      <c r="QGS25" s="21"/>
      <c r="QGT25" s="21"/>
      <c r="QGU25" s="21"/>
      <c r="QGV25" s="21"/>
      <c r="QGW25" s="21"/>
      <c r="QGX25" s="21"/>
      <c r="QGY25" s="21"/>
      <c r="QGZ25" s="21"/>
      <c r="QHA25" s="21"/>
      <c r="QHB25" s="21"/>
      <c r="QHC25" s="21"/>
      <c r="QHD25" s="21"/>
      <c r="QHE25" s="21"/>
      <c r="QHF25" s="21"/>
      <c r="QHG25" s="21"/>
      <c r="QHH25" s="21"/>
      <c r="QHI25" s="21"/>
      <c r="QHJ25" s="21"/>
      <c r="QHK25" s="21"/>
      <c r="QHL25" s="21"/>
      <c r="QHM25" s="21"/>
      <c r="QHN25" s="21"/>
      <c r="QHO25" s="21"/>
      <c r="QHP25" s="21"/>
      <c r="QHQ25" s="21"/>
      <c r="QHR25" s="21"/>
      <c r="QHS25" s="21"/>
      <c r="QHT25" s="21"/>
      <c r="QHU25" s="21"/>
      <c r="QHV25" s="21"/>
      <c r="QHW25" s="21"/>
      <c r="QHX25" s="21"/>
      <c r="QHY25" s="21"/>
      <c r="QHZ25" s="21"/>
      <c r="QIA25" s="21"/>
      <c r="QIB25" s="21"/>
      <c r="QIC25" s="21"/>
      <c r="QID25" s="21"/>
      <c r="QIE25" s="21"/>
      <c r="QIF25" s="21"/>
      <c r="QIG25" s="21"/>
      <c r="QIH25" s="21"/>
      <c r="QII25" s="21"/>
      <c r="QIJ25" s="21"/>
      <c r="QIK25" s="21"/>
      <c r="QIL25" s="21"/>
      <c r="QIM25" s="21"/>
      <c r="QIN25" s="21"/>
      <c r="QIO25" s="21"/>
      <c r="QIP25" s="21"/>
      <c r="QIQ25" s="21"/>
      <c r="QIR25" s="21"/>
      <c r="QIS25" s="21"/>
      <c r="QIT25" s="21"/>
      <c r="QIU25" s="21"/>
      <c r="QIV25" s="21"/>
      <c r="QIW25" s="21"/>
      <c r="QIX25" s="21"/>
      <c r="QIY25" s="21"/>
      <c r="QIZ25" s="21"/>
      <c r="QJA25" s="21"/>
      <c r="QJB25" s="21"/>
      <c r="QJC25" s="21"/>
      <c r="QJD25" s="21"/>
      <c r="QJE25" s="21"/>
      <c r="QJF25" s="21"/>
      <c r="QJG25" s="21"/>
      <c r="QJH25" s="21"/>
      <c r="QJI25" s="21"/>
      <c r="QJJ25" s="21"/>
      <c r="QJK25" s="21"/>
      <c r="QJL25" s="21"/>
      <c r="QJM25" s="21"/>
      <c r="QJN25" s="21"/>
      <c r="QJO25" s="21"/>
      <c r="QJP25" s="21"/>
      <c r="QJQ25" s="21"/>
      <c r="QJR25" s="21"/>
      <c r="QJS25" s="21"/>
      <c r="QJT25" s="21"/>
      <c r="QJU25" s="21"/>
      <c r="QJV25" s="21"/>
      <c r="QJW25" s="21"/>
      <c r="QJX25" s="21"/>
      <c r="QJY25" s="21"/>
      <c r="QJZ25" s="21"/>
      <c r="QKA25" s="21"/>
      <c r="QKB25" s="21"/>
      <c r="QKC25" s="21"/>
      <c r="QKD25" s="21"/>
      <c r="QKE25" s="21"/>
      <c r="QKF25" s="21"/>
      <c r="QKG25" s="21"/>
      <c r="QKH25" s="21"/>
      <c r="QKI25" s="21"/>
      <c r="QKJ25" s="21"/>
      <c r="QKK25" s="21"/>
      <c r="QKL25" s="21"/>
      <c r="QKM25" s="21"/>
      <c r="QKN25" s="21"/>
      <c r="QKO25" s="21"/>
      <c r="QKP25" s="21"/>
      <c r="QKQ25" s="21"/>
      <c r="QKR25" s="21"/>
      <c r="QKS25" s="21"/>
      <c r="QKT25" s="21"/>
      <c r="QKU25" s="21"/>
      <c r="QKV25" s="21"/>
      <c r="QKW25" s="21"/>
      <c r="QKX25" s="21"/>
      <c r="QKY25" s="21"/>
      <c r="QKZ25" s="21"/>
      <c r="QLA25" s="21"/>
      <c r="QLB25" s="21"/>
      <c r="QLC25" s="21"/>
      <c r="QLD25" s="21"/>
      <c r="QLE25" s="21"/>
      <c r="QLF25" s="21"/>
      <c r="QLG25" s="21"/>
      <c r="QLH25" s="21"/>
      <c r="QLI25" s="21"/>
      <c r="QLJ25" s="21"/>
      <c r="QLK25" s="21"/>
      <c r="QLL25" s="21"/>
      <c r="QLM25" s="21"/>
      <c r="QLN25" s="21"/>
      <c r="QLO25" s="21"/>
      <c r="QLP25" s="21"/>
      <c r="QLQ25" s="21"/>
      <c r="QLR25" s="21"/>
      <c r="QLS25" s="21"/>
      <c r="QLT25" s="21"/>
      <c r="QLU25" s="21"/>
      <c r="QLV25" s="21"/>
      <c r="QLW25" s="21"/>
      <c r="QLX25" s="21"/>
      <c r="QLY25" s="21"/>
      <c r="QLZ25" s="21"/>
      <c r="QMA25" s="21"/>
      <c r="QMB25" s="21"/>
      <c r="QMC25" s="21"/>
      <c r="QMD25" s="21"/>
      <c r="QME25" s="21"/>
      <c r="QMF25" s="21"/>
      <c r="QMG25" s="21"/>
      <c r="QMH25" s="21"/>
      <c r="QMI25" s="21"/>
      <c r="QMJ25" s="21"/>
      <c r="QMK25" s="21"/>
      <c r="QML25" s="21"/>
      <c r="QMM25" s="21"/>
      <c r="QMN25" s="21"/>
      <c r="QMO25" s="21"/>
      <c r="QMP25" s="21"/>
      <c r="QMQ25" s="21"/>
      <c r="QMR25" s="21"/>
      <c r="QMS25" s="21"/>
      <c r="QMT25" s="21"/>
      <c r="QMU25" s="21"/>
      <c r="QMV25" s="21"/>
      <c r="QMW25" s="21"/>
      <c r="QMX25" s="21"/>
      <c r="QMY25" s="21"/>
      <c r="QMZ25" s="21"/>
      <c r="QNA25" s="21"/>
      <c r="QNB25" s="21"/>
      <c r="QNC25" s="21"/>
      <c r="QND25" s="21"/>
      <c r="QNE25" s="21"/>
      <c r="QNF25" s="21"/>
      <c r="QNG25" s="21"/>
      <c r="QNH25" s="21"/>
      <c r="QNI25" s="21"/>
      <c r="QNJ25" s="21"/>
      <c r="QNK25" s="21"/>
      <c r="QNL25" s="21"/>
      <c r="QNM25" s="21"/>
      <c r="QNN25" s="21"/>
      <c r="QNO25" s="21"/>
      <c r="QNP25" s="21"/>
      <c r="QNQ25" s="21"/>
      <c r="QNR25" s="21"/>
      <c r="QNS25" s="21"/>
      <c r="QNT25" s="21"/>
      <c r="QNU25" s="21"/>
      <c r="QNV25" s="21"/>
      <c r="QNW25" s="21"/>
      <c r="QNX25" s="21"/>
      <c r="QNY25" s="21"/>
      <c r="QNZ25" s="21"/>
      <c r="QOA25" s="21"/>
      <c r="QOB25" s="21"/>
      <c r="QOC25" s="21"/>
      <c r="QOD25" s="21"/>
      <c r="QOE25" s="21"/>
      <c r="QOF25" s="21"/>
      <c r="QOG25" s="21"/>
      <c r="QOH25" s="21"/>
      <c r="QOI25" s="21"/>
      <c r="QOJ25" s="21"/>
      <c r="QOK25" s="21"/>
      <c r="QOL25" s="21"/>
      <c r="QOM25" s="21"/>
      <c r="QON25" s="21"/>
      <c r="QOO25" s="21"/>
      <c r="QOP25" s="21"/>
      <c r="QOQ25" s="21"/>
      <c r="QOR25" s="21"/>
      <c r="QOS25" s="21"/>
      <c r="QOT25" s="21"/>
      <c r="QOU25" s="21"/>
      <c r="QOV25" s="21"/>
      <c r="QOW25" s="21"/>
      <c r="QOX25" s="21"/>
      <c r="QOY25" s="21"/>
      <c r="QOZ25" s="21"/>
      <c r="QPA25" s="21"/>
      <c r="QPB25" s="21"/>
      <c r="QPC25" s="21"/>
      <c r="QPD25" s="21"/>
      <c r="QPE25" s="21"/>
      <c r="QPF25" s="21"/>
      <c r="QPG25" s="21"/>
      <c r="QPH25" s="21"/>
      <c r="QPI25" s="21"/>
      <c r="QPJ25" s="21"/>
      <c r="QPK25" s="21"/>
      <c r="QPL25" s="21"/>
      <c r="QPM25" s="21"/>
      <c r="QPN25" s="21"/>
      <c r="QPO25" s="21"/>
      <c r="QPP25" s="21"/>
      <c r="QPQ25" s="21"/>
      <c r="QPR25" s="21"/>
      <c r="QPS25" s="21"/>
      <c r="QPT25" s="21"/>
      <c r="QPU25" s="21"/>
      <c r="QPV25" s="21"/>
      <c r="QPW25" s="21"/>
      <c r="QPX25" s="21"/>
      <c r="QPY25" s="21"/>
      <c r="QPZ25" s="21"/>
      <c r="QQA25" s="21"/>
      <c r="QQB25" s="21"/>
      <c r="QQC25" s="21"/>
      <c r="QQD25" s="21"/>
      <c r="QQE25" s="21"/>
      <c r="QQF25" s="21"/>
      <c r="QQG25" s="21"/>
      <c r="QQH25" s="21"/>
      <c r="QQI25" s="21"/>
      <c r="QQJ25" s="21"/>
      <c r="QQK25" s="21"/>
      <c r="QQL25" s="21"/>
      <c r="QQM25" s="21"/>
      <c r="QQN25" s="21"/>
      <c r="QQO25" s="21"/>
      <c r="QQP25" s="21"/>
      <c r="QQQ25" s="21"/>
      <c r="QQR25" s="21"/>
      <c r="QQS25" s="21"/>
      <c r="QQT25" s="21"/>
      <c r="QQU25" s="21"/>
      <c r="QQV25" s="21"/>
      <c r="QQW25" s="21"/>
      <c r="QQX25" s="21"/>
      <c r="QQY25" s="21"/>
      <c r="QQZ25" s="21"/>
      <c r="QRA25" s="21"/>
      <c r="QRB25" s="21"/>
      <c r="QRC25" s="21"/>
      <c r="QRD25" s="21"/>
      <c r="QRE25" s="21"/>
      <c r="QRF25" s="21"/>
      <c r="QRG25" s="21"/>
      <c r="QRH25" s="21"/>
      <c r="QRI25" s="21"/>
      <c r="QRJ25" s="21"/>
      <c r="QRK25" s="21"/>
      <c r="QRL25" s="21"/>
      <c r="QRM25" s="21"/>
      <c r="QRN25" s="21"/>
      <c r="QRO25" s="21"/>
      <c r="QRP25" s="21"/>
      <c r="QRQ25" s="21"/>
      <c r="QRR25" s="21"/>
      <c r="QRS25" s="21"/>
      <c r="QRT25" s="21"/>
      <c r="QRU25" s="21"/>
      <c r="QRV25" s="21"/>
      <c r="QRW25" s="21"/>
      <c r="QRX25" s="21"/>
      <c r="QRY25" s="21"/>
      <c r="QRZ25" s="21"/>
      <c r="QSA25" s="21"/>
      <c r="QSB25" s="21"/>
      <c r="QSC25" s="21"/>
      <c r="QSD25" s="21"/>
      <c r="QSE25" s="21"/>
      <c r="QSF25" s="21"/>
      <c r="QSG25" s="21"/>
      <c r="QSH25" s="21"/>
      <c r="QSI25" s="21"/>
      <c r="QSJ25" s="21"/>
      <c r="QSK25" s="21"/>
      <c r="QSL25" s="21"/>
      <c r="QSM25" s="21"/>
      <c r="QSN25" s="21"/>
      <c r="QSO25" s="21"/>
      <c r="QSP25" s="21"/>
      <c r="QSQ25" s="21"/>
      <c r="QSR25" s="21"/>
      <c r="QSS25" s="21"/>
      <c r="QST25" s="21"/>
      <c r="QSU25" s="21"/>
      <c r="QSV25" s="21"/>
      <c r="QSW25" s="21"/>
      <c r="QSX25" s="21"/>
      <c r="QSY25" s="21"/>
      <c r="QSZ25" s="21"/>
      <c r="QTA25" s="21"/>
      <c r="QTB25" s="21"/>
      <c r="QTC25" s="21"/>
      <c r="QTD25" s="21"/>
      <c r="QTE25" s="21"/>
      <c r="QTF25" s="21"/>
      <c r="QTG25" s="21"/>
      <c r="QTH25" s="21"/>
      <c r="QTI25" s="21"/>
      <c r="QTJ25" s="21"/>
      <c r="QTK25" s="21"/>
      <c r="QTL25" s="21"/>
      <c r="QTM25" s="21"/>
      <c r="QTN25" s="21"/>
      <c r="QTO25" s="21"/>
      <c r="QTP25" s="21"/>
      <c r="QTQ25" s="21"/>
      <c r="QTR25" s="21"/>
      <c r="QTS25" s="21"/>
      <c r="QTT25" s="21"/>
      <c r="QTU25" s="21"/>
      <c r="QTV25" s="21"/>
      <c r="QTW25" s="21"/>
      <c r="QTX25" s="21"/>
      <c r="QTY25" s="21"/>
      <c r="QTZ25" s="21"/>
      <c r="QUA25" s="21"/>
      <c r="QUB25" s="21"/>
      <c r="QUC25" s="21"/>
      <c r="QUD25" s="21"/>
      <c r="QUE25" s="21"/>
      <c r="QUF25" s="21"/>
      <c r="QUG25" s="21"/>
      <c r="QUH25" s="21"/>
      <c r="QUI25" s="21"/>
      <c r="QUJ25" s="21"/>
      <c r="QUK25" s="21"/>
      <c r="QUL25" s="21"/>
      <c r="QUM25" s="21"/>
      <c r="QUN25" s="21"/>
      <c r="QUO25" s="21"/>
      <c r="QUP25" s="21"/>
      <c r="QUQ25" s="21"/>
      <c r="QUR25" s="21"/>
      <c r="QUS25" s="21"/>
      <c r="QUT25" s="21"/>
      <c r="QUU25" s="21"/>
      <c r="QUV25" s="21"/>
      <c r="QUW25" s="21"/>
      <c r="QUX25" s="21"/>
      <c r="QUY25" s="21"/>
      <c r="QUZ25" s="21"/>
      <c r="QVA25" s="21"/>
      <c r="QVB25" s="21"/>
      <c r="QVC25" s="21"/>
      <c r="QVD25" s="21"/>
      <c r="QVE25" s="21"/>
      <c r="QVF25" s="21"/>
      <c r="QVG25" s="21"/>
      <c r="QVH25" s="21"/>
      <c r="QVI25" s="21"/>
      <c r="QVJ25" s="21"/>
      <c r="QVK25" s="21"/>
      <c r="QVL25" s="21"/>
      <c r="QVM25" s="21"/>
      <c r="QVN25" s="21"/>
      <c r="QVO25" s="21"/>
      <c r="QVP25" s="21"/>
      <c r="QVQ25" s="21"/>
      <c r="QVR25" s="21"/>
      <c r="QVS25" s="21"/>
      <c r="QVT25" s="21"/>
      <c r="QVU25" s="21"/>
      <c r="QVV25" s="21"/>
      <c r="QVW25" s="21"/>
      <c r="QVX25" s="21"/>
      <c r="QVY25" s="21"/>
      <c r="QVZ25" s="21"/>
      <c r="QWA25" s="21"/>
      <c r="QWB25" s="21"/>
      <c r="QWC25" s="21"/>
      <c r="QWD25" s="21"/>
      <c r="QWE25" s="21"/>
      <c r="QWF25" s="21"/>
      <c r="QWG25" s="21"/>
      <c r="QWH25" s="21"/>
      <c r="QWI25" s="21"/>
      <c r="QWJ25" s="21"/>
      <c r="QWK25" s="21"/>
      <c r="QWL25" s="21"/>
      <c r="QWM25" s="21"/>
      <c r="QWN25" s="21"/>
      <c r="QWO25" s="21"/>
      <c r="QWP25" s="21"/>
      <c r="QWQ25" s="21"/>
      <c r="QWR25" s="21"/>
      <c r="QWS25" s="21"/>
      <c r="QWT25" s="21"/>
      <c r="QWU25" s="21"/>
      <c r="QWV25" s="21"/>
      <c r="QWW25" s="21"/>
      <c r="QWX25" s="21"/>
      <c r="QWY25" s="21"/>
      <c r="QWZ25" s="21"/>
      <c r="QXA25" s="21"/>
      <c r="QXB25" s="21"/>
      <c r="QXC25" s="21"/>
      <c r="QXD25" s="21"/>
      <c r="QXE25" s="21"/>
      <c r="QXF25" s="21"/>
      <c r="QXG25" s="21"/>
      <c r="QXH25" s="21"/>
      <c r="QXI25" s="21"/>
      <c r="QXJ25" s="21"/>
      <c r="QXK25" s="21"/>
      <c r="QXL25" s="21"/>
      <c r="QXM25" s="21"/>
      <c r="QXN25" s="21"/>
      <c r="QXO25" s="21"/>
      <c r="QXP25" s="21"/>
      <c r="QXQ25" s="21"/>
      <c r="QXR25" s="21"/>
      <c r="QXS25" s="21"/>
      <c r="QXT25" s="21"/>
      <c r="QXU25" s="21"/>
      <c r="QXV25" s="21"/>
      <c r="QXW25" s="21"/>
      <c r="QXX25" s="21"/>
      <c r="QXY25" s="21"/>
      <c r="QXZ25" s="21"/>
      <c r="QYA25" s="21"/>
      <c r="QYB25" s="21"/>
      <c r="QYC25" s="21"/>
      <c r="QYD25" s="21"/>
      <c r="QYE25" s="21"/>
      <c r="QYF25" s="21"/>
      <c r="QYG25" s="21"/>
      <c r="QYH25" s="21"/>
      <c r="QYI25" s="21"/>
      <c r="QYJ25" s="21"/>
      <c r="QYK25" s="21"/>
      <c r="QYL25" s="21"/>
      <c r="QYM25" s="21"/>
      <c r="QYN25" s="21"/>
      <c r="QYO25" s="21"/>
      <c r="QYP25" s="21"/>
      <c r="QYQ25" s="21"/>
      <c r="QYR25" s="21"/>
      <c r="QYS25" s="21"/>
      <c r="QYT25" s="21"/>
      <c r="QYU25" s="21"/>
      <c r="QYV25" s="21"/>
      <c r="QYW25" s="21"/>
      <c r="QYX25" s="21"/>
      <c r="QYY25" s="21"/>
      <c r="QYZ25" s="21"/>
      <c r="QZA25" s="21"/>
      <c r="QZB25" s="21"/>
      <c r="QZC25" s="21"/>
      <c r="QZD25" s="21"/>
      <c r="QZE25" s="21"/>
      <c r="QZF25" s="21"/>
      <c r="QZG25" s="21"/>
      <c r="QZH25" s="21"/>
      <c r="QZI25" s="21"/>
      <c r="QZJ25" s="21"/>
      <c r="QZK25" s="21"/>
      <c r="QZL25" s="21"/>
      <c r="QZM25" s="21"/>
      <c r="QZN25" s="21"/>
      <c r="QZO25" s="21"/>
      <c r="QZP25" s="21"/>
      <c r="QZQ25" s="21"/>
      <c r="QZR25" s="21"/>
      <c r="QZS25" s="21"/>
      <c r="QZT25" s="21"/>
      <c r="QZU25" s="21"/>
      <c r="QZV25" s="21"/>
      <c r="QZW25" s="21"/>
      <c r="QZX25" s="21"/>
      <c r="QZY25" s="21"/>
      <c r="QZZ25" s="21"/>
      <c r="RAA25" s="21"/>
      <c r="RAB25" s="21"/>
      <c r="RAC25" s="21"/>
      <c r="RAD25" s="21"/>
      <c r="RAE25" s="21"/>
      <c r="RAF25" s="21"/>
      <c r="RAG25" s="21"/>
      <c r="RAH25" s="21"/>
      <c r="RAI25" s="21"/>
      <c r="RAJ25" s="21"/>
      <c r="RAK25" s="21"/>
      <c r="RAL25" s="21"/>
      <c r="RAM25" s="21"/>
      <c r="RAN25" s="21"/>
      <c r="RAO25" s="21"/>
      <c r="RAP25" s="21"/>
      <c r="RAQ25" s="21"/>
      <c r="RAR25" s="21"/>
      <c r="RAS25" s="21"/>
      <c r="RAT25" s="21"/>
      <c r="RAU25" s="21"/>
      <c r="RAV25" s="21"/>
      <c r="RAW25" s="21"/>
      <c r="RAX25" s="21"/>
      <c r="RAY25" s="21"/>
      <c r="RAZ25" s="21"/>
      <c r="RBA25" s="21"/>
      <c r="RBB25" s="21"/>
      <c r="RBC25" s="21"/>
      <c r="RBD25" s="21"/>
      <c r="RBE25" s="21"/>
      <c r="RBF25" s="21"/>
      <c r="RBG25" s="21"/>
      <c r="RBH25" s="21"/>
      <c r="RBI25" s="21"/>
      <c r="RBJ25" s="21"/>
      <c r="RBK25" s="21"/>
      <c r="RBL25" s="21"/>
      <c r="RBM25" s="21"/>
      <c r="RBN25" s="21"/>
      <c r="RBO25" s="21"/>
      <c r="RBP25" s="21"/>
      <c r="RBQ25" s="21"/>
      <c r="RBR25" s="21"/>
      <c r="RBS25" s="21"/>
      <c r="RBT25" s="21"/>
      <c r="RBU25" s="21"/>
      <c r="RBV25" s="21"/>
      <c r="RBW25" s="21"/>
      <c r="RBX25" s="21"/>
      <c r="RBY25" s="21"/>
      <c r="RBZ25" s="21"/>
      <c r="RCA25" s="21"/>
      <c r="RCB25" s="21"/>
      <c r="RCC25" s="21"/>
      <c r="RCD25" s="21"/>
      <c r="RCE25" s="21"/>
      <c r="RCF25" s="21"/>
      <c r="RCG25" s="21"/>
      <c r="RCH25" s="21"/>
      <c r="RCI25" s="21"/>
      <c r="RCJ25" s="21"/>
      <c r="RCK25" s="21"/>
      <c r="RCL25" s="21"/>
      <c r="RCM25" s="21"/>
      <c r="RCN25" s="21"/>
      <c r="RCO25" s="21"/>
      <c r="RCP25" s="21"/>
      <c r="RCQ25" s="21"/>
      <c r="RCR25" s="21"/>
      <c r="RCS25" s="21"/>
      <c r="RCT25" s="21"/>
      <c r="RCU25" s="21"/>
      <c r="RCV25" s="21"/>
      <c r="RCW25" s="21"/>
      <c r="RCX25" s="21"/>
      <c r="RCY25" s="21"/>
      <c r="RCZ25" s="21"/>
      <c r="RDA25" s="21"/>
      <c r="RDB25" s="21"/>
      <c r="RDC25" s="21"/>
      <c r="RDD25" s="21"/>
      <c r="RDE25" s="21"/>
      <c r="RDF25" s="21"/>
      <c r="RDG25" s="21"/>
      <c r="RDH25" s="21"/>
      <c r="RDI25" s="21"/>
      <c r="RDJ25" s="21"/>
      <c r="RDK25" s="21"/>
      <c r="RDL25" s="21"/>
      <c r="RDM25" s="21"/>
      <c r="RDN25" s="21"/>
      <c r="RDO25" s="21"/>
      <c r="RDP25" s="21"/>
      <c r="RDQ25" s="21"/>
      <c r="RDR25" s="21"/>
      <c r="RDS25" s="21"/>
      <c r="RDT25" s="21"/>
      <c r="RDU25" s="21"/>
      <c r="RDV25" s="21"/>
      <c r="RDW25" s="21"/>
      <c r="RDX25" s="21"/>
      <c r="RDY25" s="21"/>
      <c r="RDZ25" s="21"/>
      <c r="REA25" s="21"/>
      <c r="REB25" s="21"/>
      <c r="REC25" s="21"/>
      <c r="RED25" s="21"/>
      <c r="REE25" s="21"/>
      <c r="REF25" s="21"/>
      <c r="REG25" s="21"/>
      <c r="REH25" s="21"/>
      <c r="REI25" s="21"/>
      <c r="REJ25" s="21"/>
      <c r="REK25" s="21"/>
      <c r="REL25" s="21"/>
      <c r="REM25" s="21"/>
      <c r="REN25" s="21"/>
      <c r="REO25" s="21"/>
      <c r="REP25" s="21"/>
      <c r="REQ25" s="21"/>
      <c r="RER25" s="21"/>
      <c r="RES25" s="21"/>
      <c r="RET25" s="21"/>
      <c r="REU25" s="21"/>
      <c r="REV25" s="21"/>
      <c r="REW25" s="21"/>
      <c r="REX25" s="21"/>
      <c r="REY25" s="21"/>
      <c r="REZ25" s="21"/>
      <c r="RFA25" s="21"/>
      <c r="RFB25" s="21"/>
      <c r="RFC25" s="21"/>
      <c r="RFD25" s="21"/>
      <c r="RFE25" s="21"/>
      <c r="RFF25" s="21"/>
      <c r="RFG25" s="21"/>
      <c r="RFH25" s="21"/>
      <c r="RFI25" s="21"/>
      <c r="RFJ25" s="21"/>
      <c r="RFK25" s="21"/>
      <c r="RFL25" s="21"/>
      <c r="RFM25" s="21"/>
      <c r="RFN25" s="21"/>
      <c r="RFO25" s="21"/>
      <c r="RFP25" s="21"/>
      <c r="RFQ25" s="21"/>
      <c r="RFR25" s="21"/>
      <c r="RFS25" s="21"/>
      <c r="RFT25" s="21"/>
      <c r="RFU25" s="21"/>
      <c r="RFV25" s="21"/>
      <c r="RFW25" s="21"/>
      <c r="RFX25" s="21"/>
      <c r="RFY25" s="21"/>
      <c r="RFZ25" s="21"/>
      <c r="RGA25" s="21"/>
      <c r="RGB25" s="21"/>
      <c r="RGC25" s="21"/>
      <c r="RGD25" s="21"/>
      <c r="RGE25" s="21"/>
      <c r="RGF25" s="21"/>
      <c r="RGG25" s="21"/>
      <c r="RGH25" s="21"/>
      <c r="RGI25" s="21"/>
      <c r="RGJ25" s="21"/>
      <c r="RGK25" s="21"/>
      <c r="RGL25" s="21"/>
      <c r="RGM25" s="21"/>
      <c r="RGN25" s="21"/>
      <c r="RGO25" s="21"/>
      <c r="RGP25" s="21"/>
      <c r="RGQ25" s="21"/>
      <c r="RGR25" s="21"/>
      <c r="RGS25" s="21"/>
      <c r="RGT25" s="21"/>
      <c r="RGU25" s="21"/>
      <c r="RGV25" s="21"/>
      <c r="RGW25" s="21"/>
      <c r="RGX25" s="21"/>
      <c r="RGY25" s="21"/>
      <c r="RGZ25" s="21"/>
      <c r="RHA25" s="21"/>
      <c r="RHB25" s="21"/>
      <c r="RHC25" s="21"/>
      <c r="RHD25" s="21"/>
      <c r="RHE25" s="21"/>
      <c r="RHF25" s="21"/>
      <c r="RHG25" s="21"/>
      <c r="RHH25" s="21"/>
      <c r="RHI25" s="21"/>
      <c r="RHJ25" s="21"/>
      <c r="RHK25" s="21"/>
      <c r="RHL25" s="21"/>
      <c r="RHM25" s="21"/>
      <c r="RHN25" s="21"/>
      <c r="RHO25" s="21"/>
      <c r="RHP25" s="21"/>
      <c r="RHQ25" s="21"/>
      <c r="RHR25" s="21"/>
      <c r="RHS25" s="21"/>
      <c r="RHT25" s="21"/>
      <c r="RHU25" s="21"/>
      <c r="RHV25" s="21"/>
      <c r="RHW25" s="21"/>
      <c r="RHX25" s="21"/>
      <c r="RHY25" s="21"/>
      <c r="RHZ25" s="21"/>
      <c r="RIA25" s="21"/>
      <c r="RIB25" s="21"/>
      <c r="RIC25" s="21"/>
      <c r="RID25" s="21"/>
      <c r="RIE25" s="21"/>
      <c r="RIF25" s="21"/>
      <c r="RIG25" s="21"/>
      <c r="RIH25" s="21"/>
      <c r="RII25" s="21"/>
      <c r="RIJ25" s="21"/>
      <c r="RIK25" s="21"/>
      <c r="RIL25" s="21"/>
      <c r="RIM25" s="21"/>
      <c r="RIN25" s="21"/>
      <c r="RIO25" s="21"/>
      <c r="RIP25" s="21"/>
      <c r="RIQ25" s="21"/>
      <c r="RIR25" s="21"/>
      <c r="RIS25" s="21"/>
      <c r="RIT25" s="21"/>
      <c r="RIU25" s="21"/>
      <c r="RIV25" s="21"/>
      <c r="RIW25" s="21"/>
      <c r="RIX25" s="21"/>
      <c r="RIY25" s="21"/>
      <c r="RIZ25" s="21"/>
      <c r="RJA25" s="21"/>
      <c r="RJB25" s="21"/>
      <c r="RJC25" s="21"/>
      <c r="RJD25" s="21"/>
      <c r="RJE25" s="21"/>
      <c r="RJF25" s="21"/>
      <c r="RJG25" s="21"/>
      <c r="RJH25" s="21"/>
      <c r="RJI25" s="21"/>
      <c r="RJJ25" s="21"/>
      <c r="RJK25" s="21"/>
      <c r="RJL25" s="21"/>
      <c r="RJM25" s="21"/>
      <c r="RJN25" s="21"/>
      <c r="RJO25" s="21"/>
      <c r="RJP25" s="21"/>
      <c r="RJQ25" s="21"/>
      <c r="RJR25" s="21"/>
      <c r="RJS25" s="21"/>
      <c r="RJT25" s="21"/>
      <c r="RJU25" s="21"/>
      <c r="RJV25" s="21"/>
      <c r="RJW25" s="21"/>
      <c r="RJX25" s="21"/>
      <c r="RJY25" s="21"/>
      <c r="RJZ25" s="21"/>
      <c r="RKA25" s="21"/>
      <c r="RKB25" s="21"/>
      <c r="RKC25" s="21"/>
      <c r="RKD25" s="21"/>
      <c r="RKE25" s="21"/>
      <c r="RKF25" s="21"/>
      <c r="RKG25" s="21"/>
      <c r="RKH25" s="21"/>
      <c r="RKI25" s="21"/>
      <c r="RKJ25" s="21"/>
      <c r="RKK25" s="21"/>
      <c r="RKL25" s="21"/>
      <c r="RKM25" s="21"/>
      <c r="RKN25" s="21"/>
      <c r="RKO25" s="21"/>
      <c r="RKP25" s="21"/>
      <c r="RKQ25" s="21"/>
      <c r="RKR25" s="21"/>
      <c r="RKS25" s="21"/>
      <c r="RKT25" s="21"/>
      <c r="RKU25" s="21"/>
      <c r="RKV25" s="21"/>
      <c r="RKW25" s="21"/>
      <c r="RKX25" s="21"/>
      <c r="RKY25" s="21"/>
      <c r="RKZ25" s="21"/>
      <c r="RLA25" s="21"/>
      <c r="RLB25" s="21"/>
      <c r="RLC25" s="21"/>
      <c r="RLD25" s="21"/>
      <c r="RLE25" s="21"/>
      <c r="RLF25" s="21"/>
      <c r="RLG25" s="21"/>
      <c r="RLH25" s="21"/>
      <c r="RLI25" s="21"/>
      <c r="RLJ25" s="21"/>
      <c r="RLK25" s="21"/>
      <c r="RLL25" s="21"/>
      <c r="RLM25" s="21"/>
      <c r="RLN25" s="21"/>
      <c r="RLO25" s="21"/>
      <c r="RLP25" s="21"/>
      <c r="RLQ25" s="21"/>
      <c r="RLR25" s="21"/>
      <c r="RLS25" s="21"/>
      <c r="RLT25" s="21"/>
      <c r="RLU25" s="21"/>
      <c r="RLV25" s="21"/>
      <c r="RLW25" s="21"/>
      <c r="RLX25" s="21"/>
      <c r="RLY25" s="21"/>
      <c r="RLZ25" s="21"/>
      <c r="RMA25" s="21"/>
      <c r="RMB25" s="21"/>
      <c r="RMC25" s="21"/>
      <c r="RMD25" s="21"/>
      <c r="RME25" s="21"/>
      <c r="RMF25" s="21"/>
      <c r="RMG25" s="21"/>
      <c r="RMH25" s="21"/>
      <c r="RMI25" s="21"/>
      <c r="RMJ25" s="21"/>
      <c r="RMK25" s="21"/>
      <c r="RML25" s="21"/>
      <c r="RMM25" s="21"/>
      <c r="RMN25" s="21"/>
      <c r="RMO25" s="21"/>
      <c r="RMP25" s="21"/>
      <c r="RMQ25" s="21"/>
      <c r="RMR25" s="21"/>
      <c r="RMS25" s="21"/>
      <c r="RMT25" s="21"/>
      <c r="RMU25" s="21"/>
      <c r="RMV25" s="21"/>
      <c r="RMW25" s="21"/>
      <c r="RMX25" s="21"/>
      <c r="RMY25" s="21"/>
      <c r="RMZ25" s="21"/>
      <c r="RNA25" s="21"/>
      <c r="RNB25" s="21"/>
      <c r="RNC25" s="21"/>
      <c r="RND25" s="21"/>
      <c r="RNE25" s="21"/>
      <c r="RNF25" s="21"/>
      <c r="RNG25" s="21"/>
      <c r="RNH25" s="21"/>
      <c r="RNI25" s="21"/>
      <c r="RNJ25" s="21"/>
      <c r="RNK25" s="21"/>
      <c r="RNL25" s="21"/>
      <c r="RNM25" s="21"/>
      <c r="RNN25" s="21"/>
      <c r="RNO25" s="21"/>
      <c r="RNP25" s="21"/>
      <c r="RNQ25" s="21"/>
      <c r="RNR25" s="21"/>
      <c r="RNS25" s="21"/>
      <c r="RNT25" s="21"/>
      <c r="RNU25" s="21"/>
      <c r="RNV25" s="21"/>
      <c r="RNW25" s="21"/>
      <c r="RNX25" s="21"/>
      <c r="RNY25" s="21"/>
      <c r="RNZ25" s="21"/>
      <c r="ROA25" s="21"/>
      <c r="ROB25" s="21"/>
      <c r="ROC25" s="21"/>
      <c r="ROD25" s="21"/>
      <c r="ROE25" s="21"/>
      <c r="ROF25" s="21"/>
      <c r="ROG25" s="21"/>
      <c r="ROH25" s="21"/>
      <c r="ROI25" s="21"/>
      <c r="ROJ25" s="21"/>
      <c r="ROK25" s="21"/>
      <c r="ROL25" s="21"/>
      <c r="ROM25" s="21"/>
      <c r="RON25" s="21"/>
      <c r="ROO25" s="21"/>
      <c r="ROP25" s="21"/>
      <c r="ROQ25" s="21"/>
      <c r="ROR25" s="21"/>
      <c r="ROS25" s="21"/>
      <c r="ROT25" s="21"/>
      <c r="ROU25" s="21"/>
      <c r="ROV25" s="21"/>
      <c r="ROW25" s="21"/>
      <c r="ROX25" s="21"/>
      <c r="ROY25" s="21"/>
      <c r="ROZ25" s="21"/>
      <c r="RPA25" s="21"/>
      <c r="RPB25" s="21"/>
      <c r="RPC25" s="21"/>
      <c r="RPD25" s="21"/>
      <c r="RPE25" s="21"/>
      <c r="RPF25" s="21"/>
      <c r="RPG25" s="21"/>
      <c r="RPH25" s="21"/>
      <c r="RPI25" s="21"/>
      <c r="RPJ25" s="21"/>
      <c r="RPK25" s="21"/>
      <c r="RPL25" s="21"/>
      <c r="RPM25" s="21"/>
      <c r="RPN25" s="21"/>
      <c r="RPO25" s="21"/>
      <c r="RPP25" s="21"/>
      <c r="RPQ25" s="21"/>
      <c r="RPR25" s="21"/>
      <c r="RPS25" s="21"/>
      <c r="RPT25" s="21"/>
      <c r="RPU25" s="21"/>
      <c r="RPV25" s="21"/>
      <c r="RPW25" s="21"/>
      <c r="RPX25" s="21"/>
      <c r="RPY25" s="21"/>
      <c r="RPZ25" s="21"/>
      <c r="RQA25" s="21"/>
      <c r="RQB25" s="21"/>
      <c r="RQC25" s="21"/>
      <c r="RQD25" s="21"/>
      <c r="RQE25" s="21"/>
      <c r="RQF25" s="21"/>
      <c r="RQG25" s="21"/>
      <c r="RQH25" s="21"/>
      <c r="RQI25" s="21"/>
      <c r="RQJ25" s="21"/>
      <c r="RQK25" s="21"/>
      <c r="RQL25" s="21"/>
      <c r="RQM25" s="21"/>
      <c r="RQN25" s="21"/>
      <c r="RQO25" s="21"/>
      <c r="RQP25" s="21"/>
      <c r="RQQ25" s="21"/>
      <c r="RQR25" s="21"/>
      <c r="RQS25" s="21"/>
      <c r="RQT25" s="21"/>
      <c r="RQU25" s="21"/>
      <c r="RQV25" s="21"/>
      <c r="RQW25" s="21"/>
      <c r="RQX25" s="21"/>
      <c r="RQY25" s="21"/>
      <c r="RQZ25" s="21"/>
      <c r="RRA25" s="21"/>
      <c r="RRB25" s="21"/>
      <c r="RRC25" s="21"/>
      <c r="RRD25" s="21"/>
      <c r="RRE25" s="21"/>
      <c r="RRF25" s="21"/>
      <c r="RRG25" s="21"/>
      <c r="RRH25" s="21"/>
      <c r="RRI25" s="21"/>
      <c r="RRJ25" s="21"/>
      <c r="RRK25" s="21"/>
      <c r="RRL25" s="21"/>
      <c r="RRM25" s="21"/>
      <c r="RRN25" s="21"/>
      <c r="RRO25" s="21"/>
      <c r="RRP25" s="21"/>
      <c r="RRQ25" s="21"/>
      <c r="RRR25" s="21"/>
      <c r="RRS25" s="21"/>
      <c r="RRT25" s="21"/>
      <c r="RRU25" s="21"/>
      <c r="RRV25" s="21"/>
      <c r="RRW25" s="21"/>
      <c r="RRX25" s="21"/>
      <c r="RRY25" s="21"/>
      <c r="RRZ25" s="21"/>
      <c r="RSA25" s="21"/>
      <c r="RSB25" s="21"/>
      <c r="RSC25" s="21"/>
      <c r="RSD25" s="21"/>
      <c r="RSE25" s="21"/>
      <c r="RSF25" s="21"/>
      <c r="RSG25" s="21"/>
      <c r="RSH25" s="21"/>
      <c r="RSI25" s="21"/>
      <c r="RSJ25" s="21"/>
      <c r="RSK25" s="21"/>
      <c r="RSL25" s="21"/>
      <c r="RSM25" s="21"/>
      <c r="RSN25" s="21"/>
      <c r="RSO25" s="21"/>
      <c r="RSP25" s="21"/>
      <c r="RSQ25" s="21"/>
      <c r="RSR25" s="21"/>
      <c r="RSS25" s="21"/>
      <c r="RST25" s="21"/>
      <c r="RSU25" s="21"/>
      <c r="RSV25" s="21"/>
      <c r="RSW25" s="21"/>
      <c r="RSX25" s="21"/>
      <c r="RSY25" s="21"/>
      <c r="RSZ25" s="21"/>
      <c r="RTA25" s="21"/>
      <c r="RTB25" s="21"/>
      <c r="RTC25" s="21"/>
      <c r="RTD25" s="21"/>
      <c r="RTE25" s="21"/>
      <c r="RTF25" s="21"/>
      <c r="RTG25" s="21"/>
      <c r="RTH25" s="21"/>
      <c r="RTI25" s="21"/>
      <c r="RTJ25" s="21"/>
      <c r="RTK25" s="21"/>
      <c r="RTL25" s="21"/>
      <c r="RTM25" s="21"/>
      <c r="RTN25" s="21"/>
      <c r="RTO25" s="21"/>
      <c r="RTP25" s="21"/>
      <c r="RTQ25" s="21"/>
      <c r="RTR25" s="21"/>
      <c r="RTS25" s="21"/>
      <c r="RTT25" s="21"/>
      <c r="RTU25" s="21"/>
      <c r="RTV25" s="21"/>
      <c r="RTW25" s="21"/>
      <c r="RTX25" s="21"/>
      <c r="RTY25" s="21"/>
      <c r="RTZ25" s="21"/>
      <c r="RUA25" s="21"/>
      <c r="RUB25" s="21"/>
      <c r="RUC25" s="21"/>
      <c r="RUD25" s="21"/>
      <c r="RUE25" s="21"/>
      <c r="RUF25" s="21"/>
      <c r="RUG25" s="21"/>
      <c r="RUH25" s="21"/>
      <c r="RUI25" s="21"/>
      <c r="RUJ25" s="21"/>
      <c r="RUK25" s="21"/>
      <c r="RUL25" s="21"/>
      <c r="RUM25" s="21"/>
      <c r="RUN25" s="21"/>
      <c r="RUO25" s="21"/>
      <c r="RUP25" s="21"/>
      <c r="RUQ25" s="21"/>
      <c r="RUR25" s="21"/>
      <c r="RUS25" s="21"/>
      <c r="RUT25" s="21"/>
      <c r="RUU25" s="21"/>
      <c r="RUV25" s="21"/>
      <c r="RUW25" s="21"/>
      <c r="RUX25" s="21"/>
      <c r="RUY25" s="21"/>
      <c r="RUZ25" s="21"/>
      <c r="RVA25" s="21"/>
      <c r="RVB25" s="21"/>
      <c r="RVC25" s="21"/>
      <c r="RVD25" s="21"/>
      <c r="RVE25" s="21"/>
      <c r="RVF25" s="21"/>
      <c r="RVG25" s="21"/>
      <c r="RVH25" s="21"/>
      <c r="RVI25" s="21"/>
      <c r="RVJ25" s="21"/>
      <c r="RVK25" s="21"/>
      <c r="RVL25" s="21"/>
      <c r="RVM25" s="21"/>
      <c r="RVN25" s="21"/>
      <c r="RVO25" s="21"/>
      <c r="RVP25" s="21"/>
      <c r="RVQ25" s="21"/>
      <c r="RVR25" s="21"/>
      <c r="RVS25" s="21"/>
      <c r="RVT25" s="21"/>
      <c r="RVU25" s="21"/>
      <c r="RVV25" s="21"/>
      <c r="RVW25" s="21"/>
      <c r="RVX25" s="21"/>
      <c r="RVY25" s="21"/>
      <c r="RVZ25" s="21"/>
      <c r="RWA25" s="21"/>
      <c r="RWB25" s="21"/>
      <c r="RWC25" s="21"/>
      <c r="RWD25" s="21"/>
      <c r="RWE25" s="21"/>
      <c r="RWF25" s="21"/>
      <c r="RWG25" s="21"/>
      <c r="RWH25" s="21"/>
      <c r="RWI25" s="21"/>
      <c r="RWJ25" s="21"/>
      <c r="RWK25" s="21"/>
      <c r="RWL25" s="21"/>
      <c r="RWM25" s="21"/>
      <c r="RWN25" s="21"/>
      <c r="RWO25" s="21"/>
      <c r="RWP25" s="21"/>
      <c r="RWQ25" s="21"/>
      <c r="RWR25" s="21"/>
      <c r="RWS25" s="21"/>
      <c r="RWT25" s="21"/>
      <c r="RWU25" s="21"/>
      <c r="RWV25" s="21"/>
      <c r="RWW25" s="21"/>
      <c r="RWX25" s="21"/>
      <c r="RWY25" s="21"/>
      <c r="RWZ25" s="21"/>
      <c r="RXA25" s="21"/>
      <c r="RXB25" s="21"/>
      <c r="RXC25" s="21"/>
      <c r="RXD25" s="21"/>
      <c r="RXE25" s="21"/>
      <c r="RXF25" s="21"/>
      <c r="RXG25" s="21"/>
      <c r="RXH25" s="21"/>
      <c r="RXI25" s="21"/>
      <c r="RXJ25" s="21"/>
      <c r="RXK25" s="21"/>
      <c r="RXL25" s="21"/>
      <c r="RXM25" s="21"/>
      <c r="RXN25" s="21"/>
      <c r="RXO25" s="21"/>
      <c r="RXP25" s="21"/>
      <c r="RXQ25" s="21"/>
      <c r="RXR25" s="21"/>
      <c r="RXS25" s="21"/>
      <c r="RXT25" s="21"/>
      <c r="RXU25" s="21"/>
      <c r="RXV25" s="21"/>
      <c r="RXW25" s="21"/>
      <c r="RXX25" s="21"/>
      <c r="RXY25" s="21"/>
      <c r="RXZ25" s="21"/>
      <c r="RYA25" s="21"/>
      <c r="RYB25" s="21"/>
      <c r="RYC25" s="21"/>
      <c r="RYD25" s="21"/>
      <c r="RYE25" s="21"/>
      <c r="RYF25" s="21"/>
      <c r="RYG25" s="21"/>
      <c r="RYH25" s="21"/>
      <c r="RYI25" s="21"/>
      <c r="RYJ25" s="21"/>
      <c r="RYK25" s="21"/>
      <c r="RYL25" s="21"/>
      <c r="RYM25" s="21"/>
      <c r="RYN25" s="21"/>
      <c r="RYO25" s="21"/>
      <c r="RYP25" s="21"/>
      <c r="RYQ25" s="21"/>
      <c r="RYR25" s="21"/>
      <c r="RYS25" s="21"/>
      <c r="RYT25" s="21"/>
      <c r="RYU25" s="21"/>
      <c r="RYV25" s="21"/>
      <c r="RYW25" s="21"/>
      <c r="RYX25" s="21"/>
      <c r="RYY25" s="21"/>
      <c r="RYZ25" s="21"/>
      <c r="RZA25" s="21"/>
      <c r="RZB25" s="21"/>
      <c r="RZC25" s="21"/>
      <c r="RZD25" s="21"/>
      <c r="RZE25" s="21"/>
      <c r="RZF25" s="21"/>
      <c r="RZG25" s="21"/>
      <c r="RZH25" s="21"/>
      <c r="RZI25" s="21"/>
      <c r="RZJ25" s="21"/>
      <c r="RZK25" s="21"/>
      <c r="RZL25" s="21"/>
      <c r="RZM25" s="21"/>
      <c r="RZN25" s="21"/>
      <c r="RZO25" s="21"/>
      <c r="RZP25" s="21"/>
      <c r="RZQ25" s="21"/>
      <c r="RZR25" s="21"/>
      <c r="RZS25" s="21"/>
      <c r="RZT25" s="21"/>
      <c r="RZU25" s="21"/>
      <c r="RZV25" s="21"/>
      <c r="RZW25" s="21"/>
      <c r="RZX25" s="21"/>
      <c r="RZY25" s="21"/>
      <c r="RZZ25" s="21"/>
      <c r="SAA25" s="21"/>
      <c r="SAB25" s="21"/>
      <c r="SAC25" s="21"/>
      <c r="SAD25" s="21"/>
      <c r="SAE25" s="21"/>
      <c r="SAF25" s="21"/>
      <c r="SAG25" s="21"/>
      <c r="SAH25" s="21"/>
      <c r="SAI25" s="21"/>
      <c r="SAJ25" s="21"/>
      <c r="SAK25" s="21"/>
      <c r="SAL25" s="21"/>
      <c r="SAM25" s="21"/>
      <c r="SAN25" s="21"/>
      <c r="SAO25" s="21"/>
      <c r="SAP25" s="21"/>
      <c r="SAQ25" s="21"/>
      <c r="SAR25" s="21"/>
      <c r="SAS25" s="21"/>
      <c r="SAT25" s="21"/>
      <c r="SAU25" s="21"/>
      <c r="SAV25" s="21"/>
      <c r="SAW25" s="21"/>
      <c r="SAX25" s="21"/>
      <c r="SAY25" s="21"/>
      <c r="SAZ25" s="21"/>
      <c r="SBA25" s="21"/>
      <c r="SBB25" s="21"/>
      <c r="SBC25" s="21"/>
      <c r="SBD25" s="21"/>
      <c r="SBE25" s="21"/>
      <c r="SBF25" s="21"/>
      <c r="SBG25" s="21"/>
      <c r="SBH25" s="21"/>
      <c r="SBI25" s="21"/>
      <c r="SBJ25" s="21"/>
      <c r="SBK25" s="21"/>
      <c r="SBL25" s="21"/>
      <c r="SBM25" s="21"/>
      <c r="SBN25" s="21"/>
      <c r="SBO25" s="21"/>
      <c r="SBP25" s="21"/>
      <c r="SBQ25" s="21"/>
      <c r="SBR25" s="21"/>
      <c r="SBS25" s="21"/>
      <c r="SBT25" s="21"/>
      <c r="SBU25" s="21"/>
      <c r="SBV25" s="21"/>
      <c r="SBW25" s="21"/>
      <c r="SBX25" s="21"/>
      <c r="SBY25" s="21"/>
      <c r="SBZ25" s="21"/>
      <c r="SCA25" s="21"/>
      <c r="SCB25" s="21"/>
      <c r="SCC25" s="21"/>
      <c r="SCD25" s="21"/>
      <c r="SCE25" s="21"/>
      <c r="SCF25" s="21"/>
      <c r="SCG25" s="21"/>
      <c r="SCH25" s="21"/>
      <c r="SCI25" s="21"/>
      <c r="SCJ25" s="21"/>
      <c r="SCK25" s="21"/>
      <c r="SCL25" s="21"/>
      <c r="SCM25" s="21"/>
      <c r="SCN25" s="21"/>
      <c r="SCO25" s="21"/>
      <c r="SCP25" s="21"/>
      <c r="SCQ25" s="21"/>
      <c r="SCR25" s="21"/>
      <c r="SCS25" s="21"/>
      <c r="SCT25" s="21"/>
      <c r="SCU25" s="21"/>
      <c r="SCV25" s="21"/>
      <c r="SCW25" s="21"/>
      <c r="SCX25" s="21"/>
      <c r="SCY25" s="21"/>
      <c r="SCZ25" s="21"/>
      <c r="SDA25" s="21"/>
      <c r="SDB25" s="21"/>
      <c r="SDC25" s="21"/>
      <c r="SDD25" s="21"/>
      <c r="SDE25" s="21"/>
      <c r="SDF25" s="21"/>
      <c r="SDG25" s="21"/>
      <c r="SDH25" s="21"/>
      <c r="SDI25" s="21"/>
      <c r="SDJ25" s="21"/>
      <c r="SDK25" s="21"/>
      <c r="SDL25" s="21"/>
      <c r="SDM25" s="21"/>
      <c r="SDN25" s="21"/>
      <c r="SDO25" s="21"/>
      <c r="SDP25" s="21"/>
      <c r="SDQ25" s="21"/>
      <c r="SDR25" s="21"/>
      <c r="SDS25" s="21"/>
      <c r="SDT25" s="21"/>
      <c r="SDU25" s="21"/>
      <c r="SDV25" s="21"/>
      <c r="SDW25" s="21"/>
      <c r="SDX25" s="21"/>
      <c r="SDY25" s="21"/>
      <c r="SDZ25" s="21"/>
      <c r="SEA25" s="21"/>
      <c r="SEB25" s="21"/>
      <c r="SEC25" s="21"/>
      <c r="SED25" s="21"/>
      <c r="SEE25" s="21"/>
      <c r="SEF25" s="21"/>
      <c r="SEG25" s="21"/>
      <c r="SEH25" s="21"/>
      <c r="SEI25" s="21"/>
      <c r="SEJ25" s="21"/>
      <c r="SEK25" s="21"/>
      <c r="SEL25" s="21"/>
      <c r="SEM25" s="21"/>
      <c r="SEN25" s="21"/>
      <c r="SEO25" s="21"/>
      <c r="SEP25" s="21"/>
      <c r="SEQ25" s="21"/>
      <c r="SER25" s="21"/>
      <c r="SES25" s="21"/>
      <c r="SET25" s="21"/>
      <c r="SEU25" s="21"/>
      <c r="SEV25" s="21"/>
      <c r="SEW25" s="21"/>
      <c r="SEX25" s="21"/>
      <c r="SEY25" s="21"/>
      <c r="SEZ25" s="21"/>
      <c r="SFA25" s="21"/>
      <c r="SFB25" s="21"/>
      <c r="SFC25" s="21"/>
      <c r="SFD25" s="21"/>
      <c r="SFE25" s="21"/>
      <c r="SFF25" s="21"/>
      <c r="SFG25" s="21"/>
      <c r="SFH25" s="21"/>
      <c r="SFI25" s="21"/>
      <c r="SFJ25" s="21"/>
      <c r="SFK25" s="21"/>
      <c r="SFL25" s="21"/>
      <c r="SFM25" s="21"/>
      <c r="SFN25" s="21"/>
      <c r="SFO25" s="21"/>
      <c r="SFP25" s="21"/>
      <c r="SFQ25" s="21"/>
      <c r="SFR25" s="21"/>
      <c r="SFS25" s="21"/>
      <c r="SFT25" s="21"/>
      <c r="SFU25" s="21"/>
      <c r="SFV25" s="21"/>
      <c r="SFW25" s="21"/>
      <c r="SFX25" s="21"/>
      <c r="SFY25" s="21"/>
      <c r="SFZ25" s="21"/>
      <c r="SGA25" s="21"/>
      <c r="SGB25" s="21"/>
      <c r="SGC25" s="21"/>
      <c r="SGD25" s="21"/>
      <c r="SGE25" s="21"/>
      <c r="SGF25" s="21"/>
      <c r="SGG25" s="21"/>
      <c r="SGH25" s="21"/>
      <c r="SGI25" s="21"/>
      <c r="SGJ25" s="21"/>
      <c r="SGK25" s="21"/>
      <c r="SGL25" s="21"/>
      <c r="SGM25" s="21"/>
      <c r="SGN25" s="21"/>
      <c r="SGO25" s="21"/>
      <c r="SGP25" s="21"/>
      <c r="SGQ25" s="21"/>
      <c r="SGR25" s="21"/>
      <c r="SGS25" s="21"/>
      <c r="SGT25" s="21"/>
      <c r="SGU25" s="21"/>
      <c r="SGV25" s="21"/>
      <c r="SGW25" s="21"/>
      <c r="SGX25" s="21"/>
      <c r="SGY25" s="21"/>
      <c r="SGZ25" s="21"/>
      <c r="SHA25" s="21"/>
      <c r="SHB25" s="21"/>
      <c r="SHC25" s="21"/>
      <c r="SHD25" s="21"/>
      <c r="SHE25" s="21"/>
      <c r="SHF25" s="21"/>
      <c r="SHG25" s="21"/>
      <c r="SHH25" s="21"/>
      <c r="SHI25" s="21"/>
      <c r="SHJ25" s="21"/>
      <c r="SHK25" s="21"/>
      <c r="SHL25" s="21"/>
      <c r="SHM25" s="21"/>
      <c r="SHN25" s="21"/>
      <c r="SHO25" s="21"/>
      <c r="SHP25" s="21"/>
      <c r="SHQ25" s="21"/>
      <c r="SHR25" s="21"/>
      <c r="SHS25" s="21"/>
      <c r="SHT25" s="21"/>
      <c r="SHU25" s="21"/>
      <c r="SHV25" s="21"/>
      <c r="SHW25" s="21"/>
      <c r="SHX25" s="21"/>
      <c r="SHY25" s="21"/>
      <c r="SHZ25" s="21"/>
      <c r="SIA25" s="21"/>
      <c r="SIB25" s="21"/>
      <c r="SIC25" s="21"/>
      <c r="SID25" s="21"/>
      <c r="SIE25" s="21"/>
      <c r="SIF25" s="21"/>
      <c r="SIG25" s="21"/>
      <c r="SIH25" s="21"/>
      <c r="SII25" s="21"/>
      <c r="SIJ25" s="21"/>
      <c r="SIK25" s="21"/>
      <c r="SIL25" s="21"/>
      <c r="SIM25" s="21"/>
      <c r="SIN25" s="21"/>
      <c r="SIO25" s="21"/>
      <c r="SIP25" s="21"/>
      <c r="SIQ25" s="21"/>
      <c r="SIR25" s="21"/>
      <c r="SIS25" s="21"/>
      <c r="SIT25" s="21"/>
      <c r="SIU25" s="21"/>
      <c r="SIV25" s="21"/>
      <c r="SIW25" s="21"/>
      <c r="SIX25" s="21"/>
      <c r="SIY25" s="21"/>
      <c r="SIZ25" s="21"/>
      <c r="SJA25" s="21"/>
      <c r="SJB25" s="21"/>
      <c r="SJC25" s="21"/>
      <c r="SJD25" s="21"/>
      <c r="SJE25" s="21"/>
      <c r="SJF25" s="21"/>
      <c r="SJG25" s="21"/>
      <c r="SJH25" s="21"/>
      <c r="SJI25" s="21"/>
      <c r="SJJ25" s="21"/>
      <c r="SJK25" s="21"/>
      <c r="SJL25" s="21"/>
      <c r="SJM25" s="21"/>
      <c r="SJN25" s="21"/>
      <c r="SJO25" s="21"/>
      <c r="SJP25" s="21"/>
      <c r="SJQ25" s="21"/>
      <c r="SJR25" s="21"/>
      <c r="SJS25" s="21"/>
      <c r="SJT25" s="21"/>
      <c r="SJU25" s="21"/>
      <c r="SJV25" s="21"/>
      <c r="SJW25" s="21"/>
      <c r="SJX25" s="21"/>
      <c r="SJY25" s="21"/>
      <c r="SJZ25" s="21"/>
      <c r="SKA25" s="21"/>
      <c r="SKB25" s="21"/>
      <c r="SKC25" s="21"/>
      <c r="SKD25" s="21"/>
      <c r="SKE25" s="21"/>
      <c r="SKF25" s="21"/>
      <c r="SKG25" s="21"/>
      <c r="SKH25" s="21"/>
      <c r="SKI25" s="21"/>
      <c r="SKJ25" s="21"/>
      <c r="SKK25" s="21"/>
      <c r="SKL25" s="21"/>
      <c r="SKM25" s="21"/>
      <c r="SKN25" s="21"/>
      <c r="SKO25" s="21"/>
      <c r="SKP25" s="21"/>
      <c r="SKQ25" s="21"/>
      <c r="SKR25" s="21"/>
      <c r="SKS25" s="21"/>
      <c r="SKT25" s="21"/>
      <c r="SKU25" s="21"/>
      <c r="SKV25" s="21"/>
      <c r="SKW25" s="21"/>
      <c r="SKX25" s="21"/>
      <c r="SKY25" s="21"/>
      <c r="SKZ25" s="21"/>
      <c r="SLA25" s="21"/>
      <c r="SLB25" s="21"/>
      <c r="SLC25" s="21"/>
      <c r="SLD25" s="21"/>
      <c r="SLE25" s="21"/>
      <c r="SLF25" s="21"/>
      <c r="SLG25" s="21"/>
      <c r="SLH25" s="21"/>
      <c r="SLI25" s="21"/>
      <c r="SLJ25" s="21"/>
      <c r="SLK25" s="21"/>
      <c r="SLL25" s="21"/>
      <c r="SLM25" s="21"/>
      <c r="SLN25" s="21"/>
      <c r="SLO25" s="21"/>
      <c r="SLP25" s="21"/>
      <c r="SLQ25" s="21"/>
      <c r="SLR25" s="21"/>
      <c r="SLS25" s="21"/>
      <c r="SLT25" s="21"/>
      <c r="SLU25" s="21"/>
      <c r="SLV25" s="21"/>
      <c r="SLW25" s="21"/>
      <c r="SLX25" s="21"/>
      <c r="SLY25" s="21"/>
      <c r="SLZ25" s="21"/>
      <c r="SMA25" s="21"/>
      <c r="SMB25" s="21"/>
      <c r="SMC25" s="21"/>
      <c r="SMD25" s="21"/>
      <c r="SME25" s="21"/>
      <c r="SMF25" s="21"/>
      <c r="SMG25" s="21"/>
      <c r="SMH25" s="21"/>
      <c r="SMI25" s="21"/>
      <c r="SMJ25" s="21"/>
      <c r="SMK25" s="21"/>
      <c r="SML25" s="21"/>
      <c r="SMM25" s="21"/>
      <c r="SMN25" s="21"/>
      <c r="SMO25" s="21"/>
      <c r="SMP25" s="21"/>
      <c r="SMQ25" s="21"/>
      <c r="SMR25" s="21"/>
      <c r="SMS25" s="21"/>
      <c r="SMT25" s="21"/>
      <c r="SMU25" s="21"/>
      <c r="SMV25" s="21"/>
      <c r="SMW25" s="21"/>
      <c r="SMX25" s="21"/>
      <c r="SMY25" s="21"/>
      <c r="SMZ25" s="21"/>
      <c r="SNA25" s="21"/>
      <c r="SNB25" s="21"/>
      <c r="SNC25" s="21"/>
      <c r="SND25" s="21"/>
      <c r="SNE25" s="21"/>
      <c r="SNF25" s="21"/>
      <c r="SNG25" s="21"/>
      <c r="SNH25" s="21"/>
      <c r="SNI25" s="21"/>
      <c r="SNJ25" s="21"/>
      <c r="SNK25" s="21"/>
      <c r="SNL25" s="21"/>
      <c r="SNM25" s="21"/>
      <c r="SNN25" s="21"/>
      <c r="SNO25" s="21"/>
      <c r="SNP25" s="21"/>
      <c r="SNQ25" s="21"/>
      <c r="SNR25" s="21"/>
      <c r="SNS25" s="21"/>
      <c r="SNT25" s="21"/>
      <c r="SNU25" s="21"/>
      <c r="SNV25" s="21"/>
      <c r="SNW25" s="21"/>
      <c r="SNX25" s="21"/>
      <c r="SNY25" s="21"/>
      <c r="SNZ25" s="21"/>
      <c r="SOA25" s="21"/>
      <c r="SOB25" s="21"/>
      <c r="SOC25" s="21"/>
      <c r="SOD25" s="21"/>
      <c r="SOE25" s="21"/>
      <c r="SOF25" s="21"/>
      <c r="SOG25" s="21"/>
      <c r="SOH25" s="21"/>
      <c r="SOI25" s="21"/>
      <c r="SOJ25" s="21"/>
      <c r="SOK25" s="21"/>
      <c r="SOL25" s="21"/>
      <c r="SOM25" s="21"/>
      <c r="SON25" s="21"/>
      <c r="SOO25" s="21"/>
      <c r="SOP25" s="21"/>
      <c r="SOQ25" s="21"/>
      <c r="SOR25" s="21"/>
      <c r="SOS25" s="21"/>
      <c r="SOT25" s="21"/>
      <c r="SOU25" s="21"/>
      <c r="SOV25" s="21"/>
      <c r="SOW25" s="21"/>
      <c r="SOX25" s="21"/>
      <c r="SOY25" s="21"/>
      <c r="SOZ25" s="21"/>
      <c r="SPA25" s="21"/>
      <c r="SPB25" s="21"/>
      <c r="SPC25" s="21"/>
      <c r="SPD25" s="21"/>
      <c r="SPE25" s="21"/>
      <c r="SPF25" s="21"/>
      <c r="SPG25" s="21"/>
      <c r="SPH25" s="21"/>
      <c r="SPI25" s="21"/>
      <c r="SPJ25" s="21"/>
      <c r="SPK25" s="21"/>
      <c r="SPL25" s="21"/>
      <c r="SPM25" s="21"/>
      <c r="SPN25" s="21"/>
      <c r="SPO25" s="21"/>
      <c r="SPP25" s="21"/>
      <c r="SPQ25" s="21"/>
      <c r="SPR25" s="21"/>
      <c r="SPS25" s="21"/>
      <c r="SPT25" s="21"/>
      <c r="SPU25" s="21"/>
      <c r="SPV25" s="21"/>
      <c r="SPW25" s="21"/>
      <c r="SPX25" s="21"/>
      <c r="SPY25" s="21"/>
      <c r="SPZ25" s="21"/>
      <c r="SQA25" s="21"/>
      <c r="SQB25" s="21"/>
      <c r="SQC25" s="21"/>
      <c r="SQD25" s="21"/>
      <c r="SQE25" s="21"/>
      <c r="SQF25" s="21"/>
      <c r="SQG25" s="21"/>
      <c r="SQH25" s="21"/>
      <c r="SQI25" s="21"/>
      <c r="SQJ25" s="21"/>
      <c r="SQK25" s="21"/>
      <c r="SQL25" s="21"/>
      <c r="SQM25" s="21"/>
      <c r="SQN25" s="21"/>
      <c r="SQO25" s="21"/>
      <c r="SQP25" s="21"/>
      <c r="SQQ25" s="21"/>
      <c r="SQR25" s="21"/>
      <c r="SQS25" s="21"/>
      <c r="SQT25" s="21"/>
      <c r="SQU25" s="21"/>
      <c r="SQV25" s="21"/>
      <c r="SQW25" s="21"/>
      <c r="SQX25" s="21"/>
      <c r="SQY25" s="21"/>
      <c r="SQZ25" s="21"/>
      <c r="SRA25" s="21"/>
      <c r="SRB25" s="21"/>
      <c r="SRC25" s="21"/>
      <c r="SRD25" s="21"/>
      <c r="SRE25" s="21"/>
      <c r="SRF25" s="21"/>
      <c r="SRG25" s="21"/>
      <c r="SRH25" s="21"/>
      <c r="SRI25" s="21"/>
      <c r="SRJ25" s="21"/>
      <c r="SRK25" s="21"/>
      <c r="SRL25" s="21"/>
      <c r="SRM25" s="21"/>
      <c r="SRN25" s="21"/>
      <c r="SRO25" s="21"/>
      <c r="SRP25" s="21"/>
      <c r="SRQ25" s="21"/>
      <c r="SRR25" s="21"/>
      <c r="SRS25" s="21"/>
      <c r="SRT25" s="21"/>
      <c r="SRU25" s="21"/>
      <c r="SRV25" s="21"/>
      <c r="SRW25" s="21"/>
      <c r="SRX25" s="21"/>
      <c r="SRY25" s="21"/>
      <c r="SRZ25" s="21"/>
      <c r="SSA25" s="21"/>
      <c r="SSB25" s="21"/>
      <c r="SSC25" s="21"/>
      <c r="SSD25" s="21"/>
      <c r="SSE25" s="21"/>
      <c r="SSF25" s="21"/>
      <c r="SSG25" s="21"/>
      <c r="SSH25" s="21"/>
      <c r="SSI25" s="21"/>
      <c r="SSJ25" s="21"/>
      <c r="SSK25" s="21"/>
      <c r="SSL25" s="21"/>
      <c r="SSM25" s="21"/>
      <c r="SSN25" s="21"/>
      <c r="SSO25" s="21"/>
      <c r="SSP25" s="21"/>
      <c r="SSQ25" s="21"/>
      <c r="SSR25" s="21"/>
      <c r="SSS25" s="21"/>
      <c r="SST25" s="21"/>
      <c r="SSU25" s="21"/>
      <c r="SSV25" s="21"/>
      <c r="SSW25" s="21"/>
      <c r="SSX25" s="21"/>
      <c r="SSY25" s="21"/>
      <c r="SSZ25" s="21"/>
      <c r="STA25" s="21"/>
      <c r="STB25" s="21"/>
      <c r="STC25" s="21"/>
      <c r="STD25" s="21"/>
      <c r="STE25" s="21"/>
      <c r="STF25" s="21"/>
      <c r="STG25" s="21"/>
      <c r="STH25" s="21"/>
      <c r="STI25" s="21"/>
      <c r="STJ25" s="21"/>
      <c r="STK25" s="21"/>
      <c r="STL25" s="21"/>
      <c r="STM25" s="21"/>
      <c r="STN25" s="21"/>
      <c r="STO25" s="21"/>
      <c r="STP25" s="21"/>
      <c r="STQ25" s="21"/>
      <c r="STR25" s="21"/>
      <c r="STS25" s="21"/>
      <c r="STT25" s="21"/>
      <c r="STU25" s="21"/>
      <c r="STV25" s="21"/>
      <c r="STW25" s="21"/>
      <c r="STX25" s="21"/>
      <c r="STY25" s="21"/>
      <c r="STZ25" s="21"/>
      <c r="SUA25" s="21"/>
      <c r="SUB25" s="21"/>
      <c r="SUC25" s="21"/>
      <c r="SUD25" s="21"/>
      <c r="SUE25" s="21"/>
      <c r="SUF25" s="21"/>
      <c r="SUG25" s="21"/>
      <c r="SUH25" s="21"/>
      <c r="SUI25" s="21"/>
      <c r="SUJ25" s="21"/>
      <c r="SUK25" s="21"/>
      <c r="SUL25" s="21"/>
      <c r="SUM25" s="21"/>
      <c r="SUN25" s="21"/>
      <c r="SUO25" s="21"/>
      <c r="SUP25" s="21"/>
      <c r="SUQ25" s="21"/>
      <c r="SUR25" s="21"/>
      <c r="SUS25" s="21"/>
      <c r="SUT25" s="21"/>
      <c r="SUU25" s="21"/>
      <c r="SUV25" s="21"/>
      <c r="SUW25" s="21"/>
      <c r="SUX25" s="21"/>
      <c r="SUY25" s="21"/>
      <c r="SUZ25" s="21"/>
      <c r="SVA25" s="21"/>
      <c r="SVB25" s="21"/>
      <c r="SVC25" s="21"/>
      <c r="SVD25" s="21"/>
      <c r="SVE25" s="21"/>
      <c r="SVF25" s="21"/>
      <c r="SVG25" s="21"/>
      <c r="SVH25" s="21"/>
      <c r="SVI25" s="21"/>
      <c r="SVJ25" s="21"/>
      <c r="SVK25" s="21"/>
      <c r="SVL25" s="21"/>
      <c r="SVM25" s="21"/>
      <c r="SVN25" s="21"/>
      <c r="SVO25" s="21"/>
      <c r="SVP25" s="21"/>
      <c r="SVQ25" s="21"/>
      <c r="SVR25" s="21"/>
      <c r="SVS25" s="21"/>
      <c r="SVT25" s="21"/>
      <c r="SVU25" s="21"/>
      <c r="SVV25" s="21"/>
      <c r="SVW25" s="21"/>
      <c r="SVX25" s="21"/>
      <c r="SVY25" s="21"/>
      <c r="SVZ25" s="21"/>
      <c r="SWA25" s="21"/>
      <c r="SWB25" s="21"/>
      <c r="SWC25" s="21"/>
      <c r="SWD25" s="21"/>
      <c r="SWE25" s="21"/>
      <c r="SWF25" s="21"/>
      <c r="SWG25" s="21"/>
      <c r="SWH25" s="21"/>
      <c r="SWI25" s="21"/>
      <c r="SWJ25" s="21"/>
      <c r="SWK25" s="21"/>
      <c r="SWL25" s="21"/>
      <c r="SWM25" s="21"/>
      <c r="SWN25" s="21"/>
      <c r="SWO25" s="21"/>
      <c r="SWP25" s="21"/>
      <c r="SWQ25" s="21"/>
      <c r="SWR25" s="21"/>
      <c r="SWS25" s="21"/>
      <c r="SWT25" s="21"/>
      <c r="SWU25" s="21"/>
      <c r="SWV25" s="21"/>
      <c r="SWW25" s="21"/>
      <c r="SWX25" s="21"/>
      <c r="SWY25" s="21"/>
      <c r="SWZ25" s="21"/>
      <c r="SXA25" s="21"/>
      <c r="SXB25" s="21"/>
      <c r="SXC25" s="21"/>
      <c r="SXD25" s="21"/>
      <c r="SXE25" s="21"/>
      <c r="SXF25" s="21"/>
      <c r="SXG25" s="21"/>
      <c r="SXH25" s="21"/>
      <c r="SXI25" s="21"/>
      <c r="SXJ25" s="21"/>
      <c r="SXK25" s="21"/>
      <c r="SXL25" s="21"/>
      <c r="SXM25" s="21"/>
      <c r="SXN25" s="21"/>
      <c r="SXO25" s="21"/>
      <c r="SXP25" s="21"/>
      <c r="SXQ25" s="21"/>
      <c r="SXR25" s="21"/>
      <c r="SXS25" s="21"/>
      <c r="SXT25" s="21"/>
      <c r="SXU25" s="21"/>
      <c r="SXV25" s="21"/>
      <c r="SXW25" s="21"/>
      <c r="SXX25" s="21"/>
      <c r="SXY25" s="21"/>
      <c r="SXZ25" s="21"/>
      <c r="SYA25" s="21"/>
      <c r="SYB25" s="21"/>
      <c r="SYC25" s="21"/>
      <c r="SYD25" s="21"/>
      <c r="SYE25" s="21"/>
      <c r="SYF25" s="21"/>
      <c r="SYG25" s="21"/>
      <c r="SYH25" s="21"/>
      <c r="SYI25" s="21"/>
      <c r="SYJ25" s="21"/>
      <c r="SYK25" s="21"/>
      <c r="SYL25" s="21"/>
      <c r="SYM25" s="21"/>
      <c r="SYN25" s="21"/>
      <c r="SYO25" s="21"/>
      <c r="SYP25" s="21"/>
      <c r="SYQ25" s="21"/>
      <c r="SYR25" s="21"/>
      <c r="SYS25" s="21"/>
      <c r="SYT25" s="21"/>
      <c r="SYU25" s="21"/>
      <c r="SYV25" s="21"/>
      <c r="SYW25" s="21"/>
      <c r="SYX25" s="21"/>
      <c r="SYY25" s="21"/>
      <c r="SYZ25" s="21"/>
      <c r="SZA25" s="21"/>
      <c r="SZB25" s="21"/>
      <c r="SZC25" s="21"/>
      <c r="SZD25" s="21"/>
      <c r="SZE25" s="21"/>
      <c r="SZF25" s="21"/>
      <c r="SZG25" s="21"/>
      <c r="SZH25" s="21"/>
      <c r="SZI25" s="21"/>
      <c r="SZJ25" s="21"/>
      <c r="SZK25" s="21"/>
      <c r="SZL25" s="21"/>
      <c r="SZM25" s="21"/>
      <c r="SZN25" s="21"/>
      <c r="SZO25" s="21"/>
      <c r="SZP25" s="21"/>
      <c r="SZQ25" s="21"/>
      <c r="SZR25" s="21"/>
      <c r="SZS25" s="21"/>
      <c r="SZT25" s="21"/>
      <c r="SZU25" s="21"/>
      <c r="SZV25" s="21"/>
      <c r="SZW25" s="21"/>
      <c r="SZX25" s="21"/>
      <c r="SZY25" s="21"/>
      <c r="SZZ25" s="21"/>
      <c r="TAA25" s="21"/>
      <c r="TAB25" s="21"/>
      <c r="TAC25" s="21"/>
      <c r="TAD25" s="21"/>
      <c r="TAE25" s="21"/>
      <c r="TAF25" s="21"/>
      <c r="TAG25" s="21"/>
      <c r="TAH25" s="21"/>
      <c r="TAI25" s="21"/>
      <c r="TAJ25" s="21"/>
      <c r="TAK25" s="21"/>
      <c r="TAL25" s="21"/>
      <c r="TAM25" s="21"/>
      <c r="TAN25" s="21"/>
      <c r="TAO25" s="21"/>
      <c r="TAP25" s="21"/>
      <c r="TAQ25" s="21"/>
      <c r="TAR25" s="21"/>
      <c r="TAS25" s="21"/>
      <c r="TAT25" s="21"/>
      <c r="TAU25" s="21"/>
      <c r="TAV25" s="21"/>
      <c r="TAW25" s="21"/>
      <c r="TAX25" s="21"/>
      <c r="TAY25" s="21"/>
      <c r="TAZ25" s="21"/>
      <c r="TBA25" s="21"/>
      <c r="TBB25" s="21"/>
      <c r="TBC25" s="21"/>
      <c r="TBD25" s="21"/>
      <c r="TBE25" s="21"/>
      <c r="TBF25" s="21"/>
      <c r="TBG25" s="21"/>
      <c r="TBH25" s="21"/>
      <c r="TBI25" s="21"/>
      <c r="TBJ25" s="21"/>
      <c r="TBK25" s="21"/>
      <c r="TBL25" s="21"/>
      <c r="TBM25" s="21"/>
      <c r="TBN25" s="21"/>
      <c r="TBO25" s="21"/>
      <c r="TBP25" s="21"/>
      <c r="TBQ25" s="21"/>
      <c r="TBR25" s="21"/>
      <c r="TBS25" s="21"/>
      <c r="TBT25" s="21"/>
      <c r="TBU25" s="21"/>
      <c r="TBV25" s="21"/>
      <c r="TBW25" s="21"/>
      <c r="TBX25" s="21"/>
      <c r="TBY25" s="21"/>
      <c r="TBZ25" s="21"/>
      <c r="TCA25" s="21"/>
      <c r="TCB25" s="21"/>
      <c r="TCC25" s="21"/>
      <c r="TCD25" s="21"/>
      <c r="TCE25" s="21"/>
      <c r="TCF25" s="21"/>
      <c r="TCG25" s="21"/>
      <c r="TCH25" s="21"/>
      <c r="TCI25" s="21"/>
      <c r="TCJ25" s="21"/>
      <c r="TCK25" s="21"/>
      <c r="TCL25" s="21"/>
      <c r="TCM25" s="21"/>
      <c r="TCN25" s="21"/>
      <c r="TCO25" s="21"/>
      <c r="TCP25" s="21"/>
      <c r="TCQ25" s="21"/>
      <c r="TCR25" s="21"/>
      <c r="TCS25" s="21"/>
      <c r="TCT25" s="21"/>
      <c r="TCU25" s="21"/>
      <c r="TCV25" s="21"/>
      <c r="TCW25" s="21"/>
      <c r="TCX25" s="21"/>
      <c r="TCY25" s="21"/>
      <c r="TCZ25" s="21"/>
      <c r="TDA25" s="21"/>
      <c r="TDB25" s="21"/>
      <c r="TDC25" s="21"/>
      <c r="TDD25" s="21"/>
      <c r="TDE25" s="21"/>
      <c r="TDF25" s="21"/>
      <c r="TDG25" s="21"/>
      <c r="TDH25" s="21"/>
      <c r="TDI25" s="21"/>
      <c r="TDJ25" s="21"/>
      <c r="TDK25" s="21"/>
      <c r="TDL25" s="21"/>
      <c r="TDM25" s="21"/>
      <c r="TDN25" s="21"/>
      <c r="TDO25" s="21"/>
      <c r="TDP25" s="21"/>
      <c r="TDQ25" s="21"/>
      <c r="TDR25" s="21"/>
      <c r="TDS25" s="21"/>
      <c r="TDT25" s="21"/>
      <c r="TDU25" s="21"/>
      <c r="TDV25" s="21"/>
      <c r="TDW25" s="21"/>
      <c r="TDX25" s="21"/>
      <c r="TDY25" s="21"/>
      <c r="TDZ25" s="21"/>
      <c r="TEA25" s="21"/>
      <c r="TEB25" s="21"/>
      <c r="TEC25" s="21"/>
      <c r="TED25" s="21"/>
      <c r="TEE25" s="21"/>
      <c r="TEF25" s="21"/>
      <c r="TEG25" s="21"/>
      <c r="TEH25" s="21"/>
      <c r="TEI25" s="21"/>
      <c r="TEJ25" s="21"/>
      <c r="TEK25" s="21"/>
      <c r="TEL25" s="21"/>
      <c r="TEM25" s="21"/>
      <c r="TEN25" s="21"/>
      <c r="TEO25" s="21"/>
      <c r="TEP25" s="21"/>
      <c r="TEQ25" s="21"/>
      <c r="TER25" s="21"/>
      <c r="TES25" s="21"/>
      <c r="TET25" s="21"/>
      <c r="TEU25" s="21"/>
      <c r="TEV25" s="21"/>
      <c r="TEW25" s="21"/>
      <c r="TEX25" s="21"/>
      <c r="TEY25" s="21"/>
      <c r="TEZ25" s="21"/>
      <c r="TFA25" s="21"/>
      <c r="TFB25" s="21"/>
      <c r="TFC25" s="21"/>
      <c r="TFD25" s="21"/>
      <c r="TFE25" s="21"/>
      <c r="TFF25" s="21"/>
      <c r="TFG25" s="21"/>
      <c r="TFH25" s="21"/>
      <c r="TFI25" s="21"/>
      <c r="TFJ25" s="21"/>
      <c r="TFK25" s="21"/>
      <c r="TFL25" s="21"/>
      <c r="TFM25" s="21"/>
      <c r="TFN25" s="21"/>
      <c r="TFO25" s="21"/>
      <c r="TFP25" s="21"/>
      <c r="TFQ25" s="21"/>
      <c r="TFR25" s="21"/>
      <c r="TFS25" s="21"/>
      <c r="TFT25" s="21"/>
      <c r="TFU25" s="21"/>
      <c r="TFV25" s="21"/>
      <c r="TFW25" s="21"/>
      <c r="TFX25" s="21"/>
      <c r="TFY25" s="21"/>
      <c r="TFZ25" s="21"/>
      <c r="TGA25" s="21"/>
      <c r="TGB25" s="21"/>
      <c r="TGC25" s="21"/>
      <c r="TGD25" s="21"/>
      <c r="TGE25" s="21"/>
      <c r="TGF25" s="21"/>
      <c r="TGG25" s="21"/>
      <c r="TGH25" s="21"/>
      <c r="TGI25" s="21"/>
      <c r="TGJ25" s="21"/>
      <c r="TGK25" s="21"/>
      <c r="TGL25" s="21"/>
      <c r="TGM25" s="21"/>
      <c r="TGN25" s="21"/>
      <c r="TGO25" s="21"/>
      <c r="TGP25" s="21"/>
      <c r="TGQ25" s="21"/>
      <c r="TGR25" s="21"/>
      <c r="TGS25" s="21"/>
      <c r="TGT25" s="21"/>
      <c r="TGU25" s="21"/>
      <c r="TGV25" s="21"/>
      <c r="TGW25" s="21"/>
      <c r="TGX25" s="21"/>
      <c r="TGY25" s="21"/>
      <c r="TGZ25" s="21"/>
      <c r="THA25" s="21"/>
      <c r="THB25" s="21"/>
      <c r="THC25" s="21"/>
      <c r="THD25" s="21"/>
      <c r="THE25" s="21"/>
      <c r="THF25" s="21"/>
      <c r="THG25" s="21"/>
      <c r="THH25" s="21"/>
      <c r="THI25" s="21"/>
      <c r="THJ25" s="21"/>
      <c r="THK25" s="21"/>
      <c r="THL25" s="21"/>
      <c r="THM25" s="21"/>
      <c r="THN25" s="21"/>
      <c r="THO25" s="21"/>
      <c r="THP25" s="21"/>
      <c r="THQ25" s="21"/>
      <c r="THR25" s="21"/>
      <c r="THS25" s="21"/>
      <c r="THT25" s="21"/>
      <c r="THU25" s="21"/>
      <c r="THV25" s="21"/>
      <c r="THW25" s="21"/>
      <c r="THX25" s="21"/>
      <c r="THY25" s="21"/>
      <c r="THZ25" s="21"/>
      <c r="TIA25" s="21"/>
      <c r="TIB25" s="21"/>
      <c r="TIC25" s="21"/>
      <c r="TID25" s="21"/>
      <c r="TIE25" s="21"/>
      <c r="TIF25" s="21"/>
      <c r="TIG25" s="21"/>
      <c r="TIH25" s="21"/>
      <c r="TII25" s="21"/>
      <c r="TIJ25" s="21"/>
      <c r="TIK25" s="21"/>
      <c r="TIL25" s="21"/>
      <c r="TIM25" s="21"/>
      <c r="TIN25" s="21"/>
      <c r="TIO25" s="21"/>
      <c r="TIP25" s="21"/>
      <c r="TIQ25" s="21"/>
      <c r="TIR25" s="21"/>
      <c r="TIS25" s="21"/>
      <c r="TIT25" s="21"/>
      <c r="TIU25" s="21"/>
      <c r="TIV25" s="21"/>
      <c r="TIW25" s="21"/>
      <c r="TIX25" s="21"/>
      <c r="TIY25" s="21"/>
      <c r="TIZ25" s="21"/>
      <c r="TJA25" s="21"/>
      <c r="TJB25" s="21"/>
      <c r="TJC25" s="21"/>
      <c r="TJD25" s="21"/>
      <c r="TJE25" s="21"/>
      <c r="TJF25" s="21"/>
      <c r="TJG25" s="21"/>
      <c r="TJH25" s="21"/>
      <c r="TJI25" s="21"/>
      <c r="TJJ25" s="21"/>
      <c r="TJK25" s="21"/>
      <c r="TJL25" s="21"/>
      <c r="TJM25" s="21"/>
      <c r="TJN25" s="21"/>
      <c r="TJO25" s="21"/>
      <c r="TJP25" s="21"/>
      <c r="TJQ25" s="21"/>
      <c r="TJR25" s="21"/>
      <c r="TJS25" s="21"/>
      <c r="TJT25" s="21"/>
      <c r="TJU25" s="21"/>
      <c r="TJV25" s="21"/>
      <c r="TJW25" s="21"/>
      <c r="TJX25" s="21"/>
      <c r="TJY25" s="21"/>
      <c r="TJZ25" s="21"/>
      <c r="TKA25" s="21"/>
      <c r="TKB25" s="21"/>
      <c r="TKC25" s="21"/>
      <c r="TKD25" s="21"/>
      <c r="TKE25" s="21"/>
      <c r="TKF25" s="21"/>
      <c r="TKG25" s="21"/>
      <c r="TKH25" s="21"/>
      <c r="TKI25" s="21"/>
      <c r="TKJ25" s="21"/>
      <c r="TKK25" s="21"/>
      <c r="TKL25" s="21"/>
      <c r="TKM25" s="21"/>
      <c r="TKN25" s="21"/>
      <c r="TKO25" s="21"/>
      <c r="TKP25" s="21"/>
      <c r="TKQ25" s="21"/>
      <c r="TKR25" s="21"/>
      <c r="TKS25" s="21"/>
      <c r="TKT25" s="21"/>
      <c r="TKU25" s="21"/>
      <c r="TKV25" s="21"/>
      <c r="TKW25" s="21"/>
      <c r="TKX25" s="21"/>
      <c r="TKY25" s="21"/>
      <c r="TKZ25" s="21"/>
      <c r="TLA25" s="21"/>
      <c r="TLB25" s="21"/>
      <c r="TLC25" s="21"/>
      <c r="TLD25" s="21"/>
      <c r="TLE25" s="21"/>
      <c r="TLF25" s="21"/>
      <c r="TLG25" s="21"/>
      <c r="TLH25" s="21"/>
      <c r="TLI25" s="21"/>
      <c r="TLJ25" s="21"/>
      <c r="TLK25" s="21"/>
      <c r="TLL25" s="21"/>
      <c r="TLM25" s="21"/>
      <c r="TLN25" s="21"/>
      <c r="TLO25" s="21"/>
      <c r="TLP25" s="21"/>
      <c r="TLQ25" s="21"/>
      <c r="TLR25" s="21"/>
      <c r="TLS25" s="21"/>
      <c r="TLT25" s="21"/>
      <c r="TLU25" s="21"/>
      <c r="TLV25" s="21"/>
      <c r="TLW25" s="21"/>
      <c r="TLX25" s="21"/>
      <c r="TLY25" s="21"/>
      <c r="TLZ25" s="21"/>
      <c r="TMA25" s="21"/>
      <c r="TMB25" s="21"/>
      <c r="TMC25" s="21"/>
      <c r="TMD25" s="21"/>
      <c r="TME25" s="21"/>
      <c r="TMF25" s="21"/>
      <c r="TMG25" s="21"/>
      <c r="TMH25" s="21"/>
      <c r="TMI25" s="21"/>
      <c r="TMJ25" s="21"/>
      <c r="TMK25" s="21"/>
      <c r="TML25" s="21"/>
      <c r="TMM25" s="21"/>
      <c r="TMN25" s="21"/>
      <c r="TMO25" s="21"/>
      <c r="TMP25" s="21"/>
      <c r="TMQ25" s="21"/>
      <c r="TMR25" s="21"/>
      <c r="TMS25" s="21"/>
      <c r="TMT25" s="21"/>
      <c r="TMU25" s="21"/>
      <c r="TMV25" s="21"/>
      <c r="TMW25" s="21"/>
      <c r="TMX25" s="21"/>
      <c r="TMY25" s="21"/>
      <c r="TMZ25" s="21"/>
      <c r="TNA25" s="21"/>
      <c r="TNB25" s="21"/>
      <c r="TNC25" s="21"/>
      <c r="TND25" s="21"/>
      <c r="TNE25" s="21"/>
      <c r="TNF25" s="21"/>
      <c r="TNG25" s="21"/>
      <c r="TNH25" s="21"/>
      <c r="TNI25" s="21"/>
      <c r="TNJ25" s="21"/>
      <c r="TNK25" s="21"/>
      <c r="TNL25" s="21"/>
      <c r="TNM25" s="21"/>
      <c r="TNN25" s="21"/>
      <c r="TNO25" s="21"/>
      <c r="TNP25" s="21"/>
      <c r="TNQ25" s="21"/>
      <c r="TNR25" s="21"/>
      <c r="TNS25" s="21"/>
      <c r="TNT25" s="21"/>
      <c r="TNU25" s="21"/>
      <c r="TNV25" s="21"/>
      <c r="TNW25" s="21"/>
      <c r="TNX25" s="21"/>
      <c r="TNY25" s="21"/>
      <c r="TNZ25" s="21"/>
      <c r="TOA25" s="21"/>
      <c r="TOB25" s="21"/>
      <c r="TOC25" s="21"/>
      <c r="TOD25" s="21"/>
      <c r="TOE25" s="21"/>
      <c r="TOF25" s="21"/>
      <c r="TOG25" s="21"/>
      <c r="TOH25" s="21"/>
      <c r="TOI25" s="21"/>
      <c r="TOJ25" s="21"/>
      <c r="TOK25" s="21"/>
      <c r="TOL25" s="21"/>
      <c r="TOM25" s="21"/>
      <c r="TON25" s="21"/>
      <c r="TOO25" s="21"/>
      <c r="TOP25" s="21"/>
      <c r="TOQ25" s="21"/>
      <c r="TOR25" s="21"/>
      <c r="TOS25" s="21"/>
      <c r="TOT25" s="21"/>
      <c r="TOU25" s="21"/>
      <c r="TOV25" s="21"/>
      <c r="TOW25" s="21"/>
      <c r="TOX25" s="21"/>
      <c r="TOY25" s="21"/>
      <c r="TOZ25" s="21"/>
      <c r="TPA25" s="21"/>
      <c r="TPB25" s="21"/>
      <c r="TPC25" s="21"/>
      <c r="TPD25" s="21"/>
      <c r="TPE25" s="21"/>
      <c r="TPF25" s="21"/>
      <c r="TPG25" s="21"/>
      <c r="TPH25" s="21"/>
      <c r="TPI25" s="21"/>
      <c r="TPJ25" s="21"/>
      <c r="TPK25" s="21"/>
      <c r="TPL25" s="21"/>
      <c r="TPM25" s="21"/>
      <c r="TPN25" s="21"/>
      <c r="TPO25" s="21"/>
      <c r="TPP25" s="21"/>
      <c r="TPQ25" s="21"/>
      <c r="TPR25" s="21"/>
      <c r="TPS25" s="21"/>
      <c r="TPT25" s="21"/>
      <c r="TPU25" s="21"/>
      <c r="TPV25" s="21"/>
      <c r="TPW25" s="21"/>
      <c r="TPX25" s="21"/>
      <c r="TPY25" s="21"/>
      <c r="TPZ25" s="21"/>
      <c r="TQA25" s="21"/>
      <c r="TQB25" s="21"/>
      <c r="TQC25" s="21"/>
      <c r="TQD25" s="21"/>
      <c r="TQE25" s="21"/>
      <c r="TQF25" s="21"/>
      <c r="TQG25" s="21"/>
      <c r="TQH25" s="21"/>
      <c r="TQI25" s="21"/>
      <c r="TQJ25" s="21"/>
      <c r="TQK25" s="21"/>
      <c r="TQL25" s="21"/>
      <c r="TQM25" s="21"/>
      <c r="TQN25" s="21"/>
      <c r="TQO25" s="21"/>
      <c r="TQP25" s="21"/>
      <c r="TQQ25" s="21"/>
      <c r="TQR25" s="21"/>
      <c r="TQS25" s="21"/>
      <c r="TQT25" s="21"/>
      <c r="TQU25" s="21"/>
      <c r="TQV25" s="21"/>
      <c r="TQW25" s="21"/>
      <c r="TQX25" s="21"/>
      <c r="TQY25" s="21"/>
      <c r="TQZ25" s="21"/>
      <c r="TRA25" s="21"/>
      <c r="TRB25" s="21"/>
      <c r="TRC25" s="21"/>
      <c r="TRD25" s="21"/>
      <c r="TRE25" s="21"/>
      <c r="TRF25" s="21"/>
      <c r="TRG25" s="21"/>
      <c r="TRH25" s="21"/>
      <c r="TRI25" s="21"/>
      <c r="TRJ25" s="21"/>
      <c r="TRK25" s="21"/>
      <c r="TRL25" s="21"/>
      <c r="TRM25" s="21"/>
      <c r="TRN25" s="21"/>
      <c r="TRO25" s="21"/>
      <c r="TRP25" s="21"/>
      <c r="TRQ25" s="21"/>
      <c r="TRR25" s="21"/>
      <c r="TRS25" s="21"/>
      <c r="TRT25" s="21"/>
      <c r="TRU25" s="21"/>
      <c r="TRV25" s="21"/>
      <c r="TRW25" s="21"/>
      <c r="TRX25" s="21"/>
      <c r="TRY25" s="21"/>
      <c r="TRZ25" s="21"/>
      <c r="TSA25" s="21"/>
      <c r="TSB25" s="21"/>
      <c r="TSC25" s="21"/>
      <c r="TSD25" s="21"/>
      <c r="TSE25" s="21"/>
      <c r="TSF25" s="21"/>
      <c r="TSG25" s="21"/>
      <c r="TSH25" s="21"/>
      <c r="TSI25" s="21"/>
      <c r="TSJ25" s="21"/>
      <c r="TSK25" s="21"/>
      <c r="TSL25" s="21"/>
      <c r="TSM25" s="21"/>
      <c r="TSN25" s="21"/>
      <c r="TSO25" s="21"/>
      <c r="TSP25" s="21"/>
      <c r="TSQ25" s="21"/>
      <c r="TSR25" s="21"/>
      <c r="TSS25" s="21"/>
      <c r="TST25" s="21"/>
      <c r="TSU25" s="21"/>
      <c r="TSV25" s="21"/>
      <c r="TSW25" s="21"/>
      <c r="TSX25" s="21"/>
      <c r="TSY25" s="21"/>
      <c r="TSZ25" s="21"/>
      <c r="TTA25" s="21"/>
      <c r="TTB25" s="21"/>
      <c r="TTC25" s="21"/>
      <c r="TTD25" s="21"/>
      <c r="TTE25" s="21"/>
      <c r="TTF25" s="21"/>
      <c r="TTG25" s="21"/>
      <c r="TTH25" s="21"/>
      <c r="TTI25" s="21"/>
      <c r="TTJ25" s="21"/>
      <c r="TTK25" s="21"/>
      <c r="TTL25" s="21"/>
      <c r="TTM25" s="21"/>
      <c r="TTN25" s="21"/>
      <c r="TTO25" s="21"/>
      <c r="TTP25" s="21"/>
      <c r="TTQ25" s="21"/>
      <c r="TTR25" s="21"/>
      <c r="TTS25" s="21"/>
      <c r="TTT25" s="21"/>
      <c r="TTU25" s="21"/>
      <c r="TTV25" s="21"/>
      <c r="TTW25" s="21"/>
      <c r="TTX25" s="21"/>
      <c r="TTY25" s="21"/>
      <c r="TTZ25" s="21"/>
      <c r="TUA25" s="21"/>
      <c r="TUB25" s="21"/>
      <c r="TUC25" s="21"/>
      <c r="TUD25" s="21"/>
      <c r="TUE25" s="21"/>
      <c r="TUF25" s="21"/>
      <c r="TUG25" s="21"/>
      <c r="TUH25" s="21"/>
      <c r="TUI25" s="21"/>
      <c r="TUJ25" s="21"/>
      <c r="TUK25" s="21"/>
      <c r="TUL25" s="21"/>
      <c r="TUM25" s="21"/>
      <c r="TUN25" s="21"/>
      <c r="TUO25" s="21"/>
      <c r="TUP25" s="21"/>
      <c r="TUQ25" s="21"/>
      <c r="TUR25" s="21"/>
      <c r="TUS25" s="21"/>
      <c r="TUT25" s="21"/>
      <c r="TUU25" s="21"/>
      <c r="TUV25" s="21"/>
      <c r="TUW25" s="21"/>
      <c r="TUX25" s="21"/>
      <c r="TUY25" s="21"/>
      <c r="TUZ25" s="21"/>
      <c r="TVA25" s="21"/>
      <c r="TVB25" s="21"/>
      <c r="TVC25" s="21"/>
      <c r="TVD25" s="21"/>
      <c r="TVE25" s="21"/>
      <c r="TVF25" s="21"/>
      <c r="TVG25" s="21"/>
      <c r="TVH25" s="21"/>
      <c r="TVI25" s="21"/>
      <c r="TVJ25" s="21"/>
      <c r="TVK25" s="21"/>
      <c r="TVL25" s="21"/>
      <c r="TVM25" s="21"/>
      <c r="TVN25" s="21"/>
      <c r="TVO25" s="21"/>
      <c r="TVP25" s="21"/>
      <c r="TVQ25" s="21"/>
      <c r="TVR25" s="21"/>
      <c r="TVS25" s="21"/>
      <c r="TVT25" s="21"/>
      <c r="TVU25" s="21"/>
      <c r="TVV25" s="21"/>
      <c r="TVW25" s="21"/>
      <c r="TVX25" s="21"/>
      <c r="TVY25" s="21"/>
      <c r="TVZ25" s="21"/>
      <c r="TWA25" s="21"/>
      <c r="TWB25" s="21"/>
      <c r="TWC25" s="21"/>
      <c r="TWD25" s="21"/>
      <c r="TWE25" s="21"/>
      <c r="TWF25" s="21"/>
      <c r="TWG25" s="21"/>
      <c r="TWH25" s="21"/>
      <c r="TWI25" s="21"/>
      <c r="TWJ25" s="21"/>
      <c r="TWK25" s="21"/>
      <c r="TWL25" s="21"/>
      <c r="TWM25" s="21"/>
      <c r="TWN25" s="21"/>
      <c r="TWO25" s="21"/>
      <c r="TWP25" s="21"/>
      <c r="TWQ25" s="21"/>
      <c r="TWR25" s="21"/>
      <c r="TWS25" s="21"/>
      <c r="TWT25" s="21"/>
      <c r="TWU25" s="21"/>
      <c r="TWV25" s="21"/>
      <c r="TWW25" s="21"/>
      <c r="TWX25" s="21"/>
      <c r="TWY25" s="21"/>
      <c r="TWZ25" s="21"/>
      <c r="TXA25" s="21"/>
      <c r="TXB25" s="21"/>
      <c r="TXC25" s="21"/>
      <c r="TXD25" s="21"/>
      <c r="TXE25" s="21"/>
      <c r="TXF25" s="21"/>
      <c r="TXG25" s="21"/>
      <c r="TXH25" s="21"/>
      <c r="TXI25" s="21"/>
      <c r="TXJ25" s="21"/>
      <c r="TXK25" s="21"/>
      <c r="TXL25" s="21"/>
      <c r="TXM25" s="21"/>
      <c r="TXN25" s="21"/>
      <c r="TXO25" s="21"/>
      <c r="TXP25" s="21"/>
      <c r="TXQ25" s="21"/>
      <c r="TXR25" s="21"/>
      <c r="TXS25" s="21"/>
      <c r="TXT25" s="21"/>
      <c r="TXU25" s="21"/>
      <c r="TXV25" s="21"/>
      <c r="TXW25" s="21"/>
      <c r="TXX25" s="21"/>
      <c r="TXY25" s="21"/>
      <c r="TXZ25" s="21"/>
      <c r="TYA25" s="21"/>
      <c r="TYB25" s="21"/>
      <c r="TYC25" s="21"/>
      <c r="TYD25" s="21"/>
      <c r="TYE25" s="21"/>
      <c r="TYF25" s="21"/>
      <c r="TYG25" s="21"/>
      <c r="TYH25" s="21"/>
      <c r="TYI25" s="21"/>
      <c r="TYJ25" s="21"/>
      <c r="TYK25" s="21"/>
      <c r="TYL25" s="21"/>
      <c r="TYM25" s="21"/>
      <c r="TYN25" s="21"/>
      <c r="TYO25" s="21"/>
      <c r="TYP25" s="21"/>
      <c r="TYQ25" s="21"/>
      <c r="TYR25" s="21"/>
      <c r="TYS25" s="21"/>
      <c r="TYT25" s="21"/>
      <c r="TYU25" s="21"/>
      <c r="TYV25" s="21"/>
      <c r="TYW25" s="21"/>
      <c r="TYX25" s="21"/>
      <c r="TYY25" s="21"/>
      <c r="TYZ25" s="21"/>
      <c r="TZA25" s="21"/>
      <c r="TZB25" s="21"/>
      <c r="TZC25" s="21"/>
      <c r="TZD25" s="21"/>
      <c r="TZE25" s="21"/>
      <c r="TZF25" s="21"/>
      <c r="TZG25" s="21"/>
      <c r="TZH25" s="21"/>
      <c r="TZI25" s="21"/>
      <c r="TZJ25" s="21"/>
      <c r="TZK25" s="21"/>
      <c r="TZL25" s="21"/>
      <c r="TZM25" s="21"/>
      <c r="TZN25" s="21"/>
      <c r="TZO25" s="21"/>
      <c r="TZP25" s="21"/>
      <c r="TZQ25" s="21"/>
      <c r="TZR25" s="21"/>
      <c r="TZS25" s="21"/>
      <c r="TZT25" s="21"/>
      <c r="TZU25" s="21"/>
      <c r="TZV25" s="21"/>
      <c r="TZW25" s="21"/>
      <c r="TZX25" s="21"/>
      <c r="TZY25" s="21"/>
      <c r="TZZ25" s="21"/>
      <c r="UAA25" s="21"/>
      <c r="UAB25" s="21"/>
      <c r="UAC25" s="21"/>
      <c r="UAD25" s="21"/>
      <c r="UAE25" s="21"/>
      <c r="UAF25" s="21"/>
      <c r="UAG25" s="21"/>
      <c r="UAH25" s="21"/>
      <c r="UAI25" s="21"/>
      <c r="UAJ25" s="21"/>
      <c r="UAK25" s="21"/>
      <c r="UAL25" s="21"/>
      <c r="UAM25" s="21"/>
      <c r="UAN25" s="21"/>
      <c r="UAO25" s="21"/>
      <c r="UAP25" s="21"/>
      <c r="UAQ25" s="21"/>
      <c r="UAR25" s="21"/>
      <c r="UAS25" s="21"/>
      <c r="UAT25" s="21"/>
      <c r="UAU25" s="21"/>
      <c r="UAV25" s="21"/>
      <c r="UAW25" s="21"/>
      <c r="UAX25" s="21"/>
      <c r="UAY25" s="21"/>
      <c r="UAZ25" s="21"/>
      <c r="UBA25" s="21"/>
      <c r="UBB25" s="21"/>
      <c r="UBC25" s="21"/>
      <c r="UBD25" s="21"/>
      <c r="UBE25" s="21"/>
      <c r="UBF25" s="21"/>
      <c r="UBG25" s="21"/>
      <c r="UBH25" s="21"/>
      <c r="UBI25" s="21"/>
      <c r="UBJ25" s="21"/>
      <c r="UBK25" s="21"/>
      <c r="UBL25" s="21"/>
      <c r="UBM25" s="21"/>
      <c r="UBN25" s="21"/>
      <c r="UBO25" s="21"/>
      <c r="UBP25" s="21"/>
      <c r="UBQ25" s="21"/>
      <c r="UBR25" s="21"/>
      <c r="UBS25" s="21"/>
      <c r="UBT25" s="21"/>
      <c r="UBU25" s="21"/>
      <c r="UBV25" s="21"/>
      <c r="UBW25" s="21"/>
      <c r="UBX25" s="21"/>
      <c r="UBY25" s="21"/>
      <c r="UBZ25" s="21"/>
      <c r="UCA25" s="21"/>
      <c r="UCB25" s="21"/>
      <c r="UCC25" s="21"/>
      <c r="UCD25" s="21"/>
      <c r="UCE25" s="21"/>
      <c r="UCF25" s="21"/>
      <c r="UCG25" s="21"/>
      <c r="UCH25" s="21"/>
      <c r="UCI25" s="21"/>
      <c r="UCJ25" s="21"/>
      <c r="UCK25" s="21"/>
      <c r="UCL25" s="21"/>
      <c r="UCM25" s="21"/>
      <c r="UCN25" s="21"/>
      <c r="UCO25" s="21"/>
      <c r="UCP25" s="21"/>
      <c r="UCQ25" s="21"/>
      <c r="UCR25" s="21"/>
      <c r="UCS25" s="21"/>
      <c r="UCT25" s="21"/>
      <c r="UCU25" s="21"/>
      <c r="UCV25" s="21"/>
      <c r="UCW25" s="21"/>
      <c r="UCX25" s="21"/>
      <c r="UCY25" s="21"/>
      <c r="UCZ25" s="21"/>
      <c r="UDA25" s="21"/>
      <c r="UDB25" s="21"/>
      <c r="UDC25" s="21"/>
      <c r="UDD25" s="21"/>
      <c r="UDE25" s="21"/>
      <c r="UDF25" s="21"/>
      <c r="UDG25" s="21"/>
      <c r="UDH25" s="21"/>
      <c r="UDI25" s="21"/>
      <c r="UDJ25" s="21"/>
      <c r="UDK25" s="21"/>
      <c r="UDL25" s="21"/>
      <c r="UDM25" s="21"/>
      <c r="UDN25" s="21"/>
      <c r="UDO25" s="21"/>
      <c r="UDP25" s="21"/>
      <c r="UDQ25" s="21"/>
      <c r="UDR25" s="21"/>
      <c r="UDS25" s="21"/>
      <c r="UDT25" s="21"/>
      <c r="UDU25" s="21"/>
      <c r="UDV25" s="21"/>
      <c r="UDW25" s="21"/>
      <c r="UDX25" s="21"/>
      <c r="UDY25" s="21"/>
      <c r="UDZ25" s="21"/>
      <c r="UEA25" s="21"/>
      <c r="UEB25" s="21"/>
      <c r="UEC25" s="21"/>
      <c r="UED25" s="21"/>
      <c r="UEE25" s="21"/>
      <c r="UEF25" s="21"/>
      <c r="UEG25" s="21"/>
      <c r="UEH25" s="21"/>
      <c r="UEI25" s="21"/>
      <c r="UEJ25" s="21"/>
      <c r="UEK25" s="21"/>
      <c r="UEL25" s="21"/>
      <c r="UEM25" s="21"/>
      <c r="UEN25" s="21"/>
      <c r="UEO25" s="21"/>
      <c r="UEP25" s="21"/>
      <c r="UEQ25" s="21"/>
      <c r="UER25" s="21"/>
      <c r="UES25" s="21"/>
      <c r="UET25" s="21"/>
      <c r="UEU25" s="21"/>
      <c r="UEV25" s="21"/>
      <c r="UEW25" s="21"/>
      <c r="UEX25" s="21"/>
      <c r="UEY25" s="21"/>
      <c r="UEZ25" s="21"/>
      <c r="UFA25" s="21"/>
      <c r="UFB25" s="21"/>
      <c r="UFC25" s="21"/>
      <c r="UFD25" s="21"/>
      <c r="UFE25" s="21"/>
      <c r="UFF25" s="21"/>
      <c r="UFG25" s="21"/>
      <c r="UFH25" s="21"/>
      <c r="UFI25" s="21"/>
      <c r="UFJ25" s="21"/>
      <c r="UFK25" s="21"/>
      <c r="UFL25" s="21"/>
      <c r="UFM25" s="21"/>
      <c r="UFN25" s="21"/>
      <c r="UFO25" s="21"/>
      <c r="UFP25" s="21"/>
      <c r="UFQ25" s="21"/>
      <c r="UFR25" s="21"/>
      <c r="UFS25" s="21"/>
      <c r="UFT25" s="21"/>
      <c r="UFU25" s="21"/>
      <c r="UFV25" s="21"/>
      <c r="UFW25" s="21"/>
      <c r="UFX25" s="21"/>
      <c r="UFY25" s="21"/>
      <c r="UFZ25" s="21"/>
      <c r="UGA25" s="21"/>
      <c r="UGB25" s="21"/>
      <c r="UGC25" s="21"/>
      <c r="UGD25" s="21"/>
      <c r="UGE25" s="21"/>
      <c r="UGF25" s="21"/>
      <c r="UGG25" s="21"/>
      <c r="UGH25" s="21"/>
      <c r="UGI25" s="21"/>
      <c r="UGJ25" s="21"/>
      <c r="UGK25" s="21"/>
      <c r="UGL25" s="21"/>
      <c r="UGM25" s="21"/>
      <c r="UGN25" s="21"/>
      <c r="UGO25" s="21"/>
      <c r="UGP25" s="21"/>
      <c r="UGQ25" s="21"/>
      <c r="UGR25" s="21"/>
      <c r="UGS25" s="21"/>
      <c r="UGT25" s="21"/>
      <c r="UGU25" s="21"/>
      <c r="UGV25" s="21"/>
      <c r="UGW25" s="21"/>
      <c r="UGX25" s="21"/>
      <c r="UGY25" s="21"/>
      <c r="UGZ25" s="21"/>
      <c r="UHA25" s="21"/>
      <c r="UHB25" s="21"/>
      <c r="UHC25" s="21"/>
      <c r="UHD25" s="21"/>
      <c r="UHE25" s="21"/>
      <c r="UHF25" s="21"/>
      <c r="UHG25" s="21"/>
      <c r="UHH25" s="21"/>
      <c r="UHI25" s="21"/>
      <c r="UHJ25" s="21"/>
      <c r="UHK25" s="21"/>
      <c r="UHL25" s="21"/>
      <c r="UHM25" s="21"/>
      <c r="UHN25" s="21"/>
      <c r="UHO25" s="21"/>
      <c r="UHP25" s="21"/>
      <c r="UHQ25" s="21"/>
      <c r="UHR25" s="21"/>
      <c r="UHS25" s="21"/>
      <c r="UHT25" s="21"/>
      <c r="UHU25" s="21"/>
      <c r="UHV25" s="21"/>
      <c r="UHW25" s="21"/>
      <c r="UHX25" s="21"/>
      <c r="UHY25" s="21"/>
      <c r="UHZ25" s="21"/>
      <c r="UIA25" s="21"/>
      <c r="UIB25" s="21"/>
      <c r="UIC25" s="21"/>
      <c r="UID25" s="21"/>
      <c r="UIE25" s="21"/>
      <c r="UIF25" s="21"/>
      <c r="UIG25" s="21"/>
      <c r="UIH25" s="21"/>
      <c r="UII25" s="21"/>
      <c r="UIJ25" s="21"/>
      <c r="UIK25" s="21"/>
      <c r="UIL25" s="21"/>
      <c r="UIM25" s="21"/>
      <c r="UIN25" s="21"/>
      <c r="UIO25" s="21"/>
      <c r="UIP25" s="21"/>
      <c r="UIQ25" s="21"/>
      <c r="UIR25" s="21"/>
      <c r="UIS25" s="21"/>
      <c r="UIT25" s="21"/>
      <c r="UIU25" s="21"/>
      <c r="UIV25" s="21"/>
      <c r="UIW25" s="21"/>
      <c r="UIX25" s="21"/>
      <c r="UIY25" s="21"/>
      <c r="UIZ25" s="21"/>
      <c r="UJA25" s="21"/>
      <c r="UJB25" s="21"/>
      <c r="UJC25" s="21"/>
      <c r="UJD25" s="21"/>
      <c r="UJE25" s="21"/>
      <c r="UJF25" s="21"/>
      <c r="UJG25" s="21"/>
      <c r="UJH25" s="21"/>
      <c r="UJI25" s="21"/>
      <c r="UJJ25" s="21"/>
      <c r="UJK25" s="21"/>
      <c r="UJL25" s="21"/>
      <c r="UJM25" s="21"/>
      <c r="UJN25" s="21"/>
      <c r="UJO25" s="21"/>
      <c r="UJP25" s="21"/>
      <c r="UJQ25" s="21"/>
      <c r="UJR25" s="21"/>
      <c r="UJS25" s="21"/>
      <c r="UJT25" s="21"/>
      <c r="UJU25" s="21"/>
      <c r="UJV25" s="21"/>
      <c r="UJW25" s="21"/>
      <c r="UJX25" s="21"/>
      <c r="UJY25" s="21"/>
      <c r="UJZ25" s="21"/>
      <c r="UKA25" s="21"/>
      <c r="UKB25" s="21"/>
      <c r="UKC25" s="21"/>
      <c r="UKD25" s="21"/>
      <c r="UKE25" s="21"/>
      <c r="UKF25" s="21"/>
      <c r="UKG25" s="21"/>
      <c r="UKH25" s="21"/>
      <c r="UKI25" s="21"/>
      <c r="UKJ25" s="21"/>
      <c r="UKK25" s="21"/>
      <c r="UKL25" s="21"/>
      <c r="UKM25" s="21"/>
      <c r="UKN25" s="21"/>
      <c r="UKO25" s="21"/>
      <c r="UKP25" s="21"/>
      <c r="UKQ25" s="21"/>
      <c r="UKR25" s="21"/>
      <c r="UKS25" s="21"/>
      <c r="UKT25" s="21"/>
      <c r="UKU25" s="21"/>
      <c r="UKV25" s="21"/>
      <c r="UKW25" s="21"/>
      <c r="UKX25" s="21"/>
      <c r="UKY25" s="21"/>
      <c r="UKZ25" s="21"/>
      <c r="ULA25" s="21"/>
      <c r="ULB25" s="21"/>
      <c r="ULC25" s="21"/>
      <c r="ULD25" s="21"/>
      <c r="ULE25" s="21"/>
      <c r="ULF25" s="21"/>
      <c r="ULG25" s="21"/>
      <c r="ULH25" s="21"/>
      <c r="ULI25" s="21"/>
      <c r="ULJ25" s="21"/>
      <c r="ULK25" s="21"/>
      <c r="ULL25" s="21"/>
      <c r="ULM25" s="21"/>
      <c r="ULN25" s="21"/>
      <c r="ULO25" s="21"/>
      <c r="ULP25" s="21"/>
      <c r="ULQ25" s="21"/>
      <c r="ULR25" s="21"/>
      <c r="ULS25" s="21"/>
      <c r="ULT25" s="21"/>
      <c r="ULU25" s="21"/>
      <c r="ULV25" s="21"/>
      <c r="ULW25" s="21"/>
      <c r="ULX25" s="21"/>
      <c r="ULY25" s="21"/>
      <c r="ULZ25" s="21"/>
      <c r="UMA25" s="21"/>
      <c r="UMB25" s="21"/>
      <c r="UMC25" s="21"/>
      <c r="UMD25" s="21"/>
      <c r="UME25" s="21"/>
      <c r="UMF25" s="21"/>
      <c r="UMG25" s="21"/>
      <c r="UMH25" s="21"/>
      <c r="UMI25" s="21"/>
      <c r="UMJ25" s="21"/>
      <c r="UMK25" s="21"/>
      <c r="UML25" s="21"/>
      <c r="UMM25" s="21"/>
      <c r="UMN25" s="21"/>
      <c r="UMO25" s="21"/>
      <c r="UMP25" s="21"/>
      <c r="UMQ25" s="21"/>
      <c r="UMR25" s="21"/>
      <c r="UMS25" s="21"/>
      <c r="UMT25" s="21"/>
      <c r="UMU25" s="21"/>
      <c r="UMV25" s="21"/>
      <c r="UMW25" s="21"/>
      <c r="UMX25" s="21"/>
      <c r="UMY25" s="21"/>
      <c r="UMZ25" s="21"/>
      <c r="UNA25" s="21"/>
      <c r="UNB25" s="21"/>
      <c r="UNC25" s="21"/>
      <c r="UND25" s="21"/>
      <c r="UNE25" s="21"/>
      <c r="UNF25" s="21"/>
      <c r="UNG25" s="21"/>
      <c r="UNH25" s="21"/>
      <c r="UNI25" s="21"/>
      <c r="UNJ25" s="21"/>
      <c r="UNK25" s="21"/>
      <c r="UNL25" s="21"/>
      <c r="UNM25" s="21"/>
      <c r="UNN25" s="21"/>
      <c r="UNO25" s="21"/>
      <c r="UNP25" s="21"/>
      <c r="UNQ25" s="21"/>
      <c r="UNR25" s="21"/>
      <c r="UNS25" s="21"/>
      <c r="UNT25" s="21"/>
      <c r="UNU25" s="21"/>
      <c r="UNV25" s="21"/>
      <c r="UNW25" s="21"/>
      <c r="UNX25" s="21"/>
      <c r="UNY25" s="21"/>
      <c r="UNZ25" s="21"/>
      <c r="UOA25" s="21"/>
      <c r="UOB25" s="21"/>
      <c r="UOC25" s="21"/>
      <c r="UOD25" s="21"/>
      <c r="UOE25" s="21"/>
      <c r="UOF25" s="21"/>
      <c r="UOG25" s="21"/>
      <c r="UOH25" s="21"/>
      <c r="UOI25" s="21"/>
      <c r="UOJ25" s="21"/>
      <c r="UOK25" s="21"/>
      <c r="UOL25" s="21"/>
      <c r="UOM25" s="21"/>
      <c r="UON25" s="21"/>
      <c r="UOO25" s="21"/>
      <c r="UOP25" s="21"/>
      <c r="UOQ25" s="21"/>
      <c r="UOR25" s="21"/>
      <c r="UOS25" s="21"/>
      <c r="UOT25" s="21"/>
      <c r="UOU25" s="21"/>
      <c r="UOV25" s="21"/>
      <c r="UOW25" s="21"/>
      <c r="UOX25" s="21"/>
      <c r="UOY25" s="21"/>
      <c r="UOZ25" s="21"/>
      <c r="UPA25" s="21"/>
      <c r="UPB25" s="21"/>
      <c r="UPC25" s="21"/>
      <c r="UPD25" s="21"/>
      <c r="UPE25" s="21"/>
      <c r="UPF25" s="21"/>
      <c r="UPG25" s="21"/>
      <c r="UPH25" s="21"/>
      <c r="UPI25" s="21"/>
      <c r="UPJ25" s="21"/>
      <c r="UPK25" s="21"/>
      <c r="UPL25" s="21"/>
      <c r="UPM25" s="21"/>
      <c r="UPN25" s="21"/>
      <c r="UPO25" s="21"/>
      <c r="UPP25" s="21"/>
      <c r="UPQ25" s="21"/>
      <c r="UPR25" s="21"/>
      <c r="UPS25" s="21"/>
      <c r="UPT25" s="21"/>
      <c r="UPU25" s="21"/>
      <c r="UPV25" s="21"/>
      <c r="UPW25" s="21"/>
      <c r="UPX25" s="21"/>
      <c r="UPY25" s="21"/>
      <c r="UPZ25" s="21"/>
      <c r="UQA25" s="21"/>
      <c r="UQB25" s="21"/>
      <c r="UQC25" s="21"/>
      <c r="UQD25" s="21"/>
      <c r="UQE25" s="21"/>
      <c r="UQF25" s="21"/>
      <c r="UQG25" s="21"/>
      <c r="UQH25" s="21"/>
      <c r="UQI25" s="21"/>
      <c r="UQJ25" s="21"/>
      <c r="UQK25" s="21"/>
      <c r="UQL25" s="21"/>
      <c r="UQM25" s="21"/>
      <c r="UQN25" s="21"/>
      <c r="UQO25" s="21"/>
      <c r="UQP25" s="21"/>
      <c r="UQQ25" s="21"/>
      <c r="UQR25" s="21"/>
      <c r="UQS25" s="21"/>
      <c r="UQT25" s="21"/>
      <c r="UQU25" s="21"/>
      <c r="UQV25" s="21"/>
      <c r="UQW25" s="21"/>
      <c r="UQX25" s="21"/>
      <c r="UQY25" s="21"/>
      <c r="UQZ25" s="21"/>
      <c r="URA25" s="21"/>
      <c r="URB25" s="21"/>
      <c r="URC25" s="21"/>
      <c r="URD25" s="21"/>
      <c r="URE25" s="21"/>
      <c r="URF25" s="21"/>
      <c r="URG25" s="21"/>
      <c r="URH25" s="21"/>
      <c r="URI25" s="21"/>
      <c r="URJ25" s="21"/>
      <c r="URK25" s="21"/>
      <c r="URL25" s="21"/>
      <c r="URM25" s="21"/>
      <c r="URN25" s="21"/>
      <c r="URO25" s="21"/>
      <c r="URP25" s="21"/>
      <c r="URQ25" s="21"/>
      <c r="URR25" s="21"/>
      <c r="URS25" s="21"/>
      <c r="URT25" s="21"/>
      <c r="URU25" s="21"/>
      <c r="URV25" s="21"/>
      <c r="URW25" s="21"/>
      <c r="URX25" s="21"/>
      <c r="URY25" s="21"/>
      <c r="URZ25" s="21"/>
      <c r="USA25" s="21"/>
      <c r="USB25" s="21"/>
      <c r="USC25" s="21"/>
      <c r="USD25" s="21"/>
      <c r="USE25" s="21"/>
      <c r="USF25" s="21"/>
      <c r="USG25" s="21"/>
      <c r="USH25" s="21"/>
      <c r="USI25" s="21"/>
      <c r="USJ25" s="21"/>
      <c r="USK25" s="21"/>
      <c r="USL25" s="21"/>
      <c r="USM25" s="21"/>
      <c r="USN25" s="21"/>
      <c r="USO25" s="21"/>
      <c r="USP25" s="21"/>
      <c r="USQ25" s="21"/>
      <c r="USR25" s="21"/>
      <c r="USS25" s="21"/>
      <c r="UST25" s="21"/>
      <c r="USU25" s="21"/>
      <c r="USV25" s="21"/>
      <c r="USW25" s="21"/>
      <c r="USX25" s="21"/>
      <c r="USY25" s="21"/>
      <c r="USZ25" s="21"/>
      <c r="UTA25" s="21"/>
      <c r="UTB25" s="21"/>
      <c r="UTC25" s="21"/>
      <c r="UTD25" s="21"/>
      <c r="UTE25" s="21"/>
      <c r="UTF25" s="21"/>
      <c r="UTG25" s="21"/>
      <c r="UTH25" s="21"/>
      <c r="UTI25" s="21"/>
      <c r="UTJ25" s="21"/>
      <c r="UTK25" s="21"/>
      <c r="UTL25" s="21"/>
      <c r="UTM25" s="21"/>
      <c r="UTN25" s="21"/>
      <c r="UTO25" s="21"/>
      <c r="UTP25" s="21"/>
      <c r="UTQ25" s="21"/>
      <c r="UTR25" s="21"/>
      <c r="UTS25" s="21"/>
      <c r="UTT25" s="21"/>
      <c r="UTU25" s="21"/>
      <c r="UTV25" s="21"/>
      <c r="UTW25" s="21"/>
      <c r="UTX25" s="21"/>
      <c r="UTY25" s="21"/>
      <c r="UTZ25" s="21"/>
      <c r="UUA25" s="21"/>
      <c r="UUB25" s="21"/>
      <c r="UUC25" s="21"/>
      <c r="UUD25" s="21"/>
      <c r="UUE25" s="21"/>
      <c r="UUF25" s="21"/>
      <c r="UUG25" s="21"/>
      <c r="UUH25" s="21"/>
      <c r="UUI25" s="21"/>
      <c r="UUJ25" s="21"/>
      <c r="UUK25" s="21"/>
      <c r="UUL25" s="21"/>
      <c r="UUM25" s="21"/>
      <c r="UUN25" s="21"/>
      <c r="UUO25" s="21"/>
      <c r="UUP25" s="21"/>
      <c r="UUQ25" s="21"/>
      <c r="UUR25" s="21"/>
      <c r="UUS25" s="21"/>
      <c r="UUT25" s="21"/>
      <c r="UUU25" s="21"/>
      <c r="UUV25" s="21"/>
      <c r="UUW25" s="21"/>
      <c r="UUX25" s="21"/>
      <c r="UUY25" s="21"/>
      <c r="UUZ25" s="21"/>
      <c r="UVA25" s="21"/>
      <c r="UVB25" s="21"/>
      <c r="UVC25" s="21"/>
      <c r="UVD25" s="21"/>
      <c r="UVE25" s="21"/>
      <c r="UVF25" s="21"/>
      <c r="UVG25" s="21"/>
      <c r="UVH25" s="21"/>
      <c r="UVI25" s="21"/>
      <c r="UVJ25" s="21"/>
      <c r="UVK25" s="21"/>
      <c r="UVL25" s="21"/>
      <c r="UVM25" s="21"/>
      <c r="UVN25" s="21"/>
      <c r="UVO25" s="21"/>
      <c r="UVP25" s="21"/>
      <c r="UVQ25" s="21"/>
      <c r="UVR25" s="21"/>
      <c r="UVS25" s="21"/>
      <c r="UVT25" s="21"/>
      <c r="UVU25" s="21"/>
      <c r="UVV25" s="21"/>
      <c r="UVW25" s="21"/>
      <c r="UVX25" s="21"/>
      <c r="UVY25" s="21"/>
      <c r="UVZ25" s="21"/>
      <c r="UWA25" s="21"/>
      <c r="UWB25" s="21"/>
      <c r="UWC25" s="21"/>
      <c r="UWD25" s="21"/>
      <c r="UWE25" s="21"/>
      <c r="UWF25" s="21"/>
      <c r="UWG25" s="21"/>
      <c r="UWH25" s="21"/>
      <c r="UWI25" s="21"/>
      <c r="UWJ25" s="21"/>
      <c r="UWK25" s="21"/>
      <c r="UWL25" s="21"/>
      <c r="UWM25" s="21"/>
      <c r="UWN25" s="21"/>
      <c r="UWO25" s="21"/>
      <c r="UWP25" s="21"/>
      <c r="UWQ25" s="21"/>
      <c r="UWR25" s="21"/>
      <c r="UWS25" s="21"/>
      <c r="UWT25" s="21"/>
      <c r="UWU25" s="21"/>
      <c r="UWV25" s="21"/>
      <c r="UWW25" s="21"/>
      <c r="UWX25" s="21"/>
      <c r="UWY25" s="21"/>
      <c r="UWZ25" s="21"/>
      <c r="UXA25" s="21"/>
      <c r="UXB25" s="21"/>
      <c r="UXC25" s="21"/>
      <c r="UXD25" s="21"/>
      <c r="UXE25" s="21"/>
      <c r="UXF25" s="21"/>
      <c r="UXG25" s="21"/>
      <c r="UXH25" s="21"/>
      <c r="UXI25" s="21"/>
      <c r="UXJ25" s="21"/>
      <c r="UXK25" s="21"/>
      <c r="UXL25" s="21"/>
      <c r="UXM25" s="21"/>
      <c r="UXN25" s="21"/>
      <c r="UXO25" s="21"/>
      <c r="UXP25" s="21"/>
      <c r="UXQ25" s="21"/>
      <c r="UXR25" s="21"/>
      <c r="UXS25" s="21"/>
      <c r="UXT25" s="21"/>
      <c r="UXU25" s="21"/>
      <c r="UXV25" s="21"/>
      <c r="UXW25" s="21"/>
      <c r="UXX25" s="21"/>
      <c r="UXY25" s="21"/>
      <c r="UXZ25" s="21"/>
      <c r="UYA25" s="21"/>
      <c r="UYB25" s="21"/>
      <c r="UYC25" s="21"/>
      <c r="UYD25" s="21"/>
      <c r="UYE25" s="21"/>
      <c r="UYF25" s="21"/>
      <c r="UYG25" s="21"/>
      <c r="UYH25" s="21"/>
      <c r="UYI25" s="21"/>
      <c r="UYJ25" s="21"/>
      <c r="UYK25" s="21"/>
      <c r="UYL25" s="21"/>
      <c r="UYM25" s="21"/>
      <c r="UYN25" s="21"/>
      <c r="UYO25" s="21"/>
      <c r="UYP25" s="21"/>
      <c r="UYQ25" s="21"/>
      <c r="UYR25" s="21"/>
      <c r="UYS25" s="21"/>
      <c r="UYT25" s="21"/>
      <c r="UYU25" s="21"/>
      <c r="UYV25" s="21"/>
      <c r="UYW25" s="21"/>
      <c r="UYX25" s="21"/>
      <c r="UYY25" s="21"/>
      <c r="UYZ25" s="21"/>
      <c r="UZA25" s="21"/>
      <c r="UZB25" s="21"/>
      <c r="UZC25" s="21"/>
      <c r="UZD25" s="21"/>
      <c r="UZE25" s="21"/>
      <c r="UZF25" s="21"/>
      <c r="UZG25" s="21"/>
      <c r="UZH25" s="21"/>
      <c r="UZI25" s="21"/>
      <c r="UZJ25" s="21"/>
      <c r="UZK25" s="21"/>
      <c r="UZL25" s="21"/>
      <c r="UZM25" s="21"/>
      <c r="UZN25" s="21"/>
      <c r="UZO25" s="21"/>
      <c r="UZP25" s="21"/>
      <c r="UZQ25" s="21"/>
      <c r="UZR25" s="21"/>
      <c r="UZS25" s="21"/>
      <c r="UZT25" s="21"/>
      <c r="UZU25" s="21"/>
      <c r="UZV25" s="21"/>
      <c r="UZW25" s="21"/>
      <c r="UZX25" s="21"/>
      <c r="UZY25" s="21"/>
      <c r="UZZ25" s="21"/>
      <c r="VAA25" s="21"/>
      <c r="VAB25" s="21"/>
      <c r="VAC25" s="21"/>
      <c r="VAD25" s="21"/>
      <c r="VAE25" s="21"/>
      <c r="VAF25" s="21"/>
      <c r="VAG25" s="21"/>
      <c r="VAH25" s="21"/>
      <c r="VAI25" s="21"/>
      <c r="VAJ25" s="21"/>
      <c r="VAK25" s="21"/>
      <c r="VAL25" s="21"/>
      <c r="VAM25" s="21"/>
      <c r="VAN25" s="21"/>
      <c r="VAO25" s="21"/>
      <c r="VAP25" s="21"/>
      <c r="VAQ25" s="21"/>
      <c r="VAR25" s="21"/>
      <c r="VAS25" s="21"/>
      <c r="VAT25" s="21"/>
      <c r="VAU25" s="21"/>
      <c r="VAV25" s="21"/>
      <c r="VAW25" s="21"/>
      <c r="VAX25" s="21"/>
      <c r="VAY25" s="21"/>
      <c r="VAZ25" s="21"/>
      <c r="VBA25" s="21"/>
      <c r="VBB25" s="21"/>
      <c r="VBC25" s="21"/>
      <c r="VBD25" s="21"/>
      <c r="VBE25" s="21"/>
      <c r="VBF25" s="21"/>
      <c r="VBG25" s="21"/>
      <c r="VBH25" s="21"/>
      <c r="VBI25" s="21"/>
      <c r="VBJ25" s="21"/>
      <c r="VBK25" s="21"/>
      <c r="VBL25" s="21"/>
      <c r="VBM25" s="21"/>
      <c r="VBN25" s="21"/>
      <c r="VBO25" s="21"/>
      <c r="VBP25" s="21"/>
      <c r="VBQ25" s="21"/>
      <c r="VBR25" s="21"/>
      <c r="VBS25" s="21"/>
      <c r="VBT25" s="21"/>
      <c r="VBU25" s="21"/>
      <c r="VBV25" s="21"/>
      <c r="VBW25" s="21"/>
      <c r="VBX25" s="21"/>
      <c r="VBY25" s="21"/>
      <c r="VBZ25" s="21"/>
      <c r="VCA25" s="21"/>
      <c r="VCB25" s="21"/>
      <c r="VCC25" s="21"/>
      <c r="VCD25" s="21"/>
      <c r="VCE25" s="21"/>
      <c r="VCF25" s="21"/>
      <c r="VCG25" s="21"/>
      <c r="VCH25" s="21"/>
      <c r="VCI25" s="21"/>
      <c r="VCJ25" s="21"/>
      <c r="VCK25" s="21"/>
      <c r="VCL25" s="21"/>
      <c r="VCM25" s="21"/>
      <c r="VCN25" s="21"/>
      <c r="VCO25" s="21"/>
      <c r="VCP25" s="21"/>
      <c r="VCQ25" s="21"/>
      <c r="VCR25" s="21"/>
      <c r="VCS25" s="21"/>
      <c r="VCT25" s="21"/>
      <c r="VCU25" s="21"/>
      <c r="VCV25" s="21"/>
      <c r="VCW25" s="21"/>
      <c r="VCX25" s="21"/>
      <c r="VCY25" s="21"/>
      <c r="VCZ25" s="21"/>
      <c r="VDA25" s="21"/>
      <c r="VDB25" s="21"/>
      <c r="VDC25" s="21"/>
      <c r="VDD25" s="21"/>
      <c r="VDE25" s="21"/>
      <c r="VDF25" s="21"/>
      <c r="VDG25" s="21"/>
      <c r="VDH25" s="21"/>
      <c r="VDI25" s="21"/>
      <c r="VDJ25" s="21"/>
      <c r="VDK25" s="21"/>
      <c r="VDL25" s="21"/>
      <c r="VDM25" s="21"/>
      <c r="VDN25" s="21"/>
      <c r="VDO25" s="21"/>
      <c r="VDP25" s="21"/>
      <c r="VDQ25" s="21"/>
      <c r="VDR25" s="21"/>
      <c r="VDS25" s="21"/>
      <c r="VDT25" s="21"/>
      <c r="VDU25" s="21"/>
      <c r="VDV25" s="21"/>
      <c r="VDW25" s="21"/>
      <c r="VDX25" s="21"/>
      <c r="VDY25" s="21"/>
      <c r="VDZ25" s="21"/>
      <c r="VEA25" s="21"/>
      <c r="VEB25" s="21"/>
      <c r="VEC25" s="21"/>
      <c r="VED25" s="21"/>
      <c r="VEE25" s="21"/>
      <c r="VEF25" s="21"/>
      <c r="VEG25" s="21"/>
      <c r="VEH25" s="21"/>
      <c r="VEI25" s="21"/>
      <c r="VEJ25" s="21"/>
      <c r="VEK25" s="21"/>
      <c r="VEL25" s="21"/>
      <c r="VEM25" s="21"/>
      <c r="VEN25" s="21"/>
      <c r="VEO25" s="21"/>
      <c r="VEP25" s="21"/>
      <c r="VEQ25" s="21"/>
      <c r="VER25" s="21"/>
      <c r="VES25" s="21"/>
      <c r="VET25" s="21"/>
      <c r="VEU25" s="21"/>
      <c r="VEV25" s="21"/>
      <c r="VEW25" s="21"/>
      <c r="VEX25" s="21"/>
      <c r="VEY25" s="21"/>
      <c r="VEZ25" s="21"/>
      <c r="VFA25" s="21"/>
      <c r="VFB25" s="21"/>
      <c r="VFC25" s="21"/>
      <c r="VFD25" s="21"/>
      <c r="VFE25" s="21"/>
      <c r="VFF25" s="21"/>
      <c r="VFG25" s="21"/>
      <c r="VFH25" s="21"/>
      <c r="VFI25" s="21"/>
      <c r="VFJ25" s="21"/>
      <c r="VFK25" s="21"/>
      <c r="VFL25" s="21"/>
      <c r="VFM25" s="21"/>
      <c r="VFN25" s="21"/>
      <c r="VFO25" s="21"/>
      <c r="VFP25" s="21"/>
      <c r="VFQ25" s="21"/>
      <c r="VFR25" s="21"/>
      <c r="VFS25" s="21"/>
      <c r="VFT25" s="21"/>
      <c r="VFU25" s="21"/>
      <c r="VFV25" s="21"/>
      <c r="VFW25" s="21"/>
      <c r="VFX25" s="21"/>
      <c r="VFY25" s="21"/>
      <c r="VFZ25" s="21"/>
      <c r="VGA25" s="21"/>
      <c r="VGB25" s="21"/>
      <c r="VGC25" s="21"/>
      <c r="VGD25" s="21"/>
      <c r="VGE25" s="21"/>
      <c r="VGF25" s="21"/>
      <c r="VGG25" s="21"/>
      <c r="VGH25" s="21"/>
      <c r="VGI25" s="21"/>
      <c r="VGJ25" s="21"/>
      <c r="VGK25" s="21"/>
      <c r="VGL25" s="21"/>
      <c r="VGM25" s="21"/>
      <c r="VGN25" s="21"/>
      <c r="VGO25" s="21"/>
      <c r="VGP25" s="21"/>
      <c r="VGQ25" s="21"/>
      <c r="VGR25" s="21"/>
      <c r="VGS25" s="21"/>
      <c r="VGT25" s="21"/>
      <c r="VGU25" s="21"/>
      <c r="VGV25" s="21"/>
      <c r="VGW25" s="21"/>
      <c r="VGX25" s="21"/>
      <c r="VGY25" s="21"/>
      <c r="VGZ25" s="21"/>
      <c r="VHA25" s="21"/>
      <c r="VHB25" s="21"/>
      <c r="VHC25" s="21"/>
      <c r="VHD25" s="21"/>
      <c r="VHE25" s="21"/>
      <c r="VHF25" s="21"/>
      <c r="VHG25" s="21"/>
      <c r="VHH25" s="21"/>
      <c r="VHI25" s="21"/>
      <c r="VHJ25" s="21"/>
      <c r="VHK25" s="21"/>
      <c r="VHL25" s="21"/>
      <c r="VHM25" s="21"/>
      <c r="VHN25" s="21"/>
      <c r="VHO25" s="21"/>
      <c r="VHP25" s="21"/>
      <c r="VHQ25" s="21"/>
      <c r="VHR25" s="21"/>
      <c r="VHS25" s="21"/>
      <c r="VHT25" s="21"/>
      <c r="VHU25" s="21"/>
      <c r="VHV25" s="21"/>
      <c r="VHW25" s="21"/>
      <c r="VHX25" s="21"/>
      <c r="VHY25" s="21"/>
      <c r="VHZ25" s="21"/>
      <c r="VIA25" s="21"/>
      <c r="VIB25" s="21"/>
      <c r="VIC25" s="21"/>
      <c r="VID25" s="21"/>
      <c r="VIE25" s="21"/>
      <c r="VIF25" s="21"/>
      <c r="VIG25" s="21"/>
      <c r="VIH25" s="21"/>
      <c r="VII25" s="21"/>
      <c r="VIJ25" s="21"/>
      <c r="VIK25" s="21"/>
      <c r="VIL25" s="21"/>
      <c r="VIM25" s="21"/>
      <c r="VIN25" s="21"/>
      <c r="VIO25" s="21"/>
      <c r="VIP25" s="21"/>
      <c r="VIQ25" s="21"/>
      <c r="VIR25" s="21"/>
      <c r="VIS25" s="21"/>
      <c r="VIT25" s="21"/>
      <c r="VIU25" s="21"/>
      <c r="VIV25" s="21"/>
      <c r="VIW25" s="21"/>
      <c r="VIX25" s="21"/>
      <c r="VIY25" s="21"/>
      <c r="VIZ25" s="21"/>
      <c r="VJA25" s="21"/>
      <c r="VJB25" s="21"/>
      <c r="VJC25" s="21"/>
      <c r="VJD25" s="21"/>
      <c r="VJE25" s="21"/>
      <c r="VJF25" s="21"/>
      <c r="VJG25" s="21"/>
      <c r="VJH25" s="21"/>
      <c r="VJI25" s="21"/>
      <c r="VJJ25" s="21"/>
      <c r="VJK25" s="21"/>
      <c r="VJL25" s="21"/>
      <c r="VJM25" s="21"/>
      <c r="VJN25" s="21"/>
      <c r="VJO25" s="21"/>
      <c r="VJP25" s="21"/>
      <c r="VJQ25" s="21"/>
      <c r="VJR25" s="21"/>
      <c r="VJS25" s="21"/>
      <c r="VJT25" s="21"/>
      <c r="VJU25" s="21"/>
      <c r="VJV25" s="21"/>
      <c r="VJW25" s="21"/>
      <c r="VJX25" s="21"/>
      <c r="VJY25" s="21"/>
      <c r="VJZ25" s="21"/>
      <c r="VKA25" s="21"/>
      <c r="VKB25" s="21"/>
      <c r="VKC25" s="21"/>
      <c r="VKD25" s="21"/>
      <c r="VKE25" s="21"/>
      <c r="VKF25" s="21"/>
      <c r="VKG25" s="21"/>
      <c r="VKH25" s="21"/>
      <c r="VKI25" s="21"/>
      <c r="VKJ25" s="21"/>
      <c r="VKK25" s="21"/>
      <c r="VKL25" s="21"/>
      <c r="VKM25" s="21"/>
      <c r="VKN25" s="21"/>
      <c r="VKO25" s="21"/>
      <c r="VKP25" s="21"/>
      <c r="VKQ25" s="21"/>
      <c r="VKR25" s="21"/>
      <c r="VKS25" s="21"/>
      <c r="VKT25" s="21"/>
      <c r="VKU25" s="21"/>
      <c r="VKV25" s="21"/>
      <c r="VKW25" s="21"/>
      <c r="VKX25" s="21"/>
      <c r="VKY25" s="21"/>
      <c r="VKZ25" s="21"/>
      <c r="VLA25" s="21"/>
      <c r="VLB25" s="21"/>
      <c r="VLC25" s="21"/>
      <c r="VLD25" s="21"/>
      <c r="VLE25" s="21"/>
      <c r="VLF25" s="21"/>
      <c r="VLG25" s="21"/>
      <c r="VLH25" s="21"/>
      <c r="VLI25" s="21"/>
      <c r="VLJ25" s="21"/>
      <c r="VLK25" s="21"/>
      <c r="VLL25" s="21"/>
      <c r="VLM25" s="21"/>
      <c r="VLN25" s="21"/>
      <c r="VLO25" s="21"/>
      <c r="VLP25" s="21"/>
      <c r="VLQ25" s="21"/>
      <c r="VLR25" s="21"/>
      <c r="VLS25" s="21"/>
      <c r="VLT25" s="21"/>
      <c r="VLU25" s="21"/>
      <c r="VLV25" s="21"/>
      <c r="VLW25" s="21"/>
      <c r="VLX25" s="21"/>
      <c r="VLY25" s="21"/>
      <c r="VLZ25" s="21"/>
      <c r="VMA25" s="21"/>
      <c r="VMB25" s="21"/>
      <c r="VMC25" s="21"/>
      <c r="VMD25" s="21"/>
      <c r="VME25" s="21"/>
      <c r="VMF25" s="21"/>
      <c r="VMG25" s="21"/>
      <c r="VMH25" s="21"/>
      <c r="VMI25" s="21"/>
      <c r="VMJ25" s="21"/>
      <c r="VMK25" s="21"/>
      <c r="VML25" s="21"/>
      <c r="VMM25" s="21"/>
      <c r="VMN25" s="21"/>
      <c r="VMO25" s="21"/>
      <c r="VMP25" s="21"/>
      <c r="VMQ25" s="21"/>
      <c r="VMR25" s="21"/>
      <c r="VMS25" s="21"/>
      <c r="VMT25" s="21"/>
      <c r="VMU25" s="21"/>
      <c r="VMV25" s="21"/>
      <c r="VMW25" s="21"/>
      <c r="VMX25" s="21"/>
      <c r="VMY25" s="21"/>
      <c r="VMZ25" s="21"/>
      <c r="VNA25" s="21"/>
      <c r="VNB25" s="21"/>
      <c r="VNC25" s="21"/>
      <c r="VND25" s="21"/>
      <c r="VNE25" s="21"/>
      <c r="VNF25" s="21"/>
      <c r="VNG25" s="21"/>
      <c r="VNH25" s="21"/>
      <c r="VNI25" s="21"/>
      <c r="VNJ25" s="21"/>
      <c r="VNK25" s="21"/>
      <c r="VNL25" s="21"/>
      <c r="VNM25" s="21"/>
      <c r="VNN25" s="21"/>
      <c r="VNO25" s="21"/>
      <c r="VNP25" s="21"/>
      <c r="VNQ25" s="21"/>
      <c r="VNR25" s="21"/>
      <c r="VNS25" s="21"/>
      <c r="VNT25" s="21"/>
      <c r="VNU25" s="21"/>
      <c r="VNV25" s="21"/>
      <c r="VNW25" s="21"/>
      <c r="VNX25" s="21"/>
      <c r="VNY25" s="21"/>
      <c r="VNZ25" s="21"/>
      <c r="VOA25" s="21"/>
      <c r="VOB25" s="21"/>
      <c r="VOC25" s="21"/>
      <c r="VOD25" s="21"/>
      <c r="VOE25" s="21"/>
      <c r="VOF25" s="21"/>
      <c r="VOG25" s="21"/>
      <c r="VOH25" s="21"/>
      <c r="VOI25" s="21"/>
      <c r="VOJ25" s="21"/>
      <c r="VOK25" s="21"/>
      <c r="VOL25" s="21"/>
      <c r="VOM25" s="21"/>
      <c r="VON25" s="21"/>
      <c r="VOO25" s="21"/>
      <c r="VOP25" s="21"/>
      <c r="VOQ25" s="21"/>
      <c r="VOR25" s="21"/>
      <c r="VOS25" s="21"/>
      <c r="VOT25" s="21"/>
      <c r="VOU25" s="21"/>
      <c r="VOV25" s="21"/>
      <c r="VOW25" s="21"/>
      <c r="VOX25" s="21"/>
      <c r="VOY25" s="21"/>
      <c r="VOZ25" s="21"/>
      <c r="VPA25" s="21"/>
      <c r="VPB25" s="21"/>
      <c r="VPC25" s="21"/>
      <c r="VPD25" s="21"/>
      <c r="VPE25" s="21"/>
      <c r="VPF25" s="21"/>
      <c r="VPG25" s="21"/>
      <c r="VPH25" s="21"/>
      <c r="VPI25" s="21"/>
      <c r="VPJ25" s="21"/>
      <c r="VPK25" s="21"/>
      <c r="VPL25" s="21"/>
      <c r="VPM25" s="21"/>
      <c r="VPN25" s="21"/>
      <c r="VPO25" s="21"/>
      <c r="VPP25" s="21"/>
      <c r="VPQ25" s="21"/>
      <c r="VPR25" s="21"/>
      <c r="VPS25" s="21"/>
      <c r="VPT25" s="21"/>
      <c r="VPU25" s="21"/>
      <c r="VPV25" s="21"/>
      <c r="VPW25" s="21"/>
      <c r="VPX25" s="21"/>
      <c r="VPY25" s="21"/>
      <c r="VPZ25" s="21"/>
      <c r="VQA25" s="21"/>
      <c r="VQB25" s="21"/>
      <c r="VQC25" s="21"/>
      <c r="VQD25" s="21"/>
      <c r="VQE25" s="21"/>
      <c r="VQF25" s="21"/>
      <c r="VQG25" s="21"/>
      <c r="VQH25" s="21"/>
      <c r="VQI25" s="21"/>
      <c r="VQJ25" s="21"/>
      <c r="VQK25" s="21"/>
      <c r="VQL25" s="21"/>
      <c r="VQM25" s="21"/>
      <c r="VQN25" s="21"/>
      <c r="VQO25" s="21"/>
      <c r="VQP25" s="21"/>
      <c r="VQQ25" s="21"/>
      <c r="VQR25" s="21"/>
      <c r="VQS25" s="21"/>
      <c r="VQT25" s="21"/>
      <c r="VQU25" s="21"/>
      <c r="VQV25" s="21"/>
      <c r="VQW25" s="21"/>
      <c r="VQX25" s="21"/>
      <c r="VQY25" s="21"/>
      <c r="VQZ25" s="21"/>
      <c r="VRA25" s="21"/>
      <c r="VRB25" s="21"/>
      <c r="VRC25" s="21"/>
      <c r="VRD25" s="21"/>
      <c r="VRE25" s="21"/>
      <c r="VRF25" s="21"/>
      <c r="VRG25" s="21"/>
      <c r="VRH25" s="21"/>
      <c r="VRI25" s="21"/>
      <c r="VRJ25" s="21"/>
      <c r="VRK25" s="21"/>
      <c r="VRL25" s="21"/>
      <c r="VRM25" s="21"/>
      <c r="VRN25" s="21"/>
      <c r="VRO25" s="21"/>
      <c r="VRP25" s="21"/>
      <c r="VRQ25" s="21"/>
      <c r="VRR25" s="21"/>
      <c r="VRS25" s="21"/>
      <c r="VRT25" s="21"/>
      <c r="VRU25" s="21"/>
      <c r="VRV25" s="21"/>
      <c r="VRW25" s="21"/>
      <c r="VRX25" s="21"/>
      <c r="VRY25" s="21"/>
      <c r="VRZ25" s="21"/>
      <c r="VSA25" s="21"/>
      <c r="VSB25" s="21"/>
      <c r="VSC25" s="21"/>
      <c r="VSD25" s="21"/>
      <c r="VSE25" s="21"/>
      <c r="VSF25" s="21"/>
      <c r="VSG25" s="21"/>
      <c r="VSH25" s="21"/>
      <c r="VSI25" s="21"/>
      <c r="VSJ25" s="21"/>
      <c r="VSK25" s="21"/>
      <c r="VSL25" s="21"/>
      <c r="VSM25" s="21"/>
      <c r="VSN25" s="21"/>
      <c r="VSO25" s="21"/>
      <c r="VSP25" s="21"/>
      <c r="VSQ25" s="21"/>
      <c r="VSR25" s="21"/>
      <c r="VSS25" s="21"/>
      <c r="VST25" s="21"/>
      <c r="VSU25" s="21"/>
      <c r="VSV25" s="21"/>
      <c r="VSW25" s="21"/>
      <c r="VSX25" s="21"/>
      <c r="VSY25" s="21"/>
      <c r="VSZ25" s="21"/>
      <c r="VTA25" s="21"/>
      <c r="VTB25" s="21"/>
      <c r="VTC25" s="21"/>
      <c r="VTD25" s="21"/>
      <c r="VTE25" s="21"/>
      <c r="VTF25" s="21"/>
      <c r="VTG25" s="21"/>
      <c r="VTH25" s="21"/>
      <c r="VTI25" s="21"/>
      <c r="VTJ25" s="21"/>
      <c r="VTK25" s="21"/>
      <c r="VTL25" s="21"/>
      <c r="VTM25" s="21"/>
      <c r="VTN25" s="21"/>
      <c r="VTO25" s="21"/>
      <c r="VTP25" s="21"/>
      <c r="VTQ25" s="21"/>
      <c r="VTR25" s="21"/>
      <c r="VTS25" s="21"/>
      <c r="VTT25" s="21"/>
      <c r="VTU25" s="21"/>
      <c r="VTV25" s="21"/>
      <c r="VTW25" s="21"/>
      <c r="VTX25" s="21"/>
      <c r="VTY25" s="21"/>
      <c r="VTZ25" s="21"/>
      <c r="VUA25" s="21"/>
      <c r="VUB25" s="21"/>
      <c r="VUC25" s="21"/>
      <c r="VUD25" s="21"/>
      <c r="VUE25" s="21"/>
      <c r="VUF25" s="21"/>
      <c r="VUG25" s="21"/>
      <c r="VUH25" s="21"/>
      <c r="VUI25" s="21"/>
      <c r="VUJ25" s="21"/>
      <c r="VUK25" s="21"/>
      <c r="VUL25" s="21"/>
      <c r="VUM25" s="21"/>
      <c r="VUN25" s="21"/>
      <c r="VUO25" s="21"/>
      <c r="VUP25" s="21"/>
      <c r="VUQ25" s="21"/>
      <c r="VUR25" s="21"/>
    </row>
    <row r="26" spans="1:15484" s="1" customFormat="1">
      <c r="B26" s="66"/>
      <c r="C26" s="243" t="s">
        <v>29</v>
      </c>
      <c r="D26" s="75">
        <v>0.5</v>
      </c>
      <c r="E26" s="76" t="s">
        <v>13</v>
      </c>
      <c r="F26" s="74">
        <v>0.38</v>
      </c>
      <c r="G26" s="74">
        <v>0.38</v>
      </c>
      <c r="H26" s="74">
        <v>0.39</v>
      </c>
      <c r="I26" s="74">
        <v>0.38</v>
      </c>
      <c r="J26" s="74">
        <v>0.38</v>
      </c>
      <c r="K26" s="74">
        <v>0.37</v>
      </c>
      <c r="L26" s="74">
        <v>0.37</v>
      </c>
      <c r="M26" s="74">
        <v>0.37</v>
      </c>
      <c r="N26" s="74">
        <v>0.37</v>
      </c>
      <c r="O26" s="74">
        <v>0.37</v>
      </c>
      <c r="P26" s="74">
        <v>0.37</v>
      </c>
      <c r="Q26" s="74">
        <v>0.37</v>
      </c>
      <c r="R26" s="74">
        <v>0.38</v>
      </c>
      <c r="S26" s="74">
        <v>0.38</v>
      </c>
      <c r="T26" s="74">
        <v>0.38</v>
      </c>
      <c r="U26" s="74">
        <v>0.37</v>
      </c>
      <c r="V26" s="74">
        <v>0.38</v>
      </c>
      <c r="W26" s="74">
        <v>0.38</v>
      </c>
      <c r="X26" s="74">
        <v>0.37</v>
      </c>
      <c r="Y26" s="74">
        <v>0.37</v>
      </c>
      <c r="Z26" s="74">
        <v>0.39</v>
      </c>
      <c r="AA26" s="74">
        <v>0.38</v>
      </c>
      <c r="AB26" s="74">
        <v>0.37</v>
      </c>
      <c r="AC26" s="74">
        <v>0.38</v>
      </c>
      <c r="AD26" s="74">
        <v>0.39</v>
      </c>
      <c r="AE26" s="74">
        <v>0.37</v>
      </c>
      <c r="AF26" s="74">
        <v>0.38</v>
      </c>
      <c r="AG26" s="74">
        <v>0.37</v>
      </c>
      <c r="AH26" s="74">
        <v>0.38</v>
      </c>
      <c r="AI26" s="74">
        <v>0.37</v>
      </c>
      <c r="AJ26" s="74">
        <v>0.37</v>
      </c>
      <c r="AK26" s="129"/>
      <c r="AL26" s="131">
        <f t="shared" ref="AL26:AL27" si="6">AVERAGE(F26:AJ26)</f>
        <v>0.37612903225806449</v>
      </c>
      <c r="AM26" s="133"/>
      <c r="AN26" s="133"/>
      <c r="AO26" s="130"/>
      <c r="AQ26" s="18">
        <f t="shared" si="5"/>
        <v>0.37857142857142861</v>
      </c>
      <c r="AR26" s="21"/>
      <c r="AS26" s="133"/>
      <c r="AZ26" s="155">
        <f>AZ25/AZ23*100</f>
        <v>101.83978841536614</v>
      </c>
    </row>
    <row r="27" spans="1:15484" s="1" customFormat="1">
      <c r="B27" s="66"/>
      <c r="C27" s="243" t="s">
        <v>30</v>
      </c>
      <c r="D27" s="77" t="s">
        <v>31</v>
      </c>
      <c r="E27" s="76" t="s">
        <v>13</v>
      </c>
      <c r="F27" s="74">
        <v>2.25</v>
      </c>
      <c r="G27" s="78">
        <v>2.2599999999999998</v>
      </c>
      <c r="H27" s="74">
        <v>2.2200000000000002</v>
      </c>
      <c r="I27" s="74">
        <v>2.2400000000000002</v>
      </c>
      <c r="J27" s="74">
        <v>2.2200000000000002</v>
      </c>
      <c r="K27" s="78">
        <v>2.23</v>
      </c>
      <c r="L27" s="78">
        <v>2.2200000000000002</v>
      </c>
      <c r="M27" s="74">
        <v>2.2200000000000002</v>
      </c>
      <c r="N27" s="74">
        <v>2.21</v>
      </c>
      <c r="O27" s="78">
        <v>2.2400000000000002</v>
      </c>
      <c r="P27" s="78">
        <v>2.2200000000000002</v>
      </c>
      <c r="Q27" s="78">
        <v>2.2400000000000002</v>
      </c>
      <c r="R27" s="74">
        <v>2.2400000000000002</v>
      </c>
      <c r="S27" s="74">
        <v>2.2400000000000002</v>
      </c>
      <c r="T27" s="74">
        <v>2.2400000000000002</v>
      </c>
      <c r="U27" s="78">
        <v>2.2599999999999998</v>
      </c>
      <c r="V27" s="74">
        <v>2.2599999999999998</v>
      </c>
      <c r="W27" s="74">
        <v>2.25</v>
      </c>
      <c r="X27" s="74">
        <v>2.23</v>
      </c>
      <c r="Y27" s="74">
        <v>2.2400000000000002</v>
      </c>
      <c r="Z27" s="74">
        <v>2.25</v>
      </c>
      <c r="AA27" s="74">
        <v>2.2400000000000002</v>
      </c>
      <c r="AB27" s="74">
        <v>2.2400000000000002</v>
      </c>
      <c r="AC27" s="74">
        <v>2.2200000000000002</v>
      </c>
      <c r="AD27" s="74">
        <v>2.2400000000000002</v>
      </c>
      <c r="AE27" s="74">
        <v>2.23</v>
      </c>
      <c r="AF27" s="74">
        <v>2.25</v>
      </c>
      <c r="AG27" s="74">
        <v>2.2400000000000002</v>
      </c>
      <c r="AH27" s="74">
        <v>2.23</v>
      </c>
      <c r="AI27" s="74">
        <v>2.25</v>
      </c>
      <c r="AJ27" s="74">
        <v>2.2400000000000002</v>
      </c>
      <c r="AK27" s="129"/>
      <c r="AL27" s="131">
        <f t="shared" si="6"/>
        <v>2.2374193548387096</v>
      </c>
      <c r="AM27" s="133"/>
      <c r="AN27" s="133"/>
      <c r="AO27" s="130"/>
      <c r="AQ27" s="18">
        <f t="shared" si="5"/>
        <v>2.2371428571428575</v>
      </c>
      <c r="AR27" s="21"/>
      <c r="AS27" s="133"/>
      <c r="AZ27" s="130"/>
    </row>
    <row r="28" spans="1:15484" s="1" customFormat="1">
      <c r="B28" s="66"/>
      <c r="C28" s="79" t="s">
        <v>32</v>
      </c>
      <c r="D28" s="80"/>
      <c r="E28" s="81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134"/>
      <c r="AL28" s="135" t="s">
        <v>32</v>
      </c>
      <c r="AM28" s="130"/>
      <c r="AN28" s="130"/>
      <c r="AO28" s="130"/>
      <c r="AZ28" s="130">
        <f>AZ23-AZ25</f>
        <v>-980.82800000000134</v>
      </c>
      <c r="HR28" s="1">
        <f>94.2%*53312</f>
        <v>50219.904000000002</v>
      </c>
    </row>
    <row r="29" spans="1:15484" s="3" customFormat="1">
      <c r="B29" s="82"/>
      <c r="C29" s="244" t="s">
        <v>33</v>
      </c>
      <c r="D29" s="68">
        <f>D47%*D23</f>
        <v>1884000.0000000002</v>
      </c>
      <c r="E29" s="245" t="s">
        <v>10</v>
      </c>
      <c r="F29" s="70">
        <v>1899100</v>
      </c>
      <c r="G29" s="70">
        <v>1908000</v>
      </c>
      <c r="H29" s="70">
        <v>1930100</v>
      </c>
      <c r="I29" s="70">
        <v>1862700</v>
      </c>
      <c r="J29" s="70">
        <v>1726200</v>
      </c>
      <c r="K29" s="70">
        <v>1763300</v>
      </c>
      <c r="L29" s="70">
        <v>1764700</v>
      </c>
      <c r="M29" s="70">
        <v>1691400</v>
      </c>
      <c r="N29" s="70">
        <v>1717400</v>
      </c>
      <c r="O29" s="70">
        <v>1814600</v>
      </c>
      <c r="P29" s="70">
        <v>1529700</v>
      </c>
      <c r="Q29" s="70">
        <v>1612500</v>
      </c>
      <c r="R29" s="70">
        <f>692400+824300</f>
        <v>1516700</v>
      </c>
      <c r="S29" s="70">
        <v>1657100</v>
      </c>
      <c r="T29" s="70">
        <v>1832800</v>
      </c>
      <c r="U29" s="70">
        <f>378500+1354000</f>
        <v>1732500</v>
      </c>
      <c r="V29" s="70">
        <f>361200+1248100</f>
        <v>1609300</v>
      </c>
      <c r="W29" s="70">
        <v>1547400</v>
      </c>
      <c r="X29" s="70">
        <v>1481600</v>
      </c>
      <c r="Y29" s="70">
        <v>1453200</v>
      </c>
      <c r="Z29" s="70">
        <v>1536300</v>
      </c>
      <c r="AA29" s="70">
        <v>1705200</v>
      </c>
      <c r="AB29" s="70">
        <v>1636600</v>
      </c>
      <c r="AC29" s="70">
        <v>1703000</v>
      </c>
      <c r="AD29" s="70">
        <v>1439500</v>
      </c>
      <c r="AE29" s="70">
        <v>1234100</v>
      </c>
      <c r="AF29" s="70">
        <v>1375400</v>
      </c>
      <c r="AG29" s="70">
        <v>1599300</v>
      </c>
      <c r="AH29" s="70">
        <v>1767400</v>
      </c>
      <c r="AI29" s="70">
        <v>1830700</v>
      </c>
      <c r="AJ29" s="70">
        <v>1826000</v>
      </c>
      <c r="AK29" s="136"/>
      <c r="AL29" s="128">
        <f t="shared" ref="AL29:AL34" si="7">SUM(F29:AJ29)</f>
        <v>51703800</v>
      </c>
      <c r="AM29" s="33"/>
      <c r="AN29" s="33"/>
      <c r="AO29" s="33"/>
      <c r="AQ29" s="119">
        <f t="shared" ref="AQ29:AQ34" si="8">SUM(Z29:AF29)</f>
        <v>10630100</v>
      </c>
      <c r="AR29" s="18">
        <f>AQ29/AQ23*100</f>
        <v>95.372742870057337</v>
      </c>
      <c r="AZ29" s="33">
        <f>AZ28/18</f>
        <v>-54.49044444444452</v>
      </c>
      <c r="GU29" s="153">
        <f t="shared" ref="GU29:GU34" si="9">SUM(T29:Z29)</f>
        <v>11193100</v>
      </c>
      <c r="GV29" s="18">
        <f>GU29/GU23*100</f>
        <v>95.336183314349455</v>
      </c>
      <c r="HR29" s="33">
        <f>HR28-8000</f>
        <v>42219.904000000002</v>
      </c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</row>
    <row r="30" spans="1:15484" s="3" customFormat="1">
      <c r="B30" s="82"/>
      <c r="C30" s="244" t="s">
        <v>34</v>
      </c>
      <c r="D30" s="68">
        <f>D48%*D23</f>
        <v>100000</v>
      </c>
      <c r="E30" s="245" t="s">
        <v>10</v>
      </c>
      <c r="F30" s="70">
        <v>89928</v>
      </c>
      <c r="G30" s="70">
        <v>85232</v>
      </c>
      <c r="H30" s="70">
        <v>83394</v>
      </c>
      <c r="I30" s="70">
        <v>86007</v>
      </c>
      <c r="J30" s="70">
        <v>81294</v>
      </c>
      <c r="K30" s="70">
        <v>84614</v>
      </c>
      <c r="L30" s="70">
        <v>80158</v>
      </c>
      <c r="M30" s="70">
        <v>74659</v>
      </c>
      <c r="N30" s="70">
        <v>78686</v>
      </c>
      <c r="O30" s="70">
        <v>79224</v>
      </c>
      <c r="P30" s="70">
        <v>68016</v>
      </c>
      <c r="Q30" s="70">
        <v>71232</v>
      </c>
      <c r="R30" s="70">
        <v>66870</v>
      </c>
      <c r="S30" s="70">
        <v>73758</v>
      </c>
      <c r="T30" s="70">
        <v>81287</v>
      </c>
      <c r="U30" s="70">
        <v>72689</v>
      </c>
      <c r="V30" s="70">
        <v>68153</v>
      </c>
      <c r="W30" s="70">
        <v>66093</v>
      </c>
      <c r="X30" s="70">
        <v>62141</v>
      </c>
      <c r="Y30" s="70">
        <v>61996</v>
      </c>
      <c r="Z30" s="70">
        <v>63458</v>
      </c>
      <c r="AA30" s="70">
        <v>72517</v>
      </c>
      <c r="AB30" s="70">
        <v>70205</v>
      </c>
      <c r="AC30" s="70">
        <v>69100</v>
      </c>
      <c r="AD30" s="70">
        <v>60978</v>
      </c>
      <c r="AE30" s="70">
        <v>52558</v>
      </c>
      <c r="AF30" s="70">
        <v>58683</v>
      </c>
      <c r="AG30" s="70">
        <v>67685</v>
      </c>
      <c r="AH30" s="70">
        <v>74502</v>
      </c>
      <c r="AI30" s="70">
        <v>77192</v>
      </c>
      <c r="AJ30" s="70">
        <v>74702</v>
      </c>
      <c r="AK30" s="136"/>
      <c r="AL30" s="128">
        <f t="shared" si="7"/>
        <v>2257011</v>
      </c>
      <c r="AM30" s="33"/>
      <c r="AN30" s="33"/>
      <c r="AO30" s="33"/>
      <c r="AQ30" s="119">
        <f t="shared" si="8"/>
        <v>447499</v>
      </c>
      <c r="AR30" s="18">
        <f>AQ30/AQ23*100</f>
        <v>4.0149393760743353</v>
      </c>
      <c r="GU30" s="153">
        <f t="shared" si="9"/>
        <v>475817</v>
      </c>
      <c r="GV30" s="18">
        <f>GU30/GU23*100</f>
        <v>4.0527268349325762</v>
      </c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</row>
    <row r="31" spans="1:15484">
      <c r="B31" s="82"/>
      <c r="C31" s="83" t="s">
        <v>35</v>
      </c>
      <c r="D31" s="84"/>
      <c r="E31" s="85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136"/>
      <c r="AL31" s="137" t="s">
        <v>36</v>
      </c>
      <c r="AM31" s="33"/>
      <c r="AN31" s="33"/>
      <c r="AR31" s="18">
        <f>100-AR29-AR30</f>
        <v>0.61231775386832776</v>
      </c>
      <c r="GV31" s="18"/>
    </row>
    <row r="32" spans="1:15484" s="1" customFormat="1" ht="14.25">
      <c r="B32" s="76"/>
      <c r="C32" s="244" t="s">
        <v>37</v>
      </c>
      <c r="D32" s="80"/>
      <c r="E32" s="245" t="s">
        <v>10</v>
      </c>
      <c r="F32" s="70">
        <f t="shared" ref="F32:P32" si="10">SUM(F33:F34)</f>
        <v>2135002</v>
      </c>
      <c r="G32" s="70">
        <f t="shared" si="10"/>
        <v>2162983</v>
      </c>
      <c r="H32" s="70">
        <f t="shared" si="10"/>
        <v>2177754</v>
      </c>
      <c r="I32" s="70">
        <f t="shared" si="10"/>
        <v>2140969</v>
      </c>
      <c r="J32" s="70">
        <f t="shared" si="10"/>
        <v>1159226</v>
      </c>
      <c r="K32" s="70">
        <f t="shared" si="10"/>
        <v>0</v>
      </c>
      <c r="L32" s="70">
        <f t="shared" si="10"/>
        <v>47756</v>
      </c>
      <c r="M32" s="70">
        <f t="shared" si="10"/>
        <v>599862</v>
      </c>
      <c r="N32" s="70">
        <f t="shared" si="10"/>
        <v>1124069</v>
      </c>
      <c r="O32" s="70">
        <f t="shared" si="10"/>
        <v>1183265</v>
      </c>
      <c r="P32" s="70">
        <f t="shared" si="10"/>
        <v>1251277</v>
      </c>
      <c r="Q32" s="70">
        <v>0</v>
      </c>
      <c r="R32" s="70">
        <v>0</v>
      </c>
      <c r="S32" s="70">
        <v>0</v>
      </c>
      <c r="T32" s="70">
        <f t="shared" ref="T32:AJ32" si="11">SUM(T33:T34)</f>
        <v>535665</v>
      </c>
      <c r="U32" s="70">
        <f t="shared" si="11"/>
        <v>0</v>
      </c>
      <c r="V32" s="70">
        <f t="shared" si="11"/>
        <v>0</v>
      </c>
      <c r="W32" s="70">
        <f t="shared" si="11"/>
        <v>1262141</v>
      </c>
      <c r="X32" s="70">
        <f t="shared" si="11"/>
        <v>2100768</v>
      </c>
      <c r="Y32" s="70">
        <f t="shared" si="11"/>
        <v>2001816</v>
      </c>
      <c r="Z32" s="70">
        <f t="shared" si="11"/>
        <v>1549814</v>
      </c>
      <c r="AA32" s="70">
        <f t="shared" si="11"/>
        <v>1528284</v>
      </c>
      <c r="AB32" s="70">
        <f t="shared" si="11"/>
        <v>1558539</v>
      </c>
      <c r="AC32" s="70">
        <f t="shared" si="11"/>
        <v>1637154</v>
      </c>
      <c r="AD32" s="70">
        <f t="shared" si="11"/>
        <v>1588427</v>
      </c>
      <c r="AE32" s="70">
        <f t="shared" si="11"/>
        <v>1109448</v>
      </c>
      <c r="AF32" s="70">
        <f t="shared" si="11"/>
        <v>0</v>
      </c>
      <c r="AG32" s="70">
        <f t="shared" si="11"/>
        <v>0</v>
      </c>
      <c r="AH32" s="70">
        <f t="shared" si="11"/>
        <v>721103</v>
      </c>
      <c r="AI32" s="70">
        <f t="shared" si="11"/>
        <v>2084592</v>
      </c>
      <c r="AJ32" s="70">
        <f t="shared" si="11"/>
        <v>2131790</v>
      </c>
      <c r="AK32" s="129"/>
      <c r="AL32" s="128">
        <f t="shared" si="7"/>
        <v>33791704</v>
      </c>
      <c r="AM32" s="130"/>
      <c r="AN32" s="130"/>
      <c r="AO32" s="130"/>
      <c r="AQ32" s="119">
        <f t="shared" si="8"/>
        <v>8971666</v>
      </c>
      <c r="AR32" s="155"/>
      <c r="GU32" s="153">
        <f t="shared" si="9"/>
        <v>7450204</v>
      </c>
      <c r="GV32" s="155"/>
      <c r="HR32" s="153">
        <f>SUM(AL32,AL42)</f>
        <v>40414452</v>
      </c>
    </row>
    <row r="33" spans="1:15436">
      <c r="B33" s="82"/>
      <c r="C33" s="244" t="s">
        <v>38</v>
      </c>
      <c r="D33" s="80"/>
      <c r="E33" s="245" t="s">
        <v>10</v>
      </c>
      <c r="F33" s="70">
        <v>1771878</v>
      </c>
      <c r="G33" s="70">
        <v>1793917</v>
      </c>
      <c r="H33" s="70">
        <v>1805758</v>
      </c>
      <c r="I33" s="70">
        <v>1792802</v>
      </c>
      <c r="J33" s="70">
        <v>961505</v>
      </c>
      <c r="K33" s="70">
        <v>0</v>
      </c>
      <c r="L33" s="70">
        <v>39584</v>
      </c>
      <c r="M33" s="70">
        <v>497388</v>
      </c>
      <c r="N33" s="70">
        <v>941052</v>
      </c>
      <c r="O33" s="70">
        <v>988148</v>
      </c>
      <c r="P33" s="70">
        <v>1047708</v>
      </c>
      <c r="Q33" s="70">
        <v>0</v>
      </c>
      <c r="R33" s="70">
        <v>0</v>
      </c>
      <c r="S33" s="70">
        <v>0</v>
      </c>
      <c r="T33" s="70">
        <v>443493</v>
      </c>
      <c r="U33" s="70">
        <v>0</v>
      </c>
      <c r="V33" s="70">
        <v>0</v>
      </c>
      <c r="W33" s="70">
        <v>1043540</v>
      </c>
      <c r="X33" s="70">
        <v>1750000</v>
      </c>
      <c r="Y33" s="70">
        <v>1655519</v>
      </c>
      <c r="Z33" s="70">
        <v>1278532</v>
      </c>
      <c r="AA33" s="70">
        <v>1276014</v>
      </c>
      <c r="AB33" s="70">
        <v>1291878</v>
      </c>
      <c r="AC33" s="70">
        <v>1358180</v>
      </c>
      <c r="AD33" s="70">
        <v>1332023</v>
      </c>
      <c r="AE33" s="70">
        <v>921124</v>
      </c>
      <c r="AF33" s="70">
        <v>0</v>
      </c>
      <c r="AG33" s="70">
        <v>0</v>
      </c>
      <c r="AH33" s="70">
        <v>596185</v>
      </c>
      <c r="AI33" s="70">
        <v>1759211</v>
      </c>
      <c r="AJ33" s="70">
        <v>1796071</v>
      </c>
      <c r="AK33" s="136"/>
      <c r="AL33" s="128">
        <f t="shared" si="7"/>
        <v>28141510</v>
      </c>
      <c r="AM33" s="33"/>
      <c r="AN33" s="33"/>
      <c r="AQ33" s="119">
        <f t="shared" si="8"/>
        <v>7457751</v>
      </c>
      <c r="AR33" s="18">
        <f>AQ33/AQ32*100</f>
        <v>83.125597854400738</v>
      </c>
      <c r="GU33" s="153">
        <f t="shared" si="9"/>
        <v>6171084</v>
      </c>
      <c r="GV33" s="18">
        <f>GU33/GU32*100</f>
        <v>82.831074155821767</v>
      </c>
      <c r="HR33" s="119">
        <f>HR32/1000</f>
        <v>40414.451999999997</v>
      </c>
      <c r="HS33" s="119"/>
    </row>
    <row r="34" spans="1:15436">
      <c r="B34" s="82"/>
      <c r="C34" s="244" t="s">
        <v>39</v>
      </c>
      <c r="D34" s="80"/>
      <c r="E34" s="245" t="s">
        <v>10</v>
      </c>
      <c r="F34" s="70">
        <v>363124</v>
      </c>
      <c r="G34" s="70">
        <v>369066</v>
      </c>
      <c r="H34" s="70">
        <v>371996</v>
      </c>
      <c r="I34" s="70">
        <v>348167</v>
      </c>
      <c r="J34" s="70">
        <v>197721</v>
      </c>
      <c r="K34" s="70">
        <v>0</v>
      </c>
      <c r="L34" s="70">
        <v>8172</v>
      </c>
      <c r="M34" s="70">
        <v>102474</v>
      </c>
      <c r="N34" s="70">
        <v>183017</v>
      </c>
      <c r="O34" s="70">
        <v>195117</v>
      </c>
      <c r="P34" s="70">
        <v>203569</v>
      </c>
      <c r="Q34" s="70">
        <v>0</v>
      </c>
      <c r="R34" s="70">
        <v>0</v>
      </c>
      <c r="S34" s="70">
        <v>0</v>
      </c>
      <c r="T34" s="70">
        <v>92172</v>
      </c>
      <c r="U34" s="70">
        <v>0</v>
      </c>
      <c r="V34" s="70">
        <v>0</v>
      </c>
      <c r="W34" s="70">
        <f>245601-W45</f>
        <v>218601</v>
      </c>
      <c r="X34" s="70">
        <v>350768</v>
      </c>
      <c r="Y34" s="70">
        <v>346297</v>
      </c>
      <c r="Z34" s="70">
        <v>271282</v>
      </c>
      <c r="AA34" s="70">
        <v>252270</v>
      </c>
      <c r="AB34" s="70">
        <v>266661</v>
      </c>
      <c r="AC34" s="70">
        <v>278974</v>
      </c>
      <c r="AD34" s="70">
        <v>256404</v>
      </c>
      <c r="AE34" s="70">
        <v>188324</v>
      </c>
      <c r="AF34" s="70">
        <v>0</v>
      </c>
      <c r="AG34" s="70">
        <v>0</v>
      </c>
      <c r="AH34" s="70">
        <f>337218-AH45</f>
        <v>124918</v>
      </c>
      <c r="AI34" s="70">
        <v>325381</v>
      </c>
      <c r="AJ34" s="70">
        <v>335719</v>
      </c>
      <c r="AK34" s="136"/>
      <c r="AL34" s="128">
        <f t="shared" si="7"/>
        <v>5650194</v>
      </c>
      <c r="AM34" s="33"/>
      <c r="AN34" s="33"/>
      <c r="AQ34" s="119">
        <f t="shared" si="8"/>
        <v>1513915</v>
      </c>
      <c r="AR34" s="18">
        <f>AQ34/AQ32*100</f>
        <v>16.874402145599269</v>
      </c>
      <c r="AV34" s="119"/>
      <c r="GU34" s="153">
        <f t="shared" si="9"/>
        <v>1279120</v>
      </c>
      <c r="GV34" s="18">
        <f>GU34/GU32*100</f>
        <v>17.168925844178226</v>
      </c>
      <c r="HR34" s="18">
        <f>HR33/HR29*100</f>
        <v>95.723694682015363</v>
      </c>
      <c r="HS34" s="119"/>
    </row>
    <row r="35" spans="1:15436" hidden="1">
      <c r="B35" s="82"/>
      <c r="C35" s="83" t="s">
        <v>40</v>
      </c>
      <c r="D35" s="84"/>
      <c r="E35" s="85"/>
      <c r="F35" s="64"/>
      <c r="G35" s="64"/>
      <c r="H35" s="64"/>
      <c r="I35" s="108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36"/>
      <c r="AL35" s="137" t="s">
        <v>41</v>
      </c>
      <c r="AR35" s="18"/>
      <c r="GV35" s="18"/>
    </row>
    <row r="36" spans="1:15436" s="4" customFormat="1" hidden="1">
      <c r="A36" s="9"/>
      <c r="B36" s="47"/>
      <c r="C36" s="86" t="s">
        <v>26</v>
      </c>
      <c r="D36" s="87"/>
      <c r="E36" s="88" t="s">
        <v>10</v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117"/>
      <c r="AD36" s="117"/>
      <c r="AE36" s="117"/>
      <c r="AF36" s="117"/>
      <c r="AG36" s="117"/>
      <c r="AH36" s="117"/>
      <c r="AI36" s="117"/>
      <c r="AJ36" s="117"/>
      <c r="AK36" s="138"/>
      <c r="AL36" s="139">
        <f t="shared" ref="AL36:AL39" si="12">SUM(F36:AI36)</f>
        <v>0</v>
      </c>
      <c r="AM36" s="9"/>
      <c r="AN36" s="9"/>
      <c r="AO36" s="156"/>
      <c r="AP36" s="9"/>
      <c r="AQ36" s="9"/>
      <c r="AR36" s="157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157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  <c r="VIR36" s="9"/>
      <c r="VIS36" s="9"/>
      <c r="VIT36" s="9"/>
      <c r="VIU36" s="9"/>
      <c r="VIV36" s="9"/>
      <c r="VIW36" s="9"/>
      <c r="VIX36" s="9"/>
      <c r="VIY36" s="9"/>
      <c r="VIZ36" s="9"/>
      <c r="VJA36" s="9"/>
      <c r="VJB36" s="9"/>
      <c r="VJC36" s="9"/>
      <c r="VJD36" s="9"/>
      <c r="VJE36" s="9"/>
      <c r="VJF36" s="9"/>
      <c r="VJG36" s="9"/>
      <c r="VJH36" s="9"/>
      <c r="VJI36" s="9"/>
      <c r="VJJ36" s="9"/>
      <c r="VJK36" s="9"/>
      <c r="VJL36" s="9"/>
      <c r="VJM36" s="9"/>
      <c r="VJN36" s="9"/>
      <c r="VJO36" s="9"/>
      <c r="VJP36" s="9"/>
      <c r="VJQ36" s="9"/>
      <c r="VJR36" s="9"/>
      <c r="VJS36" s="9"/>
      <c r="VJT36" s="9"/>
      <c r="VJU36" s="9"/>
      <c r="VJV36" s="9"/>
      <c r="VJW36" s="9"/>
      <c r="VJX36" s="9"/>
      <c r="VJY36" s="9"/>
      <c r="VJZ36" s="9"/>
      <c r="VKA36" s="9"/>
      <c r="VKB36" s="9"/>
      <c r="VKC36" s="9"/>
      <c r="VKD36" s="9"/>
      <c r="VKE36" s="9"/>
      <c r="VKF36" s="9"/>
      <c r="VKG36" s="9"/>
      <c r="VKH36" s="9"/>
      <c r="VKI36" s="9"/>
      <c r="VKJ36" s="9"/>
      <c r="VKK36" s="9"/>
      <c r="VKL36" s="9"/>
      <c r="VKM36" s="9"/>
      <c r="VKN36" s="9"/>
      <c r="VKO36" s="9"/>
      <c r="VKP36" s="9"/>
      <c r="VKQ36" s="9"/>
      <c r="VKR36" s="9"/>
      <c r="VKS36" s="9"/>
      <c r="VKT36" s="9"/>
      <c r="VKU36" s="9"/>
      <c r="VKV36" s="9"/>
      <c r="VKW36" s="9"/>
      <c r="VKX36" s="9"/>
      <c r="VKY36" s="9"/>
      <c r="VKZ36" s="9"/>
      <c r="VLA36" s="9"/>
      <c r="VLB36" s="9"/>
      <c r="VLC36" s="9"/>
      <c r="VLD36" s="9"/>
      <c r="VLE36" s="9"/>
      <c r="VLF36" s="9"/>
      <c r="VLG36" s="9"/>
      <c r="VLH36" s="9"/>
      <c r="VLI36" s="9"/>
      <c r="VLJ36" s="9"/>
      <c r="VLK36" s="9"/>
      <c r="VLL36" s="9"/>
      <c r="VLM36" s="9"/>
      <c r="VLN36" s="9"/>
      <c r="VLO36" s="9"/>
      <c r="VLP36" s="9"/>
      <c r="VLQ36" s="9"/>
      <c r="VLR36" s="9"/>
      <c r="VLS36" s="9"/>
      <c r="VLT36" s="9"/>
      <c r="VLU36" s="9"/>
      <c r="VLV36" s="9"/>
      <c r="VLW36" s="9"/>
      <c r="VLX36" s="9"/>
      <c r="VLY36" s="9"/>
      <c r="VLZ36" s="9"/>
      <c r="VMA36" s="9"/>
      <c r="VMB36" s="9"/>
      <c r="VMC36" s="9"/>
      <c r="VMD36" s="9"/>
      <c r="VME36" s="9"/>
      <c r="VMF36" s="9"/>
      <c r="VMG36" s="9"/>
      <c r="VMH36" s="9"/>
      <c r="VMI36" s="9"/>
      <c r="VMJ36" s="9"/>
      <c r="VMK36" s="9"/>
      <c r="VML36" s="9"/>
      <c r="VMM36" s="9"/>
      <c r="VMN36" s="9"/>
      <c r="VMO36" s="9"/>
      <c r="VMP36" s="9"/>
      <c r="VMQ36" s="9"/>
      <c r="VMR36" s="9"/>
      <c r="VMS36" s="9"/>
      <c r="VMT36" s="9"/>
      <c r="VMU36" s="9"/>
      <c r="VMV36" s="9"/>
      <c r="VMW36" s="9"/>
      <c r="VMX36" s="9"/>
      <c r="VMY36" s="9"/>
      <c r="VMZ36" s="9"/>
      <c r="VNA36" s="9"/>
      <c r="VNB36" s="9"/>
      <c r="VNC36" s="9"/>
      <c r="VND36" s="9"/>
      <c r="VNE36" s="9"/>
      <c r="VNF36" s="9"/>
      <c r="VNG36" s="9"/>
      <c r="VNH36" s="9"/>
      <c r="VNI36" s="9"/>
      <c r="VNJ36" s="9"/>
      <c r="VNK36" s="9"/>
      <c r="VNL36" s="9"/>
      <c r="VNM36" s="9"/>
      <c r="VNN36" s="9"/>
      <c r="VNO36" s="9"/>
      <c r="VNP36" s="9"/>
      <c r="VNQ36" s="9"/>
      <c r="VNR36" s="9"/>
      <c r="VNS36" s="9"/>
      <c r="VNT36" s="9"/>
      <c r="VNU36" s="9"/>
      <c r="VNV36" s="9"/>
      <c r="VNW36" s="9"/>
      <c r="VNX36" s="9"/>
      <c r="VNY36" s="9"/>
      <c r="VNZ36" s="9"/>
      <c r="VOA36" s="9"/>
      <c r="VOB36" s="9"/>
      <c r="VOC36" s="9"/>
      <c r="VOD36" s="9"/>
      <c r="VOE36" s="9"/>
      <c r="VOF36" s="9"/>
      <c r="VOG36" s="9"/>
      <c r="VOH36" s="9"/>
      <c r="VOI36" s="9"/>
      <c r="VOJ36" s="9"/>
      <c r="VOK36" s="9"/>
      <c r="VOL36" s="9"/>
      <c r="VOM36" s="9"/>
      <c r="VON36" s="9"/>
      <c r="VOO36" s="9"/>
      <c r="VOP36" s="9"/>
      <c r="VOQ36" s="9"/>
      <c r="VOR36" s="9"/>
      <c r="VOS36" s="9"/>
      <c r="VOT36" s="9"/>
      <c r="VOU36" s="9"/>
      <c r="VOV36" s="9"/>
      <c r="VOW36" s="9"/>
      <c r="VOX36" s="9"/>
      <c r="VOY36" s="9"/>
      <c r="VOZ36" s="9"/>
      <c r="VPA36" s="9"/>
      <c r="VPB36" s="9"/>
      <c r="VPC36" s="9"/>
      <c r="VPD36" s="9"/>
      <c r="VPE36" s="9"/>
      <c r="VPF36" s="9"/>
      <c r="VPG36" s="9"/>
      <c r="VPH36" s="9"/>
      <c r="VPI36" s="9"/>
      <c r="VPJ36" s="9"/>
      <c r="VPK36" s="9"/>
      <c r="VPL36" s="9"/>
      <c r="VPM36" s="9"/>
      <c r="VPN36" s="9"/>
      <c r="VPO36" s="9"/>
      <c r="VPP36" s="9"/>
      <c r="VPQ36" s="9"/>
      <c r="VPR36" s="9"/>
      <c r="VPS36" s="9"/>
      <c r="VPT36" s="9"/>
      <c r="VPU36" s="9"/>
      <c r="VPV36" s="9"/>
      <c r="VPW36" s="9"/>
      <c r="VPX36" s="9"/>
      <c r="VPY36" s="9"/>
      <c r="VPZ36" s="9"/>
      <c r="VQA36" s="9"/>
      <c r="VQB36" s="9"/>
      <c r="VQC36" s="9"/>
      <c r="VQD36" s="9"/>
      <c r="VQE36" s="9"/>
      <c r="VQF36" s="9"/>
      <c r="VQG36" s="9"/>
      <c r="VQH36" s="9"/>
      <c r="VQI36" s="9"/>
      <c r="VQJ36" s="9"/>
      <c r="VQK36" s="9"/>
      <c r="VQL36" s="9"/>
      <c r="VQM36" s="9"/>
      <c r="VQN36" s="9"/>
      <c r="VQO36" s="9"/>
      <c r="VQP36" s="9"/>
      <c r="VQQ36" s="9"/>
      <c r="VQR36" s="9"/>
      <c r="VQS36" s="9"/>
      <c r="VQT36" s="9"/>
      <c r="VQU36" s="9"/>
      <c r="VQV36" s="9"/>
      <c r="VQW36" s="9"/>
      <c r="VQX36" s="9"/>
      <c r="VQY36" s="9"/>
      <c r="VQZ36" s="9"/>
      <c r="VRA36" s="9"/>
      <c r="VRB36" s="9"/>
      <c r="VRC36" s="9"/>
      <c r="VRD36" s="9"/>
      <c r="VRE36" s="9"/>
      <c r="VRF36" s="9"/>
      <c r="VRG36" s="9"/>
      <c r="VRH36" s="9"/>
      <c r="VRI36" s="9"/>
      <c r="VRJ36" s="9"/>
      <c r="VRK36" s="9"/>
      <c r="VRL36" s="9"/>
      <c r="VRM36" s="9"/>
      <c r="VRN36" s="9"/>
      <c r="VRO36" s="9"/>
      <c r="VRP36" s="9"/>
      <c r="VRQ36" s="9"/>
      <c r="VRR36" s="9"/>
      <c r="VRS36" s="9"/>
      <c r="VRT36" s="9"/>
      <c r="VRU36" s="9"/>
      <c r="VRV36" s="9"/>
      <c r="VRW36" s="9"/>
      <c r="VRX36" s="9"/>
      <c r="VRY36" s="9"/>
      <c r="VRZ36" s="9"/>
      <c r="VSA36" s="9"/>
      <c r="VSB36" s="9"/>
      <c r="VSC36" s="9"/>
      <c r="VSD36" s="9"/>
      <c r="VSE36" s="9"/>
      <c r="VSF36" s="9"/>
      <c r="VSG36" s="9"/>
      <c r="VSH36" s="9"/>
      <c r="VSI36" s="9"/>
      <c r="VSJ36" s="9"/>
      <c r="VSK36" s="9"/>
      <c r="VSL36" s="9"/>
      <c r="VSM36" s="9"/>
      <c r="VSN36" s="9"/>
      <c r="VSO36" s="9"/>
      <c r="VSP36" s="9"/>
      <c r="VSQ36" s="9"/>
      <c r="VSR36" s="9"/>
      <c r="VSS36" s="9"/>
      <c r="VST36" s="9"/>
      <c r="VSU36" s="9"/>
      <c r="VSV36" s="9"/>
      <c r="VSW36" s="9"/>
      <c r="VSX36" s="9"/>
      <c r="VSY36" s="9"/>
      <c r="VSZ36" s="9"/>
      <c r="VTA36" s="9"/>
      <c r="VTB36" s="9"/>
      <c r="VTC36" s="9"/>
      <c r="VTD36" s="9"/>
      <c r="VTE36" s="9"/>
      <c r="VTF36" s="9"/>
      <c r="VTG36" s="9"/>
      <c r="VTH36" s="9"/>
      <c r="VTI36" s="9"/>
      <c r="VTJ36" s="9"/>
      <c r="VTK36" s="9"/>
      <c r="VTL36" s="9"/>
      <c r="VTM36" s="9"/>
      <c r="VTN36" s="9"/>
      <c r="VTO36" s="9"/>
      <c r="VTP36" s="9"/>
      <c r="VTQ36" s="9"/>
      <c r="VTR36" s="9"/>
      <c r="VTS36" s="9"/>
      <c r="VTT36" s="9"/>
      <c r="VTU36" s="9"/>
      <c r="VTV36" s="9"/>
      <c r="VTW36" s="9"/>
      <c r="VTX36" s="9"/>
      <c r="VTY36" s="9"/>
      <c r="VTZ36" s="9"/>
      <c r="VUA36" s="9"/>
      <c r="VUB36" s="9"/>
      <c r="VUC36" s="9"/>
      <c r="VUD36" s="9"/>
      <c r="VUE36" s="9"/>
      <c r="VUF36" s="9"/>
      <c r="VUG36" s="9"/>
      <c r="VUH36" s="9"/>
      <c r="VUI36" s="9"/>
      <c r="VUJ36" s="9"/>
      <c r="VUK36" s="9"/>
      <c r="VUL36" s="9"/>
      <c r="VUM36" s="9"/>
      <c r="VUN36" s="9"/>
      <c r="VUO36" s="9"/>
      <c r="VUP36" s="9"/>
      <c r="VUQ36" s="9"/>
      <c r="VUR36" s="9"/>
    </row>
    <row r="37" spans="1:15436" s="1" customFormat="1" ht="14.25" hidden="1">
      <c r="B37" s="76"/>
      <c r="C37" s="244" t="s">
        <v>42</v>
      </c>
      <c r="D37" s="80"/>
      <c r="E37" s="245" t="s">
        <v>10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129"/>
      <c r="AL37" s="139">
        <f t="shared" si="12"/>
        <v>0</v>
      </c>
      <c r="AO37" s="130"/>
      <c r="AR37" s="155"/>
      <c r="GV37" s="155"/>
    </row>
    <row r="38" spans="1:15436" s="1" customFormat="1" ht="14.25" hidden="1">
      <c r="B38" s="76"/>
      <c r="C38" s="244" t="s">
        <v>43</v>
      </c>
      <c r="D38" s="80"/>
      <c r="E38" s="245" t="s">
        <v>10</v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129"/>
      <c r="AL38" s="140">
        <f t="shared" si="12"/>
        <v>0</v>
      </c>
      <c r="AO38" s="130"/>
      <c r="AR38" s="155"/>
      <c r="GV38" s="155"/>
    </row>
    <row r="39" spans="1:15436" s="1" customFormat="1" ht="14.25" hidden="1">
      <c r="B39" s="76"/>
      <c r="C39" s="67" t="s">
        <v>39</v>
      </c>
      <c r="D39" s="80"/>
      <c r="E39" s="245" t="s">
        <v>10</v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129"/>
      <c r="AL39" s="139">
        <f t="shared" si="12"/>
        <v>0</v>
      </c>
      <c r="AO39" s="130"/>
      <c r="AR39" s="155"/>
      <c r="GV39" s="155"/>
    </row>
    <row r="40" spans="1:15436">
      <c r="B40" s="82"/>
      <c r="C40" s="83" t="s">
        <v>44</v>
      </c>
      <c r="D40" s="84"/>
      <c r="E40" s="85"/>
      <c r="F40" s="64"/>
      <c r="G40" s="64"/>
      <c r="H40" s="64"/>
      <c r="I40" s="108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36"/>
      <c r="AL40" s="137" t="s">
        <v>45</v>
      </c>
      <c r="AR40" s="18"/>
      <c r="GV40" s="18"/>
    </row>
    <row r="41" spans="1:15436" s="4" customFormat="1" hidden="1">
      <c r="A41" s="9"/>
      <c r="B41" s="47"/>
      <c r="C41" s="86" t="s">
        <v>26</v>
      </c>
      <c r="D41" s="87"/>
      <c r="E41" s="88" t="s">
        <v>10</v>
      </c>
      <c r="F41" s="70"/>
      <c r="G41" s="70"/>
      <c r="H41" s="70"/>
      <c r="I41" s="70"/>
      <c r="J41" s="70">
        <f>K42/J47%</f>
        <v>922848.35539566691</v>
      </c>
      <c r="K41" s="70">
        <f>L42/K47%</f>
        <v>526096.70332444843</v>
      </c>
      <c r="L41" s="70"/>
      <c r="M41" s="70"/>
      <c r="N41" s="70"/>
      <c r="O41" s="70"/>
      <c r="P41" s="70">
        <f>Q42/P47%</f>
        <v>905863.53874485195</v>
      </c>
      <c r="Q41" s="70">
        <f>R42/Q47%</f>
        <v>784901.37671379838</v>
      </c>
      <c r="R41" s="70">
        <f>S42/R47%</f>
        <v>726843.29267356754</v>
      </c>
      <c r="S41" s="70"/>
      <c r="T41" s="70"/>
      <c r="U41" s="70">
        <f>V42/U47%</f>
        <v>679370.01738181815</v>
      </c>
      <c r="V41" s="70">
        <f>W42/V47%</f>
        <v>71241.700833902942</v>
      </c>
      <c r="W41" s="70"/>
      <c r="X41" s="70"/>
      <c r="Y41" s="70"/>
      <c r="Z41" s="70"/>
      <c r="AA41" s="70"/>
      <c r="AB41" s="70"/>
      <c r="AC41" s="70"/>
      <c r="AD41" s="117"/>
      <c r="AE41" s="117">
        <f>AF42/AE47%</f>
        <v>877890.81101045304</v>
      </c>
      <c r="AF41" s="117">
        <f>AG42/AF47%</f>
        <v>901362.27840410057</v>
      </c>
      <c r="AG41" s="117"/>
      <c r="AH41" s="117"/>
      <c r="AI41" s="117"/>
      <c r="AJ41" s="117"/>
      <c r="AK41" s="138"/>
      <c r="AL41" s="139">
        <f>SUM(F41:AI41)</f>
        <v>6396418.0744826077</v>
      </c>
      <c r="AM41" s="9"/>
      <c r="AN41" s="9"/>
      <c r="AO41" s="156"/>
      <c r="AP41" s="9"/>
      <c r="AQ41" s="119">
        <f t="shared" ref="AQ41:AQ45" si="13">SUM(Z41:AF41)</f>
        <v>1779253.0894145537</v>
      </c>
      <c r="AR41" s="157"/>
      <c r="AS41" s="9"/>
      <c r="AT41" s="9"/>
      <c r="AU41" s="9"/>
      <c r="AV41" s="9"/>
      <c r="AW41" s="9"/>
      <c r="AX41" s="9"/>
      <c r="AY41" s="9"/>
      <c r="AZ41" s="156">
        <f>SUM(AL32,AL42)</f>
        <v>40414452</v>
      </c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157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/>
      <c r="AQV41" s="9"/>
      <c r="AQW41" s="9"/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/>
      <c r="AWZ41" s="9"/>
      <c r="AXA41" s="9"/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  <c r="BKI41" s="9"/>
      <c r="BKJ41" s="9"/>
      <c r="BKK41" s="9"/>
      <c r="BKL41" s="9"/>
      <c r="BKM41" s="9"/>
      <c r="BKN41" s="9"/>
      <c r="BKO41" s="9"/>
      <c r="BKP41" s="9"/>
      <c r="BKQ41" s="9"/>
      <c r="BKR41" s="9"/>
      <c r="BKS41" s="9"/>
      <c r="BKT41" s="9"/>
      <c r="BKU41" s="9"/>
      <c r="BKV41" s="9"/>
      <c r="BKW41" s="9"/>
      <c r="BKX41" s="9"/>
      <c r="BKY41" s="9"/>
      <c r="BKZ41" s="9"/>
      <c r="BLA41" s="9"/>
      <c r="BLB41" s="9"/>
      <c r="BLC41" s="9"/>
      <c r="BLD41" s="9"/>
      <c r="BLE41" s="9"/>
      <c r="BLF41" s="9"/>
      <c r="BLG41" s="9"/>
      <c r="BLH41" s="9"/>
      <c r="BLI41" s="9"/>
      <c r="BLJ41" s="9"/>
      <c r="BLK41" s="9"/>
      <c r="BLL41" s="9"/>
      <c r="BLM41" s="9"/>
      <c r="BLN41" s="9"/>
      <c r="BLO41" s="9"/>
      <c r="BLP41" s="9"/>
      <c r="BLQ41" s="9"/>
      <c r="BLR41" s="9"/>
      <c r="BLS41" s="9"/>
      <c r="BLT41" s="9"/>
      <c r="BLU41" s="9"/>
      <c r="BLV41" s="9"/>
      <c r="BLW41" s="9"/>
      <c r="BLX41" s="9"/>
      <c r="BLY41" s="9"/>
      <c r="BLZ41" s="9"/>
      <c r="BMA41" s="9"/>
      <c r="BMB41" s="9"/>
      <c r="BMC41" s="9"/>
      <c r="BMD41" s="9"/>
      <c r="BME41" s="9"/>
      <c r="BMF41" s="9"/>
      <c r="BMG41" s="9"/>
      <c r="BMH41" s="9"/>
      <c r="BMI41" s="9"/>
      <c r="BMJ41" s="9"/>
      <c r="BMK41" s="9"/>
      <c r="BML41" s="9"/>
      <c r="BMM41" s="9"/>
      <c r="BMN41" s="9"/>
      <c r="BMO41" s="9"/>
      <c r="BMP41" s="9"/>
      <c r="BMQ41" s="9"/>
      <c r="BMR41" s="9"/>
      <c r="BMS41" s="9"/>
      <c r="BMT41" s="9"/>
      <c r="BMU41" s="9"/>
      <c r="BMV41" s="9"/>
      <c r="BMW41" s="9"/>
      <c r="BMX41" s="9"/>
      <c r="BMY41" s="9"/>
      <c r="BMZ41" s="9"/>
      <c r="BNA41" s="9"/>
      <c r="BNB41" s="9"/>
      <c r="BNC41" s="9"/>
      <c r="BND41" s="9"/>
      <c r="BNE41" s="9"/>
      <c r="BNF41" s="9"/>
      <c r="BNG41" s="9"/>
      <c r="BNH41" s="9"/>
      <c r="BNI41" s="9"/>
      <c r="BNJ41" s="9"/>
      <c r="BNK41" s="9"/>
      <c r="BNL41" s="9"/>
      <c r="BNM41" s="9"/>
      <c r="BNN41" s="9"/>
      <c r="BNO41" s="9"/>
      <c r="BNP41" s="9"/>
      <c r="BNQ41" s="9"/>
      <c r="BNR41" s="9"/>
      <c r="BNS41" s="9"/>
      <c r="BNT41" s="9"/>
      <c r="BNU41" s="9"/>
      <c r="BNV41" s="9"/>
      <c r="BNW41" s="9"/>
      <c r="BNX41" s="9"/>
      <c r="BNY41" s="9"/>
      <c r="BNZ41" s="9"/>
      <c r="BOA41" s="9"/>
      <c r="BOB41" s="9"/>
      <c r="BOC41" s="9"/>
      <c r="BOD41" s="9"/>
      <c r="BOE41" s="9"/>
      <c r="BOF41" s="9"/>
      <c r="BOG41" s="9"/>
      <c r="BOH41" s="9"/>
      <c r="BOI41" s="9"/>
      <c r="BOJ41" s="9"/>
      <c r="BOK41" s="9"/>
      <c r="BOL41" s="9"/>
      <c r="BOM41" s="9"/>
      <c r="BON41" s="9"/>
      <c r="BOO41" s="9"/>
      <c r="BOP41" s="9"/>
      <c r="BOQ41" s="9"/>
      <c r="BOR41" s="9"/>
      <c r="BOS41" s="9"/>
      <c r="BOT41" s="9"/>
      <c r="BOU41" s="9"/>
      <c r="BOV41" s="9"/>
      <c r="BOW41" s="9"/>
      <c r="BOX41" s="9"/>
      <c r="BOY41" s="9"/>
      <c r="BOZ41" s="9"/>
      <c r="BPA41" s="9"/>
      <c r="BPB41" s="9"/>
      <c r="BPC41" s="9"/>
      <c r="BPD41" s="9"/>
      <c r="BPE41" s="9"/>
      <c r="BPF41" s="9"/>
      <c r="BPG41" s="9"/>
      <c r="BPH41" s="9"/>
      <c r="BPI41" s="9"/>
      <c r="BPJ41" s="9"/>
      <c r="BPK41" s="9"/>
      <c r="BPL41" s="9"/>
      <c r="BPM41" s="9"/>
      <c r="BPN41" s="9"/>
      <c r="BPO41" s="9"/>
      <c r="BPP41" s="9"/>
      <c r="BPQ41" s="9"/>
      <c r="BPR41" s="9"/>
      <c r="BPS41" s="9"/>
      <c r="BPT41" s="9"/>
      <c r="BPU41" s="9"/>
      <c r="BPV41" s="9"/>
      <c r="BPW41" s="9"/>
      <c r="BPX41" s="9"/>
      <c r="BPY41" s="9"/>
      <c r="BPZ41" s="9"/>
      <c r="BQA41" s="9"/>
      <c r="BQB41" s="9"/>
      <c r="BQC41" s="9"/>
      <c r="BQD41" s="9"/>
      <c r="BQE41" s="9"/>
      <c r="BQF41" s="9"/>
      <c r="BQG41" s="9"/>
      <c r="BQH41" s="9"/>
      <c r="BQI41" s="9"/>
      <c r="BQJ41" s="9"/>
      <c r="BQK41" s="9"/>
      <c r="BQL41" s="9"/>
      <c r="BQM41" s="9"/>
      <c r="BQN41" s="9"/>
      <c r="BQO41" s="9"/>
      <c r="BQP41" s="9"/>
      <c r="BQQ41" s="9"/>
      <c r="BQR41" s="9"/>
      <c r="BQS41" s="9"/>
      <c r="BQT41" s="9"/>
      <c r="BQU41" s="9"/>
      <c r="BQV41" s="9"/>
      <c r="BQW41" s="9"/>
      <c r="BQX41" s="9"/>
      <c r="BQY41" s="9"/>
      <c r="BQZ41" s="9"/>
      <c r="BRA41" s="9"/>
      <c r="BRB41" s="9"/>
      <c r="BRC41" s="9"/>
      <c r="BRD41" s="9"/>
      <c r="BRE41" s="9"/>
      <c r="BRF41" s="9"/>
      <c r="BRG41" s="9"/>
      <c r="BRH41" s="9"/>
      <c r="BRI41" s="9"/>
      <c r="BRJ41" s="9"/>
      <c r="BRK41" s="9"/>
      <c r="BRL41" s="9"/>
      <c r="BRM41" s="9"/>
      <c r="BRN41" s="9"/>
      <c r="BRO41" s="9"/>
      <c r="BRP41" s="9"/>
      <c r="BRQ41" s="9"/>
      <c r="BRR41" s="9"/>
      <c r="BRS41" s="9"/>
      <c r="BRT41" s="9"/>
      <c r="BRU41" s="9"/>
      <c r="BRV41" s="9"/>
      <c r="BRW41" s="9"/>
      <c r="BRX41" s="9"/>
      <c r="BRY41" s="9"/>
      <c r="BRZ41" s="9"/>
      <c r="BSA41" s="9"/>
      <c r="BSB41" s="9"/>
      <c r="BSC41" s="9"/>
      <c r="BSD41" s="9"/>
      <c r="BSE41" s="9"/>
      <c r="BSF41" s="9"/>
      <c r="BSG41" s="9"/>
      <c r="BSH41" s="9"/>
      <c r="BSI41" s="9"/>
      <c r="BSJ41" s="9"/>
      <c r="BSK41" s="9"/>
      <c r="BSL41" s="9"/>
      <c r="BSM41" s="9"/>
      <c r="BSN41" s="9"/>
      <c r="BSO41" s="9"/>
      <c r="BSP41" s="9"/>
      <c r="BSQ41" s="9"/>
      <c r="BSR41" s="9"/>
      <c r="BSS41" s="9"/>
      <c r="BST41" s="9"/>
      <c r="BSU41" s="9"/>
      <c r="BSV41" s="9"/>
      <c r="BSW41" s="9"/>
      <c r="BSX41" s="9"/>
      <c r="BSY41" s="9"/>
      <c r="BSZ41" s="9"/>
      <c r="BTA41" s="9"/>
      <c r="BTB41" s="9"/>
      <c r="BTC41" s="9"/>
      <c r="BTD41" s="9"/>
      <c r="BTE41" s="9"/>
      <c r="BTF41" s="9"/>
      <c r="BTG41" s="9"/>
      <c r="BTH41" s="9"/>
      <c r="BTI41" s="9"/>
      <c r="BTJ41" s="9"/>
      <c r="BTK41" s="9"/>
      <c r="BTL41" s="9"/>
      <c r="BTM41" s="9"/>
      <c r="BTN41" s="9"/>
      <c r="BTO41" s="9"/>
      <c r="BTP41" s="9"/>
      <c r="BTQ41" s="9"/>
      <c r="BTR41" s="9"/>
      <c r="BTS41" s="9"/>
      <c r="BTT41" s="9"/>
      <c r="BTU41" s="9"/>
      <c r="BTV41" s="9"/>
      <c r="BTW41" s="9"/>
      <c r="BTX41" s="9"/>
      <c r="BTY41" s="9"/>
      <c r="BTZ41" s="9"/>
      <c r="BUA41" s="9"/>
      <c r="BUB41" s="9"/>
      <c r="BUC41" s="9"/>
      <c r="BUD41" s="9"/>
      <c r="BUE41" s="9"/>
      <c r="BUF41" s="9"/>
      <c r="BUG41" s="9"/>
      <c r="BUH41" s="9"/>
      <c r="BUI41" s="9"/>
      <c r="BUJ41" s="9"/>
      <c r="BUK41" s="9"/>
      <c r="BUL41" s="9"/>
      <c r="BUM41" s="9"/>
      <c r="BUN41" s="9"/>
      <c r="BUO41" s="9"/>
      <c r="BUP41" s="9"/>
      <c r="BUQ41" s="9"/>
      <c r="BUR41" s="9"/>
      <c r="BUS41" s="9"/>
      <c r="BUT41" s="9"/>
      <c r="BUU41" s="9"/>
      <c r="BUV41" s="9"/>
      <c r="BUW41" s="9"/>
      <c r="BUX41" s="9"/>
      <c r="BUY41" s="9"/>
      <c r="BUZ41" s="9"/>
      <c r="BVA41" s="9"/>
      <c r="BVB41" s="9"/>
      <c r="BVC41" s="9"/>
      <c r="BVD41" s="9"/>
      <c r="BVE41" s="9"/>
      <c r="BVF41" s="9"/>
      <c r="BVG41" s="9"/>
      <c r="BVH41" s="9"/>
      <c r="BVI41" s="9"/>
      <c r="BVJ41" s="9"/>
      <c r="BVK41" s="9"/>
      <c r="BVL41" s="9"/>
      <c r="BVM41" s="9"/>
      <c r="BVN41" s="9"/>
      <c r="BVO41" s="9"/>
      <c r="BVP41" s="9"/>
      <c r="BVQ41" s="9"/>
      <c r="BVR41" s="9"/>
      <c r="BVS41" s="9"/>
      <c r="BVT41" s="9"/>
      <c r="BVU41" s="9"/>
      <c r="BVV41" s="9"/>
      <c r="BVW41" s="9"/>
      <c r="BVX41" s="9"/>
      <c r="BVY41" s="9"/>
      <c r="BVZ41" s="9"/>
      <c r="BWA41" s="9"/>
      <c r="BWB41" s="9"/>
      <c r="BWC41" s="9"/>
      <c r="BWD41" s="9"/>
      <c r="BWE41" s="9"/>
      <c r="BWF41" s="9"/>
      <c r="BWG41" s="9"/>
      <c r="BWH41" s="9"/>
      <c r="BWI41" s="9"/>
      <c r="BWJ41" s="9"/>
      <c r="BWK41" s="9"/>
      <c r="BWL41" s="9"/>
      <c r="BWM41" s="9"/>
      <c r="BWN41" s="9"/>
      <c r="BWO41" s="9"/>
      <c r="BWP41" s="9"/>
      <c r="BWQ41" s="9"/>
      <c r="BWR41" s="9"/>
      <c r="BWS41" s="9"/>
      <c r="BWT41" s="9"/>
      <c r="BWU41" s="9"/>
      <c r="BWV41" s="9"/>
      <c r="BWW41" s="9"/>
      <c r="BWX41" s="9"/>
      <c r="BWY41" s="9"/>
      <c r="BWZ41" s="9"/>
      <c r="BXA41" s="9"/>
      <c r="BXB41" s="9"/>
      <c r="BXC41" s="9"/>
      <c r="BXD41" s="9"/>
      <c r="BXE41" s="9"/>
      <c r="BXF41" s="9"/>
      <c r="BXG41" s="9"/>
      <c r="BXH41" s="9"/>
      <c r="BXI41" s="9"/>
      <c r="BXJ41" s="9"/>
      <c r="BXK41" s="9"/>
      <c r="BXL41" s="9"/>
      <c r="BXM41" s="9"/>
      <c r="BXN41" s="9"/>
      <c r="BXO41" s="9"/>
      <c r="BXP41" s="9"/>
      <c r="BXQ41" s="9"/>
      <c r="BXR41" s="9"/>
      <c r="BXS41" s="9"/>
      <c r="BXT41" s="9"/>
      <c r="BXU41" s="9"/>
      <c r="BXV41" s="9"/>
      <c r="BXW41" s="9"/>
      <c r="BXX41" s="9"/>
      <c r="BXY41" s="9"/>
      <c r="BXZ41" s="9"/>
      <c r="BYA41" s="9"/>
      <c r="BYB41" s="9"/>
      <c r="BYC41" s="9"/>
      <c r="BYD41" s="9"/>
      <c r="BYE41" s="9"/>
      <c r="BYF41" s="9"/>
      <c r="BYG41" s="9"/>
      <c r="BYH41" s="9"/>
      <c r="BYI41" s="9"/>
      <c r="BYJ41" s="9"/>
      <c r="BYK41" s="9"/>
      <c r="BYL41" s="9"/>
      <c r="BYM41" s="9"/>
      <c r="BYN41" s="9"/>
      <c r="BYO41" s="9"/>
      <c r="BYP41" s="9"/>
      <c r="BYQ41" s="9"/>
      <c r="BYR41" s="9"/>
      <c r="BYS41" s="9"/>
      <c r="BYT41" s="9"/>
      <c r="BYU41" s="9"/>
      <c r="BYV41" s="9"/>
      <c r="BYW41" s="9"/>
      <c r="BYX41" s="9"/>
      <c r="BYY41" s="9"/>
      <c r="BYZ41" s="9"/>
      <c r="BZA41" s="9"/>
      <c r="BZB41" s="9"/>
      <c r="BZC41" s="9"/>
      <c r="BZD41" s="9"/>
      <c r="BZE41" s="9"/>
      <c r="BZF41" s="9"/>
      <c r="BZG41" s="9"/>
      <c r="BZH41" s="9"/>
      <c r="BZI41" s="9"/>
      <c r="BZJ41" s="9"/>
      <c r="BZK41" s="9"/>
      <c r="BZL41" s="9"/>
      <c r="BZM41" s="9"/>
      <c r="BZN41" s="9"/>
      <c r="BZO41" s="9"/>
      <c r="BZP41" s="9"/>
      <c r="BZQ41" s="9"/>
      <c r="BZR41" s="9"/>
      <c r="BZS41" s="9"/>
      <c r="BZT41" s="9"/>
      <c r="BZU41" s="9"/>
      <c r="BZV41" s="9"/>
      <c r="BZW41" s="9"/>
      <c r="BZX41" s="9"/>
      <c r="BZY41" s="9"/>
      <c r="BZZ41" s="9"/>
      <c r="CAA41" s="9"/>
      <c r="CAB41" s="9"/>
      <c r="CAC41" s="9"/>
      <c r="CAD41" s="9"/>
      <c r="CAE41" s="9"/>
      <c r="CAF41" s="9"/>
      <c r="CAG41" s="9"/>
      <c r="CAH41" s="9"/>
      <c r="CAI41" s="9"/>
      <c r="CAJ41" s="9"/>
      <c r="CAK41" s="9"/>
      <c r="CAL41" s="9"/>
      <c r="CAM41" s="9"/>
      <c r="CAN41" s="9"/>
      <c r="CAO41" s="9"/>
      <c r="CAP41" s="9"/>
      <c r="CAQ41" s="9"/>
      <c r="CAR41" s="9"/>
      <c r="CAS41" s="9"/>
      <c r="CAT41" s="9"/>
      <c r="CAU41" s="9"/>
      <c r="CAV41" s="9"/>
      <c r="CAW41" s="9"/>
      <c r="CAX41" s="9"/>
      <c r="CAY41" s="9"/>
      <c r="CAZ41" s="9"/>
      <c r="CBA41" s="9"/>
      <c r="CBB41" s="9"/>
      <c r="CBC41" s="9"/>
      <c r="CBD41" s="9"/>
      <c r="CBE41" s="9"/>
      <c r="CBF41" s="9"/>
      <c r="CBG41" s="9"/>
      <c r="CBH41" s="9"/>
      <c r="CBI41" s="9"/>
      <c r="CBJ41" s="9"/>
      <c r="CBK41" s="9"/>
      <c r="CBL41" s="9"/>
      <c r="CBM41" s="9"/>
      <c r="CBN41" s="9"/>
      <c r="CBO41" s="9"/>
      <c r="CBP41" s="9"/>
      <c r="CBQ41" s="9"/>
      <c r="CBR41" s="9"/>
      <c r="CBS41" s="9"/>
      <c r="CBT41" s="9"/>
      <c r="CBU41" s="9"/>
      <c r="CBV41" s="9"/>
      <c r="CBW41" s="9"/>
      <c r="CBX41" s="9"/>
      <c r="CBY41" s="9"/>
      <c r="CBZ41" s="9"/>
      <c r="CCA41" s="9"/>
      <c r="CCB41" s="9"/>
      <c r="CCC41" s="9"/>
      <c r="CCD41" s="9"/>
      <c r="CCE41" s="9"/>
      <c r="CCF41" s="9"/>
      <c r="CCG41" s="9"/>
      <c r="CCH41" s="9"/>
      <c r="CCI41" s="9"/>
      <c r="CCJ41" s="9"/>
      <c r="CCK41" s="9"/>
      <c r="CCL41" s="9"/>
      <c r="CCM41" s="9"/>
      <c r="CCN41" s="9"/>
      <c r="CCO41" s="9"/>
      <c r="CCP41" s="9"/>
      <c r="CCQ41" s="9"/>
      <c r="CCR41" s="9"/>
      <c r="CCS41" s="9"/>
      <c r="CCT41" s="9"/>
      <c r="CCU41" s="9"/>
      <c r="CCV41" s="9"/>
      <c r="CCW41" s="9"/>
      <c r="CCX41" s="9"/>
      <c r="CCY41" s="9"/>
      <c r="CCZ41" s="9"/>
      <c r="CDA41" s="9"/>
      <c r="CDB41" s="9"/>
      <c r="CDC41" s="9"/>
      <c r="CDD41" s="9"/>
      <c r="CDE41" s="9"/>
      <c r="CDF41" s="9"/>
      <c r="CDG41" s="9"/>
      <c r="CDH41" s="9"/>
      <c r="CDI41" s="9"/>
      <c r="CDJ41" s="9"/>
      <c r="CDK41" s="9"/>
      <c r="CDL41" s="9"/>
      <c r="CDM41" s="9"/>
      <c r="CDN41" s="9"/>
      <c r="CDO41" s="9"/>
      <c r="CDP41" s="9"/>
      <c r="CDQ41" s="9"/>
      <c r="CDR41" s="9"/>
      <c r="CDS41" s="9"/>
      <c r="CDT41" s="9"/>
      <c r="CDU41" s="9"/>
      <c r="CDV41" s="9"/>
      <c r="CDW41" s="9"/>
      <c r="CDX41" s="9"/>
      <c r="CDY41" s="9"/>
      <c r="CDZ41" s="9"/>
      <c r="CEA41" s="9"/>
      <c r="CEB41" s="9"/>
      <c r="CEC41" s="9"/>
      <c r="CED41" s="9"/>
      <c r="CEE41" s="9"/>
      <c r="CEF41" s="9"/>
      <c r="CEG41" s="9"/>
      <c r="CEH41" s="9"/>
      <c r="CEI41" s="9"/>
      <c r="CEJ41" s="9"/>
      <c r="CEK41" s="9"/>
      <c r="CEL41" s="9"/>
      <c r="CEM41" s="9"/>
      <c r="CEN41" s="9"/>
      <c r="CEO41" s="9"/>
      <c r="CEP41" s="9"/>
      <c r="CEQ41" s="9"/>
      <c r="CER41" s="9"/>
      <c r="CES41" s="9"/>
      <c r="CET41" s="9"/>
      <c r="CEU41" s="9"/>
      <c r="CEV41" s="9"/>
      <c r="CEW41" s="9"/>
      <c r="CEX41" s="9"/>
      <c r="CEY41" s="9"/>
      <c r="CEZ41" s="9"/>
      <c r="CFA41" s="9"/>
      <c r="CFB41" s="9"/>
      <c r="CFC41" s="9"/>
      <c r="CFD41" s="9"/>
      <c r="CFE41" s="9"/>
      <c r="CFF41" s="9"/>
      <c r="CFG41" s="9"/>
      <c r="CFH41" s="9"/>
      <c r="CFI41" s="9"/>
      <c r="CFJ41" s="9"/>
      <c r="CFK41" s="9"/>
      <c r="CFL41" s="9"/>
      <c r="CFM41" s="9"/>
      <c r="CFN41" s="9"/>
      <c r="CFO41" s="9"/>
      <c r="CFP41" s="9"/>
      <c r="CFQ41" s="9"/>
      <c r="CFR41" s="9"/>
      <c r="CFS41" s="9"/>
      <c r="CFT41" s="9"/>
      <c r="CFU41" s="9"/>
      <c r="CFV41" s="9"/>
      <c r="CFW41" s="9"/>
      <c r="CFX41" s="9"/>
      <c r="CFY41" s="9"/>
      <c r="CFZ41" s="9"/>
      <c r="CGA41" s="9"/>
      <c r="CGB41" s="9"/>
      <c r="CGC41" s="9"/>
      <c r="CGD41" s="9"/>
      <c r="CGE41" s="9"/>
      <c r="CGF41" s="9"/>
      <c r="CGG41" s="9"/>
      <c r="CGH41" s="9"/>
      <c r="CGI41" s="9"/>
      <c r="CGJ41" s="9"/>
      <c r="CGK41" s="9"/>
      <c r="CGL41" s="9"/>
      <c r="CGM41" s="9"/>
      <c r="CGN41" s="9"/>
      <c r="CGO41" s="9"/>
      <c r="CGP41" s="9"/>
      <c r="CGQ41" s="9"/>
      <c r="CGR41" s="9"/>
      <c r="CGS41" s="9"/>
      <c r="CGT41" s="9"/>
      <c r="CGU41" s="9"/>
      <c r="CGV41" s="9"/>
      <c r="CGW41" s="9"/>
      <c r="CGX41" s="9"/>
      <c r="CGY41" s="9"/>
      <c r="CGZ41" s="9"/>
      <c r="CHA41" s="9"/>
      <c r="CHB41" s="9"/>
      <c r="CHC41" s="9"/>
      <c r="CHD41" s="9"/>
      <c r="CHE41" s="9"/>
      <c r="CHF41" s="9"/>
      <c r="CHG41" s="9"/>
      <c r="CHH41" s="9"/>
      <c r="CHI41" s="9"/>
      <c r="CHJ41" s="9"/>
      <c r="CHK41" s="9"/>
      <c r="CHL41" s="9"/>
      <c r="CHM41" s="9"/>
      <c r="CHN41" s="9"/>
      <c r="CHO41" s="9"/>
      <c r="CHP41" s="9"/>
      <c r="CHQ41" s="9"/>
      <c r="CHR41" s="9"/>
      <c r="CHS41" s="9"/>
      <c r="CHT41" s="9"/>
      <c r="CHU41" s="9"/>
      <c r="CHV41" s="9"/>
      <c r="CHW41" s="9"/>
      <c r="CHX41" s="9"/>
      <c r="CHY41" s="9"/>
      <c r="CHZ41" s="9"/>
      <c r="CIA41" s="9"/>
      <c r="CIB41" s="9"/>
      <c r="CIC41" s="9"/>
      <c r="CID41" s="9"/>
      <c r="CIE41" s="9"/>
      <c r="CIF41" s="9"/>
      <c r="CIG41" s="9"/>
      <c r="CIH41" s="9"/>
      <c r="CII41" s="9"/>
      <c r="CIJ41" s="9"/>
      <c r="CIK41" s="9"/>
      <c r="CIL41" s="9"/>
      <c r="CIM41" s="9"/>
      <c r="CIN41" s="9"/>
      <c r="CIO41" s="9"/>
      <c r="CIP41" s="9"/>
      <c r="CIQ41" s="9"/>
      <c r="CIR41" s="9"/>
      <c r="CIS41" s="9"/>
      <c r="CIT41" s="9"/>
      <c r="CIU41" s="9"/>
      <c r="CIV41" s="9"/>
      <c r="CIW41" s="9"/>
      <c r="CIX41" s="9"/>
      <c r="CIY41" s="9"/>
      <c r="CIZ41" s="9"/>
      <c r="CJA41" s="9"/>
      <c r="CJB41" s="9"/>
      <c r="CJC41" s="9"/>
      <c r="CJD41" s="9"/>
      <c r="CJE41" s="9"/>
      <c r="CJF41" s="9"/>
      <c r="CJG41" s="9"/>
      <c r="CJH41" s="9"/>
      <c r="CJI41" s="9"/>
      <c r="CJJ41" s="9"/>
      <c r="CJK41" s="9"/>
      <c r="CJL41" s="9"/>
      <c r="CJM41" s="9"/>
      <c r="CJN41" s="9"/>
      <c r="CJO41" s="9"/>
      <c r="CJP41" s="9"/>
      <c r="CJQ41" s="9"/>
      <c r="CJR41" s="9"/>
      <c r="CJS41" s="9"/>
      <c r="CJT41" s="9"/>
      <c r="CJU41" s="9"/>
      <c r="CJV41" s="9"/>
      <c r="CJW41" s="9"/>
      <c r="CJX41" s="9"/>
      <c r="CJY41" s="9"/>
      <c r="CJZ41" s="9"/>
      <c r="CKA41" s="9"/>
      <c r="CKB41" s="9"/>
      <c r="CKC41" s="9"/>
      <c r="CKD41" s="9"/>
      <c r="CKE41" s="9"/>
      <c r="CKF41" s="9"/>
      <c r="CKG41" s="9"/>
      <c r="CKH41" s="9"/>
      <c r="CKI41" s="9"/>
      <c r="CKJ41" s="9"/>
      <c r="CKK41" s="9"/>
      <c r="CKL41" s="9"/>
      <c r="CKM41" s="9"/>
      <c r="CKN41" s="9"/>
      <c r="CKO41" s="9"/>
      <c r="CKP41" s="9"/>
      <c r="CKQ41" s="9"/>
      <c r="CKR41" s="9"/>
      <c r="CKS41" s="9"/>
      <c r="CKT41" s="9"/>
      <c r="CKU41" s="9"/>
      <c r="CKV41" s="9"/>
      <c r="CKW41" s="9"/>
      <c r="CKX41" s="9"/>
      <c r="CKY41" s="9"/>
      <c r="CKZ41" s="9"/>
      <c r="CLA41" s="9"/>
      <c r="CLB41" s="9"/>
      <c r="CLC41" s="9"/>
      <c r="CLD41" s="9"/>
      <c r="CLE41" s="9"/>
      <c r="CLF41" s="9"/>
      <c r="CLG41" s="9"/>
      <c r="CLH41" s="9"/>
      <c r="CLI41" s="9"/>
      <c r="CLJ41" s="9"/>
      <c r="CLK41" s="9"/>
      <c r="CLL41" s="9"/>
      <c r="CLM41" s="9"/>
      <c r="CLN41" s="9"/>
      <c r="CLO41" s="9"/>
      <c r="CLP41" s="9"/>
      <c r="CLQ41" s="9"/>
      <c r="CLR41" s="9"/>
      <c r="CLS41" s="9"/>
      <c r="CLT41" s="9"/>
      <c r="CLU41" s="9"/>
      <c r="CLV41" s="9"/>
      <c r="CLW41" s="9"/>
      <c r="CLX41" s="9"/>
      <c r="CLY41" s="9"/>
      <c r="CLZ41" s="9"/>
      <c r="CMA41" s="9"/>
      <c r="CMB41" s="9"/>
      <c r="CMC41" s="9"/>
      <c r="CMD41" s="9"/>
      <c r="CME41" s="9"/>
      <c r="CMF41" s="9"/>
      <c r="CMG41" s="9"/>
      <c r="CMH41" s="9"/>
      <c r="CMI41" s="9"/>
      <c r="CMJ41" s="9"/>
      <c r="CMK41" s="9"/>
      <c r="CML41" s="9"/>
      <c r="CMM41" s="9"/>
      <c r="CMN41" s="9"/>
      <c r="CMO41" s="9"/>
      <c r="CMP41" s="9"/>
      <c r="CMQ41" s="9"/>
      <c r="CMR41" s="9"/>
      <c r="CMS41" s="9"/>
      <c r="CMT41" s="9"/>
      <c r="CMU41" s="9"/>
      <c r="CMV41" s="9"/>
      <c r="CMW41" s="9"/>
      <c r="CMX41" s="9"/>
      <c r="CMY41" s="9"/>
      <c r="CMZ41" s="9"/>
      <c r="CNA41" s="9"/>
      <c r="CNB41" s="9"/>
      <c r="CNC41" s="9"/>
      <c r="CND41" s="9"/>
      <c r="CNE41" s="9"/>
      <c r="CNF41" s="9"/>
      <c r="CNG41" s="9"/>
      <c r="CNH41" s="9"/>
      <c r="CNI41" s="9"/>
      <c r="CNJ41" s="9"/>
      <c r="CNK41" s="9"/>
      <c r="CNL41" s="9"/>
      <c r="CNM41" s="9"/>
      <c r="CNN41" s="9"/>
      <c r="CNO41" s="9"/>
      <c r="CNP41" s="9"/>
      <c r="CNQ41" s="9"/>
      <c r="CNR41" s="9"/>
      <c r="CNS41" s="9"/>
      <c r="CNT41" s="9"/>
      <c r="CNU41" s="9"/>
      <c r="CNV41" s="9"/>
      <c r="CNW41" s="9"/>
      <c r="CNX41" s="9"/>
      <c r="CNY41" s="9"/>
      <c r="CNZ41" s="9"/>
      <c r="COA41" s="9"/>
      <c r="COB41" s="9"/>
      <c r="COC41" s="9"/>
      <c r="COD41" s="9"/>
      <c r="COE41" s="9"/>
      <c r="COF41" s="9"/>
      <c r="COG41" s="9"/>
      <c r="COH41" s="9"/>
      <c r="COI41" s="9"/>
      <c r="COJ41" s="9"/>
      <c r="COK41" s="9"/>
      <c r="COL41" s="9"/>
      <c r="COM41" s="9"/>
      <c r="CON41" s="9"/>
      <c r="COO41" s="9"/>
      <c r="COP41" s="9"/>
      <c r="COQ41" s="9"/>
      <c r="COR41" s="9"/>
      <c r="COS41" s="9"/>
      <c r="COT41" s="9"/>
      <c r="COU41" s="9"/>
      <c r="COV41" s="9"/>
      <c r="COW41" s="9"/>
      <c r="COX41" s="9"/>
      <c r="COY41" s="9"/>
      <c r="COZ41" s="9"/>
      <c r="CPA41" s="9"/>
      <c r="CPB41" s="9"/>
      <c r="CPC41" s="9"/>
      <c r="CPD41" s="9"/>
      <c r="CPE41" s="9"/>
      <c r="CPF41" s="9"/>
      <c r="CPG41" s="9"/>
      <c r="CPH41" s="9"/>
      <c r="CPI41" s="9"/>
      <c r="CPJ41" s="9"/>
      <c r="CPK41" s="9"/>
      <c r="CPL41" s="9"/>
      <c r="CPM41" s="9"/>
      <c r="CPN41" s="9"/>
      <c r="CPO41" s="9"/>
      <c r="CPP41" s="9"/>
      <c r="CPQ41" s="9"/>
      <c r="CPR41" s="9"/>
      <c r="CPS41" s="9"/>
      <c r="CPT41" s="9"/>
      <c r="CPU41" s="9"/>
      <c r="CPV41" s="9"/>
      <c r="CPW41" s="9"/>
      <c r="CPX41" s="9"/>
      <c r="CPY41" s="9"/>
      <c r="CPZ41" s="9"/>
      <c r="CQA41" s="9"/>
      <c r="CQB41" s="9"/>
      <c r="CQC41" s="9"/>
      <c r="CQD41" s="9"/>
      <c r="CQE41" s="9"/>
      <c r="CQF41" s="9"/>
      <c r="CQG41" s="9"/>
      <c r="CQH41" s="9"/>
      <c r="CQI41" s="9"/>
      <c r="CQJ41" s="9"/>
      <c r="CQK41" s="9"/>
      <c r="CQL41" s="9"/>
      <c r="CQM41" s="9"/>
      <c r="CQN41" s="9"/>
      <c r="CQO41" s="9"/>
      <c r="CQP41" s="9"/>
      <c r="CQQ41" s="9"/>
      <c r="CQR41" s="9"/>
      <c r="CQS41" s="9"/>
      <c r="CQT41" s="9"/>
      <c r="CQU41" s="9"/>
      <c r="CQV41" s="9"/>
      <c r="CQW41" s="9"/>
      <c r="CQX41" s="9"/>
      <c r="CQY41" s="9"/>
      <c r="CQZ41" s="9"/>
      <c r="CRA41" s="9"/>
      <c r="CRB41" s="9"/>
      <c r="CRC41" s="9"/>
      <c r="CRD41" s="9"/>
      <c r="CRE41" s="9"/>
      <c r="CRF41" s="9"/>
      <c r="CRG41" s="9"/>
      <c r="CRH41" s="9"/>
      <c r="CRI41" s="9"/>
      <c r="CRJ41" s="9"/>
      <c r="CRK41" s="9"/>
      <c r="CRL41" s="9"/>
      <c r="CRM41" s="9"/>
      <c r="CRN41" s="9"/>
      <c r="CRO41" s="9"/>
      <c r="CRP41" s="9"/>
      <c r="CRQ41" s="9"/>
      <c r="CRR41" s="9"/>
      <c r="CRS41" s="9"/>
      <c r="CRT41" s="9"/>
      <c r="CRU41" s="9"/>
      <c r="CRV41" s="9"/>
      <c r="CRW41" s="9"/>
      <c r="CRX41" s="9"/>
      <c r="CRY41" s="9"/>
      <c r="CRZ41" s="9"/>
      <c r="CSA41" s="9"/>
      <c r="CSB41" s="9"/>
      <c r="CSC41" s="9"/>
      <c r="CSD41" s="9"/>
      <c r="CSE41" s="9"/>
      <c r="CSF41" s="9"/>
      <c r="CSG41" s="9"/>
      <c r="CSH41" s="9"/>
      <c r="CSI41" s="9"/>
      <c r="CSJ41" s="9"/>
      <c r="CSK41" s="9"/>
      <c r="CSL41" s="9"/>
      <c r="CSM41" s="9"/>
      <c r="CSN41" s="9"/>
      <c r="CSO41" s="9"/>
      <c r="CSP41" s="9"/>
      <c r="CSQ41" s="9"/>
      <c r="CSR41" s="9"/>
      <c r="CSS41" s="9"/>
      <c r="CST41" s="9"/>
      <c r="CSU41" s="9"/>
      <c r="CSV41" s="9"/>
      <c r="CSW41" s="9"/>
      <c r="CSX41" s="9"/>
      <c r="CSY41" s="9"/>
      <c r="CSZ41" s="9"/>
      <c r="CTA41" s="9"/>
      <c r="CTB41" s="9"/>
      <c r="CTC41" s="9"/>
      <c r="CTD41" s="9"/>
      <c r="CTE41" s="9"/>
      <c r="CTF41" s="9"/>
      <c r="CTG41" s="9"/>
      <c r="CTH41" s="9"/>
      <c r="CTI41" s="9"/>
      <c r="CTJ41" s="9"/>
      <c r="CTK41" s="9"/>
      <c r="CTL41" s="9"/>
      <c r="CTM41" s="9"/>
      <c r="CTN41" s="9"/>
      <c r="CTO41" s="9"/>
      <c r="CTP41" s="9"/>
      <c r="CTQ41" s="9"/>
      <c r="CTR41" s="9"/>
      <c r="CTS41" s="9"/>
      <c r="CTT41" s="9"/>
      <c r="CTU41" s="9"/>
      <c r="CTV41" s="9"/>
      <c r="CTW41" s="9"/>
      <c r="CTX41" s="9"/>
      <c r="CTY41" s="9"/>
      <c r="CTZ41" s="9"/>
      <c r="CUA41" s="9"/>
      <c r="CUB41" s="9"/>
      <c r="CUC41" s="9"/>
      <c r="CUD41" s="9"/>
      <c r="CUE41" s="9"/>
      <c r="CUF41" s="9"/>
      <c r="CUG41" s="9"/>
      <c r="CUH41" s="9"/>
      <c r="CUI41" s="9"/>
      <c r="CUJ41" s="9"/>
      <c r="CUK41" s="9"/>
      <c r="CUL41" s="9"/>
      <c r="CUM41" s="9"/>
      <c r="CUN41" s="9"/>
      <c r="CUO41" s="9"/>
      <c r="CUP41" s="9"/>
      <c r="CUQ41" s="9"/>
      <c r="CUR41" s="9"/>
      <c r="CUS41" s="9"/>
      <c r="CUT41" s="9"/>
      <c r="CUU41" s="9"/>
      <c r="CUV41" s="9"/>
      <c r="CUW41" s="9"/>
      <c r="CUX41" s="9"/>
      <c r="CUY41" s="9"/>
      <c r="CUZ41" s="9"/>
      <c r="CVA41" s="9"/>
      <c r="CVB41" s="9"/>
      <c r="CVC41" s="9"/>
      <c r="CVD41" s="9"/>
      <c r="CVE41" s="9"/>
      <c r="CVF41" s="9"/>
      <c r="CVG41" s="9"/>
      <c r="CVH41" s="9"/>
      <c r="CVI41" s="9"/>
      <c r="CVJ41" s="9"/>
      <c r="CVK41" s="9"/>
      <c r="CVL41" s="9"/>
      <c r="CVM41" s="9"/>
      <c r="CVN41" s="9"/>
      <c r="CVO41" s="9"/>
      <c r="CVP41" s="9"/>
      <c r="CVQ41" s="9"/>
      <c r="CVR41" s="9"/>
      <c r="CVS41" s="9"/>
      <c r="CVT41" s="9"/>
      <c r="CVU41" s="9"/>
      <c r="CVV41" s="9"/>
      <c r="CVW41" s="9"/>
      <c r="CVX41" s="9"/>
      <c r="CVY41" s="9"/>
      <c r="CVZ41" s="9"/>
      <c r="CWA41" s="9"/>
      <c r="CWB41" s="9"/>
      <c r="CWC41" s="9"/>
      <c r="CWD41" s="9"/>
      <c r="CWE41" s="9"/>
      <c r="CWF41" s="9"/>
      <c r="CWG41" s="9"/>
      <c r="CWH41" s="9"/>
      <c r="CWI41" s="9"/>
      <c r="CWJ41" s="9"/>
      <c r="CWK41" s="9"/>
      <c r="CWL41" s="9"/>
      <c r="CWM41" s="9"/>
      <c r="CWN41" s="9"/>
      <c r="CWO41" s="9"/>
      <c r="CWP41" s="9"/>
      <c r="CWQ41" s="9"/>
      <c r="CWR41" s="9"/>
      <c r="CWS41" s="9"/>
      <c r="CWT41" s="9"/>
      <c r="CWU41" s="9"/>
      <c r="CWV41" s="9"/>
      <c r="CWW41" s="9"/>
      <c r="CWX41" s="9"/>
      <c r="CWY41" s="9"/>
      <c r="CWZ41" s="9"/>
      <c r="CXA41" s="9"/>
      <c r="CXB41" s="9"/>
      <c r="CXC41" s="9"/>
      <c r="CXD41" s="9"/>
      <c r="CXE41" s="9"/>
      <c r="CXF41" s="9"/>
      <c r="CXG41" s="9"/>
      <c r="CXH41" s="9"/>
      <c r="CXI41" s="9"/>
      <c r="CXJ41" s="9"/>
      <c r="CXK41" s="9"/>
      <c r="CXL41" s="9"/>
      <c r="CXM41" s="9"/>
      <c r="CXN41" s="9"/>
      <c r="CXO41" s="9"/>
      <c r="CXP41" s="9"/>
      <c r="CXQ41" s="9"/>
      <c r="CXR41" s="9"/>
      <c r="CXS41" s="9"/>
      <c r="CXT41" s="9"/>
      <c r="CXU41" s="9"/>
      <c r="CXV41" s="9"/>
      <c r="CXW41" s="9"/>
      <c r="CXX41" s="9"/>
      <c r="CXY41" s="9"/>
      <c r="CXZ41" s="9"/>
      <c r="CYA41" s="9"/>
      <c r="CYB41" s="9"/>
      <c r="CYC41" s="9"/>
      <c r="CYD41" s="9"/>
      <c r="CYE41" s="9"/>
      <c r="CYF41" s="9"/>
      <c r="CYG41" s="9"/>
      <c r="CYH41" s="9"/>
      <c r="CYI41" s="9"/>
      <c r="CYJ41" s="9"/>
      <c r="CYK41" s="9"/>
      <c r="CYL41" s="9"/>
      <c r="CYM41" s="9"/>
      <c r="CYN41" s="9"/>
      <c r="CYO41" s="9"/>
      <c r="CYP41" s="9"/>
      <c r="CYQ41" s="9"/>
      <c r="CYR41" s="9"/>
      <c r="CYS41" s="9"/>
      <c r="CYT41" s="9"/>
      <c r="CYU41" s="9"/>
      <c r="CYV41" s="9"/>
      <c r="CYW41" s="9"/>
      <c r="CYX41" s="9"/>
      <c r="CYY41" s="9"/>
      <c r="CYZ41" s="9"/>
      <c r="CZA41" s="9"/>
      <c r="CZB41" s="9"/>
      <c r="CZC41" s="9"/>
      <c r="CZD41" s="9"/>
      <c r="CZE41" s="9"/>
      <c r="CZF41" s="9"/>
      <c r="CZG41" s="9"/>
      <c r="CZH41" s="9"/>
      <c r="CZI41" s="9"/>
      <c r="CZJ41" s="9"/>
      <c r="CZK41" s="9"/>
      <c r="CZL41" s="9"/>
      <c r="CZM41" s="9"/>
      <c r="CZN41" s="9"/>
      <c r="CZO41" s="9"/>
      <c r="CZP41" s="9"/>
      <c r="CZQ41" s="9"/>
      <c r="CZR41" s="9"/>
      <c r="CZS41" s="9"/>
      <c r="CZT41" s="9"/>
      <c r="CZU41" s="9"/>
      <c r="CZV41" s="9"/>
      <c r="CZW41" s="9"/>
      <c r="CZX41" s="9"/>
      <c r="CZY41" s="9"/>
      <c r="CZZ41" s="9"/>
      <c r="DAA41" s="9"/>
      <c r="DAB41" s="9"/>
      <c r="DAC41" s="9"/>
      <c r="DAD41" s="9"/>
      <c r="DAE41" s="9"/>
      <c r="DAF41" s="9"/>
      <c r="DAG41" s="9"/>
      <c r="DAH41" s="9"/>
      <c r="DAI41" s="9"/>
      <c r="DAJ41" s="9"/>
      <c r="DAK41" s="9"/>
      <c r="DAL41" s="9"/>
      <c r="DAM41" s="9"/>
      <c r="DAN41" s="9"/>
      <c r="DAO41" s="9"/>
      <c r="DAP41" s="9"/>
      <c r="DAQ41" s="9"/>
      <c r="DAR41" s="9"/>
      <c r="DAS41" s="9"/>
      <c r="DAT41" s="9"/>
      <c r="DAU41" s="9"/>
      <c r="DAV41" s="9"/>
      <c r="DAW41" s="9"/>
      <c r="DAX41" s="9"/>
      <c r="DAY41" s="9"/>
      <c r="DAZ41" s="9"/>
      <c r="DBA41" s="9"/>
      <c r="DBB41" s="9"/>
      <c r="DBC41" s="9"/>
      <c r="DBD41" s="9"/>
      <c r="DBE41" s="9"/>
      <c r="DBF41" s="9"/>
      <c r="DBG41" s="9"/>
      <c r="DBH41" s="9"/>
      <c r="DBI41" s="9"/>
      <c r="DBJ41" s="9"/>
      <c r="DBK41" s="9"/>
      <c r="DBL41" s="9"/>
      <c r="DBM41" s="9"/>
      <c r="DBN41" s="9"/>
      <c r="DBO41" s="9"/>
      <c r="DBP41" s="9"/>
      <c r="DBQ41" s="9"/>
      <c r="DBR41" s="9"/>
      <c r="DBS41" s="9"/>
      <c r="DBT41" s="9"/>
      <c r="DBU41" s="9"/>
      <c r="DBV41" s="9"/>
      <c r="DBW41" s="9"/>
      <c r="DBX41" s="9"/>
      <c r="DBY41" s="9"/>
      <c r="DBZ41" s="9"/>
      <c r="DCA41" s="9"/>
      <c r="DCB41" s="9"/>
      <c r="DCC41" s="9"/>
      <c r="DCD41" s="9"/>
      <c r="DCE41" s="9"/>
      <c r="DCF41" s="9"/>
      <c r="DCG41" s="9"/>
      <c r="DCH41" s="9"/>
      <c r="DCI41" s="9"/>
      <c r="DCJ41" s="9"/>
      <c r="DCK41" s="9"/>
      <c r="DCL41" s="9"/>
      <c r="DCM41" s="9"/>
      <c r="DCN41" s="9"/>
      <c r="DCO41" s="9"/>
      <c r="DCP41" s="9"/>
      <c r="DCQ41" s="9"/>
      <c r="DCR41" s="9"/>
      <c r="DCS41" s="9"/>
      <c r="DCT41" s="9"/>
      <c r="DCU41" s="9"/>
      <c r="DCV41" s="9"/>
      <c r="DCW41" s="9"/>
      <c r="DCX41" s="9"/>
      <c r="DCY41" s="9"/>
      <c r="DCZ41" s="9"/>
      <c r="DDA41" s="9"/>
      <c r="DDB41" s="9"/>
      <c r="DDC41" s="9"/>
      <c r="DDD41" s="9"/>
      <c r="DDE41" s="9"/>
      <c r="DDF41" s="9"/>
      <c r="DDG41" s="9"/>
      <c r="DDH41" s="9"/>
      <c r="DDI41" s="9"/>
      <c r="DDJ41" s="9"/>
      <c r="DDK41" s="9"/>
      <c r="DDL41" s="9"/>
      <c r="DDM41" s="9"/>
      <c r="DDN41" s="9"/>
      <c r="DDO41" s="9"/>
      <c r="DDP41" s="9"/>
      <c r="DDQ41" s="9"/>
      <c r="DDR41" s="9"/>
      <c r="DDS41" s="9"/>
      <c r="DDT41" s="9"/>
      <c r="DDU41" s="9"/>
      <c r="DDV41" s="9"/>
      <c r="DDW41" s="9"/>
      <c r="DDX41" s="9"/>
      <c r="DDY41" s="9"/>
      <c r="DDZ41" s="9"/>
      <c r="DEA41" s="9"/>
      <c r="DEB41" s="9"/>
      <c r="DEC41" s="9"/>
      <c r="DED41" s="9"/>
      <c r="DEE41" s="9"/>
      <c r="DEF41" s="9"/>
      <c r="DEG41" s="9"/>
      <c r="DEH41" s="9"/>
      <c r="DEI41" s="9"/>
      <c r="DEJ41" s="9"/>
      <c r="DEK41" s="9"/>
      <c r="DEL41" s="9"/>
      <c r="DEM41" s="9"/>
      <c r="DEN41" s="9"/>
      <c r="DEO41" s="9"/>
      <c r="DEP41" s="9"/>
      <c r="DEQ41" s="9"/>
      <c r="DER41" s="9"/>
      <c r="DES41" s="9"/>
      <c r="DET41" s="9"/>
      <c r="DEU41" s="9"/>
      <c r="DEV41" s="9"/>
      <c r="DEW41" s="9"/>
      <c r="DEX41" s="9"/>
      <c r="DEY41" s="9"/>
      <c r="DEZ41" s="9"/>
      <c r="DFA41" s="9"/>
      <c r="DFB41" s="9"/>
      <c r="DFC41" s="9"/>
      <c r="DFD41" s="9"/>
      <c r="DFE41" s="9"/>
      <c r="DFF41" s="9"/>
      <c r="DFG41" s="9"/>
      <c r="DFH41" s="9"/>
      <c r="DFI41" s="9"/>
      <c r="DFJ41" s="9"/>
      <c r="DFK41" s="9"/>
      <c r="DFL41" s="9"/>
      <c r="DFM41" s="9"/>
      <c r="DFN41" s="9"/>
      <c r="DFO41" s="9"/>
      <c r="DFP41" s="9"/>
      <c r="DFQ41" s="9"/>
      <c r="DFR41" s="9"/>
      <c r="DFS41" s="9"/>
      <c r="DFT41" s="9"/>
      <c r="DFU41" s="9"/>
      <c r="DFV41" s="9"/>
      <c r="DFW41" s="9"/>
      <c r="DFX41" s="9"/>
      <c r="DFY41" s="9"/>
      <c r="DFZ41" s="9"/>
      <c r="DGA41" s="9"/>
      <c r="DGB41" s="9"/>
      <c r="DGC41" s="9"/>
      <c r="DGD41" s="9"/>
      <c r="DGE41" s="9"/>
      <c r="DGF41" s="9"/>
      <c r="DGG41" s="9"/>
      <c r="DGH41" s="9"/>
      <c r="DGI41" s="9"/>
      <c r="DGJ41" s="9"/>
      <c r="DGK41" s="9"/>
      <c r="DGL41" s="9"/>
      <c r="DGM41" s="9"/>
      <c r="DGN41" s="9"/>
      <c r="DGO41" s="9"/>
      <c r="DGP41" s="9"/>
      <c r="DGQ41" s="9"/>
      <c r="DGR41" s="9"/>
      <c r="DGS41" s="9"/>
      <c r="DGT41" s="9"/>
      <c r="DGU41" s="9"/>
      <c r="DGV41" s="9"/>
      <c r="DGW41" s="9"/>
      <c r="DGX41" s="9"/>
      <c r="DGY41" s="9"/>
      <c r="DGZ41" s="9"/>
      <c r="DHA41" s="9"/>
      <c r="DHB41" s="9"/>
      <c r="DHC41" s="9"/>
      <c r="DHD41" s="9"/>
      <c r="DHE41" s="9"/>
      <c r="DHF41" s="9"/>
      <c r="DHG41" s="9"/>
      <c r="DHH41" s="9"/>
      <c r="DHI41" s="9"/>
      <c r="DHJ41" s="9"/>
      <c r="DHK41" s="9"/>
      <c r="DHL41" s="9"/>
      <c r="DHM41" s="9"/>
      <c r="DHN41" s="9"/>
      <c r="DHO41" s="9"/>
      <c r="DHP41" s="9"/>
      <c r="DHQ41" s="9"/>
      <c r="DHR41" s="9"/>
      <c r="DHS41" s="9"/>
      <c r="DHT41" s="9"/>
      <c r="DHU41" s="9"/>
      <c r="DHV41" s="9"/>
      <c r="DHW41" s="9"/>
      <c r="DHX41" s="9"/>
      <c r="DHY41" s="9"/>
      <c r="DHZ41" s="9"/>
      <c r="DIA41" s="9"/>
      <c r="DIB41" s="9"/>
      <c r="DIC41" s="9"/>
      <c r="DID41" s="9"/>
      <c r="DIE41" s="9"/>
      <c r="DIF41" s="9"/>
      <c r="DIG41" s="9"/>
      <c r="DIH41" s="9"/>
      <c r="DII41" s="9"/>
      <c r="DIJ41" s="9"/>
      <c r="DIK41" s="9"/>
      <c r="DIL41" s="9"/>
      <c r="DIM41" s="9"/>
      <c r="DIN41" s="9"/>
      <c r="DIO41" s="9"/>
      <c r="DIP41" s="9"/>
      <c r="DIQ41" s="9"/>
      <c r="DIR41" s="9"/>
      <c r="DIS41" s="9"/>
      <c r="DIT41" s="9"/>
      <c r="DIU41" s="9"/>
      <c r="DIV41" s="9"/>
      <c r="DIW41" s="9"/>
      <c r="DIX41" s="9"/>
      <c r="DIY41" s="9"/>
      <c r="DIZ41" s="9"/>
      <c r="DJA41" s="9"/>
      <c r="DJB41" s="9"/>
      <c r="DJC41" s="9"/>
      <c r="DJD41" s="9"/>
      <c r="DJE41" s="9"/>
      <c r="DJF41" s="9"/>
      <c r="DJG41" s="9"/>
      <c r="DJH41" s="9"/>
      <c r="DJI41" s="9"/>
      <c r="DJJ41" s="9"/>
      <c r="DJK41" s="9"/>
      <c r="DJL41" s="9"/>
      <c r="DJM41" s="9"/>
      <c r="DJN41" s="9"/>
      <c r="DJO41" s="9"/>
      <c r="DJP41" s="9"/>
      <c r="DJQ41" s="9"/>
      <c r="DJR41" s="9"/>
      <c r="DJS41" s="9"/>
      <c r="DJT41" s="9"/>
      <c r="DJU41" s="9"/>
      <c r="DJV41" s="9"/>
      <c r="DJW41" s="9"/>
      <c r="DJX41" s="9"/>
      <c r="DJY41" s="9"/>
      <c r="DJZ41" s="9"/>
      <c r="DKA41" s="9"/>
      <c r="DKB41" s="9"/>
      <c r="DKC41" s="9"/>
      <c r="DKD41" s="9"/>
      <c r="DKE41" s="9"/>
      <c r="DKF41" s="9"/>
      <c r="DKG41" s="9"/>
      <c r="DKH41" s="9"/>
      <c r="DKI41" s="9"/>
      <c r="DKJ41" s="9"/>
      <c r="DKK41" s="9"/>
      <c r="DKL41" s="9"/>
      <c r="DKM41" s="9"/>
      <c r="DKN41" s="9"/>
      <c r="DKO41" s="9"/>
      <c r="DKP41" s="9"/>
      <c r="DKQ41" s="9"/>
      <c r="DKR41" s="9"/>
      <c r="DKS41" s="9"/>
      <c r="DKT41" s="9"/>
      <c r="DKU41" s="9"/>
      <c r="DKV41" s="9"/>
      <c r="DKW41" s="9"/>
      <c r="DKX41" s="9"/>
      <c r="DKY41" s="9"/>
      <c r="DKZ41" s="9"/>
      <c r="DLA41" s="9"/>
      <c r="DLB41" s="9"/>
      <c r="DLC41" s="9"/>
      <c r="DLD41" s="9"/>
      <c r="DLE41" s="9"/>
      <c r="DLF41" s="9"/>
      <c r="DLG41" s="9"/>
      <c r="DLH41" s="9"/>
      <c r="DLI41" s="9"/>
      <c r="DLJ41" s="9"/>
      <c r="DLK41" s="9"/>
      <c r="DLL41" s="9"/>
      <c r="DLM41" s="9"/>
      <c r="DLN41" s="9"/>
      <c r="DLO41" s="9"/>
      <c r="DLP41" s="9"/>
      <c r="DLQ41" s="9"/>
      <c r="DLR41" s="9"/>
      <c r="DLS41" s="9"/>
      <c r="DLT41" s="9"/>
      <c r="DLU41" s="9"/>
      <c r="DLV41" s="9"/>
      <c r="DLW41" s="9"/>
      <c r="DLX41" s="9"/>
      <c r="DLY41" s="9"/>
      <c r="DLZ41" s="9"/>
      <c r="DMA41" s="9"/>
      <c r="DMB41" s="9"/>
      <c r="DMC41" s="9"/>
      <c r="DMD41" s="9"/>
      <c r="DME41" s="9"/>
      <c r="DMF41" s="9"/>
      <c r="DMG41" s="9"/>
      <c r="DMH41" s="9"/>
      <c r="DMI41" s="9"/>
      <c r="DMJ41" s="9"/>
      <c r="DMK41" s="9"/>
      <c r="DML41" s="9"/>
      <c r="DMM41" s="9"/>
      <c r="DMN41" s="9"/>
      <c r="DMO41" s="9"/>
      <c r="DMP41" s="9"/>
      <c r="DMQ41" s="9"/>
      <c r="DMR41" s="9"/>
      <c r="DMS41" s="9"/>
      <c r="DMT41" s="9"/>
      <c r="DMU41" s="9"/>
      <c r="DMV41" s="9"/>
      <c r="DMW41" s="9"/>
      <c r="DMX41" s="9"/>
      <c r="DMY41" s="9"/>
      <c r="DMZ41" s="9"/>
      <c r="DNA41" s="9"/>
      <c r="DNB41" s="9"/>
      <c r="DNC41" s="9"/>
      <c r="DND41" s="9"/>
      <c r="DNE41" s="9"/>
      <c r="DNF41" s="9"/>
      <c r="DNG41" s="9"/>
      <c r="DNH41" s="9"/>
      <c r="DNI41" s="9"/>
      <c r="DNJ41" s="9"/>
      <c r="DNK41" s="9"/>
      <c r="DNL41" s="9"/>
      <c r="DNM41" s="9"/>
      <c r="DNN41" s="9"/>
      <c r="DNO41" s="9"/>
      <c r="DNP41" s="9"/>
      <c r="DNQ41" s="9"/>
      <c r="DNR41" s="9"/>
      <c r="DNS41" s="9"/>
      <c r="DNT41" s="9"/>
      <c r="DNU41" s="9"/>
      <c r="DNV41" s="9"/>
      <c r="DNW41" s="9"/>
      <c r="DNX41" s="9"/>
      <c r="DNY41" s="9"/>
      <c r="DNZ41" s="9"/>
      <c r="DOA41" s="9"/>
      <c r="DOB41" s="9"/>
      <c r="DOC41" s="9"/>
      <c r="DOD41" s="9"/>
      <c r="DOE41" s="9"/>
      <c r="DOF41" s="9"/>
      <c r="DOG41" s="9"/>
      <c r="DOH41" s="9"/>
      <c r="DOI41" s="9"/>
      <c r="DOJ41" s="9"/>
      <c r="DOK41" s="9"/>
      <c r="DOL41" s="9"/>
      <c r="DOM41" s="9"/>
      <c r="DON41" s="9"/>
      <c r="DOO41" s="9"/>
      <c r="DOP41" s="9"/>
      <c r="DOQ41" s="9"/>
      <c r="DOR41" s="9"/>
      <c r="DOS41" s="9"/>
      <c r="DOT41" s="9"/>
      <c r="DOU41" s="9"/>
      <c r="DOV41" s="9"/>
      <c r="DOW41" s="9"/>
      <c r="DOX41" s="9"/>
      <c r="DOY41" s="9"/>
      <c r="DOZ41" s="9"/>
      <c r="DPA41" s="9"/>
      <c r="DPB41" s="9"/>
      <c r="DPC41" s="9"/>
      <c r="DPD41" s="9"/>
      <c r="DPE41" s="9"/>
      <c r="DPF41" s="9"/>
      <c r="DPG41" s="9"/>
      <c r="DPH41" s="9"/>
      <c r="DPI41" s="9"/>
      <c r="DPJ41" s="9"/>
      <c r="DPK41" s="9"/>
      <c r="DPL41" s="9"/>
      <c r="DPM41" s="9"/>
      <c r="DPN41" s="9"/>
      <c r="DPO41" s="9"/>
      <c r="DPP41" s="9"/>
      <c r="DPQ41" s="9"/>
      <c r="DPR41" s="9"/>
      <c r="DPS41" s="9"/>
      <c r="DPT41" s="9"/>
      <c r="DPU41" s="9"/>
      <c r="DPV41" s="9"/>
      <c r="DPW41" s="9"/>
      <c r="DPX41" s="9"/>
      <c r="DPY41" s="9"/>
      <c r="DPZ41" s="9"/>
      <c r="DQA41" s="9"/>
      <c r="DQB41" s="9"/>
      <c r="DQC41" s="9"/>
      <c r="DQD41" s="9"/>
      <c r="DQE41" s="9"/>
      <c r="DQF41" s="9"/>
      <c r="DQG41" s="9"/>
      <c r="DQH41" s="9"/>
      <c r="DQI41" s="9"/>
      <c r="DQJ41" s="9"/>
      <c r="DQK41" s="9"/>
      <c r="DQL41" s="9"/>
      <c r="DQM41" s="9"/>
      <c r="DQN41" s="9"/>
      <c r="DQO41" s="9"/>
      <c r="DQP41" s="9"/>
      <c r="DQQ41" s="9"/>
      <c r="DQR41" s="9"/>
      <c r="DQS41" s="9"/>
      <c r="DQT41" s="9"/>
      <c r="DQU41" s="9"/>
      <c r="DQV41" s="9"/>
      <c r="DQW41" s="9"/>
      <c r="DQX41" s="9"/>
      <c r="DQY41" s="9"/>
      <c r="DQZ41" s="9"/>
      <c r="DRA41" s="9"/>
      <c r="DRB41" s="9"/>
      <c r="DRC41" s="9"/>
      <c r="DRD41" s="9"/>
      <c r="DRE41" s="9"/>
      <c r="DRF41" s="9"/>
      <c r="DRG41" s="9"/>
      <c r="DRH41" s="9"/>
      <c r="DRI41" s="9"/>
      <c r="DRJ41" s="9"/>
      <c r="DRK41" s="9"/>
      <c r="DRL41" s="9"/>
      <c r="DRM41" s="9"/>
      <c r="DRN41" s="9"/>
      <c r="DRO41" s="9"/>
      <c r="DRP41" s="9"/>
      <c r="DRQ41" s="9"/>
      <c r="DRR41" s="9"/>
      <c r="DRS41" s="9"/>
      <c r="DRT41" s="9"/>
      <c r="DRU41" s="9"/>
      <c r="DRV41" s="9"/>
      <c r="DRW41" s="9"/>
      <c r="DRX41" s="9"/>
      <c r="DRY41" s="9"/>
      <c r="DRZ41" s="9"/>
      <c r="DSA41" s="9"/>
      <c r="DSB41" s="9"/>
      <c r="DSC41" s="9"/>
      <c r="DSD41" s="9"/>
      <c r="DSE41" s="9"/>
      <c r="DSF41" s="9"/>
      <c r="DSG41" s="9"/>
      <c r="DSH41" s="9"/>
      <c r="DSI41" s="9"/>
      <c r="DSJ41" s="9"/>
      <c r="DSK41" s="9"/>
      <c r="DSL41" s="9"/>
      <c r="DSM41" s="9"/>
      <c r="DSN41" s="9"/>
      <c r="DSO41" s="9"/>
      <c r="DSP41" s="9"/>
      <c r="DSQ41" s="9"/>
      <c r="DSR41" s="9"/>
      <c r="DSS41" s="9"/>
      <c r="DST41" s="9"/>
      <c r="DSU41" s="9"/>
      <c r="DSV41" s="9"/>
      <c r="DSW41" s="9"/>
      <c r="DSX41" s="9"/>
      <c r="DSY41" s="9"/>
      <c r="DSZ41" s="9"/>
      <c r="DTA41" s="9"/>
      <c r="DTB41" s="9"/>
      <c r="DTC41" s="9"/>
      <c r="DTD41" s="9"/>
      <c r="DTE41" s="9"/>
      <c r="DTF41" s="9"/>
      <c r="DTG41" s="9"/>
      <c r="DTH41" s="9"/>
      <c r="DTI41" s="9"/>
      <c r="DTJ41" s="9"/>
      <c r="DTK41" s="9"/>
      <c r="DTL41" s="9"/>
      <c r="DTM41" s="9"/>
      <c r="DTN41" s="9"/>
      <c r="DTO41" s="9"/>
      <c r="DTP41" s="9"/>
      <c r="DTQ41" s="9"/>
      <c r="DTR41" s="9"/>
      <c r="DTS41" s="9"/>
      <c r="DTT41" s="9"/>
      <c r="DTU41" s="9"/>
      <c r="DTV41" s="9"/>
      <c r="DTW41" s="9"/>
      <c r="DTX41" s="9"/>
      <c r="DTY41" s="9"/>
      <c r="DTZ41" s="9"/>
      <c r="DUA41" s="9"/>
      <c r="DUB41" s="9"/>
      <c r="DUC41" s="9"/>
      <c r="DUD41" s="9"/>
      <c r="DUE41" s="9"/>
      <c r="DUF41" s="9"/>
      <c r="DUG41" s="9"/>
      <c r="DUH41" s="9"/>
      <c r="DUI41" s="9"/>
      <c r="DUJ41" s="9"/>
      <c r="DUK41" s="9"/>
      <c r="DUL41" s="9"/>
      <c r="DUM41" s="9"/>
      <c r="DUN41" s="9"/>
      <c r="DUO41" s="9"/>
      <c r="DUP41" s="9"/>
      <c r="DUQ41" s="9"/>
      <c r="DUR41" s="9"/>
      <c r="DUS41" s="9"/>
      <c r="DUT41" s="9"/>
      <c r="DUU41" s="9"/>
      <c r="DUV41" s="9"/>
      <c r="DUW41" s="9"/>
      <c r="DUX41" s="9"/>
      <c r="DUY41" s="9"/>
      <c r="DUZ41" s="9"/>
      <c r="DVA41" s="9"/>
      <c r="DVB41" s="9"/>
      <c r="DVC41" s="9"/>
      <c r="DVD41" s="9"/>
      <c r="DVE41" s="9"/>
      <c r="DVF41" s="9"/>
      <c r="DVG41" s="9"/>
      <c r="DVH41" s="9"/>
      <c r="DVI41" s="9"/>
      <c r="DVJ41" s="9"/>
      <c r="DVK41" s="9"/>
      <c r="DVL41" s="9"/>
      <c r="DVM41" s="9"/>
      <c r="DVN41" s="9"/>
      <c r="DVO41" s="9"/>
      <c r="DVP41" s="9"/>
      <c r="DVQ41" s="9"/>
      <c r="DVR41" s="9"/>
      <c r="DVS41" s="9"/>
      <c r="DVT41" s="9"/>
      <c r="DVU41" s="9"/>
      <c r="DVV41" s="9"/>
      <c r="DVW41" s="9"/>
      <c r="DVX41" s="9"/>
      <c r="DVY41" s="9"/>
      <c r="DVZ41" s="9"/>
      <c r="DWA41" s="9"/>
      <c r="DWB41" s="9"/>
      <c r="DWC41" s="9"/>
      <c r="DWD41" s="9"/>
      <c r="DWE41" s="9"/>
      <c r="DWF41" s="9"/>
      <c r="DWG41" s="9"/>
      <c r="DWH41" s="9"/>
      <c r="DWI41" s="9"/>
      <c r="DWJ41" s="9"/>
      <c r="DWK41" s="9"/>
      <c r="DWL41" s="9"/>
      <c r="DWM41" s="9"/>
      <c r="DWN41" s="9"/>
      <c r="DWO41" s="9"/>
      <c r="DWP41" s="9"/>
      <c r="DWQ41" s="9"/>
      <c r="DWR41" s="9"/>
      <c r="DWS41" s="9"/>
      <c r="DWT41" s="9"/>
      <c r="DWU41" s="9"/>
      <c r="DWV41" s="9"/>
      <c r="DWW41" s="9"/>
      <c r="DWX41" s="9"/>
      <c r="DWY41" s="9"/>
      <c r="DWZ41" s="9"/>
      <c r="DXA41" s="9"/>
      <c r="DXB41" s="9"/>
      <c r="DXC41" s="9"/>
      <c r="DXD41" s="9"/>
      <c r="DXE41" s="9"/>
      <c r="DXF41" s="9"/>
      <c r="DXG41" s="9"/>
      <c r="DXH41" s="9"/>
      <c r="DXI41" s="9"/>
      <c r="DXJ41" s="9"/>
      <c r="DXK41" s="9"/>
      <c r="DXL41" s="9"/>
      <c r="DXM41" s="9"/>
      <c r="DXN41" s="9"/>
      <c r="DXO41" s="9"/>
      <c r="DXP41" s="9"/>
      <c r="DXQ41" s="9"/>
      <c r="DXR41" s="9"/>
      <c r="DXS41" s="9"/>
      <c r="DXT41" s="9"/>
      <c r="DXU41" s="9"/>
      <c r="DXV41" s="9"/>
      <c r="DXW41" s="9"/>
      <c r="DXX41" s="9"/>
      <c r="DXY41" s="9"/>
      <c r="DXZ41" s="9"/>
      <c r="DYA41" s="9"/>
      <c r="DYB41" s="9"/>
      <c r="DYC41" s="9"/>
      <c r="DYD41" s="9"/>
      <c r="DYE41" s="9"/>
      <c r="DYF41" s="9"/>
      <c r="DYG41" s="9"/>
      <c r="DYH41" s="9"/>
      <c r="DYI41" s="9"/>
      <c r="DYJ41" s="9"/>
      <c r="DYK41" s="9"/>
      <c r="DYL41" s="9"/>
      <c r="DYM41" s="9"/>
      <c r="DYN41" s="9"/>
      <c r="DYO41" s="9"/>
      <c r="DYP41" s="9"/>
      <c r="DYQ41" s="9"/>
      <c r="DYR41" s="9"/>
      <c r="DYS41" s="9"/>
      <c r="DYT41" s="9"/>
      <c r="DYU41" s="9"/>
      <c r="DYV41" s="9"/>
      <c r="DYW41" s="9"/>
      <c r="DYX41" s="9"/>
      <c r="DYY41" s="9"/>
      <c r="DYZ41" s="9"/>
      <c r="DZA41" s="9"/>
      <c r="DZB41" s="9"/>
      <c r="DZC41" s="9"/>
      <c r="DZD41" s="9"/>
      <c r="DZE41" s="9"/>
      <c r="DZF41" s="9"/>
      <c r="DZG41" s="9"/>
      <c r="DZH41" s="9"/>
      <c r="DZI41" s="9"/>
      <c r="DZJ41" s="9"/>
      <c r="DZK41" s="9"/>
      <c r="DZL41" s="9"/>
      <c r="DZM41" s="9"/>
      <c r="DZN41" s="9"/>
      <c r="DZO41" s="9"/>
      <c r="DZP41" s="9"/>
      <c r="DZQ41" s="9"/>
      <c r="DZR41" s="9"/>
      <c r="DZS41" s="9"/>
      <c r="DZT41" s="9"/>
      <c r="DZU41" s="9"/>
      <c r="DZV41" s="9"/>
      <c r="DZW41" s="9"/>
      <c r="DZX41" s="9"/>
      <c r="DZY41" s="9"/>
      <c r="DZZ41" s="9"/>
      <c r="EAA41" s="9"/>
      <c r="EAB41" s="9"/>
      <c r="EAC41" s="9"/>
      <c r="EAD41" s="9"/>
      <c r="EAE41" s="9"/>
      <c r="EAF41" s="9"/>
      <c r="EAG41" s="9"/>
      <c r="EAH41" s="9"/>
      <c r="EAI41" s="9"/>
      <c r="EAJ41" s="9"/>
      <c r="EAK41" s="9"/>
      <c r="EAL41" s="9"/>
      <c r="EAM41" s="9"/>
      <c r="EAN41" s="9"/>
      <c r="EAO41" s="9"/>
      <c r="EAP41" s="9"/>
      <c r="EAQ41" s="9"/>
      <c r="EAR41" s="9"/>
      <c r="EAS41" s="9"/>
      <c r="EAT41" s="9"/>
      <c r="EAU41" s="9"/>
      <c r="EAV41" s="9"/>
      <c r="EAW41" s="9"/>
      <c r="EAX41" s="9"/>
      <c r="EAY41" s="9"/>
      <c r="EAZ41" s="9"/>
      <c r="EBA41" s="9"/>
      <c r="EBB41" s="9"/>
      <c r="EBC41" s="9"/>
      <c r="EBD41" s="9"/>
      <c r="EBE41" s="9"/>
      <c r="EBF41" s="9"/>
      <c r="EBG41" s="9"/>
      <c r="EBH41" s="9"/>
      <c r="EBI41" s="9"/>
      <c r="EBJ41" s="9"/>
      <c r="EBK41" s="9"/>
      <c r="EBL41" s="9"/>
      <c r="EBM41" s="9"/>
      <c r="EBN41" s="9"/>
      <c r="EBO41" s="9"/>
      <c r="EBP41" s="9"/>
      <c r="EBQ41" s="9"/>
      <c r="EBR41" s="9"/>
      <c r="EBS41" s="9"/>
      <c r="EBT41" s="9"/>
      <c r="EBU41" s="9"/>
      <c r="EBV41" s="9"/>
      <c r="EBW41" s="9"/>
      <c r="EBX41" s="9"/>
      <c r="EBY41" s="9"/>
      <c r="EBZ41" s="9"/>
      <c r="ECA41" s="9"/>
      <c r="ECB41" s="9"/>
      <c r="ECC41" s="9"/>
      <c r="ECD41" s="9"/>
      <c r="ECE41" s="9"/>
      <c r="ECF41" s="9"/>
      <c r="ECG41" s="9"/>
      <c r="ECH41" s="9"/>
      <c r="ECI41" s="9"/>
      <c r="ECJ41" s="9"/>
      <c r="ECK41" s="9"/>
      <c r="ECL41" s="9"/>
      <c r="ECM41" s="9"/>
      <c r="ECN41" s="9"/>
      <c r="ECO41" s="9"/>
      <c r="ECP41" s="9"/>
      <c r="ECQ41" s="9"/>
      <c r="ECR41" s="9"/>
      <c r="ECS41" s="9"/>
      <c r="ECT41" s="9"/>
      <c r="ECU41" s="9"/>
      <c r="ECV41" s="9"/>
      <c r="ECW41" s="9"/>
      <c r="ECX41" s="9"/>
      <c r="ECY41" s="9"/>
      <c r="ECZ41" s="9"/>
      <c r="EDA41" s="9"/>
      <c r="EDB41" s="9"/>
      <c r="EDC41" s="9"/>
      <c r="EDD41" s="9"/>
      <c r="EDE41" s="9"/>
      <c r="EDF41" s="9"/>
      <c r="EDG41" s="9"/>
      <c r="EDH41" s="9"/>
      <c r="EDI41" s="9"/>
      <c r="EDJ41" s="9"/>
      <c r="EDK41" s="9"/>
      <c r="EDL41" s="9"/>
      <c r="EDM41" s="9"/>
      <c r="EDN41" s="9"/>
      <c r="EDO41" s="9"/>
      <c r="EDP41" s="9"/>
      <c r="EDQ41" s="9"/>
      <c r="EDR41" s="9"/>
      <c r="EDS41" s="9"/>
      <c r="EDT41" s="9"/>
      <c r="EDU41" s="9"/>
      <c r="EDV41" s="9"/>
      <c r="EDW41" s="9"/>
      <c r="EDX41" s="9"/>
      <c r="EDY41" s="9"/>
      <c r="EDZ41" s="9"/>
      <c r="EEA41" s="9"/>
      <c r="EEB41" s="9"/>
      <c r="EEC41" s="9"/>
      <c r="EED41" s="9"/>
      <c r="EEE41" s="9"/>
      <c r="EEF41" s="9"/>
      <c r="EEG41" s="9"/>
      <c r="EEH41" s="9"/>
      <c r="EEI41" s="9"/>
      <c r="EEJ41" s="9"/>
      <c r="EEK41" s="9"/>
      <c r="EEL41" s="9"/>
      <c r="EEM41" s="9"/>
      <c r="EEN41" s="9"/>
      <c r="EEO41" s="9"/>
      <c r="EEP41" s="9"/>
      <c r="EEQ41" s="9"/>
      <c r="EER41" s="9"/>
      <c r="EES41" s="9"/>
      <c r="EET41" s="9"/>
      <c r="EEU41" s="9"/>
      <c r="EEV41" s="9"/>
      <c r="EEW41" s="9"/>
      <c r="EEX41" s="9"/>
      <c r="EEY41" s="9"/>
      <c r="EEZ41" s="9"/>
      <c r="EFA41" s="9"/>
      <c r="EFB41" s="9"/>
      <c r="EFC41" s="9"/>
      <c r="EFD41" s="9"/>
      <c r="EFE41" s="9"/>
      <c r="EFF41" s="9"/>
      <c r="EFG41" s="9"/>
      <c r="EFH41" s="9"/>
      <c r="EFI41" s="9"/>
      <c r="EFJ41" s="9"/>
      <c r="EFK41" s="9"/>
      <c r="EFL41" s="9"/>
      <c r="EFM41" s="9"/>
      <c r="EFN41" s="9"/>
      <c r="EFO41" s="9"/>
      <c r="EFP41" s="9"/>
      <c r="EFQ41" s="9"/>
      <c r="EFR41" s="9"/>
      <c r="EFS41" s="9"/>
      <c r="EFT41" s="9"/>
      <c r="EFU41" s="9"/>
      <c r="EFV41" s="9"/>
      <c r="EFW41" s="9"/>
      <c r="EFX41" s="9"/>
      <c r="EFY41" s="9"/>
      <c r="EFZ41" s="9"/>
      <c r="EGA41" s="9"/>
      <c r="EGB41" s="9"/>
      <c r="EGC41" s="9"/>
      <c r="EGD41" s="9"/>
      <c r="EGE41" s="9"/>
      <c r="EGF41" s="9"/>
      <c r="EGG41" s="9"/>
      <c r="EGH41" s="9"/>
      <c r="EGI41" s="9"/>
      <c r="EGJ41" s="9"/>
      <c r="EGK41" s="9"/>
      <c r="EGL41" s="9"/>
      <c r="EGM41" s="9"/>
      <c r="EGN41" s="9"/>
      <c r="EGO41" s="9"/>
      <c r="EGP41" s="9"/>
      <c r="EGQ41" s="9"/>
      <c r="EGR41" s="9"/>
      <c r="EGS41" s="9"/>
      <c r="EGT41" s="9"/>
      <c r="EGU41" s="9"/>
      <c r="EGV41" s="9"/>
      <c r="EGW41" s="9"/>
      <c r="EGX41" s="9"/>
      <c r="EGY41" s="9"/>
      <c r="EGZ41" s="9"/>
      <c r="EHA41" s="9"/>
      <c r="EHB41" s="9"/>
      <c r="EHC41" s="9"/>
      <c r="EHD41" s="9"/>
      <c r="EHE41" s="9"/>
      <c r="EHF41" s="9"/>
      <c r="EHG41" s="9"/>
      <c r="EHH41" s="9"/>
      <c r="EHI41" s="9"/>
      <c r="EHJ41" s="9"/>
      <c r="EHK41" s="9"/>
      <c r="EHL41" s="9"/>
      <c r="EHM41" s="9"/>
      <c r="EHN41" s="9"/>
      <c r="EHO41" s="9"/>
      <c r="EHP41" s="9"/>
      <c r="EHQ41" s="9"/>
      <c r="EHR41" s="9"/>
      <c r="EHS41" s="9"/>
      <c r="EHT41" s="9"/>
      <c r="EHU41" s="9"/>
      <c r="EHV41" s="9"/>
      <c r="EHW41" s="9"/>
      <c r="EHX41" s="9"/>
      <c r="EHY41" s="9"/>
      <c r="EHZ41" s="9"/>
      <c r="EIA41" s="9"/>
      <c r="EIB41" s="9"/>
      <c r="EIC41" s="9"/>
      <c r="EID41" s="9"/>
      <c r="EIE41" s="9"/>
      <c r="EIF41" s="9"/>
      <c r="EIG41" s="9"/>
      <c r="EIH41" s="9"/>
      <c r="EII41" s="9"/>
      <c r="EIJ41" s="9"/>
      <c r="EIK41" s="9"/>
      <c r="EIL41" s="9"/>
      <c r="EIM41" s="9"/>
      <c r="EIN41" s="9"/>
      <c r="EIO41" s="9"/>
      <c r="EIP41" s="9"/>
      <c r="EIQ41" s="9"/>
      <c r="EIR41" s="9"/>
      <c r="EIS41" s="9"/>
      <c r="EIT41" s="9"/>
      <c r="EIU41" s="9"/>
      <c r="EIV41" s="9"/>
      <c r="EIW41" s="9"/>
      <c r="EIX41" s="9"/>
      <c r="EIY41" s="9"/>
      <c r="EIZ41" s="9"/>
      <c r="EJA41" s="9"/>
      <c r="EJB41" s="9"/>
      <c r="EJC41" s="9"/>
      <c r="EJD41" s="9"/>
      <c r="EJE41" s="9"/>
      <c r="EJF41" s="9"/>
      <c r="EJG41" s="9"/>
      <c r="EJH41" s="9"/>
      <c r="EJI41" s="9"/>
      <c r="EJJ41" s="9"/>
      <c r="EJK41" s="9"/>
      <c r="EJL41" s="9"/>
      <c r="EJM41" s="9"/>
      <c r="EJN41" s="9"/>
      <c r="EJO41" s="9"/>
      <c r="EJP41" s="9"/>
      <c r="EJQ41" s="9"/>
      <c r="EJR41" s="9"/>
      <c r="EJS41" s="9"/>
      <c r="EJT41" s="9"/>
      <c r="EJU41" s="9"/>
      <c r="EJV41" s="9"/>
      <c r="EJW41" s="9"/>
      <c r="EJX41" s="9"/>
      <c r="EJY41" s="9"/>
      <c r="EJZ41" s="9"/>
      <c r="EKA41" s="9"/>
      <c r="EKB41" s="9"/>
      <c r="EKC41" s="9"/>
      <c r="EKD41" s="9"/>
      <c r="EKE41" s="9"/>
      <c r="EKF41" s="9"/>
      <c r="EKG41" s="9"/>
      <c r="EKH41" s="9"/>
      <c r="EKI41" s="9"/>
      <c r="EKJ41" s="9"/>
      <c r="EKK41" s="9"/>
      <c r="EKL41" s="9"/>
      <c r="EKM41" s="9"/>
      <c r="EKN41" s="9"/>
      <c r="EKO41" s="9"/>
      <c r="EKP41" s="9"/>
      <c r="EKQ41" s="9"/>
      <c r="EKR41" s="9"/>
      <c r="EKS41" s="9"/>
      <c r="EKT41" s="9"/>
      <c r="EKU41" s="9"/>
      <c r="EKV41" s="9"/>
      <c r="EKW41" s="9"/>
      <c r="EKX41" s="9"/>
      <c r="EKY41" s="9"/>
      <c r="EKZ41" s="9"/>
      <c r="ELA41" s="9"/>
      <c r="ELB41" s="9"/>
      <c r="ELC41" s="9"/>
      <c r="ELD41" s="9"/>
      <c r="ELE41" s="9"/>
      <c r="ELF41" s="9"/>
      <c r="ELG41" s="9"/>
      <c r="ELH41" s="9"/>
      <c r="ELI41" s="9"/>
      <c r="ELJ41" s="9"/>
      <c r="ELK41" s="9"/>
      <c r="ELL41" s="9"/>
      <c r="ELM41" s="9"/>
      <c r="ELN41" s="9"/>
      <c r="ELO41" s="9"/>
      <c r="ELP41" s="9"/>
      <c r="ELQ41" s="9"/>
      <c r="ELR41" s="9"/>
      <c r="ELS41" s="9"/>
      <c r="ELT41" s="9"/>
      <c r="ELU41" s="9"/>
      <c r="ELV41" s="9"/>
      <c r="ELW41" s="9"/>
      <c r="ELX41" s="9"/>
      <c r="ELY41" s="9"/>
      <c r="ELZ41" s="9"/>
      <c r="EMA41" s="9"/>
      <c r="EMB41" s="9"/>
      <c r="EMC41" s="9"/>
      <c r="EMD41" s="9"/>
      <c r="EME41" s="9"/>
      <c r="EMF41" s="9"/>
      <c r="EMG41" s="9"/>
      <c r="EMH41" s="9"/>
      <c r="EMI41" s="9"/>
      <c r="EMJ41" s="9"/>
      <c r="EMK41" s="9"/>
      <c r="EML41" s="9"/>
      <c r="EMM41" s="9"/>
      <c r="EMN41" s="9"/>
      <c r="EMO41" s="9"/>
      <c r="EMP41" s="9"/>
      <c r="EMQ41" s="9"/>
      <c r="EMR41" s="9"/>
      <c r="EMS41" s="9"/>
      <c r="EMT41" s="9"/>
      <c r="EMU41" s="9"/>
      <c r="EMV41" s="9"/>
      <c r="EMW41" s="9"/>
      <c r="EMX41" s="9"/>
      <c r="EMY41" s="9"/>
      <c r="EMZ41" s="9"/>
      <c r="ENA41" s="9"/>
      <c r="ENB41" s="9"/>
      <c r="ENC41" s="9"/>
      <c r="END41" s="9"/>
      <c r="ENE41" s="9"/>
      <c r="ENF41" s="9"/>
      <c r="ENG41" s="9"/>
      <c r="ENH41" s="9"/>
      <c r="ENI41" s="9"/>
      <c r="ENJ41" s="9"/>
      <c r="ENK41" s="9"/>
      <c r="ENL41" s="9"/>
      <c r="ENM41" s="9"/>
      <c r="ENN41" s="9"/>
      <c r="ENO41" s="9"/>
      <c r="ENP41" s="9"/>
      <c r="ENQ41" s="9"/>
      <c r="ENR41" s="9"/>
      <c r="ENS41" s="9"/>
      <c r="ENT41" s="9"/>
      <c r="ENU41" s="9"/>
      <c r="ENV41" s="9"/>
      <c r="ENW41" s="9"/>
      <c r="ENX41" s="9"/>
      <c r="ENY41" s="9"/>
      <c r="ENZ41" s="9"/>
      <c r="EOA41" s="9"/>
      <c r="EOB41" s="9"/>
      <c r="EOC41" s="9"/>
      <c r="EOD41" s="9"/>
      <c r="EOE41" s="9"/>
      <c r="EOF41" s="9"/>
      <c r="EOG41" s="9"/>
      <c r="EOH41" s="9"/>
      <c r="EOI41" s="9"/>
      <c r="EOJ41" s="9"/>
      <c r="EOK41" s="9"/>
      <c r="EOL41" s="9"/>
      <c r="EOM41" s="9"/>
      <c r="EON41" s="9"/>
      <c r="EOO41" s="9"/>
      <c r="EOP41" s="9"/>
      <c r="EOQ41" s="9"/>
      <c r="EOR41" s="9"/>
      <c r="EOS41" s="9"/>
      <c r="EOT41" s="9"/>
      <c r="EOU41" s="9"/>
      <c r="EOV41" s="9"/>
      <c r="EOW41" s="9"/>
      <c r="EOX41" s="9"/>
      <c r="EOY41" s="9"/>
      <c r="EOZ41" s="9"/>
      <c r="EPA41" s="9"/>
      <c r="EPB41" s="9"/>
      <c r="EPC41" s="9"/>
      <c r="EPD41" s="9"/>
      <c r="EPE41" s="9"/>
      <c r="EPF41" s="9"/>
      <c r="EPG41" s="9"/>
      <c r="EPH41" s="9"/>
      <c r="EPI41" s="9"/>
      <c r="EPJ41" s="9"/>
      <c r="EPK41" s="9"/>
      <c r="EPL41" s="9"/>
      <c r="EPM41" s="9"/>
      <c r="EPN41" s="9"/>
      <c r="EPO41" s="9"/>
      <c r="EPP41" s="9"/>
      <c r="EPQ41" s="9"/>
      <c r="EPR41" s="9"/>
      <c r="EPS41" s="9"/>
      <c r="EPT41" s="9"/>
      <c r="EPU41" s="9"/>
      <c r="EPV41" s="9"/>
      <c r="EPW41" s="9"/>
      <c r="EPX41" s="9"/>
      <c r="EPY41" s="9"/>
      <c r="EPZ41" s="9"/>
      <c r="EQA41" s="9"/>
      <c r="EQB41" s="9"/>
      <c r="EQC41" s="9"/>
      <c r="EQD41" s="9"/>
      <c r="EQE41" s="9"/>
      <c r="EQF41" s="9"/>
      <c r="EQG41" s="9"/>
      <c r="EQH41" s="9"/>
      <c r="EQI41" s="9"/>
      <c r="EQJ41" s="9"/>
      <c r="EQK41" s="9"/>
      <c r="EQL41" s="9"/>
      <c r="EQM41" s="9"/>
      <c r="EQN41" s="9"/>
      <c r="EQO41" s="9"/>
      <c r="EQP41" s="9"/>
      <c r="EQQ41" s="9"/>
      <c r="EQR41" s="9"/>
      <c r="EQS41" s="9"/>
      <c r="EQT41" s="9"/>
      <c r="EQU41" s="9"/>
      <c r="EQV41" s="9"/>
      <c r="EQW41" s="9"/>
      <c r="EQX41" s="9"/>
      <c r="EQY41" s="9"/>
      <c r="EQZ41" s="9"/>
      <c r="ERA41" s="9"/>
      <c r="ERB41" s="9"/>
      <c r="ERC41" s="9"/>
      <c r="ERD41" s="9"/>
      <c r="ERE41" s="9"/>
      <c r="ERF41" s="9"/>
      <c r="ERG41" s="9"/>
      <c r="ERH41" s="9"/>
      <c r="ERI41" s="9"/>
      <c r="ERJ41" s="9"/>
      <c r="ERK41" s="9"/>
      <c r="ERL41" s="9"/>
      <c r="ERM41" s="9"/>
      <c r="ERN41" s="9"/>
      <c r="ERO41" s="9"/>
      <c r="ERP41" s="9"/>
      <c r="ERQ41" s="9"/>
      <c r="ERR41" s="9"/>
      <c r="ERS41" s="9"/>
      <c r="ERT41" s="9"/>
      <c r="ERU41" s="9"/>
      <c r="ERV41" s="9"/>
      <c r="ERW41" s="9"/>
      <c r="ERX41" s="9"/>
      <c r="ERY41" s="9"/>
      <c r="ERZ41" s="9"/>
      <c r="ESA41" s="9"/>
      <c r="ESB41" s="9"/>
      <c r="ESC41" s="9"/>
      <c r="ESD41" s="9"/>
      <c r="ESE41" s="9"/>
      <c r="ESF41" s="9"/>
      <c r="ESG41" s="9"/>
      <c r="ESH41" s="9"/>
      <c r="ESI41" s="9"/>
      <c r="ESJ41" s="9"/>
      <c r="ESK41" s="9"/>
      <c r="ESL41" s="9"/>
      <c r="ESM41" s="9"/>
      <c r="ESN41" s="9"/>
      <c r="ESO41" s="9"/>
      <c r="ESP41" s="9"/>
      <c r="ESQ41" s="9"/>
      <c r="ESR41" s="9"/>
      <c r="ESS41" s="9"/>
      <c r="EST41" s="9"/>
      <c r="ESU41" s="9"/>
      <c r="ESV41" s="9"/>
      <c r="ESW41" s="9"/>
      <c r="ESX41" s="9"/>
      <c r="ESY41" s="9"/>
      <c r="ESZ41" s="9"/>
      <c r="ETA41" s="9"/>
      <c r="ETB41" s="9"/>
      <c r="ETC41" s="9"/>
      <c r="ETD41" s="9"/>
      <c r="ETE41" s="9"/>
      <c r="ETF41" s="9"/>
      <c r="ETG41" s="9"/>
      <c r="ETH41" s="9"/>
      <c r="ETI41" s="9"/>
      <c r="ETJ41" s="9"/>
      <c r="ETK41" s="9"/>
      <c r="ETL41" s="9"/>
      <c r="ETM41" s="9"/>
      <c r="ETN41" s="9"/>
      <c r="ETO41" s="9"/>
      <c r="ETP41" s="9"/>
      <c r="ETQ41" s="9"/>
      <c r="ETR41" s="9"/>
      <c r="ETS41" s="9"/>
      <c r="ETT41" s="9"/>
      <c r="ETU41" s="9"/>
      <c r="ETV41" s="9"/>
      <c r="ETW41" s="9"/>
      <c r="ETX41" s="9"/>
      <c r="ETY41" s="9"/>
      <c r="ETZ41" s="9"/>
      <c r="EUA41" s="9"/>
      <c r="EUB41" s="9"/>
      <c r="EUC41" s="9"/>
      <c r="EUD41" s="9"/>
      <c r="EUE41" s="9"/>
      <c r="EUF41" s="9"/>
      <c r="EUG41" s="9"/>
      <c r="EUH41" s="9"/>
      <c r="EUI41" s="9"/>
      <c r="EUJ41" s="9"/>
      <c r="EUK41" s="9"/>
      <c r="EUL41" s="9"/>
      <c r="EUM41" s="9"/>
      <c r="EUN41" s="9"/>
      <c r="EUO41" s="9"/>
      <c r="EUP41" s="9"/>
      <c r="EUQ41" s="9"/>
      <c r="EUR41" s="9"/>
      <c r="EUS41" s="9"/>
      <c r="EUT41" s="9"/>
      <c r="EUU41" s="9"/>
      <c r="EUV41" s="9"/>
      <c r="EUW41" s="9"/>
      <c r="EUX41" s="9"/>
      <c r="EUY41" s="9"/>
      <c r="EUZ41" s="9"/>
      <c r="EVA41" s="9"/>
      <c r="EVB41" s="9"/>
      <c r="EVC41" s="9"/>
      <c r="EVD41" s="9"/>
      <c r="EVE41" s="9"/>
      <c r="EVF41" s="9"/>
      <c r="EVG41" s="9"/>
      <c r="EVH41" s="9"/>
      <c r="EVI41" s="9"/>
      <c r="EVJ41" s="9"/>
      <c r="EVK41" s="9"/>
      <c r="EVL41" s="9"/>
      <c r="EVM41" s="9"/>
      <c r="EVN41" s="9"/>
      <c r="EVO41" s="9"/>
      <c r="EVP41" s="9"/>
      <c r="EVQ41" s="9"/>
      <c r="EVR41" s="9"/>
      <c r="EVS41" s="9"/>
      <c r="EVT41" s="9"/>
      <c r="EVU41" s="9"/>
      <c r="EVV41" s="9"/>
      <c r="EVW41" s="9"/>
      <c r="EVX41" s="9"/>
      <c r="EVY41" s="9"/>
      <c r="EVZ41" s="9"/>
      <c r="EWA41" s="9"/>
      <c r="EWB41" s="9"/>
      <c r="EWC41" s="9"/>
      <c r="EWD41" s="9"/>
      <c r="EWE41" s="9"/>
      <c r="EWF41" s="9"/>
      <c r="EWG41" s="9"/>
      <c r="EWH41" s="9"/>
      <c r="EWI41" s="9"/>
      <c r="EWJ41" s="9"/>
      <c r="EWK41" s="9"/>
      <c r="EWL41" s="9"/>
      <c r="EWM41" s="9"/>
      <c r="EWN41" s="9"/>
      <c r="EWO41" s="9"/>
      <c r="EWP41" s="9"/>
      <c r="EWQ41" s="9"/>
      <c r="EWR41" s="9"/>
      <c r="EWS41" s="9"/>
      <c r="EWT41" s="9"/>
      <c r="EWU41" s="9"/>
      <c r="EWV41" s="9"/>
      <c r="EWW41" s="9"/>
      <c r="EWX41" s="9"/>
      <c r="EWY41" s="9"/>
      <c r="EWZ41" s="9"/>
      <c r="EXA41" s="9"/>
      <c r="EXB41" s="9"/>
      <c r="EXC41" s="9"/>
      <c r="EXD41" s="9"/>
      <c r="EXE41" s="9"/>
      <c r="EXF41" s="9"/>
      <c r="EXG41" s="9"/>
      <c r="EXH41" s="9"/>
      <c r="EXI41" s="9"/>
      <c r="EXJ41" s="9"/>
      <c r="EXK41" s="9"/>
      <c r="EXL41" s="9"/>
      <c r="EXM41" s="9"/>
      <c r="EXN41" s="9"/>
      <c r="EXO41" s="9"/>
      <c r="EXP41" s="9"/>
      <c r="EXQ41" s="9"/>
      <c r="EXR41" s="9"/>
      <c r="EXS41" s="9"/>
      <c r="EXT41" s="9"/>
      <c r="EXU41" s="9"/>
      <c r="EXV41" s="9"/>
      <c r="EXW41" s="9"/>
      <c r="EXX41" s="9"/>
      <c r="EXY41" s="9"/>
      <c r="EXZ41" s="9"/>
      <c r="EYA41" s="9"/>
      <c r="EYB41" s="9"/>
      <c r="EYC41" s="9"/>
      <c r="EYD41" s="9"/>
      <c r="EYE41" s="9"/>
      <c r="EYF41" s="9"/>
      <c r="EYG41" s="9"/>
      <c r="EYH41" s="9"/>
      <c r="EYI41" s="9"/>
      <c r="EYJ41" s="9"/>
      <c r="EYK41" s="9"/>
      <c r="EYL41" s="9"/>
      <c r="EYM41" s="9"/>
      <c r="EYN41" s="9"/>
      <c r="EYO41" s="9"/>
      <c r="EYP41" s="9"/>
      <c r="EYQ41" s="9"/>
      <c r="EYR41" s="9"/>
      <c r="EYS41" s="9"/>
      <c r="EYT41" s="9"/>
      <c r="EYU41" s="9"/>
      <c r="EYV41" s="9"/>
      <c r="EYW41" s="9"/>
      <c r="EYX41" s="9"/>
      <c r="EYY41" s="9"/>
      <c r="EYZ41" s="9"/>
      <c r="EZA41" s="9"/>
      <c r="EZB41" s="9"/>
      <c r="EZC41" s="9"/>
      <c r="EZD41" s="9"/>
      <c r="EZE41" s="9"/>
      <c r="EZF41" s="9"/>
      <c r="EZG41" s="9"/>
      <c r="EZH41" s="9"/>
      <c r="EZI41" s="9"/>
      <c r="EZJ41" s="9"/>
      <c r="EZK41" s="9"/>
      <c r="EZL41" s="9"/>
      <c r="EZM41" s="9"/>
      <c r="EZN41" s="9"/>
      <c r="EZO41" s="9"/>
      <c r="EZP41" s="9"/>
      <c r="EZQ41" s="9"/>
      <c r="EZR41" s="9"/>
      <c r="EZS41" s="9"/>
      <c r="EZT41" s="9"/>
      <c r="EZU41" s="9"/>
      <c r="EZV41" s="9"/>
      <c r="EZW41" s="9"/>
      <c r="EZX41" s="9"/>
      <c r="EZY41" s="9"/>
      <c r="EZZ41" s="9"/>
      <c r="FAA41" s="9"/>
      <c r="FAB41" s="9"/>
      <c r="FAC41" s="9"/>
      <c r="FAD41" s="9"/>
      <c r="FAE41" s="9"/>
      <c r="FAF41" s="9"/>
      <c r="FAG41" s="9"/>
      <c r="FAH41" s="9"/>
      <c r="FAI41" s="9"/>
      <c r="FAJ41" s="9"/>
      <c r="FAK41" s="9"/>
      <c r="FAL41" s="9"/>
      <c r="FAM41" s="9"/>
      <c r="FAN41" s="9"/>
      <c r="FAO41" s="9"/>
      <c r="FAP41" s="9"/>
      <c r="FAQ41" s="9"/>
      <c r="FAR41" s="9"/>
      <c r="FAS41" s="9"/>
      <c r="FAT41" s="9"/>
      <c r="FAU41" s="9"/>
      <c r="FAV41" s="9"/>
      <c r="FAW41" s="9"/>
      <c r="FAX41" s="9"/>
      <c r="FAY41" s="9"/>
      <c r="FAZ41" s="9"/>
      <c r="FBA41" s="9"/>
      <c r="FBB41" s="9"/>
      <c r="FBC41" s="9"/>
      <c r="FBD41" s="9"/>
      <c r="FBE41" s="9"/>
      <c r="FBF41" s="9"/>
      <c r="FBG41" s="9"/>
      <c r="FBH41" s="9"/>
      <c r="FBI41" s="9"/>
      <c r="FBJ41" s="9"/>
      <c r="FBK41" s="9"/>
      <c r="FBL41" s="9"/>
      <c r="FBM41" s="9"/>
      <c r="FBN41" s="9"/>
      <c r="FBO41" s="9"/>
      <c r="FBP41" s="9"/>
      <c r="FBQ41" s="9"/>
      <c r="FBR41" s="9"/>
      <c r="FBS41" s="9"/>
      <c r="FBT41" s="9"/>
      <c r="FBU41" s="9"/>
      <c r="FBV41" s="9"/>
      <c r="FBW41" s="9"/>
      <c r="FBX41" s="9"/>
      <c r="FBY41" s="9"/>
      <c r="FBZ41" s="9"/>
      <c r="FCA41" s="9"/>
      <c r="FCB41" s="9"/>
      <c r="FCC41" s="9"/>
      <c r="FCD41" s="9"/>
      <c r="FCE41" s="9"/>
      <c r="FCF41" s="9"/>
      <c r="FCG41" s="9"/>
      <c r="FCH41" s="9"/>
      <c r="FCI41" s="9"/>
      <c r="FCJ41" s="9"/>
      <c r="FCK41" s="9"/>
      <c r="FCL41" s="9"/>
      <c r="FCM41" s="9"/>
      <c r="FCN41" s="9"/>
      <c r="FCO41" s="9"/>
      <c r="FCP41" s="9"/>
      <c r="FCQ41" s="9"/>
      <c r="FCR41" s="9"/>
      <c r="FCS41" s="9"/>
      <c r="FCT41" s="9"/>
      <c r="FCU41" s="9"/>
      <c r="FCV41" s="9"/>
      <c r="FCW41" s="9"/>
      <c r="FCX41" s="9"/>
      <c r="FCY41" s="9"/>
      <c r="FCZ41" s="9"/>
      <c r="FDA41" s="9"/>
      <c r="FDB41" s="9"/>
      <c r="FDC41" s="9"/>
      <c r="FDD41" s="9"/>
      <c r="FDE41" s="9"/>
      <c r="FDF41" s="9"/>
      <c r="FDG41" s="9"/>
      <c r="FDH41" s="9"/>
      <c r="FDI41" s="9"/>
      <c r="FDJ41" s="9"/>
      <c r="FDK41" s="9"/>
      <c r="FDL41" s="9"/>
      <c r="FDM41" s="9"/>
      <c r="FDN41" s="9"/>
      <c r="FDO41" s="9"/>
      <c r="FDP41" s="9"/>
      <c r="FDQ41" s="9"/>
      <c r="FDR41" s="9"/>
      <c r="FDS41" s="9"/>
      <c r="FDT41" s="9"/>
      <c r="FDU41" s="9"/>
      <c r="FDV41" s="9"/>
      <c r="FDW41" s="9"/>
      <c r="FDX41" s="9"/>
      <c r="FDY41" s="9"/>
      <c r="FDZ41" s="9"/>
      <c r="FEA41" s="9"/>
      <c r="FEB41" s="9"/>
      <c r="FEC41" s="9"/>
      <c r="FED41" s="9"/>
      <c r="FEE41" s="9"/>
      <c r="FEF41" s="9"/>
      <c r="FEG41" s="9"/>
      <c r="FEH41" s="9"/>
      <c r="FEI41" s="9"/>
      <c r="FEJ41" s="9"/>
      <c r="FEK41" s="9"/>
      <c r="FEL41" s="9"/>
      <c r="FEM41" s="9"/>
      <c r="FEN41" s="9"/>
      <c r="FEO41" s="9"/>
      <c r="FEP41" s="9"/>
      <c r="FEQ41" s="9"/>
      <c r="FER41" s="9"/>
      <c r="FES41" s="9"/>
      <c r="FET41" s="9"/>
      <c r="FEU41" s="9"/>
      <c r="FEV41" s="9"/>
      <c r="FEW41" s="9"/>
      <c r="FEX41" s="9"/>
      <c r="FEY41" s="9"/>
      <c r="FEZ41" s="9"/>
      <c r="FFA41" s="9"/>
      <c r="FFB41" s="9"/>
      <c r="FFC41" s="9"/>
      <c r="FFD41" s="9"/>
      <c r="FFE41" s="9"/>
      <c r="FFF41" s="9"/>
      <c r="FFG41" s="9"/>
      <c r="FFH41" s="9"/>
      <c r="FFI41" s="9"/>
      <c r="FFJ41" s="9"/>
      <c r="FFK41" s="9"/>
      <c r="FFL41" s="9"/>
      <c r="FFM41" s="9"/>
      <c r="FFN41" s="9"/>
      <c r="FFO41" s="9"/>
      <c r="FFP41" s="9"/>
      <c r="FFQ41" s="9"/>
      <c r="FFR41" s="9"/>
      <c r="FFS41" s="9"/>
      <c r="FFT41" s="9"/>
      <c r="FFU41" s="9"/>
      <c r="FFV41" s="9"/>
      <c r="FFW41" s="9"/>
      <c r="FFX41" s="9"/>
      <c r="FFY41" s="9"/>
      <c r="FFZ41" s="9"/>
      <c r="FGA41" s="9"/>
      <c r="FGB41" s="9"/>
      <c r="FGC41" s="9"/>
      <c r="FGD41" s="9"/>
      <c r="FGE41" s="9"/>
      <c r="FGF41" s="9"/>
      <c r="FGG41" s="9"/>
      <c r="FGH41" s="9"/>
      <c r="FGI41" s="9"/>
      <c r="FGJ41" s="9"/>
      <c r="FGK41" s="9"/>
      <c r="FGL41" s="9"/>
      <c r="FGM41" s="9"/>
      <c r="FGN41" s="9"/>
      <c r="FGO41" s="9"/>
      <c r="FGP41" s="9"/>
      <c r="FGQ41" s="9"/>
      <c r="FGR41" s="9"/>
      <c r="FGS41" s="9"/>
      <c r="FGT41" s="9"/>
      <c r="FGU41" s="9"/>
      <c r="FGV41" s="9"/>
      <c r="FGW41" s="9"/>
      <c r="FGX41" s="9"/>
      <c r="FGY41" s="9"/>
      <c r="FGZ41" s="9"/>
      <c r="FHA41" s="9"/>
      <c r="FHB41" s="9"/>
      <c r="FHC41" s="9"/>
      <c r="FHD41" s="9"/>
      <c r="FHE41" s="9"/>
      <c r="FHF41" s="9"/>
      <c r="FHG41" s="9"/>
      <c r="FHH41" s="9"/>
      <c r="FHI41" s="9"/>
      <c r="FHJ41" s="9"/>
      <c r="FHK41" s="9"/>
      <c r="FHL41" s="9"/>
      <c r="FHM41" s="9"/>
      <c r="FHN41" s="9"/>
      <c r="FHO41" s="9"/>
      <c r="FHP41" s="9"/>
      <c r="FHQ41" s="9"/>
      <c r="FHR41" s="9"/>
      <c r="FHS41" s="9"/>
      <c r="FHT41" s="9"/>
      <c r="FHU41" s="9"/>
      <c r="FHV41" s="9"/>
      <c r="FHW41" s="9"/>
      <c r="FHX41" s="9"/>
      <c r="FHY41" s="9"/>
      <c r="FHZ41" s="9"/>
      <c r="FIA41" s="9"/>
      <c r="FIB41" s="9"/>
      <c r="FIC41" s="9"/>
      <c r="FID41" s="9"/>
      <c r="FIE41" s="9"/>
      <c r="FIF41" s="9"/>
      <c r="FIG41" s="9"/>
      <c r="FIH41" s="9"/>
      <c r="FII41" s="9"/>
      <c r="FIJ41" s="9"/>
      <c r="FIK41" s="9"/>
      <c r="FIL41" s="9"/>
      <c r="FIM41" s="9"/>
      <c r="FIN41" s="9"/>
      <c r="FIO41" s="9"/>
      <c r="FIP41" s="9"/>
      <c r="FIQ41" s="9"/>
      <c r="FIR41" s="9"/>
      <c r="FIS41" s="9"/>
      <c r="FIT41" s="9"/>
      <c r="FIU41" s="9"/>
      <c r="FIV41" s="9"/>
      <c r="FIW41" s="9"/>
      <c r="FIX41" s="9"/>
      <c r="FIY41" s="9"/>
      <c r="FIZ41" s="9"/>
      <c r="FJA41" s="9"/>
      <c r="FJB41" s="9"/>
      <c r="FJC41" s="9"/>
      <c r="FJD41" s="9"/>
      <c r="FJE41" s="9"/>
      <c r="FJF41" s="9"/>
      <c r="FJG41" s="9"/>
      <c r="FJH41" s="9"/>
      <c r="FJI41" s="9"/>
      <c r="FJJ41" s="9"/>
      <c r="FJK41" s="9"/>
      <c r="FJL41" s="9"/>
      <c r="FJM41" s="9"/>
      <c r="FJN41" s="9"/>
      <c r="FJO41" s="9"/>
      <c r="FJP41" s="9"/>
      <c r="FJQ41" s="9"/>
      <c r="FJR41" s="9"/>
      <c r="FJS41" s="9"/>
      <c r="FJT41" s="9"/>
      <c r="FJU41" s="9"/>
      <c r="FJV41" s="9"/>
      <c r="FJW41" s="9"/>
      <c r="FJX41" s="9"/>
      <c r="FJY41" s="9"/>
      <c r="FJZ41" s="9"/>
      <c r="FKA41" s="9"/>
      <c r="FKB41" s="9"/>
      <c r="FKC41" s="9"/>
      <c r="FKD41" s="9"/>
      <c r="FKE41" s="9"/>
      <c r="FKF41" s="9"/>
      <c r="FKG41" s="9"/>
      <c r="FKH41" s="9"/>
      <c r="FKI41" s="9"/>
      <c r="FKJ41" s="9"/>
      <c r="FKK41" s="9"/>
      <c r="FKL41" s="9"/>
      <c r="FKM41" s="9"/>
      <c r="FKN41" s="9"/>
      <c r="FKO41" s="9"/>
      <c r="FKP41" s="9"/>
      <c r="FKQ41" s="9"/>
      <c r="FKR41" s="9"/>
      <c r="FKS41" s="9"/>
      <c r="FKT41" s="9"/>
      <c r="FKU41" s="9"/>
      <c r="FKV41" s="9"/>
      <c r="FKW41" s="9"/>
      <c r="FKX41" s="9"/>
      <c r="FKY41" s="9"/>
      <c r="FKZ41" s="9"/>
      <c r="FLA41" s="9"/>
      <c r="FLB41" s="9"/>
      <c r="FLC41" s="9"/>
      <c r="FLD41" s="9"/>
      <c r="FLE41" s="9"/>
      <c r="FLF41" s="9"/>
      <c r="FLG41" s="9"/>
      <c r="FLH41" s="9"/>
      <c r="FLI41" s="9"/>
      <c r="FLJ41" s="9"/>
      <c r="FLK41" s="9"/>
      <c r="FLL41" s="9"/>
      <c r="FLM41" s="9"/>
      <c r="FLN41" s="9"/>
      <c r="FLO41" s="9"/>
      <c r="FLP41" s="9"/>
      <c r="FLQ41" s="9"/>
      <c r="FLR41" s="9"/>
      <c r="FLS41" s="9"/>
      <c r="FLT41" s="9"/>
      <c r="FLU41" s="9"/>
      <c r="FLV41" s="9"/>
      <c r="FLW41" s="9"/>
      <c r="FLX41" s="9"/>
      <c r="FLY41" s="9"/>
      <c r="FLZ41" s="9"/>
      <c r="FMA41" s="9"/>
      <c r="FMB41" s="9"/>
      <c r="FMC41" s="9"/>
      <c r="FMD41" s="9"/>
      <c r="FME41" s="9"/>
      <c r="FMF41" s="9"/>
      <c r="FMG41" s="9"/>
      <c r="FMH41" s="9"/>
      <c r="FMI41" s="9"/>
      <c r="FMJ41" s="9"/>
      <c r="FMK41" s="9"/>
      <c r="FML41" s="9"/>
      <c r="FMM41" s="9"/>
      <c r="FMN41" s="9"/>
      <c r="FMO41" s="9"/>
      <c r="FMP41" s="9"/>
      <c r="FMQ41" s="9"/>
      <c r="FMR41" s="9"/>
      <c r="FMS41" s="9"/>
      <c r="FMT41" s="9"/>
      <c r="FMU41" s="9"/>
      <c r="FMV41" s="9"/>
      <c r="FMW41" s="9"/>
      <c r="FMX41" s="9"/>
      <c r="FMY41" s="9"/>
      <c r="FMZ41" s="9"/>
      <c r="FNA41" s="9"/>
      <c r="FNB41" s="9"/>
      <c r="FNC41" s="9"/>
      <c r="FND41" s="9"/>
      <c r="FNE41" s="9"/>
      <c r="FNF41" s="9"/>
      <c r="FNG41" s="9"/>
      <c r="FNH41" s="9"/>
      <c r="FNI41" s="9"/>
      <c r="FNJ41" s="9"/>
      <c r="FNK41" s="9"/>
      <c r="FNL41" s="9"/>
      <c r="FNM41" s="9"/>
      <c r="FNN41" s="9"/>
      <c r="FNO41" s="9"/>
      <c r="FNP41" s="9"/>
      <c r="FNQ41" s="9"/>
      <c r="FNR41" s="9"/>
      <c r="FNS41" s="9"/>
      <c r="FNT41" s="9"/>
      <c r="FNU41" s="9"/>
      <c r="FNV41" s="9"/>
      <c r="FNW41" s="9"/>
      <c r="FNX41" s="9"/>
      <c r="FNY41" s="9"/>
      <c r="FNZ41" s="9"/>
      <c r="FOA41" s="9"/>
      <c r="FOB41" s="9"/>
      <c r="FOC41" s="9"/>
      <c r="FOD41" s="9"/>
      <c r="FOE41" s="9"/>
      <c r="FOF41" s="9"/>
      <c r="FOG41" s="9"/>
      <c r="FOH41" s="9"/>
      <c r="FOI41" s="9"/>
      <c r="FOJ41" s="9"/>
      <c r="FOK41" s="9"/>
      <c r="FOL41" s="9"/>
      <c r="FOM41" s="9"/>
      <c r="FON41" s="9"/>
      <c r="FOO41" s="9"/>
      <c r="FOP41" s="9"/>
      <c r="FOQ41" s="9"/>
      <c r="FOR41" s="9"/>
      <c r="FOS41" s="9"/>
      <c r="FOT41" s="9"/>
      <c r="FOU41" s="9"/>
      <c r="FOV41" s="9"/>
      <c r="FOW41" s="9"/>
      <c r="FOX41" s="9"/>
      <c r="FOY41" s="9"/>
      <c r="FOZ41" s="9"/>
      <c r="FPA41" s="9"/>
      <c r="FPB41" s="9"/>
      <c r="FPC41" s="9"/>
      <c r="FPD41" s="9"/>
      <c r="FPE41" s="9"/>
      <c r="FPF41" s="9"/>
      <c r="FPG41" s="9"/>
      <c r="FPH41" s="9"/>
      <c r="FPI41" s="9"/>
      <c r="FPJ41" s="9"/>
      <c r="FPK41" s="9"/>
      <c r="FPL41" s="9"/>
      <c r="FPM41" s="9"/>
      <c r="FPN41" s="9"/>
      <c r="FPO41" s="9"/>
      <c r="FPP41" s="9"/>
      <c r="FPQ41" s="9"/>
      <c r="FPR41" s="9"/>
      <c r="FPS41" s="9"/>
      <c r="FPT41" s="9"/>
      <c r="FPU41" s="9"/>
      <c r="FPV41" s="9"/>
      <c r="FPW41" s="9"/>
      <c r="FPX41" s="9"/>
      <c r="FPY41" s="9"/>
      <c r="FPZ41" s="9"/>
      <c r="FQA41" s="9"/>
      <c r="FQB41" s="9"/>
      <c r="FQC41" s="9"/>
      <c r="FQD41" s="9"/>
      <c r="FQE41" s="9"/>
      <c r="FQF41" s="9"/>
      <c r="FQG41" s="9"/>
      <c r="FQH41" s="9"/>
      <c r="FQI41" s="9"/>
      <c r="FQJ41" s="9"/>
      <c r="FQK41" s="9"/>
      <c r="FQL41" s="9"/>
      <c r="FQM41" s="9"/>
      <c r="FQN41" s="9"/>
      <c r="FQO41" s="9"/>
      <c r="FQP41" s="9"/>
      <c r="FQQ41" s="9"/>
      <c r="FQR41" s="9"/>
      <c r="FQS41" s="9"/>
      <c r="FQT41" s="9"/>
      <c r="FQU41" s="9"/>
      <c r="FQV41" s="9"/>
      <c r="FQW41" s="9"/>
      <c r="FQX41" s="9"/>
      <c r="FQY41" s="9"/>
      <c r="FQZ41" s="9"/>
      <c r="FRA41" s="9"/>
      <c r="FRB41" s="9"/>
      <c r="FRC41" s="9"/>
      <c r="FRD41" s="9"/>
      <c r="FRE41" s="9"/>
      <c r="FRF41" s="9"/>
      <c r="FRG41" s="9"/>
      <c r="FRH41" s="9"/>
      <c r="FRI41" s="9"/>
      <c r="FRJ41" s="9"/>
      <c r="FRK41" s="9"/>
      <c r="FRL41" s="9"/>
      <c r="FRM41" s="9"/>
      <c r="FRN41" s="9"/>
      <c r="FRO41" s="9"/>
      <c r="FRP41" s="9"/>
      <c r="FRQ41" s="9"/>
      <c r="FRR41" s="9"/>
      <c r="FRS41" s="9"/>
      <c r="FRT41" s="9"/>
      <c r="FRU41" s="9"/>
      <c r="FRV41" s="9"/>
      <c r="FRW41" s="9"/>
      <c r="FRX41" s="9"/>
      <c r="FRY41" s="9"/>
      <c r="FRZ41" s="9"/>
      <c r="FSA41" s="9"/>
      <c r="FSB41" s="9"/>
      <c r="FSC41" s="9"/>
      <c r="FSD41" s="9"/>
      <c r="FSE41" s="9"/>
      <c r="FSF41" s="9"/>
      <c r="FSG41" s="9"/>
      <c r="FSH41" s="9"/>
      <c r="FSI41" s="9"/>
      <c r="FSJ41" s="9"/>
      <c r="FSK41" s="9"/>
      <c r="FSL41" s="9"/>
      <c r="FSM41" s="9"/>
      <c r="FSN41" s="9"/>
      <c r="FSO41" s="9"/>
      <c r="FSP41" s="9"/>
      <c r="FSQ41" s="9"/>
      <c r="FSR41" s="9"/>
      <c r="FSS41" s="9"/>
      <c r="FST41" s="9"/>
      <c r="FSU41" s="9"/>
      <c r="FSV41" s="9"/>
      <c r="FSW41" s="9"/>
      <c r="FSX41" s="9"/>
      <c r="FSY41" s="9"/>
      <c r="FSZ41" s="9"/>
      <c r="FTA41" s="9"/>
      <c r="FTB41" s="9"/>
      <c r="FTC41" s="9"/>
      <c r="FTD41" s="9"/>
      <c r="FTE41" s="9"/>
      <c r="FTF41" s="9"/>
      <c r="FTG41" s="9"/>
      <c r="FTH41" s="9"/>
      <c r="FTI41" s="9"/>
      <c r="FTJ41" s="9"/>
      <c r="FTK41" s="9"/>
      <c r="FTL41" s="9"/>
      <c r="FTM41" s="9"/>
      <c r="FTN41" s="9"/>
      <c r="FTO41" s="9"/>
      <c r="FTP41" s="9"/>
      <c r="FTQ41" s="9"/>
      <c r="FTR41" s="9"/>
      <c r="FTS41" s="9"/>
      <c r="FTT41" s="9"/>
      <c r="FTU41" s="9"/>
      <c r="FTV41" s="9"/>
      <c r="FTW41" s="9"/>
      <c r="FTX41" s="9"/>
      <c r="FTY41" s="9"/>
      <c r="FTZ41" s="9"/>
      <c r="FUA41" s="9"/>
      <c r="FUB41" s="9"/>
      <c r="FUC41" s="9"/>
      <c r="FUD41" s="9"/>
      <c r="FUE41" s="9"/>
      <c r="FUF41" s="9"/>
      <c r="FUG41" s="9"/>
      <c r="FUH41" s="9"/>
      <c r="FUI41" s="9"/>
      <c r="FUJ41" s="9"/>
      <c r="FUK41" s="9"/>
      <c r="FUL41" s="9"/>
      <c r="FUM41" s="9"/>
      <c r="FUN41" s="9"/>
      <c r="FUO41" s="9"/>
      <c r="FUP41" s="9"/>
      <c r="FUQ41" s="9"/>
      <c r="FUR41" s="9"/>
      <c r="FUS41" s="9"/>
      <c r="FUT41" s="9"/>
      <c r="FUU41" s="9"/>
      <c r="FUV41" s="9"/>
      <c r="FUW41" s="9"/>
      <c r="FUX41" s="9"/>
      <c r="FUY41" s="9"/>
      <c r="FUZ41" s="9"/>
      <c r="FVA41" s="9"/>
      <c r="FVB41" s="9"/>
      <c r="FVC41" s="9"/>
      <c r="FVD41" s="9"/>
      <c r="FVE41" s="9"/>
      <c r="FVF41" s="9"/>
      <c r="FVG41" s="9"/>
      <c r="FVH41" s="9"/>
      <c r="FVI41" s="9"/>
      <c r="FVJ41" s="9"/>
      <c r="FVK41" s="9"/>
      <c r="FVL41" s="9"/>
      <c r="FVM41" s="9"/>
      <c r="FVN41" s="9"/>
      <c r="FVO41" s="9"/>
      <c r="FVP41" s="9"/>
      <c r="FVQ41" s="9"/>
      <c r="FVR41" s="9"/>
      <c r="FVS41" s="9"/>
      <c r="FVT41" s="9"/>
      <c r="FVU41" s="9"/>
      <c r="FVV41" s="9"/>
      <c r="FVW41" s="9"/>
      <c r="FVX41" s="9"/>
      <c r="FVY41" s="9"/>
      <c r="FVZ41" s="9"/>
      <c r="FWA41" s="9"/>
      <c r="FWB41" s="9"/>
      <c r="FWC41" s="9"/>
      <c r="FWD41" s="9"/>
      <c r="FWE41" s="9"/>
      <c r="FWF41" s="9"/>
      <c r="FWG41" s="9"/>
      <c r="FWH41" s="9"/>
      <c r="FWI41" s="9"/>
      <c r="FWJ41" s="9"/>
      <c r="FWK41" s="9"/>
      <c r="FWL41" s="9"/>
      <c r="FWM41" s="9"/>
      <c r="FWN41" s="9"/>
      <c r="FWO41" s="9"/>
      <c r="FWP41" s="9"/>
      <c r="FWQ41" s="9"/>
      <c r="FWR41" s="9"/>
      <c r="FWS41" s="9"/>
      <c r="FWT41" s="9"/>
      <c r="FWU41" s="9"/>
      <c r="FWV41" s="9"/>
      <c r="FWW41" s="9"/>
      <c r="FWX41" s="9"/>
      <c r="FWY41" s="9"/>
      <c r="FWZ41" s="9"/>
      <c r="FXA41" s="9"/>
      <c r="FXB41" s="9"/>
      <c r="FXC41" s="9"/>
      <c r="FXD41" s="9"/>
      <c r="FXE41" s="9"/>
      <c r="FXF41" s="9"/>
      <c r="FXG41" s="9"/>
      <c r="FXH41" s="9"/>
      <c r="FXI41" s="9"/>
      <c r="FXJ41" s="9"/>
      <c r="FXK41" s="9"/>
      <c r="FXL41" s="9"/>
      <c r="FXM41" s="9"/>
      <c r="FXN41" s="9"/>
      <c r="FXO41" s="9"/>
      <c r="FXP41" s="9"/>
      <c r="FXQ41" s="9"/>
      <c r="FXR41" s="9"/>
      <c r="FXS41" s="9"/>
      <c r="FXT41" s="9"/>
      <c r="FXU41" s="9"/>
      <c r="FXV41" s="9"/>
      <c r="FXW41" s="9"/>
      <c r="FXX41" s="9"/>
      <c r="FXY41" s="9"/>
      <c r="FXZ41" s="9"/>
      <c r="FYA41" s="9"/>
      <c r="FYB41" s="9"/>
      <c r="FYC41" s="9"/>
      <c r="FYD41" s="9"/>
      <c r="FYE41" s="9"/>
      <c r="FYF41" s="9"/>
      <c r="FYG41" s="9"/>
      <c r="FYH41" s="9"/>
      <c r="FYI41" s="9"/>
      <c r="FYJ41" s="9"/>
      <c r="FYK41" s="9"/>
      <c r="FYL41" s="9"/>
      <c r="FYM41" s="9"/>
      <c r="FYN41" s="9"/>
      <c r="FYO41" s="9"/>
      <c r="FYP41" s="9"/>
      <c r="FYQ41" s="9"/>
      <c r="FYR41" s="9"/>
      <c r="FYS41" s="9"/>
      <c r="FYT41" s="9"/>
      <c r="FYU41" s="9"/>
      <c r="FYV41" s="9"/>
      <c r="FYW41" s="9"/>
      <c r="FYX41" s="9"/>
      <c r="FYY41" s="9"/>
      <c r="FYZ41" s="9"/>
      <c r="FZA41" s="9"/>
      <c r="FZB41" s="9"/>
      <c r="FZC41" s="9"/>
      <c r="FZD41" s="9"/>
      <c r="FZE41" s="9"/>
      <c r="FZF41" s="9"/>
      <c r="FZG41" s="9"/>
      <c r="FZH41" s="9"/>
      <c r="FZI41" s="9"/>
      <c r="FZJ41" s="9"/>
      <c r="FZK41" s="9"/>
      <c r="FZL41" s="9"/>
      <c r="FZM41" s="9"/>
      <c r="FZN41" s="9"/>
      <c r="FZO41" s="9"/>
      <c r="FZP41" s="9"/>
      <c r="FZQ41" s="9"/>
      <c r="FZR41" s="9"/>
      <c r="FZS41" s="9"/>
      <c r="FZT41" s="9"/>
      <c r="FZU41" s="9"/>
      <c r="FZV41" s="9"/>
      <c r="FZW41" s="9"/>
      <c r="FZX41" s="9"/>
      <c r="FZY41" s="9"/>
      <c r="FZZ41" s="9"/>
      <c r="GAA41" s="9"/>
      <c r="GAB41" s="9"/>
      <c r="GAC41" s="9"/>
      <c r="GAD41" s="9"/>
      <c r="GAE41" s="9"/>
      <c r="GAF41" s="9"/>
      <c r="GAG41" s="9"/>
      <c r="GAH41" s="9"/>
      <c r="GAI41" s="9"/>
      <c r="GAJ41" s="9"/>
      <c r="GAK41" s="9"/>
      <c r="GAL41" s="9"/>
      <c r="GAM41" s="9"/>
      <c r="GAN41" s="9"/>
      <c r="GAO41" s="9"/>
      <c r="GAP41" s="9"/>
      <c r="GAQ41" s="9"/>
      <c r="GAR41" s="9"/>
      <c r="GAS41" s="9"/>
      <c r="GAT41" s="9"/>
      <c r="GAU41" s="9"/>
      <c r="GAV41" s="9"/>
      <c r="GAW41" s="9"/>
      <c r="GAX41" s="9"/>
      <c r="GAY41" s="9"/>
      <c r="GAZ41" s="9"/>
      <c r="GBA41" s="9"/>
      <c r="GBB41" s="9"/>
      <c r="GBC41" s="9"/>
      <c r="GBD41" s="9"/>
      <c r="GBE41" s="9"/>
      <c r="GBF41" s="9"/>
      <c r="GBG41" s="9"/>
      <c r="GBH41" s="9"/>
      <c r="GBI41" s="9"/>
      <c r="GBJ41" s="9"/>
      <c r="GBK41" s="9"/>
      <c r="GBL41" s="9"/>
      <c r="GBM41" s="9"/>
      <c r="GBN41" s="9"/>
      <c r="GBO41" s="9"/>
      <c r="GBP41" s="9"/>
      <c r="GBQ41" s="9"/>
      <c r="GBR41" s="9"/>
      <c r="GBS41" s="9"/>
      <c r="GBT41" s="9"/>
      <c r="GBU41" s="9"/>
      <c r="GBV41" s="9"/>
      <c r="GBW41" s="9"/>
      <c r="GBX41" s="9"/>
      <c r="GBY41" s="9"/>
      <c r="GBZ41" s="9"/>
      <c r="GCA41" s="9"/>
      <c r="GCB41" s="9"/>
      <c r="GCC41" s="9"/>
      <c r="GCD41" s="9"/>
      <c r="GCE41" s="9"/>
      <c r="GCF41" s="9"/>
      <c r="GCG41" s="9"/>
      <c r="GCH41" s="9"/>
      <c r="GCI41" s="9"/>
      <c r="GCJ41" s="9"/>
      <c r="GCK41" s="9"/>
      <c r="GCL41" s="9"/>
      <c r="GCM41" s="9"/>
      <c r="GCN41" s="9"/>
      <c r="GCO41" s="9"/>
      <c r="GCP41" s="9"/>
      <c r="GCQ41" s="9"/>
      <c r="GCR41" s="9"/>
      <c r="GCS41" s="9"/>
      <c r="GCT41" s="9"/>
      <c r="GCU41" s="9"/>
      <c r="GCV41" s="9"/>
      <c r="GCW41" s="9"/>
      <c r="GCX41" s="9"/>
      <c r="GCY41" s="9"/>
      <c r="GCZ41" s="9"/>
      <c r="GDA41" s="9"/>
      <c r="GDB41" s="9"/>
      <c r="GDC41" s="9"/>
      <c r="GDD41" s="9"/>
      <c r="GDE41" s="9"/>
      <c r="GDF41" s="9"/>
      <c r="GDG41" s="9"/>
      <c r="GDH41" s="9"/>
      <c r="GDI41" s="9"/>
      <c r="GDJ41" s="9"/>
      <c r="GDK41" s="9"/>
      <c r="GDL41" s="9"/>
      <c r="GDM41" s="9"/>
      <c r="GDN41" s="9"/>
      <c r="GDO41" s="9"/>
      <c r="GDP41" s="9"/>
      <c r="GDQ41" s="9"/>
      <c r="GDR41" s="9"/>
      <c r="GDS41" s="9"/>
      <c r="GDT41" s="9"/>
      <c r="GDU41" s="9"/>
      <c r="GDV41" s="9"/>
      <c r="GDW41" s="9"/>
      <c r="GDX41" s="9"/>
      <c r="GDY41" s="9"/>
      <c r="GDZ41" s="9"/>
      <c r="GEA41" s="9"/>
      <c r="GEB41" s="9"/>
      <c r="GEC41" s="9"/>
      <c r="GED41" s="9"/>
      <c r="GEE41" s="9"/>
      <c r="GEF41" s="9"/>
      <c r="GEG41" s="9"/>
      <c r="GEH41" s="9"/>
      <c r="GEI41" s="9"/>
      <c r="GEJ41" s="9"/>
      <c r="GEK41" s="9"/>
      <c r="GEL41" s="9"/>
      <c r="GEM41" s="9"/>
      <c r="GEN41" s="9"/>
      <c r="GEO41" s="9"/>
      <c r="GEP41" s="9"/>
      <c r="GEQ41" s="9"/>
      <c r="GER41" s="9"/>
      <c r="GES41" s="9"/>
      <c r="GET41" s="9"/>
      <c r="GEU41" s="9"/>
      <c r="GEV41" s="9"/>
      <c r="GEW41" s="9"/>
      <c r="GEX41" s="9"/>
      <c r="GEY41" s="9"/>
      <c r="GEZ41" s="9"/>
      <c r="GFA41" s="9"/>
      <c r="GFB41" s="9"/>
      <c r="GFC41" s="9"/>
      <c r="GFD41" s="9"/>
      <c r="GFE41" s="9"/>
      <c r="GFF41" s="9"/>
      <c r="GFG41" s="9"/>
      <c r="GFH41" s="9"/>
      <c r="GFI41" s="9"/>
      <c r="GFJ41" s="9"/>
      <c r="GFK41" s="9"/>
      <c r="GFL41" s="9"/>
      <c r="GFM41" s="9"/>
      <c r="GFN41" s="9"/>
      <c r="GFO41" s="9"/>
      <c r="GFP41" s="9"/>
      <c r="GFQ41" s="9"/>
      <c r="GFR41" s="9"/>
      <c r="GFS41" s="9"/>
      <c r="GFT41" s="9"/>
      <c r="GFU41" s="9"/>
      <c r="GFV41" s="9"/>
      <c r="GFW41" s="9"/>
      <c r="GFX41" s="9"/>
      <c r="GFY41" s="9"/>
      <c r="GFZ41" s="9"/>
      <c r="GGA41" s="9"/>
      <c r="GGB41" s="9"/>
      <c r="GGC41" s="9"/>
      <c r="GGD41" s="9"/>
      <c r="GGE41" s="9"/>
      <c r="GGF41" s="9"/>
      <c r="GGG41" s="9"/>
      <c r="GGH41" s="9"/>
      <c r="GGI41" s="9"/>
      <c r="GGJ41" s="9"/>
      <c r="GGK41" s="9"/>
      <c r="GGL41" s="9"/>
      <c r="GGM41" s="9"/>
      <c r="GGN41" s="9"/>
      <c r="GGO41" s="9"/>
      <c r="GGP41" s="9"/>
      <c r="GGQ41" s="9"/>
      <c r="GGR41" s="9"/>
      <c r="GGS41" s="9"/>
      <c r="GGT41" s="9"/>
      <c r="GGU41" s="9"/>
      <c r="GGV41" s="9"/>
      <c r="GGW41" s="9"/>
      <c r="GGX41" s="9"/>
      <c r="GGY41" s="9"/>
      <c r="GGZ41" s="9"/>
      <c r="GHA41" s="9"/>
      <c r="GHB41" s="9"/>
      <c r="GHC41" s="9"/>
      <c r="GHD41" s="9"/>
      <c r="GHE41" s="9"/>
      <c r="GHF41" s="9"/>
      <c r="GHG41" s="9"/>
      <c r="GHH41" s="9"/>
      <c r="GHI41" s="9"/>
      <c r="GHJ41" s="9"/>
      <c r="GHK41" s="9"/>
      <c r="GHL41" s="9"/>
      <c r="GHM41" s="9"/>
      <c r="GHN41" s="9"/>
      <c r="GHO41" s="9"/>
      <c r="GHP41" s="9"/>
      <c r="GHQ41" s="9"/>
      <c r="GHR41" s="9"/>
      <c r="GHS41" s="9"/>
      <c r="GHT41" s="9"/>
      <c r="GHU41" s="9"/>
      <c r="GHV41" s="9"/>
      <c r="GHW41" s="9"/>
      <c r="GHX41" s="9"/>
      <c r="GHY41" s="9"/>
      <c r="GHZ41" s="9"/>
      <c r="GIA41" s="9"/>
      <c r="GIB41" s="9"/>
      <c r="GIC41" s="9"/>
      <c r="GID41" s="9"/>
      <c r="GIE41" s="9"/>
      <c r="GIF41" s="9"/>
      <c r="GIG41" s="9"/>
      <c r="GIH41" s="9"/>
      <c r="GII41" s="9"/>
      <c r="GIJ41" s="9"/>
      <c r="GIK41" s="9"/>
      <c r="GIL41" s="9"/>
      <c r="GIM41" s="9"/>
      <c r="GIN41" s="9"/>
      <c r="GIO41" s="9"/>
      <c r="GIP41" s="9"/>
      <c r="GIQ41" s="9"/>
      <c r="GIR41" s="9"/>
      <c r="GIS41" s="9"/>
      <c r="GIT41" s="9"/>
      <c r="GIU41" s="9"/>
      <c r="GIV41" s="9"/>
      <c r="GIW41" s="9"/>
      <c r="GIX41" s="9"/>
      <c r="GIY41" s="9"/>
      <c r="GIZ41" s="9"/>
      <c r="GJA41" s="9"/>
      <c r="GJB41" s="9"/>
      <c r="GJC41" s="9"/>
      <c r="GJD41" s="9"/>
      <c r="GJE41" s="9"/>
      <c r="GJF41" s="9"/>
      <c r="GJG41" s="9"/>
      <c r="GJH41" s="9"/>
      <c r="GJI41" s="9"/>
      <c r="GJJ41" s="9"/>
      <c r="GJK41" s="9"/>
      <c r="GJL41" s="9"/>
      <c r="GJM41" s="9"/>
      <c r="GJN41" s="9"/>
      <c r="GJO41" s="9"/>
      <c r="GJP41" s="9"/>
      <c r="GJQ41" s="9"/>
      <c r="GJR41" s="9"/>
      <c r="GJS41" s="9"/>
      <c r="GJT41" s="9"/>
      <c r="GJU41" s="9"/>
      <c r="GJV41" s="9"/>
      <c r="GJW41" s="9"/>
      <c r="GJX41" s="9"/>
      <c r="GJY41" s="9"/>
      <c r="GJZ41" s="9"/>
      <c r="GKA41" s="9"/>
      <c r="GKB41" s="9"/>
      <c r="GKC41" s="9"/>
      <c r="GKD41" s="9"/>
      <c r="GKE41" s="9"/>
      <c r="GKF41" s="9"/>
      <c r="GKG41" s="9"/>
      <c r="GKH41" s="9"/>
      <c r="GKI41" s="9"/>
      <c r="GKJ41" s="9"/>
      <c r="GKK41" s="9"/>
      <c r="GKL41" s="9"/>
      <c r="GKM41" s="9"/>
      <c r="GKN41" s="9"/>
      <c r="GKO41" s="9"/>
      <c r="GKP41" s="9"/>
      <c r="GKQ41" s="9"/>
      <c r="GKR41" s="9"/>
      <c r="GKS41" s="9"/>
      <c r="GKT41" s="9"/>
      <c r="GKU41" s="9"/>
      <c r="GKV41" s="9"/>
      <c r="GKW41" s="9"/>
      <c r="GKX41" s="9"/>
      <c r="GKY41" s="9"/>
      <c r="GKZ41" s="9"/>
      <c r="GLA41" s="9"/>
      <c r="GLB41" s="9"/>
      <c r="GLC41" s="9"/>
      <c r="GLD41" s="9"/>
      <c r="GLE41" s="9"/>
      <c r="GLF41" s="9"/>
      <c r="GLG41" s="9"/>
      <c r="GLH41" s="9"/>
      <c r="GLI41" s="9"/>
      <c r="GLJ41" s="9"/>
      <c r="GLK41" s="9"/>
      <c r="GLL41" s="9"/>
      <c r="GLM41" s="9"/>
      <c r="GLN41" s="9"/>
      <c r="GLO41" s="9"/>
      <c r="GLP41" s="9"/>
      <c r="GLQ41" s="9"/>
      <c r="GLR41" s="9"/>
      <c r="GLS41" s="9"/>
      <c r="GLT41" s="9"/>
      <c r="GLU41" s="9"/>
      <c r="GLV41" s="9"/>
      <c r="GLW41" s="9"/>
      <c r="GLX41" s="9"/>
      <c r="GLY41" s="9"/>
      <c r="GLZ41" s="9"/>
      <c r="GMA41" s="9"/>
      <c r="GMB41" s="9"/>
      <c r="GMC41" s="9"/>
      <c r="GMD41" s="9"/>
      <c r="GME41" s="9"/>
      <c r="GMF41" s="9"/>
      <c r="GMG41" s="9"/>
      <c r="GMH41" s="9"/>
      <c r="GMI41" s="9"/>
      <c r="GMJ41" s="9"/>
      <c r="GMK41" s="9"/>
      <c r="GML41" s="9"/>
      <c r="GMM41" s="9"/>
      <c r="GMN41" s="9"/>
      <c r="GMO41" s="9"/>
      <c r="GMP41" s="9"/>
      <c r="GMQ41" s="9"/>
      <c r="GMR41" s="9"/>
      <c r="GMS41" s="9"/>
      <c r="GMT41" s="9"/>
      <c r="GMU41" s="9"/>
      <c r="GMV41" s="9"/>
      <c r="GMW41" s="9"/>
      <c r="GMX41" s="9"/>
      <c r="GMY41" s="9"/>
      <c r="GMZ41" s="9"/>
      <c r="GNA41" s="9"/>
      <c r="GNB41" s="9"/>
      <c r="GNC41" s="9"/>
      <c r="GND41" s="9"/>
      <c r="GNE41" s="9"/>
      <c r="GNF41" s="9"/>
      <c r="GNG41" s="9"/>
      <c r="GNH41" s="9"/>
      <c r="GNI41" s="9"/>
      <c r="GNJ41" s="9"/>
      <c r="GNK41" s="9"/>
      <c r="GNL41" s="9"/>
      <c r="GNM41" s="9"/>
      <c r="GNN41" s="9"/>
      <c r="GNO41" s="9"/>
      <c r="GNP41" s="9"/>
      <c r="GNQ41" s="9"/>
      <c r="GNR41" s="9"/>
      <c r="GNS41" s="9"/>
      <c r="GNT41" s="9"/>
      <c r="GNU41" s="9"/>
      <c r="GNV41" s="9"/>
      <c r="GNW41" s="9"/>
      <c r="GNX41" s="9"/>
      <c r="GNY41" s="9"/>
      <c r="GNZ41" s="9"/>
      <c r="GOA41" s="9"/>
      <c r="GOB41" s="9"/>
      <c r="GOC41" s="9"/>
      <c r="GOD41" s="9"/>
      <c r="GOE41" s="9"/>
      <c r="GOF41" s="9"/>
      <c r="GOG41" s="9"/>
      <c r="GOH41" s="9"/>
      <c r="GOI41" s="9"/>
      <c r="GOJ41" s="9"/>
      <c r="GOK41" s="9"/>
      <c r="GOL41" s="9"/>
      <c r="GOM41" s="9"/>
      <c r="GON41" s="9"/>
      <c r="GOO41" s="9"/>
      <c r="GOP41" s="9"/>
      <c r="GOQ41" s="9"/>
      <c r="GOR41" s="9"/>
      <c r="GOS41" s="9"/>
      <c r="GOT41" s="9"/>
      <c r="GOU41" s="9"/>
      <c r="GOV41" s="9"/>
      <c r="GOW41" s="9"/>
      <c r="GOX41" s="9"/>
      <c r="GOY41" s="9"/>
      <c r="GOZ41" s="9"/>
      <c r="GPA41" s="9"/>
      <c r="GPB41" s="9"/>
      <c r="GPC41" s="9"/>
      <c r="GPD41" s="9"/>
      <c r="GPE41" s="9"/>
      <c r="GPF41" s="9"/>
      <c r="GPG41" s="9"/>
      <c r="GPH41" s="9"/>
      <c r="GPI41" s="9"/>
      <c r="GPJ41" s="9"/>
      <c r="GPK41" s="9"/>
      <c r="GPL41" s="9"/>
      <c r="GPM41" s="9"/>
      <c r="GPN41" s="9"/>
      <c r="GPO41" s="9"/>
      <c r="GPP41" s="9"/>
      <c r="GPQ41" s="9"/>
      <c r="GPR41" s="9"/>
      <c r="GPS41" s="9"/>
      <c r="GPT41" s="9"/>
      <c r="GPU41" s="9"/>
      <c r="GPV41" s="9"/>
      <c r="GPW41" s="9"/>
      <c r="GPX41" s="9"/>
      <c r="GPY41" s="9"/>
      <c r="GPZ41" s="9"/>
      <c r="GQA41" s="9"/>
      <c r="GQB41" s="9"/>
      <c r="GQC41" s="9"/>
      <c r="GQD41" s="9"/>
      <c r="GQE41" s="9"/>
      <c r="GQF41" s="9"/>
      <c r="GQG41" s="9"/>
      <c r="GQH41" s="9"/>
      <c r="GQI41" s="9"/>
      <c r="GQJ41" s="9"/>
      <c r="GQK41" s="9"/>
      <c r="GQL41" s="9"/>
      <c r="GQM41" s="9"/>
      <c r="GQN41" s="9"/>
      <c r="GQO41" s="9"/>
      <c r="GQP41" s="9"/>
      <c r="GQQ41" s="9"/>
      <c r="GQR41" s="9"/>
      <c r="GQS41" s="9"/>
      <c r="GQT41" s="9"/>
      <c r="GQU41" s="9"/>
      <c r="GQV41" s="9"/>
      <c r="GQW41" s="9"/>
      <c r="GQX41" s="9"/>
      <c r="GQY41" s="9"/>
      <c r="GQZ41" s="9"/>
      <c r="GRA41" s="9"/>
      <c r="GRB41" s="9"/>
      <c r="GRC41" s="9"/>
      <c r="GRD41" s="9"/>
      <c r="GRE41" s="9"/>
      <c r="GRF41" s="9"/>
      <c r="GRG41" s="9"/>
      <c r="GRH41" s="9"/>
      <c r="GRI41" s="9"/>
      <c r="GRJ41" s="9"/>
      <c r="GRK41" s="9"/>
      <c r="GRL41" s="9"/>
      <c r="GRM41" s="9"/>
      <c r="GRN41" s="9"/>
      <c r="GRO41" s="9"/>
      <c r="GRP41" s="9"/>
      <c r="GRQ41" s="9"/>
      <c r="GRR41" s="9"/>
      <c r="GRS41" s="9"/>
      <c r="GRT41" s="9"/>
      <c r="GRU41" s="9"/>
      <c r="GRV41" s="9"/>
      <c r="GRW41" s="9"/>
      <c r="GRX41" s="9"/>
      <c r="GRY41" s="9"/>
      <c r="GRZ41" s="9"/>
      <c r="GSA41" s="9"/>
      <c r="GSB41" s="9"/>
      <c r="GSC41" s="9"/>
      <c r="GSD41" s="9"/>
      <c r="GSE41" s="9"/>
      <c r="GSF41" s="9"/>
      <c r="GSG41" s="9"/>
      <c r="GSH41" s="9"/>
      <c r="GSI41" s="9"/>
      <c r="GSJ41" s="9"/>
      <c r="GSK41" s="9"/>
      <c r="GSL41" s="9"/>
      <c r="GSM41" s="9"/>
      <c r="GSN41" s="9"/>
      <c r="GSO41" s="9"/>
      <c r="GSP41" s="9"/>
      <c r="GSQ41" s="9"/>
      <c r="GSR41" s="9"/>
      <c r="GSS41" s="9"/>
      <c r="GST41" s="9"/>
      <c r="GSU41" s="9"/>
      <c r="GSV41" s="9"/>
      <c r="GSW41" s="9"/>
      <c r="GSX41" s="9"/>
      <c r="GSY41" s="9"/>
      <c r="GSZ41" s="9"/>
      <c r="GTA41" s="9"/>
      <c r="GTB41" s="9"/>
      <c r="GTC41" s="9"/>
      <c r="GTD41" s="9"/>
      <c r="GTE41" s="9"/>
      <c r="GTF41" s="9"/>
      <c r="GTG41" s="9"/>
      <c r="GTH41" s="9"/>
      <c r="GTI41" s="9"/>
      <c r="GTJ41" s="9"/>
      <c r="GTK41" s="9"/>
      <c r="GTL41" s="9"/>
      <c r="GTM41" s="9"/>
      <c r="GTN41" s="9"/>
      <c r="GTO41" s="9"/>
      <c r="GTP41" s="9"/>
      <c r="GTQ41" s="9"/>
      <c r="GTR41" s="9"/>
      <c r="GTS41" s="9"/>
      <c r="GTT41" s="9"/>
      <c r="GTU41" s="9"/>
      <c r="GTV41" s="9"/>
      <c r="GTW41" s="9"/>
      <c r="GTX41" s="9"/>
      <c r="GTY41" s="9"/>
      <c r="GTZ41" s="9"/>
      <c r="GUA41" s="9"/>
      <c r="GUB41" s="9"/>
      <c r="GUC41" s="9"/>
      <c r="GUD41" s="9"/>
      <c r="GUE41" s="9"/>
      <c r="GUF41" s="9"/>
      <c r="GUG41" s="9"/>
      <c r="GUH41" s="9"/>
      <c r="GUI41" s="9"/>
      <c r="GUJ41" s="9"/>
      <c r="GUK41" s="9"/>
      <c r="GUL41" s="9"/>
      <c r="GUM41" s="9"/>
      <c r="GUN41" s="9"/>
      <c r="GUO41" s="9"/>
      <c r="GUP41" s="9"/>
      <c r="GUQ41" s="9"/>
      <c r="GUR41" s="9"/>
      <c r="GUS41" s="9"/>
      <c r="GUT41" s="9"/>
      <c r="GUU41" s="9"/>
      <c r="GUV41" s="9"/>
      <c r="GUW41" s="9"/>
      <c r="GUX41" s="9"/>
      <c r="GUY41" s="9"/>
      <c r="GUZ41" s="9"/>
      <c r="GVA41" s="9"/>
      <c r="GVB41" s="9"/>
      <c r="GVC41" s="9"/>
      <c r="GVD41" s="9"/>
      <c r="GVE41" s="9"/>
      <c r="GVF41" s="9"/>
      <c r="GVG41" s="9"/>
      <c r="GVH41" s="9"/>
      <c r="GVI41" s="9"/>
      <c r="GVJ41" s="9"/>
      <c r="GVK41" s="9"/>
      <c r="GVL41" s="9"/>
      <c r="GVM41" s="9"/>
      <c r="GVN41" s="9"/>
      <c r="GVO41" s="9"/>
      <c r="GVP41" s="9"/>
      <c r="GVQ41" s="9"/>
      <c r="GVR41" s="9"/>
      <c r="GVS41" s="9"/>
      <c r="GVT41" s="9"/>
      <c r="GVU41" s="9"/>
      <c r="GVV41" s="9"/>
      <c r="GVW41" s="9"/>
      <c r="GVX41" s="9"/>
      <c r="GVY41" s="9"/>
      <c r="GVZ41" s="9"/>
      <c r="GWA41" s="9"/>
      <c r="GWB41" s="9"/>
      <c r="GWC41" s="9"/>
      <c r="GWD41" s="9"/>
      <c r="GWE41" s="9"/>
      <c r="GWF41" s="9"/>
      <c r="GWG41" s="9"/>
      <c r="GWH41" s="9"/>
      <c r="GWI41" s="9"/>
      <c r="GWJ41" s="9"/>
      <c r="GWK41" s="9"/>
      <c r="GWL41" s="9"/>
      <c r="GWM41" s="9"/>
      <c r="GWN41" s="9"/>
      <c r="GWO41" s="9"/>
      <c r="GWP41" s="9"/>
      <c r="GWQ41" s="9"/>
      <c r="GWR41" s="9"/>
      <c r="GWS41" s="9"/>
      <c r="GWT41" s="9"/>
      <c r="GWU41" s="9"/>
      <c r="GWV41" s="9"/>
      <c r="GWW41" s="9"/>
      <c r="GWX41" s="9"/>
      <c r="GWY41" s="9"/>
      <c r="GWZ41" s="9"/>
      <c r="GXA41" s="9"/>
      <c r="GXB41" s="9"/>
      <c r="GXC41" s="9"/>
      <c r="GXD41" s="9"/>
      <c r="GXE41" s="9"/>
      <c r="GXF41" s="9"/>
      <c r="GXG41" s="9"/>
      <c r="GXH41" s="9"/>
      <c r="GXI41" s="9"/>
      <c r="GXJ41" s="9"/>
      <c r="GXK41" s="9"/>
      <c r="GXL41" s="9"/>
      <c r="GXM41" s="9"/>
      <c r="GXN41" s="9"/>
      <c r="GXO41" s="9"/>
      <c r="GXP41" s="9"/>
      <c r="GXQ41" s="9"/>
      <c r="GXR41" s="9"/>
      <c r="GXS41" s="9"/>
      <c r="GXT41" s="9"/>
      <c r="GXU41" s="9"/>
      <c r="GXV41" s="9"/>
      <c r="GXW41" s="9"/>
      <c r="GXX41" s="9"/>
      <c r="GXY41" s="9"/>
      <c r="GXZ41" s="9"/>
      <c r="GYA41" s="9"/>
      <c r="GYB41" s="9"/>
      <c r="GYC41" s="9"/>
      <c r="GYD41" s="9"/>
      <c r="GYE41" s="9"/>
      <c r="GYF41" s="9"/>
      <c r="GYG41" s="9"/>
      <c r="GYH41" s="9"/>
      <c r="GYI41" s="9"/>
      <c r="GYJ41" s="9"/>
      <c r="GYK41" s="9"/>
      <c r="GYL41" s="9"/>
      <c r="GYM41" s="9"/>
      <c r="GYN41" s="9"/>
      <c r="GYO41" s="9"/>
      <c r="GYP41" s="9"/>
      <c r="GYQ41" s="9"/>
      <c r="GYR41" s="9"/>
      <c r="GYS41" s="9"/>
      <c r="GYT41" s="9"/>
      <c r="GYU41" s="9"/>
      <c r="GYV41" s="9"/>
      <c r="GYW41" s="9"/>
      <c r="GYX41" s="9"/>
      <c r="GYY41" s="9"/>
      <c r="GYZ41" s="9"/>
      <c r="GZA41" s="9"/>
      <c r="GZB41" s="9"/>
      <c r="GZC41" s="9"/>
      <c r="GZD41" s="9"/>
      <c r="GZE41" s="9"/>
      <c r="GZF41" s="9"/>
      <c r="GZG41" s="9"/>
      <c r="GZH41" s="9"/>
      <c r="GZI41" s="9"/>
      <c r="GZJ41" s="9"/>
      <c r="GZK41" s="9"/>
      <c r="GZL41" s="9"/>
      <c r="GZM41" s="9"/>
      <c r="GZN41" s="9"/>
      <c r="GZO41" s="9"/>
      <c r="GZP41" s="9"/>
      <c r="GZQ41" s="9"/>
      <c r="GZR41" s="9"/>
      <c r="GZS41" s="9"/>
      <c r="GZT41" s="9"/>
      <c r="GZU41" s="9"/>
      <c r="GZV41" s="9"/>
      <c r="GZW41" s="9"/>
      <c r="GZX41" s="9"/>
      <c r="GZY41" s="9"/>
      <c r="GZZ41" s="9"/>
      <c r="HAA41" s="9"/>
      <c r="HAB41" s="9"/>
      <c r="HAC41" s="9"/>
      <c r="HAD41" s="9"/>
      <c r="HAE41" s="9"/>
      <c r="HAF41" s="9"/>
      <c r="HAG41" s="9"/>
      <c r="HAH41" s="9"/>
      <c r="HAI41" s="9"/>
      <c r="HAJ41" s="9"/>
      <c r="HAK41" s="9"/>
      <c r="HAL41" s="9"/>
      <c r="HAM41" s="9"/>
      <c r="HAN41" s="9"/>
      <c r="HAO41" s="9"/>
      <c r="HAP41" s="9"/>
      <c r="HAQ41" s="9"/>
      <c r="HAR41" s="9"/>
      <c r="HAS41" s="9"/>
      <c r="HAT41" s="9"/>
      <c r="HAU41" s="9"/>
      <c r="HAV41" s="9"/>
      <c r="HAW41" s="9"/>
      <c r="HAX41" s="9"/>
      <c r="HAY41" s="9"/>
      <c r="HAZ41" s="9"/>
      <c r="HBA41" s="9"/>
      <c r="HBB41" s="9"/>
      <c r="HBC41" s="9"/>
      <c r="HBD41" s="9"/>
      <c r="HBE41" s="9"/>
      <c r="HBF41" s="9"/>
      <c r="HBG41" s="9"/>
      <c r="HBH41" s="9"/>
      <c r="HBI41" s="9"/>
      <c r="HBJ41" s="9"/>
      <c r="HBK41" s="9"/>
      <c r="HBL41" s="9"/>
      <c r="HBM41" s="9"/>
      <c r="HBN41" s="9"/>
      <c r="HBO41" s="9"/>
      <c r="HBP41" s="9"/>
      <c r="HBQ41" s="9"/>
      <c r="HBR41" s="9"/>
      <c r="HBS41" s="9"/>
      <c r="HBT41" s="9"/>
      <c r="HBU41" s="9"/>
      <c r="HBV41" s="9"/>
      <c r="HBW41" s="9"/>
      <c r="HBX41" s="9"/>
      <c r="HBY41" s="9"/>
      <c r="HBZ41" s="9"/>
      <c r="HCA41" s="9"/>
      <c r="HCB41" s="9"/>
      <c r="HCC41" s="9"/>
      <c r="HCD41" s="9"/>
      <c r="HCE41" s="9"/>
      <c r="HCF41" s="9"/>
      <c r="HCG41" s="9"/>
      <c r="HCH41" s="9"/>
      <c r="HCI41" s="9"/>
      <c r="HCJ41" s="9"/>
      <c r="HCK41" s="9"/>
      <c r="HCL41" s="9"/>
      <c r="HCM41" s="9"/>
      <c r="HCN41" s="9"/>
      <c r="HCO41" s="9"/>
      <c r="HCP41" s="9"/>
      <c r="HCQ41" s="9"/>
      <c r="HCR41" s="9"/>
      <c r="HCS41" s="9"/>
      <c r="HCT41" s="9"/>
      <c r="HCU41" s="9"/>
      <c r="HCV41" s="9"/>
      <c r="HCW41" s="9"/>
      <c r="HCX41" s="9"/>
      <c r="HCY41" s="9"/>
      <c r="HCZ41" s="9"/>
      <c r="HDA41" s="9"/>
      <c r="HDB41" s="9"/>
      <c r="HDC41" s="9"/>
      <c r="HDD41" s="9"/>
      <c r="HDE41" s="9"/>
      <c r="HDF41" s="9"/>
      <c r="HDG41" s="9"/>
      <c r="HDH41" s="9"/>
      <c r="HDI41" s="9"/>
      <c r="HDJ41" s="9"/>
      <c r="HDK41" s="9"/>
      <c r="HDL41" s="9"/>
      <c r="HDM41" s="9"/>
      <c r="HDN41" s="9"/>
      <c r="HDO41" s="9"/>
      <c r="HDP41" s="9"/>
      <c r="HDQ41" s="9"/>
      <c r="HDR41" s="9"/>
      <c r="HDS41" s="9"/>
      <c r="HDT41" s="9"/>
      <c r="HDU41" s="9"/>
      <c r="HDV41" s="9"/>
      <c r="HDW41" s="9"/>
      <c r="HDX41" s="9"/>
      <c r="HDY41" s="9"/>
      <c r="HDZ41" s="9"/>
      <c r="HEA41" s="9"/>
      <c r="HEB41" s="9"/>
      <c r="HEC41" s="9"/>
      <c r="HED41" s="9"/>
      <c r="HEE41" s="9"/>
      <c r="HEF41" s="9"/>
      <c r="HEG41" s="9"/>
      <c r="HEH41" s="9"/>
      <c r="HEI41" s="9"/>
      <c r="HEJ41" s="9"/>
      <c r="HEK41" s="9"/>
      <c r="HEL41" s="9"/>
      <c r="HEM41" s="9"/>
      <c r="HEN41" s="9"/>
      <c r="HEO41" s="9"/>
      <c r="HEP41" s="9"/>
      <c r="HEQ41" s="9"/>
      <c r="HER41" s="9"/>
      <c r="HES41" s="9"/>
      <c r="HET41" s="9"/>
      <c r="HEU41" s="9"/>
      <c r="HEV41" s="9"/>
      <c r="HEW41" s="9"/>
      <c r="HEX41" s="9"/>
      <c r="HEY41" s="9"/>
      <c r="HEZ41" s="9"/>
      <c r="HFA41" s="9"/>
      <c r="HFB41" s="9"/>
      <c r="HFC41" s="9"/>
      <c r="HFD41" s="9"/>
      <c r="HFE41" s="9"/>
      <c r="HFF41" s="9"/>
      <c r="HFG41" s="9"/>
      <c r="HFH41" s="9"/>
      <c r="HFI41" s="9"/>
      <c r="HFJ41" s="9"/>
      <c r="HFK41" s="9"/>
      <c r="HFL41" s="9"/>
      <c r="HFM41" s="9"/>
      <c r="HFN41" s="9"/>
      <c r="HFO41" s="9"/>
      <c r="HFP41" s="9"/>
      <c r="HFQ41" s="9"/>
      <c r="HFR41" s="9"/>
      <c r="HFS41" s="9"/>
      <c r="HFT41" s="9"/>
      <c r="HFU41" s="9"/>
      <c r="HFV41" s="9"/>
      <c r="HFW41" s="9"/>
      <c r="HFX41" s="9"/>
      <c r="HFY41" s="9"/>
      <c r="HFZ41" s="9"/>
      <c r="HGA41" s="9"/>
      <c r="HGB41" s="9"/>
      <c r="HGC41" s="9"/>
      <c r="HGD41" s="9"/>
      <c r="HGE41" s="9"/>
      <c r="HGF41" s="9"/>
      <c r="HGG41" s="9"/>
      <c r="HGH41" s="9"/>
      <c r="HGI41" s="9"/>
      <c r="HGJ41" s="9"/>
      <c r="HGK41" s="9"/>
      <c r="HGL41" s="9"/>
      <c r="HGM41" s="9"/>
      <c r="HGN41" s="9"/>
      <c r="HGO41" s="9"/>
      <c r="HGP41" s="9"/>
      <c r="HGQ41" s="9"/>
      <c r="HGR41" s="9"/>
      <c r="HGS41" s="9"/>
      <c r="HGT41" s="9"/>
      <c r="HGU41" s="9"/>
      <c r="HGV41" s="9"/>
      <c r="HGW41" s="9"/>
      <c r="HGX41" s="9"/>
      <c r="HGY41" s="9"/>
      <c r="HGZ41" s="9"/>
      <c r="HHA41" s="9"/>
      <c r="HHB41" s="9"/>
      <c r="HHC41" s="9"/>
      <c r="HHD41" s="9"/>
      <c r="HHE41" s="9"/>
      <c r="HHF41" s="9"/>
      <c r="HHG41" s="9"/>
      <c r="HHH41" s="9"/>
      <c r="HHI41" s="9"/>
      <c r="HHJ41" s="9"/>
      <c r="HHK41" s="9"/>
      <c r="HHL41" s="9"/>
      <c r="HHM41" s="9"/>
      <c r="HHN41" s="9"/>
      <c r="HHO41" s="9"/>
      <c r="HHP41" s="9"/>
      <c r="HHQ41" s="9"/>
      <c r="HHR41" s="9"/>
      <c r="HHS41" s="9"/>
      <c r="HHT41" s="9"/>
      <c r="HHU41" s="9"/>
      <c r="HHV41" s="9"/>
      <c r="HHW41" s="9"/>
      <c r="HHX41" s="9"/>
      <c r="HHY41" s="9"/>
      <c r="HHZ41" s="9"/>
      <c r="HIA41" s="9"/>
      <c r="HIB41" s="9"/>
      <c r="HIC41" s="9"/>
      <c r="HID41" s="9"/>
      <c r="HIE41" s="9"/>
      <c r="HIF41" s="9"/>
      <c r="HIG41" s="9"/>
      <c r="HIH41" s="9"/>
      <c r="HII41" s="9"/>
      <c r="HIJ41" s="9"/>
      <c r="HIK41" s="9"/>
      <c r="HIL41" s="9"/>
      <c r="HIM41" s="9"/>
      <c r="HIN41" s="9"/>
      <c r="HIO41" s="9"/>
      <c r="HIP41" s="9"/>
      <c r="HIQ41" s="9"/>
      <c r="HIR41" s="9"/>
      <c r="HIS41" s="9"/>
      <c r="HIT41" s="9"/>
      <c r="HIU41" s="9"/>
      <c r="HIV41" s="9"/>
      <c r="HIW41" s="9"/>
      <c r="HIX41" s="9"/>
      <c r="HIY41" s="9"/>
      <c r="HIZ41" s="9"/>
      <c r="HJA41" s="9"/>
      <c r="HJB41" s="9"/>
      <c r="HJC41" s="9"/>
      <c r="HJD41" s="9"/>
      <c r="HJE41" s="9"/>
      <c r="HJF41" s="9"/>
      <c r="HJG41" s="9"/>
      <c r="HJH41" s="9"/>
      <c r="HJI41" s="9"/>
      <c r="HJJ41" s="9"/>
      <c r="HJK41" s="9"/>
      <c r="HJL41" s="9"/>
      <c r="HJM41" s="9"/>
      <c r="HJN41" s="9"/>
      <c r="HJO41" s="9"/>
      <c r="HJP41" s="9"/>
      <c r="HJQ41" s="9"/>
      <c r="HJR41" s="9"/>
      <c r="HJS41" s="9"/>
      <c r="HJT41" s="9"/>
      <c r="HJU41" s="9"/>
      <c r="HJV41" s="9"/>
      <c r="HJW41" s="9"/>
      <c r="HJX41" s="9"/>
      <c r="HJY41" s="9"/>
      <c r="HJZ41" s="9"/>
      <c r="HKA41" s="9"/>
      <c r="HKB41" s="9"/>
      <c r="HKC41" s="9"/>
      <c r="HKD41" s="9"/>
      <c r="HKE41" s="9"/>
      <c r="HKF41" s="9"/>
      <c r="HKG41" s="9"/>
      <c r="HKH41" s="9"/>
      <c r="HKI41" s="9"/>
      <c r="HKJ41" s="9"/>
      <c r="HKK41" s="9"/>
      <c r="HKL41" s="9"/>
      <c r="HKM41" s="9"/>
      <c r="HKN41" s="9"/>
      <c r="HKO41" s="9"/>
      <c r="HKP41" s="9"/>
      <c r="HKQ41" s="9"/>
      <c r="HKR41" s="9"/>
      <c r="HKS41" s="9"/>
      <c r="HKT41" s="9"/>
      <c r="HKU41" s="9"/>
      <c r="HKV41" s="9"/>
      <c r="HKW41" s="9"/>
      <c r="HKX41" s="9"/>
      <c r="HKY41" s="9"/>
      <c r="HKZ41" s="9"/>
      <c r="HLA41" s="9"/>
      <c r="HLB41" s="9"/>
      <c r="HLC41" s="9"/>
      <c r="HLD41" s="9"/>
      <c r="HLE41" s="9"/>
      <c r="HLF41" s="9"/>
      <c r="HLG41" s="9"/>
      <c r="HLH41" s="9"/>
      <c r="HLI41" s="9"/>
      <c r="HLJ41" s="9"/>
      <c r="HLK41" s="9"/>
      <c r="HLL41" s="9"/>
      <c r="HLM41" s="9"/>
      <c r="HLN41" s="9"/>
      <c r="HLO41" s="9"/>
      <c r="HLP41" s="9"/>
      <c r="HLQ41" s="9"/>
      <c r="HLR41" s="9"/>
      <c r="HLS41" s="9"/>
      <c r="HLT41" s="9"/>
      <c r="HLU41" s="9"/>
      <c r="HLV41" s="9"/>
      <c r="HLW41" s="9"/>
      <c r="HLX41" s="9"/>
      <c r="HLY41" s="9"/>
      <c r="HLZ41" s="9"/>
      <c r="HMA41" s="9"/>
      <c r="HMB41" s="9"/>
      <c r="HMC41" s="9"/>
      <c r="HMD41" s="9"/>
      <c r="HME41" s="9"/>
      <c r="HMF41" s="9"/>
      <c r="HMG41" s="9"/>
      <c r="HMH41" s="9"/>
      <c r="HMI41" s="9"/>
      <c r="HMJ41" s="9"/>
      <c r="HMK41" s="9"/>
      <c r="HML41" s="9"/>
      <c r="HMM41" s="9"/>
      <c r="HMN41" s="9"/>
      <c r="HMO41" s="9"/>
      <c r="HMP41" s="9"/>
      <c r="HMQ41" s="9"/>
      <c r="HMR41" s="9"/>
      <c r="HMS41" s="9"/>
      <c r="HMT41" s="9"/>
      <c r="HMU41" s="9"/>
      <c r="HMV41" s="9"/>
      <c r="HMW41" s="9"/>
      <c r="HMX41" s="9"/>
      <c r="HMY41" s="9"/>
      <c r="HMZ41" s="9"/>
      <c r="HNA41" s="9"/>
      <c r="HNB41" s="9"/>
      <c r="HNC41" s="9"/>
      <c r="HND41" s="9"/>
      <c r="HNE41" s="9"/>
      <c r="HNF41" s="9"/>
      <c r="HNG41" s="9"/>
      <c r="HNH41" s="9"/>
      <c r="HNI41" s="9"/>
      <c r="HNJ41" s="9"/>
      <c r="HNK41" s="9"/>
      <c r="HNL41" s="9"/>
      <c r="HNM41" s="9"/>
      <c r="HNN41" s="9"/>
      <c r="HNO41" s="9"/>
      <c r="HNP41" s="9"/>
      <c r="HNQ41" s="9"/>
      <c r="HNR41" s="9"/>
      <c r="HNS41" s="9"/>
      <c r="HNT41" s="9"/>
      <c r="HNU41" s="9"/>
      <c r="HNV41" s="9"/>
      <c r="HNW41" s="9"/>
      <c r="HNX41" s="9"/>
      <c r="HNY41" s="9"/>
      <c r="HNZ41" s="9"/>
      <c r="HOA41" s="9"/>
      <c r="HOB41" s="9"/>
      <c r="HOC41" s="9"/>
      <c r="HOD41" s="9"/>
      <c r="HOE41" s="9"/>
      <c r="HOF41" s="9"/>
      <c r="HOG41" s="9"/>
      <c r="HOH41" s="9"/>
      <c r="HOI41" s="9"/>
      <c r="HOJ41" s="9"/>
      <c r="HOK41" s="9"/>
      <c r="HOL41" s="9"/>
      <c r="HOM41" s="9"/>
      <c r="HON41" s="9"/>
      <c r="HOO41" s="9"/>
      <c r="HOP41" s="9"/>
      <c r="HOQ41" s="9"/>
      <c r="HOR41" s="9"/>
      <c r="HOS41" s="9"/>
      <c r="HOT41" s="9"/>
      <c r="HOU41" s="9"/>
      <c r="HOV41" s="9"/>
      <c r="HOW41" s="9"/>
      <c r="HOX41" s="9"/>
      <c r="HOY41" s="9"/>
      <c r="HOZ41" s="9"/>
      <c r="HPA41" s="9"/>
      <c r="HPB41" s="9"/>
      <c r="HPC41" s="9"/>
      <c r="HPD41" s="9"/>
      <c r="HPE41" s="9"/>
      <c r="HPF41" s="9"/>
      <c r="HPG41" s="9"/>
      <c r="HPH41" s="9"/>
      <c r="HPI41" s="9"/>
      <c r="HPJ41" s="9"/>
      <c r="HPK41" s="9"/>
      <c r="HPL41" s="9"/>
      <c r="HPM41" s="9"/>
      <c r="HPN41" s="9"/>
      <c r="HPO41" s="9"/>
      <c r="HPP41" s="9"/>
      <c r="HPQ41" s="9"/>
      <c r="HPR41" s="9"/>
      <c r="HPS41" s="9"/>
      <c r="HPT41" s="9"/>
      <c r="HPU41" s="9"/>
      <c r="HPV41" s="9"/>
      <c r="HPW41" s="9"/>
      <c r="HPX41" s="9"/>
      <c r="HPY41" s="9"/>
      <c r="HPZ41" s="9"/>
      <c r="HQA41" s="9"/>
      <c r="HQB41" s="9"/>
      <c r="HQC41" s="9"/>
      <c r="HQD41" s="9"/>
      <c r="HQE41" s="9"/>
      <c r="HQF41" s="9"/>
      <c r="HQG41" s="9"/>
      <c r="HQH41" s="9"/>
      <c r="HQI41" s="9"/>
      <c r="HQJ41" s="9"/>
      <c r="HQK41" s="9"/>
      <c r="HQL41" s="9"/>
      <c r="HQM41" s="9"/>
      <c r="HQN41" s="9"/>
      <c r="HQO41" s="9"/>
      <c r="HQP41" s="9"/>
      <c r="HQQ41" s="9"/>
      <c r="HQR41" s="9"/>
      <c r="HQS41" s="9"/>
      <c r="HQT41" s="9"/>
      <c r="HQU41" s="9"/>
      <c r="HQV41" s="9"/>
      <c r="HQW41" s="9"/>
      <c r="HQX41" s="9"/>
      <c r="HQY41" s="9"/>
      <c r="HQZ41" s="9"/>
      <c r="HRA41" s="9"/>
      <c r="HRB41" s="9"/>
      <c r="HRC41" s="9"/>
      <c r="HRD41" s="9"/>
      <c r="HRE41" s="9"/>
      <c r="HRF41" s="9"/>
      <c r="HRG41" s="9"/>
      <c r="HRH41" s="9"/>
      <c r="HRI41" s="9"/>
      <c r="HRJ41" s="9"/>
      <c r="HRK41" s="9"/>
      <c r="HRL41" s="9"/>
      <c r="HRM41" s="9"/>
      <c r="HRN41" s="9"/>
      <c r="HRO41" s="9"/>
      <c r="HRP41" s="9"/>
      <c r="HRQ41" s="9"/>
      <c r="HRR41" s="9"/>
      <c r="HRS41" s="9"/>
      <c r="HRT41" s="9"/>
      <c r="HRU41" s="9"/>
      <c r="HRV41" s="9"/>
      <c r="HRW41" s="9"/>
      <c r="HRX41" s="9"/>
      <c r="HRY41" s="9"/>
      <c r="HRZ41" s="9"/>
      <c r="HSA41" s="9"/>
      <c r="HSB41" s="9"/>
      <c r="HSC41" s="9"/>
      <c r="HSD41" s="9"/>
      <c r="HSE41" s="9"/>
      <c r="HSF41" s="9"/>
      <c r="HSG41" s="9"/>
      <c r="HSH41" s="9"/>
      <c r="HSI41" s="9"/>
      <c r="HSJ41" s="9"/>
      <c r="HSK41" s="9"/>
      <c r="HSL41" s="9"/>
      <c r="HSM41" s="9"/>
      <c r="HSN41" s="9"/>
      <c r="HSO41" s="9"/>
      <c r="HSP41" s="9"/>
      <c r="HSQ41" s="9"/>
      <c r="HSR41" s="9"/>
      <c r="HSS41" s="9"/>
      <c r="HST41" s="9"/>
      <c r="HSU41" s="9"/>
      <c r="HSV41" s="9"/>
      <c r="HSW41" s="9"/>
      <c r="HSX41" s="9"/>
      <c r="HSY41" s="9"/>
      <c r="HSZ41" s="9"/>
      <c r="HTA41" s="9"/>
      <c r="HTB41" s="9"/>
      <c r="HTC41" s="9"/>
      <c r="HTD41" s="9"/>
      <c r="HTE41" s="9"/>
      <c r="HTF41" s="9"/>
      <c r="HTG41" s="9"/>
      <c r="HTH41" s="9"/>
      <c r="HTI41" s="9"/>
      <c r="HTJ41" s="9"/>
      <c r="HTK41" s="9"/>
      <c r="HTL41" s="9"/>
      <c r="HTM41" s="9"/>
      <c r="HTN41" s="9"/>
      <c r="HTO41" s="9"/>
      <c r="HTP41" s="9"/>
      <c r="HTQ41" s="9"/>
      <c r="HTR41" s="9"/>
      <c r="HTS41" s="9"/>
      <c r="HTT41" s="9"/>
      <c r="HTU41" s="9"/>
      <c r="HTV41" s="9"/>
      <c r="HTW41" s="9"/>
      <c r="HTX41" s="9"/>
      <c r="HTY41" s="9"/>
      <c r="HTZ41" s="9"/>
      <c r="HUA41" s="9"/>
      <c r="HUB41" s="9"/>
      <c r="HUC41" s="9"/>
      <c r="HUD41" s="9"/>
      <c r="HUE41" s="9"/>
      <c r="HUF41" s="9"/>
      <c r="HUG41" s="9"/>
      <c r="HUH41" s="9"/>
      <c r="HUI41" s="9"/>
      <c r="HUJ41" s="9"/>
      <c r="HUK41" s="9"/>
      <c r="HUL41" s="9"/>
      <c r="HUM41" s="9"/>
      <c r="HUN41" s="9"/>
      <c r="HUO41" s="9"/>
      <c r="HUP41" s="9"/>
      <c r="HUQ41" s="9"/>
      <c r="HUR41" s="9"/>
      <c r="HUS41" s="9"/>
      <c r="HUT41" s="9"/>
      <c r="HUU41" s="9"/>
      <c r="HUV41" s="9"/>
      <c r="HUW41" s="9"/>
      <c r="HUX41" s="9"/>
      <c r="HUY41" s="9"/>
      <c r="HUZ41" s="9"/>
      <c r="HVA41" s="9"/>
      <c r="HVB41" s="9"/>
      <c r="HVC41" s="9"/>
      <c r="HVD41" s="9"/>
      <c r="HVE41" s="9"/>
      <c r="HVF41" s="9"/>
      <c r="HVG41" s="9"/>
      <c r="HVH41" s="9"/>
      <c r="HVI41" s="9"/>
      <c r="HVJ41" s="9"/>
      <c r="HVK41" s="9"/>
      <c r="HVL41" s="9"/>
      <c r="HVM41" s="9"/>
      <c r="HVN41" s="9"/>
      <c r="HVO41" s="9"/>
      <c r="HVP41" s="9"/>
      <c r="HVQ41" s="9"/>
      <c r="HVR41" s="9"/>
      <c r="HVS41" s="9"/>
      <c r="HVT41" s="9"/>
      <c r="HVU41" s="9"/>
      <c r="HVV41" s="9"/>
      <c r="HVW41" s="9"/>
      <c r="HVX41" s="9"/>
      <c r="HVY41" s="9"/>
      <c r="HVZ41" s="9"/>
      <c r="HWA41" s="9"/>
      <c r="HWB41" s="9"/>
      <c r="HWC41" s="9"/>
      <c r="HWD41" s="9"/>
      <c r="HWE41" s="9"/>
      <c r="HWF41" s="9"/>
      <c r="HWG41" s="9"/>
      <c r="HWH41" s="9"/>
      <c r="HWI41" s="9"/>
      <c r="HWJ41" s="9"/>
      <c r="HWK41" s="9"/>
      <c r="HWL41" s="9"/>
      <c r="HWM41" s="9"/>
      <c r="HWN41" s="9"/>
      <c r="HWO41" s="9"/>
      <c r="HWP41" s="9"/>
      <c r="HWQ41" s="9"/>
      <c r="HWR41" s="9"/>
      <c r="HWS41" s="9"/>
      <c r="HWT41" s="9"/>
      <c r="HWU41" s="9"/>
      <c r="HWV41" s="9"/>
      <c r="HWW41" s="9"/>
      <c r="HWX41" s="9"/>
      <c r="HWY41" s="9"/>
      <c r="HWZ41" s="9"/>
      <c r="HXA41" s="9"/>
      <c r="HXB41" s="9"/>
      <c r="HXC41" s="9"/>
      <c r="HXD41" s="9"/>
      <c r="HXE41" s="9"/>
      <c r="HXF41" s="9"/>
      <c r="HXG41" s="9"/>
      <c r="HXH41" s="9"/>
      <c r="HXI41" s="9"/>
      <c r="HXJ41" s="9"/>
      <c r="HXK41" s="9"/>
      <c r="HXL41" s="9"/>
      <c r="HXM41" s="9"/>
      <c r="HXN41" s="9"/>
      <c r="HXO41" s="9"/>
      <c r="HXP41" s="9"/>
      <c r="HXQ41" s="9"/>
      <c r="HXR41" s="9"/>
      <c r="HXS41" s="9"/>
      <c r="HXT41" s="9"/>
      <c r="HXU41" s="9"/>
      <c r="HXV41" s="9"/>
      <c r="HXW41" s="9"/>
      <c r="HXX41" s="9"/>
      <c r="HXY41" s="9"/>
      <c r="HXZ41" s="9"/>
      <c r="HYA41" s="9"/>
      <c r="HYB41" s="9"/>
      <c r="HYC41" s="9"/>
      <c r="HYD41" s="9"/>
      <c r="HYE41" s="9"/>
      <c r="HYF41" s="9"/>
      <c r="HYG41" s="9"/>
      <c r="HYH41" s="9"/>
      <c r="HYI41" s="9"/>
      <c r="HYJ41" s="9"/>
      <c r="HYK41" s="9"/>
      <c r="HYL41" s="9"/>
      <c r="HYM41" s="9"/>
      <c r="HYN41" s="9"/>
      <c r="HYO41" s="9"/>
      <c r="HYP41" s="9"/>
      <c r="HYQ41" s="9"/>
      <c r="HYR41" s="9"/>
      <c r="HYS41" s="9"/>
      <c r="HYT41" s="9"/>
      <c r="HYU41" s="9"/>
      <c r="HYV41" s="9"/>
      <c r="HYW41" s="9"/>
      <c r="HYX41" s="9"/>
      <c r="HYY41" s="9"/>
      <c r="HYZ41" s="9"/>
      <c r="HZA41" s="9"/>
      <c r="HZB41" s="9"/>
      <c r="HZC41" s="9"/>
      <c r="HZD41" s="9"/>
      <c r="HZE41" s="9"/>
      <c r="HZF41" s="9"/>
      <c r="HZG41" s="9"/>
      <c r="HZH41" s="9"/>
      <c r="HZI41" s="9"/>
      <c r="HZJ41" s="9"/>
      <c r="HZK41" s="9"/>
      <c r="HZL41" s="9"/>
      <c r="HZM41" s="9"/>
      <c r="HZN41" s="9"/>
      <c r="HZO41" s="9"/>
      <c r="HZP41" s="9"/>
      <c r="HZQ41" s="9"/>
      <c r="HZR41" s="9"/>
      <c r="HZS41" s="9"/>
      <c r="HZT41" s="9"/>
      <c r="HZU41" s="9"/>
      <c r="HZV41" s="9"/>
      <c r="HZW41" s="9"/>
      <c r="HZX41" s="9"/>
      <c r="HZY41" s="9"/>
      <c r="HZZ41" s="9"/>
      <c r="IAA41" s="9"/>
      <c r="IAB41" s="9"/>
      <c r="IAC41" s="9"/>
      <c r="IAD41" s="9"/>
      <c r="IAE41" s="9"/>
      <c r="IAF41" s="9"/>
      <c r="IAG41" s="9"/>
      <c r="IAH41" s="9"/>
      <c r="IAI41" s="9"/>
      <c r="IAJ41" s="9"/>
      <c r="IAK41" s="9"/>
      <c r="IAL41" s="9"/>
      <c r="IAM41" s="9"/>
      <c r="IAN41" s="9"/>
      <c r="IAO41" s="9"/>
      <c r="IAP41" s="9"/>
      <c r="IAQ41" s="9"/>
      <c r="IAR41" s="9"/>
      <c r="IAS41" s="9"/>
      <c r="IAT41" s="9"/>
      <c r="IAU41" s="9"/>
      <c r="IAV41" s="9"/>
      <c r="IAW41" s="9"/>
      <c r="IAX41" s="9"/>
      <c r="IAY41" s="9"/>
      <c r="IAZ41" s="9"/>
      <c r="IBA41" s="9"/>
      <c r="IBB41" s="9"/>
      <c r="IBC41" s="9"/>
      <c r="IBD41" s="9"/>
      <c r="IBE41" s="9"/>
      <c r="IBF41" s="9"/>
      <c r="IBG41" s="9"/>
      <c r="IBH41" s="9"/>
      <c r="IBI41" s="9"/>
      <c r="IBJ41" s="9"/>
      <c r="IBK41" s="9"/>
      <c r="IBL41" s="9"/>
      <c r="IBM41" s="9"/>
      <c r="IBN41" s="9"/>
      <c r="IBO41" s="9"/>
      <c r="IBP41" s="9"/>
      <c r="IBQ41" s="9"/>
      <c r="IBR41" s="9"/>
      <c r="IBS41" s="9"/>
      <c r="IBT41" s="9"/>
      <c r="IBU41" s="9"/>
      <c r="IBV41" s="9"/>
      <c r="IBW41" s="9"/>
      <c r="IBX41" s="9"/>
      <c r="IBY41" s="9"/>
      <c r="IBZ41" s="9"/>
      <c r="ICA41" s="9"/>
      <c r="ICB41" s="9"/>
      <c r="ICC41" s="9"/>
      <c r="ICD41" s="9"/>
      <c r="ICE41" s="9"/>
      <c r="ICF41" s="9"/>
      <c r="ICG41" s="9"/>
      <c r="ICH41" s="9"/>
      <c r="ICI41" s="9"/>
      <c r="ICJ41" s="9"/>
      <c r="ICK41" s="9"/>
      <c r="ICL41" s="9"/>
      <c r="ICM41" s="9"/>
      <c r="ICN41" s="9"/>
      <c r="ICO41" s="9"/>
      <c r="ICP41" s="9"/>
      <c r="ICQ41" s="9"/>
      <c r="ICR41" s="9"/>
      <c r="ICS41" s="9"/>
      <c r="ICT41" s="9"/>
      <c r="ICU41" s="9"/>
      <c r="ICV41" s="9"/>
      <c r="ICW41" s="9"/>
      <c r="ICX41" s="9"/>
      <c r="ICY41" s="9"/>
      <c r="ICZ41" s="9"/>
      <c r="IDA41" s="9"/>
      <c r="IDB41" s="9"/>
      <c r="IDC41" s="9"/>
      <c r="IDD41" s="9"/>
      <c r="IDE41" s="9"/>
      <c r="IDF41" s="9"/>
      <c r="IDG41" s="9"/>
      <c r="IDH41" s="9"/>
      <c r="IDI41" s="9"/>
      <c r="IDJ41" s="9"/>
      <c r="IDK41" s="9"/>
      <c r="IDL41" s="9"/>
      <c r="IDM41" s="9"/>
      <c r="IDN41" s="9"/>
      <c r="IDO41" s="9"/>
      <c r="IDP41" s="9"/>
      <c r="IDQ41" s="9"/>
      <c r="IDR41" s="9"/>
      <c r="IDS41" s="9"/>
      <c r="IDT41" s="9"/>
      <c r="IDU41" s="9"/>
      <c r="IDV41" s="9"/>
      <c r="IDW41" s="9"/>
      <c r="IDX41" s="9"/>
      <c r="IDY41" s="9"/>
      <c r="IDZ41" s="9"/>
      <c r="IEA41" s="9"/>
      <c r="IEB41" s="9"/>
      <c r="IEC41" s="9"/>
      <c r="IED41" s="9"/>
      <c r="IEE41" s="9"/>
      <c r="IEF41" s="9"/>
      <c r="IEG41" s="9"/>
      <c r="IEH41" s="9"/>
      <c r="IEI41" s="9"/>
      <c r="IEJ41" s="9"/>
      <c r="IEK41" s="9"/>
      <c r="IEL41" s="9"/>
      <c r="IEM41" s="9"/>
      <c r="IEN41" s="9"/>
      <c r="IEO41" s="9"/>
      <c r="IEP41" s="9"/>
      <c r="IEQ41" s="9"/>
      <c r="IER41" s="9"/>
      <c r="IES41" s="9"/>
      <c r="IET41" s="9"/>
      <c r="IEU41" s="9"/>
      <c r="IEV41" s="9"/>
      <c r="IEW41" s="9"/>
      <c r="IEX41" s="9"/>
      <c r="IEY41" s="9"/>
      <c r="IEZ41" s="9"/>
      <c r="IFA41" s="9"/>
      <c r="IFB41" s="9"/>
      <c r="IFC41" s="9"/>
      <c r="IFD41" s="9"/>
      <c r="IFE41" s="9"/>
      <c r="IFF41" s="9"/>
      <c r="IFG41" s="9"/>
      <c r="IFH41" s="9"/>
      <c r="IFI41" s="9"/>
      <c r="IFJ41" s="9"/>
      <c r="IFK41" s="9"/>
      <c r="IFL41" s="9"/>
      <c r="IFM41" s="9"/>
      <c r="IFN41" s="9"/>
      <c r="IFO41" s="9"/>
      <c r="IFP41" s="9"/>
      <c r="IFQ41" s="9"/>
      <c r="IFR41" s="9"/>
      <c r="IFS41" s="9"/>
      <c r="IFT41" s="9"/>
      <c r="IFU41" s="9"/>
      <c r="IFV41" s="9"/>
      <c r="IFW41" s="9"/>
      <c r="IFX41" s="9"/>
      <c r="IFY41" s="9"/>
      <c r="IFZ41" s="9"/>
      <c r="IGA41" s="9"/>
      <c r="IGB41" s="9"/>
      <c r="IGC41" s="9"/>
      <c r="IGD41" s="9"/>
      <c r="IGE41" s="9"/>
      <c r="IGF41" s="9"/>
      <c r="IGG41" s="9"/>
      <c r="IGH41" s="9"/>
      <c r="IGI41" s="9"/>
      <c r="IGJ41" s="9"/>
      <c r="IGK41" s="9"/>
      <c r="IGL41" s="9"/>
      <c r="IGM41" s="9"/>
      <c r="IGN41" s="9"/>
      <c r="IGO41" s="9"/>
      <c r="IGP41" s="9"/>
      <c r="IGQ41" s="9"/>
      <c r="IGR41" s="9"/>
      <c r="IGS41" s="9"/>
      <c r="IGT41" s="9"/>
      <c r="IGU41" s="9"/>
      <c r="IGV41" s="9"/>
      <c r="IGW41" s="9"/>
      <c r="IGX41" s="9"/>
      <c r="IGY41" s="9"/>
      <c r="IGZ41" s="9"/>
      <c r="IHA41" s="9"/>
      <c r="IHB41" s="9"/>
      <c r="IHC41" s="9"/>
      <c r="IHD41" s="9"/>
      <c r="IHE41" s="9"/>
      <c r="IHF41" s="9"/>
      <c r="IHG41" s="9"/>
      <c r="IHH41" s="9"/>
      <c r="IHI41" s="9"/>
      <c r="IHJ41" s="9"/>
      <c r="IHK41" s="9"/>
      <c r="IHL41" s="9"/>
      <c r="IHM41" s="9"/>
      <c r="IHN41" s="9"/>
      <c r="IHO41" s="9"/>
      <c r="IHP41" s="9"/>
      <c r="IHQ41" s="9"/>
      <c r="IHR41" s="9"/>
      <c r="IHS41" s="9"/>
      <c r="IHT41" s="9"/>
      <c r="IHU41" s="9"/>
      <c r="IHV41" s="9"/>
      <c r="IHW41" s="9"/>
      <c r="IHX41" s="9"/>
      <c r="IHY41" s="9"/>
      <c r="IHZ41" s="9"/>
      <c r="IIA41" s="9"/>
      <c r="IIB41" s="9"/>
      <c r="IIC41" s="9"/>
      <c r="IID41" s="9"/>
      <c r="IIE41" s="9"/>
      <c r="IIF41" s="9"/>
      <c r="IIG41" s="9"/>
      <c r="IIH41" s="9"/>
      <c r="III41" s="9"/>
      <c r="IIJ41" s="9"/>
      <c r="IIK41" s="9"/>
      <c r="IIL41" s="9"/>
      <c r="IIM41" s="9"/>
      <c r="IIN41" s="9"/>
      <c r="IIO41" s="9"/>
      <c r="IIP41" s="9"/>
      <c r="IIQ41" s="9"/>
      <c r="IIR41" s="9"/>
      <c r="IIS41" s="9"/>
      <c r="IIT41" s="9"/>
      <c r="IIU41" s="9"/>
      <c r="IIV41" s="9"/>
      <c r="IIW41" s="9"/>
      <c r="IIX41" s="9"/>
      <c r="IIY41" s="9"/>
      <c r="IIZ41" s="9"/>
      <c r="IJA41" s="9"/>
      <c r="IJB41" s="9"/>
      <c r="IJC41" s="9"/>
      <c r="IJD41" s="9"/>
      <c r="IJE41" s="9"/>
      <c r="IJF41" s="9"/>
      <c r="IJG41" s="9"/>
      <c r="IJH41" s="9"/>
      <c r="IJI41" s="9"/>
      <c r="IJJ41" s="9"/>
      <c r="IJK41" s="9"/>
      <c r="IJL41" s="9"/>
      <c r="IJM41" s="9"/>
      <c r="IJN41" s="9"/>
      <c r="IJO41" s="9"/>
      <c r="IJP41" s="9"/>
      <c r="IJQ41" s="9"/>
      <c r="IJR41" s="9"/>
      <c r="IJS41" s="9"/>
      <c r="IJT41" s="9"/>
      <c r="IJU41" s="9"/>
      <c r="IJV41" s="9"/>
      <c r="IJW41" s="9"/>
      <c r="IJX41" s="9"/>
      <c r="IJY41" s="9"/>
      <c r="IJZ41" s="9"/>
      <c r="IKA41" s="9"/>
      <c r="IKB41" s="9"/>
      <c r="IKC41" s="9"/>
      <c r="IKD41" s="9"/>
      <c r="IKE41" s="9"/>
      <c r="IKF41" s="9"/>
      <c r="IKG41" s="9"/>
      <c r="IKH41" s="9"/>
      <c r="IKI41" s="9"/>
      <c r="IKJ41" s="9"/>
      <c r="IKK41" s="9"/>
      <c r="IKL41" s="9"/>
      <c r="IKM41" s="9"/>
      <c r="IKN41" s="9"/>
      <c r="IKO41" s="9"/>
      <c r="IKP41" s="9"/>
      <c r="IKQ41" s="9"/>
      <c r="IKR41" s="9"/>
      <c r="IKS41" s="9"/>
      <c r="IKT41" s="9"/>
      <c r="IKU41" s="9"/>
      <c r="IKV41" s="9"/>
      <c r="IKW41" s="9"/>
      <c r="IKX41" s="9"/>
      <c r="IKY41" s="9"/>
      <c r="IKZ41" s="9"/>
      <c r="ILA41" s="9"/>
      <c r="ILB41" s="9"/>
      <c r="ILC41" s="9"/>
      <c r="ILD41" s="9"/>
      <c r="ILE41" s="9"/>
      <c r="ILF41" s="9"/>
      <c r="ILG41" s="9"/>
      <c r="ILH41" s="9"/>
      <c r="ILI41" s="9"/>
      <c r="ILJ41" s="9"/>
      <c r="ILK41" s="9"/>
      <c r="ILL41" s="9"/>
      <c r="ILM41" s="9"/>
      <c r="ILN41" s="9"/>
      <c r="ILO41" s="9"/>
      <c r="ILP41" s="9"/>
      <c r="ILQ41" s="9"/>
      <c r="ILR41" s="9"/>
      <c r="ILS41" s="9"/>
      <c r="ILT41" s="9"/>
      <c r="ILU41" s="9"/>
      <c r="ILV41" s="9"/>
      <c r="ILW41" s="9"/>
      <c r="ILX41" s="9"/>
      <c r="ILY41" s="9"/>
      <c r="ILZ41" s="9"/>
      <c r="IMA41" s="9"/>
      <c r="IMB41" s="9"/>
      <c r="IMC41" s="9"/>
      <c r="IMD41" s="9"/>
      <c r="IME41" s="9"/>
      <c r="IMF41" s="9"/>
      <c r="IMG41" s="9"/>
      <c r="IMH41" s="9"/>
      <c r="IMI41" s="9"/>
      <c r="IMJ41" s="9"/>
      <c r="IMK41" s="9"/>
      <c r="IML41" s="9"/>
      <c r="IMM41" s="9"/>
      <c r="IMN41" s="9"/>
      <c r="IMO41" s="9"/>
      <c r="IMP41" s="9"/>
      <c r="IMQ41" s="9"/>
      <c r="IMR41" s="9"/>
      <c r="IMS41" s="9"/>
      <c r="IMT41" s="9"/>
      <c r="IMU41" s="9"/>
      <c r="IMV41" s="9"/>
      <c r="IMW41" s="9"/>
      <c r="IMX41" s="9"/>
      <c r="IMY41" s="9"/>
      <c r="IMZ41" s="9"/>
      <c r="INA41" s="9"/>
      <c r="INB41" s="9"/>
      <c r="INC41" s="9"/>
      <c r="IND41" s="9"/>
      <c r="INE41" s="9"/>
      <c r="INF41" s="9"/>
      <c r="ING41" s="9"/>
      <c r="INH41" s="9"/>
      <c r="INI41" s="9"/>
      <c r="INJ41" s="9"/>
      <c r="INK41" s="9"/>
      <c r="INL41" s="9"/>
      <c r="INM41" s="9"/>
      <c r="INN41" s="9"/>
      <c r="INO41" s="9"/>
      <c r="INP41" s="9"/>
      <c r="INQ41" s="9"/>
      <c r="INR41" s="9"/>
      <c r="INS41" s="9"/>
      <c r="INT41" s="9"/>
      <c r="INU41" s="9"/>
      <c r="INV41" s="9"/>
      <c r="INW41" s="9"/>
      <c r="INX41" s="9"/>
      <c r="INY41" s="9"/>
      <c r="INZ41" s="9"/>
      <c r="IOA41" s="9"/>
      <c r="IOB41" s="9"/>
      <c r="IOC41" s="9"/>
      <c r="IOD41" s="9"/>
      <c r="IOE41" s="9"/>
      <c r="IOF41" s="9"/>
      <c r="IOG41" s="9"/>
      <c r="IOH41" s="9"/>
      <c r="IOI41" s="9"/>
      <c r="IOJ41" s="9"/>
      <c r="IOK41" s="9"/>
      <c r="IOL41" s="9"/>
      <c r="IOM41" s="9"/>
      <c r="ION41" s="9"/>
      <c r="IOO41" s="9"/>
      <c r="IOP41" s="9"/>
      <c r="IOQ41" s="9"/>
      <c r="IOR41" s="9"/>
      <c r="IOS41" s="9"/>
      <c r="IOT41" s="9"/>
      <c r="IOU41" s="9"/>
      <c r="IOV41" s="9"/>
      <c r="IOW41" s="9"/>
      <c r="IOX41" s="9"/>
      <c r="IOY41" s="9"/>
      <c r="IOZ41" s="9"/>
      <c r="IPA41" s="9"/>
      <c r="IPB41" s="9"/>
      <c r="IPC41" s="9"/>
      <c r="IPD41" s="9"/>
      <c r="IPE41" s="9"/>
      <c r="IPF41" s="9"/>
      <c r="IPG41" s="9"/>
      <c r="IPH41" s="9"/>
      <c r="IPI41" s="9"/>
      <c r="IPJ41" s="9"/>
      <c r="IPK41" s="9"/>
      <c r="IPL41" s="9"/>
      <c r="IPM41" s="9"/>
      <c r="IPN41" s="9"/>
      <c r="IPO41" s="9"/>
      <c r="IPP41" s="9"/>
      <c r="IPQ41" s="9"/>
      <c r="IPR41" s="9"/>
      <c r="IPS41" s="9"/>
      <c r="IPT41" s="9"/>
      <c r="IPU41" s="9"/>
      <c r="IPV41" s="9"/>
      <c r="IPW41" s="9"/>
      <c r="IPX41" s="9"/>
      <c r="IPY41" s="9"/>
      <c r="IPZ41" s="9"/>
      <c r="IQA41" s="9"/>
      <c r="IQB41" s="9"/>
      <c r="IQC41" s="9"/>
      <c r="IQD41" s="9"/>
      <c r="IQE41" s="9"/>
      <c r="IQF41" s="9"/>
      <c r="IQG41" s="9"/>
      <c r="IQH41" s="9"/>
      <c r="IQI41" s="9"/>
      <c r="IQJ41" s="9"/>
      <c r="IQK41" s="9"/>
      <c r="IQL41" s="9"/>
      <c r="IQM41" s="9"/>
      <c r="IQN41" s="9"/>
      <c r="IQO41" s="9"/>
      <c r="IQP41" s="9"/>
      <c r="IQQ41" s="9"/>
      <c r="IQR41" s="9"/>
      <c r="IQS41" s="9"/>
      <c r="IQT41" s="9"/>
      <c r="IQU41" s="9"/>
      <c r="IQV41" s="9"/>
      <c r="IQW41" s="9"/>
      <c r="IQX41" s="9"/>
      <c r="IQY41" s="9"/>
      <c r="IQZ41" s="9"/>
      <c r="IRA41" s="9"/>
      <c r="IRB41" s="9"/>
      <c r="IRC41" s="9"/>
      <c r="IRD41" s="9"/>
      <c r="IRE41" s="9"/>
      <c r="IRF41" s="9"/>
      <c r="IRG41" s="9"/>
      <c r="IRH41" s="9"/>
      <c r="IRI41" s="9"/>
      <c r="IRJ41" s="9"/>
      <c r="IRK41" s="9"/>
      <c r="IRL41" s="9"/>
      <c r="IRM41" s="9"/>
      <c r="IRN41" s="9"/>
      <c r="IRO41" s="9"/>
      <c r="IRP41" s="9"/>
      <c r="IRQ41" s="9"/>
      <c r="IRR41" s="9"/>
      <c r="IRS41" s="9"/>
      <c r="IRT41" s="9"/>
      <c r="IRU41" s="9"/>
      <c r="IRV41" s="9"/>
      <c r="IRW41" s="9"/>
      <c r="IRX41" s="9"/>
      <c r="IRY41" s="9"/>
      <c r="IRZ41" s="9"/>
      <c r="ISA41" s="9"/>
      <c r="ISB41" s="9"/>
      <c r="ISC41" s="9"/>
      <c r="ISD41" s="9"/>
      <c r="ISE41" s="9"/>
      <c r="ISF41" s="9"/>
      <c r="ISG41" s="9"/>
      <c r="ISH41" s="9"/>
      <c r="ISI41" s="9"/>
      <c r="ISJ41" s="9"/>
      <c r="ISK41" s="9"/>
      <c r="ISL41" s="9"/>
      <c r="ISM41" s="9"/>
      <c r="ISN41" s="9"/>
      <c r="ISO41" s="9"/>
      <c r="ISP41" s="9"/>
      <c r="ISQ41" s="9"/>
      <c r="ISR41" s="9"/>
      <c r="ISS41" s="9"/>
      <c r="IST41" s="9"/>
      <c r="ISU41" s="9"/>
      <c r="ISV41" s="9"/>
      <c r="ISW41" s="9"/>
      <c r="ISX41" s="9"/>
      <c r="ISY41" s="9"/>
      <c r="ISZ41" s="9"/>
      <c r="ITA41" s="9"/>
      <c r="ITB41" s="9"/>
      <c r="ITC41" s="9"/>
      <c r="ITD41" s="9"/>
      <c r="ITE41" s="9"/>
      <c r="ITF41" s="9"/>
      <c r="ITG41" s="9"/>
      <c r="ITH41" s="9"/>
      <c r="ITI41" s="9"/>
      <c r="ITJ41" s="9"/>
      <c r="ITK41" s="9"/>
      <c r="ITL41" s="9"/>
      <c r="ITM41" s="9"/>
      <c r="ITN41" s="9"/>
      <c r="ITO41" s="9"/>
      <c r="ITP41" s="9"/>
      <c r="ITQ41" s="9"/>
      <c r="ITR41" s="9"/>
      <c r="ITS41" s="9"/>
      <c r="ITT41" s="9"/>
      <c r="ITU41" s="9"/>
      <c r="ITV41" s="9"/>
      <c r="ITW41" s="9"/>
      <c r="ITX41" s="9"/>
      <c r="ITY41" s="9"/>
      <c r="ITZ41" s="9"/>
      <c r="IUA41" s="9"/>
      <c r="IUB41" s="9"/>
      <c r="IUC41" s="9"/>
      <c r="IUD41" s="9"/>
      <c r="IUE41" s="9"/>
      <c r="IUF41" s="9"/>
      <c r="IUG41" s="9"/>
      <c r="IUH41" s="9"/>
      <c r="IUI41" s="9"/>
      <c r="IUJ41" s="9"/>
      <c r="IUK41" s="9"/>
      <c r="IUL41" s="9"/>
      <c r="IUM41" s="9"/>
      <c r="IUN41" s="9"/>
      <c r="IUO41" s="9"/>
      <c r="IUP41" s="9"/>
      <c r="IUQ41" s="9"/>
      <c r="IUR41" s="9"/>
      <c r="IUS41" s="9"/>
      <c r="IUT41" s="9"/>
      <c r="IUU41" s="9"/>
      <c r="IUV41" s="9"/>
      <c r="IUW41" s="9"/>
      <c r="IUX41" s="9"/>
      <c r="IUY41" s="9"/>
      <c r="IUZ41" s="9"/>
      <c r="IVA41" s="9"/>
      <c r="IVB41" s="9"/>
      <c r="IVC41" s="9"/>
      <c r="IVD41" s="9"/>
      <c r="IVE41" s="9"/>
      <c r="IVF41" s="9"/>
      <c r="IVG41" s="9"/>
      <c r="IVH41" s="9"/>
      <c r="IVI41" s="9"/>
      <c r="IVJ41" s="9"/>
      <c r="IVK41" s="9"/>
      <c r="IVL41" s="9"/>
      <c r="IVM41" s="9"/>
      <c r="IVN41" s="9"/>
      <c r="IVO41" s="9"/>
      <c r="IVP41" s="9"/>
      <c r="IVQ41" s="9"/>
      <c r="IVR41" s="9"/>
      <c r="IVS41" s="9"/>
      <c r="IVT41" s="9"/>
      <c r="IVU41" s="9"/>
      <c r="IVV41" s="9"/>
      <c r="IVW41" s="9"/>
      <c r="IVX41" s="9"/>
      <c r="IVY41" s="9"/>
      <c r="IVZ41" s="9"/>
      <c r="IWA41" s="9"/>
      <c r="IWB41" s="9"/>
      <c r="IWC41" s="9"/>
      <c r="IWD41" s="9"/>
      <c r="IWE41" s="9"/>
      <c r="IWF41" s="9"/>
      <c r="IWG41" s="9"/>
      <c r="IWH41" s="9"/>
      <c r="IWI41" s="9"/>
      <c r="IWJ41" s="9"/>
      <c r="IWK41" s="9"/>
      <c r="IWL41" s="9"/>
      <c r="IWM41" s="9"/>
      <c r="IWN41" s="9"/>
      <c r="IWO41" s="9"/>
      <c r="IWP41" s="9"/>
      <c r="IWQ41" s="9"/>
      <c r="IWR41" s="9"/>
      <c r="IWS41" s="9"/>
      <c r="IWT41" s="9"/>
      <c r="IWU41" s="9"/>
      <c r="IWV41" s="9"/>
      <c r="IWW41" s="9"/>
      <c r="IWX41" s="9"/>
      <c r="IWY41" s="9"/>
      <c r="IWZ41" s="9"/>
      <c r="IXA41" s="9"/>
      <c r="IXB41" s="9"/>
      <c r="IXC41" s="9"/>
      <c r="IXD41" s="9"/>
      <c r="IXE41" s="9"/>
      <c r="IXF41" s="9"/>
      <c r="IXG41" s="9"/>
      <c r="IXH41" s="9"/>
      <c r="IXI41" s="9"/>
      <c r="IXJ41" s="9"/>
      <c r="IXK41" s="9"/>
      <c r="IXL41" s="9"/>
      <c r="IXM41" s="9"/>
      <c r="IXN41" s="9"/>
      <c r="IXO41" s="9"/>
      <c r="IXP41" s="9"/>
      <c r="IXQ41" s="9"/>
      <c r="IXR41" s="9"/>
      <c r="IXS41" s="9"/>
      <c r="IXT41" s="9"/>
      <c r="IXU41" s="9"/>
      <c r="IXV41" s="9"/>
      <c r="IXW41" s="9"/>
      <c r="IXX41" s="9"/>
      <c r="IXY41" s="9"/>
      <c r="IXZ41" s="9"/>
      <c r="IYA41" s="9"/>
      <c r="IYB41" s="9"/>
      <c r="IYC41" s="9"/>
      <c r="IYD41" s="9"/>
      <c r="IYE41" s="9"/>
      <c r="IYF41" s="9"/>
      <c r="IYG41" s="9"/>
      <c r="IYH41" s="9"/>
      <c r="IYI41" s="9"/>
      <c r="IYJ41" s="9"/>
      <c r="IYK41" s="9"/>
      <c r="IYL41" s="9"/>
      <c r="IYM41" s="9"/>
      <c r="IYN41" s="9"/>
      <c r="IYO41" s="9"/>
      <c r="IYP41" s="9"/>
      <c r="IYQ41" s="9"/>
      <c r="IYR41" s="9"/>
      <c r="IYS41" s="9"/>
      <c r="IYT41" s="9"/>
      <c r="IYU41" s="9"/>
      <c r="IYV41" s="9"/>
      <c r="IYW41" s="9"/>
      <c r="IYX41" s="9"/>
      <c r="IYY41" s="9"/>
      <c r="IYZ41" s="9"/>
      <c r="IZA41" s="9"/>
      <c r="IZB41" s="9"/>
      <c r="IZC41" s="9"/>
      <c r="IZD41" s="9"/>
      <c r="IZE41" s="9"/>
      <c r="IZF41" s="9"/>
      <c r="IZG41" s="9"/>
      <c r="IZH41" s="9"/>
      <c r="IZI41" s="9"/>
      <c r="IZJ41" s="9"/>
      <c r="IZK41" s="9"/>
      <c r="IZL41" s="9"/>
      <c r="IZM41" s="9"/>
      <c r="IZN41" s="9"/>
      <c r="IZO41" s="9"/>
      <c r="IZP41" s="9"/>
      <c r="IZQ41" s="9"/>
      <c r="IZR41" s="9"/>
      <c r="IZS41" s="9"/>
      <c r="IZT41" s="9"/>
      <c r="IZU41" s="9"/>
      <c r="IZV41" s="9"/>
      <c r="IZW41" s="9"/>
      <c r="IZX41" s="9"/>
      <c r="IZY41" s="9"/>
      <c r="IZZ41" s="9"/>
      <c r="JAA41" s="9"/>
      <c r="JAB41" s="9"/>
      <c r="JAC41" s="9"/>
      <c r="JAD41" s="9"/>
      <c r="JAE41" s="9"/>
      <c r="JAF41" s="9"/>
      <c r="JAG41" s="9"/>
      <c r="JAH41" s="9"/>
      <c r="JAI41" s="9"/>
      <c r="JAJ41" s="9"/>
      <c r="JAK41" s="9"/>
      <c r="JAL41" s="9"/>
      <c r="JAM41" s="9"/>
      <c r="JAN41" s="9"/>
      <c r="JAO41" s="9"/>
      <c r="JAP41" s="9"/>
      <c r="JAQ41" s="9"/>
      <c r="JAR41" s="9"/>
      <c r="JAS41" s="9"/>
      <c r="JAT41" s="9"/>
      <c r="JAU41" s="9"/>
      <c r="JAV41" s="9"/>
      <c r="JAW41" s="9"/>
      <c r="JAX41" s="9"/>
      <c r="JAY41" s="9"/>
      <c r="JAZ41" s="9"/>
      <c r="JBA41" s="9"/>
      <c r="JBB41" s="9"/>
      <c r="JBC41" s="9"/>
      <c r="JBD41" s="9"/>
      <c r="JBE41" s="9"/>
      <c r="JBF41" s="9"/>
      <c r="JBG41" s="9"/>
      <c r="JBH41" s="9"/>
      <c r="JBI41" s="9"/>
      <c r="JBJ41" s="9"/>
      <c r="JBK41" s="9"/>
      <c r="JBL41" s="9"/>
      <c r="JBM41" s="9"/>
      <c r="JBN41" s="9"/>
      <c r="JBO41" s="9"/>
      <c r="JBP41" s="9"/>
      <c r="JBQ41" s="9"/>
      <c r="JBR41" s="9"/>
      <c r="JBS41" s="9"/>
      <c r="JBT41" s="9"/>
      <c r="JBU41" s="9"/>
      <c r="JBV41" s="9"/>
      <c r="JBW41" s="9"/>
      <c r="JBX41" s="9"/>
      <c r="JBY41" s="9"/>
      <c r="JBZ41" s="9"/>
      <c r="JCA41" s="9"/>
      <c r="JCB41" s="9"/>
      <c r="JCC41" s="9"/>
      <c r="JCD41" s="9"/>
      <c r="JCE41" s="9"/>
      <c r="JCF41" s="9"/>
      <c r="JCG41" s="9"/>
      <c r="JCH41" s="9"/>
      <c r="JCI41" s="9"/>
      <c r="JCJ41" s="9"/>
      <c r="JCK41" s="9"/>
      <c r="JCL41" s="9"/>
      <c r="JCM41" s="9"/>
      <c r="JCN41" s="9"/>
      <c r="JCO41" s="9"/>
      <c r="JCP41" s="9"/>
      <c r="JCQ41" s="9"/>
      <c r="JCR41" s="9"/>
      <c r="JCS41" s="9"/>
      <c r="JCT41" s="9"/>
      <c r="JCU41" s="9"/>
      <c r="JCV41" s="9"/>
      <c r="JCW41" s="9"/>
      <c r="JCX41" s="9"/>
      <c r="JCY41" s="9"/>
      <c r="JCZ41" s="9"/>
      <c r="JDA41" s="9"/>
      <c r="JDB41" s="9"/>
      <c r="JDC41" s="9"/>
      <c r="JDD41" s="9"/>
      <c r="JDE41" s="9"/>
      <c r="JDF41" s="9"/>
      <c r="JDG41" s="9"/>
      <c r="JDH41" s="9"/>
      <c r="JDI41" s="9"/>
      <c r="JDJ41" s="9"/>
      <c r="JDK41" s="9"/>
      <c r="JDL41" s="9"/>
      <c r="JDM41" s="9"/>
      <c r="JDN41" s="9"/>
      <c r="JDO41" s="9"/>
      <c r="JDP41" s="9"/>
      <c r="JDQ41" s="9"/>
      <c r="JDR41" s="9"/>
      <c r="JDS41" s="9"/>
      <c r="JDT41" s="9"/>
      <c r="JDU41" s="9"/>
      <c r="JDV41" s="9"/>
      <c r="JDW41" s="9"/>
      <c r="JDX41" s="9"/>
      <c r="JDY41" s="9"/>
      <c r="JDZ41" s="9"/>
      <c r="JEA41" s="9"/>
      <c r="JEB41" s="9"/>
      <c r="JEC41" s="9"/>
      <c r="JED41" s="9"/>
      <c r="JEE41" s="9"/>
      <c r="JEF41" s="9"/>
      <c r="JEG41" s="9"/>
      <c r="JEH41" s="9"/>
      <c r="JEI41" s="9"/>
      <c r="JEJ41" s="9"/>
      <c r="JEK41" s="9"/>
      <c r="JEL41" s="9"/>
      <c r="JEM41" s="9"/>
      <c r="JEN41" s="9"/>
      <c r="JEO41" s="9"/>
      <c r="JEP41" s="9"/>
      <c r="JEQ41" s="9"/>
      <c r="JER41" s="9"/>
      <c r="JES41" s="9"/>
      <c r="JET41" s="9"/>
      <c r="JEU41" s="9"/>
      <c r="JEV41" s="9"/>
      <c r="JEW41" s="9"/>
      <c r="JEX41" s="9"/>
      <c r="JEY41" s="9"/>
      <c r="JEZ41" s="9"/>
      <c r="JFA41" s="9"/>
      <c r="JFB41" s="9"/>
      <c r="JFC41" s="9"/>
      <c r="JFD41" s="9"/>
      <c r="JFE41" s="9"/>
      <c r="JFF41" s="9"/>
      <c r="JFG41" s="9"/>
      <c r="JFH41" s="9"/>
      <c r="JFI41" s="9"/>
      <c r="JFJ41" s="9"/>
      <c r="JFK41" s="9"/>
      <c r="JFL41" s="9"/>
      <c r="JFM41" s="9"/>
      <c r="JFN41" s="9"/>
      <c r="JFO41" s="9"/>
      <c r="JFP41" s="9"/>
      <c r="JFQ41" s="9"/>
      <c r="JFR41" s="9"/>
      <c r="JFS41" s="9"/>
      <c r="JFT41" s="9"/>
      <c r="JFU41" s="9"/>
      <c r="JFV41" s="9"/>
      <c r="JFW41" s="9"/>
      <c r="JFX41" s="9"/>
      <c r="JFY41" s="9"/>
      <c r="JFZ41" s="9"/>
      <c r="JGA41" s="9"/>
      <c r="JGB41" s="9"/>
      <c r="JGC41" s="9"/>
      <c r="JGD41" s="9"/>
      <c r="JGE41" s="9"/>
      <c r="JGF41" s="9"/>
      <c r="JGG41" s="9"/>
      <c r="JGH41" s="9"/>
      <c r="JGI41" s="9"/>
      <c r="JGJ41" s="9"/>
      <c r="JGK41" s="9"/>
      <c r="JGL41" s="9"/>
      <c r="JGM41" s="9"/>
      <c r="JGN41" s="9"/>
      <c r="JGO41" s="9"/>
      <c r="JGP41" s="9"/>
      <c r="JGQ41" s="9"/>
      <c r="JGR41" s="9"/>
      <c r="JGS41" s="9"/>
      <c r="JGT41" s="9"/>
      <c r="JGU41" s="9"/>
      <c r="JGV41" s="9"/>
      <c r="JGW41" s="9"/>
      <c r="JGX41" s="9"/>
      <c r="JGY41" s="9"/>
      <c r="JGZ41" s="9"/>
      <c r="JHA41" s="9"/>
      <c r="JHB41" s="9"/>
      <c r="JHC41" s="9"/>
      <c r="JHD41" s="9"/>
      <c r="JHE41" s="9"/>
      <c r="JHF41" s="9"/>
      <c r="JHG41" s="9"/>
      <c r="JHH41" s="9"/>
      <c r="JHI41" s="9"/>
      <c r="JHJ41" s="9"/>
      <c r="JHK41" s="9"/>
      <c r="JHL41" s="9"/>
      <c r="JHM41" s="9"/>
      <c r="JHN41" s="9"/>
      <c r="JHO41" s="9"/>
      <c r="JHP41" s="9"/>
      <c r="JHQ41" s="9"/>
      <c r="JHR41" s="9"/>
      <c r="JHS41" s="9"/>
      <c r="JHT41" s="9"/>
      <c r="JHU41" s="9"/>
      <c r="JHV41" s="9"/>
      <c r="JHW41" s="9"/>
      <c r="JHX41" s="9"/>
      <c r="JHY41" s="9"/>
      <c r="JHZ41" s="9"/>
      <c r="JIA41" s="9"/>
      <c r="JIB41" s="9"/>
      <c r="JIC41" s="9"/>
      <c r="JID41" s="9"/>
      <c r="JIE41" s="9"/>
      <c r="JIF41" s="9"/>
      <c r="JIG41" s="9"/>
      <c r="JIH41" s="9"/>
      <c r="JII41" s="9"/>
      <c r="JIJ41" s="9"/>
      <c r="JIK41" s="9"/>
      <c r="JIL41" s="9"/>
      <c r="JIM41" s="9"/>
      <c r="JIN41" s="9"/>
      <c r="JIO41" s="9"/>
      <c r="JIP41" s="9"/>
      <c r="JIQ41" s="9"/>
      <c r="JIR41" s="9"/>
      <c r="JIS41" s="9"/>
      <c r="JIT41" s="9"/>
      <c r="JIU41" s="9"/>
      <c r="JIV41" s="9"/>
      <c r="JIW41" s="9"/>
      <c r="JIX41" s="9"/>
      <c r="JIY41" s="9"/>
      <c r="JIZ41" s="9"/>
      <c r="JJA41" s="9"/>
      <c r="JJB41" s="9"/>
      <c r="JJC41" s="9"/>
      <c r="JJD41" s="9"/>
      <c r="JJE41" s="9"/>
      <c r="JJF41" s="9"/>
      <c r="JJG41" s="9"/>
      <c r="JJH41" s="9"/>
      <c r="JJI41" s="9"/>
      <c r="JJJ41" s="9"/>
      <c r="JJK41" s="9"/>
      <c r="JJL41" s="9"/>
      <c r="JJM41" s="9"/>
      <c r="JJN41" s="9"/>
      <c r="JJO41" s="9"/>
      <c r="JJP41" s="9"/>
      <c r="JJQ41" s="9"/>
      <c r="JJR41" s="9"/>
      <c r="JJS41" s="9"/>
      <c r="JJT41" s="9"/>
      <c r="JJU41" s="9"/>
      <c r="JJV41" s="9"/>
      <c r="JJW41" s="9"/>
      <c r="JJX41" s="9"/>
      <c r="JJY41" s="9"/>
      <c r="JJZ41" s="9"/>
      <c r="JKA41" s="9"/>
      <c r="JKB41" s="9"/>
      <c r="JKC41" s="9"/>
      <c r="JKD41" s="9"/>
      <c r="JKE41" s="9"/>
      <c r="JKF41" s="9"/>
      <c r="JKG41" s="9"/>
      <c r="JKH41" s="9"/>
      <c r="JKI41" s="9"/>
      <c r="JKJ41" s="9"/>
      <c r="JKK41" s="9"/>
      <c r="JKL41" s="9"/>
      <c r="JKM41" s="9"/>
      <c r="JKN41" s="9"/>
      <c r="JKO41" s="9"/>
      <c r="JKP41" s="9"/>
      <c r="JKQ41" s="9"/>
      <c r="JKR41" s="9"/>
      <c r="JKS41" s="9"/>
      <c r="JKT41" s="9"/>
      <c r="JKU41" s="9"/>
      <c r="JKV41" s="9"/>
      <c r="JKW41" s="9"/>
      <c r="JKX41" s="9"/>
      <c r="JKY41" s="9"/>
      <c r="JKZ41" s="9"/>
      <c r="JLA41" s="9"/>
      <c r="JLB41" s="9"/>
      <c r="JLC41" s="9"/>
      <c r="JLD41" s="9"/>
      <c r="JLE41" s="9"/>
      <c r="JLF41" s="9"/>
      <c r="JLG41" s="9"/>
      <c r="JLH41" s="9"/>
      <c r="JLI41" s="9"/>
      <c r="JLJ41" s="9"/>
      <c r="JLK41" s="9"/>
      <c r="JLL41" s="9"/>
      <c r="JLM41" s="9"/>
      <c r="JLN41" s="9"/>
      <c r="JLO41" s="9"/>
      <c r="JLP41" s="9"/>
      <c r="JLQ41" s="9"/>
      <c r="JLR41" s="9"/>
      <c r="JLS41" s="9"/>
      <c r="JLT41" s="9"/>
      <c r="JLU41" s="9"/>
      <c r="JLV41" s="9"/>
      <c r="JLW41" s="9"/>
      <c r="JLX41" s="9"/>
      <c r="JLY41" s="9"/>
      <c r="JLZ41" s="9"/>
      <c r="JMA41" s="9"/>
      <c r="JMB41" s="9"/>
      <c r="JMC41" s="9"/>
      <c r="JMD41" s="9"/>
      <c r="JME41" s="9"/>
      <c r="JMF41" s="9"/>
      <c r="JMG41" s="9"/>
      <c r="JMH41" s="9"/>
      <c r="JMI41" s="9"/>
      <c r="JMJ41" s="9"/>
      <c r="JMK41" s="9"/>
      <c r="JML41" s="9"/>
      <c r="JMM41" s="9"/>
      <c r="JMN41" s="9"/>
      <c r="JMO41" s="9"/>
      <c r="JMP41" s="9"/>
      <c r="JMQ41" s="9"/>
      <c r="JMR41" s="9"/>
      <c r="JMS41" s="9"/>
      <c r="JMT41" s="9"/>
      <c r="JMU41" s="9"/>
      <c r="JMV41" s="9"/>
      <c r="JMW41" s="9"/>
      <c r="JMX41" s="9"/>
      <c r="JMY41" s="9"/>
      <c r="JMZ41" s="9"/>
      <c r="JNA41" s="9"/>
      <c r="JNB41" s="9"/>
      <c r="JNC41" s="9"/>
      <c r="JND41" s="9"/>
      <c r="JNE41" s="9"/>
      <c r="JNF41" s="9"/>
      <c r="JNG41" s="9"/>
      <c r="JNH41" s="9"/>
      <c r="JNI41" s="9"/>
      <c r="JNJ41" s="9"/>
      <c r="JNK41" s="9"/>
      <c r="JNL41" s="9"/>
      <c r="JNM41" s="9"/>
      <c r="JNN41" s="9"/>
      <c r="JNO41" s="9"/>
      <c r="JNP41" s="9"/>
      <c r="JNQ41" s="9"/>
      <c r="JNR41" s="9"/>
      <c r="JNS41" s="9"/>
      <c r="JNT41" s="9"/>
      <c r="JNU41" s="9"/>
      <c r="JNV41" s="9"/>
      <c r="JNW41" s="9"/>
      <c r="JNX41" s="9"/>
      <c r="JNY41" s="9"/>
      <c r="JNZ41" s="9"/>
      <c r="JOA41" s="9"/>
      <c r="JOB41" s="9"/>
      <c r="JOC41" s="9"/>
      <c r="JOD41" s="9"/>
      <c r="JOE41" s="9"/>
      <c r="JOF41" s="9"/>
      <c r="JOG41" s="9"/>
      <c r="JOH41" s="9"/>
      <c r="JOI41" s="9"/>
      <c r="JOJ41" s="9"/>
      <c r="JOK41" s="9"/>
      <c r="JOL41" s="9"/>
      <c r="JOM41" s="9"/>
      <c r="JON41" s="9"/>
      <c r="JOO41" s="9"/>
      <c r="JOP41" s="9"/>
      <c r="JOQ41" s="9"/>
      <c r="JOR41" s="9"/>
      <c r="JOS41" s="9"/>
      <c r="JOT41" s="9"/>
      <c r="JOU41" s="9"/>
      <c r="JOV41" s="9"/>
      <c r="JOW41" s="9"/>
      <c r="JOX41" s="9"/>
      <c r="JOY41" s="9"/>
      <c r="JOZ41" s="9"/>
      <c r="JPA41" s="9"/>
      <c r="JPB41" s="9"/>
      <c r="JPC41" s="9"/>
      <c r="JPD41" s="9"/>
      <c r="JPE41" s="9"/>
      <c r="JPF41" s="9"/>
      <c r="JPG41" s="9"/>
      <c r="JPH41" s="9"/>
      <c r="JPI41" s="9"/>
      <c r="JPJ41" s="9"/>
      <c r="JPK41" s="9"/>
      <c r="JPL41" s="9"/>
      <c r="JPM41" s="9"/>
      <c r="JPN41" s="9"/>
      <c r="JPO41" s="9"/>
      <c r="JPP41" s="9"/>
      <c r="JPQ41" s="9"/>
      <c r="JPR41" s="9"/>
      <c r="JPS41" s="9"/>
      <c r="JPT41" s="9"/>
      <c r="JPU41" s="9"/>
      <c r="JPV41" s="9"/>
      <c r="JPW41" s="9"/>
      <c r="JPX41" s="9"/>
      <c r="JPY41" s="9"/>
      <c r="JPZ41" s="9"/>
      <c r="JQA41" s="9"/>
      <c r="JQB41" s="9"/>
      <c r="JQC41" s="9"/>
      <c r="JQD41" s="9"/>
      <c r="JQE41" s="9"/>
      <c r="JQF41" s="9"/>
      <c r="JQG41" s="9"/>
      <c r="JQH41" s="9"/>
      <c r="JQI41" s="9"/>
      <c r="JQJ41" s="9"/>
      <c r="JQK41" s="9"/>
      <c r="JQL41" s="9"/>
      <c r="JQM41" s="9"/>
      <c r="JQN41" s="9"/>
      <c r="JQO41" s="9"/>
      <c r="JQP41" s="9"/>
      <c r="JQQ41" s="9"/>
      <c r="JQR41" s="9"/>
      <c r="JQS41" s="9"/>
      <c r="JQT41" s="9"/>
      <c r="JQU41" s="9"/>
      <c r="JQV41" s="9"/>
      <c r="JQW41" s="9"/>
      <c r="JQX41" s="9"/>
      <c r="JQY41" s="9"/>
      <c r="JQZ41" s="9"/>
      <c r="JRA41" s="9"/>
      <c r="JRB41" s="9"/>
      <c r="JRC41" s="9"/>
      <c r="JRD41" s="9"/>
      <c r="JRE41" s="9"/>
      <c r="JRF41" s="9"/>
      <c r="JRG41" s="9"/>
      <c r="JRH41" s="9"/>
      <c r="JRI41" s="9"/>
      <c r="JRJ41" s="9"/>
      <c r="JRK41" s="9"/>
      <c r="JRL41" s="9"/>
      <c r="JRM41" s="9"/>
      <c r="JRN41" s="9"/>
      <c r="JRO41" s="9"/>
      <c r="JRP41" s="9"/>
      <c r="JRQ41" s="9"/>
      <c r="JRR41" s="9"/>
      <c r="JRS41" s="9"/>
      <c r="JRT41" s="9"/>
      <c r="JRU41" s="9"/>
      <c r="JRV41" s="9"/>
      <c r="JRW41" s="9"/>
      <c r="JRX41" s="9"/>
      <c r="JRY41" s="9"/>
      <c r="JRZ41" s="9"/>
      <c r="JSA41" s="9"/>
      <c r="JSB41" s="9"/>
      <c r="JSC41" s="9"/>
      <c r="JSD41" s="9"/>
      <c r="JSE41" s="9"/>
      <c r="JSF41" s="9"/>
      <c r="JSG41" s="9"/>
      <c r="JSH41" s="9"/>
      <c r="JSI41" s="9"/>
      <c r="JSJ41" s="9"/>
      <c r="JSK41" s="9"/>
      <c r="JSL41" s="9"/>
      <c r="JSM41" s="9"/>
      <c r="JSN41" s="9"/>
      <c r="JSO41" s="9"/>
      <c r="JSP41" s="9"/>
      <c r="JSQ41" s="9"/>
      <c r="JSR41" s="9"/>
      <c r="JSS41" s="9"/>
      <c r="JST41" s="9"/>
      <c r="JSU41" s="9"/>
      <c r="JSV41" s="9"/>
      <c r="JSW41" s="9"/>
      <c r="JSX41" s="9"/>
      <c r="JSY41" s="9"/>
      <c r="JSZ41" s="9"/>
      <c r="JTA41" s="9"/>
      <c r="JTB41" s="9"/>
      <c r="JTC41" s="9"/>
      <c r="JTD41" s="9"/>
      <c r="JTE41" s="9"/>
      <c r="JTF41" s="9"/>
      <c r="JTG41" s="9"/>
      <c r="JTH41" s="9"/>
      <c r="JTI41" s="9"/>
      <c r="JTJ41" s="9"/>
      <c r="JTK41" s="9"/>
      <c r="JTL41" s="9"/>
      <c r="JTM41" s="9"/>
      <c r="JTN41" s="9"/>
      <c r="JTO41" s="9"/>
      <c r="JTP41" s="9"/>
      <c r="JTQ41" s="9"/>
      <c r="JTR41" s="9"/>
      <c r="JTS41" s="9"/>
      <c r="JTT41" s="9"/>
      <c r="JTU41" s="9"/>
      <c r="JTV41" s="9"/>
      <c r="JTW41" s="9"/>
      <c r="JTX41" s="9"/>
      <c r="JTY41" s="9"/>
      <c r="JTZ41" s="9"/>
      <c r="JUA41" s="9"/>
      <c r="JUB41" s="9"/>
      <c r="JUC41" s="9"/>
      <c r="JUD41" s="9"/>
      <c r="JUE41" s="9"/>
      <c r="JUF41" s="9"/>
      <c r="JUG41" s="9"/>
      <c r="JUH41" s="9"/>
      <c r="JUI41" s="9"/>
      <c r="JUJ41" s="9"/>
      <c r="JUK41" s="9"/>
      <c r="JUL41" s="9"/>
      <c r="JUM41" s="9"/>
      <c r="JUN41" s="9"/>
      <c r="JUO41" s="9"/>
      <c r="JUP41" s="9"/>
      <c r="JUQ41" s="9"/>
      <c r="JUR41" s="9"/>
      <c r="JUS41" s="9"/>
      <c r="JUT41" s="9"/>
      <c r="JUU41" s="9"/>
      <c r="JUV41" s="9"/>
      <c r="JUW41" s="9"/>
      <c r="JUX41" s="9"/>
      <c r="JUY41" s="9"/>
      <c r="JUZ41" s="9"/>
      <c r="JVA41" s="9"/>
      <c r="JVB41" s="9"/>
      <c r="JVC41" s="9"/>
      <c r="JVD41" s="9"/>
      <c r="JVE41" s="9"/>
      <c r="JVF41" s="9"/>
      <c r="JVG41" s="9"/>
      <c r="JVH41" s="9"/>
      <c r="JVI41" s="9"/>
      <c r="JVJ41" s="9"/>
      <c r="JVK41" s="9"/>
      <c r="JVL41" s="9"/>
      <c r="JVM41" s="9"/>
      <c r="JVN41" s="9"/>
      <c r="JVO41" s="9"/>
      <c r="JVP41" s="9"/>
      <c r="JVQ41" s="9"/>
      <c r="JVR41" s="9"/>
      <c r="JVS41" s="9"/>
      <c r="JVT41" s="9"/>
      <c r="JVU41" s="9"/>
      <c r="JVV41" s="9"/>
      <c r="JVW41" s="9"/>
      <c r="JVX41" s="9"/>
      <c r="JVY41" s="9"/>
      <c r="JVZ41" s="9"/>
      <c r="JWA41" s="9"/>
      <c r="JWB41" s="9"/>
      <c r="JWC41" s="9"/>
      <c r="JWD41" s="9"/>
      <c r="JWE41" s="9"/>
      <c r="JWF41" s="9"/>
      <c r="JWG41" s="9"/>
      <c r="JWH41" s="9"/>
      <c r="JWI41" s="9"/>
      <c r="JWJ41" s="9"/>
      <c r="JWK41" s="9"/>
      <c r="JWL41" s="9"/>
      <c r="JWM41" s="9"/>
      <c r="JWN41" s="9"/>
      <c r="JWO41" s="9"/>
      <c r="JWP41" s="9"/>
      <c r="JWQ41" s="9"/>
      <c r="JWR41" s="9"/>
      <c r="JWS41" s="9"/>
      <c r="JWT41" s="9"/>
      <c r="JWU41" s="9"/>
      <c r="JWV41" s="9"/>
      <c r="JWW41" s="9"/>
      <c r="JWX41" s="9"/>
      <c r="JWY41" s="9"/>
      <c r="JWZ41" s="9"/>
      <c r="JXA41" s="9"/>
      <c r="JXB41" s="9"/>
      <c r="JXC41" s="9"/>
      <c r="JXD41" s="9"/>
      <c r="JXE41" s="9"/>
      <c r="JXF41" s="9"/>
      <c r="JXG41" s="9"/>
      <c r="JXH41" s="9"/>
      <c r="JXI41" s="9"/>
      <c r="JXJ41" s="9"/>
      <c r="JXK41" s="9"/>
      <c r="JXL41" s="9"/>
      <c r="JXM41" s="9"/>
      <c r="JXN41" s="9"/>
      <c r="JXO41" s="9"/>
      <c r="JXP41" s="9"/>
      <c r="JXQ41" s="9"/>
      <c r="JXR41" s="9"/>
      <c r="JXS41" s="9"/>
      <c r="JXT41" s="9"/>
      <c r="JXU41" s="9"/>
      <c r="JXV41" s="9"/>
      <c r="JXW41" s="9"/>
      <c r="JXX41" s="9"/>
      <c r="JXY41" s="9"/>
      <c r="JXZ41" s="9"/>
      <c r="JYA41" s="9"/>
      <c r="JYB41" s="9"/>
      <c r="JYC41" s="9"/>
      <c r="JYD41" s="9"/>
      <c r="JYE41" s="9"/>
      <c r="JYF41" s="9"/>
      <c r="JYG41" s="9"/>
      <c r="JYH41" s="9"/>
      <c r="JYI41" s="9"/>
      <c r="JYJ41" s="9"/>
      <c r="JYK41" s="9"/>
      <c r="JYL41" s="9"/>
      <c r="JYM41" s="9"/>
      <c r="JYN41" s="9"/>
      <c r="JYO41" s="9"/>
      <c r="JYP41" s="9"/>
      <c r="JYQ41" s="9"/>
      <c r="JYR41" s="9"/>
      <c r="JYS41" s="9"/>
      <c r="JYT41" s="9"/>
      <c r="JYU41" s="9"/>
      <c r="JYV41" s="9"/>
      <c r="JYW41" s="9"/>
      <c r="JYX41" s="9"/>
      <c r="JYY41" s="9"/>
      <c r="JYZ41" s="9"/>
      <c r="JZA41" s="9"/>
      <c r="JZB41" s="9"/>
      <c r="JZC41" s="9"/>
      <c r="JZD41" s="9"/>
      <c r="JZE41" s="9"/>
      <c r="JZF41" s="9"/>
      <c r="JZG41" s="9"/>
      <c r="JZH41" s="9"/>
      <c r="JZI41" s="9"/>
      <c r="JZJ41" s="9"/>
      <c r="JZK41" s="9"/>
      <c r="JZL41" s="9"/>
      <c r="JZM41" s="9"/>
      <c r="JZN41" s="9"/>
      <c r="JZO41" s="9"/>
      <c r="JZP41" s="9"/>
      <c r="JZQ41" s="9"/>
      <c r="JZR41" s="9"/>
      <c r="JZS41" s="9"/>
      <c r="JZT41" s="9"/>
      <c r="JZU41" s="9"/>
      <c r="JZV41" s="9"/>
      <c r="JZW41" s="9"/>
      <c r="JZX41" s="9"/>
      <c r="JZY41" s="9"/>
      <c r="JZZ41" s="9"/>
      <c r="KAA41" s="9"/>
      <c r="KAB41" s="9"/>
      <c r="KAC41" s="9"/>
      <c r="KAD41" s="9"/>
      <c r="KAE41" s="9"/>
      <c r="KAF41" s="9"/>
      <c r="KAG41" s="9"/>
      <c r="KAH41" s="9"/>
      <c r="KAI41" s="9"/>
      <c r="KAJ41" s="9"/>
      <c r="KAK41" s="9"/>
      <c r="KAL41" s="9"/>
      <c r="KAM41" s="9"/>
      <c r="KAN41" s="9"/>
      <c r="KAO41" s="9"/>
      <c r="KAP41" s="9"/>
      <c r="KAQ41" s="9"/>
      <c r="KAR41" s="9"/>
      <c r="KAS41" s="9"/>
      <c r="KAT41" s="9"/>
      <c r="KAU41" s="9"/>
      <c r="KAV41" s="9"/>
      <c r="KAW41" s="9"/>
      <c r="KAX41" s="9"/>
      <c r="KAY41" s="9"/>
      <c r="KAZ41" s="9"/>
      <c r="KBA41" s="9"/>
      <c r="KBB41" s="9"/>
      <c r="KBC41" s="9"/>
      <c r="KBD41" s="9"/>
      <c r="KBE41" s="9"/>
      <c r="KBF41" s="9"/>
      <c r="KBG41" s="9"/>
      <c r="KBH41" s="9"/>
      <c r="KBI41" s="9"/>
      <c r="KBJ41" s="9"/>
      <c r="KBK41" s="9"/>
      <c r="KBL41" s="9"/>
      <c r="KBM41" s="9"/>
      <c r="KBN41" s="9"/>
      <c r="KBO41" s="9"/>
      <c r="KBP41" s="9"/>
      <c r="KBQ41" s="9"/>
      <c r="KBR41" s="9"/>
      <c r="KBS41" s="9"/>
      <c r="KBT41" s="9"/>
      <c r="KBU41" s="9"/>
      <c r="KBV41" s="9"/>
      <c r="KBW41" s="9"/>
      <c r="KBX41" s="9"/>
      <c r="KBY41" s="9"/>
      <c r="KBZ41" s="9"/>
      <c r="KCA41" s="9"/>
      <c r="KCB41" s="9"/>
      <c r="KCC41" s="9"/>
      <c r="KCD41" s="9"/>
      <c r="KCE41" s="9"/>
      <c r="KCF41" s="9"/>
      <c r="KCG41" s="9"/>
      <c r="KCH41" s="9"/>
      <c r="KCI41" s="9"/>
      <c r="KCJ41" s="9"/>
      <c r="KCK41" s="9"/>
      <c r="KCL41" s="9"/>
      <c r="KCM41" s="9"/>
      <c r="KCN41" s="9"/>
      <c r="KCO41" s="9"/>
      <c r="KCP41" s="9"/>
      <c r="KCQ41" s="9"/>
      <c r="KCR41" s="9"/>
      <c r="KCS41" s="9"/>
      <c r="KCT41" s="9"/>
      <c r="KCU41" s="9"/>
      <c r="KCV41" s="9"/>
      <c r="KCW41" s="9"/>
      <c r="KCX41" s="9"/>
      <c r="KCY41" s="9"/>
      <c r="KCZ41" s="9"/>
      <c r="KDA41" s="9"/>
      <c r="KDB41" s="9"/>
      <c r="KDC41" s="9"/>
      <c r="KDD41" s="9"/>
      <c r="KDE41" s="9"/>
      <c r="KDF41" s="9"/>
      <c r="KDG41" s="9"/>
      <c r="KDH41" s="9"/>
      <c r="KDI41" s="9"/>
      <c r="KDJ41" s="9"/>
      <c r="KDK41" s="9"/>
      <c r="KDL41" s="9"/>
      <c r="KDM41" s="9"/>
      <c r="KDN41" s="9"/>
      <c r="KDO41" s="9"/>
      <c r="KDP41" s="9"/>
      <c r="KDQ41" s="9"/>
      <c r="KDR41" s="9"/>
      <c r="KDS41" s="9"/>
      <c r="KDT41" s="9"/>
      <c r="KDU41" s="9"/>
      <c r="KDV41" s="9"/>
      <c r="KDW41" s="9"/>
      <c r="KDX41" s="9"/>
      <c r="KDY41" s="9"/>
      <c r="KDZ41" s="9"/>
      <c r="KEA41" s="9"/>
      <c r="KEB41" s="9"/>
      <c r="KEC41" s="9"/>
      <c r="KED41" s="9"/>
      <c r="KEE41" s="9"/>
      <c r="KEF41" s="9"/>
      <c r="KEG41" s="9"/>
      <c r="KEH41" s="9"/>
      <c r="KEI41" s="9"/>
      <c r="KEJ41" s="9"/>
      <c r="KEK41" s="9"/>
      <c r="KEL41" s="9"/>
      <c r="KEM41" s="9"/>
      <c r="KEN41" s="9"/>
      <c r="KEO41" s="9"/>
      <c r="KEP41" s="9"/>
      <c r="KEQ41" s="9"/>
      <c r="KER41" s="9"/>
      <c r="KES41" s="9"/>
      <c r="KET41" s="9"/>
      <c r="KEU41" s="9"/>
      <c r="KEV41" s="9"/>
      <c r="KEW41" s="9"/>
      <c r="KEX41" s="9"/>
      <c r="KEY41" s="9"/>
      <c r="KEZ41" s="9"/>
      <c r="KFA41" s="9"/>
      <c r="KFB41" s="9"/>
      <c r="KFC41" s="9"/>
      <c r="KFD41" s="9"/>
      <c r="KFE41" s="9"/>
      <c r="KFF41" s="9"/>
      <c r="KFG41" s="9"/>
      <c r="KFH41" s="9"/>
      <c r="KFI41" s="9"/>
      <c r="KFJ41" s="9"/>
      <c r="KFK41" s="9"/>
      <c r="KFL41" s="9"/>
      <c r="KFM41" s="9"/>
      <c r="KFN41" s="9"/>
      <c r="KFO41" s="9"/>
      <c r="KFP41" s="9"/>
      <c r="KFQ41" s="9"/>
      <c r="KFR41" s="9"/>
      <c r="KFS41" s="9"/>
      <c r="KFT41" s="9"/>
      <c r="KFU41" s="9"/>
      <c r="KFV41" s="9"/>
      <c r="KFW41" s="9"/>
      <c r="KFX41" s="9"/>
      <c r="KFY41" s="9"/>
      <c r="KFZ41" s="9"/>
      <c r="KGA41" s="9"/>
      <c r="KGB41" s="9"/>
      <c r="KGC41" s="9"/>
      <c r="KGD41" s="9"/>
      <c r="KGE41" s="9"/>
      <c r="KGF41" s="9"/>
      <c r="KGG41" s="9"/>
      <c r="KGH41" s="9"/>
      <c r="KGI41" s="9"/>
      <c r="KGJ41" s="9"/>
      <c r="KGK41" s="9"/>
      <c r="KGL41" s="9"/>
      <c r="KGM41" s="9"/>
      <c r="KGN41" s="9"/>
      <c r="KGO41" s="9"/>
      <c r="KGP41" s="9"/>
      <c r="KGQ41" s="9"/>
      <c r="KGR41" s="9"/>
      <c r="KGS41" s="9"/>
      <c r="KGT41" s="9"/>
      <c r="KGU41" s="9"/>
      <c r="KGV41" s="9"/>
      <c r="KGW41" s="9"/>
      <c r="KGX41" s="9"/>
      <c r="KGY41" s="9"/>
      <c r="KGZ41" s="9"/>
      <c r="KHA41" s="9"/>
      <c r="KHB41" s="9"/>
      <c r="KHC41" s="9"/>
      <c r="KHD41" s="9"/>
      <c r="KHE41" s="9"/>
      <c r="KHF41" s="9"/>
      <c r="KHG41" s="9"/>
      <c r="KHH41" s="9"/>
      <c r="KHI41" s="9"/>
      <c r="KHJ41" s="9"/>
      <c r="KHK41" s="9"/>
      <c r="KHL41" s="9"/>
      <c r="KHM41" s="9"/>
      <c r="KHN41" s="9"/>
      <c r="KHO41" s="9"/>
      <c r="KHP41" s="9"/>
      <c r="KHQ41" s="9"/>
      <c r="KHR41" s="9"/>
      <c r="KHS41" s="9"/>
      <c r="KHT41" s="9"/>
      <c r="KHU41" s="9"/>
      <c r="KHV41" s="9"/>
      <c r="KHW41" s="9"/>
      <c r="KHX41" s="9"/>
      <c r="KHY41" s="9"/>
      <c r="KHZ41" s="9"/>
      <c r="KIA41" s="9"/>
      <c r="KIB41" s="9"/>
      <c r="KIC41" s="9"/>
      <c r="KID41" s="9"/>
      <c r="KIE41" s="9"/>
      <c r="KIF41" s="9"/>
      <c r="KIG41" s="9"/>
      <c r="KIH41" s="9"/>
      <c r="KII41" s="9"/>
      <c r="KIJ41" s="9"/>
      <c r="KIK41" s="9"/>
      <c r="KIL41" s="9"/>
      <c r="KIM41" s="9"/>
      <c r="KIN41" s="9"/>
      <c r="KIO41" s="9"/>
      <c r="KIP41" s="9"/>
      <c r="KIQ41" s="9"/>
      <c r="KIR41" s="9"/>
      <c r="KIS41" s="9"/>
      <c r="KIT41" s="9"/>
      <c r="KIU41" s="9"/>
      <c r="KIV41" s="9"/>
      <c r="KIW41" s="9"/>
      <c r="KIX41" s="9"/>
      <c r="KIY41" s="9"/>
      <c r="KIZ41" s="9"/>
      <c r="KJA41" s="9"/>
      <c r="KJB41" s="9"/>
      <c r="KJC41" s="9"/>
      <c r="KJD41" s="9"/>
      <c r="KJE41" s="9"/>
      <c r="KJF41" s="9"/>
      <c r="KJG41" s="9"/>
      <c r="KJH41" s="9"/>
      <c r="KJI41" s="9"/>
      <c r="KJJ41" s="9"/>
      <c r="KJK41" s="9"/>
      <c r="KJL41" s="9"/>
      <c r="KJM41" s="9"/>
      <c r="KJN41" s="9"/>
      <c r="KJO41" s="9"/>
      <c r="KJP41" s="9"/>
      <c r="KJQ41" s="9"/>
      <c r="KJR41" s="9"/>
      <c r="KJS41" s="9"/>
      <c r="KJT41" s="9"/>
      <c r="KJU41" s="9"/>
      <c r="KJV41" s="9"/>
      <c r="KJW41" s="9"/>
      <c r="KJX41" s="9"/>
      <c r="KJY41" s="9"/>
      <c r="KJZ41" s="9"/>
      <c r="KKA41" s="9"/>
      <c r="KKB41" s="9"/>
      <c r="KKC41" s="9"/>
      <c r="KKD41" s="9"/>
      <c r="KKE41" s="9"/>
      <c r="KKF41" s="9"/>
      <c r="KKG41" s="9"/>
      <c r="KKH41" s="9"/>
      <c r="KKI41" s="9"/>
      <c r="KKJ41" s="9"/>
      <c r="KKK41" s="9"/>
      <c r="KKL41" s="9"/>
      <c r="KKM41" s="9"/>
      <c r="KKN41" s="9"/>
      <c r="KKO41" s="9"/>
      <c r="KKP41" s="9"/>
      <c r="KKQ41" s="9"/>
      <c r="KKR41" s="9"/>
      <c r="KKS41" s="9"/>
      <c r="KKT41" s="9"/>
      <c r="KKU41" s="9"/>
      <c r="KKV41" s="9"/>
      <c r="KKW41" s="9"/>
      <c r="KKX41" s="9"/>
      <c r="KKY41" s="9"/>
      <c r="KKZ41" s="9"/>
      <c r="KLA41" s="9"/>
      <c r="KLB41" s="9"/>
      <c r="KLC41" s="9"/>
      <c r="KLD41" s="9"/>
      <c r="KLE41" s="9"/>
      <c r="KLF41" s="9"/>
      <c r="KLG41" s="9"/>
      <c r="KLH41" s="9"/>
      <c r="KLI41" s="9"/>
      <c r="KLJ41" s="9"/>
      <c r="KLK41" s="9"/>
      <c r="KLL41" s="9"/>
      <c r="KLM41" s="9"/>
      <c r="KLN41" s="9"/>
      <c r="KLO41" s="9"/>
      <c r="KLP41" s="9"/>
      <c r="KLQ41" s="9"/>
      <c r="KLR41" s="9"/>
      <c r="KLS41" s="9"/>
      <c r="KLT41" s="9"/>
      <c r="KLU41" s="9"/>
      <c r="KLV41" s="9"/>
      <c r="KLW41" s="9"/>
      <c r="KLX41" s="9"/>
      <c r="KLY41" s="9"/>
      <c r="KLZ41" s="9"/>
      <c r="KMA41" s="9"/>
      <c r="KMB41" s="9"/>
      <c r="KMC41" s="9"/>
      <c r="KMD41" s="9"/>
      <c r="KME41" s="9"/>
      <c r="KMF41" s="9"/>
      <c r="KMG41" s="9"/>
      <c r="KMH41" s="9"/>
      <c r="KMI41" s="9"/>
      <c r="KMJ41" s="9"/>
      <c r="KMK41" s="9"/>
      <c r="KML41" s="9"/>
      <c r="KMM41" s="9"/>
      <c r="KMN41" s="9"/>
      <c r="KMO41" s="9"/>
      <c r="KMP41" s="9"/>
      <c r="KMQ41" s="9"/>
      <c r="KMR41" s="9"/>
      <c r="KMS41" s="9"/>
      <c r="KMT41" s="9"/>
      <c r="KMU41" s="9"/>
      <c r="KMV41" s="9"/>
      <c r="KMW41" s="9"/>
      <c r="KMX41" s="9"/>
      <c r="KMY41" s="9"/>
      <c r="KMZ41" s="9"/>
      <c r="KNA41" s="9"/>
      <c r="KNB41" s="9"/>
      <c r="KNC41" s="9"/>
      <c r="KND41" s="9"/>
      <c r="KNE41" s="9"/>
      <c r="KNF41" s="9"/>
      <c r="KNG41" s="9"/>
      <c r="KNH41" s="9"/>
      <c r="KNI41" s="9"/>
      <c r="KNJ41" s="9"/>
      <c r="KNK41" s="9"/>
      <c r="KNL41" s="9"/>
      <c r="KNM41" s="9"/>
      <c r="KNN41" s="9"/>
      <c r="KNO41" s="9"/>
      <c r="KNP41" s="9"/>
      <c r="KNQ41" s="9"/>
      <c r="KNR41" s="9"/>
      <c r="KNS41" s="9"/>
      <c r="KNT41" s="9"/>
      <c r="KNU41" s="9"/>
      <c r="KNV41" s="9"/>
      <c r="KNW41" s="9"/>
      <c r="KNX41" s="9"/>
      <c r="KNY41" s="9"/>
      <c r="KNZ41" s="9"/>
      <c r="KOA41" s="9"/>
      <c r="KOB41" s="9"/>
      <c r="KOC41" s="9"/>
      <c r="KOD41" s="9"/>
      <c r="KOE41" s="9"/>
      <c r="KOF41" s="9"/>
      <c r="KOG41" s="9"/>
      <c r="KOH41" s="9"/>
      <c r="KOI41" s="9"/>
      <c r="KOJ41" s="9"/>
      <c r="KOK41" s="9"/>
      <c r="KOL41" s="9"/>
      <c r="KOM41" s="9"/>
      <c r="KON41" s="9"/>
      <c r="KOO41" s="9"/>
      <c r="KOP41" s="9"/>
      <c r="KOQ41" s="9"/>
      <c r="KOR41" s="9"/>
      <c r="KOS41" s="9"/>
      <c r="KOT41" s="9"/>
      <c r="KOU41" s="9"/>
      <c r="KOV41" s="9"/>
      <c r="KOW41" s="9"/>
      <c r="KOX41" s="9"/>
      <c r="KOY41" s="9"/>
      <c r="KOZ41" s="9"/>
      <c r="KPA41" s="9"/>
      <c r="KPB41" s="9"/>
      <c r="KPC41" s="9"/>
      <c r="KPD41" s="9"/>
      <c r="KPE41" s="9"/>
      <c r="KPF41" s="9"/>
      <c r="KPG41" s="9"/>
      <c r="KPH41" s="9"/>
      <c r="KPI41" s="9"/>
      <c r="KPJ41" s="9"/>
      <c r="KPK41" s="9"/>
      <c r="KPL41" s="9"/>
      <c r="KPM41" s="9"/>
      <c r="KPN41" s="9"/>
      <c r="KPO41" s="9"/>
      <c r="KPP41" s="9"/>
      <c r="KPQ41" s="9"/>
      <c r="KPR41" s="9"/>
      <c r="KPS41" s="9"/>
      <c r="KPT41" s="9"/>
      <c r="KPU41" s="9"/>
      <c r="KPV41" s="9"/>
      <c r="KPW41" s="9"/>
      <c r="KPX41" s="9"/>
      <c r="KPY41" s="9"/>
      <c r="KPZ41" s="9"/>
      <c r="KQA41" s="9"/>
      <c r="KQB41" s="9"/>
      <c r="KQC41" s="9"/>
      <c r="KQD41" s="9"/>
      <c r="KQE41" s="9"/>
      <c r="KQF41" s="9"/>
      <c r="KQG41" s="9"/>
      <c r="KQH41" s="9"/>
      <c r="KQI41" s="9"/>
      <c r="KQJ41" s="9"/>
      <c r="KQK41" s="9"/>
      <c r="KQL41" s="9"/>
      <c r="KQM41" s="9"/>
      <c r="KQN41" s="9"/>
      <c r="KQO41" s="9"/>
      <c r="KQP41" s="9"/>
      <c r="KQQ41" s="9"/>
      <c r="KQR41" s="9"/>
      <c r="KQS41" s="9"/>
      <c r="KQT41" s="9"/>
      <c r="KQU41" s="9"/>
      <c r="KQV41" s="9"/>
      <c r="KQW41" s="9"/>
      <c r="KQX41" s="9"/>
      <c r="KQY41" s="9"/>
      <c r="KQZ41" s="9"/>
      <c r="KRA41" s="9"/>
      <c r="KRB41" s="9"/>
      <c r="KRC41" s="9"/>
      <c r="KRD41" s="9"/>
      <c r="KRE41" s="9"/>
      <c r="KRF41" s="9"/>
      <c r="KRG41" s="9"/>
      <c r="KRH41" s="9"/>
      <c r="KRI41" s="9"/>
      <c r="KRJ41" s="9"/>
      <c r="KRK41" s="9"/>
      <c r="KRL41" s="9"/>
      <c r="KRM41" s="9"/>
      <c r="KRN41" s="9"/>
      <c r="KRO41" s="9"/>
      <c r="KRP41" s="9"/>
      <c r="KRQ41" s="9"/>
      <c r="KRR41" s="9"/>
      <c r="KRS41" s="9"/>
      <c r="KRT41" s="9"/>
      <c r="KRU41" s="9"/>
      <c r="KRV41" s="9"/>
      <c r="KRW41" s="9"/>
      <c r="KRX41" s="9"/>
      <c r="KRY41" s="9"/>
      <c r="KRZ41" s="9"/>
      <c r="KSA41" s="9"/>
      <c r="KSB41" s="9"/>
      <c r="KSC41" s="9"/>
      <c r="KSD41" s="9"/>
      <c r="KSE41" s="9"/>
      <c r="KSF41" s="9"/>
      <c r="KSG41" s="9"/>
      <c r="KSH41" s="9"/>
      <c r="KSI41" s="9"/>
      <c r="KSJ41" s="9"/>
      <c r="KSK41" s="9"/>
      <c r="KSL41" s="9"/>
      <c r="KSM41" s="9"/>
      <c r="KSN41" s="9"/>
      <c r="KSO41" s="9"/>
      <c r="KSP41" s="9"/>
      <c r="KSQ41" s="9"/>
      <c r="KSR41" s="9"/>
      <c r="KSS41" s="9"/>
      <c r="KST41" s="9"/>
      <c r="KSU41" s="9"/>
      <c r="KSV41" s="9"/>
      <c r="KSW41" s="9"/>
      <c r="KSX41" s="9"/>
      <c r="KSY41" s="9"/>
      <c r="KSZ41" s="9"/>
      <c r="KTA41" s="9"/>
      <c r="KTB41" s="9"/>
      <c r="KTC41" s="9"/>
      <c r="KTD41" s="9"/>
      <c r="KTE41" s="9"/>
      <c r="KTF41" s="9"/>
      <c r="KTG41" s="9"/>
      <c r="KTH41" s="9"/>
      <c r="KTI41" s="9"/>
      <c r="KTJ41" s="9"/>
      <c r="KTK41" s="9"/>
      <c r="KTL41" s="9"/>
      <c r="KTM41" s="9"/>
      <c r="KTN41" s="9"/>
      <c r="KTO41" s="9"/>
      <c r="KTP41" s="9"/>
      <c r="KTQ41" s="9"/>
      <c r="KTR41" s="9"/>
      <c r="KTS41" s="9"/>
      <c r="KTT41" s="9"/>
      <c r="KTU41" s="9"/>
      <c r="KTV41" s="9"/>
      <c r="KTW41" s="9"/>
      <c r="KTX41" s="9"/>
      <c r="KTY41" s="9"/>
      <c r="KTZ41" s="9"/>
      <c r="KUA41" s="9"/>
      <c r="KUB41" s="9"/>
      <c r="KUC41" s="9"/>
      <c r="KUD41" s="9"/>
      <c r="KUE41" s="9"/>
      <c r="KUF41" s="9"/>
      <c r="KUG41" s="9"/>
      <c r="KUH41" s="9"/>
      <c r="KUI41" s="9"/>
      <c r="KUJ41" s="9"/>
      <c r="KUK41" s="9"/>
      <c r="KUL41" s="9"/>
      <c r="KUM41" s="9"/>
      <c r="KUN41" s="9"/>
      <c r="KUO41" s="9"/>
      <c r="KUP41" s="9"/>
      <c r="KUQ41" s="9"/>
      <c r="KUR41" s="9"/>
      <c r="KUS41" s="9"/>
      <c r="KUT41" s="9"/>
      <c r="KUU41" s="9"/>
      <c r="KUV41" s="9"/>
      <c r="KUW41" s="9"/>
      <c r="KUX41" s="9"/>
      <c r="KUY41" s="9"/>
      <c r="KUZ41" s="9"/>
      <c r="KVA41" s="9"/>
      <c r="KVB41" s="9"/>
      <c r="KVC41" s="9"/>
      <c r="KVD41" s="9"/>
      <c r="KVE41" s="9"/>
      <c r="KVF41" s="9"/>
      <c r="KVG41" s="9"/>
      <c r="KVH41" s="9"/>
      <c r="KVI41" s="9"/>
      <c r="KVJ41" s="9"/>
      <c r="KVK41" s="9"/>
      <c r="KVL41" s="9"/>
      <c r="KVM41" s="9"/>
      <c r="KVN41" s="9"/>
      <c r="KVO41" s="9"/>
      <c r="KVP41" s="9"/>
      <c r="KVQ41" s="9"/>
      <c r="KVR41" s="9"/>
      <c r="KVS41" s="9"/>
      <c r="KVT41" s="9"/>
      <c r="KVU41" s="9"/>
      <c r="KVV41" s="9"/>
      <c r="KVW41" s="9"/>
      <c r="KVX41" s="9"/>
      <c r="KVY41" s="9"/>
      <c r="KVZ41" s="9"/>
      <c r="KWA41" s="9"/>
      <c r="KWB41" s="9"/>
      <c r="KWC41" s="9"/>
      <c r="KWD41" s="9"/>
      <c r="KWE41" s="9"/>
      <c r="KWF41" s="9"/>
      <c r="KWG41" s="9"/>
      <c r="KWH41" s="9"/>
      <c r="KWI41" s="9"/>
      <c r="KWJ41" s="9"/>
      <c r="KWK41" s="9"/>
      <c r="KWL41" s="9"/>
      <c r="KWM41" s="9"/>
      <c r="KWN41" s="9"/>
      <c r="KWO41" s="9"/>
      <c r="KWP41" s="9"/>
      <c r="KWQ41" s="9"/>
      <c r="KWR41" s="9"/>
      <c r="KWS41" s="9"/>
      <c r="KWT41" s="9"/>
      <c r="KWU41" s="9"/>
      <c r="KWV41" s="9"/>
      <c r="KWW41" s="9"/>
      <c r="KWX41" s="9"/>
      <c r="KWY41" s="9"/>
      <c r="KWZ41" s="9"/>
      <c r="KXA41" s="9"/>
      <c r="KXB41" s="9"/>
      <c r="KXC41" s="9"/>
      <c r="KXD41" s="9"/>
      <c r="KXE41" s="9"/>
      <c r="KXF41" s="9"/>
      <c r="KXG41" s="9"/>
      <c r="KXH41" s="9"/>
      <c r="KXI41" s="9"/>
      <c r="KXJ41" s="9"/>
      <c r="KXK41" s="9"/>
      <c r="KXL41" s="9"/>
      <c r="KXM41" s="9"/>
      <c r="KXN41" s="9"/>
      <c r="KXO41" s="9"/>
      <c r="KXP41" s="9"/>
      <c r="KXQ41" s="9"/>
      <c r="KXR41" s="9"/>
      <c r="KXS41" s="9"/>
      <c r="KXT41" s="9"/>
      <c r="KXU41" s="9"/>
      <c r="KXV41" s="9"/>
      <c r="KXW41" s="9"/>
      <c r="KXX41" s="9"/>
      <c r="KXY41" s="9"/>
      <c r="KXZ41" s="9"/>
      <c r="KYA41" s="9"/>
      <c r="KYB41" s="9"/>
      <c r="KYC41" s="9"/>
      <c r="KYD41" s="9"/>
      <c r="KYE41" s="9"/>
      <c r="KYF41" s="9"/>
      <c r="KYG41" s="9"/>
      <c r="KYH41" s="9"/>
      <c r="KYI41" s="9"/>
      <c r="KYJ41" s="9"/>
      <c r="KYK41" s="9"/>
      <c r="KYL41" s="9"/>
      <c r="KYM41" s="9"/>
      <c r="KYN41" s="9"/>
      <c r="KYO41" s="9"/>
      <c r="KYP41" s="9"/>
      <c r="KYQ41" s="9"/>
      <c r="KYR41" s="9"/>
      <c r="KYS41" s="9"/>
      <c r="KYT41" s="9"/>
      <c r="KYU41" s="9"/>
      <c r="KYV41" s="9"/>
      <c r="KYW41" s="9"/>
      <c r="KYX41" s="9"/>
      <c r="KYY41" s="9"/>
      <c r="KYZ41" s="9"/>
      <c r="KZA41" s="9"/>
      <c r="KZB41" s="9"/>
      <c r="KZC41" s="9"/>
      <c r="KZD41" s="9"/>
      <c r="KZE41" s="9"/>
      <c r="KZF41" s="9"/>
      <c r="KZG41" s="9"/>
      <c r="KZH41" s="9"/>
      <c r="KZI41" s="9"/>
      <c r="KZJ41" s="9"/>
      <c r="KZK41" s="9"/>
      <c r="KZL41" s="9"/>
      <c r="KZM41" s="9"/>
      <c r="KZN41" s="9"/>
      <c r="KZO41" s="9"/>
      <c r="KZP41" s="9"/>
      <c r="KZQ41" s="9"/>
      <c r="KZR41" s="9"/>
      <c r="KZS41" s="9"/>
      <c r="KZT41" s="9"/>
      <c r="KZU41" s="9"/>
      <c r="KZV41" s="9"/>
      <c r="KZW41" s="9"/>
      <c r="KZX41" s="9"/>
      <c r="KZY41" s="9"/>
      <c r="KZZ41" s="9"/>
      <c r="LAA41" s="9"/>
      <c r="LAB41" s="9"/>
      <c r="LAC41" s="9"/>
      <c r="LAD41" s="9"/>
      <c r="LAE41" s="9"/>
      <c r="LAF41" s="9"/>
      <c r="LAG41" s="9"/>
      <c r="LAH41" s="9"/>
      <c r="LAI41" s="9"/>
      <c r="LAJ41" s="9"/>
      <c r="LAK41" s="9"/>
      <c r="LAL41" s="9"/>
      <c r="LAM41" s="9"/>
      <c r="LAN41" s="9"/>
      <c r="LAO41" s="9"/>
      <c r="LAP41" s="9"/>
      <c r="LAQ41" s="9"/>
      <c r="LAR41" s="9"/>
      <c r="LAS41" s="9"/>
      <c r="LAT41" s="9"/>
      <c r="LAU41" s="9"/>
      <c r="LAV41" s="9"/>
      <c r="LAW41" s="9"/>
      <c r="LAX41" s="9"/>
      <c r="LAY41" s="9"/>
      <c r="LAZ41" s="9"/>
      <c r="LBA41" s="9"/>
      <c r="LBB41" s="9"/>
      <c r="LBC41" s="9"/>
      <c r="LBD41" s="9"/>
      <c r="LBE41" s="9"/>
      <c r="LBF41" s="9"/>
      <c r="LBG41" s="9"/>
      <c r="LBH41" s="9"/>
      <c r="LBI41" s="9"/>
      <c r="LBJ41" s="9"/>
      <c r="LBK41" s="9"/>
      <c r="LBL41" s="9"/>
      <c r="LBM41" s="9"/>
      <c r="LBN41" s="9"/>
      <c r="LBO41" s="9"/>
      <c r="LBP41" s="9"/>
      <c r="LBQ41" s="9"/>
      <c r="LBR41" s="9"/>
      <c r="LBS41" s="9"/>
      <c r="LBT41" s="9"/>
      <c r="LBU41" s="9"/>
      <c r="LBV41" s="9"/>
      <c r="LBW41" s="9"/>
      <c r="LBX41" s="9"/>
      <c r="LBY41" s="9"/>
      <c r="LBZ41" s="9"/>
      <c r="LCA41" s="9"/>
      <c r="LCB41" s="9"/>
      <c r="LCC41" s="9"/>
      <c r="LCD41" s="9"/>
      <c r="LCE41" s="9"/>
      <c r="LCF41" s="9"/>
      <c r="LCG41" s="9"/>
      <c r="LCH41" s="9"/>
      <c r="LCI41" s="9"/>
      <c r="LCJ41" s="9"/>
      <c r="LCK41" s="9"/>
      <c r="LCL41" s="9"/>
      <c r="LCM41" s="9"/>
      <c r="LCN41" s="9"/>
      <c r="LCO41" s="9"/>
      <c r="LCP41" s="9"/>
      <c r="LCQ41" s="9"/>
      <c r="LCR41" s="9"/>
      <c r="LCS41" s="9"/>
      <c r="LCT41" s="9"/>
      <c r="LCU41" s="9"/>
      <c r="LCV41" s="9"/>
      <c r="LCW41" s="9"/>
      <c r="LCX41" s="9"/>
      <c r="LCY41" s="9"/>
      <c r="LCZ41" s="9"/>
      <c r="LDA41" s="9"/>
      <c r="LDB41" s="9"/>
      <c r="LDC41" s="9"/>
      <c r="LDD41" s="9"/>
      <c r="LDE41" s="9"/>
      <c r="LDF41" s="9"/>
      <c r="LDG41" s="9"/>
      <c r="LDH41" s="9"/>
      <c r="LDI41" s="9"/>
      <c r="LDJ41" s="9"/>
      <c r="LDK41" s="9"/>
      <c r="LDL41" s="9"/>
      <c r="LDM41" s="9"/>
      <c r="LDN41" s="9"/>
      <c r="LDO41" s="9"/>
      <c r="LDP41" s="9"/>
      <c r="LDQ41" s="9"/>
      <c r="LDR41" s="9"/>
      <c r="LDS41" s="9"/>
      <c r="LDT41" s="9"/>
      <c r="LDU41" s="9"/>
      <c r="LDV41" s="9"/>
      <c r="LDW41" s="9"/>
      <c r="LDX41" s="9"/>
      <c r="LDY41" s="9"/>
      <c r="LDZ41" s="9"/>
      <c r="LEA41" s="9"/>
      <c r="LEB41" s="9"/>
      <c r="LEC41" s="9"/>
      <c r="LED41" s="9"/>
      <c r="LEE41" s="9"/>
      <c r="LEF41" s="9"/>
      <c r="LEG41" s="9"/>
      <c r="LEH41" s="9"/>
      <c r="LEI41" s="9"/>
      <c r="LEJ41" s="9"/>
      <c r="LEK41" s="9"/>
      <c r="LEL41" s="9"/>
      <c r="LEM41" s="9"/>
      <c r="LEN41" s="9"/>
      <c r="LEO41" s="9"/>
      <c r="LEP41" s="9"/>
      <c r="LEQ41" s="9"/>
      <c r="LER41" s="9"/>
      <c r="LES41" s="9"/>
      <c r="LET41" s="9"/>
      <c r="LEU41" s="9"/>
      <c r="LEV41" s="9"/>
      <c r="LEW41" s="9"/>
      <c r="LEX41" s="9"/>
      <c r="LEY41" s="9"/>
      <c r="LEZ41" s="9"/>
      <c r="LFA41" s="9"/>
      <c r="LFB41" s="9"/>
      <c r="LFC41" s="9"/>
      <c r="LFD41" s="9"/>
      <c r="LFE41" s="9"/>
      <c r="LFF41" s="9"/>
      <c r="LFG41" s="9"/>
      <c r="LFH41" s="9"/>
      <c r="LFI41" s="9"/>
      <c r="LFJ41" s="9"/>
      <c r="LFK41" s="9"/>
      <c r="LFL41" s="9"/>
      <c r="LFM41" s="9"/>
      <c r="LFN41" s="9"/>
      <c r="LFO41" s="9"/>
      <c r="LFP41" s="9"/>
      <c r="LFQ41" s="9"/>
      <c r="LFR41" s="9"/>
      <c r="LFS41" s="9"/>
      <c r="LFT41" s="9"/>
      <c r="LFU41" s="9"/>
      <c r="LFV41" s="9"/>
      <c r="LFW41" s="9"/>
      <c r="LFX41" s="9"/>
      <c r="LFY41" s="9"/>
      <c r="LFZ41" s="9"/>
      <c r="LGA41" s="9"/>
      <c r="LGB41" s="9"/>
      <c r="LGC41" s="9"/>
      <c r="LGD41" s="9"/>
      <c r="LGE41" s="9"/>
      <c r="LGF41" s="9"/>
      <c r="LGG41" s="9"/>
      <c r="LGH41" s="9"/>
      <c r="LGI41" s="9"/>
      <c r="LGJ41" s="9"/>
      <c r="LGK41" s="9"/>
      <c r="LGL41" s="9"/>
      <c r="LGM41" s="9"/>
      <c r="LGN41" s="9"/>
      <c r="LGO41" s="9"/>
      <c r="LGP41" s="9"/>
      <c r="LGQ41" s="9"/>
      <c r="LGR41" s="9"/>
      <c r="LGS41" s="9"/>
      <c r="LGT41" s="9"/>
      <c r="LGU41" s="9"/>
      <c r="LGV41" s="9"/>
      <c r="LGW41" s="9"/>
      <c r="LGX41" s="9"/>
      <c r="LGY41" s="9"/>
      <c r="LGZ41" s="9"/>
      <c r="LHA41" s="9"/>
      <c r="LHB41" s="9"/>
      <c r="LHC41" s="9"/>
      <c r="LHD41" s="9"/>
      <c r="LHE41" s="9"/>
      <c r="LHF41" s="9"/>
      <c r="LHG41" s="9"/>
      <c r="LHH41" s="9"/>
      <c r="LHI41" s="9"/>
      <c r="LHJ41" s="9"/>
      <c r="LHK41" s="9"/>
      <c r="LHL41" s="9"/>
      <c r="LHM41" s="9"/>
      <c r="LHN41" s="9"/>
      <c r="LHO41" s="9"/>
      <c r="LHP41" s="9"/>
      <c r="LHQ41" s="9"/>
      <c r="LHR41" s="9"/>
      <c r="LHS41" s="9"/>
      <c r="LHT41" s="9"/>
      <c r="LHU41" s="9"/>
      <c r="LHV41" s="9"/>
      <c r="LHW41" s="9"/>
      <c r="LHX41" s="9"/>
      <c r="LHY41" s="9"/>
      <c r="LHZ41" s="9"/>
      <c r="LIA41" s="9"/>
      <c r="LIB41" s="9"/>
      <c r="LIC41" s="9"/>
      <c r="LID41" s="9"/>
      <c r="LIE41" s="9"/>
      <c r="LIF41" s="9"/>
      <c r="LIG41" s="9"/>
      <c r="LIH41" s="9"/>
      <c r="LII41" s="9"/>
      <c r="LIJ41" s="9"/>
      <c r="LIK41" s="9"/>
      <c r="LIL41" s="9"/>
      <c r="LIM41" s="9"/>
      <c r="LIN41" s="9"/>
      <c r="LIO41" s="9"/>
      <c r="LIP41" s="9"/>
      <c r="LIQ41" s="9"/>
      <c r="LIR41" s="9"/>
      <c r="LIS41" s="9"/>
      <c r="LIT41" s="9"/>
      <c r="LIU41" s="9"/>
      <c r="LIV41" s="9"/>
      <c r="LIW41" s="9"/>
      <c r="LIX41" s="9"/>
      <c r="LIY41" s="9"/>
      <c r="LIZ41" s="9"/>
      <c r="LJA41" s="9"/>
      <c r="LJB41" s="9"/>
      <c r="LJC41" s="9"/>
      <c r="LJD41" s="9"/>
      <c r="LJE41" s="9"/>
      <c r="LJF41" s="9"/>
      <c r="LJG41" s="9"/>
      <c r="LJH41" s="9"/>
      <c r="LJI41" s="9"/>
      <c r="LJJ41" s="9"/>
      <c r="LJK41" s="9"/>
      <c r="LJL41" s="9"/>
      <c r="LJM41" s="9"/>
      <c r="LJN41" s="9"/>
      <c r="LJO41" s="9"/>
      <c r="LJP41" s="9"/>
      <c r="LJQ41" s="9"/>
      <c r="LJR41" s="9"/>
      <c r="LJS41" s="9"/>
      <c r="LJT41" s="9"/>
      <c r="LJU41" s="9"/>
      <c r="LJV41" s="9"/>
      <c r="LJW41" s="9"/>
      <c r="LJX41" s="9"/>
      <c r="LJY41" s="9"/>
      <c r="LJZ41" s="9"/>
      <c r="LKA41" s="9"/>
      <c r="LKB41" s="9"/>
      <c r="LKC41" s="9"/>
      <c r="LKD41" s="9"/>
      <c r="LKE41" s="9"/>
      <c r="LKF41" s="9"/>
      <c r="LKG41" s="9"/>
      <c r="LKH41" s="9"/>
      <c r="LKI41" s="9"/>
      <c r="LKJ41" s="9"/>
      <c r="LKK41" s="9"/>
      <c r="LKL41" s="9"/>
      <c r="LKM41" s="9"/>
      <c r="LKN41" s="9"/>
      <c r="LKO41" s="9"/>
      <c r="LKP41" s="9"/>
      <c r="LKQ41" s="9"/>
      <c r="LKR41" s="9"/>
      <c r="LKS41" s="9"/>
      <c r="LKT41" s="9"/>
      <c r="LKU41" s="9"/>
      <c r="LKV41" s="9"/>
      <c r="LKW41" s="9"/>
      <c r="LKX41" s="9"/>
      <c r="LKY41" s="9"/>
      <c r="LKZ41" s="9"/>
      <c r="LLA41" s="9"/>
      <c r="LLB41" s="9"/>
      <c r="LLC41" s="9"/>
      <c r="LLD41" s="9"/>
      <c r="LLE41" s="9"/>
      <c r="LLF41" s="9"/>
      <c r="LLG41" s="9"/>
      <c r="LLH41" s="9"/>
      <c r="LLI41" s="9"/>
      <c r="LLJ41" s="9"/>
      <c r="LLK41" s="9"/>
      <c r="LLL41" s="9"/>
      <c r="LLM41" s="9"/>
      <c r="LLN41" s="9"/>
      <c r="LLO41" s="9"/>
      <c r="LLP41" s="9"/>
      <c r="LLQ41" s="9"/>
      <c r="LLR41" s="9"/>
      <c r="LLS41" s="9"/>
      <c r="LLT41" s="9"/>
      <c r="LLU41" s="9"/>
      <c r="LLV41" s="9"/>
      <c r="LLW41" s="9"/>
      <c r="LLX41" s="9"/>
      <c r="LLY41" s="9"/>
      <c r="LLZ41" s="9"/>
      <c r="LMA41" s="9"/>
      <c r="LMB41" s="9"/>
      <c r="LMC41" s="9"/>
      <c r="LMD41" s="9"/>
      <c r="LME41" s="9"/>
      <c r="LMF41" s="9"/>
      <c r="LMG41" s="9"/>
      <c r="LMH41" s="9"/>
      <c r="LMI41" s="9"/>
      <c r="LMJ41" s="9"/>
      <c r="LMK41" s="9"/>
      <c r="LML41" s="9"/>
      <c r="LMM41" s="9"/>
      <c r="LMN41" s="9"/>
      <c r="LMO41" s="9"/>
      <c r="LMP41" s="9"/>
      <c r="LMQ41" s="9"/>
      <c r="LMR41" s="9"/>
      <c r="LMS41" s="9"/>
      <c r="LMT41" s="9"/>
      <c r="LMU41" s="9"/>
      <c r="LMV41" s="9"/>
      <c r="LMW41" s="9"/>
      <c r="LMX41" s="9"/>
      <c r="LMY41" s="9"/>
      <c r="LMZ41" s="9"/>
      <c r="LNA41" s="9"/>
      <c r="LNB41" s="9"/>
      <c r="LNC41" s="9"/>
      <c r="LND41" s="9"/>
      <c r="LNE41" s="9"/>
      <c r="LNF41" s="9"/>
      <c r="LNG41" s="9"/>
      <c r="LNH41" s="9"/>
      <c r="LNI41" s="9"/>
      <c r="LNJ41" s="9"/>
      <c r="LNK41" s="9"/>
      <c r="LNL41" s="9"/>
      <c r="LNM41" s="9"/>
      <c r="LNN41" s="9"/>
      <c r="LNO41" s="9"/>
      <c r="LNP41" s="9"/>
      <c r="LNQ41" s="9"/>
      <c r="LNR41" s="9"/>
      <c r="LNS41" s="9"/>
      <c r="LNT41" s="9"/>
      <c r="LNU41" s="9"/>
      <c r="LNV41" s="9"/>
      <c r="LNW41" s="9"/>
      <c r="LNX41" s="9"/>
      <c r="LNY41" s="9"/>
      <c r="LNZ41" s="9"/>
      <c r="LOA41" s="9"/>
      <c r="LOB41" s="9"/>
      <c r="LOC41" s="9"/>
      <c r="LOD41" s="9"/>
      <c r="LOE41" s="9"/>
      <c r="LOF41" s="9"/>
      <c r="LOG41" s="9"/>
      <c r="LOH41" s="9"/>
      <c r="LOI41" s="9"/>
      <c r="LOJ41" s="9"/>
      <c r="LOK41" s="9"/>
      <c r="LOL41" s="9"/>
      <c r="LOM41" s="9"/>
      <c r="LON41" s="9"/>
      <c r="LOO41" s="9"/>
      <c r="LOP41" s="9"/>
      <c r="LOQ41" s="9"/>
      <c r="LOR41" s="9"/>
      <c r="LOS41" s="9"/>
      <c r="LOT41" s="9"/>
      <c r="LOU41" s="9"/>
      <c r="LOV41" s="9"/>
      <c r="LOW41" s="9"/>
      <c r="LOX41" s="9"/>
      <c r="LOY41" s="9"/>
      <c r="LOZ41" s="9"/>
      <c r="LPA41" s="9"/>
      <c r="LPB41" s="9"/>
      <c r="LPC41" s="9"/>
      <c r="LPD41" s="9"/>
      <c r="LPE41" s="9"/>
      <c r="LPF41" s="9"/>
      <c r="LPG41" s="9"/>
      <c r="LPH41" s="9"/>
      <c r="LPI41" s="9"/>
      <c r="LPJ41" s="9"/>
      <c r="LPK41" s="9"/>
      <c r="LPL41" s="9"/>
      <c r="LPM41" s="9"/>
      <c r="LPN41" s="9"/>
      <c r="LPO41" s="9"/>
      <c r="LPP41" s="9"/>
      <c r="LPQ41" s="9"/>
      <c r="LPR41" s="9"/>
      <c r="LPS41" s="9"/>
      <c r="LPT41" s="9"/>
      <c r="LPU41" s="9"/>
      <c r="LPV41" s="9"/>
      <c r="LPW41" s="9"/>
      <c r="LPX41" s="9"/>
      <c r="LPY41" s="9"/>
      <c r="LPZ41" s="9"/>
      <c r="LQA41" s="9"/>
      <c r="LQB41" s="9"/>
      <c r="LQC41" s="9"/>
      <c r="LQD41" s="9"/>
      <c r="LQE41" s="9"/>
      <c r="LQF41" s="9"/>
      <c r="LQG41" s="9"/>
      <c r="LQH41" s="9"/>
      <c r="LQI41" s="9"/>
      <c r="LQJ41" s="9"/>
      <c r="LQK41" s="9"/>
      <c r="LQL41" s="9"/>
      <c r="LQM41" s="9"/>
      <c r="LQN41" s="9"/>
      <c r="LQO41" s="9"/>
      <c r="LQP41" s="9"/>
      <c r="LQQ41" s="9"/>
      <c r="LQR41" s="9"/>
      <c r="LQS41" s="9"/>
      <c r="LQT41" s="9"/>
      <c r="LQU41" s="9"/>
      <c r="LQV41" s="9"/>
      <c r="LQW41" s="9"/>
      <c r="LQX41" s="9"/>
      <c r="LQY41" s="9"/>
      <c r="LQZ41" s="9"/>
      <c r="LRA41" s="9"/>
      <c r="LRB41" s="9"/>
      <c r="LRC41" s="9"/>
      <c r="LRD41" s="9"/>
      <c r="LRE41" s="9"/>
      <c r="LRF41" s="9"/>
      <c r="LRG41" s="9"/>
      <c r="LRH41" s="9"/>
      <c r="LRI41" s="9"/>
      <c r="LRJ41" s="9"/>
      <c r="LRK41" s="9"/>
      <c r="LRL41" s="9"/>
      <c r="LRM41" s="9"/>
      <c r="LRN41" s="9"/>
      <c r="LRO41" s="9"/>
      <c r="LRP41" s="9"/>
      <c r="LRQ41" s="9"/>
      <c r="LRR41" s="9"/>
      <c r="LRS41" s="9"/>
      <c r="LRT41" s="9"/>
      <c r="LRU41" s="9"/>
      <c r="LRV41" s="9"/>
      <c r="LRW41" s="9"/>
      <c r="LRX41" s="9"/>
      <c r="LRY41" s="9"/>
      <c r="LRZ41" s="9"/>
      <c r="LSA41" s="9"/>
      <c r="LSB41" s="9"/>
      <c r="LSC41" s="9"/>
      <c r="LSD41" s="9"/>
      <c r="LSE41" s="9"/>
      <c r="LSF41" s="9"/>
      <c r="LSG41" s="9"/>
      <c r="LSH41" s="9"/>
      <c r="LSI41" s="9"/>
      <c r="LSJ41" s="9"/>
      <c r="LSK41" s="9"/>
      <c r="LSL41" s="9"/>
      <c r="LSM41" s="9"/>
      <c r="LSN41" s="9"/>
      <c r="LSO41" s="9"/>
      <c r="LSP41" s="9"/>
      <c r="LSQ41" s="9"/>
      <c r="LSR41" s="9"/>
      <c r="LSS41" s="9"/>
      <c r="LST41" s="9"/>
      <c r="LSU41" s="9"/>
      <c r="LSV41" s="9"/>
      <c r="LSW41" s="9"/>
      <c r="LSX41" s="9"/>
      <c r="LSY41" s="9"/>
      <c r="LSZ41" s="9"/>
      <c r="LTA41" s="9"/>
      <c r="LTB41" s="9"/>
      <c r="LTC41" s="9"/>
      <c r="LTD41" s="9"/>
      <c r="LTE41" s="9"/>
      <c r="LTF41" s="9"/>
      <c r="LTG41" s="9"/>
      <c r="LTH41" s="9"/>
      <c r="LTI41" s="9"/>
      <c r="LTJ41" s="9"/>
      <c r="LTK41" s="9"/>
      <c r="LTL41" s="9"/>
      <c r="LTM41" s="9"/>
      <c r="LTN41" s="9"/>
      <c r="LTO41" s="9"/>
      <c r="LTP41" s="9"/>
      <c r="LTQ41" s="9"/>
      <c r="LTR41" s="9"/>
      <c r="LTS41" s="9"/>
      <c r="LTT41" s="9"/>
      <c r="LTU41" s="9"/>
      <c r="LTV41" s="9"/>
      <c r="LTW41" s="9"/>
      <c r="LTX41" s="9"/>
      <c r="LTY41" s="9"/>
      <c r="LTZ41" s="9"/>
      <c r="LUA41" s="9"/>
      <c r="LUB41" s="9"/>
      <c r="LUC41" s="9"/>
      <c r="LUD41" s="9"/>
      <c r="LUE41" s="9"/>
      <c r="LUF41" s="9"/>
      <c r="LUG41" s="9"/>
      <c r="LUH41" s="9"/>
      <c r="LUI41" s="9"/>
      <c r="LUJ41" s="9"/>
      <c r="LUK41" s="9"/>
      <c r="LUL41" s="9"/>
      <c r="LUM41" s="9"/>
      <c r="LUN41" s="9"/>
      <c r="LUO41" s="9"/>
      <c r="LUP41" s="9"/>
      <c r="LUQ41" s="9"/>
      <c r="LUR41" s="9"/>
      <c r="LUS41" s="9"/>
      <c r="LUT41" s="9"/>
      <c r="LUU41" s="9"/>
      <c r="LUV41" s="9"/>
      <c r="LUW41" s="9"/>
      <c r="LUX41" s="9"/>
      <c r="LUY41" s="9"/>
      <c r="LUZ41" s="9"/>
      <c r="LVA41" s="9"/>
      <c r="LVB41" s="9"/>
      <c r="LVC41" s="9"/>
      <c r="LVD41" s="9"/>
      <c r="LVE41" s="9"/>
      <c r="LVF41" s="9"/>
      <c r="LVG41" s="9"/>
      <c r="LVH41" s="9"/>
      <c r="LVI41" s="9"/>
      <c r="LVJ41" s="9"/>
      <c r="LVK41" s="9"/>
      <c r="LVL41" s="9"/>
      <c r="LVM41" s="9"/>
      <c r="LVN41" s="9"/>
      <c r="LVO41" s="9"/>
      <c r="LVP41" s="9"/>
      <c r="LVQ41" s="9"/>
      <c r="LVR41" s="9"/>
      <c r="LVS41" s="9"/>
      <c r="LVT41" s="9"/>
      <c r="LVU41" s="9"/>
      <c r="LVV41" s="9"/>
      <c r="LVW41" s="9"/>
      <c r="LVX41" s="9"/>
      <c r="LVY41" s="9"/>
      <c r="LVZ41" s="9"/>
      <c r="LWA41" s="9"/>
      <c r="LWB41" s="9"/>
      <c r="LWC41" s="9"/>
      <c r="LWD41" s="9"/>
      <c r="LWE41" s="9"/>
      <c r="LWF41" s="9"/>
      <c r="LWG41" s="9"/>
      <c r="LWH41" s="9"/>
      <c r="LWI41" s="9"/>
      <c r="LWJ41" s="9"/>
      <c r="LWK41" s="9"/>
      <c r="LWL41" s="9"/>
      <c r="LWM41" s="9"/>
      <c r="LWN41" s="9"/>
      <c r="LWO41" s="9"/>
      <c r="LWP41" s="9"/>
      <c r="LWQ41" s="9"/>
      <c r="LWR41" s="9"/>
      <c r="LWS41" s="9"/>
      <c r="LWT41" s="9"/>
      <c r="LWU41" s="9"/>
      <c r="LWV41" s="9"/>
      <c r="LWW41" s="9"/>
      <c r="LWX41" s="9"/>
      <c r="LWY41" s="9"/>
      <c r="LWZ41" s="9"/>
      <c r="LXA41" s="9"/>
      <c r="LXB41" s="9"/>
      <c r="LXC41" s="9"/>
      <c r="LXD41" s="9"/>
      <c r="LXE41" s="9"/>
      <c r="LXF41" s="9"/>
      <c r="LXG41" s="9"/>
      <c r="LXH41" s="9"/>
      <c r="LXI41" s="9"/>
      <c r="LXJ41" s="9"/>
      <c r="LXK41" s="9"/>
      <c r="LXL41" s="9"/>
      <c r="LXM41" s="9"/>
      <c r="LXN41" s="9"/>
      <c r="LXO41" s="9"/>
      <c r="LXP41" s="9"/>
      <c r="LXQ41" s="9"/>
      <c r="LXR41" s="9"/>
      <c r="LXS41" s="9"/>
      <c r="LXT41" s="9"/>
      <c r="LXU41" s="9"/>
      <c r="LXV41" s="9"/>
      <c r="LXW41" s="9"/>
      <c r="LXX41" s="9"/>
      <c r="LXY41" s="9"/>
      <c r="LXZ41" s="9"/>
      <c r="LYA41" s="9"/>
      <c r="LYB41" s="9"/>
      <c r="LYC41" s="9"/>
      <c r="LYD41" s="9"/>
      <c r="LYE41" s="9"/>
      <c r="LYF41" s="9"/>
      <c r="LYG41" s="9"/>
      <c r="LYH41" s="9"/>
      <c r="LYI41" s="9"/>
      <c r="LYJ41" s="9"/>
      <c r="LYK41" s="9"/>
      <c r="LYL41" s="9"/>
      <c r="LYM41" s="9"/>
      <c r="LYN41" s="9"/>
      <c r="LYO41" s="9"/>
      <c r="LYP41" s="9"/>
      <c r="LYQ41" s="9"/>
      <c r="LYR41" s="9"/>
      <c r="LYS41" s="9"/>
      <c r="LYT41" s="9"/>
      <c r="LYU41" s="9"/>
      <c r="LYV41" s="9"/>
      <c r="LYW41" s="9"/>
      <c r="LYX41" s="9"/>
      <c r="LYY41" s="9"/>
      <c r="LYZ41" s="9"/>
      <c r="LZA41" s="9"/>
      <c r="LZB41" s="9"/>
      <c r="LZC41" s="9"/>
      <c r="LZD41" s="9"/>
      <c r="LZE41" s="9"/>
      <c r="LZF41" s="9"/>
      <c r="LZG41" s="9"/>
      <c r="LZH41" s="9"/>
      <c r="LZI41" s="9"/>
      <c r="LZJ41" s="9"/>
      <c r="LZK41" s="9"/>
      <c r="LZL41" s="9"/>
      <c r="LZM41" s="9"/>
      <c r="LZN41" s="9"/>
      <c r="LZO41" s="9"/>
      <c r="LZP41" s="9"/>
      <c r="LZQ41" s="9"/>
      <c r="LZR41" s="9"/>
      <c r="LZS41" s="9"/>
      <c r="LZT41" s="9"/>
      <c r="LZU41" s="9"/>
      <c r="LZV41" s="9"/>
      <c r="LZW41" s="9"/>
      <c r="LZX41" s="9"/>
      <c r="LZY41" s="9"/>
      <c r="LZZ41" s="9"/>
      <c r="MAA41" s="9"/>
      <c r="MAB41" s="9"/>
      <c r="MAC41" s="9"/>
      <c r="MAD41" s="9"/>
      <c r="MAE41" s="9"/>
      <c r="MAF41" s="9"/>
      <c r="MAG41" s="9"/>
      <c r="MAH41" s="9"/>
      <c r="MAI41" s="9"/>
      <c r="MAJ41" s="9"/>
      <c r="MAK41" s="9"/>
      <c r="MAL41" s="9"/>
      <c r="MAM41" s="9"/>
      <c r="MAN41" s="9"/>
      <c r="MAO41" s="9"/>
      <c r="MAP41" s="9"/>
      <c r="MAQ41" s="9"/>
      <c r="MAR41" s="9"/>
      <c r="MAS41" s="9"/>
      <c r="MAT41" s="9"/>
      <c r="MAU41" s="9"/>
      <c r="MAV41" s="9"/>
      <c r="MAW41" s="9"/>
      <c r="MAX41" s="9"/>
      <c r="MAY41" s="9"/>
      <c r="MAZ41" s="9"/>
      <c r="MBA41" s="9"/>
      <c r="MBB41" s="9"/>
      <c r="MBC41" s="9"/>
      <c r="MBD41" s="9"/>
      <c r="MBE41" s="9"/>
      <c r="MBF41" s="9"/>
      <c r="MBG41" s="9"/>
      <c r="MBH41" s="9"/>
      <c r="MBI41" s="9"/>
      <c r="MBJ41" s="9"/>
      <c r="MBK41" s="9"/>
      <c r="MBL41" s="9"/>
      <c r="MBM41" s="9"/>
      <c r="MBN41" s="9"/>
      <c r="MBO41" s="9"/>
      <c r="MBP41" s="9"/>
      <c r="MBQ41" s="9"/>
      <c r="MBR41" s="9"/>
      <c r="MBS41" s="9"/>
      <c r="MBT41" s="9"/>
      <c r="MBU41" s="9"/>
      <c r="MBV41" s="9"/>
      <c r="MBW41" s="9"/>
      <c r="MBX41" s="9"/>
      <c r="MBY41" s="9"/>
      <c r="MBZ41" s="9"/>
      <c r="MCA41" s="9"/>
      <c r="MCB41" s="9"/>
      <c r="MCC41" s="9"/>
      <c r="MCD41" s="9"/>
      <c r="MCE41" s="9"/>
      <c r="MCF41" s="9"/>
      <c r="MCG41" s="9"/>
      <c r="MCH41" s="9"/>
      <c r="MCI41" s="9"/>
      <c r="MCJ41" s="9"/>
      <c r="MCK41" s="9"/>
      <c r="MCL41" s="9"/>
      <c r="MCM41" s="9"/>
      <c r="MCN41" s="9"/>
      <c r="MCO41" s="9"/>
      <c r="MCP41" s="9"/>
      <c r="MCQ41" s="9"/>
      <c r="MCR41" s="9"/>
      <c r="MCS41" s="9"/>
      <c r="MCT41" s="9"/>
      <c r="MCU41" s="9"/>
      <c r="MCV41" s="9"/>
      <c r="MCW41" s="9"/>
      <c r="MCX41" s="9"/>
      <c r="MCY41" s="9"/>
      <c r="MCZ41" s="9"/>
      <c r="MDA41" s="9"/>
      <c r="MDB41" s="9"/>
      <c r="MDC41" s="9"/>
      <c r="MDD41" s="9"/>
      <c r="MDE41" s="9"/>
      <c r="MDF41" s="9"/>
      <c r="MDG41" s="9"/>
      <c r="MDH41" s="9"/>
      <c r="MDI41" s="9"/>
      <c r="MDJ41" s="9"/>
      <c r="MDK41" s="9"/>
      <c r="MDL41" s="9"/>
      <c r="MDM41" s="9"/>
      <c r="MDN41" s="9"/>
      <c r="MDO41" s="9"/>
      <c r="MDP41" s="9"/>
      <c r="MDQ41" s="9"/>
      <c r="MDR41" s="9"/>
      <c r="MDS41" s="9"/>
      <c r="MDT41" s="9"/>
      <c r="MDU41" s="9"/>
      <c r="MDV41" s="9"/>
      <c r="MDW41" s="9"/>
      <c r="MDX41" s="9"/>
      <c r="MDY41" s="9"/>
      <c r="MDZ41" s="9"/>
      <c r="MEA41" s="9"/>
      <c r="MEB41" s="9"/>
      <c r="MEC41" s="9"/>
      <c r="MED41" s="9"/>
      <c r="MEE41" s="9"/>
      <c r="MEF41" s="9"/>
      <c r="MEG41" s="9"/>
      <c r="MEH41" s="9"/>
      <c r="MEI41" s="9"/>
      <c r="MEJ41" s="9"/>
      <c r="MEK41" s="9"/>
      <c r="MEL41" s="9"/>
      <c r="MEM41" s="9"/>
      <c r="MEN41" s="9"/>
      <c r="MEO41" s="9"/>
      <c r="MEP41" s="9"/>
      <c r="MEQ41" s="9"/>
      <c r="MER41" s="9"/>
      <c r="MES41" s="9"/>
      <c r="MET41" s="9"/>
      <c r="MEU41" s="9"/>
      <c r="MEV41" s="9"/>
      <c r="MEW41" s="9"/>
      <c r="MEX41" s="9"/>
      <c r="MEY41" s="9"/>
      <c r="MEZ41" s="9"/>
      <c r="MFA41" s="9"/>
      <c r="MFB41" s="9"/>
      <c r="MFC41" s="9"/>
      <c r="MFD41" s="9"/>
      <c r="MFE41" s="9"/>
      <c r="MFF41" s="9"/>
      <c r="MFG41" s="9"/>
      <c r="MFH41" s="9"/>
      <c r="MFI41" s="9"/>
      <c r="MFJ41" s="9"/>
      <c r="MFK41" s="9"/>
      <c r="MFL41" s="9"/>
      <c r="MFM41" s="9"/>
      <c r="MFN41" s="9"/>
      <c r="MFO41" s="9"/>
      <c r="MFP41" s="9"/>
      <c r="MFQ41" s="9"/>
      <c r="MFR41" s="9"/>
      <c r="MFS41" s="9"/>
      <c r="MFT41" s="9"/>
      <c r="MFU41" s="9"/>
      <c r="MFV41" s="9"/>
      <c r="MFW41" s="9"/>
      <c r="MFX41" s="9"/>
      <c r="MFY41" s="9"/>
      <c r="MFZ41" s="9"/>
      <c r="MGA41" s="9"/>
      <c r="MGB41" s="9"/>
      <c r="MGC41" s="9"/>
      <c r="MGD41" s="9"/>
      <c r="MGE41" s="9"/>
      <c r="MGF41" s="9"/>
      <c r="MGG41" s="9"/>
      <c r="MGH41" s="9"/>
      <c r="MGI41" s="9"/>
      <c r="MGJ41" s="9"/>
      <c r="MGK41" s="9"/>
      <c r="MGL41" s="9"/>
      <c r="MGM41" s="9"/>
      <c r="MGN41" s="9"/>
      <c r="MGO41" s="9"/>
      <c r="MGP41" s="9"/>
      <c r="MGQ41" s="9"/>
      <c r="MGR41" s="9"/>
      <c r="MGS41" s="9"/>
      <c r="MGT41" s="9"/>
      <c r="MGU41" s="9"/>
      <c r="MGV41" s="9"/>
      <c r="MGW41" s="9"/>
      <c r="MGX41" s="9"/>
      <c r="MGY41" s="9"/>
      <c r="MGZ41" s="9"/>
      <c r="MHA41" s="9"/>
      <c r="MHB41" s="9"/>
      <c r="MHC41" s="9"/>
      <c r="MHD41" s="9"/>
      <c r="MHE41" s="9"/>
      <c r="MHF41" s="9"/>
      <c r="MHG41" s="9"/>
      <c r="MHH41" s="9"/>
      <c r="MHI41" s="9"/>
      <c r="MHJ41" s="9"/>
      <c r="MHK41" s="9"/>
      <c r="MHL41" s="9"/>
      <c r="MHM41" s="9"/>
      <c r="MHN41" s="9"/>
      <c r="MHO41" s="9"/>
      <c r="MHP41" s="9"/>
      <c r="MHQ41" s="9"/>
      <c r="MHR41" s="9"/>
      <c r="MHS41" s="9"/>
      <c r="MHT41" s="9"/>
      <c r="MHU41" s="9"/>
      <c r="MHV41" s="9"/>
      <c r="MHW41" s="9"/>
      <c r="MHX41" s="9"/>
      <c r="MHY41" s="9"/>
      <c r="MHZ41" s="9"/>
      <c r="MIA41" s="9"/>
      <c r="MIB41" s="9"/>
      <c r="MIC41" s="9"/>
      <c r="MID41" s="9"/>
      <c r="MIE41" s="9"/>
      <c r="MIF41" s="9"/>
      <c r="MIG41" s="9"/>
      <c r="MIH41" s="9"/>
      <c r="MII41" s="9"/>
      <c r="MIJ41" s="9"/>
      <c r="MIK41" s="9"/>
      <c r="MIL41" s="9"/>
      <c r="MIM41" s="9"/>
      <c r="MIN41" s="9"/>
      <c r="MIO41" s="9"/>
      <c r="MIP41" s="9"/>
      <c r="MIQ41" s="9"/>
      <c r="MIR41" s="9"/>
      <c r="MIS41" s="9"/>
      <c r="MIT41" s="9"/>
      <c r="MIU41" s="9"/>
      <c r="MIV41" s="9"/>
      <c r="MIW41" s="9"/>
      <c r="MIX41" s="9"/>
      <c r="MIY41" s="9"/>
      <c r="MIZ41" s="9"/>
      <c r="MJA41" s="9"/>
      <c r="MJB41" s="9"/>
      <c r="MJC41" s="9"/>
      <c r="MJD41" s="9"/>
      <c r="MJE41" s="9"/>
      <c r="MJF41" s="9"/>
      <c r="MJG41" s="9"/>
      <c r="MJH41" s="9"/>
      <c r="MJI41" s="9"/>
      <c r="MJJ41" s="9"/>
      <c r="MJK41" s="9"/>
      <c r="MJL41" s="9"/>
      <c r="MJM41" s="9"/>
      <c r="MJN41" s="9"/>
      <c r="MJO41" s="9"/>
      <c r="MJP41" s="9"/>
      <c r="MJQ41" s="9"/>
      <c r="MJR41" s="9"/>
      <c r="MJS41" s="9"/>
      <c r="MJT41" s="9"/>
      <c r="MJU41" s="9"/>
      <c r="MJV41" s="9"/>
      <c r="MJW41" s="9"/>
      <c r="MJX41" s="9"/>
      <c r="MJY41" s="9"/>
      <c r="MJZ41" s="9"/>
      <c r="MKA41" s="9"/>
      <c r="MKB41" s="9"/>
      <c r="MKC41" s="9"/>
      <c r="MKD41" s="9"/>
      <c r="MKE41" s="9"/>
      <c r="MKF41" s="9"/>
      <c r="MKG41" s="9"/>
      <c r="MKH41" s="9"/>
      <c r="MKI41" s="9"/>
      <c r="MKJ41" s="9"/>
      <c r="MKK41" s="9"/>
      <c r="MKL41" s="9"/>
      <c r="MKM41" s="9"/>
      <c r="MKN41" s="9"/>
      <c r="MKO41" s="9"/>
      <c r="MKP41" s="9"/>
      <c r="MKQ41" s="9"/>
      <c r="MKR41" s="9"/>
      <c r="MKS41" s="9"/>
      <c r="MKT41" s="9"/>
      <c r="MKU41" s="9"/>
      <c r="MKV41" s="9"/>
      <c r="MKW41" s="9"/>
      <c r="MKX41" s="9"/>
      <c r="MKY41" s="9"/>
      <c r="MKZ41" s="9"/>
      <c r="MLA41" s="9"/>
      <c r="MLB41" s="9"/>
      <c r="MLC41" s="9"/>
      <c r="MLD41" s="9"/>
      <c r="MLE41" s="9"/>
      <c r="MLF41" s="9"/>
      <c r="MLG41" s="9"/>
      <c r="MLH41" s="9"/>
      <c r="MLI41" s="9"/>
      <c r="MLJ41" s="9"/>
      <c r="MLK41" s="9"/>
      <c r="MLL41" s="9"/>
      <c r="MLM41" s="9"/>
      <c r="MLN41" s="9"/>
      <c r="MLO41" s="9"/>
      <c r="MLP41" s="9"/>
      <c r="MLQ41" s="9"/>
      <c r="MLR41" s="9"/>
      <c r="MLS41" s="9"/>
      <c r="MLT41" s="9"/>
      <c r="MLU41" s="9"/>
      <c r="MLV41" s="9"/>
      <c r="MLW41" s="9"/>
      <c r="MLX41" s="9"/>
      <c r="MLY41" s="9"/>
      <c r="MLZ41" s="9"/>
      <c r="MMA41" s="9"/>
      <c r="MMB41" s="9"/>
      <c r="MMC41" s="9"/>
      <c r="MMD41" s="9"/>
      <c r="MME41" s="9"/>
      <c r="MMF41" s="9"/>
      <c r="MMG41" s="9"/>
      <c r="MMH41" s="9"/>
      <c r="MMI41" s="9"/>
      <c r="MMJ41" s="9"/>
      <c r="MMK41" s="9"/>
      <c r="MML41" s="9"/>
      <c r="MMM41" s="9"/>
      <c r="MMN41" s="9"/>
      <c r="MMO41" s="9"/>
      <c r="MMP41" s="9"/>
      <c r="MMQ41" s="9"/>
      <c r="MMR41" s="9"/>
      <c r="MMS41" s="9"/>
      <c r="MMT41" s="9"/>
      <c r="MMU41" s="9"/>
      <c r="MMV41" s="9"/>
      <c r="MMW41" s="9"/>
      <c r="MMX41" s="9"/>
      <c r="MMY41" s="9"/>
      <c r="MMZ41" s="9"/>
      <c r="MNA41" s="9"/>
      <c r="MNB41" s="9"/>
      <c r="MNC41" s="9"/>
      <c r="MND41" s="9"/>
      <c r="MNE41" s="9"/>
      <c r="MNF41" s="9"/>
      <c r="MNG41" s="9"/>
      <c r="MNH41" s="9"/>
      <c r="MNI41" s="9"/>
      <c r="MNJ41" s="9"/>
      <c r="MNK41" s="9"/>
      <c r="MNL41" s="9"/>
      <c r="MNM41" s="9"/>
      <c r="MNN41" s="9"/>
      <c r="MNO41" s="9"/>
      <c r="MNP41" s="9"/>
      <c r="MNQ41" s="9"/>
      <c r="MNR41" s="9"/>
      <c r="MNS41" s="9"/>
      <c r="MNT41" s="9"/>
      <c r="MNU41" s="9"/>
      <c r="MNV41" s="9"/>
      <c r="MNW41" s="9"/>
      <c r="MNX41" s="9"/>
      <c r="MNY41" s="9"/>
      <c r="MNZ41" s="9"/>
      <c r="MOA41" s="9"/>
      <c r="MOB41" s="9"/>
      <c r="MOC41" s="9"/>
      <c r="MOD41" s="9"/>
      <c r="MOE41" s="9"/>
      <c r="MOF41" s="9"/>
      <c r="MOG41" s="9"/>
      <c r="MOH41" s="9"/>
      <c r="MOI41" s="9"/>
      <c r="MOJ41" s="9"/>
      <c r="MOK41" s="9"/>
      <c r="MOL41" s="9"/>
      <c r="MOM41" s="9"/>
      <c r="MON41" s="9"/>
      <c r="MOO41" s="9"/>
      <c r="MOP41" s="9"/>
      <c r="MOQ41" s="9"/>
      <c r="MOR41" s="9"/>
      <c r="MOS41" s="9"/>
      <c r="MOT41" s="9"/>
      <c r="MOU41" s="9"/>
      <c r="MOV41" s="9"/>
      <c r="MOW41" s="9"/>
      <c r="MOX41" s="9"/>
      <c r="MOY41" s="9"/>
      <c r="MOZ41" s="9"/>
      <c r="MPA41" s="9"/>
      <c r="MPB41" s="9"/>
      <c r="MPC41" s="9"/>
      <c r="MPD41" s="9"/>
      <c r="MPE41" s="9"/>
      <c r="MPF41" s="9"/>
      <c r="MPG41" s="9"/>
      <c r="MPH41" s="9"/>
      <c r="MPI41" s="9"/>
      <c r="MPJ41" s="9"/>
      <c r="MPK41" s="9"/>
      <c r="MPL41" s="9"/>
      <c r="MPM41" s="9"/>
      <c r="MPN41" s="9"/>
      <c r="MPO41" s="9"/>
      <c r="MPP41" s="9"/>
      <c r="MPQ41" s="9"/>
      <c r="MPR41" s="9"/>
      <c r="MPS41" s="9"/>
      <c r="MPT41" s="9"/>
      <c r="MPU41" s="9"/>
      <c r="MPV41" s="9"/>
      <c r="MPW41" s="9"/>
      <c r="MPX41" s="9"/>
      <c r="MPY41" s="9"/>
      <c r="MPZ41" s="9"/>
      <c r="MQA41" s="9"/>
      <c r="MQB41" s="9"/>
      <c r="MQC41" s="9"/>
      <c r="MQD41" s="9"/>
      <c r="MQE41" s="9"/>
      <c r="MQF41" s="9"/>
      <c r="MQG41" s="9"/>
      <c r="MQH41" s="9"/>
      <c r="MQI41" s="9"/>
      <c r="MQJ41" s="9"/>
      <c r="MQK41" s="9"/>
      <c r="MQL41" s="9"/>
      <c r="MQM41" s="9"/>
      <c r="MQN41" s="9"/>
      <c r="MQO41" s="9"/>
      <c r="MQP41" s="9"/>
      <c r="MQQ41" s="9"/>
      <c r="MQR41" s="9"/>
      <c r="MQS41" s="9"/>
      <c r="MQT41" s="9"/>
      <c r="MQU41" s="9"/>
      <c r="MQV41" s="9"/>
      <c r="MQW41" s="9"/>
      <c r="MQX41" s="9"/>
      <c r="MQY41" s="9"/>
      <c r="MQZ41" s="9"/>
      <c r="MRA41" s="9"/>
      <c r="MRB41" s="9"/>
      <c r="MRC41" s="9"/>
      <c r="MRD41" s="9"/>
      <c r="MRE41" s="9"/>
      <c r="MRF41" s="9"/>
      <c r="MRG41" s="9"/>
      <c r="MRH41" s="9"/>
      <c r="MRI41" s="9"/>
      <c r="MRJ41" s="9"/>
      <c r="MRK41" s="9"/>
      <c r="MRL41" s="9"/>
      <c r="MRM41" s="9"/>
      <c r="MRN41" s="9"/>
      <c r="MRO41" s="9"/>
      <c r="MRP41" s="9"/>
      <c r="MRQ41" s="9"/>
      <c r="MRR41" s="9"/>
      <c r="MRS41" s="9"/>
      <c r="MRT41" s="9"/>
      <c r="MRU41" s="9"/>
      <c r="MRV41" s="9"/>
      <c r="MRW41" s="9"/>
      <c r="MRX41" s="9"/>
      <c r="MRY41" s="9"/>
      <c r="MRZ41" s="9"/>
      <c r="MSA41" s="9"/>
      <c r="MSB41" s="9"/>
      <c r="MSC41" s="9"/>
      <c r="MSD41" s="9"/>
      <c r="MSE41" s="9"/>
      <c r="MSF41" s="9"/>
      <c r="MSG41" s="9"/>
      <c r="MSH41" s="9"/>
      <c r="MSI41" s="9"/>
      <c r="MSJ41" s="9"/>
      <c r="MSK41" s="9"/>
      <c r="MSL41" s="9"/>
      <c r="MSM41" s="9"/>
      <c r="MSN41" s="9"/>
      <c r="MSO41" s="9"/>
      <c r="MSP41" s="9"/>
      <c r="MSQ41" s="9"/>
      <c r="MSR41" s="9"/>
      <c r="MSS41" s="9"/>
      <c r="MST41" s="9"/>
      <c r="MSU41" s="9"/>
      <c r="MSV41" s="9"/>
      <c r="MSW41" s="9"/>
      <c r="MSX41" s="9"/>
      <c r="MSY41" s="9"/>
      <c r="MSZ41" s="9"/>
      <c r="MTA41" s="9"/>
      <c r="MTB41" s="9"/>
      <c r="MTC41" s="9"/>
      <c r="MTD41" s="9"/>
      <c r="MTE41" s="9"/>
      <c r="MTF41" s="9"/>
      <c r="MTG41" s="9"/>
      <c r="MTH41" s="9"/>
      <c r="MTI41" s="9"/>
      <c r="MTJ41" s="9"/>
      <c r="MTK41" s="9"/>
      <c r="MTL41" s="9"/>
      <c r="MTM41" s="9"/>
      <c r="MTN41" s="9"/>
      <c r="MTO41" s="9"/>
      <c r="MTP41" s="9"/>
      <c r="MTQ41" s="9"/>
      <c r="MTR41" s="9"/>
      <c r="MTS41" s="9"/>
      <c r="MTT41" s="9"/>
      <c r="MTU41" s="9"/>
      <c r="MTV41" s="9"/>
      <c r="MTW41" s="9"/>
      <c r="MTX41" s="9"/>
      <c r="MTY41" s="9"/>
      <c r="MTZ41" s="9"/>
      <c r="MUA41" s="9"/>
      <c r="MUB41" s="9"/>
      <c r="MUC41" s="9"/>
      <c r="MUD41" s="9"/>
      <c r="MUE41" s="9"/>
      <c r="MUF41" s="9"/>
      <c r="MUG41" s="9"/>
      <c r="MUH41" s="9"/>
      <c r="MUI41" s="9"/>
      <c r="MUJ41" s="9"/>
      <c r="MUK41" s="9"/>
      <c r="MUL41" s="9"/>
      <c r="MUM41" s="9"/>
      <c r="MUN41" s="9"/>
      <c r="MUO41" s="9"/>
      <c r="MUP41" s="9"/>
      <c r="MUQ41" s="9"/>
      <c r="MUR41" s="9"/>
      <c r="MUS41" s="9"/>
      <c r="MUT41" s="9"/>
      <c r="MUU41" s="9"/>
      <c r="MUV41" s="9"/>
      <c r="MUW41" s="9"/>
      <c r="MUX41" s="9"/>
      <c r="MUY41" s="9"/>
      <c r="MUZ41" s="9"/>
      <c r="MVA41" s="9"/>
      <c r="MVB41" s="9"/>
      <c r="MVC41" s="9"/>
      <c r="MVD41" s="9"/>
      <c r="MVE41" s="9"/>
      <c r="MVF41" s="9"/>
      <c r="MVG41" s="9"/>
      <c r="MVH41" s="9"/>
      <c r="MVI41" s="9"/>
      <c r="MVJ41" s="9"/>
      <c r="MVK41" s="9"/>
      <c r="MVL41" s="9"/>
      <c r="MVM41" s="9"/>
      <c r="MVN41" s="9"/>
      <c r="MVO41" s="9"/>
      <c r="MVP41" s="9"/>
      <c r="MVQ41" s="9"/>
      <c r="MVR41" s="9"/>
      <c r="MVS41" s="9"/>
      <c r="MVT41" s="9"/>
      <c r="MVU41" s="9"/>
      <c r="MVV41" s="9"/>
      <c r="MVW41" s="9"/>
      <c r="MVX41" s="9"/>
      <c r="MVY41" s="9"/>
      <c r="MVZ41" s="9"/>
      <c r="MWA41" s="9"/>
      <c r="MWB41" s="9"/>
      <c r="MWC41" s="9"/>
      <c r="MWD41" s="9"/>
      <c r="MWE41" s="9"/>
      <c r="MWF41" s="9"/>
      <c r="MWG41" s="9"/>
      <c r="MWH41" s="9"/>
      <c r="MWI41" s="9"/>
      <c r="MWJ41" s="9"/>
      <c r="MWK41" s="9"/>
      <c r="MWL41" s="9"/>
      <c r="MWM41" s="9"/>
      <c r="MWN41" s="9"/>
      <c r="MWO41" s="9"/>
      <c r="MWP41" s="9"/>
      <c r="MWQ41" s="9"/>
      <c r="MWR41" s="9"/>
      <c r="MWS41" s="9"/>
      <c r="MWT41" s="9"/>
      <c r="MWU41" s="9"/>
      <c r="MWV41" s="9"/>
      <c r="MWW41" s="9"/>
      <c r="MWX41" s="9"/>
      <c r="MWY41" s="9"/>
      <c r="MWZ41" s="9"/>
      <c r="MXA41" s="9"/>
      <c r="MXB41" s="9"/>
      <c r="MXC41" s="9"/>
      <c r="MXD41" s="9"/>
      <c r="MXE41" s="9"/>
      <c r="MXF41" s="9"/>
      <c r="MXG41" s="9"/>
      <c r="MXH41" s="9"/>
      <c r="MXI41" s="9"/>
      <c r="MXJ41" s="9"/>
      <c r="MXK41" s="9"/>
      <c r="MXL41" s="9"/>
      <c r="MXM41" s="9"/>
      <c r="MXN41" s="9"/>
      <c r="MXO41" s="9"/>
      <c r="MXP41" s="9"/>
      <c r="MXQ41" s="9"/>
      <c r="MXR41" s="9"/>
      <c r="MXS41" s="9"/>
      <c r="MXT41" s="9"/>
      <c r="MXU41" s="9"/>
      <c r="MXV41" s="9"/>
      <c r="MXW41" s="9"/>
      <c r="MXX41" s="9"/>
      <c r="MXY41" s="9"/>
      <c r="MXZ41" s="9"/>
      <c r="MYA41" s="9"/>
      <c r="MYB41" s="9"/>
      <c r="MYC41" s="9"/>
      <c r="MYD41" s="9"/>
      <c r="MYE41" s="9"/>
      <c r="MYF41" s="9"/>
      <c r="MYG41" s="9"/>
      <c r="MYH41" s="9"/>
      <c r="MYI41" s="9"/>
      <c r="MYJ41" s="9"/>
      <c r="MYK41" s="9"/>
      <c r="MYL41" s="9"/>
      <c r="MYM41" s="9"/>
      <c r="MYN41" s="9"/>
      <c r="MYO41" s="9"/>
      <c r="MYP41" s="9"/>
      <c r="MYQ41" s="9"/>
      <c r="MYR41" s="9"/>
      <c r="MYS41" s="9"/>
      <c r="MYT41" s="9"/>
      <c r="MYU41" s="9"/>
      <c r="MYV41" s="9"/>
      <c r="MYW41" s="9"/>
      <c r="MYX41" s="9"/>
      <c r="MYY41" s="9"/>
      <c r="MYZ41" s="9"/>
      <c r="MZA41" s="9"/>
      <c r="MZB41" s="9"/>
      <c r="MZC41" s="9"/>
      <c r="MZD41" s="9"/>
      <c r="MZE41" s="9"/>
      <c r="MZF41" s="9"/>
      <c r="MZG41" s="9"/>
      <c r="MZH41" s="9"/>
      <c r="MZI41" s="9"/>
      <c r="MZJ41" s="9"/>
      <c r="MZK41" s="9"/>
      <c r="MZL41" s="9"/>
      <c r="MZM41" s="9"/>
      <c r="MZN41" s="9"/>
      <c r="MZO41" s="9"/>
      <c r="MZP41" s="9"/>
      <c r="MZQ41" s="9"/>
      <c r="MZR41" s="9"/>
      <c r="MZS41" s="9"/>
      <c r="MZT41" s="9"/>
      <c r="MZU41" s="9"/>
      <c r="MZV41" s="9"/>
      <c r="MZW41" s="9"/>
      <c r="MZX41" s="9"/>
      <c r="MZY41" s="9"/>
      <c r="MZZ41" s="9"/>
      <c r="NAA41" s="9"/>
      <c r="NAB41" s="9"/>
      <c r="NAC41" s="9"/>
      <c r="NAD41" s="9"/>
      <c r="NAE41" s="9"/>
      <c r="NAF41" s="9"/>
      <c r="NAG41" s="9"/>
      <c r="NAH41" s="9"/>
      <c r="NAI41" s="9"/>
      <c r="NAJ41" s="9"/>
      <c r="NAK41" s="9"/>
      <c r="NAL41" s="9"/>
      <c r="NAM41" s="9"/>
      <c r="NAN41" s="9"/>
      <c r="NAO41" s="9"/>
      <c r="NAP41" s="9"/>
      <c r="NAQ41" s="9"/>
      <c r="NAR41" s="9"/>
      <c r="NAS41" s="9"/>
      <c r="NAT41" s="9"/>
      <c r="NAU41" s="9"/>
      <c r="NAV41" s="9"/>
      <c r="NAW41" s="9"/>
      <c r="NAX41" s="9"/>
      <c r="NAY41" s="9"/>
      <c r="NAZ41" s="9"/>
      <c r="NBA41" s="9"/>
      <c r="NBB41" s="9"/>
      <c r="NBC41" s="9"/>
      <c r="NBD41" s="9"/>
      <c r="NBE41" s="9"/>
      <c r="NBF41" s="9"/>
      <c r="NBG41" s="9"/>
      <c r="NBH41" s="9"/>
      <c r="NBI41" s="9"/>
      <c r="NBJ41" s="9"/>
      <c r="NBK41" s="9"/>
      <c r="NBL41" s="9"/>
      <c r="NBM41" s="9"/>
      <c r="NBN41" s="9"/>
      <c r="NBO41" s="9"/>
      <c r="NBP41" s="9"/>
      <c r="NBQ41" s="9"/>
      <c r="NBR41" s="9"/>
      <c r="NBS41" s="9"/>
      <c r="NBT41" s="9"/>
      <c r="NBU41" s="9"/>
      <c r="NBV41" s="9"/>
      <c r="NBW41" s="9"/>
      <c r="NBX41" s="9"/>
      <c r="NBY41" s="9"/>
      <c r="NBZ41" s="9"/>
      <c r="NCA41" s="9"/>
      <c r="NCB41" s="9"/>
      <c r="NCC41" s="9"/>
      <c r="NCD41" s="9"/>
      <c r="NCE41" s="9"/>
      <c r="NCF41" s="9"/>
      <c r="NCG41" s="9"/>
      <c r="NCH41" s="9"/>
      <c r="NCI41" s="9"/>
      <c r="NCJ41" s="9"/>
      <c r="NCK41" s="9"/>
      <c r="NCL41" s="9"/>
      <c r="NCM41" s="9"/>
      <c r="NCN41" s="9"/>
      <c r="NCO41" s="9"/>
      <c r="NCP41" s="9"/>
      <c r="NCQ41" s="9"/>
      <c r="NCR41" s="9"/>
      <c r="NCS41" s="9"/>
      <c r="NCT41" s="9"/>
      <c r="NCU41" s="9"/>
      <c r="NCV41" s="9"/>
      <c r="NCW41" s="9"/>
      <c r="NCX41" s="9"/>
      <c r="NCY41" s="9"/>
      <c r="NCZ41" s="9"/>
      <c r="NDA41" s="9"/>
      <c r="NDB41" s="9"/>
      <c r="NDC41" s="9"/>
      <c r="NDD41" s="9"/>
      <c r="NDE41" s="9"/>
      <c r="NDF41" s="9"/>
      <c r="NDG41" s="9"/>
      <c r="NDH41" s="9"/>
      <c r="NDI41" s="9"/>
      <c r="NDJ41" s="9"/>
      <c r="NDK41" s="9"/>
      <c r="NDL41" s="9"/>
      <c r="NDM41" s="9"/>
      <c r="NDN41" s="9"/>
      <c r="NDO41" s="9"/>
      <c r="NDP41" s="9"/>
      <c r="NDQ41" s="9"/>
      <c r="NDR41" s="9"/>
      <c r="NDS41" s="9"/>
      <c r="NDT41" s="9"/>
      <c r="NDU41" s="9"/>
      <c r="NDV41" s="9"/>
      <c r="NDW41" s="9"/>
      <c r="NDX41" s="9"/>
      <c r="NDY41" s="9"/>
      <c r="NDZ41" s="9"/>
      <c r="NEA41" s="9"/>
      <c r="NEB41" s="9"/>
      <c r="NEC41" s="9"/>
      <c r="NED41" s="9"/>
      <c r="NEE41" s="9"/>
      <c r="NEF41" s="9"/>
      <c r="NEG41" s="9"/>
      <c r="NEH41" s="9"/>
      <c r="NEI41" s="9"/>
      <c r="NEJ41" s="9"/>
      <c r="NEK41" s="9"/>
      <c r="NEL41" s="9"/>
      <c r="NEM41" s="9"/>
      <c r="NEN41" s="9"/>
      <c r="NEO41" s="9"/>
      <c r="NEP41" s="9"/>
      <c r="NEQ41" s="9"/>
      <c r="NER41" s="9"/>
      <c r="NES41" s="9"/>
      <c r="NET41" s="9"/>
      <c r="NEU41" s="9"/>
      <c r="NEV41" s="9"/>
      <c r="NEW41" s="9"/>
      <c r="NEX41" s="9"/>
      <c r="NEY41" s="9"/>
      <c r="NEZ41" s="9"/>
      <c r="NFA41" s="9"/>
      <c r="NFB41" s="9"/>
      <c r="NFC41" s="9"/>
      <c r="NFD41" s="9"/>
      <c r="NFE41" s="9"/>
      <c r="NFF41" s="9"/>
      <c r="NFG41" s="9"/>
      <c r="NFH41" s="9"/>
      <c r="NFI41" s="9"/>
      <c r="NFJ41" s="9"/>
      <c r="NFK41" s="9"/>
      <c r="NFL41" s="9"/>
      <c r="NFM41" s="9"/>
      <c r="NFN41" s="9"/>
      <c r="NFO41" s="9"/>
      <c r="NFP41" s="9"/>
      <c r="NFQ41" s="9"/>
      <c r="NFR41" s="9"/>
      <c r="NFS41" s="9"/>
      <c r="NFT41" s="9"/>
      <c r="NFU41" s="9"/>
      <c r="NFV41" s="9"/>
      <c r="NFW41" s="9"/>
      <c r="NFX41" s="9"/>
      <c r="NFY41" s="9"/>
      <c r="NFZ41" s="9"/>
      <c r="NGA41" s="9"/>
      <c r="NGB41" s="9"/>
      <c r="NGC41" s="9"/>
      <c r="NGD41" s="9"/>
      <c r="NGE41" s="9"/>
      <c r="NGF41" s="9"/>
      <c r="NGG41" s="9"/>
      <c r="NGH41" s="9"/>
      <c r="NGI41" s="9"/>
      <c r="NGJ41" s="9"/>
      <c r="NGK41" s="9"/>
      <c r="NGL41" s="9"/>
      <c r="NGM41" s="9"/>
      <c r="NGN41" s="9"/>
      <c r="NGO41" s="9"/>
      <c r="NGP41" s="9"/>
      <c r="NGQ41" s="9"/>
      <c r="NGR41" s="9"/>
      <c r="NGS41" s="9"/>
      <c r="NGT41" s="9"/>
      <c r="NGU41" s="9"/>
      <c r="NGV41" s="9"/>
      <c r="NGW41" s="9"/>
      <c r="NGX41" s="9"/>
      <c r="NGY41" s="9"/>
      <c r="NGZ41" s="9"/>
      <c r="NHA41" s="9"/>
      <c r="NHB41" s="9"/>
      <c r="NHC41" s="9"/>
      <c r="NHD41" s="9"/>
      <c r="NHE41" s="9"/>
      <c r="NHF41" s="9"/>
      <c r="NHG41" s="9"/>
      <c r="NHH41" s="9"/>
      <c r="NHI41" s="9"/>
      <c r="NHJ41" s="9"/>
      <c r="NHK41" s="9"/>
      <c r="NHL41" s="9"/>
      <c r="NHM41" s="9"/>
      <c r="NHN41" s="9"/>
      <c r="NHO41" s="9"/>
      <c r="NHP41" s="9"/>
      <c r="NHQ41" s="9"/>
      <c r="NHR41" s="9"/>
      <c r="NHS41" s="9"/>
      <c r="NHT41" s="9"/>
      <c r="NHU41" s="9"/>
      <c r="NHV41" s="9"/>
      <c r="NHW41" s="9"/>
      <c r="NHX41" s="9"/>
      <c r="NHY41" s="9"/>
      <c r="NHZ41" s="9"/>
      <c r="NIA41" s="9"/>
      <c r="NIB41" s="9"/>
      <c r="NIC41" s="9"/>
      <c r="NID41" s="9"/>
      <c r="NIE41" s="9"/>
      <c r="NIF41" s="9"/>
      <c r="NIG41" s="9"/>
      <c r="NIH41" s="9"/>
      <c r="NII41" s="9"/>
      <c r="NIJ41" s="9"/>
      <c r="NIK41" s="9"/>
      <c r="NIL41" s="9"/>
      <c r="NIM41" s="9"/>
      <c r="NIN41" s="9"/>
      <c r="NIO41" s="9"/>
      <c r="NIP41" s="9"/>
      <c r="NIQ41" s="9"/>
      <c r="NIR41" s="9"/>
      <c r="NIS41" s="9"/>
      <c r="NIT41" s="9"/>
      <c r="NIU41" s="9"/>
      <c r="NIV41" s="9"/>
      <c r="NIW41" s="9"/>
      <c r="NIX41" s="9"/>
      <c r="NIY41" s="9"/>
      <c r="NIZ41" s="9"/>
      <c r="NJA41" s="9"/>
      <c r="NJB41" s="9"/>
      <c r="NJC41" s="9"/>
      <c r="NJD41" s="9"/>
      <c r="NJE41" s="9"/>
      <c r="NJF41" s="9"/>
      <c r="NJG41" s="9"/>
      <c r="NJH41" s="9"/>
      <c r="NJI41" s="9"/>
      <c r="NJJ41" s="9"/>
      <c r="NJK41" s="9"/>
      <c r="NJL41" s="9"/>
      <c r="NJM41" s="9"/>
      <c r="NJN41" s="9"/>
      <c r="NJO41" s="9"/>
      <c r="NJP41" s="9"/>
      <c r="NJQ41" s="9"/>
      <c r="NJR41" s="9"/>
      <c r="NJS41" s="9"/>
      <c r="NJT41" s="9"/>
      <c r="NJU41" s="9"/>
      <c r="NJV41" s="9"/>
      <c r="NJW41" s="9"/>
      <c r="NJX41" s="9"/>
      <c r="NJY41" s="9"/>
      <c r="NJZ41" s="9"/>
      <c r="NKA41" s="9"/>
      <c r="NKB41" s="9"/>
      <c r="NKC41" s="9"/>
      <c r="NKD41" s="9"/>
      <c r="NKE41" s="9"/>
      <c r="NKF41" s="9"/>
      <c r="NKG41" s="9"/>
      <c r="NKH41" s="9"/>
      <c r="NKI41" s="9"/>
      <c r="NKJ41" s="9"/>
      <c r="NKK41" s="9"/>
      <c r="NKL41" s="9"/>
      <c r="NKM41" s="9"/>
      <c r="NKN41" s="9"/>
      <c r="NKO41" s="9"/>
      <c r="NKP41" s="9"/>
      <c r="NKQ41" s="9"/>
      <c r="NKR41" s="9"/>
      <c r="NKS41" s="9"/>
      <c r="NKT41" s="9"/>
      <c r="NKU41" s="9"/>
      <c r="NKV41" s="9"/>
      <c r="NKW41" s="9"/>
      <c r="NKX41" s="9"/>
      <c r="NKY41" s="9"/>
      <c r="NKZ41" s="9"/>
      <c r="NLA41" s="9"/>
      <c r="NLB41" s="9"/>
      <c r="NLC41" s="9"/>
      <c r="NLD41" s="9"/>
      <c r="NLE41" s="9"/>
      <c r="NLF41" s="9"/>
      <c r="NLG41" s="9"/>
      <c r="NLH41" s="9"/>
      <c r="NLI41" s="9"/>
      <c r="NLJ41" s="9"/>
      <c r="NLK41" s="9"/>
      <c r="NLL41" s="9"/>
      <c r="NLM41" s="9"/>
      <c r="NLN41" s="9"/>
      <c r="NLO41" s="9"/>
      <c r="NLP41" s="9"/>
      <c r="NLQ41" s="9"/>
      <c r="NLR41" s="9"/>
      <c r="NLS41" s="9"/>
      <c r="NLT41" s="9"/>
      <c r="NLU41" s="9"/>
      <c r="NLV41" s="9"/>
      <c r="NLW41" s="9"/>
      <c r="NLX41" s="9"/>
      <c r="NLY41" s="9"/>
      <c r="NLZ41" s="9"/>
      <c r="NMA41" s="9"/>
      <c r="NMB41" s="9"/>
      <c r="NMC41" s="9"/>
      <c r="NMD41" s="9"/>
      <c r="NME41" s="9"/>
      <c r="NMF41" s="9"/>
      <c r="NMG41" s="9"/>
      <c r="NMH41" s="9"/>
      <c r="NMI41" s="9"/>
      <c r="NMJ41" s="9"/>
      <c r="NMK41" s="9"/>
      <c r="NML41" s="9"/>
      <c r="NMM41" s="9"/>
      <c r="NMN41" s="9"/>
      <c r="NMO41" s="9"/>
      <c r="NMP41" s="9"/>
      <c r="NMQ41" s="9"/>
      <c r="NMR41" s="9"/>
      <c r="NMS41" s="9"/>
      <c r="NMT41" s="9"/>
      <c r="NMU41" s="9"/>
      <c r="NMV41" s="9"/>
      <c r="NMW41" s="9"/>
      <c r="NMX41" s="9"/>
      <c r="NMY41" s="9"/>
      <c r="NMZ41" s="9"/>
      <c r="NNA41" s="9"/>
      <c r="NNB41" s="9"/>
      <c r="NNC41" s="9"/>
      <c r="NND41" s="9"/>
      <c r="NNE41" s="9"/>
      <c r="NNF41" s="9"/>
      <c r="NNG41" s="9"/>
      <c r="NNH41" s="9"/>
      <c r="NNI41" s="9"/>
      <c r="NNJ41" s="9"/>
      <c r="NNK41" s="9"/>
      <c r="NNL41" s="9"/>
      <c r="NNM41" s="9"/>
      <c r="NNN41" s="9"/>
      <c r="NNO41" s="9"/>
      <c r="NNP41" s="9"/>
      <c r="NNQ41" s="9"/>
      <c r="NNR41" s="9"/>
      <c r="NNS41" s="9"/>
      <c r="NNT41" s="9"/>
      <c r="NNU41" s="9"/>
      <c r="NNV41" s="9"/>
      <c r="NNW41" s="9"/>
      <c r="NNX41" s="9"/>
      <c r="NNY41" s="9"/>
      <c r="NNZ41" s="9"/>
      <c r="NOA41" s="9"/>
      <c r="NOB41" s="9"/>
      <c r="NOC41" s="9"/>
      <c r="NOD41" s="9"/>
      <c r="NOE41" s="9"/>
      <c r="NOF41" s="9"/>
      <c r="NOG41" s="9"/>
      <c r="NOH41" s="9"/>
      <c r="NOI41" s="9"/>
      <c r="NOJ41" s="9"/>
      <c r="NOK41" s="9"/>
      <c r="NOL41" s="9"/>
      <c r="NOM41" s="9"/>
      <c r="NON41" s="9"/>
      <c r="NOO41" s="9"/>
      <c r="NOP41" s="9"/>
      <c r="NOQ41" s="9"/>
      <c r="NOR41" s="9"/>
      <c r="NOS41" s="9"/>
      <c r="NOT41" s="9"/>
      <c r="NOU41" s="9"/>
      <c r="NOV41" s="9"/>
      <c r="NOW41" s="9"/>
      <c r="NOX41" s="9"/>
      <c r="NOY41" s="9"/>
      <c r="NOZ41" s="9"/>
      <c r="NPA41" s="9"/>
      <c r="NPB41" s="9"/>
      <c r="NPC41" s="9"/>
      <c r="NPD41" s="9"/>
      <c r="NPE41" s="9"/>
      <c r="NPF41" s="9"/>
      <c r="NPG41" s="9"/>
      <c r="NPH41" s="9"/>
      <c r="NPI41" s="9"/>
      <c r="NPJ41" s="9"/>
      <c r="NPK41" s="9"/>
      <c r="NPL41" s="9"/>
      <c r="NPM41" s="9"/>
      <c r="NPN41" s="9"/>
      <c r="NPO41" s="9"/>
      <c r="NPP41" s="9"/>
      <c r="NPQ41" s="9"/>
      <c r="NPR41" s="9"/>
      <c r="NPS41" s="9"/>
      <c r="NPT41" s="9"/>
      <c r="NPU41" s="9"/>
      <c r="NPV41" s="9"/>
      <c r="NPW41" s="9"/>
      <c r="NPX41" s="9"/>
      <c r="NPY41" s="9"/>
      <c r="NPZ41" s="9"/>
      <c r="NQA41" s="9"/>
      <c r="NQB41" s="9"/>
      <c r="NQC41" s="9"/>
      <c r="NQD41" s="9"/>
      <c r="NQE41" s="9"/>
      <c r="NQF41" s="9"/>
      <c r="NQG41" s="9"/>
      <c r="NQH41" s="9"/>
      <c r="NQI41" s="9"/>
      <c r="NQJ41" s="9"/>
      <c r="NQK41" s="9"/>
      <c r="NQL41" s="9"/>
      <c r="NQM41" s="9"/>
      <c r="NQN41" s="9"/>
      <c r="NQO41" s="9"/>
      <c r="NQP41" s="9"/>
      <c r="NQQ41" s="9"/>
      <c r="NQR41" s="9"/>
      <c r="NQS41" s="9"/>
      <c r="NQT41" s="9"/>
      <c r="NQU41" s="9"/>
      <c r="NQV41" s="9"/>
      <c r="NQW41" s="9"/>
      <c r="NQX41" s="9"/>
      <c r="NQY41" s="9"/>
      <c r="NQZ41" s="9"/>
      <c r="NRA41" s="9"/>
      <c r="NRB41" s="9"/>
      <c r="NRC41" s="9"/>
      <c r="NRD41" s="9"/>
      <c r="NRE41" s="9"/>
      <c r="NRF41" s="9"/>
      <c r="NRG41" s="9"/>
      <c r="NRH41" s="9"/>
      <c r="NRI41" s="9"/>
      <c r="NRJ41" s="9"/>
      <c r="NRK41" s="9"/>
      <c r="NRL41" s="9"/>
      <c r="NRM41" s="9"/>
      <c r="NRN41" s="9"/>
      <c r="NRO41" s="9"/>
      <c r="NRP41" s="9"/>
      <c r="NRQ41" s="9"/>
      <c r="NRR41" s="9"/>
      <c r="NRS41" s="9"/>
      <c r="NRT41" s="9"/>
      <c r="NRU41" s="9"/>
      <c r="NRV41" s="9"/>
      <c r="NRW41" s="9"/>
      <c r="NRX41" s="9"/>
      <c r="NRY41" s="9"/>
      <c r="NRZ41" s="9"/>
      <c r="NSA41" s="9"/>
      <c r="NSB41" s="9"/>
      <c r="NSC41" s="9"/>
      <c r="NSD41" s="9"/>
      <c r="NSE41" s="9"/>
      <c r="NSF41" s="9"/>
      <c r="NSG41" s="9"/>
      <c r="NSH41" s="9"/>
      <c r="NSI41" s="9"/>
      <c r="NSJ41" s="9"/>
      <c r="NSK41" s="9"/>
      <c r="NSL41" s="9"/>
      <c r="NSM41" s="9"/>
      <c r="NSN41" s="9"/>
      <c r="NSO41" s="9"/>
      <c r="NSP41" s="9"/>
      <c r="NSQ41" s="9"/>
      <c r="NSR41" s="9"/>
      <c r="NSS41" s="9"/>
      <c r="NST41" s="9"/>
      <c r="NSU41" s="9"/>
      <c r="NSV41" s="9"/>
      <c r="NSW41" s="9"/>
      <c r="NSX41" s="9"/>
      <c r="NSY41" s="9"/>
      <c r="NSZ41" s="9"/>
      <c r="NTA41" s="9"/>
      <c r="NTB41" s="9"/>
      <c r="NTC41" s="9"/>
      <c r="NTD41" s="9"/>
      <c r="NTE41" s="9"/>
      <c r="NTF41" s="9"/>
      <c r="NTG41" s="9"/>
      <c r="NTH41" s="9"/>
      <c r="NTI41" s="9"/>
      <c r="NTJ41" s="9"/>
      <c r="NTK41" s="9"/>
      <c r="NTL41" s="9"/>
      <c r="NTM41" s="9"/>
      <c r="NTN41" s="9"/>
      <c r="NTO41" s="9"/>
      <c r="NTP41" s="9"/>
      <c r="NTQ41" s="9"/>
      <c r="NTR41" s="9"/>
      <c r="NTS41" s="9"/>
      <c r="NTT41" s="9"/>
      <c r="NTU41" s="9"/>
      <c r="NTV41" s="9"/>
      <c r="NTW41" s="9"/>
      <c r="NTX41" s="9"/>
      <c r="NTY41" s="9"/>
      <c r="NTZ41" s="9"/>
      <c r="NUA41" s="9"/>
      <c r="NUB41" s="9"/>
      <c r="NUC41" s="9"/>
      <c r="NUD41" s="9"/>
      <c r="NUE41" s="9"/>
      <c r="NUF41" s="9"/>
      <c r="NUG41" s="9"/>
      <c r="NUH41" s="9"/>
      <c r="NUI41" s="9"/>
      <c r="NUJ41" s="9"/>
      <c r="NUK41" s="9"/>
      <c r="NUL41" s="9"/>
      <c r="NUM41" s="9"/>
      <c r="NUN41" s="9"/>
      <c r="NUO41" s="9"/>
      <c r="NUP41" s="9"/>
      <c r="NUQ41" s="9"/>
      <c r="NUR41" s="9"/>
      <c r="NUS41" s="9"/>
      <c r="NUT41" s="9"/>
      <c r="NUU41" s="9"/>
      <c r="NUV41" s="9"/>
      <c r="NUW41" s="9"/>
      <c r="NUX41" s="9"/>
      <c r="NUY41" s="9"/>
      <c r="NUZ41" s="9"/>
      <c r="NVA41" s="9"/>
      <c r="NVB41" s="9"/>
      <c r="NVC41" s="9"/>
      <c r="NVD41" s="9"/>
      <c r="NVE41" s="9"/>
      <c r="NVF41" s="9"/>
      <c r="NVG41" s="9"/>
      <c r="NVH41" s="9"/>
      <c r="NVI41" s="9"/>
      <c r="NVJ41" s="9"/>
      <c r="NVK41" s="9"/>
      <c r="NVL41" s="9"/>
      <c r="NVM41" s="9"/>
      <c r="NVN41" s="9"/>
      <c r="NVO41" s="9"/>
      <c r="NVP41" s="9"/>
      <c r="NVQ41" s="9"/>
      <c r="NVR41" s="9"/>
      <c r="NVS41" s="9"/>
      <c r="NVT41" s="9"/>
      <c r="NVU41" s="9"/>
      <c r="NVV41" s="9"/>
      <c r="NVW41" s="9"/>
      <c r="NVX41" s="9"/>
      <c r="NVY41" s="9"/>
      <c r="NVZ41" s="9"/>
      <c r="NWA41" s="9"/>
      <c r="NWB41" s="9"/>
      <c r="NWC41" s="9"/>
      <c r="NWD41" s="9"/>
      <c r="NWE41" s="9"/>
      <c r="NWF41" s="9"/>
      <c r="NWG41" s="9"/>
      <c r="NWH41" s="9"/>
      <c r="NWI41" s="9"/>
      <c r="NWJ41" s="9"/>
      <c r="NWK41" s="9"/>
      <c r="NWL41" s="9"/>
      <c r="NWM41" s="9"/>
      <c r="NWN41" s="9"/>
      <c r="NWO41" s="9"/>
      <c r="NWP41" s="9"/>
      <c r="NWQ41" s="9"/>
      <c r="NWR41" s="9"/>
      <c r="NWS41" s="9"/>
      <c r="NWT41" s="9"/>
      <c r="NWU41" s="9"/>
      <c r="NWV41" s="9"/>
      <c r="NWW41" s="9"/>
      <c r="NWX41" s="9"/>
      <c r="NWY41" s="9"/>
      <c r="NWZ41" s="9"/>
      <c r="NXA41" s="9"/>
      <c r="NXB41" s="9"/>
      <c r="NXC41" s="9"/>
      <c r="NXD41" s="9"/>
      <c r="NXE41" s="9"/>
      <c r="NXF41" s="9"/>
      <c r="NXG41" s="9"/>
      <c r="NXH41" s="9"/>
      <c r="NXI41" s="9"/>
      <c r="NXJ41" s="9"/>
      <c r="NXK41" s="9"/>
      <c r="NXL41" s="9"/>
      <c r="NXM41" s="9"/>
      <c r="NXN41" s="9"/>
      <c r="NXO41" s="9"/>
      <c r="NXP41" s="9"/>
      <c r="NXQ41" s="9"/>
      <c r="NXR41" s="9"/>
      <c r="NXS41" s="9"/>
      <c r="NXT41" s="9"/>
      <c r="NXU41" s="9"/>
      <c r="NXV41" s="9"/>
      <c r="NXW41" s="9"/>
      <c r="NXX41" s="9"/>
      <c r="NXY41" s="9"/>
      <c r="NXZ41" s="9"/>
      <c r="NYA41" s="9"/>
      <c r="NYB41" s="9"/>
      <c r="NYC41" s="9"/>
      <c r="NYD41" s="9"/>
      <c r="NYE41" s="9"/>
      <c r="NYF41" s="9"/>
      <c r="NYG41" s="9"/>
      <c r="NYH41" s="9"/>
      <c r="NYI41" s="9"/>
      <c r="NYJ41" s="9"/>
      <c r="NYK41" s="9"/>
      <c r="NYL41" s="9"/>
      <c r="NYM41" s="9"/>
      <c r="NYN41" s="9"/>
      <c r="NYO41" s="9"/>
      <c r="NYP41" s="9"/>
      <c r="NYQ41" s="9"/>
      <c r="NYR41" s="9"/>
      <c r="NYS41" s="9"/>
      <c r="NYT41" s="9"/>
      <c r="NYU41" s="9"/>
      <c r="NYV41" s="9"/>
      <c r="NYW41" s="9"/>
      <c r="NYX41" s="9"/>
      <c r="NYY41" s="9"/>
      <c r="NYZ41" s="9"/>
      <c r="NZA41" s="9"/>
      <c r="NZB41" s="9"/>
      <c r="NZC41" s="9"/>
      <c r="NZD41" s="9"/>
      <c r="NZE41" s="9"/>
      <c r="NZF41" s="9"/>
      <c r="NZG41" s="9"/>
      <c r="NZH41" s="9"/>
      <c r="NZI41" s="9"/>
      <c r="NZJ41" s="9"/>
      <c r="NZK41" s="9"/>
      <c r="NZL41" s="9"/>
      <c r="NZM41" s="9"/>
      <c r="NZN41" s="9"/>
      <c r="NZO41" s="9"/>
      <c r="NZP41" s="9"/>
      <c r="NZQ41" s="9"/>
      <c r="NZR41" s="9"/>
      <c r="NZS41" s="9"/>
      <c r="NZT41" s="9"/>
      <c r="NZU41" s="9"/>
      <c r="NZV41" s="9"/>
      <c r="NZW41" s="9"/>
      <c r="NZX41" s="9"/>
      <c r="NZY41" s="9"/>
      <c r="NZZ41" s="9"/>
      <c r="OAA41" s="9"/>
      <c r="OAB41" s="9"/>
      <c r="OAC41" s="9"/>
      <c r="OAD41" s="9"/>
      <c r="OAE41" s="9"/>
      <c r="OAF41" s="9"/>
      <c r="OAG41" s="9"/>
      <c r="OAH41" s="9"/>
      <c r="OAI41" s="9"/>
      <c r="OAJ41" s="9"/>
      <c r="OAK41" s="9"/>
      <c r="OAL41" s="9"/>
      <c r="OAM41" s="9"/>
      <c r="OAN41" s="9"/>
      <c r="OAO41" s="9"/>
      <c r="OAP41" s="9"/>
      <c r="OAQ41" s="9"/>
      <c r="OAR41" s="9"/>
      <c r="OAS41" s="9"/>
      <c r="OAT41" s="9"/>
      <c r="OAU41" s="9"/>
      <c r="OAV41" s="9"/>
      <c r="OAW41" s="9"/>
      <c r="OAX41" s="9"/>
      <c r="OAY41" s="9"/>
      <c r="OAZ41" s="9"/>
      <c r="OBA41" s="9"/>
      <c r="OBB41" s="9"/>
      <c r="OBC41" s="9"/>
      <c r="OBD41" s="9"/>
      <c r="OBE41" s="9"/>
      <c r="OBF41" s="9"/>
      <c r="OBG41" s="9"/>
      <c r="OBH41" s="9"/>
      <c r="OBI41" s="9"/>
      <c r="OBJ41" s="9"/>
      <c r="OBK41" s="9"/>
      <c r="OBL41" s="9"/>
      <c r="OBM41" s="9"/>
      <c r="OBN41" s="9"/>
      <c r="OBO41" s="9"/>
      <c r="OBP41" s="9"/>
      <c r="OBQ41" s="9"/>
      <c r="OBR41" s="9"/>
      <c r="OBS41" s="9"/>
      <c r="OBT41" s="9"/>
      <c r="OBU41" s="9"/>
      <c r="OBV41" s="9"/>
      <c r="OBW41" s="9"/>
      <c r="OBX41" s="9"/>
      <c r="OBY41" s="9"/>
      <c r="OBZ41" s="9"/>
      <c r="OCA41" s="9"/>
      <c r="OCB41" s="9"/>
      <c r="OCC41" s="9"/>
      <c r="OCD41" s="9"/>
      <c r="OCE41" s="9"/>
      <c r="OCF41" s="9"/>
      <c r="OCG41" s="9"/>
      <c r="OCH41" s="9"/>
      <c r="OCI41" s="9"/>
      <c r="OCJ41" s="9"/>
      <c r="OCK41" s="9"/>
      <c r="OCL41" s="9"/>
      <c r="OCM41" s="9"/>
      <c r="OCN41" s="9"/>
      <c r="OCO41" s="9"/>
      <c r="OCP41" s="9"/>
      <c r="OCQ41" s="9"/>
      <c r="OCR41" s="9"/>
      <c r="OCS41" s="9"/>
      <c r="OCT41" s="9"/>
      <c r="OCU41" s="9"/>
      <c r="OCV41" s="9"/>
      <c r="OCW41" s="9"/>
      <c r="OCX41" s="9"/>
      <c r="OCY41" s="9"/>
      <c r="OCZ41" s="9"/>
      <c r="ODA41" s="9"/>
      <c r="ODB41" s="9"/>
      <c r="ODC41" s="9"/>
      <c r="ODD41" s="9"/>
      <c r="ODE41" s="9"/>
      <c r="ODF41" s="9"/>
      <c r="ODG41" s="9"/>
      <c r="ODH41" s="9"/>
      <c r="ODI41" s="9"/>
      <c r="ODJ41" s="9"/>
      <c r="ODK41" s="9"/>
      <c r="ODL41" s="9"/>
      <c r="ODM41" s="9"/>
      <c r="ODN41" s="9"/>
      <c r="ODO41" s="9"/>
      <c r="ODP41" s="9"/>
      <c r="ODQ41" s="9"/>
      <c r="ODR41" s="9"/>
      <c r="ODS41" s="9"/>
      <c r="ODT41" s="9"/>
      <c r="ODU41" s="9"/>
      <c r="ODV41" s="9"/>
      <c r="ODW41" s="9"/>
      <c r="ODX41" s="9"/>
      <c r="ODY41" s="9"/>
      <c r="ODZ41" s="9"/>
      <c r="OEA41" s="9"/>
      <c r="OEB41" s="9"/>
      <c r="OEC41" s="9"/>
      <c r="OED41" s="9"/>
      <c r="OEE41" s="9"/>
      <c r="OEF41" s="9"/>
      <c r="OEG41" s="9"/>
      <c r="OEH41" s="9"/>
      <c r="OEI41" s="9"/>
      <c r="OEJ41" s="9"/>
      <c r="OEK41" s="9"/>
      <c r="OEL41" s="9"/>
      <c r="OEM41" s="9"/>
      <c r="OEN41" s="9"/>
      <c r="OEO41" s="9"/>
      <c r="OEP41" s="9"/>
      <c r="OEQ41" s="9"/>
      <c r="OER41" s="9"/>
      <c r="OES41" s="9"/>
      <c r="OET41" s="9"/>
      <c r="OEU41" s="9"/>
      <c r="OEV41" s="9"/>
      <c r="OEW41" s="9"/>
      <c r="OEX41" s="9"/>
      <c r="OEY41" s="9"/>
      <c r="OEZ41" s="9"/>
      <c r="OFA41" s="9"/>
      <c r="OFB41" s="9"/>
      <c r="OFC41" s="9"/>
      <c r="OFD41" s="9"/>
      <c r="OFE41" s="9"/>
      <c r="OFF41" s="9"/>
      <c r="OFG41" s="9"/>
      <c r="OFH41" s="9"/>
      <c r="OFI41" s="9"/>
      <c r="OFJ41" s="9"/>
      <c r="OFK41" s="9"/>
      <c r="OFL41" s="9"/>
      <c r="OFM41" s="9"/>
      <c r="OFN41" s="9"/>
      <c r="OFO41" s="9"/>
      <c r="OFP41" s="9"/>
      <c r="OFQ41" s="9"/>
      <c r="OFR41" s="9"/>
      <c r="OFS41" s="9"/>
      <c r="OFT41" s="9"/>
      <c r="OFU41" s="9"/>
      <c r="OFV41" s="9"/>
      <c r="OFW41" s="9"/>
      <c r="OFX41" s="9"/>
      <c r="OFY41" s="9"/>
      <c r="OFZ41" s="9"/>
      <c r="OGA41" s="9"/>
      <c r="OGB41" s="9"/>
      <c r="OGC41" s="9"/>
      <c r="OGD41" s="9"/>
      <c r="OGE41" s="9"/>
      <c r="OGF41" s="9"/>
      <c r="OGG41" s="9"/>
      <c r="OGH41" s="9"/>
      <c r="OGI41" s="9"/>
      <c r="OGJ41" s="9"/>
      <c r="OGK41" s="9"/>
      <c r="OGL41" s="9"/>
      <c r="OGM41" s="9"/>
      <c r="OGN41" s="9"/>
      <c r="OGO41" s="9"/>
      <c r="OGP41" s="9"/>
      <c r="OGQ41" s="9"/>
      <c r="OGR41" s="9"/>
      <c r="OGS41" s="9"/>
      <c r="OGT41" s="9"/>
      <c r="OGU41" s="9"/>
      <c r="OGV41" s="9"/>
      <c r="OGW41" s="9"/>
      <c r="OGX41" s="9"/>
      <c r="OGY41" s="9"/>
      <c r="OGZ41" s="9"/>
      <c r="OHA41" s="9"/>
      <c r="OHB41" s="9"/>
      <c r="OHC41" s="9"/>
      <c r="OHD41" s="9"/>
      <c r="OHE41" s="9"/>
      <c r="OHF41" s="9"/>
      <c r="OHG41" s="9"/>
      <c r="OHH41" s="9"/>
      <c r="OHI41" s="9"/>
      <c r="OHJ41" s="9"/>
      <c r="OHK41" s="9"/>
      <c r="OHL41" s="9"/>
      <c r="OHM41" s="9"/>
      <c r="OHN41" s="9"/>
      <c r="OHO41" s="9"/>
      <c r="OHP41" s="9"/>
      <c r="OHQ41" s="9"/>
      <c r="OHR41" s="9"/>
      <c r="OHS41" s="9"/>
      <c r="OHT41" s="9"/>
      <c r="OHU41" s="9"/>
      <c r="OHV41" s="9"/>
      <c r="OHW41" s="9"/>
      <c r="OHX41" s="9"/>
      <c r="OHY41" s="9"/>
      <c r="OHZ41" s="9"/>
      <c r="OIA41" s="9"/>
      <c r="OIB41" s="9"/>
      <c r="OIC41" s="9"/>
      <c r="OID41" s="9"/>
      <c r="OIE41" s="9"/>
      <c r="OIF41" s="9"/>
      <c r="OIG41" s="9"/>
      <c r="OIH41" s="9"/>
      <c r="OII41" s="9"/>
      <c r="OIJ41" s="9"/>
      <c r="OIK41" s="9"/>
      <c r="OIL41" s="9"/>
      <c r="OIM41" s="9"/>
      <c r="OIN41" s="9"/>
      <c r="OIO41" s="9"/>
      <c r="OIP41" s="9"/>
      <c r="OIQ41" s="9"/>
      <c r="OIR41" s="9"/>
      <c r="OIS41" s="9"/>
      <c r="OIT41" s="9"/>
      <c r="OIU41" s="9"/>
      <c r="OIV41" s="9"/>
      <c r="OIW41" s="9"/>
      <c r="OIX41" s="9"/>
      <c r="OIY41" s="9"/>
      <c r="OIZ41" s="9"/>
      <c r="OJA41" s="9"/>
      <c r="OJB41" s="9"/>
      <c r="OJC41" s="9"/>
      <c r="OJD41" s="9"/>
      <c r="OJE41" s="9"/>
      <c r="OJF41" s="9"/>
      <c r="OJG41" s="9"/>
      <c r="OJH41" s="9"/>
      <c r="OJI41" s="9"/>
      <c r="OJJ41" s="9"/>
      <c r="OJK41" s="9"/>
      <c r="OJL41" s="9"/>
      <c r="OJM41" s="9"/>
      <c r="OJN41" s="9"/>
      <c r="OJO41" s="9"/>
      <c r="OJP41" s="9"/>
      <c r="OJQ41" s="9"/>
      <c r="OJR41" s="9"/>
      <c r="OJS41" s="9"/>
      <c r="OJT41" s="9"/>
      <c r="OJU41" s="9"/>
      <c r="OJV41" s="9"/>
      <c r="OJW41" s="9"/>
      <c r="OJX41" s="9"/>
      <c r="OJY41" s="9"/>
      <c r="OJZ41" s="9"/>
      <c r="OKA41" s="9"/>
      <c r="OKB41" s="9"/>
      <c r="OKC41" s="9"/>
      <c r="OKD41" s="9"/>
      <c r="OKE41" s="9"/>
      <c r="OKF41" s="9"/>
      <c r="OKG41" s="9"/>
      <c r="OKH41" s="9"/>
      <c r="OKI41" s="9"/>
      <c r="OKJ41" s="9"/>
      <c r="OKK41" s="9"/>
      <c r="OKL41" s="9"/>
      <c r="OKM41" s="9"/>
      <c r="OKN41" s="9"/>
      <c r="OKO41" s="9"/>
      <c r="OKP41" s="9"/>
      <c r="OKQ41" s="9"/>
      <c r="OKR41" s="9"/>
      <c r="OKS41" s="9"/>
      <c r="OKT41" s="9"/>
      <c r="OKU41" s="9"/>
      <c r="OKV41" s="9"/>
      <c r="OKW41" s="9"/>
      <c r="OKX41" s="9"/>
      <c r="OKY41" s="9"/>
      <c r="OKZ41" s="9"/>
      <c r="OLA41" s="9"/>
      <c r="OLB41" s="9"/>
      <c r="OLC41" s="9"/>
      <c r="OLD41" s="9"/>
      <c r="OLE41" s="9"/>
      <c r="OLF41" s="9"/>
      <c r="OLG41" s="9"/>
      <c r="OLH41" s="9"/>
      <c r="OLI41" s="9"/>
      <c r="OLJ41" s="9"/>
      <c r="OLK41" s="9"/>
      <c r="OLL41" s="9"/>
      <c r="OLM41" s="9"/>
      <c r="OLN41" s="9"/>
      <c r="OLO41" s="9"/>
      <c r="OLP41" s="9"/>
      <c r="OLQ41" s="9"/>
      <c r="OLR41" s="9"/>
      <c r="OLS41" s="9"/>
      <c r="OLT41" s="9"/>
      <c r="OLU41" s="9"/>
      <c r="OLV41" s="9"/>
      <c r="OLW41" s="9"/>
      <c r="OLX41" s="9"/>
      <c r="OLY41" s="9"/>
      <c r="OLZ41" s="9"/>
      <c r="OMA41" s="9"/>
      <c r="OMB41" s="9"/>
      <c r="OMC41" s="9"/>
      <c r="OMD41" s="9"/>
      <c r="OME41" s="9"/>
      <c r="OMF41" s="9"/>
      <c r="OMG41" s="9"/>
      <c r="OMH41" s="9"/>
      <c r="OMI41" s="9"/>
      <c r="OMJ41" s="9"/>
      <c r="OMK41" s="9"/>
      <c r="OML41" s="9"/>
      <c r="OMM41" s="9"/>
      <c r="OMN41" s="9"/>
      <c r="OMO41" s="9"/>
      <c r="OMP41" s="9"/>
      <c r="OMQ41" s="9"/>
      <c r="OMR41" s="9"/>
      <c r="OMS41" s="9"/>
      <c r="OMT41" s="9"/>
      <c r="OMU41" s="9"/>
      <c r="OMV41" s="9"/>
      <c r="OMW41" s="9"/>
      <c r="OMX41" s="9"/>
      <c r="OMY41" s="9"/>
      <c r="OMZ41" s="9"/>
      <c r="ONA41" s="9"/>
      <c r="ONB41" s="9"/>
      <c r="ONC41" s="9"/>
      <c r="OND41" s="9"/>
      <c r="ONE41" s="9"/>
      <c r="ONF41" s="9"/>
      <c r="ONG41" s="9"/>
      <c r="ONH41" s="9"/>
      <c r="ONI41" s="9"/>
      <c r="ONJ41" s="9"/>
      <c r="ONK41" s="9"/>
      <c r="ONL41" s="9"/>
      <c r="ONM41" s="9"/>
      <c r="ONN41" s="9"/>
      <c r="ONO41" s="9"/>
      <c r="ONP41" s="9"/>
      <c r="ONQ41" s="9"/>
      <c r="ONR41" s="9"/>
      <c r="ONS41" s="9"/>
      <c r="ONT41" s="9"/>
      <c r="ONU41" s="9"/>
      <c r="ONV41" s="9"/>
      <c r="ONW41" s="9"/>
      <c r="ONX41" s="9"/>
      <c r="ONY41" s="9"/>
      <c r="ONZ41" s="9"/>
      <c r="OOA41" s="9"/>
      <c r="OOB41" s="9"/>
      <c r="OOC41" s="9"/>
      <c r="OOD41" s="9"/>
      <c r="OOE41" s="9"/>
      <c r="OOF41" s="9"/>
      <c r="OOG41" s="9"/>
      <c r="OOH41" s="9"/>
      <c r="OOI41" s="9"/>
      <c r="OOJ41" s="9"/>
      <c r="OOK41" s="9"/>
      <c r="OOL41" s="9"/>
      <c r="OOM41" s="9"/>
      <c r="OON41" s="9"/>
      <c r="OOO41" s="9"/>
      <c r="OOP41" s="9"/>
      <c r="OOQ41" s="9"/>
      <c r="OOR41" s="9"/>
      <c r="OOS41" s="9"/>
      <c r="OOT41" s="9"/>
      <c r="OOU41" s="9"/>
      <c r="OOV41" s="9"/>
      <c r="OOW41" s="9"/>
      <c r="OOX41" s="9"/>
      <c r="OOY41" s="9"/>
      <c r="OOZ41" s="9"/>
      <c r="OPA41" s="9"/>
      <c r="OPB41" s="9"/>
      <c r="OPC41" s="9"/>
      <c r="OPD41" s="9"/>
      <c r="OPE41" s="9"/>
      <c r="OPF41" s="9"/>
      <c r="OPG41" s="9"/>
      <c r="OPH41" s="9"/>
      <c r="OPI41" s="9"/>
      <c r="OPJ41" s="9"/>
      <c r="OPK41" s="9"/>
      <c r="OPL41" s="9"/>
      <c r="OPM41" s="9"/>
      <c r="OPN41" s="9"/>
      <c r="OPO41" s="9"/>
      <c r="OPP41" s="9"/>
      <c r="OPQ41" s="9"/>
      <c r="OPR41" s="9"/>
      <c r="OPS41" s="9"/>
      <c r="OPT41" s="9"/>
      <c r="OPU41" s="9"/>
      <c r="OPV41" s="9"/>
      <c r="OPW41" s="9"/>
      <c r="OPX41" s="9"/>
      <c r="OPY41" s="9"/>
      <c r="OPZ41" s="9"/>
      <c r="OQA41" s="9"/>
      <c r="OQB41" s="9"/>
      <c r="OQC41" s="9"/>
      <c r="OQD41" s="9"/>
      <c r="OQE41" s="9"/>
      <c r="OQF41" s="9"/>
      <c r="OQG41" s="9"/>
      <c r="OQH41" s="9"/>
      <c r="OQI41" s="9"/>
      <c r="OQJ41" s="9"/>
      <c r="OQK41" s="9"/>
      <c r="OQL41" s="9"/>
      <c r="OQM41" s="9"/>
      <c r="OQN41" s="9"/>
      <c r="OQO41" s="9"/>
      <c r="OQP41" s="9"/>
      <c r="OQQ41" s="9"/>
      <c r="OQR41" s="9"/>
      <c r="OQS41" s="9"/>
      <c r="OQT41" s="9"/>
      <c r="OQU41" s="9"/>
      <c r="OQV41" s="9"/>
      <c r="OQW41" s="9"/>
      <c r="OQX41" s="9"/>
      <c r="OQY41" s="9"/>
      <c r="OQZ41" s="9"/>
      <c r="ORA41" s="9"/>
      <c r="ORB41" s="9"/>
      <c r="ORC41" s="9"/>
      <c r="ORD41" s="9"/>
      <c r="ORE41" s="9"/>
      <c r="ORF41" s="9"/>
      <c r="ORG41" s="9"/>
      <c r="ORH41" s="9"/>
      <c r="ORI41" s="9"/>
      <c r="ORJ41" s="9"/>
      <c r="ORK41" s="9"/>
      <c r="ORL41" s="9"/>
      <c r="ORM41" s="9"/>
      <c r="ORN41" s="9"/>
      <c r="ORO41" s="9"/>
      <c r="ORP41" s="9"/>
      <c r="ORQ41" s="9"/>
      <c r="ORR41" s="9"/>
      <c r="ORS41" s="9"/>
      <c r="ORT41" s="9"/>
      <c r="ORU41" s="9"/>
      <c r="ORV41" s="9"/>
      <c r="ORW41" s="9"/>
      <c r="ORX41" s="9"/>
      <c r="ORY41" s="9"/>
      <c r="ORZ41" s="9"/>
      <c r="OSA41" s="9"/>
      <c r="OSB41" s="9"/>
      <c r="OSC41" s="9"/>
      <c r="OSD41" s="9"/>
      <c r="OSE41" s="9"/>
      <c r="OSF41" s="9"/>
      <c r="OSG41" s="9"/>
      <c r="OSH41" s="9"/>
      <c r="OSI41" s="9"/>
      <c r="OSJ41" s="9"/>
      <c r="OSK41" s="9"/>
      <c r="OSL41" s="9"/>
      <c r="OSM41" s="9"/>
      <c r="OSN41" s="9"/>
      <c r="OSO41" s="9"/>
      <c r="OSP41" s="9"/>
      <c r="OSQ41" s="9"/>
      <c r="OSR41" s="9"/>
      <c r="OSS41" s="9"/>
      <c r="OST41" s="9"/>
      <c r="OSU41" s="9"/>
      <c r="OSV41" s="9"/>
      <c r="OSW41" s="9"/>
      <c r="OSX41" s="9"/>
      <c r="OSY41" s="9"/>
      <c r="OSZ41" s="9"/>
      <c r="OTA41" s="9"/>
      <c r="OTB41" s="9"/>
      <c r="OTC41" s="9"/>
      <c r="OTD41" s="9"/>
      <c r="OTE41" s="9"/>
      <c r="OTF41" s="9"/>
      <c r="OTG41" s="9"/>
      <c r="OTH41" s="9"/>
      <c r="OTI41" s="9"/>
      <c r="OTJ41" s="9"/>
      <c r="OTK41" s="9"/>
      <c r="OTL41" s="9"/>
      <c r="OTM41" s="9"/>
      <c r="OTN41" s="9"/>
      <c r="OTO41" s="9"/>
      <c r="OTP41" s="9"/>
      <c r="OTQ41" s="9"/>
      <c r="OTR41" s="9"/>
      <c r="OTS41" s="9"/>
      <c r="OTT41" s="9"/>
      <c r="OTU41" s="9"/>
      <c r="OTV41" s="9"/>
      <c r="OTW41" s="9"/>
      <c r="OTX41" s="9"/>
      <c r="OTY41" s="9"/>
      <c r="OTZ41" s="9"/>
      <c r="OUA41" s="9"/>
      <c r="OUB41" s="9"/>
      <c r="OUC41" s="9"/>
      <c r="OUD41" s="9"/>
      <c r="OUE41" s="9"/>
      <c r="OUF41" s="9"/>
      <c r="OUG41" s="9"/>
      <c r="OUH41" s="9"/>
      <c r="OUI41" s="9"/>
      <c r="OUJ41" s="9"/>
      <c r="OUK41" s="9"/>
      <c r="OUL41" s="9"/>
      <c r="OUM41" s="9"/>
      <c r="OUN41" s="9"/>
      <c r="OUO41" s="9"/>
      <c r="OUP41" s="9"/>
      <c r="OUQ41" s="9"/>
      <c r="OUR41" s="9"/>
      <c r="OUS41" s="9"/>
      <c r="OUT41" s="9"/>
      <c r="OUU41" s="9"/>
      <c r="OUV41" s="9"/>
      <c r="OUW41" s="9"/>
      <c r="OUX41" s="9"/>
      <c r="OUY41" s="9"/>
      <c r="OUZ41" s="9"/>
      <c r="OVA41" s="9"/>
      <c r="OVB41" s="9"/>
      <c r="OVC41" s="9"/>
      <c r="OVD41" s="9"/>
      <c r="OVE41" s="9"/>
      <c r="OVF41" s="9"/>
      <c r="OVG41" s="9"/>
      <c r="OVH41" s="9"/>
      <c r="OVI41" s="9"/>
      <c r="OVJ41" s="9"/>
      <c r="OVK41" s="9"/>
      <c r="OVL41" s="9"/>
      <c r="OVM41" s="9"/>
      <c r="OVN41" s="9"/>
      <c r="OVO41" s="9"/>
      <c r="OVP41" s="9"/>
      <c r="OVQ41" s="9"/>
      <c r="OVR41" s="9"/>
      <c r="OVS41" s="9"/>
      <c r="OVT41" s="9"/>
      <c r="OVU41" s="9"/>
      <c r="OVV41" s="9"/>
      <c r="OVW41" s="9"/>
      <c r="OVX41" s="9"/>
      <c r="OVY41" s="9"/>
      <c r="OVZ41" s="9"/>
      <c r="OWA41" s="9"/>
      <c r="OWB41" s="9"/>
      <c r="OWC41" s="9"/>
      <c r="OWD41" s="9"/>
      <c r="OWE41" s="9"/>
      <c r="OWF41" s="9"/>
      <c r="OWG41" s="9"/>
      <c r="OWH41" s="9"/>
      <c r="OWI41" s="9"/>
      <c r="OWJ41" s="9"/>
      <c r="OWK41" s="9"/>
      <c r="OWL41" s="9"/>
      <c r="OWM41" s="9"/>
      <c r="OWN41" s="9"/>
      <c r="OWO41" s="9"/>
      <c r="OWP41" s="9"/>
      <c r="OWQ41" s="9"/>
      <c r="OWR41" s="9"/>
      <c r="OWS41" s="9"/>
      <c r="OWT41" s="9"/>
      <c r="OWU41" s="9"/>
      <c r="OWV41" s="9"/>
      <c r="OWW41" s="9"/>
      <c r="OWX41" s="9"/>
      <c r="OWY41" s="9"/>
      <c r="OWZ41" s="9"/>
      <c r="OXA41" s="9"/>
      <c r="OXB41" s="9"/>
      <c r="OXC41" s="9"/>
      <c r="OXD41" s="9"/>
      <c r="OXE41" s="9"/>
      <c r="OXF41" s="9"/>
      <c r="OXG41" s="9"/>
      <c r="OXH41" s="9"/>
      <c r="OXI41" s="9"/>
      <c r="OXJ41" s="9"/>
      <c r="OXK41" s="9"/>
      <c r="OXL41" s="9"/>
      <c r="OXM41" s="9"/>
      <c r="OXN41" s="9"/>
      <c r="OXO41" s="9"/>
      <c r="OXP41" s="9"/>
      <c r="OXQ41" s="9"/>
      <c r="OXR41" s="9"/>
      <c r="OXS41" s="9"/>
      <c r="OXT41" s="9"/>
      <c r="OXU41" s="9"/>
      <c r="OXV41" s="9"/>
      <c r="OXW41" s="9"/>
      <c r="OXX41" s="9"/>
      <c r="OXY41" s="9"/>
      <c r="OXZ41" s="9"/>
      <c r="OYA41" s="9"/>
      <c r="OYB41" s="9"/>
      <c r="OYC41" s="9"/>
      <c r="OYD41" s="9"/>
      <c r="OYE41" s="9"/>
      <c r="OYF41" s="9"/>
      <c r="OYG41" s="9"/>
      <c r="OYH41" s="9"/>
      <c r="OYI41" s="9"/>
      <c r="OYJ41" s="9"/>
      <c r="OYK41" s="9"/>
      <c r="OYL41" s="9"/>
      <c r="OYM41" s="9"/>
      <c r="OYN41" s="9"/>
      <c r="OYO41" s="9"/>
      <c r="OYP41" s="9"/>
      <c r="OYQ41" s="9"/>
      <c r="OYR41" s="9"/>
      <c r="OYS41" s="9"/>
      <c r="OYT41" s="9"/>
      <c r="OYU41" s="9"/>
      <c r="OYV41" s="9"/>
      <c r="OYW41" s="9"/>
      <c r="OYX41" s="9"/>
      <c r="OYY41" s="9"/>
      <c r="OYZ41" s="9"/>
      <c r="OZA41" s="9"/>
      <c r="OZB41" s="9"/>
      <c r="OZC41" s="9"/>
      <c r="OZD41" s="9"/>
      <c r="OZE41" s="9"/>
      <c r="OZF41" s="9"/>
      <c r="OZG41" s="9"/>
      <c r="OZH41" s="9"/>
      <c r="OZI41" s="9"/>
      <c r="OZJ41" s="9"/>
      <c r="OZK41" s="9"/>
      <c r="OZL41" s="9"/>
      <c r="OZM41" s="9"/>
      <c r="OZN41" s="9"/>
      <c r="OZO41" s="9"/>
      <c r="OZP41" s="9"/>
      <c r="OZQ41" s="9"/>
      <c r="OZR41" s="9"/>
      <c r="OZS41" s="9"/>
      <c r="OZT41" s="9"/>
      <c r="OZU41" s="9"/>
      <c r="OZV41" s="9"/>
      <c r="OZW41" s="9"/>
      <c r="OZX41" s="9"/>
      <c r="OZY41" s="9"/>
      <c r="OZZ41" s="9"/>
      <c r="PAA41" s="9"/>
      <c r="PAB41" s="9"/>
      <c r="PAC41" s="9"/>
      <c r="PAD41" s="9"/>
      <c r="PAE41" s="9"/>
      <c r="PAF41" s="9"/>
      <c r="PAG41" s="9"/>
      <c r="PAH41" s="9"/>
      <c r="PAI41" s="9"/>
      <c r="PAJ41" s="9"/>
      <c r="PAK41" s="9"/>
      <c r="PAL41" s="9"/>
      <c r="PAM41" s="9"/>
      <c r="PAN41" s="9"/>
      <c r="PAO41" s="9"/>
      <c r="PAP41" s="9"/>
      <c r="PAQ41" s="9"/>
      <c r="PAR41" s="9"/>
      <c r="PAS41" s="9"/>
      <c r="PAT41" s="9"/>
      <c r="PAU41" s="9"/>
      <c r="PAV41" s="9"/>
      <c r="PAW41" s="9"/>
      <c r="PAX41" s="9"/>
      <c r="PAY41" s="9"/>
      <c r="PAZ41" s="9"/>
      <c r="PBA41" s="9"/>
      <c r="PBB41" s="9"/>
      <c r="PBC41" s="9"/>
      <c r="PBD41" s="9"/>
      <c r="PBE41" s="9"/>
      <c r="PBF41" s="9"/>
      <c r="PBG41" s="9"/>
      <c r="PBH41" s="9"/>
      <c r="PBI41" s="9"/>
      <c r="PBJ41" s="9"/>
      <c r="PBK41" s="9"/>
      <c r="PBL41" s="9"/>
      <c r="PBM41" s="9"/>
      <c r="PBN41" s="9"/>
      <c r="PBO41" s="9"/>
      <c r="PBP41" s="9"/>
      <c r="PBQ41" s="9"/>
      <c r="PBR41" s="9"/>
      <c r="PBS41" s="9"/>
      <c r="PBT41" s="9"/>
      <c r="PBU41" s="9"/>
      <c r="PBV41" s="9"/>
      <c r="PBW41" s="9"/>
      <c r="PBX41" s="9"/>
      <c r="PBY41" s="9"/>
      <c r="PBZ41" s="9"/>
      <c r="PCA41" s="9"/>
      <c r="PCB41" s="9"/>
      <c r="PCC41" s="9"/>
      <c r="PCD41" s="9"/>
      <c r="PCE41" s="9"/>
      <c r="PCF41" s="9"/>
      <c r="PCG41" s="9"/>
      <c r="PCH41" s="9"/>
      <c r="PCI41" s="9"/>
      <c r="PCJ41" s="9"/>
      <c r="PCK41" s="9"/>
      <c r="PCL41" s="9"/>
      <c r="PCM41" s="9"/>
      <c r="PCN41" s="9"/>
      <c r="PCO41" s="9"/>
      <c r="PCP41" s="9"/>
      <c r="PCQ41" s="9"/>
      <c r="PCR41" s="9"/>
      <c r="PCS41" s="9"/>
      <c r="PCT41" s="9"/>
      <c r="PCU41" s="9"/>
      <c r="PCV41" s="9"/>
      <c r="PCW41" s="9"/>
      <c r="PCX41" s="9"/>
      <c r="PCY41" s="9"/>
      <c r="PCZ41" s="9"/>
      <c r="PDA41" s="9"/>
      <c r="PDB41" s="9"/>
      <c r="PDC41" s="9"/>
      <c r="PDD41" s="9"/>
      <c r="PDE41" s="9"/>
      <c r="PDF41" s="9"/>
      <c r="PDG41" s="9"/>
      <c r="PDH41" s="9"/>
      <c r="PDI41" s="9"/>
      <c r="PDJ41" s="9"/>
      <c r="PDK41" s="9"/>
      <c r="PDL41" s="9"/>
      <c r="PDM41" s="9"/>
      <c r="PDN41" s="9"/>
      <c r="PDO41" s="9"/>
      <c r="PDP41" s="9"/>
      <c r="PDQ41" s="9"/>
      <c r="PDR41" s="9"/>
      <c r="PDS41" s="9"/>
      <c r="PDT41" s="9"/>
      <c r="PDU41" s="9"/>
      <c r="PDV41" s="9"/>
      <c r="PDW41" s="9"/>
      <c r="PDX41" s="9"/>
      <c r="PDY41" s="9"/>
      <c r="PDZ41" s="9"/>
      <c r="PEA41" s="9"/>
      <c r="PEB41" s="9"/>
      <c r="PEC41" s="9"/>
      <c r="PED41" s="9"/>
      <c r="PEE41" s="9"/>
      <c r="PEF41" s="9"/>
      <c r="PEG41" s="9"/>
      <c r="PEH41" s="9"/>
      <c r="PEI41" s="9"/>
      <c r="PEJ41" s="9"/>
      <c r="PEK41" s="9"/>
      <c r="PEL41" s="9"/>
      <c r="PEM41" s="9"/>
      <c r="PEN41" s="9"/>
      <c r="PEO41" s="9"/>
      <c r="PEP41" s="9"/>
      <c r="PEQ41" s="9"/>
      <c r="PER41" s="9"/>
      <c r="PES41" s="9"/>
      <c r="PET41" s="9"/>
      <c r="PEU41" s="9"/>
      <c r="PEV41" s="9"/>
      <c r="PEW41" s="9"/>
      <c r="PEX41" s="9"/>
      <c r="PEY41" s="9"/>
      <c r="PEZ41" s="9"/>
      <c r="PFA41" s="9"/>
      <c r="PFB41" s="9"/>
      <c r="PFC41" s="9"/>
      <c r="PFD41" s="9"/>
      <c r="PFE41" s="9"/>
      <c r="PFF41" s="9"/>
      <c r="PFG41" s="9"/>
      <c r="PFH41" s="9"/>
      <c r="PFI41" s="9"/>
      <c r="PFJ41" s="9"/>
      <c r="PFK41" s="9"/>
      <c r="PFL41" s="9"/>
      <c r="PFM41" s="9"/>
      <c r="PFN41" s="9"/>
      <c r="PFO41" s="9"/>
      <c r="PFP41" s="9"/>
      <c r="PFQ41" s="9"/>
      <c r="PFR41" s="9"/>
      <c r="PFS41" s="9"/>
      <c r="PFT41" s="9"/>
      <c r="PFU41" s="9"/>
      <c r="PFV41" s="9"/>
      <c r="PFW41" s="9"/>
      <c r="PFX41" s="9"/>
      <c r="PFY41" s="9"/>
      <c r="PFZ41" s="9"/>
      <c r="PGA41" s="9"/>
      <c r="PGB41" s="9"/>
      <c r="PGC41" s="9"/>
      <c r="PGD41" s="9"/>
      <c r="PGE41" s="9"/>
      <c r="PGF41" s="9"/>
      <c r="PGG41" s="9"/>
      <c r="PGH41" s="9"/>
      <c r="PGI41" s="9"/>
      <c r="PGJ41" s="9"/>
      <c r="PGK41" s="9"/>
      <c r="PGL41" s="9"/>
      <c r="PGM41" s="9"/>
      <c r="PGN41" s="9"/>
      <c r="PGO41" s="9"/>
      <c r="PGP41" s="9"/>
      <c r="PGQ41" s="9"/>
      <c r="PGR41" s="9"/>
      <c r="PGS41" s="9"/>
      <c r="PGT41" s="9"/>
      <c r="PGU41" s="9"/>
      <c r="PGV41" s="9"/>
      <c r="PGW41" s="9"/>
      <c r="PGX41" s="9"/>
      <c r="PGY41" s="9"/>
      <c r="PGZ41" s="9"/>
      <c r="PHA41" s="9"/>
      <c r="PHB41" s="9"/>
      <c r="PHC41" s="9"/>
      <c r="PHD41" s="9"/>
      <c r="PHE41" s="9"/>
      <c r="PHF41" s="9"/>
      <c r="PHG41" s="9"/>
      <c r="PHH41" s="9"/>
      <c r="PHI41" s="9"/>
      <c r="PHJ41" s="9"/>
      <c r="PHK41" s="9"/>
      <c r="PHL41" s="9"/>
      <c r="PHM41" s="9"/>
      <c r="PHN41" s="9"/>
      <c r="PHO41" s="9"/>
      <c r="PHP41" s="9"/>
      <c r="PHQ41" s="9"/>
      <c r="PHR41" s="9"/>
      <c r="PHS41" s="9"/>
      <c r="PHT41" s="9"/>
      <c r="PHU41" s="9"/>
      <c r="PHV41" s="9"/>
      <c r="PHW41" s="9"/>
      <c r="PHX41" s="9"/>
      <c r="PHY41" s="9"/>
      <c r="PHZ41" s="9"/>
      <c r="PIA41" s="9"/>
      <c r="PIB41" s="9"/>
      <c r="PIC41" s="9"/>
      <c r="PID41" s="9"/>
      <c r="PIE41" s="9"/>
      <c r="PIF41" s="9"/>
      <c r="PIG41" s="9"/>
      <c r="PIH41" s="9"/>
      <c r="PII41" s="9"/>
      <c r="PIJ41" s="9"/>
      <c r="PIK41" s="9"/>
      <c r="PIL41" s="9"/>
      <c r="PIM41" s="9"/>
      <c r="PIN41" s="9"/>
      <c r="PIO41" s="9"/>
      <c r="PIP41" s="9"/>
      <c r="PIQ41" s="9"/>
      <c r="PIR41" s="9"/>
      <c r="PIS41" s="9"/>
      <c r="PIT41" s="9"/>
      <c r="PIU41" s="9"/>
      <c r="PIV41" s="9"/>
      <c r="PIW41" s="9"/>
      <c r="PIX41" s="9"/>
      <c r="PIY41" s="9"/>
      <c r="PIZ41" s="9"/>
      <c r="PJA41" s="9"/>
      <c r="PJB41" s="9"/>
      <c r="PJC41" s="9"/>
      <c r="PJD41" s="9"/>
      <c r="PJE41" s="9"/>
      <c r="PJF41" s="9"/>
      <c r="PJG41" s="9"/>
      <c r="PJH41" s="9"/>
      <c r="PJI41" s="9"/>
      <c r="PJJ41" s="9"/>
      <c r="PJK41" s="9"/>
      <c r="PJL41" s="9"/>
      <c r="PJM41" s="9"/>
      <c r="PJN41" s="9"/>
      <c r="PJO41" s="9"/>
      <c r="PJP41" s="9"/>
      <c r="PJQ41" s="9"/>
      <c r="PJR41" s="9"/>
      <c r="PJS41" s="9"/>
      <c r="PJT41" s="9"/>
      <c r="PJU41" s="9"/>
      <c r="PJV41" s="9"/>
      <c r="PJW41" s="9"/>
      <c r="PJX41" s="9"/>
      <c r="PJY41" s="9"/>
      <c r="PJZ41" s="9"/>
      <c r="PKA41" s="9"/>
      <c r="PKB41" s="9"/>
      <c r="PKC41" s="9"/>
      <c r="PKD41" s="9"/>
      <c r="PKE41" s="9"/>
      <c r="PKF41" s="9"/>
      <c r="PKG41" s="9"/>
      <c r="PKH41" s="9"/>
      <c r="PKI41" s="9"/>
      <c r="PKJ41" s="9"/>
      <c r="PKK41" s="9"/>
      <c r="PKL41" s="9"/>
      <c r="PKM41" s="9"/>
      <c r="PKN41" s="9"/>
      <c r="PKO41" s="9"/>
      <c r="PKP41" s="9"/>
      <c r="PKQ41" s="9"/>
      <c r="PKR41" s="9"/>
      <c r="PKS41" s="9"/>
      <c r="PKT41" s="9"/>
      <c r="PKU41" s="9"/>
      <c r="PKV41" s="9"/>
      <c r="PKW41" s="9"/>
      <c r="PKX41" s="9"/>
      <c r="PKY41" s="9"/>
      <c r="PKZ41" s="9"/>
      <c r="PLA41" s="9"/>
      <c r="PLB41" s="9"/>
      <c r="PLC41" s="9"/>
      <c r="PLD41" s="9"/>
      <c r="PLE41" s="9"/>
      <c r="PLF41" s="9"/>
      <c r="PLG41" s="9"/>
      <c r="PLH41" s="9"/>
      <c r="PLI41" s="9"/>
      <c r="PLJ41" s="9"/>
      <c r="PLK41" s="9"/>
      <c r="PLL41" s="9"/>
      <c r="PLM41" s="9"/>
      <c r="PLN41" s="9"/>
      <c r="PLO41" s="9"/>
      <c r="PLP41" s="9"/>
      <c r="PLQ41" s="9"/>
      <c r="PLR41" s="9"/>
      <c r="PLS41" s="9"/>
      <c r="PLT41" s="9"/>
      <c r="PLU41" s="9"/>
      <c r="PLV41" s="9"/>
      <c r="PLW41" s="9"/>
      <c r="PLX41" s="9"/>
      <c r="PLY41" s="9"/>
      <c r="PLZ41" s="9"/>
      <c r="PMA41" s="9"/>
      <c r="PMB41" s="9"/>
      <c r="PMC41" s="9"/>
      <c r="PMD41" s="9"/>
      <c r="PME41" s="9"/>
      <c r="PMF41" s="9"/>
      <c r="PMG41" s="9"/>
      <c r="PMH41" s="9"/>
      <c r="PMI41" s="9"/>
      <c r="PMJ41" s="9"/>
      <c r="PMK41" s="9"/>
      <c r="PML41" s="9"/>
      <c r="PMM41" s="9"/>
      <c r="PMN41" s="9"/>
      <c r="PMO41" s="9"/>
      <c r="PMP41" s="9"/>
      <c r="PMQ41" s="9"/>
      <c r="PMR41" s="9"/>
      <c r="PMS41" s="9"/>
      <c r="PMT41" s="9"/>
      <c r="PMU41" s="9"/>
      <c r="PMV41" s="9"/>
      <c r="PMW41" s="9"/>
      <c r="PMX41" s="9"/>
      <c r="PMY41" s="9"/>
      <c r="PMZ41" s="9"/>
      <c r="PNA41" s="9"/>
      <c r="PNB41" s="9"/>
      <c r="PNC41" s="9"/>
      <c r="PND41" s="9"/>
      <c r="PNE41" s="9"/>
      <c r="PNF41" s="9"/>
      <c r="PNG41" s="9"/>
      <c r="PNH41" s="9"/>
      <c r="PNI41" s="9"/>
      <c r="PNJ41" s="9"/>
      <c r="PNK41" s="9"/>
      <c r="PNL41" s="9"/>
      <c r="PNM41" s="9"/>
      <c r="PNN41" s="9"/>
      <c r="PNO41" s="9"/>
      <c r="PNP41" s="9"/>
      <c r="PNQ41" s="9"/>
      <c r="PNR41" s="9"/>
      <c r="PNS41" s="9"/>
      <c r="PNT41" s="9"/>
      <c r="PNU41" s="9"/>
      <c r="PNV41" s="9"/>
      <c r="PNW41" s="9"/>
      <c r="PNX41" s="9"/>
      <c r="PNY41" s="9"/>
      <c r="PNZ41" s="9"/>
      <c r="POA41" s="9"/>
      <c r="POB41" s="9"/>
      <c r="POC41" s="9"/>
      <c r="POD41" s="9"/>
      <c r="POE41" s="9"/>
      <c r="POF41" s="9"/>
      <c r="POG41" s="9"/>
      <c r="POH41" s="9"/>
      <c r="POI41" s="9"/>
      <c r="POJ41" s="9"/>
      <c r="POK41" s="9"/>
      <c r="POL41" s="9"/>
      <c r="POM41" s="9"/>
      <c r="PON41" s="9"/>
      <c r="POO41" s="9"/>
      <c r="POP41" s="9"/>
      <c r="POQ41" s="9"/>
      <c r="POR41" s="9"/>
      <c r="POS41" s="9"/>
      <c r="POT41" s="9"/>
      <c r="POU41" s="9"/>
      <c r="POV41" s="9"/>
      <c r="POW41" s="9"/>
      <c r="POX41" s="9"/>
      <c r="POY41" s="9"/>
      <c r="POZ41" s="9"/>
      <c r="PPA41" s="9"/>
      <c r="PPB41" s="9"/>
      <c r="PPC41" s="9"/>
      <c r="PPD41" s="9"/>
      <c r="PPE41" s="9"/>
      <c r="PPF41" s="9"/>
      <c r="PPG41" s="9"/>
      <c r="PPH41" s="9"/>
      <c r="PPI41" s="9"/>
      <c r="PPJ41" s="9"/>
      <c r="PPK41" s="9"/>
      <c r="PPL41" s="9"/>
      <c r="PPM41" s="9"/>
      <c r="PPN41" s="9"/>
      <c r="PPO41" s="9"/>
      <c r="PPP41" s="9"/>
      <c r="PPQ41" s="9"/>
      <c r="PPR41" s="9"/>
      <c r="PPS41" s="9"/>
      <c r="PPT41" s="9"/>
      <c r="PPU41" s="9"/>
      <c r="PPV41" s="9"/>
      <c r="PPW41" s="9"/>
      <c r="PPX41" s="9"/>
      <c r="PPY41" s="9"/>
      <c r="PPZ41" s="9"/>
      <c r="PQA41" s="9"/>
      <c r="PQB41" s="9"/>
      <c r="PQC41" s="9"/>
      <c r="PQD41" s="9"/>
      <c r="PQE41" s="9"/>
      <c r="PQF41" s="9"/>
      <c r="PQG41" s="9"/>
      <c r="PQH41" s="9"/>
      <c r="PQI41" s="9"/>
      <c r="PQJ41" s="9"/>
      <c r="PQK41" s="9"/>
      <c r="PQL41" s="9"/>
      <c r="PQM41" s="9"/>
      <c r="PQN41" s="9"/>
      <c r="PQO41" s="9"/>
      <c r="PQP41" s="9"/>
      <c r="PQQ41" s="9"/>
      <c r="PQR41" s="9"/>
      <c r="PQS41" s="9"/>
      <c r="PQT41" s="9"/>
      <c r="PQU41" s="9"/>
      <c r="PQV41" s="9"/>
      <c r="PQW41" s="9"/>
      <c r="PQX41" s="9"/>
      <c r="PQY41" s="9"/>
      <c r="PQZ41" s="9"/>
      <c r="PRA41" s="9"/>
      <c r="PRB41" s="9"/>
      <c r="PRC41" s="9"/>
      <c r="PRD41" s="9"/>
      <c r="PRE41" s="9"/>
      <c r="PRF41" s="9"/>
      <c r="PRG41" s="9"/>
      <c r="PRH41" s="9"/>
      <c r="PRI41" s="9"/>
      <c r="PRJ41" s="9"/>
      <c r="PRK41" s="9"/>
      <c r="PRL41" s="9"/>
      <c r="PRM41" s="9"/>
      <c r="PRN41" s="9"/>
      <c r="PRO41" s="9"/>
      <c r="PRP41" s="9"/>
      <c r="PRQ41" s="9"/>
      <c r="PRR41" s="9"/>
      <c r="PRS41" s="9"/>
      <c r="PRT41" s="9"/>
      <c r="PRU41" s="9"/>
      <c r="PRV41" s="9"/>
      <c r="PRW41" s="9"/>
      <c r="PRX41" s="9"/>
      <c r="PRY41" s="9"/>
      <c r="PRZ41" s="9"/>
      <c r="PSA41" s="9"/>
      <c r="PSB41" s="9"/>
      <c r="PSC41" s="9"/>
      <c r="PSD41" s="9"/>
      <c r="PSE41" s="9"/>
      <c r="PSF41" s="9"/>
      <c r="PSG41" s="9"/>
      <c r="PSH41" s="9"/>
      <c r="PSI41" s="9"/>
      <c r="PSJ41" s="9"/>
      <c r="PSK41" s="9"/>
      <c r="PSL41" s="9"/>
      <c r="PSM41" s="9"/>
      <c r="PSN41" s="9"/>
      <c r="PSO41" s="9"/>
      <c r="PSP41" s="9"/>
      <c r="PSQ41" s="9"/>
      <c r="PSR41" s="9"/>
      <c r="PSS41" s="9"/>
      <c r="PST41" s="9"/>
      <c r="PSU41" s="9"/>
      <c r="PSV41" s="9"/>
      <c r="PSW41" s="9"/>
      <c r="PSX41" s="9"/>
      <c r="PSY41" s="9"/>
      <c r="PSZ41" s="9"/>
      <c r="PTA41" s="9"/>
      <c r="PTB41" s="9"/>
      <c r="PTC41" s="9"/>
      <c r="PTD41" s="9"/>
      <c r="PTE41" s="9"/>
      <c r="PTF41" s="9"/>
      <c r="PTG41" s="9"/>
      <c r="PTH41" s="9"/>
      <c r="PTI41" s="9"/>
      <c r="PTJ41" s="9"/>
      <c r="PTK41" s="9"/>
      <c r="PTL41" s="9"/>
      <c r="PTM41" s="9"/>
      <c r="PTN41" s="9"/>
      <c r="PTO41" s="9"/>
      <c r="PTP41" s="9"/>
      <c r="PTQ41" s="9"/>
      <c r="PTR41" s="9"/>
      <c r="PTS41" s="9"/>
      <c r="PTT41" s="9"/>
      <c r="PTU41" s="9"/>
      <c r="PTV41" s="9"/>
      <c r="PTW41" s="9"/>
      <c r="PTX41" s="9"/>
      <c r="PTY41" s="9"/>
      <c r="PTZ41" s="9"/>
      <c r="PUA41" s="9"/>
      <c r="PUB41" s="9"/>
      <c r="PUC41" s="9"/>
      <c r="PUD41" s="9"/>
      <c r="PUE41" s="9"/>
      <c r="PUF41" s="9"/>
      <c r="PUG41" s="9"/>
      <c r="PUH41" s="9"/>
      <c r="PUI41" s="9"/>
      <c r="PUJ41" s="9"/>
      <c r="PUK41" s="9"/>
      <c r="PUL41" s="9"/>
      <c r="PUM41" s="9"/>
      <c r="PUN41" s="9"/>
      <c r="PUO41" s="9"/>
      <c r="PUP41" s="9"/>
      <c r="PUQ41" s="9"/>
      <c r="PUR41" s="9"/>
      <c r="PUS41" s="9"/>
      <c r="PUT41" s="9"/>
      <c r="PUU41" s="9"/>
      <c r="PUV41" s="9"/>
      <c r="PUW41" s="9"/>
      <c r="PUX41" s="9"/>
      <c r="PUY41" s="9"/>
      <c r="PUZ41" s="9"/>
      <c r="PVA41" s="9"/>
      <c r="PVB41" s="9"/>
      <c r="PVC41" s="9"/>
      <c r="PVD41" s="9"/>
      <c r="PVE41" s="9"/>
      <c r="PVF41" s="9"/>
      <c r="PVG41" s="9"/>
      <c r="PVH41" s="9"/>
      <c r="PVI41" s="9"/>
      <c r="PVJ41" s="9"/>
      <c r="PVK41" s="9"/>
      <c r="PVL41" s="9"/>
      <c r="PVM41" s="9"/>
      <c r="PVN41" s="9"/>
      <c r="PVO41" s="9"/>
      <c r="PVP41" s="9"/>
      <c r="PVQ41" s="9"/>
      <c r="PVR41" s="9"/>
      <c r="PVS41" s="9"/>
      <c r="PVT41" s="9"/>
      <c r="PVU41" s="9"/>
      <c r="PVV41" s="9"/>
      <c r="PVW41" s="9"/>
      <c r="PVX41" s="9"/>
      <c r="PVY41" s="9"/>
      <c r="PVZ41" s="9"/>
      <c r="PWA41" s="9"/>
      <c r="PWB41" s="9"/>
      <c r="PWC41" s="9"/>
      <c r="PWD41" s="9"/>
      <c r="PWE41" s="9"/>
      <c r="PWF41" s="9"/>
      <c r="PWG41" s="9"/>
      <c r="PWH41" s="9"/>
      <c r="PWI41" s="9"/>
      <c r="PWJ41" s="9"/>
      <c r="PWK41" s="9"/>
      <c r="PWL41" s="9"/>
      <c r="PWM41" s="9"/>
      <c r="PWN41" s="9"/>
      <c r="PWO41" s="9"/>
      <c r="PWP41" s="9"/>
      <c r="PWQ41" s="9"/>
      <c r="PWR41" s="9"/>
      <c r="PWS41" s="9"/>
      <c r="PWT41" s="9"/>
      <c r="PWU41" s="9"/>
      <c r="PWV41" s="9"/>
      <c r="PWW41" s="9"/>
      <c r="PWX41" s="9"/>
      <c r="PWY41" s="9"/>
      <c r="PWZ41" s="9"/>
      <c r="PXA41" s="9"/>
      <c r="PXB41" s="9"/>
      <c r="PXC41" s="9"/>
      <c r="PXD41" s="9"/>
      <c r="PXE41" s="9"/>
      <c r="PXF41" s="9"/>
      <c r="PXG41" s="9"/>
      <c r="PXH41" s="9"/>
      <c r="PXI41" s="9"/>
      <c r="PXJ41" s="9"/>
      <c r="PXK41" s="9"/>
      <c r="PXL41" s="9"/>
      <c r="PXM41" s="9"/>
      <c r="PXN41" s="9"/>
      <c r="PXO41" s="9"/>
      <c r="PXP41" s="9"/>
      <c r="PXQ41" s="9"/>
      <c r="PXR41" s="9"/>
      <c r="PXS41" s="9"/>
      <c r="PXT41" s="9"/>
      <c r="PXU41" s="9"/>
      <c r="PXV41" s="9"/>
      <c r="PXW41" s="9"/>
      <c r="PXX41" s="9"/>
      <c r="PXY41" s="9"/>
      <c r="PXZ41" s="9"/>
      <c r="PYA41" s="9"/>
      <c r="PYB41" s="9"/>
      <c r="PYC41" s="9"/>
      <c r="PYD41" s="9"/>
      <c r="PYE41" s="9"/>
      <c r="PYF41" s="9"/>
      <c r="PYG41" s="9"/>
      <c r="PYH41" s="9"/>
      <c r="PYI41" s="9"/>
      <c r="PYJ41" s="9"/>
      <c r="PYK41" s="9"/>
      <c r="PYL41" s="9"/>
      <c r="PYM41" s="9"/>
      <c r="PYN41" s="9"/>
      <c r="PYO41" s="9"/>
      <c r="PYP41" s="9"/>
      <c r="PYQ41" s="9"/>
      <c r="PYR41" s="9"/>
      <c r="PYS41" s="9"/>
      <c r="PYT41" s="9"/>
      <c r="PYU41" s="9"/>
      <c r="PYV41" s="9"/>
      <c r="PYW41" s="9"/>
      <c r="PYX41" s="9"/>
      <c r="PYY41" s="9"/>
      <c r="PYZ41" s="9"/>
      <c r="PZA41" s="9"/>
      <c r="PZB41" s="9"/>
      <c r="PZC41" s="9"/>
      <c r="PZD41" s="9"/>
      <c r="PZE41" s="9"/>
      <c r="PZF41" s="9"/>
      <c r="PZG41" s="9"/>
      <c r="PZH41" s="9"/>
      <c r="PZI41" s="9"/>
      <c r="PZJ41" s="9"/>
      <c r="PZK41" s="9"/>
      <c r="PZL41" s="9"/>
      <c r="PZM41" s="9"/>
      <c r="PZN41" s="9"/>
      <c r="PZO41" s="9"/>
      <c r="PZP41" s="9"/>
      <c r="PZQ41" s="9"/>
      <c r="PZR41" s="9"/>
      <c r="PZS41" s="9"/>
      <c r="PZT41" s="9"/>
      <c r="PZU41" s="9"/>
      <c r="PZV41" s="9"/>
      <c r="PZW41" s="9"/>
      <c r="PZX41" s="9"/>
      <c r="PZY41" s="9"/>
      <c r="PZZ41" s="9"/>
      <c r="QAA41" s="9"/>
      <c r="QAB41" s="9"/>
      <c r="QAC41" s="9"/>
      <c r="QAD41" s="9"/>
      <c r="QAE41" s="9"/>
      <c r="QAF41" s="9"/>
      <c r="QAG41" s="9"/>
      <c r="QAH41" s="9"/>
      <c r="QAI41" s="9"/>
      <c r="QAJ41" s="9"/>
      <c r="QAK41" s="9"/>
      <c r="QAL41" s="9"/>
      <c r="QAM41" s="9"/>
      <c r="QAN41" s="9"/>
      <c r="QAO41" s="9"/>
      <c r="QAP41" s="9"/>
      <c r="QAQ41" s="9"/>
      <c r="QAR41" s="9"/>
      <c r="QAS41" s="9"/>
      <c r="QAT41" s="9"/>
      <c r="QAU41" s="9"/>
      <c r="QAV41" s="9"/>
      <c r="QAW41" s="9"/>
      <c r="QAX41" s="9"/>
      <c r="QAY41" s="9"/>
      <c r="QAZ41" s="9"/>
      <c r="QBA41" s="9"/>
      <c r="QBB41" s="9"/>
      <c r="QBC41" s="9"/>
      <c r="QBD41" s="9"/>
      <c r="QBE41" s="9"/>
      <c r="QBF41" s="9"/>
      <c r="QBG41" s="9"/>
      <c r="QBH41" s="9"/>
      <c r="QBI41" s="9"/>
      <c r="QBJ41" s="9"/>
      <c r="QBK41" s="9"/>
      <c r="QBL41" s="9"/>
      <c r="QBM41" s="9"/>
      <c r="QBN41" s="9"/>
      <c r="QBO41" s="9"/>
      <c r="QBP41" s="9"/>
      <c r="QBQ41" s="9"/>
      <c r="QBR41" s="9"/>
      <c r="QBS41" s="9"/>
      <c r="QBT41" s="9"/>
      <c r="QBU41" s="9"/>
      <c r="QBV41" s="9"/>
      <c r="QBW41" s="9"/>
      <c r="QBX41" s="9"/>
      <c r="QBY41" s="9"/>
      <c r="QBZ41" s="9"/>
      <c r="QCA41" s="9"/>
      <c r="QCB41" s="9"/>
      <c r="QCC41" s="9"/>
      <c r="QCD41" s="9"/>
      <c r="QCE41" s="9"/>
      <c r="QCF41" s="9"/>
      <c r="QCG41" s="9"/>
      <c r="QCH41" s="9"/>
      <c r="QCI41" s="9"/>
      <c r="QCJ41" s="9"/>
      <c r="QCK41" s="9"/>
      <c r="QCL41" s="9"/>
      <c r="QCM41" s="9"/>
      <c r="QCN41" s="9"/>
      <c r="QCO41" s="9"/>
      <c r="QCP41" s="9"/>
      <c r="QCQ41" s="9"/>
      <c r="QCR41" s="9"/>
      <c r="QCS41" s="9"/>
      <c r="QCT41" s="9"/>
      <c r="QCU41" s="9"/>
      <c r="QCV41" s="9"/>
      <c r="QCW41" s="9"/>
      <c r="QCX41" s="9"/>
      <c r="QCY41" s="9"/>
      <c r="QCZ41" s="9"/>
      <c r="QDA41" s="9"/>
      <c r="QDB41" s="9"/>
      <c r="QDC41" s="9"/>
      <c r="QDD41" s="9"/>
      <c r="QDE41" s="9"/>
      <c r="QDF41" s="9"/>
      <c r="QDG41" s="9"/>
      <c r="QDH41" s="9"/>
      <c r="QDI41" s="9"/>
      <c r="QDJ41" s="9"/>
      <c r="QDK41" s="9"/>
      <c r="QDL41" s="9"/>
      <c r="QDM41" s="9"/>
      <c r="QDN41" s="9"/>
      <c r="QDO41" s="9"/>
      <c r="QDP41" s="9"/>
      <c r="QDQ41" s="9"/>
      <c r="QDR41" s="9"/>
      <c r="QDS41" s="9"/>
      <c r="QDT41" s="9"/>
      <c r="QDU41" s="9"/>
      <c r="QDV41" s="9"/>
      <c r="QDW41" s="9"/>
      <c r="QDX41" s="9"/>
      <c r="QDY41" s="9"/>
      <c r="QDZ41" s="9"/>
      <c r="QEA41" s="9"/>
      <c r="QEB41" s="9"/>
      <c r="QEC41" s="9"/>
      <c r="QED41" s="9"/>
      <c r="QEE41" s="9"/>
      <c r="QEF41" s="9"/>
      <c r="QEG41" s="9"/>
      <c r="QEH41" s="9"/>
      <c r="QEI41" s="9"/>
      <c r="QEJ41" s="9"/>
      <c r="QEK41" s="9"/>
      <c r="QEL41" s="9"/>
      <c r="QEM41" s="9"/>
      <c r="QEN41" s="9"/>
      <c r="QEO41" s="9"/>
      <c r="QEP41" s="9"/>
      <c r="QEQ41" s="9"/>
      <c r="QER41" s="9"/>
      <c r="QES41" s="9"/>
      <c r="QET41" s="9"/>
      <c r="QEU41" s="9"/>
      <c r="QEV41" s="9"/>
      <c r="QEW41" s="9"/>
      <c r="QEX41" s="9"/>
      <c r="QEY41" s="9"/>
      <c r="QEZ41" s="9"/>
      <c r="QFA41" s="9"/>
      <c r="QFB41" s="9"/>
      <c r="QFC41" s="9"/>
      <c r="QFD41" s="9"/>
      <c r="QFE41" s="9"/>
      <c r="QFF41" s="9"/>
      <c r="QFG41" s="9"/>
      <c r="QFH41" s="9"/>
      <c r="QFI41" s="9"/>
      <c r="QFJ41" s="9"/>
      <c r="QFK41" s="9"/>
      <c r="QFL41" s="9"/>
      <c r="QFM41" s="9"/>
      <c r="QFN41" s="9"/>
      <c r="QFO41" s="9"/>
      <c r="QFP41" s="9"/>
      <c r="QFQ41" s="9"/>
      <c r="QFR41" s="9"/>
      <c r="QFS41" s="9"/>
      <c r="QFT41" s="9"/>
      <c r="QFU41" s="9"/>
      <c r="QFV41" s="9"/>
      <c r="QFW41" s="9"/>
      <c r="QFX41" s="9"/>
      <c r="QFY41" s="9"/>
      <c r="QFZ41" s="9"/>
      <c r="QGA41" s="9"/>
      <c r="QGB41" s="9"/>
      <c r="QGC41" s="9"/>
      <c r="QGD41" s="9"/>
      <c r="QGE41" s="9"/>
      <c r="QGF41" s="9"/>
      <c r="QGG41" s="9"/>
      <c r="QGH41" s="9"/>
      <c r="QGI41" s="9"/>
      <c r="QGJ41" s="9"/>
      <c r="QGK41" s="9"/>
      <c r="QGL41" s="9"/>
      <c r="QGM41" s="9"/>
      <c r="QGN41" s="9"/>
      <c r="QGO41" s="9"/>
      <c r="QGP41" s="9"/>
      <c r="QGQ41" s="9"/>
      <c r="QGR41" s="9"/>
      <c r="QGS41" s="9"/>
      <c r="QGT41" s="9"/>
      <c r="QGU41" s="9"/>
      <c r="QGV41" s="9"/>
      <c r="QGW41" s="9"/>
      <c r="QGX41" s="9"/>
      <c r="QGY41" s="9"/>
      <c r="QGZ41" s="9"/>
      <c r="QHA41" s="9"/>
      <c r="QHB41" s="9"/>
      <c r="QHC41" s="9"/>
      <c r="QHD41" s="9"/>
      <c r="QHE41" s="9"/>
      <c r="QHF41" s="9"/>
      <c r="QHG41" s="9"/>
      <c r="QHH41" s="9"/>
      <c r="QHI41" s="9"/>
      <c r="QHJ41" s="9"/>
      <c r="QHK41" s="9"/>
      <c r="QHL41" s="9"/>
      <c r="QHM41" s="9"/>
      <c r="QHN41" s="9"/>
      <c r="QHO41" s="9"/>
      <c r="QHP41" s="9"/>
      <c r="QHQ41" s="9"/>
      <c r="QHR41" s="9"/>
      <c r="QHS41" s="9"/>
      <c r="QHT41" s="9"/>
      <c r="QHU41" s="9"/>
      <c r="QHV41" s="9"/>
      <c r="QHW41" s="9"/>
      <c r="QHX41" s="9"/>
      <c r="QHY41" s="9"/>
      <c r="QHZ41" s="9"/>
      <c r="QIA41" s="9"/>
      <c r="QIB41" s="9"/>
      <c r="QIC41" s="9"/>
      <c r="QID41" s="9"/>
      <c r="QIE41" s="9"/>
      <c r="QIF41" s="9"/>
      <c r="QIG41" s="9"/>
      <c r="QIH41" s="9"/>
      <c r="QII41" s="9"/>
      <c r="QIJ41" s="9"/>
      <c r="QIK41" s="9"/>
      <c r="QIL41" s="9"/>
      <c r="QIM41" s="9"/>
      <c r="QIN41" s="9"/>
      <c r="QIO41" s="9"/>
      <c r="QIP41" s="9"/>
      <c r="QIQ41" s="9"/>
      <c r="QIR41" s="9"/>
      <c r="QIS41" s="9"/>
      <c r="QIT41" s="9"/>
      <c r="QIU41" s="9"/>
      <c r="QIV41" s="9"/>
      <c r="QIW41" s="9"/>
      <c r="QIX41" s="9"/>
      <c r="QIY41" s="9"/>
      <c r="QIZ41" s="9"/>
      <c r="QJA41" s="9"/>
      <c r="QJB41" s="9"/>
      <c r="QJC41" s="9"/>
      <c r="QJD41" s="9"/>
      <c r="QJE41" s="9"/>
      <c r="QJF41" s="9"/>
      <c r="QJG41" s="9"/>
      <c r="QJH41" s="9"/>
      <c r="QJI41" s="9"/>
      <c r="QJJ41" s="9"/>
      <c r="QJK41" s="9"/>
      <c r="QJL41" s="9"/>
      <c r="QJM41" s="9"/>
      <c r="QJN41" s="9"/>
      <c r="QJO41" s="9"/>
      <c r="QJP41" s="9"/>
      <c r="QJQ41" s="9"/>
      <c r="QJR41" s="9"/>
      <c r="QJS41" s="9"/>
      <c r="QJT41" s="9"/>
      <c r="QJU41" s="9"/>
      <c r="QJV41" s="9"/>
      <c r="QJW41" s="9"/>
      <c r="QJX41" s="9"/>
      <c r="QJY41" s="9"/>
      <c r="QJZ41" s="9"/>
      <c r="QKA41" s="9"/>
      <c r="QKB41" s="9"/>
      <c r="QKC41" s="9"/>
      <c r="QKD41" s="9"/>
      <c r="QKE41" s="9"/>
      <c r="QKF41" s="9"/>
      <c r="QKG41" s="9"/>
      <c r="QKH41" s="9"/>
      <c r="QKI41" s="9"/>
      <c r="QKJ41" s="9"/>
      <c r="QKK41" s="9"/>
      <c r="QKL41" s="9"/>
      <c r="QKM41" s="9"/>
      <c r="QKN41" s="9"/>
      <c r="QKO41" s="9"/>
      <c r="QKP41" s="9"/>
      <c r="QKQ41" s="9"/>
      <c r="QKR41" s="9"/>
      <c r="QKS41" s="9"/>
      <c r="QKT41" s="9"/>
      <c r="QKU41" s="9"/>
      <c r="QKV41" s="9"/>
      <c r="QKW41" s="9"/>
      <c r="QKX41" s="9"/>
      <c r="QKY41" s="9"/>
      <c r="QKZ41" s="9"/>
      <c r="QLA41" s="9"/>
      <c r="QLB41" s="9"/>
      <c r="QLC41" s="9"/>
      <c r="QLD41" s="9"/>
      <c r="QLE41" s="9"/>
      <c r="QLF41" s="9"/>
      <c r="QLG41" s="9"/>
      <c r="QLH41" s="9"/>
      <c r="QLI41" s="9"/>
      <c r="QLJ41" s="9"/>
      <c r="QLK41" s="9"/>
      <c r="QLL41" s="9"/>
      <c r="QLM41" s="9"/>
      <c r="QLN41" s="9"/>
      <c r="QLO41" s="9"/>
      <c r="QLP41" s="9"/>
      <c r="QLQ41" s="9"/>
      <c r="QLR41" s="9"/>
      <c r="QLS41" s="9"/>
      <c r="QLT41" s="9"/>
      <c r="QLU41" s="9"/>
      <c r="QLV41" s="9"/>
      <c r="QLW41" s="9"/>
      <c r="QLX41" s="9"/>
      <c r="QLY41" s="9"/>
      <c r="QLZ41" s="9"/>
      <c r="QMA41" s="9"/>
      <c r="QMB41" s="9"/>
      <c r="QMC41" s="9"/>
      <c r="QMD41" s="9"/>
      <c r="QME41" s="9"/>
      <c r="QMF41" s="9"/>
      <c r="QMG41" s="9"/>
      <c r="QMH41" s="9"/>
      <c r="QMI41" s="9"/>
      <c r="QMJ41" s="9"/>
      <c r="QMK41" s="9"/>
      <c r="QML41" s="9"/>
      <c r="QMM41" s="9"/>
      <c r="QMN41" s="9"/>
      <c r="QMO41" s="9"/>
      <c r="QMP41" s="9"/>
      <c r="QMQ41" s="9"/>
      <c r="QMR41" s="9"/>
      <c r="QMS41" s="9"/>
      <c r="QMT41" s="9"/>
      <c r="QMU41" s="9"/>
      <c r="QMV41" s="9"/>
      <c r="QMW41" s="9"/>
      <c r="QMX41" s="9"/>
      <c r="QMY41" s="9"/>
      <c r="QMZ41" s="9"/>
      <c r="QNA41" s="9"/>
      <c r="QNB41" s="9"/>
      <c r="QNC41" s="9"/>
      <c r="QND41" s="9"/>
      <c r="QNE41" s="9"/>
      <c r="QNF41" s="9"/>
      <c r="QNG41" s="9"/>
      <c r="QNH41" s="9"/>
      <c r="QNI41" s="9"/>
      <c r="QNJ41" s="9"/>
      <c r="QNK41" s="9"/>
      <c r="QNL41" s="9"/>
      <c r="QNM41" s="9"/>
      <c r="QNN41" s="9"/>
      <c r="QNO41" s="9"/>
      <c r="QNP41" s="9"/>
      <c r="QNQ41" s="9"/>
      <c r="QNR41" s="9"/>
      <c r="QNS41" s="9"/>
      <c r="QNT41" s="9"/>
      <c r="QNU41" s="9"/>
      <c r="QNV41" s="9"/>
      <c r="QNW41" s="9"/>
      <c r="QNX41" s="9"/>
      <c r="QNY41" s="9"/>
      <c r="QNZ41" s="9"/>
      <c r="QOA41" s="9"/>
      <c r="QOB41" s="9"/>
      <c r="QOC41" s="9"/>
      <c r="QOD41" s="9"/>
      <c r="QOE41" s="9"/>
      <c r="QOF41" s="9"/>
      <c r="QOG41" s="9"/>
      <c r="QOH41" s="9"/>
      <c r="QOI41" s="9"/>
      <c r="QOJ41" s="9"/>
      <c r="QOK41" s="9"/>
      <c r="QOL41" s="9"/>
      <c r="QOM41" s="9"/>
      <c r="QON41" s="9"/>
      <c r="QOO41" s="9"/>
      <c r="QOP41" s="9"/>
      <c r="QOQ41" s="9"/>
      <c r="QOR41" s="9"/>
      <c r="QOS41" s="9"/>
      <c r="QOT41" s="9"/>
      <c r="QOU41" s="9"/>
      <c r="QOV41" s="9"/>
      <c r="QOW41" s="9"/>
      <c r="QOX41" s="9"/>
      <c r="QOY41" s="9"/>
      <c r="QOZ41" s="9"/>
      <c r="QPA41" s="9"/>
      <c r="QPB41" s="9"/>
      <c r="QPC41" s="9"/>
      <c r="QPD41" s="9"/>
      <c r="QPE41" s="9"/>
      <c r="QPF41" s="9"/>
      <c r="QPG41" s="9"/>
      <c r="QPH41" s="9"/>
      <c r="QPI41" s="9"/>
      <c r="QPJ41" s="9"/>
      <c r="QPK41" s="9"/>
      <c r="QPL41" s="9"/>
      <c r="QPM41" s="9"/>
      <c r="QPN41" s="9"/>
      <c r="QPO41" s="9"/>
      <c r="QPP41" s="9"/>
      <c r="QPQ41" s="9"/>
      <c r="QPR41" s="9"/>
      <c r="QPS41" s="9"/>
      <c r="QPT41" s="9"/>
      <c r="QPU41" s="9"/>
      <c r="QPV41" s="9"/>
      <c r="QPW41" s="9"/>
      <c r="QPX41" s="9"/>
      <c r="QPY41" s="9"/>
      <c r="QPZ41" s="9"/>
      <c r="QQA41" s="9"/>
      <c r="QQB41" s="9"/>
      <c r="QQC41" s="9"/>
      <c r="QQD41" s="9"/>
      <c r="QQE41" s="9"/>
      <c r="QQF41" s="9"/>
      <c r="QQG41" s="9"/>
      <c r="QQH41" s="9"/>
      <c r="QQI41" s="9"/>
      <c r="QQJ41" s="9"/>
      <c r="QQK41" s="9"/>
      <c r="QQL41" s="9"/>
      <c r="QQM41" s="9"/>
      <c r="QQN41" s="9"/>
      <c r="QQO41" s="9"/>
      <c r="QQP41" s="9"/>
      <c r="QQQ41" s="9"/>
      <c r="QQR41" s="9"/>
      <c r="QQS41" s="9"/>
      <c r="QQT41" s="9"/>
      <c r="QQU41" s="9"/>
      <c r="QQV41" s="9"/>
      <c r="QQW41" s="9"/>
      <c r="QQX41" s="9"/>
      <c r="QQY41" s="9"/>
      <c r="QQZ41" s="9"/>
      <c r="QRA41" s="9"/>
      <c r="QRB41" s="9"/>
      <c r="QRC41" s="9"/>
      <c r="QRD41" s="9"/>
      <c r="QRE41" s="9"/>
      <c r="QRF41" s="9"/>
      <c r="QRG41" s="9"/>
      <c r="QRH41" s="9"/>
      <c r="QRI41" s="9"/>
      <c r="QRJ41" s="9"/>
      <c r="QRK41" s="9"/>
      <c r="QRL41" s="9"/>
      <c r="QRM41" s="9"/>
      <c r="QRN41" s="9"/>
      <c r="QRO41" s="9"/>
      <c r="QRP41" s="9"/>
      <c r="QRQ41" s="9"/>
      <c r="QRR41" s="9"/>
      <c r="QRS41" s="9"/>
      <c r="QRT41" s="9"/>
      <c r="QRU41" s="9"/>
      <c r="QRV41" s="9"/>
      <c r="QRW41" s="9"/>
      <c r="QRX41" s="9"/>
      <c r="QRY41" s="9"/>
      <c r="QRZ41" s="9"/>
      <c r="QSA41" s="9"/>
      <c r="QSB41" s="9"/>
      <c r="QSC41" s="9"/>
      <c r="QSD41" s="9"/>
      <c r="QSE41" s="9"/>
      <c r="QSF41" s="9"/>
      <c r="QSG41" s="9"/>
      <c r="QSH41" s="9"/>
      <c r="QSI41" s="9"/>
      <c r="QSJ41" s="9"/>
      <c r="QSK41" s="9"/>
      <c r="QSL41" s="9"/>
      <c r="QSM41" s="9"/>
      <c r="QSN41" s="9"/>
      <c r="QSO41" s="9"/>
      <c r="QSP41" s="9"/>
      <c r="QSQ41" s="9"/>
      <c r="QSR41" s="9"/>
      <c r="QSS41" s="9"/>
      <c r="QST41" s="9"/>
      <c r="QSU41" s="9"/>
      <c r="QSV41" s="9"/>
      <c r="QSW41" s="9"/>
      <c r="QSX41" s="9"/>
      <c r="QSY41" s="9"/>
      <c r="QSZ41" s="9"/>
      <c r="QTA41" s="9"/>
      <c r="QTB41" s="9"/>
      <c r="QTC41" s="9"/>
      <c r="QTD41" s="9"/>
      <c r="QTE41" s="9"/>
      <c r="QTF41" s="9"/>
      <c r="QTG41" s="9"/>
      <c r="QTH41" s="9"/>
      <c r="QTI41" s="9"/>
      <c r="QTJ41" s="9"/>
      <c r="QTK41" s="9"/>
      <c r="QTL41" s="9"/>
      <c r="QTM41" s="9"/>
      <c r="QTN41" s="9"/>
      <c r="QTO41" s="9"/>
      <c r="QTP41" s="9"/>
      <c r="QTQ41" s="9"/>
      <c r="QTR41" s="9"/>
      <c r="QTS41" s="9"/>
      <c r="QTT41" s="9"/>
      <c r="QTU41" s="9"/>
      <c r="QTV41" s="9"/>
      <c r="QTW41" s="9"/>
      <c r="QTX41" s="9"/>
      <c r="QTY41" s="9"/>
      <c r="QTZ41" s="9"/>
      <c r="QUA41" s="9"/>
      <c r="QUB41" s="9"/>
      <c r="QUC41" s="9"/>
      <c r="QUD41" s="9"/>
      <c r="QUE41" s="9"/>
      <c r="QUF41" s="9"/>
      <c r="QUG41" s="9"/>
      <c r="QUH41" s="9"/>
      <c r="QUI41" s="9"/>
      <c r="QUJ41" s="9"/>
      <c r="QUK41" s="9"/>
      <c r="QUL41" s="9"/>
      <c r="QUM41" s="9"/>
      <c r="QUN41" s="9"/>
      <c r="QUO41" s="9"/>
      <c r="QUP41" s="9"/>
      <c r="QUQ41" s="9"/>
      <c r="QUR41" s="9"/>
      <c r="QUS41" s="9"/>
      <c r="QUT41" s="9"/>
      <c r="QUU41" s="9"/>
      <c r="QUV41" s="9"/>
      <c r="QUW41" s="9"/>
      <c r="QUX41" s="9"/>
      <c r="QUY41" s="9"/>
      <c r="QUZ41" s="9"/>
      <c r="QVA41" s="9"/>
      <c r="QVB41" s="9"/>
      <c r="QVC41" s="9"/>
      <c r="QVD41" s="9"/>
      <c r="QVE41" s="9"/>
      <c r="QVF41" s="9"/>
      <c r="QVG41" s="9"/>
      <c r="QVH41" s="9"/>
      <c r="QVI41" s="9"/>
      <c r="QVJ41" s="9"/>
      <c r="QVK41" s="9"/>
      <c r="QVL41" s="9"/>
      <c r="QVM41" s="9"/>
      <c r="QVN41" s="9"/>
      <c r="QVO41" s="9"/>
      <c r="QVP41" s="9"/>
      <c r="QVQ41" s="9"/>
      <c r="QVR41" s="9"/>
      <c r="QVS41" s="9"/>
      <c r="QVT41" s="9"/>
      <c r="QVU41" s="9"/>
      <c r="QVV41" s="9"/>
      <c r="QVW41" s="9"/>
      <c r="QVX41" s="9"/>
      <c r="QVY41" s="9"/>
      <c r="QVZ41" s="9"/>
      <c r="QWA41" s="9"/>
      <c r="QWB41" s="9"/>
      <c r="QWC41" s="9"/>
      <c r="QWD41" s="9"/>
      <c r="QWE41" s="9"/>
      <c r="QWF41" s="9"/>
      <c r="QWG41" s="9"/>
      <c r="QWH41" s="9"/>
      <c r="QWI41" s="9"/>
      <c r="QWJ41" s="9"/>
      <c r="QWK41" s="9"/>
      <c r="QWL41" s="9"/>
      <c r="QWM41" s="9"/>
      <c r="QWN41" s="9"/>
      <c r="QWO41" s="9"/>
      <c r="QWP41" s="9"/>
      <c r="QWQ41" s="9"/>
      <c r="QWR41" s="9"/>
      <c r="QWS41" s="9"/>
      <c r="QWT41" s="9"/>
      <c r="QWU41" s="9"/>
      <c r="QWV41" s="9"/>
      <c r="QWW41" s="9"/>
      <c r="QWX41" s="9"/>
      <c r="QWY41" s="9"/>
      <c r="QWZ41" s="9"/>
      <c r="QXA41" s="9"/>
      <c r="QXB41" s="9"/>
      <c r="QXC41" s="9"/>
      <c r="QXD41" s="9"/>
      <c r="QXE41" s="9"/>
      <c r="QXF41" s="9"/>
      <c r="QXG41" s="9"/>
      <c r="QXH41" s="9"/>
      <c r="QXI41" s="9"/>
      <c r="QXJ41" s="9"/>
      <c r="QXK41" s="9"/>
      <c r="QXL41" s="9"/>
      <c r="QXM41" s="9"/>
      <c r="QXN41" s="9"/>
      <c r="QXO41" s="9"/>
      <c r="QXP41" s="9"/>
      <c r="QXQ41" s="9"/>
      <c r="QXR41" s="9"/>
      <c r="QXS41" s="9"/>
      <c r="QXT41" s="9"/>
      <c r="QXU41" s="9"/>
      <c r="QXV41" s="9"/>
      <c r="QXW41" s="9"/>
      <c r="QXX41" s="9"/>
      <c r="QXY41" s="9"/>
      <c r="QXZ41" s="9"/>
      <c r="QYA41" s="9"/>
      <c r="QYB41" s="9"/>
      <c r="QYC41" s="9"/>
      <c r="QYD41" s="9"/>
      <c r="QYE41" s="9"/>
      <c r="QYF41" s="9"/>
      <c r="QYG41" s="9"/>
      <c r="QYH41" s="9"/>
      <c r="QYI41" s="9"/>
      <c r="QYJ41" s="9"/>
      <c r="QYK41" s="9"/>
      <c r="QYL41" s="9"/>
      <c r="QYM41" s="9"/>
      <c r="QYN41" s="9"/>
      <c r="QYO41" s="9"/>
      <c r="QYP41" s="9"/>
      <c r="QYQ41" s="9"/>
      <c r="QYR41" s="9"/>
      <c r="QYS41" s="9"/>
      <c r="QYT41" s="9"/>
      <c r="QYU41" s="9"/>
      <c r="QYV41" s="9"/>
      <c r="QYW41" s="9"/>
      <c r="QYX41" s="9"/>
      <c r="QYY41" s="9"/>
      <c r="QYZ41" s="9"/>
      <c r="QZA41" s="9"/>
      <c r="QZB41" s="9"/>
      <c r="QZC41" s="9"/>
      <c r="QZD41" s="9"/>
      <c r="QZE41" s="9"/>
      <c r="QZF41" s="9"/>
      <c r="QZG41" s="9"/>
      <c r="QZH41" s="9"/>
      <c r="QZI41" s="9"/>
      <c r="QZJ41" s="9"/>
      <c r="QZK41" s="9"/>
      <c r="QZL41" s="9"/>
      <c r="QZM41" s="9"/>
      <c r="QZN41" s="9"/>
      <c r="QZO41" s="9"/>
      <c r="QZP41" s="9"/>
      <c r="QZQ41" s="9"/>
      <c r="QZR41" s="9"/>
      <c r="QZS41" s="9"/>
      <c r="QZT41" s="9"/>
      <c r="QZU41" s="9"/>
      <c r="QZV41" s="9"/>
      <c r="QZW41" s="9"/>
      <c r="QZX41" s="9"/>
      <c r="QZY41" s="9"/>
      <c r="QZZ41" s="9"/>
      <c r="RAA41" s="9"/>
      <c r="RAB41" s="9"/>
      <c r="RAC41" s="9"/>
      <c r="RAD41" s="9"/>
      <c r="RAE41" s="9"/>
      <c r="RAF41" s="9"/>
      <c r="RAG41" s="9"/>
      <c r="RAH41" s="9"/>
      <c r="RAI41" s="9"/>
      <c r="RAJ41" s="9"/>
      <c r="RAK41" s="9"/>
      <c r="RAL41" s="9"/>
      <c r="RAM41" s="9"/>
      <c r="RAN41" s="9"/>
      <c r="RAO41" s="9"/>
      <c r="RAP41" s="9"/>
      <c r="RAQ41" s="9"/>
      <c r="RAR41" s="9"/>
      <c r="RAS41" s="9"/>
      <c r="RAT41" s="9"/>
      <c r="RAU41" s="9"/>
      <c r="RAV41" s="9"/>
      <c r="RAW41" s="9"/>
      <c r="RAX41" s="9"/>
      <c r="RAY41" s="9"/>
      <c r="RAZ41" s="9"/>
      <c r="RBA41" s="9"/>
      <c r="RBB41" s="9"/>
      <c r="RBC41" s="9"/>
      <c r="RBD41" s="9"/>
      <c r="RBE41" s="9"/>
      <c r="RBF41" s="9"/>
      <c r="RBG41" s="9"/>
      <c r="RBH41" s="9"/>
      <c r="RBI41" s="9"/>
      <c r="RBJ41" s="9"/>
      <c r="RBK41" s="9"/>
      <c r="RBL41" s="9"/>
      <c r="RBM41" s="9"/>
      <c r="RBN41" s="9"/>
      <c r="RBO41" s="9"/>
      <c r="RBP41" s="9"/>
      <c r="RBQ41" s="9"/>
      <c r="RBR41" s="9"/>
      <c r="RBS41" s="9"/>
      <c r="RBT41" s="9"/>
      <c r="RBU41" s="9"/>
      <c r="RBV41" s="9"/>
      <c r="RBW41" s="9"/>
      <c r="RBX41" s="9"/>
      <c r="RBY41" s="9"/>
      <c r="RBZ41" s="9"/>
      <c r="RCA41" s="9"/>
      <c r="RCB41" s="9"/>
      <c r="RCC41" s="9"/>
      <c r="RCD41" s="9"/>
      <c r="RCE41" s="9"/>
      <c r="RCF41" s="9"/>
      <c r="RCG41" s="9"/>
      <c r="RCH41" s="9"/>
      <c r="RCI41" s="9"/>
      <c r="RCJ41" s="9"/>
      <c r="RCK41" s="9"/>
      <c r="RCL41" s="9"/>
      <c r="RCM41" s="9"/>
      <c r="RCN41" s="9"/>
      <c r="RCO41" s="9"/>
      <c r="RCP41" s="9"/>
      <c r="RCQ41" s="9"/>
      <c r="RCR41" s="9"/>
      <c r="RCS41" s="9"/>
      <c r="RCT41" s="9"/>
      <c r="RCU41" s="9"/>
      <c r="RCV41" s="9"/>
      <c r="RCW41" s="9"/>
      <c r="RCX41" s="9"/>
      <c r="RCY41" s="9"/>
      <c r="RCZ41" s="9"/>
      <c r="RDA41" s="9"/>
      <c r="RDB41" s="9"/>
      <c r="RDC41" s="9"/>
      <c r="RDD41" s="9"/>
      <c r="RDE41" s="9"/>
      <c r="RDF41" s="9"/>
      <c r="RDG41" s="9"/>
      <c r="RDH41" s="9"/>
      <c r="RDI41" s="9"/>
      <c r="RDJ41" s="9"/>
      <c r="RDK41" s="9"/>
      <c r="RDL41" s="9"/>
      <c r="RDM41" s="9"/>
      <c r="RDN41" s="9"/>
      <c r="RDO41" s="9"/>
      <c r="RDP41" s="9"/>
      <c r="RDQ41" s="9"/>
      <c r="RDR41" s="9"/>
      <c r="RDS41" s="9"/>
      <c r="RDT41" s="9"/>
      <c r="RDU41" s="9"/>
      <c r="RDV41" s="9"/>
      <c r="RDW41" s="9"/>
      <c r="RDX41" s="9"/>
      <c r="RDY41" s="9"/>
      <c r="RDZ41" s="9"/>
      <c r="REA41" s="9"/>
      <c r="REB41" s="9"/>
      <c r="REC41" s="9"/>
      <c r="RED41" s="9"/>
      <c r="REE41" s="9"/>
      <c r="REF41" s="9"/>
      <c r="REG41" s="9"/>
      <c r="REH41" s="9"/>
      <c r="REI41" s="9"/>
      <c r="REJ41" s="9"/>
      <c r="REK41" s="9"/>
      <c r="REL41" s="9"/>
      <c r="REM41" s="9"/>
      <c r="REN41" s="9"/>
      <c r="REO41" s="9"/>
      <c r="REP41" s="9"/>
      <c r="REQ41" s="9"/>
      <c r="RER41" s="9"/>
      <c r="RES41" s="9"/>
      <c r="RET41" s="9"/>
      <c r="REU41" s="9"/>
      <c r="REV41" s="9"/>
      <c r="REW41" s="9"/>
      <c r="REX41" s="9"/>
      <c r="REY41" s="9"/>
      <c r="REZ41" s="9"/>
      <c r="RFA41" s="9"/>
      <c r="RFB41" s="9"/>
      <c r="RFC41" s="9"/>
      <c r="RFD41" s="9"/>
      <c r="RFE41" s="9"/>
      <c r="RFF41" s="9"/>
      <c r="RFG41" s="9"/>
      <c r="RFH41" s="9"/>
      <c r="RFI41" s="9"/>
      <c r="RFJ41" s="9"/>
      <c r="RFK41" s="9"/>
      <c r="RFL41" s="9"/>
      <c r="RFM41" s="9"/>
      <c r="RFN41" s="9"/>
      <c r="RFO41" s="9"/>
      <c r="RFP41" s="9"/>
      <c r="RFQ41" s="9"/>
      <c r="RFR41" s="9"/>
      <c r="RFS41" s="9"/>
      <c r="RFT41" s="9"/>
      <c r="RFU41" s="9"/>
      <c r="RFV41" s="9"/>
      <c r="RFW41" s="9"/>
      <c r="RFX41" s="9"/>
      <c r="RFY41" s="9"/>
      <c r="RFZ41" s="9"/>
      <c r="RGA41" s="9"/>
      <c r="RGB41" s="9"/>
      <c r="RGC41" s="9"/>
      <c r="RGD41" s="9"/>
      <c r="RGE41" s="9"/>
      <c r="RGF41" s="9"/>
      <c r="RGG41" s="9"/>
      <c r="RGH41" s="9"/>
      <c r="RGI41" s="9"/>
      <c r="RGJ41" s="9"/>
      <c r="RGK41" s="9"/>
      <c r="RGL41" s="9"/>
      <c r="RGM41" s="9"/>
      <c r="RGN41" s="9"/>
      <c r="RGO41" s="9"/>
      <c r="RGP41" s="9"/>
      <c r="RGQ41" s="9"/>
      <c r="RGR41" s="9"/>
      <c r="RGS41" s="9"/>
      <c r="RGT41" s="9"/>
      <c r="RGU41" s="9"/>
      <c r="RGV41" s="9"/>
      <c r="RGW41" s="9"/>
      <c r="RGX41" s="9"/>
      <c r="RGY41" s="9"/>
      <c r="RGZ41" s="9"/>
      <c r="RHA41" s="9"/>
      <c r="RHB41" s="9"/>
      <c r="RHC41" s="9"/>
      <c r="RHD41" s="9"/>
      <c r="RHE41" s="9"/>
      <c r="RHF41" s="9"/>
      <c r="RHG41" s="9"/>
      <c r="RHH41" s="9"/>
      <c r="RHI41" s="9"/>
      <c r="RHJ41" s="9"/>
      <c r="RHK41" s="9"/>
      <c r="RHL41" s="9"/>
      <c r="RHM41" s="9"/>
      <c r="RHN41" s="9"/>
      <c r="RHO41" s="9"/>
      <c r="RHP41" s="9"/>
      <c r="RHQ41" s="9"/>
      <c r="RHR41" s="9"/>
      <c r="RHS41" s="9"/>
      <c r="RHT41" s="9"/>
      <c r="RHU41" s="9"/>
      <c r="RHV41" s="9"/>
      <c r="RHW41" s="9"/>
      <c r="RHX41" s="9"/>
      <c r="RHY41" s="9"/>
      <c r="RHZ41" s="9"/>
      <c r="RIA41" s="9"/>
      <c r="RIB41" s="9"/>
      <c r="RIC41" s="9"/>
      <c r="RID41" s="9"/>
      <c r="RIE41" s="9"/>
      <c r="RIF41" s="9"/>
      <c r="RIG41" s="9"/>
      <c r="RIH41" s="9"/>
      <c r="RII41" s="9"/>
      <c r="RIJ41" s="9"/>
      <c r="RIK41" s="9"/>
      <c r="RIL41" s="9"/>
      <c r="RIM41" s="9"/>
      <c r="RIN41" s="9"/>
      <c r="RIO41" s="9"/>
      <c r="RIP41" s="9"/>
      <c r="RIQ41" s="9"/>
      <c r="RIR41" s="9"/>
      <c r="RIS41" s="9"/>
      <c r="RIT41" s="9"/>
      <c r="RIU41" s="9"/>
      <c r="RIV41" s="9"/>
      <c r="RIW41" s="9"/>
      <c r="RIX41" s="9"/>
      <c r="RIY41" s="9"/>
      <c r="RIZ41" s="9"/>
      <c r="RJA41" s="9"/>
      <c r="RJB41" s="9"/>
      <c r="RJC41" s="9"/>
      <c r="RJD41" s="9"/>
      <c r="RJE41" s="9"/>
      <c r="RJF41" s="9"/>
      <c r="RJG41" s="9"/>
      <c r="RJH41" s="9"/>
      <c r="RJI41" s="9"/>
      <c r="RJJ41" s="9"/>
      <c r="RJK41" s="9"/>
      <c r="RJL41" s="9"/>
      <c r="RJM41" s="9"/>
      <c r="RJN41" s="9"/>
      <c r="RJO41" s="9"/>
      <c r="RJP41" s="9"/>
      <c r="RJQ41" s="9"/>
      <c r="RJR41" s="9"/>
      <c r="RJS41" s="9"/>
      <c r="RJT41" s="9"/>
      <c r="RJU41" s="9"/>
      <c r="RJV41" s="9"/>
      <c r="RJW41" s="9"/>
      <c r="RJX41" s="9"/>
      <c r="RJY41" s="9"/>
      <c r="RJZ41" s="9"/>
      <c r="RKA41" s="9"/>
      <c r="RKB41" s="9"/>
      <c r="RKC41" s="9"/>
      <c r="RKD41" s="9"/>
      <c r="RKE41" s="9"/>
      <c r="RKF41" s="9"/>
      <c r="RKG41" s="9"/>
      <c r="RKH41" s="9"/>
      <c r="RKI41" s="9"/>
      <c r="RKJ41" s="9"/>
      <c r="RKK41" s="9"/>
      <c r="RKL41" s="9"/>
      <c r="RKM41" s="9"/>
      <c r="RKN41" s="9"/>
      <c r="RKO41" s="9"/>
      <c r="RKP41" s="9"/>
      <c r="RKQ41" s="9"/>
      <c r="RKR41" s="9"/>
      <c r="RKS41" s="9"/>
      <c r="RKT41" s="9"/>
      <c r="RKU41" s="9"/>
      <c r="RKV41" s="9"/>
      <c r="RKW41" s="9"/>
      <c r="RKX41" s="9"/>
      <c r="RKY41" s="9"/>
      <c r="RKZ41" s="9"/>
      <c r="RLA41" s="9"/>
      <c r="RLB41" s="9"/>
      <c r="RLC41" s="9"/>
      <c r="RLD41" s="9"/>
      <c r="RLE41" s="9"/>
      <c r="RLF41" s="9"/>
      <c r="RLG41" s="9"/>
      <c r="RLH41" s="9"/>
      <c r="RLI41" s="9"/>
      <c r="RLJ41" s="9"/>
      <c r="RLK41" s="9"/>
      <c r="RLL41" s="9"/>
      <c r="RLM41" s="9"/>
      <c r="RLN41" s="9"/>
      <c r="RLO41" s="9"/>
      <c r="RLP41" s="9"/>
      <c r="RLQ41" s="9"/>
      <c r="RLR41" s="9"/>
      <c r="RLS41" s="9"/>
      <c r="RLT41" s="9"/>
      <c r="RLU41" s="9"/>
      <c r="RLV41" s="9"/>
      <c r="RLW41" s="9"/>
      <c r="RLX41" s="9"/>
      <c r="RLY41" s="9"/>
      <c r="RLZ41" s="9"/>
      <c r="RMA41" s="9"/>
      <c r="RMB41" s="9"/>
      <c r="RMC41" s="9"/>
      <c r="RMD41" s="9"/>
      <c r="RME41" s="9"/>
      <c r="RMF41" s="9"/>
      <c r="RMG41" s="9"/>
      <c r="RMH41" s="9"/>
      <c r="RMI41" s="9"/>
      <c r="RMJ41" s="9"/>
      <c r="RMK41" s="9"/>
      <c r="RML41" s="9"/>
      <c r="RMM41" s="9"/>
      <c r="RMN41" s="9"/>
      <c r="RMO41" s="9"/>
      <c r="RMP41" s="9"/>
      <c r="RMQ41" s="9"/>
      <c r="RMR41" s="9"/>
      <c r="RMS41" s="9"/>
      <c r="RMT41" s="9"/>
      <c r="RMU41" s="9"/>
      <c r="RMV41" s="9"/>
      <c r="RMW41" s="9"/>
      <c r="RMX41" s="9"/>
      <c r="RMY41" s="9"/>
      <c r="RMZ41" s="9"/>
      <c r="RNA41" s="9"/>
      <c r="RNB41" s="9"/>
      <c r="RNC41" s="9"/>
      <c r="RND41" s="9"/>
      <c r="RNE41" s="9"/>
      <c r="RNF41" s="9"/>
      <c r="RNG41" s="9"/>
      <c r="RNH41" s="9"/>
      <c r="RNI41" s="9"/>
      <c r="RNJ41" s="9"/>
      <c r="RNK41" s="9"/>
      <c r="RNL41" s="9"/>
      <c r="RNM41" s="9"/>
      <c r="RNN41" s="9"/>
      <c r="RNO41" s="9"/>
      <c r="RNP41" s="9"/>
      <c r="RNQ41" s="9"/>
      <c r="RNR41" s="9"/>
      <c r="RNS41" s="9"/>
      <c r="RNT41" s="9"/>
      <c r="RNU41" s="9"/>
      <c r="RNV41" s="9"/>
      <c r="RNW41" s="9"/>
      <c r="RNX41" s="9"/>
      <c r="RNY41" s="9"/>
      <c r="RNZ41" s="9"/>
      <c r="ROA41" s="9"/>
      <c r="ROB41" s="9"/>
      <c r="ROC41" s="9"/>
      <c r="ROD41" s="9"/>
      <c r="ROE41" s="9"/>
      <c r="ROF41" s="9"/>
      <c r="ROG41" s="9"/>
      <c r="ROH41" s="9"/>
      <c r="ROI41" s="9"/>
      <c r="ROJ41" s="9"/>
      <c r="ROK41" s="9"/>
      <c r="ROL41" s="9"/>
      <c r="ROM41" s="9"/>
      <c r="RON41" s="9"/>
      <c r="ROO41" s="9"/>
      <c r="ROP41" s="9"/>
      <c r="ROQ41" s="9"/>
      <c r="ROR41" s="9"/>
      <c r="ROS41" s="9"/>
      <c r="ROT41" s="9"/>
      <c r="ROU41" s="9"/>
      <c r="ROV41" s="9"/>
      <c r="ROW41" s="9"/>
      <c r="ROX41" s="9"/>
      <c r="ROY41" s="9"/>
      <c r="ROZ41" s="9"/>
      <c r="RPA41" s="9"/>
      <c r="RPB41" s="9"/>
      <c r="RPC41" s="9"/>
      <c r="RPD41" s="9"/>
      <c r="RPE41" s="9"/>
      <c r="RPF41" s="9"/>
      <c r="RPG41" s="9"/>
      <c r="RPH41" s="9"/>
      <c r="RPI41" s="9"/>
      <c r="RPJ41" s="9"/>
      <c r="RPK41" s="9"/>
      <c r="RPL41" s="9"/>
      <c r="RPM41" s="9"/>
      <c r="RPN41" s="9"/>
      <c r="RPO41" s="9"/>
      <c r="RPP41" s="9"/>
      <c r="RPQ41" s="9"/>
      <c r="RPR41" s="9"/>
      <c r="RPS41" s="9"/>
      <c r="RPT41" s="9"/>
      <c r="RPU41" s="9"/>
      <c r="RPV41" s="9"/>
      <c r="RPW41" s="9"/>
      <c r="RPX41" s="9"/>
      <c r="RPY41" s="9"/>
      <c r="RPZ41" s="9"/>
      <c r="RQA41" s="9"/>
      <c r="RQB41" s="9"/>
      <c r="RQC41" s="9"/>
      <c r="RQD41" s="9"/>
      <c r="RQE41" s="9"/>
      <c r="RQF41" s="9"/>
      <c r="RQG41" s="9"/>
      <c r="RQH41" s="9"/>
      <c r="RQI41" s="9"/>
      <c r="RQJ41" s="9"/>
      <c r="RQK41" s="9"/>
      <c r="RQL41" s="9"/>
      <c r="RQM41" s="9"/>
      <c r="RQN41" s="9"/>
      <c r="RQO41" s="9"/>
      <c r="RQP41" s="9"/>
      <c r="RQQ41" s="9"/>
      <c r="RQR41" s="9"/>
      <c r="RQS41" s="9"/>
      <c r="RQT41" s="9"/>
      <c r="RQU41" s="9"/>
      <c r="RQV41" s="9"/>
      <c r="RQW41" s="9"/>
      <c r="RQX41" s="9"/>
      <c r="RQY41" s="9"/>
      <c r="RQZ41" s="9"/>
      <c r="RRA41" s="9"/>
      <c r="RRB41" s="9"/>
      <c r="RRC41" s="9"/>
      <c r="RRD41" s="9"/>
      <c r="RRE41" s="9"/>
      <c r="RRF41" s="9"/>
      <c r="RRG41" s="9"/>
      <c r="RRH41" s="9"/>
      <c r="RRI41" s="9"/>
      <c r="RRJ41" s="9"/>
      <c r="RRK41" s="9"/>
      <c r="RRL41" s="9"/>
      <c r="RRM41" s="9"/>
      <c r="RRN41" s="9"/>
      <c r="RRO41" s="9"/>
      <c r="RRP41" s="9"/>
      <c r="RRQ41" s="9"/>
      <c r="RRR41" s="9"/>
      <c r="RRS41" s="9"/>
      <c r="RRT41" s="9"/>
      <c r="RRU41" s="9"/>
      <c r="RRV41" s="9"/>
      <c r="RRW41" s="9"/>
      <c r="RRX41" s="9"/>
      <c r="RRY41" s="9"/>
      <c r="RRZ41" s="9"/>
      <c r="RSA41" s="9"/>
      <c r="RSB41" s="9"/>
      <c r="RSC41" s="9"/>
      <c r="RSD41" s="9"/>
      <c r="RSE41" s="9"/>
      <c r="RSF41" s="9"/>
      <c r="RSG41" s="9"/>
      <c r="RSH41" s="9"/>
      <c r="RSI41" s="9"/>
      <c r="RSJ41" s="9"/>
      <c r="RSK41" s="9"/>
      <c r="RSL41" s="9"/>
      <c r="RSM41" s="9"/>
      <c r="RSN41" s="9"/>
      <c r="RSO41" s="9"/>
      <c r="RSP41" s="9"/>
      <c r="RSQ41" s="9"/>
      <c r="RSR41" s="9"/>
      <c r="RSS41" s="9"/>
      <c r="RST41" s="9"/>
      <c r="RSU41" s="9"/>
      <c r="RSV41" s="9"/>
      <c r="RSW41" s="9"/>
      <c r="RSX41" s="9"/>
      <c r="RSY41" s="9"/>
      <c r="RSZ41" s="9"/>
      <c r="RTA41" s="9"/>
      <c r="RTB41" s="9"/>
      <c r="RTC41" s="9"/>
      <c r="RTD41" s="9"/>
      <c r="RTE41" s="9"/>
      <c r="RTF41" s="9"/>
      <c r="RTG41" s="9"/>
      <c r="RTH41" s="9"/>
      <c r="RTI41" s="9"/>
      <c r="RTJ41" s="9"/>
      <c r="RTK41" s="9"/>
      <c r="RTL41" s="9"/>
      <c r="RTM41" s="9"/>
      <c r="RTN41" s="9"/>
      <c r="RTO41" s="9"/>
      <c r="RTP41" s="9"/>
      <c r="RTQ41" s="9"/>
      <c r="RTR41" s="9"/>
      <c r="RTS41" s="9"/>
      <c r="RTT41" s="9"/>
      <c r="RTU41" s="9"/>
      <c r="RTV41" s="9"/>
      <c r="RTW41" s="9"/>
      <c r="RTX41" s="9"/>
      <c r="RTY41" s="9"/>
      <c r="RTZ41" s="9"/>
      <c r="RUA41" s="9"/>
      <c r="RUB41" s="9"/>
      <c r="RUC41" s="9"/>
      <c r="RUD41" s="9"/>
      <c r="RUE41" s="9"/>
      <c r="RUF41" s="9"/>
      <c r="RUG41" s="9"/>
      <c r="RUH41" s="9"/>
      <c r="RUI41" s="9"/>
      <c r="RUJ41" s="9"/>
      <c r="RUK41" s="9"/>
      <c r="RUL41" s="9"/>
      <c r="RUM41" s="9"/>
      <c r="RUN41" s="9"/>
      <c r="RUO41" s="9"/>
      <c r="RUP41" s="9"/>
      <c r="RUQ41" s="9"/>
      <c r="RUR41" s="9"/>
      <c r="RUS41" s="9"/>
      <c r="RUT41" s="9"/>
      <c r="RUU41" s="9"/>
      <c r="RUV41" s="9"/>
      <c r="RUW41" s="9"/>
      <c r="RUX41" s="9"/>
      <c r="RUY41" s="9"/>
      <c r="RUZ41" s="9"/>
      <c r="RVA41" s="9"/>
      <c r="RVB41" s="9"/>
      <c r="RVC41" s="9"/>
      <c r="RVD41" s="9"/>
      <c r="RVE41" s="9"/>
      <c r="RVF41" s="9"/>
      <c r="RVG41" s="9"/>
      <c r="RVH41" s="9"/>
      <c r="RVI41" s="9"/>
      <c r="RVJ41" s="9"/>
      <c r="RVK41" s="9"/>
      <c r="RVL41" s="9"/>
      <c r="RVM41" s="9"/>
      <c r="RVN41" s="9"/>
      <c r="RVO41" s="9"/>
      <c r="RVP41" s="9"/>
      <c r="RVQ41" s="9"/>
      <c r="RVR41" s="9"/>
      <c r="RVS41" s="9"/>
      <c r="RVT41" s="9"/>
      <c r="RVU41" s="9"/>
      <c r="RVV41" s="9"/>
      <c r="RVW41" s="9"/>
      <c r="RVX41" s="9"/>
      <c r="RVY41" s="9"/>
      <c r="RVZ41" s="9"/>
      <c r="RWA41" s="9"/>
      <c r="RWB41" s="9"/>
      <c r="RWC41" s="9"/>
      <c r="RWD41" s="9"/>
      <c r="RWE41" s="9"/>
      <c r="RWF41" s="9"/>
      <c r="RWG41" s="9"/>
      <c r="RWH41" s="9"/>
      <c r="RWI41" s="9"/>
      <c r="RWJ41" s="9"/>
      <c r="RWK41" s="9"/>
      <c r="RWL41" s="9"/>
      <c r="RWM41" s="9"/>
      <c r="RWN41" s="9"/>
      <c r="RWO41" s="9"/>
      <c r="RWP41" s="9"/>
      <c r="RWQ41" s="9"/>
      <c r="RWR41" s="9"/>
      <c r="RWS41" s="9"/>
      <c r="RWT41" s="9"/>
      <c r="RWU41" s="9"/>
      <c r="RWV41" s="9"/>
      <c r="RWW41" s="9"/>
      <c r="RWX41" s="9"/>
      <c r="RWY41" s="9"/>
      <c r="RWZ41" s="9"/>
      <c r="RXA41" s="9"/>
      <c r="RXB41" s="9"/>
      <c r="RXC41" s="9"/>
      <c r="RXD41" s="9"/>
      <c r="RXE41" s="9"/>
      <c r="RXF41" s="9"/>
      <c r="RXG41" s="9"/>
      <c r="RXH41" s="9"/>
      <c r="RXI41" s="9"/>
      <c r="RXJ41" s="9"/>
      <c r="RXK41" s="9"/>
      <c r="RXL41" s="9"/>
      <c r="RXM41" s="9"/>
      <c r="RXN41" s="9"/>
      <c r="RXO41" s="9"/>
      <c r="RXP41" s="9"/>
      <c r="RXQ41" s="9"/>
      <c r="RXR41" s="9"/>
      <c r="RXS41" s="9"/>
      <c r="RXT41" s="9"/>
      <c r="RXU41" s="9"/>
      <c r="RXV41" s="9"/>
      <c r="RXW41" s="9"/>
      <c r="RXX41" s="9"/>
      <c r="RXY41" s="9"/>
      <c r="RXZ41" s="9"/>
      <c r="RYA41" s="9"/>
      <c r="RYB41" s="9"/>
      <c r="RYC41" s="9"/>
      <c r="RYD41" s="9"/>
      <c r="RYE41" s="9"/>
      <c r="RYF41" s="9"/>
      <c r="RYG41" s="9"/>
      <c r="RYH41" s="9"/>
      <c r="RYI41" s="9"/>
      <c r="RYJ41" s="9"/>
      <c r="RYK41" s="9"/>
      <c r="RYL41" s="9"/>
      <c r="RYM41" s="9"/>
      <c r="RYN41" s="9"/>
      <c r="RYO41" s="9"/>
      <c r="RYP41" s="9"/>
      <c r="RYQ41" s="9"/>
      <c r="RYR41" s="9"/>
      <c r="RYS41" s="9"/>
      <c r="RYT41" s="9"/>
      <c r="RYU41" s="9"/>
      <c r="RYV41" s="9"/>
      <c r="RYW41" s="9"/>
      <c r="RYX41" s="9"/>
      <c r="RYY41" s="9"/>
      <c r="RYZ41" s="9"/>
      <c r="RZA41" s="9"/>
      <c r="RZB41" s="9"/>
      <c r="RZC41" s="9"/>
      <c r="RZD41" s="9"/>
      <c r="RZE41" s="9"/>
      <c r="RZF41" s="9"/>
      <c r="RZG41" s="9"/>
      <c r="RZH41" s="9"/>
      <c r="RZI41" s="9"/>
      <c r="RZJ41" s="9"/>
      <c r="RZK41" s="9"/>
      <c r="RZL41" s="9"/>
      <c r="RZM41" s="9"/>
      <c r="RZN41" s="9"/>
      <c r="RZO41" s="9"/>
      <c r="RZP41" s="9"/>
      <c r="RZQ41" s="9"/>
      <c r="RZR41" s="9"/>
      <c r="RZS41" s="9"/>
      <c r="RZT41" s="9"/>
      <c r="RZU41" s="9"/>
      <c r="RZV41" s="9"/>
      <c r="RZW41" s="9"/>
      <c r="RZX41" s="9"/>
      <c r="RZY41" s="9"/>
      <c r="RZZ41" s="9"/>
      <c r="SAA41" s="9"/>
      <c r="SAB41" s="9"/>
      <c r="SAC41" s="9"/>
      <c r="SAD41" s="9"/>
      <c r="SAE41" s="9"/>
      <c r="SAF41" s="9"/>
      <c r="SAG41" s="9"/>
      <c r="SAH41" s="9"/>
      <c r="SAI41" s="9"/>
      <c r="SAJ41" s="9"/>
      <c r="SAK41" s="9"/>
      <c r="SAL41" s="9"/>
      <c r="SAM41" s="9"/>
      <c r="SAN41" s="9"/>
      <c r="SAO41" s="9"/>
      <c r="SAP41" s="9"/>
      <c r="SAQ41" s="9"/>
      <c r="SAR41" s="9"/>
      <c r="SAS41" s="9"/>
      <c r="SAT41" s="9"/>
      <c r="SAU41" s="9"/>
      <c r="SAV41" s="9"/>
      <c r="SAW41" s="9"/>
      <c r="SAX41" s="9"/>
      <c r="SAY41" s="9"/>
      <c r="SAZ41" s="9"/>
      <c r="SBA41" s="9"/>
      <c r="SBB41" s="9"/>
      <c r="SBC41" s="9"/>
      <c r="SBD41" s="9"/>
      <c r="SBE41" s="9"/>
      <c r="SBF41" s="9"/>
      <c r="SBG41" s="9"/>
      <c r="SBH41" s="9"/>
      <c r="SBI41" s="9"/>
      <c r="SBJ41" s="9"/>
      <c r="SBK41" s="9"/>
      <c r="SBL41" s="9"/>
      <c r="SBM41" s="9"/>
      <c r="SBN41" s="9"/>
      <c r="SBO41" s="9"/>
      <c r="SBP41" s="9"/>
      <c r="SBQ41" s="9"/>
      <c r="SBR41" s="9"/>
      <c r="SBS41" s="9"/>
      <c r="SBT41" s="9"/>
      <c r="SBU41" s="9"/>
      <c r="SBV41" s="9"/>
      <c r="SBW41" s="9"/>
      <c r="SBX41" s="9"/>
      <c r="SBY41" s="9"/>
      <c r="SBZ41" s="9"/>
      <c r="SCA41" s="9"/>
      <c r="SCB41" s="9"/>
      <c r="SCC41" s="9"/>
      <c r="SCD41" s="9"/>
      <c r="SCE41" s="9"/>
      <c r="SCF41" s="9"/>
      <c r="SCG41" s="9"/>
      <c r="SCH41" s="9"/>
      <c r="SCI41" s="9"/>
      <c r="SCJ41" s="9"/>
      <c r="SCK41" s="9"/>
      <c r="SCL41" s="9"/>
      <c r="SCM41" s="9"/>
      <c r="SCN41" s="9"/>
      <c r="SCO41" s="9"/>
      <c r="SCP41" s="9"/>
      <c r="SCQ41" s="9"/>
      <c r="SCR41" s="9"/>
      <c r="SCS41" s="9"/>
      <c r="SCT41" s="9"/>
      <c r="SCU41" s="9"/>
      <c r="SCV41" s="9"/>
      <c r="SCW41" s="9"/>
      <c r="SCX41" s="9"/>
      <c r="SCY41" s="9"/>
      <c r="SCZ41" s="9"/>
      <c r="SDA41" s="9"/>
      <c r="SDB41" s="9"/>
      <c r="SDC41" s="9"/>
      <c r="SDD41" s="9"/>
      <c r="SDE41" s="9"/>
      <c r="SDF41" s="9"/>
      <c r="SDG41" s="9"/>
      <c r="SDH41" s="9"/>
      <c r="SDI41" s="9"/>
      <c r="SDJ41" s="9"/>
      <c r="SDK41" s="9"/>
      <c r="SDL41" s="9"/>
      <c r="SDM41" s="9"/>
      <c r="SDN41" s="9"/>
      <c r="SDO41" s="9"/>
      <c r="SDP41" s="9"/>
      <c r="SDQ41" s="9"/>
      <c r="SDR41" s="9"/>
      <c r="SDS41" s="9"/>
      <c r="SDT41" s="9"/>
      <c r="SDU41" s="9"/>
      <c r="SDV41" s="9"/>
      <c r="SDW41" s="9"/>
      <c r="SDX41" s="9"/>
      <c r="SDY41" s="9"/>
      <c r="SDZ41" s="9"/>
      <c r="SEA41" s="9"/>
      <c r="SEB41" s="9"/>
      <c r="SEC41" s="9"/>
      <c r="SED41" s="9"/>
      <c r="SEE41" s="9"/>
      <c r="SEF41" s="9"/>
      <c r="SEG41" s="9"/>
      <c r="SEH41" s="9"/>
      <c r="SEI41" s="9"/>
      <c r="SEJ41" s="9"/>
      <c r="SEK41" s="9"/>
      <c r="SEL41" s="9"/>
      <c r="SEM41" s="9"/>
      <c r="SEN41" s="9"/>
      <c r="SEO41" s="9"/>
      <c r="SEP41" s="9"/>
      <c r="SEQ41" s="9"/>
      <c r="SER41" s="9"/>
      <c r="SES41" s="9"/>
      <c r="SET41" s="9"/>
      <c r="SEU41" s="9"/>
      <c r="SEV41" s="9"/>
      <c r="SEW41" s="9"/>
      <c r="SEX41" s="9"/>
      <c r="SEY41" s="9"/>
      <c r="SEZ41" s="9"/>
      <c r="SFA41" s="9"/>
      <c r="SFB41" s="9"/>
      <c r="SFC41" s="9"/>
      <c r="SFD41" s="9"/>
      <c r="SFE41" s="9"/>
      <c r="SFF41" s="9"/>
      <c r="SFG41" s="9"/>
      <c r="SFH41" s="9"/>
      <c r="SFI41" s="9"/>
      <c r="SFJ41" s="9"/>
      <c r="SFK41" s="9"/>
      <c r="SFL41" s="9"/>
      <c r="SFM41" s="9"/>
      <c r="SFN41" s="9"/>
      <c r="SFO41" s="9"/>
      <c r="SFP41" s="9"/>
      <c r="SFQ41" s="9"/>
      <c r="SFR41" s="9"/>
      <c r="SFS41" s="9"/>
      <c r="SFT41" s="9"/>
      <c r="SFU41" s="9"/>
      <c r="SFV41" s="9"/>
      <c r="SFW41" s="9"/>
      <c r="SFX41" s="9"/>
      <c r="SFY41" s="9"/>
      <c r="SFZ41" s="9"/>
      <c r="SGA41" s="9"/>
      <c r="SGB41" s="9"/>
      <c r="SGC41" s="9"/>
      <c r="SGD41" s="9"/>
      <c r="SGE41" s="9"/>
      <c r="SGF41" s="9"/>
      <c r="SGG41" s="9"/>
      <c r="SGH41" s="9"/>
      <c r="SGI41" s="9"/>
      <c r="SGJ41" s="9"/>
      <c r="SGK41" s="9"/>
      <c r="SGL41" s="9"/>
      <c r="SGM41" s="9"/>
      <c r="SGN41" s="9"/>
      <c r="SGO41" s="9"/>
      <c r="SGP41" s="9"/>
      <c r="SGQ41" s="9"/>
      <c r="SGR41" s="9"/>
      <c r="SGS41" s="9"/>
      <c r="SGT41" s="9"/>
      <c r="SGU41" s="9"/>
      <c r="SGV41" s="9"/>
      <c r="SGW41" s="9"/>
      <c r="SGX41" s="9"/>
      <c r="SGY41" s="9"/>
      <c r="SGZ41" s="9"/>
      <c r="SHA41" s="9"/>
      <c r="SHB41" s="9"/>
      <c r="SHC41" s="9"/>
      <c r="SHD41" s="9"/>
      <c r="SHE41" s="9"/>
      <c r="SHF41" s="9"/>
      <c r="SHG41" s="9"/>
      <c r="SHH41" s="9"/>
      <c r="SHI41" s="9"/>
      <c r="SHJ41" s="9"/>
      <c r="SHK41" s="9"/>
      <c r="SHL41" s="9"/>
      <c r="SHM41" s="9"/>
      <c r="SHN41" s="9"/>
      <c r="SHO41" s="9"/>
      <c r="SHP41" s="9"/>
      <c r="SHQ41" s="9"/>
      <c r="SHR41" s="9"/>
      <c r="SHS41" s="9"/>
      <c r="SHT41" s="9"/>
      <c r="SHU41" s="9"/>
      <c r="SHV41" s="9"/>
      <c r="SHW41" s="9"/>
      <c r="SHX41" s="9"/>
      <c r="SHY41" s="9"/>
      <c r="SHZ41" s="9"/>
      <c r="SIA41" s="9"/>
      <c r="SIB41" s="9"/>
      <c r="SIC41" s="9"/>
      <c r="SID41" s="9"/>
      <c r="SIE41" s="9"/>
      <c r="SIF41" s="9"/>
      <c r="SIG41" s="9"/>
      <c r="SIH41" s="9"/>
      <c r="SII41" s="9"/>
      <c r="SIJ41" s="9"/>
      <c r="SIK41" s="9"/>
      <c r="SIL41" s="9"/>
      <c r="SIM41" s="9"/>
      <c r="SIN41" s="9"/>
      <c r="SIO41" s="9"/>
      <c r="SIP41" s="9"/>
      <c r="SIQ41" s="9"/>
      <c r="SIR41" s="9"/>
      <c r="SIS41" s="9"/>
      <c r="SIT41" s="9"/>
      <c r="SIU41" s="9"/>
      <c r="SIV41" s="9"/>
      <c r="SIW41" s="9"/>
      <c r="SIX41" s="9"/>
      <c r="SIY41" s="9"/>
      <c r="SIZ41" s="9"/>
      <c r="SJA41" s="9"/>
      <c r="SJB41" s="9"/>
      <c r="SJC41" s="9"/>
      <c r="SJD41" s="9"/>
      <c r="SJE41" s="9"/>
      <c r="SJF41" s="9"/>
      <c r="SJG41" s="9"/>
      <c r="SJH41" s="9"/>
      <c r="SJI41" s="9"/>
      <c r="SJJ41" s="9"/>
      <c r="SJK41" s="9"/>
      <c r="SJL41" s="9"/>
      <c r="SJM41" s="9"/>
      <c r="SJN41" s="9"/>
      <c r="SJO41" s="9"/>
      <c r="SJP41" s="9"/>
      <c r="SJQ41" s="9"/>
      <c r="SJR41" s="9"/>
      <c r="SJS41" s="9"/>
      <c r="SJT41" s="9"/>
      <c r="SJU41" s="9"/>
      <c r="SJV41" s="9"/>
      <c r="SJW41" s="9"/>
      <c r="SJX41" s="9"/>
      <c r="SJY41" s="9"/>
      <c r="SJZ41" s="9"/>
      <c r="SKA41" s="9"/>
      <c r="SKB41" s="9"/>
      <c r="SKC41" s="9"/>
      <c r="SKD41" s="9"/>
      <c r="SKE41" s="9"/>
      <c r="SKF41" s="9"/>
      <c r="SKG41" s="9"/>
      <c r="SKH41" s="9"/>
      <c r="SKI41" s="9"/>
      <c r="SKJ41" s="9"/>
      <c r="SKK41" s="9"/>
      <c r="SKL41" s="9"/>
      <c r="SKM41" s="9"/>
      <c r="SKN41" s="9"/>
      <c r="SKO41" s="9"/>
      <c r="SKP41" s="9"/>
      <c r="SKQ41" s="9"/>
      <c r="SKR41" s="9"/>
      <c r="SKS41" s="9"/>
      <c r="SKT41" s="9"/>
      <c r="SKU41" s="9"/>
      <c r="SKV41" s="9"/>
      <c r="SKW41" s="9"/>
      <c r="SKX41" s="9"/>
      <c r="SKY41" s="9"/>
      <c r="SKZ41" s="9"/>
      <c r="SLA41" s="9"/>
      <c r="SLB41" s="9"/>
      <c r="SLC41" s="9"/>
      <c r="SLD41" s="9"/>
      <c r="SLE41" s="9"/>
      <c r="SLF41" s="9"/>
      <c r="SLG41" s="9"/>
      <c r="SLH41" s="9"/>
      <c r="SLI41" s="9"/>
      <c r="SLJ41" s="9"/>
      <c r="SLK41" s="9"/>
      <c r="SLL41" s="9"/>
      <c r="SLM41" s="9"/>
      <c r="SLN41" s="9"/>
      <c r="SLO41" s="9"/>
      <c r="SLP41" s="9"/>
      <c r="SLQ41" s="9"/>
      <c r="SLR41" s="9"/>
      <c r="SLS41" s="9"/>
      <c r="SLT41" s="9"/>
      <c r="SLU41" s="9"/>
      <c r="SLV41" s="9"/>
      <c r="SLW41" s="9"/>
      <c r="SLX41" s="9"/>
      <c r="SLY41" s="9"/>
      <c r="SLZ41" s="9"/>
      <c r="SMA41" s="9"/>
      <c r="SMB41" s="9"/>
      <c r="SMC41" s="9"/>
      <c r="SMD41" s="9"/>
      <c r="SME41" s="9"/>
      <c r="SMF41" s="9"/>
      <c r="SMG41" s="9"/>
      <c r="SMH41" s="9"/>
      <c r="SMI41" s="9"/>
      <c r="SMJ41" s="9"/>
      <c r="SMK41" s="9"/>
      <c r="SML41" s="9"/>
      <c r="SMM41" s="9"/>
      <c r="SMN41" s="9"/>
      <c r="SMO41" s="9"/>
      <c r="SMP41" s="9"/>
      <c r="SMQ41" s="9"/>
      <c r="SMR41" s="9"/>
      <c r="SMS41" s="9"/>
      <c r="SMT41" s="9"/>
      <c r="SMU41" s="9"/>
      <c r="SMV41" s="9"/>
      <c r="SMW41" s="9"/>
      <c r="SMX41" s="9"/>
      <c r="SMY41" s="9"/>
      <c r="SMZ41" s="9"/>
      <c r="SNA41" s="9"/>
      <c r="SNB41" s="9"/>
      <c r="SNC41" s="9"/>
      <c r="SND41" s="9"/>
      <c r="SNE41" s="9"/>
      <c r="SNF41" s="9"/>
      <c r="SNG41" s="9"/>
      <c r="SNH41" s="9"/>
      <c r="SNI41" s="9"/>
      <c r="SNJ41" s="9"/>
      <c r="SNK41" s="9"/>
      <c r="SNL41" s="9"/>
      <c r="SNM41" s="9"/>
      <c r="SNN41" s="9"/>
      <c r="SNO41" s="9"/>
      <c r="SNP41" s="9"/>
      <c r="SNQ41" s="9"/>
      <c r="SNR41" s="9"/>
      <c r="SNS41" s="9"/>
      <c r="SNT41" s="9"/>
      <c r="SNU41" s="9"/>
      <c r="SNV41" s="9"/>
      <c r="SNW41" s="9"/>
      <c r="SNX41" s="9"/>
      <c r="SNY41" s="9"/>
      <c r="SNZ41" s="9"/>
      <c r="SOA41" s="9"/>
      <c r="SOB41" s="9"/>
      <c r="SOC41" s="9"/>
      <c r="SOD41" s="9"/>
      <c r="SOE41" s="9"/>
      <c r="SOF41" s="9"/>
      <c r="SOG41" s="9"/>
      <c r="SOH41" s="9"/>
      <c r="SOI41" s="9"/>
      <c r="SOJ41" s="9"/>
      <c r="SOK41" s="9"/>
      <c r="SOL41" s="9"/>
      <c r="SOM41" s="9"/>
      <c r="SON41" s="9"/>
      <c r="SOO41" s="9"/>
      <c r="SOP41" s="9"/>
      <c r="SOQ41" s="9"/>
      <c r="SOR41" s="9"/>
      <c r="SOS41" s="9"/>
      <c r="SOT41" s="9"/>
      <c r="SOU41" s="9"/>
      <c r="SOV41" s="9"/>
      <c r="SOW41" s="9"/>
      <c r="SOX41" s="9"/>
      <c r="SOY41" s="9"/>
      <c r="SOZ41" s="9"/>
      <c r="SPA41" s="9"/>
      <c r="SPB41" s="9"/>
      <c r="SPC41" s="9"/>
      <c r="SPD41" s="9"/>
      <c r="SPE41" s="9"/>
      <c r="SPF41" s="9"/>
      <c r="SPG41" s="9"/>
      <c r="SPH41" s="9"/>
      <c r="SPI41" s="9"/>
      <c r="SPJ41" s="9"/>
      <c r="SPK41" s="9"/>
      <c r="SPL41" s="9"/>
      <c r="SPM41" s="9"/>
      <c r="SPN41" s="9"/>
      <c r="SPO41" s="9"/>
      <c r="SPP41" s="9"/>
      <c r="SPQ41" s="9"/>
      <c r="SPR41" s="9"/>
      <c r="SPS41" s="9"/>
      <c r="SPT41" s="9"/>
      <c r="SPU41" s="9"/>
      <c r="SPV41" s="9"/>
      <c r="SPW41" s="9"/>
      <c r="SPX41" s="9"/>
      <c r="SPY41" s="9"/>
      <c r="SPZ41" s="9"/>
      <c r="SQA41" s="9"/>
      <c r="SQB41" s="9"/>
      <c r="SQC41" s="9"/>
      <c r="SQD41" s="9"/>
      <c r="SQE41" s="9"/>
      <c r="SQF41" s="9"/>
      <c r="SQG41" s="9"/>
      <c r="SQH41" s="9"/>
      <c r="SQI41" s="9"/>
      <c r="SQJ41" s="9"/>
      <c r="SQK41" s="9"/>
      <c r="SQL41" s="9"/>
      <c r="SQM41" s="9"/>
      <c r="SQN41" s="9"/>
      <c r="SQO41" s="9"/>
      <c r="SQP41" s="9"/>
      <c r="SQQ41" s="9"/>
      <c r="SQR41" s="9"/>
      <c r="SQS41" s="9"/>
      <c r="SQT41" s="9"/>
      <c r="SQU41" s="9"/>
      <c r="SQV41" s="9"/>
      <c r="SQW41" s="9"/>
      <c r="SQX41" s="9"/>
      <c r="SQY41" s="9"/>
      <c r="SQZ41" s="9"/>
      <c r="SRA41" s="9"/>
      <c r="SRB41" s="9"/>
      <c r="SRC41" s="9"/>
      <c r="SRD41" s="9"/>
      <c r="SRE41" s="9"/>
      <c r="SRF41" s="9"/>
      <c r="SRG41" s="9"/>
      <c r="SRH41" s="9"/>
      <c r="SRI41" s="9"/>
      <c r="SRJ41" s="9"/>
      <c r="SRK41" s="9"/>
      <c r="SRL41" s="9"/>
      <c r="SRM41" s="9"/>
      <c r="SRN41" s="9"/>
      <c r="SRO41" s="9"/>
      <c r="SRP41" s="9"/>
      <c r="SRQ41" s="9"/>
      <c r="SRR41" s="9"/>
      <c r="SRS41" s="9"/>
      <c r="SRT41" s="9"/>
      <c r="SRU41" s="9"/>
      <c r="SRV41" s="9"/>
      <c r="SRW41" s="9"/>
      <c r="SRX41" s="9"/>
      <c r="SRY41" s="9"/>
      <c r="SRZ41" s="9"/>
      <c r="SSA41" s="9"/>
      <c r="SSB41" s="9"/>
      <c r="SSC41" s="9"/>
      <c r="SSD41" s="9"/>
      <c r="SSE41" s="9"/>
      <c r="SSF41" s="9"/>
      <c r="SSG41" s="9"/>
      <c r="SSH41" s="9"/>
      <c r="SSI41" s="9"/>
      <c r="SSJ41" s="9"/>
      <c r="SSK41" s="9"/>
      <c r="SSL41" s="9"/>
      <c r="SSM41" s="9"/>
      <c r="SSN41" s="9"/>
      <c r="SSO41" s="9"/>
      <c r="SSP41" s="9"/>
      <c r="SSQ41" s="9"/>
      <c r="SSR41" s="9"/>
      <c r="SSS41" s="9"/>
      <c r="SST41" s="9"/>
      <c r="SSU41" s="9"/>
      <c r="SSV41" s="9"/>
      <c r="SSW41" s="9"/>
      <c r="SSX41" s="9"/>
      <c r="SSY41" s="9"/>
      <c r="SSZ41" s="9"/>
      <c r="STA41" s="9"/>
      <c r="STB41" s="9"/>
      <c r="STC41" s="9"/>
      <c r="STD41" s="9"/>
      <c r="STE41" s="9"/>
      <c r="STF41" s="9"/>
      <c r="STG41" s="9"/>
      <c r="STH41" s="9"/>
      <c r="STI41" s="9"/>
      <c r="STJ41" s="9"/>
      <c r="STK41" s="9"/>
      <c r="STL41" s="9"/>
      <c r="STM41" s="9"/>
      <c r="STN41" s="9"/>
      <c r="STO41" s="9"/>
      <c r="STP41" s="9"/>
      <c r="STQ41" s="9"/>
      <c r="STR41" s="9"/>
      <c r="STS41" s="9"/>
      <c r="STT41" s="9"/>
      <c r="STU41" s="9"/>
      <c r="STV41" s="9"/>
      <c r="STW41" s="9"/>
      <c r="STX41" s="9"/>
      <c r="STY41" s="9"/>
      <c r="STZ41" s="9"/>
      <c r="SUA41" s="9"/>
      <c r="SUB41" s="9"/>
      <c r="SUC41" s="9"/>
      <c r="SUD41" s="9"/>
      <c r="SUE41" s="9"/>
      <c r="SUF41" s="9"/>
      <c r="SUG41" s="9"/>
      <c r="SUH41" s="9"/>
      <c r="SUI41" s="9"/>
      <c r="SUJ41" s="9"/>
      <c r="SUK41" s="9"/>
      <c r="SUL41" s="9"/>
      <c r="SUM41" s="9"/>
      <c r="SUN41" s="9"/>
      <c r="SUO41" s="9"/>
      <c r="SUP41" s="9"/>
      <c r="SUQ41" s="9"/>
      <c r="SUR41" s="9"/>
      <c r="SUS41" s="9"/>
      <c r="SUT41" s="9"/>
      <c r="SUU41" s="9"/>
      <c r="SUV41" s="9"/>
      <c r="SUW41" s="9"/>
      <c r="SUX41" s="9"/>
      <c r="SUY41" s="9"/>
      <c r="SUZ41" s="9"/>
      <c r="SVA41" s="9"/>
      <c r="SVB41" s="9"/>
      <c r="SVC41" s="9"/>
      <c r="SVD41" s="9"/>
      <c r="SVE41" s="9"/>
      <c r="SVF41" s="9"/>
      <c r="SVG41" s="9"/>
      <c r="SVH41" s="9"/>
      <c r="SVI41" s="9"/>
      <c r="SVJ41" s="9"/>
      <c r="SVK41" s="9"/>
      <c r="SVL41" s="9"/>
      <c r="SVM41" s="9"/>
      <c r="SVN41" s="9"/>
      <c r="SVO41" s="9"/>
      <c r="SVP41" s="9"/>
      <c r="SVQ41" s="9"/>
      <c r="SVR41" s="9"/>
      <c r="SVS41" s="9"/>
      <c r="SVT41" s="9"/>
      <c r="SVU41" s="9"/>
      <c r="SVV41" s="9"/>
      <c r="SVW41" s="9"/>
      <c r="SVX41" s="9"/>
      <c r="SVY41" s="9"/>
      <c r="SVZ41" s="9"/>
      <c r="SWA41" s="9"/>
      <c r="SWB41" s="9"/>
      <c r="SWC41" s="9"/>
      <c r="SWD41" s="9"/>
      <c r="SWE41" s="9"/>
      <c r="SWF41" s="9"/>
      <c r="SWG41" s="9"/>
      <c r="SWH41" s="9"/>
      <c r="SWI41" s="9"/>
      <c r="SWJ41" s="9"/>
      <c r="SWK41" s="9"/>
      <c r="SWL41" s="9"/>
      <c r="SWM41" s="9"/>
      <c r="SWN41" s="9"/>
      <c r="SWO41" s="9"/>
      <c r="SWP41" s="9"/>
      <c r="SWQ41" s="9"/>
      <c r="SWR41" s="9"/>
      <c r="SWS41" s="9"/>
      <c r="SWT41" s="9"/>
      <c r="SWU41" s="9"/>
      <c r="SWV41" s="9"/>
      <c r="SWW41" s="9"/>
      <c r="SWX41" s="9"/>
      <c r="SWY41" s="9"/>
      <c r="SWZ41" s="9"/>
      <c r="SXA41" s="9"/>
      <c r="SXB41" s="9"/>
      <c r="SXC41" s="9"/>
      <c r="SXD41" s="9"/>
      <c r="SXE41" s="9"/>
      <c r="SXF41" s="9"/>
      <c r="SXG41" s="9"/>
      <c r="SXH41" s="9"/>
      <c r="SXI41" s="9"/>
      <c r="SXJ41" s="9"/>
      <c r="SXK41" s="9"/>
      <c r="SXL41" s="9"/>
      <c r="SXM41" s="9"/>
      <c r="SXN41" s="9"/>
      <c r="SXO41" s="9"/>
      <c r="SXP41" s="9"/>
      <c r="SXQ41" s="9"/>
      <c r="SXR41" s="9"/>
      <c r="SXS41" s="9"/>
      <c r="SXT41" s="9"/>
      <c r="SXU41" s="9"/>
      <c r="SXV41" s="9"/>
      <c r="SXW41" s="9"/>
      <c r="SXX41" s="9"/>
      <c r="SXY41" s="9"/>
      <c r="SXZ41" s="9"/>
      <c r="SYA41" s="9"/>
      <c r="SYB41" s="9"/>
      <c r="SYC41" s="9"/>
      <c r="SYD41" s="9"/>
      <c r="SYE41" s="9"/>
      <c r="SYF41" s="9"/>
      <c r="SYG41" s="9"/>
      <c r="SYH41" s="9"/>
      <c r="SYI41" s="9"/>
      <c r="SYJ41" s="9"/>
      <c r="SYK41" s="9"/>
      <c r="SYL41" s="9"/>
      <c r="SYM41" s="9"/>
      <c r="SYN41" s="9"/>
      <c r="SYO41" s="9"/>
      <c r="SYP41" s="9"/>
      <c r="SYQ41" s="9"/>
      <c r="SYR41" s="9"/>
      <c r="SYS41" s="9"/>
      <c r="SYT41" s="9"/>
      <c r="SYU41" s="9"/>
      <c r="SYV41" s="9"/>
      <c r="SYW41" s="9"/>
      <c r="SYX41" s="9"/>
      <c r="SYY41" s="9"/>
      <c r="SYZ41" s="9"/>
      <c r="SZA41" s="9"/>
      <c r="SZB41" s="9"/>
      <c r="SZC41" s="9"/>
      <c r="SZD41" s="9"/>
      <c r="SZE41" s="9"/>
      <c r="SZF41" s="9"/>
      <c r="SZG41" s="9"/>
      <c r="SZH41" s="9"/>
      <c r="SZI41" s="9"/>
      <c r="SZJ41" s="9"/>
      <c r="SZK41" s="9"/>
      <c r="SZL41" s="9"/>
      <c r="SZM41" s="9"/>
      <c r="SZN41" s="9"/>
      <c r="SZO41" s="9"/>
      <c r="SZP41" s="9"/>
      <c r="SZQ41" s="9"/>
      <c r="SZR41" s="9"/>
      <c r="SZS41" s="9"/>
      <c r="SZT41" s="9"/>
      <c r="SZU41" s="9"/>
      <c r="SZV41" s="9"/>
      <c r="SZW41" s="9"/>
      <c r="SZX41" s="9"/>
      <c r="SZY41" s="9"/>
      <c r="SZZ41" s="9"/>
      <c r="TAA41" s="9"/>
      <c r="TAB41" s="9"/>
      <c r="TAC41" s="9"/>
      <c r="TAD41" s="9"/>
      <c r="TAE41" s="9"/>
      <c r="TAF41" s="9"/>
      <c r="TAG41" s="9"/>
      <c r="TAH41" s="9"/>
      <c r="TAI41" s="9"/>
      <c r="TAJ41" s="9"/>
      <c r="TAK41" s="9"/>
      <c r="TAL41" s="9"/>
      <c r="TAM41" s="9"/>
      <c r="TAN41" s="9"/>
      <c r="TAO41" s="9"/>
      <c r="TAP41" s="9"/>
      <c r="TAQ41" s="9"/>
      <c r="TAR41" s="9"/>
      <c r="TAS41" s="9"/>
      <c r="TAT41" s="9"/>
      <c r="TAU41" s="9"/>
      <c r="TAV41" s="9"/>
      <c r="TAW41" s="9"/>
      <c r="TAX41" s="9"/>
      <c r="TAY41" s="9"/>
      <c r="TAZ41" s="9"/>
      <c r="TBA41" s="9"/>
      <c r="TBB41" s="9"/>
      <c r="TBC41" s="9"/>
      <c r="TBD41" s="9"/>
      <c r="TBE41" s="9"/>
      <c r="TBF41" s="9"/>
      <c r="TBG41" s="9"/>
      <c r="TBH41" s="9"/>
      <c r="TBI41" s="9"/>
      <c r="TBJ41" s="9"/>
      <c r="TBK41" s="9"/>
      <c r="TBL41" s="9"/>
      <c r="TBM41" s="9"/>
      <c r="TBN41" s="9"/>
      <c r="TBO41" s="9"/>
      <c r="TBP41" s="9"/>
      <c r="TBQ41" s="9"/>
      <c r="TBR41" s="9"/>
      <c r="TBS41" s="9"/>
      <c r="TBT41" s="9"/>
      <c r="TBU41" s="9"/>
      <c r="TBV41" s="9"/>
      <c r="TBW41" s="9"/>
      <c r="TBX41" s="9"/>
      <c r="TBY41" s="9"/>
      <c r="TBZ41" s="9"/>
      <c r="TCA41" s="9"/>
      <c r="TCB41" s="9"/>
      <c r="TCC41" s="9"/>
      <c r="TCD41" s="9"/>
      <c r="TCE41" s="9"/>
      <c r="TCF41" s="9"/>
      <c r="TCG41" s="9"/>
      <c r="TCH41" s="9"/>
      <c r="TCI41" s="9"/>
      <c r="TCJ41" s="9"/>
      <c r="TCK41" s="9"/>
      <c r="TCL41" s="9"/>
      <c r="TCM41" s="9"/>
      <c r="TCN41" s="9"/>
      <c r="TCO41" s="9"/>
      <c r="TCP41" s="9"/>
      <c r="TCQ41" s="9"/>
      <c r="TCR41" s="9"/>
      <c r="TCS41" s="9"/>
      <c r="TCT41" s="9"/>
      <c r="TCU41" s="9"/>
      <c r="TCV41" s="9"/>
      <c r="TCW41" s="9"/>
      <c r="TCX41" s="9"/>
      <c r="TCY41" s="9"/>
      <c r="TCZ41" s="9"/>
      <c r="TDA41" s="9"/>
      <c r="TDB41" s="9"/>
      <c r="TDC41" s="9"/>
      <c r="TDD41" s="9"/>
      <c r="TDE41" s="9"/>
      <c r="TDF41" s="9"/>
      <c r="TDG41" s="9"/>
      <c r="TDH41" s="9"/>
      <c r="TDI41" s="9"/>
      <c r="TDJ41" s="9"/>
      <c r="TDK41" s="9"/>
      <c r="TDL41" s="9"/>
      <c r="TDM41" s="9"/>
      <c r="TDN41" s="9"/>
      <c r="TDO41" s="9"/>
      <c r="TDP41" s="9"/>
      <c r="TDQ41" s="9"/>
      <c r="TDR41" s="9"/>
      <c r="TDS41" s="9"/>
      <c r="TDT41" s="9"/>
      <c r="TDU41" s="9"/>
      <c r="TDV41" s="9"/>
      <c r="TDW41" s="9"/>
      <c r="TDX41" s="9"/>
      <c r="TDY41" s="9"/>
      <c r="TDZ41" s="9"/>
      <c r="TEA41" s="9"/>
      <c r="TEB41" s="9"/>
      <c r="TEC41" s="9"/>
      <c r="TED41" s="9"/>
      <c r="TEE41" s="9"/>
      <c r="TEF41" s="9"/>
      <c r="TEG41" s="9"/>
      <c r="TEH41" s="9"/>
      <c r="TEI41" s="9"/>
      <c r="TEJ41" s="9"/>
      <c r="TEK41" s="9"/>
      <c r="TEL41" s="9"/>
      <c r="TEM41" s="9"/>
      <c r="TEN41" s="9"/>
      <c r="TEO41" s="9"/>
      <c r="TEP41" s="9"/>
      <c r="TEQ41" s="9"/>
      <c r="TER41" s="9"/>
      <c r="TES41" s="9"/>
      <c r="TET41" s="9"/>
      <c r="TEU41" s="9"/>
      <c r="TEV41" s="9"/>
      <c r="TEW41" s="9"/>
      <c r="TEX41" s="9"/>
      <c r="TEY41" s="9"/>
      <c r="TEZ41" s="9"/>
      <c r="TFA41" s="9"/>
      <c r="TFB41" s="9"/>
      <c r="TFC41" s="9"/>
      <c r="TFD41" s="9"/>
      <c r="TFE41" s="9"/>
      <c r="TFF41" s="9"/>
      <c r="TFG41" s="9"/>
      <c r="TFH41" s="9"/>
      <c r="TFI41" s="9"/>
      <c r="TFJ41" s="9"/>
      <c r="TFK41" s="9"/>
      <c r="TFL41" s="9"/>
      <c r="TFM41" s="9"/>
      <c r="TFN41" s="9"/>
      <c r="TFO41" s="9"/>
      <c r="TFP41" s="9"/>
      <c r="TFQ41" s="9"/>
      <c r="TFR41" s="9"/>
      <c r="TFS41" s="9"/>
      <c r="TFT41" s="9"/>
      <c r="TFU41" s="9"/>
      <c r="TFV41" s="9"/>
      <c r="TFW41" s="9"/>
      <c r="TFX41" s="9"/>
      <c r="TFY41" s="9"/>
      <c r="TFZ41" s="9"/>
      <c r="TGA41" s="9"/>
      <c r="TGB41" s="9"/>
      <c r="TGC41" s="9"/>
      <c r="TGD41" s="9"/>
      <c r="TGE41" s="9"/>
      <c r="TGF41" s="9"/>
      <c r="TGG41" s="9"/>
      <c r="TGH41" s="9"/>
      <c r="TGI41" s="9"/>
      <c r="TGJ41" s="9"/>
      <c r="TGK41" s="9"/>
      <c r="TGL41" s="9"/>
      <c r="TGM41" s="9"/>
      <c r="TGN41" s="9"/>
      <c r="TGO41" s="9"/>
      <c r="TGP41" s="9"/>
      <c r="TGQ41" s="9"/>
      <c r="TGR41" s="9"/>
      <c r="TGS41" s="9"/>
      <c r="TGT41" s="9"/>
      <c r="TGU41" s="9"/>
      <c r="TGV41" s="9"/>
      <c r="TGW41" s="9"/>
      <c r="TGX41" s="9"/>
      <c r="TGY41" s="9"/>
      <c r="TGZ41" s="9"/>
      <c r="THA41" s="9"/>
      <c r="THB41" s="9"/>
      <c r="THC41" s="9"/>
      <c r="THD41" s="9"/>
      <c r="THE41" s="9"/>
      <c r="THF41" s="9"/>
      <c r="THG41" s="9"/>
      <c r="THH41" s="9"/>
      <c r="THI41" s="9"/>
      <c r="THJ41" s="9"/>
      <c r="THK41" s="9"/>
      <c r="THL41" s="9"/>
      <c r="THM41" s="9"/>
      <c r="THN41" s="9"/>
      <c r="THO41" s="9"/>
      <c r="THP41" s="9"/>
      <c r="THQ41" s="9"/>
      <c r="THR41" s="9"/>
      <c r="THS41" s="9"/>
      <c r="THT41" s="9"/>
      <c r="THU41" s="9"/>
      <c r="THV41" s="9"/>
      <c r="THW41" s="9"/>
      <c r="THX41" s="9"/>
      <c r="THY41" s="9"/>
      <c r="THZ41" s="9"/>
      <c r="TIA41" s="9"/>
      <c r="TIB41" s="9"/>
      <c r="TIC41" s="9"/>
      <c r="TID41" s="9"/>
      <c r="TIE41" s="9"/>
      <c r="TIF41" s="9"/>
      <c r="TIG41" s="9"/>
      <c r="TIH41" s="9"/>
      <c r="TII41" s="9"/>
      <c r="TIJ41" s="9"/>
      <c r="TIK41" s="9"/>
      <c r="TIL41" s="9"/>
      <c r="TIM41" s="9"/>
      <c r="TIN41" s="9"/>
      <c r="TIO41" s="9"/>
      <c r="TIP41" s="9"/>
      <c r="TIQ41" s="9"/>
      <c r="TIR41" s="9"/>
      <c r="TIS41" s="9"/>
      <c r="TIT41" s="9"/>
      <c r="TIU41" s="9"/>
      <c r="TIV41" s="9"/>
      <c r="TIW41" s="9"/>
      <c r="TIX41" s="9"/>
      <c r="TIY41" s="9"/>
      <c r="TIZ41" s="9"/>
      <c r="TJA41" s="9"/>
      <c r="TJB41" s="9"/>
      <c r="TJC41" s="9"/>
      <c r="TJD41" s="9"/>
      <c r="TJE41" s="9"/>
      <c r="TJF41" s="9"/>
      <c r="TJG41" s="9"/>
      <c r="TJH41" s="9"/>
      <c r="TJI41" s="9"/>
      <c r="TJJ41" s="9"/>
      <c r="TJK41" s="9"/>
      <c r="TJL41" s="9"/>
      <c r="TJM41" s="9"/>
      <c r="TJN41" s="9"/>
      <c r="TJO41" s="9"/>
      <c r="TJP41" s="9"/>
      <c r="TJQ41" s="9"/>
      <c r="TJR41" s="9"/>
      <c r="TJS41" s="9"/>
      <c r="TJT41" s="9"/>
      <c r="TJU41" s="9"/>
      <c r="TJV41" s="9"/>
      <c r="TJW41" s="9"/>
      <c r="TJX41" s="9"/>
      <c r="TJY41" s="9"/>
      <c r="TJZ41" s="9"/>
      <c r="TKA41" s="9"/>
      <c r="TKB41" s="9"/>
      <c r="TKC41" s="9"/>
      <c r="TKD41" s="9"/>
      <c r="TKE41" s="9"/>
      <c r="TKF41" s="9"/>
      <c r="TKG41" s="9"/>
      <c r="TKH41" s="9"/>
      <c r="TKI41" s="9"/>
      <c r="TKJ41" s="9"/>
      <c r="TKK41" s="9"/>
      <c r="TKL41" s="9"/>
      <c r="TKM41" s="9"/>
      <c r="TKN41" s="9"/>
      <c r="TKO41" s="9"/>
      <c r="TKP41" s="9"/>
      <c r="TKQ41" s="9"/>
      <c r="TKR41" s="9"/>
      <c r="TKS41" s="9"/>
      <c r="TKT41" s="9"/>
      <c r="TKU41" s="9"/>
      <c r="TKV41" s="9"/>
      <c r="TKW41" s="9"/>
      <c r="TKX41" s="9"/>
      <c r="TKY41" s="9"/>
      <c r="TKZ41" s="9"/>
      <c r="TLA41" s="9"/>
      <c r="TLB41" s="9"/>
      <c r="TLC41" s="9"/>
      <c r="TLD41" s="9"/>
      <c r="TLE41" s="9"/>
      <c r="TLF41" s="9"/>
      <c r="TLG41" s="9"/>
      <c r="TLH41" s="9"/>
      <c r="TLI41" s="9"/>
      <c r="TLJ41" s="9"/>
      <c r="TLK41" s="9"/>
      <c r="TLL41" s="9"/>
      <c r="TLM41" s="9"/>
      <c r="TLN41" s="9"/>
      <c r="TLO41" s="9"/>
      <c r="TLP41" s="9"/>
      <c r="TLQ41" s="9"/>
      <c r="TLR41" s="9"/>
      <c r="TLS41" s="9"/>
      <c r="TLT41" s="9"/>
      <c r="TLU41" s="9"/>
      <c r="TLV41" s="9"/>
      <c r="TLW41" s="9"/>
      <c r="TLX41" s="9"/>
      <c r="TLY41" s="9"/>
      <c r="TLZ41" s="9"/>
      <c r="TMA41" s="9"/>
      <c r="TMB41" s="9"/>
      <c r="TMC41" s="9"/>
      <c r="TMD41" s="9"/>
      <c r="TME41" s="9"/>
      <c r="TMF41" s="9"/>
      <c r="TMG41" s="9"/>
      <c r="TMH41" s="9"/>
      <c r="TMI41" s="9"/>
      <c r="TMJ41" s="9"/>
      <c r="TMK41" s="9"/>
      <c r="TML41" s="9"/>
      <c r="TMM41" s="9"/>
      <c r="TMN41" s="9"/>
      <c r="TMO41" s="9"/>
      <c r="TMP41" s="9"/>
      <c r="TMQ41" s="9"/>
      <c r="TMR41" s="9"/>
      <c r="TMS41" s="9"/>
      <c r="TMT41" s="9"/>
      <c r="TMU41" s="9"/>
      <c r="TMV41" s="9"/>
      <c r="TMW41" s="9"/>
      <c r="TMX41" s="9"/>
      <c r="TMY41" s="9"/>
      <c r="TMZ41" s="9"/>
      <c r="TNA41" s="9"/>
      <c r="TNB41" s="9"/>
      <c r="TNC41" s="9"/>
      <c r="TND41" s="9"/>
      <c r="TNE41" s="9"/>
      <c r="TNF41" s="9"/>
      <c r="TNG41" s="9"/>
      <c r="TNH41" s="9"/>
      <c r="TNI41" s="9"/>
      <c r="TNJ41" s="9"/>
      <c r="TNK41" s="9"/>
      <c r="TNL41" s="9"/>
      <c r="TNM41" s="9"/>
      <c r="TNN41" s="9"/>
      <c r="TNO41" s="9"/>
      <c r="TNP41" s="9"/>
      <c r="TNQ41" s="9"/>
      <c r="TNR41" s="9"/>
      <c r="TNS41" s="9"/>
      <c r="TNT41" s="9"/>
      <c r="TNU41" s="9"/>
      <c r="TNV41" s="9"/>
      <c r="TNW41" s="9"/>
      <c r="TNX41" s="9"/>
      <c r="TNY41" s="9"/>
      <c r="TNZ41" s="9"/>
      <c r="TOA41" s="9"/>
      <c r="TOB41" s="9"/>
      <c r="TOC41" s="9"/>
      <c r="TOD41" s="9"/>
      <c r="TOE41" s="9"/>
      <c r="TOF41" s="9"/>
      <c r="TOG41" s="9"/>
      <c r="TOH41" s="9"/>
      <c r="TOI41" s="9"/>
      <c r="TOJ41" s="9"/>
      <c r="TOK41" s="9"/>
      <c r="TOL41" s="9"/>
      <c r="TOM41" s="9"/>
      <c r="TON41" s="9"/>
      <c r="TOO41" s="9"/>
      <c r="TOP41" s="9"/>
      <c r="TOQ41" s="9"/>
      <c r="TOR41" s="9"/>
      <c r="TOS41" s="9"/>
      <c r="TOT41" s="9"/>
      <c r="TOU41" s="9"/>
      <c r="TOV41" s="9"/>
      <c r="TOW41" s="9"/>
      <c r="TOX41" s="9"/>
      <c r="TOY41" s="9"/>
      <c r="TOZ41" s="9"/>
      <c r="TPA41" s="9"/>
      <c r="TPB41" s="9"/>
      <c r="TPC41" s="9"/>
      <c r="TPD41" s="9"/>
      <c r="TPE41" s="9"/>
      <c r="TPF41" s="9"/>
      <c r="TPG41" s="9"/>
      <c r="TPH41" s="9"/>
      <c r="TPI41" s="9"/>
      <c r="TPJ41" s="9"/>
      <c r="TPK41" s="9"/>
      <c r="TPL41" s="9"/>
      <c r="TPM41" s="9"/>
      <c r="TPN41" s="9"/>
      <c r="TPO41" s="9"/>
      <c r="TPP41" s="9"/>
      <c r="TPQ41" s="9"/>
      <c r="TPR41" s="9"/>
      <c r="TPS41" s="9"/>
      <c r="TPT41" s="9"/>
      <c r="TPU41" s="9"/>
      <c r="TPV41" s="9"/>
      <c r="TPW41" s="9"/>
      <c r="TPX41" s="9"/>
      <c r="TPY41" s="9"/>
      <c r="TPZ41" s="9"/>
      <c r="TQA41" s="9"/>
      <c r="TQB41" s="9"/>
      <c r="TQC41" s="9"/>
      <c r="TQD41" s="9"/>
      <c r="TQE41" s="9"/>
      <c r="TQF41" s="9"/>
      <c r="TQG41" s="9"/>
      <c r="TQH41" s="9"/>
      <c r="TQI41" s="9"/>
      <c r="TQJ41" s="9"/>
      <c r="TQK41" s="9"/>
      <c r="TQL41" s="9"/>
      <c r="TQM41" s="9"/>
      <c r="TQN41" s="9"/>
      <c r="TQO41" s="9"/>
      <c r="TQP41" s="9"/>
      <c r="TQQ41" s="9"/>
      <c r="TQR41" s="9"/>
      <c r="TQS41" s="9"/>
      <c r="TQT41" s="9"/>
      <c r="TQU41" s="9"/>
      <c r="TQV41" s="9"/>
      <c r="TQW41" s="9"/>
      <c r="TQX41" s="9"/>
      <c r="TQY41" s="9"/>
      <c r="TQZ41" s="9"/>
      <c r="TRA41" s="9"/>
      <c r="TRB41" s="9"/>
      <c r="TRC41" s="9"/>
      <c r="TRD41" s="9"/>
      <c r="TRE41" s="9"/>
      <c r="TRF41" s="9"/>
      <c r="TRG41" s="9"/>
      <c r="TRH41" s="9"/>
      <c r="TRI41" s="9"/>
      <c r="TRJ41" s="9"/>
      <c r="TRK41" s="9"/>
      <c r="TRL41" s="9"/>
      <c r="TRM41" s="9"/>
      <c r="TRN41" s="9"/>
      <c r="TRO41" s="9"/>
      <c r="TRP41" s="9"/>
      <c r="TRQ41" s="9"/>
      <c r="TRR41" s="9"/>
      <c r="TRS41" s="9"/>
      <c r="TRT41" s="9"/>
      <c r="TRU41" s="9"/>
      <c r="TRV41" s="9"/>
      <c r="TRW41" s="9"/>
      <c r="TRX41" s="9"/>
      <c r="TRY41" s="9"/>
      <c r="TRZ41" s="9"/>
      <c r="TSA41" s="9"/>
      <c r="TSB41" s="9"/>
      <c r="TSC41" s="9"/>
      <c r="TSD41" s="9"/>
      <c r="TSE41" s="9"/>
      <c r="TSF41" s="9"/>
      <c r="TSG41" s="9"/>
      <c r="TSH41" s="9"/>
      <c r="TSI41" s="9"/>
      <c r="TSJ41" s="9"/>
      <c r="TSK41" s="9"/>
      <c r="TSL41" s="9"/>
      <c r="TSM41" s="9"/>
      <c r="TSN41" s="9"/>
      <c r="TSO41" s="9"/>
      <c r="TSP41" s="9"/>
      <c r="TSQ41" s="9"/>
      <c r="TSR41" s="9"/>
      <c r="TSS41" s="9"/>
      <c r="TST41" s="9"/>
      <c r="TSU41" s="9"/>
      <c r="TSV41" s="9"/>
      <c r="TSW41" s="9"/>
      <c r="TSX41" s="9"/>
      <c r="TSY41" s="9"/>
      <c r="TSZ41" s="9"/>
      <c r="TTA41" s="9"/>
      <c r="TTB41" s="9"/>
      <c r="TTC41" s="9"/>
      <c r="TTD41" s="9"/>
      <c r="TTE41" s="9"/>
      <c r="TTF41" s="9"/>
      <c r="TTG41" s="9"/>
      <c r="TTH41" s="9"/>
      <c r="TTI41" s="9"/>
      <c r="TTJ41" s="9"/>
      <c r="TTK41" s="9"/>
      <c r="TTL41" s="9"/>
      <c r="TTM41" s="9"/>
      <c r="TTN41" s="9"/>
      <c r="TTO41" s="9"/>
      <c r="TTP41" s="9"/>
      <c r="TTQ41" s="9"/>
      <c r="TTR41" s="9"/>
      <c r="TTS41" s="9"/>
      <c r="TTT41" s="9"/>
      <c r="TTU41" s="9"/>
      <c r="TTV41" s="9"/>
      <c r="TTW41" s="9"/>
      <c r="TTX41" s="9"/>
      <c r="TTY41" s="9"/>
      <c r="TTZ41" s="9"/>
      <c r="TUA41" s="9"/>
      <c r="TUB41" s="9"/>
      <c r="TUC41" s="9"/>
      <c r="TUD41" s="9"/>
      <c r="TUE41" s="9"/>
      <c r="TUF41" s="9"/>
      <c r="TUG41" s="9"/>
      <c r="TUH41" s="9"/>
      <c r="TUI41" s="9"/>
      <c r="TUJ41" s="9"/>
      <c r="TUK41" s="9"/>
      <c r="TUL41" s="9"/>
      <c r="TUM41" s="9"/>
      <c r="TUN41" s="9"/>
      <c r="TUO41" s="9"/>
      <c r="TUP41" s="9"/>
      <c r="TUQ41" s="9"/>
      <c r="TUR41" s="9"/>
      <c r="TUS41" s="9"/>
      <c r="TUT41" s="9"/>
      <c r="TUU41" s="9"/>
      <c r="TUV41" s="9"/>
      <c r="TUW41" s="9"/>
      <c r="TUX41" s="9"/>
      <c r="TUY41" s="9"/>
      <c r="TUZ41" s="9"/>
      <c r="TVA41" s="9"/>
      <c r="TVB41" s="9"/>
      <c r="TVC41" s="9"/>
      <c r="TVD41" s="9"/>
      <c r="TVE41" s="9"/>
      <c r="TVF41" s="9"/>
      <c r="TVG41" s="9"/>
      <c r="TVH41" s="9"/>
      <c r="TVI41" s="9"/>
      <c r="TVJ41" s="9"/>
      <c r="TVK41" s="9"/>
      <c r="TVL41" s="9"/>
      <c r="TVM41" s="9"/>
      <c r="TVN41" s="9"/>
      <c r="TVO41" s="9"/>
      <c r="TVP41" s="9"/>
      <c r="TVQ41" s="9"/>
      <c r="TVR41" s="9"/>
      <c r="TVS41" s="9"/>
      <c r="TVT41" s="9"/>
      <c r="TVU41" s="9"/>
      <c r="TVV41" s="9"/>
      <c r="TVW41" s="9"/>
      <c r="TVX41" s="9"/>
      <c r="TVY41" s="9"/>
      <c r="TVZ41" s="9"/>
      <c r="TWA41" s="9"/>
      <c r="TWB41" s="9"/>
      <c r="TWC41" s="9"/>
      <c r="TWD41" s="9"/>
      <c r="TWE41" s="9"/>
      <c r="TWF41" s="9"/>
      <c r="TWG41" s="9"/>
      <c r="TWH41" s="9"/>
      <c r="TWI41" s="9"/>
      <c r="TWJ41" s="9"/>
      <c r="TWK41" s="9"/>
      <c r="TWL41" s="9"/>
      <c r="TWM41" s="9"/>
      <c r="TWN41" s="9"/>
      <c r="TWO41" s="9"/>
      <c r="TWP41" s="9"/>
      <c r="TWQ41" s="9"/>
      <c r="TWR41" s="9"/>
      <c r="TWS41" s="9"/>
      <c r="TWT41" s="9"/>
      <c r="TWU41" s="9"/>
      <c r="TWV41" s="9"/>
      <c r="TWW41" s="9"/>
      <c r="TWX41" s="9"/>
      <c r="TWY41" s="9"/>
      <c r="TWZ41" s="9"/>
      <c r="TXA41" s="9"/>
      <c r="TXB41" s="9"/>
      <c r="TXC41" s="9"/>
      <c r="TXD41" s="9"/>
      <c r="TXE41" s="9"/>
      <c r="TXF41" s="9"/>
      <c r="TXG41" s="9"/>
      <c r="TXH41" s="9"/>
      <c r="TXI41" s="9"/>
      <c r="TXJ41" s="9"/>
      <c r="TXK41" s="9"/>
      <c r="TXL41" s="9"/>
      <c r="TXM41" s="9"/>
      <c r="TXN41" s="9"/>
      <c r="TXO41" s="9"/>
      <c r="TXP41" s="9"/>
      <c r="TXQ41" s="9"/>
      <c r="TXR41" s="9"/>
      <c r="TXS41" s="9"/>
      <c r="TXT41" s="9"/>
      <c r="TXU41" s="9"/>
      <c r="TXV41" s="9"/>
      <c r="TXW41" s="9"/>
      <c r="TXX41" s="9"/>
      <c r="TXY41" s="9"/>
      <c r="TXZ41" s="9"/>
      <c r="TYA41" s="9"/>
      <c r="TYB41" s="9"/>
      <c r="TYC41" s="9"/>
      <c r="TYD41" s="9"/>
      <c r="TYE41" s="9"/>
      <c r="TYF41" s="9"/>
      <c r="TYG41" s="9"/>
      <c r="TYH41" s="9"/>
      <c r="TYI41" s="9"/>
      <c r="TYJ41" s="9"/>
      <c r="TYK41" s="9"/>
      <c r="TYL41" s="9"/>
      <c r="TYM41" s="9"/>
      <c r="TYN41" s="9"/>
      <c r="TYO41" s="9"/>
      <c r="TYP41" s="9"/>
      <c r="TYQ41" s="9"/>
      <c r="TYR41" s="9"/>
      <c r="TYS41" s="9"/>
      <c r="TYT41" s="9"/>
      <c r="TYU41" s="9"/>
      <c r="TYV41" s="9"/>
      <c r="TYW41" s="9"/>
      <c r="TYX41" s="9"/>
      <c r="TYY41" s="9"/>
      <c r="TYZ41" s="9"/>
      <c r="TZA41" s="9"/>
      <c r="TZB41" s="9"/>
      <c r="TZC41" s="9"/>
      <c r="TZD41" s="9"/>
      <c r="TZE41" s="9"/>
      <c r="TZF41" s="9"/>
      <c r="TZG41" s="9"/>
      <c r="TZH41" s="9"/>
      <c r="TZI41" s="9"/>
      <c r="TZJ41" s="9"/>
      <c r="TZK41" s="9"/>
      <c r="TZL41" s="9"/>
      <c r="TZM41" s="9"/>
      <c r="TZN41" s="9"/>
      <c r="TZO41" s="9"/>
      <c r="TZP41" s="9"/>
      <c r="TZQ41" s="9"/>
      <c r="TZR41" s="9"/>
      <c r="TZS41" s="9"/>
      <c r="TZT41" s="9"/>
      <c r="TZU41" s="9"/>
      <c r="TZV41" s="9"/>
      <c r="TZW41" s="9"/>
      <c r="TZX41" s="9"/>
      <c r="TZY41" s="9"/>
      <c r="TZZ41" s="9"/>
      <c r="UAA41" s="9"/>
      <c r="UAB41" s="9"/>
      <c r="UAC41" s="9"/>
      <c r="UAD41" s="9"/>
      <c r="UAE41" s="9"/>
      <c r="UAF41" s="9"/>
      <c r="UAG41" s="9"/>
      <c r="UAH41" s="9"/>
      <c r="UAI41" s="9"/>
      <c r="UAJ41" s="9"/>
      <c r="UAK41" s="9"/>
      <c r="UAL41" s="9"/>
      <c r="UAM41" s="9"/>
      <c r="UAN41" s="9"/>
      <c r="UAO41" s="9"/>
      <c r="UAP41" s="9"/>
      <c r="UAQ41" s="9"/>
      <c r="UAR41" s="9"/>
      <c r="UAS41" s="9"/>
      <c r="UAT41" s="9"/>
      <c r="UAU41" s="9"/>
      <c r="UAV41" s="9"/>
      <c r="UAW41" s="9"/>
      <c r="UAX41" s="9"/>
      <c r="UAY41" s="9"/>
      <c r="UAZ41" s="9"/>
      <c r="UBA41" s="9"/>
      <c r="UBB41" s="9"/>
      <c r="UBC41" s="9"/>
      <c r="UBD41" s="9"/>
      <c r="UBE41" s="9"/>
      <c r="UBF41" s="9"/>
      <c r="UBG41" s="9"/>
      <c r="UBH41" s="9"/>
      <c r="UBI41" s="9"/>
      <c r="UBJ41" s="9"/>
      <c r="UBK41" s="9"/>
      <c r="UBL41" s="9"/>
      <c r="UBM41" s="9"/>
      <c r="UBN41" s="9"/>
      <c r="UBO41" s="9"/>
      <c r="UBP41" s="9"/>
      <c r="UBQ41" s="9"/>
      <c r="UBR41" s="9"/>
      <c r="UBS41" s="9"/>
      <c r="UBT41" s="9"/>
      <c r="UBU41" s="9"/>
      <c r="UBV41" s="9"/>
      <c r="UBW41" s="9"/>
      <c r="UBX41" s="9"/>
      <c r="UBY41" s="9"/>
      <c r="UBZ41" s="9"/>
      <c r="UCA41" s="9"/>
      <c r="UCB41" s="9"/>
      <c r="UCC41" s="9"/>
      <c r="UCD41" s="9"/>
      <c r="UCE41" s="9"/>
      <c r="UCF41" s="9"/>
      <c r="UCG41" s="9"/>
      <c r="UCH41" s="9"/>
      <c r="UCI41" s="9"/>
      <c r="UCJ41" s="9"/>
      <c r="UCK41" s="9"/>
      <c r="UCL41" s="9"/>
      <c r="UCM41" s="9"/>
      <c r="UCN41" s="9"/>
      <c r="UCO41" s="9"/>
      <c r="UCP41" s="9"/>
      <c r="UCQ41" s="9"/>
      <c r="UCR41" s="9"/>
      <c r="UCS41" s="9"/>
      <c r="UCT41" s="9"/>
      <c r="UCU41" s="9"/>
      <c r="UCV41" s="9"/>
      <c r="UCW41" s="9"/>
      <c r="UCX41" s="9"/>
      <c r="UCY41" s="9"/>
      <c r="UCZ41" s="9"/>
      <c r="UDA41" s="9"/>
      <c r="UDB41" s="9"/>
      <c r="UDC41" s="9"/>
      <c r="UDD41" s="9"/>
      <c r="UDE41" s="9"/>
      <c r="UDF41" s="9"/>
      <c r="UDG41" s="9"/>
      <c r="UDH41" s="9"/>
      <c r="UDI41" s="9"/>
      <c r="UDJ41" s="9"/>
      <c r="UDK41" s="9"/>
      <c r="UDL41" s="9"/>
      <c r="UDM41" s="9"/>
      <c r="UDN41" s="9"/>
      <c r="UDO41" s="9"/>
      <c r="UDP41" s="9"/>
      <c r="UDQ41" s="9"/>
      <c r="UDR41" s="9"/>
      <c r="UDS41" s="9"/>
      <c r="UDT41" s="9"/>
      <c r="UDU41" s="9"/>
      <c r="UDV41" s="9"/>
      <c r="UDW41" s="9"/>
      <c r="UDX41" s="9"/>
      <c r="UDY41" s="9"/>
      <c r="UDZ41" s="9"/>
      <c r="UEA41" s="9"/>
      <c r="UEB41" s="9"/>
      <c r="UEC41" s="9"/>
      <c r="UED41" s="9"/>
      <c r="UEE41" s="9"/>
      <c r="UEF41" s="9"/>
      <c r="UEG41" s="9"/>
      <c r="UEH41" s="9"/>
      <c r="UEI41" s="9"/>
      <c r="UEJ41" s="9"/>
      <c r="UEK41" s="9"/>
      <c r="UEL41" s="9"/>
      <c r="UEM41" s="9"/>
      <c r="UEN41" s="9"/>
      <c r="UEO41" s="9"/>
      <c r="UEP41" s="9"/>
      <c r="UEQ41" s="9"/>
      <c r="UER41" s="9"/>
      <c r="UES41" s="9"/>
      <c r="UET41" s="9"/>
      <c r="UEU41" s="9"/>
      <c r="UEV41" s="9"/>
      <c r="UEW41" s="9"/>
      <c r="UEX41" s="9"/>
      <c r="UEY41" s="9"/>
      <c r="UEZ41" s="9"/>
      <c r="UFA41" s="9"/>
      <c r="UFB41" s="9"/>
      <c r="UFC41" s="9"/>
      <c r="UFD41" s="9"/>
      <c r="UFE41" s="9"/>
      <c r="UFF41" s="9"/>
      <c r="UFG41" s="9"/>
      <c r="UFH41" s="9"/>
      <c r="UFI41" s="9"/>
      <c r="UFJ41" s="9"/>
      <c r="UFK41" s="9"/>
      <c r="UFL41" s="9"/>
      <c r="UFM41" s="9"/>
      <c r="UFN41" s="9"/>
      <c r="UFO41" s="9"/>
      <c r="UFP41" s="9"/>
      <c r="UFQ41" s="9"/>
      <c r="UFR41" s="9"/>
      <c r="UFS41" s="9"/>
      <c r="UFT41" s="9"/>
      <c r="UFU41" s="9"/>
      <c r="UFV41" s="9"/>
      <c r="UFW41" s="9"/>
      <c r="UFX41" s="9"/>
      <c r="UFY41" s="9"/>
      <c r="UFZ41" s="9"/>
      <c r="UGA41" s="9"/>
      <c r="UGB41" s="9"/>
      <c r="UGC41" s="9"/>
      <c r="UGD41" s="9"/>
      <c r="UGE41" s="9"/>
      <c r="UGF41" s="9"/>
      <c r="UGG41" s="9"/>
      <c r="UGH41" s="9"/>
      <c r="UGI41" s="9"/>
      <c r="UGJ41" s="9"/>
      <c r="UGK41" s="9"/>
      <c r="UGL41" s="9"/>
      <c r="UGM41" s="9"/>
      <c r="UGN41" s="9"/>
      <c r="UGO41" s="9"/>
      <c r="UGP41" s="9"/>
      <c r="UGQ41" s="9"/>
      <c r="UGR41" s="9"/>
      <c r="UGS41" s="9"/>
      <c r="UGT41" s="9"/>
      <c r="UGU41" s="9"/>
      <c r="UGV41" s="9"/>
      <c r="UGW41" s="9"/>
      <c r="UGX41" s="9"/>
      <c r="UGY41" s="9"/>
      <c r="UGZ41" s="9"/>
      <c r="UHA41" s="9"/>
      <c r="UHB41" s="9"/>
      <c r="UHC41" s="9"/>
      <c r="UHD41" s="9"/>
      <c r="UHE41" s="9"/>
      <c r="UHF41" s="9"/>
      <c r="UHG41" s="9"/>
      <c r="UHH41" s="9"/>
      <c r="UHI41" s="9"/>
      <c r="UHJ41" s="9"/>
      <c r="UHK41" s="9"/>
      <c r="UHL41" s="9"/>
      <c r="UHM41" s="9"/>
      <c r="UHN41" s="9"/>
      <c r="UHO41" s="9"/>
      <c r="UHP41" s="9"/>
      <c r="UHQ41" s="9"/>
      <c r="UHR41" s="9"/>
      <c r="UHS41" s="9"/>
      <c r="UHT41" s="9"/>
      <c r="UHU41" s="9"/>
      <c r="UHV41" s="9"/>
      <c r="UHW41" s="9"/>
      <c r="UHX41" s="9"/>
      <c r="UHY41" s="9"/>
      <c r="UHZ41" s="9"/>
      <c r="UIA41" s="9"/>
      <c r="UIB41" s="9"/>
      <c r="UIC41" s="9"/>
      <c r="UID41" s="9"/>
      <c r="UIE41" s="9"/>
      <c r="UIF41" s="9"/>
      <c r="UIG41" s="9"/>
      <c r="UIH41" s="9"/>
      <c r="UII41" s="9"/>
      <c r="UIJ41" s="9"/>
      <c r="UIK41" s="9"/>
      <c r="UIL41" s="9"/>
      <c r="UIM41" s="9"/>
      <c r="UIN41" s="9"/>
      <c r="UIO41" s="9"/>
      <c r="UIP41" s="9"/>
      <c r="UIQ41" s="9"/>
      <c r="UIR41" s="9"/>
      <c r="UIS41" s="9"/>
      <c r="UIT41" s="9"/>
      <c r="UIU41" s="9"/>
      <c r="UIV41" s="9"/>
      <c r="UIW41" s="9"/>
      <c r="UIX41" s="9"/>
      <c r="UIY41" s="9"/>
      <c r="UIZ41" s="9"/>
      <c r="UJA41" s="9"/>
      <c r="UJB41" s="9"/>
      <c r="UJC41" s="9"/>
      <c r="UJD41" s="9"/>
      <c r="UJE41" s="9"/>
      <c r="UJF41" s="9"/>
      <c r="UJG41" s="9"/>
      <c r="UJH41" s="9"/>
      <c r="UJI41" s="9"/>
      <c r="UJJ41" s="9"/>
      <c r="UJK41" s="9"/>
      <c r="UJL41" s="9"/>
      <c r="UJM41" s="9"/>
      <c r="UJN41" s="9"/>
      <c r="UJO41" s="9"/>
      <c r="UJP41" s="9"/>
      <c r="UJQ41" s="9"/>
      <c r="UJR41" s="9"/>
      <c r="UJS41" s="9"/>
      <c r="UJT41" s="9"/>
      <c r="UJU41" s="9"/>
      <c r="UJV41" s="9"/>
      <c r="UJW41" s="9"/>
      <c r="UJX41" s="9"/>
      <c r="UJY41" s="9"/>
      <c r="UJZ41" s="9"/>
      <c r="UKA41" s="9"/>
      <c r="UKB41" s="9"/>
      <c r="UKC41" s="9"/>
      <c r="UKD41" s="9"/>
      <c r="UKE41" s="9"/>
      <c r="UKF41" s="9"/>
      <c r="UKG41" s="9"/>
      <c r="UKH41" s="9"/>
      <c r="UKI41" s="9"/>
      <c r="UKJ41" s="9"/>
      <c r="UKK41" s="9"/>
      <c r="UKL41" s="9"/>
      <c r="UKM41" s="9"/>
      <c r="UKN41" s="9"/>
      <c r="UKO41" s="9"/>
      <c r="UKP41" s="9"/>
      <c r="UKQ41" s="9"/>
      <c r="UKR41" s="9"/>
      <c r="UKS41" s="9"/>
      <c r="UKT41" s="9"/>
      <c r="UKU41" s="9"/>
      <c r="UKV41" s="9"/>
      <c r="UKW41" s="9"/>
      <c r="UKX41" s="9"/>
      <c r="UKY41" s="9"/>
      <c r="UKZ41" s="9"/>
      <c r="ULA41" s="9"/>
      <c r="ULB41" s="9"/>
      <c r="ULC41" s="9"/>
      <c r="ULD41" s="9"/>
      <c r="ULE41" s="9"/>
      <c r="ULF41" s="9"/>
      <c r="ULG41" s="9"/>
      <c r="ULH41" s="9"/>
      <c r="ULI41" s="9"/>
      <c r="ULJ41" s="9"/>
      <c r="ULK41" s="9"/>
      <c r="ULL41" s="9"/>
      <c r="ULM41" s="9"/>
      <c r="ULN41" s="9"/>
      <c r="ULO41" s="9"/>
      <c r="ULP41" s="9"/>
      <c r="ULQ41" s="9"/>
      <c r="ULR41" s="9"/>
      <c r="ULS41" s="9"/>
      <c r="ULT41" s="9"/>
      <c r="ULU41" s="9"/>
      <c r="ULV41" s="9"/>
      <c r="ULW41" s="9"/>
      <c r="ULX41" s="9"/>
      <c r="ULY41" s="9"/>
      <c r="ULZ41" s="9"/>
      <c r="UMA41" s="9"/>
      <c r="UMB41" s="9"/>
      <c r="UMC41" s="9"/>
      <c r="UMD41" s="9"/>
      <c r="UME41" s="9"/>
      <c r="UMF41" s="9"/>
      <c r="UMG41" s="9"/>
      <c r="UMH41" s="9"/>
      <c r="UMI41" s="9"/>
      <c r="UMJ41" s="9"/>
      <c r="UMK41" s="9"/>
      <c r="UML41" s="9"/>
      <c r="UMM41" s="9"/>
      <c r="UMN41" s="9"/>
      <c r="UMO41" s="9"/>
      <c r="UMP41" s="9"/>
      <c r="UMQ41" s="9"/>
      <c r="UMR41" s="9"/>
      <c r="UMS41" s="9"/>
      <c r="UMT41" s="9"/>
      <c r="UMU41" s="9"/>
      <c r="UMV41" s="9"/>
      <c r="UMW41" s="9"/>
      <c r="UMX41" s="9"/>
      <c r="UMY41" s="9"/>
      <c r="UMZ41" s="9"/>
      <c r="UNA41" s="9"/>
      <c r="UNB41" s="9"/>
      <c r="UNC41" s="9"/>
      <c r="UND41" s="9"/>
      <c r="UNE41" s="9"/>
      <c r="UNF41" s="9"/>
      <c r="UNG41" s="9"/>
      <c r="UNH41" s="9"/>
      <c r="UNI41" s="9"/>
      <c r="UNJ41" s="9"/>
      <c r="UNK41" s="9"/>
      <c r="UNL41" s="9"/>
      <c r="UNM41" s="9"/>
      <c r="UNN41" s="9"/>
      <c r="UNO41" s="9"/>
      <c r="UNP41" s="9"/>
      <c r="UNQ41" s="9"/>
      <c r="UNR41" s="9"/>
      <c r="UNS41" s="9"/>
      <c r="UNT41" s="9"/>
      <c r="UNU41" s="9"/>
      <c r="UNV41" s="9"/>
      <c r="UNW41" s="9"/>
      <c r="UNX41" s="9"/>
      <c r="UNY41" s="9"/>
      <c r="UNZ41" s="9"/>
      <c r="UOA41" s="9"/>
      <c r="UOB41" s="9"/>
      <c r="UOC41" s="9"/>
      <c r="UOD41" s="9"/>
      <c r="UOE41" s="9"/>
      <c r="UOF41" s="9"/>
      <c r="UOG41" s="9"/>
      <c r="UOH41" s="9"/>
      <c r="UOI41" s="9"/>
      <c r="UOJ41" s="9"/>
      <c r="UOK41" s="9"/>
      <c r="UOL41" s="9"/>
      <c r="UOM41" s="9"/>
      <c r="UON41" s="9"/>
      <c r="UOO41" s="9"/>
      <c r="UOP41" s="9"/>
      <c r="UOQ41" s="9"/>
      <c r="UOR41" s="9"/>
      <c r="UOS41" s="9"/>
      <c r="UOT41" s="9"/>
      <c r="UOU41" s="9"/>
      <c r="UOV41" s="9"/>
      <c r="UOW41" s="9"/>
      <c r="UOX41" s="9"/>
      <c r="UOY41" s="9"/>
      <c r="UOZ41" s="9"/>
      <c r="UPA41" s="9"/>
      <c r="UPB41" s="9"/>
      <c r="UPC41" s="9"/>
      <c r="UPD41" s="9"/>
      <c r="UPE41" s="9"/>
      <c r="UPF41" s="9"/>
      <c r="UPG41" s="9"/>
      <c r="UPH41" s="9"/>
      <c r="UPI41" s="9"/>
      <c r="UPJ41" s="9"/>
      <c r="UPK41" s="9"/>
      <c r="UPL41" s="9"/>
      <c r="UPM41" s="9"/>
      <c r="UPN41" s="9"/>
      <c r="UPO41" s="9"/>
      <c r="UPP41" s="9"/>
      <c r="UPQ41" s="9"/>
      <c r="UPR41" s="9"/>
      <c r="UPS41" s="9"/>
      <c r="UPT41" s="9"/>
      <c r="UPU41" s="9"/>
      <c r="UPV41" s="9"/>
      <c r="UPW41" s="9"/>
      <c r="UPX41" s="9"/>
      <c r="UPY41" s="9"/>
      <c r="UPZ41" s="9"/>
      <c r="UQA41" s="9"/>
      <c r="UQB41" s="9"/>
      <c r="UQC41" s="9"/>
      <c r="UQD41" s="9"/>
      <c r="UQE41" s="9"/>
      <c r="UQF41" s="9"/>
      <c r="UQG41" s="9"/>
      <c r="UQH41" s="9"/>
      <c r="UQI41" s="9"/>
      <c r="UQJ41" s="9"/>
      <c r="UQK41" s="9"/>
      <c r="UQL41" s="9"/>
      <c r="UQM41" s="9"/>
      <c r="UQN41" s="9"/>
      <c r="UQO41" s="9"/>
      <c r="UQP41" s="9"/>
      <c r="UQQ41" s="9"/>
      <c r="UQR41" s="9"/>
      <c r="UQS41" s="9"/>
      <c r="UQT41" s="9"/>
      <c r="UQU41" s="9"/>
      <c r="UQV41" s="9"/>
      <c r="UQW41" s="9"/>
      <c r="UQX41" s="9"/>
      <c r="UQY41" s="9"/>
      <c r="UQZ41" s="9"/>
      <c r="URA41" s="9"/>
      <c r="URB41" s="9"/>
      <c r="URC41" s="9"/>
      <c r="URD41" s="9"/>
      <c r="URE41" s="9"/>
      <c r="URF41" s="9"/>
      <c r="URG41" s="9"/>
      <c r="URH41" s="9"/>
      <c r="URI41" s="9"/>
      <c r="URJ41" s="9"/>
      <c r="URK41" s="9"/>
      <c r="URL41" s="9"/>
      <c r="URM41" s="9"/>
      <c r="URN41" s="9"/>
      <c r="URO41" s="9"/>
      <c r="URP41" s="9"/>
      <c r="URQ41" s="9"/>
      <c r="URR41" s="9"/>
      <c r="URS41" s="9"/>
      <c r="URT41" s="9"/>
      <c r="URU41" s="9"/>
      <c r="URV41" s="9"/>
      <c r="URW41" s="9"/>
      <c r="URX41" s="9"/>
      <c r="URY41" s="9"/>
      <c r="URZ41" s="9"/>
      <c r="USA41" s="9"/>
      <c r="USB41" s="9"/>
      <c r="USC41" s="9"/>
      <c r="USD41" s="9"/>
      <c r="USE41" s="9"/>
      <c r="USF41" s="9"/>
      <c r="USG41" s="9"/>
      <c r="USH41" s="9"/>
      <c r="USI41" s="9"/>
      <c r="USJ41" s="9"/>
      <c r="USK41" s="9"/>
      <c r="USL41" s="9"/>
      <c r="USM41" s="9"/>
      <c r="USN41" s="9"/>
      <c r="USO41" s="9"/>
      <c r="USP41" s="9"/>
      <c r="USQ41" s="9"/>
      <c r="USR41" s="9"/>
      <c r="USS41" s="9"/>
      <c r="UST41" s="9"/>
      <c r="USU41" s="9"/>
      <c r="USV41" s="9"/>
      <c r="USW41" s="9"/>
      <c r="USX41" s="9"/>
      <c r="USY41" s="9"/>
      <c r="USZ41" s="9"/>
      <c r="UTA41" s="9"/>
      <c r="UTB41" s="9"/>
      <c r="UTC41" s="9"/>
      <c r="UTD41" s="9"/>
      <c r="UTE41" s="9"/>
      <c r="UTF41" s="9"/>
      <c r="UTG41" s="9"/>
      <c r="UTH41" s="9"/>
      <c r="UTI41" s="9"/>
      <c r="UTJ41" s="9"/>
      <c r="UTK41" s="9"/>
      <c r="UTL41" s="9"/>
      <c r="UTM41" s="9"/>
      <c r="UTN41" s="9"/>
      <c r="UTO41" s="9"/>
      <c r="UTP41" s="9"/>
      <c r="UTQ41" s="9"/>
      <c r="UTR41" s="9"/>
      <c r="UTS41" s="9"/>
      <c r="UTT41" s="9"/>
      <c r="UTU41" s="9"/>
      <c r="UTV41" s="9"/>
      <c r="UTW41" s="9"/>
      <c r="UTX41" s="9"/>
      <c r="UTY41" s="9"/>
      <c r="UTZ41" s="9"/>
      <c r="UUA41" s="9"/>
      <c r="UUB41" s="9"/>
      <c r="UUC41" s="9"/>
      <c r="UUD41" s="9"/>
      <c r="UUE41" s="9"/>
      <c r="UUF41" s="9"/>
      <c r="UUG41" s="9"/>
      <c r="UUH41" s="9"/>
      <c r="UUI41" s="9"/>
      <c r="UUJ41" s="9"/>
      <c r="UUK41" s="9"/>
      <c r="UUL41" s="9"/>
      <c r="UUM41" s="9"/>
      <c r="UUN41" s="9"/>
      <c r="UUO41" s="9"/>
      <c r="UUP41" s="9"/>
      <c r="UUQ41" s="9"/>
      <c r="UUR41" s="9"/>
      <c r="UUS41" s="9"/>
      <c r="UUT41" s="9"/>
      <c r="UUU41" s="9"/>
      <c r="UUV41" s="9"/>
      <c r="UUW41" s="9"/>
      <c r="UUX41" s="9"/>
      <c r="UUY41" s="9"/>
      <c r="UUZ41" s="9"/>
      <c r="UVA41" s="9"/>
      <c r="UVB41" s="9"/>
      <c r="UVC41" s="9"/>
      <c r="UVD41" s="9"/>
      <c r="UVE41" s="9"/>
      <c r="UVF41" s="9"/>
      <c r="UVG41" s="9"/>
      <c r="UVH41" s="9"/>
      <c r="UVI41" s="9"/>
      <c r="UVJ41" s="9"/>
      <c r="UVK41" s="9"/>
      <c r="UVL41" s="9"/>
      <c r="UVM41" s="9"/>
      <c r="UVN41" s="9"/>
      <c r="UVO41" s="9"/>
      <c r="UVP41" s="9"/>
      <c r="UVQ41" s="9"/>
      <c r="UVR41" s="9"/>
      <c r="UVS41" s="9"/>
      <c r="UVT41" s="9"/>
      <c r="UVU41" s="9"/>
      <c r="UVV41" s="9"/>
      <c r="UVW41" s="9"/>
      <c r="UVX41" s="9"/>
      <c r="UVY41" s="9"/>
      <c r="UVZ41" s="9"/>
      <c r="UWA41" s="9"/>
      <c r="UWB41" s="9"/>
      <c r="UWC41" s="9"/>
      <c r="UWD41" s="9"/>
      <c r="UWE41" s="9"/>
      <c r="UWF41" s="9"/>
      <c r="UWG41" s="9"/>
      <c r="UWH41" s="9"/>
      <c r="UWI41" s="9"/>
      <c r="UWJ41" s="9"/>
      <c r="UWK41" s="9"/>
      <c r="UWL41" s="9"/>
      <c r="UWM41" s="9"/>
      <c r="UWN41" s="9"/>
      <c r="UWO41" s="9"/>
      <c r="UWP41" s="9"/>
      <c r="UWQ41" s="9"/>
      <c r="UWR41" s="9"/>
      <c r="UWS41" s="9"/>
      <c r="UWT41" s="9"/>
      <c r="UWU41" s="9"/>
      <c r="UWV41" s="9"/>
      <c r="UWW41" s="9"/>
      <c r="UWX41" s="9"/>
      <c r="UWY41" s="9"/>
      <c r="UWZ41" s="9"/>
      <c r="UXA41" s="9"/>
      <c r="UXB41" s="9"/>
      <c r="UXC41" s="9"/>
      <c r="UXD41" s="9"/>
      <c r="UXE41" s="9"/>
      <c r="UXF41" s="9"/>
      <c r="UXG41" s="9"/>
      <c r="UXH41" s="9"/>
      <c r="UXI41" s="9"/>
      <c r="UXJ41" s="9"/>
      <c r="UXK41" s="9"/>
      <c r="UXL41" s="9"/>
      <c r="UXM41" s="9"/>
      <c r="UXN41" s="9"/>
      <c r="UXO41" s="9"/>
      <c r="UXP41" s="9"/>
      <c r="UXQ41" s="9"/>
      <c r="UXR41" s="9"/>
      <c r="UXS41" s="9"/>
      <c r="UXT41" s="9"/>
      <c r="UXU41" s="9"/>
      <c r="UXV41" s="9"/>
      <c r="UXW41" s="9"/>
      <c r="UXX41" s="9"/>
      <c r="UXY41" s="9"/>
      <c r="UXZ41" s="9"/>
      <c r="UYA41" s="9"/>
      <c r="UYB41" s="9"/>
      <c r="UYC41" s="9"/>
      <c r="UYD41" s="9"/>
      <c r="UYE41" s="9"/>
      <c r="UYF41" s="9"/>
      <c r="UYG41" s="9"/>
      <c r="UYH41" s="9"/>
      <c r="UYI41" s="9"/>
      <c r="UYJ41" s="9"/>
      <c r="UYK41" s="9"/>
      <c r="UYL41" s="9"/>
      <c r="UYM41" s="9"/>
      <c r="UYN41" s="9"/>
      <c r="UYO41" s="9"/>
      <c r="UYP41" s="9"/>
      <c r="UYQ41" s="9"/>
      <c r="UYR41" s="9"/>
      <c r="UYS41" s="9"/>
      <c r="UYT41" s="9"/>
      <c r="UYU41" s="9"/>
      <c r="UYV41" s="9"/>
      <c r="UYW41" s="9"/>
      <c r="UYX41" s="9"/>
      <c r="UYY41" s="9"/>
      <c r="UYZ41" s="9"/>
      <c r="UZA41" s="9"/>
      <c r="UZB41" s="9"/>
      <c r="UZC41" s="9"/>
      <c r="UZD41" s="9"/>
      <c r="UZE41" s="9"/>
      <c r="UZF41" s="9"/>
      <c r="UZG41" s="9"/>
      <c r="UZH41" s="9"/>
      <c r="UZI41" s="9"/>
      <c r="UZJ41" s="9"/>
      <c r="UZK41" s="9"/>
      <c r="UZL41" s="9"/>
      <c r="UZM41" s="9"/>
      <c r="UZN41" s="9"/>
      <c r="UZO41" s="9"/>
      <c r="UZP41" s="9"/>
      <c r="UZQ41" s="9"/>
      <c r="UZR41" s="9"/>
      <c r="UZS41" s="9"/>
      <c r="UZT41" s="9"/>
      <c r="UZU41" s="9"/>
      <c r="UZV41" s="9"/>
      <c r="UZW41" s="9"/>
      <c r="UZX41" s="9"/>
      <c r="UZY41" s="9"/>
      <c r="UZZ41" s="9"/>
      <c r="VAA41" s="9"/>
      <c r="VAB41" s="9"/>
      <c r="VAC41" s="9"/>
      <c r="VAD41" s="9"/>
      <c r="VAE41" s="9"/>
      <c r="VAF41" s="9"/>
      <c r="VAG41" s="9"/>
      <c r="VAH41" s="9"/>
      <c r="VAI41" s="9"/>
      <c r="VAJ41" s="9"/>
      <c r="VAK41" s="9"/>
      <c r="VAL41" s="9"/>
      <c r="VAM41" s="9"/>
      <c r="VAN41" s="9"/>
      <c r="VAO41" s="9"/>
      <c r="VAP41" s="9"/>
      <c r="VAQ41" s="9"/>
      <c r="VAR41" s="9"/>
      <c r="VAS41" s="9"/>
      <c r="VAT41" s="9"/>
      <c r="VAU41" s="9"/>
      <c r="VAV41" s="9"/>
      <c r="VAW41" s="9"/>
      <c r="VAX41" s="9"/>
      <c r="VAY41" s="9"/>
      <c r="VAZ41" s="9"/>
      <c r="VBA41" s="9"/>
      <c r="VBB41" s="9"/>
      <c r="VBC41" s="9"/>
      <c r="VBD41" s="9"/>
      <c r="VBE41" s="9"/>
      <c r="VBF41" s="9"/>
      <c r="VBG41" s="9"/>
      <c r="VBH41" s="9"/>
      <c r="VBI41" s="9"/>
      <c r="VBJ41" s="9"/>
      <c r="VBK41" s="9"/>
      <c r="VBL41" s="9"/>
      <c r="VBM41" s="9"/>
      <c r="VBN41" s="9"/>
      <c r="VBO41" s="9"/>
      <c r="VBP41" s="9"/>
      <c r="VBQ41" s="9"/>
      <c r="VBR41" s="9"/>
      <c r="VBS41" s="9"/>
      <c r="VBT41" s="9"/>
      <c r="VBU41" s="9"/>
      <c r="VBV41" s="9"/>
      <c r="VBW41" s="9"/>
      <c r="VBX41" s="9"/>
      <c r="VBY41" s="9"/>
      <c r="VBZ41" s="9"/>
      <c r="VCA41" s="9"/>
      <c r="VCB41" s="9"/>
      <c r="VCC41" s="9"/>
      <c r="VCD41" s="9"/>
      <c r="VCE41" s="9"/>
      <c r="VCF41" s="9"/>
      <c r="VCG41" s="9"/>
      <c r="VCH41" s="9"/>
      <c r="VCI41" s="9"/>
      <c r="VCJ41" s="9"/>
      <c r="VCK41" s="9"/>
      <c r="VCL41" s="9"/>
      <c r="VCM41" s="9"/>
      <c r="VCN41" s="9"/>
      <c r="VCO41" s="9"/>
      <c r="VCP41" s="9"/>
      <c r="VCQ41" s="9"/>
      <c r="VCR41" s="9"/>
      <c r="VCS41" s="9"/>
      <c r="VCT41" s="9"/>
      <c r="VCU41" s="9"/>
      <c r="VCV41" s="9"/>
      <c r="VCW41" s="9"/>
      <c r="VCX41" s="9"/>
      <c r="VCY41" s="9"/>
      <c r="VCZ41" s="9"/>
      <c r="VDA41" s="9"/>
      <c r="VDB41" s="9"/>
      <c r="VDC41" s="9"/>
      <c r="VDD41" s="9"/>
      <c r="VDE41" s="9"/>
      <c r="VDF41" s="9"/>
      <c r="VDG41" s="9"/>
      <c r="VDH41" s="9"/>
      <c r="VDI41" s="9"/>
      <c r="VDJ41" s="9"/>
      <c r="VDK41" s="9"/>
      <c r="VDL41" s="9"/>
      <c r="VDM41" s="9"/>
      <c r="VDN41" s="9"/>
      <c r="VDO41" s="9"/>
      <c r="VDP41" s="9"/>
      <c r="VDQ41" s="9"/>
      <c r="VDR41" s="9"/>
      <c r="VDS41" s="9"/>
      <c r="VDT41" s="9"/>
      <c r="VDU41" s="9"/>
      <c r="VDV41" s="9"/>
      <c r="VDW41" s="9"/>
      <c r="VDX41" s="9"/>
      <c r="VDY41" s="9"/>
      <c r="VDZ41" s="9"/>
      <c r="VEA41" s="9"/>
      <c r="VEB41" s="9"/>
      <c r="VEC41" s="9"/>
      <c r="VED41" s="9"/>
      <c r="VEE41" s="9"/>
      <c r="VEF41" s="9"/>
      <c r="VEG41" s="9"/>
      <c r="VEH41" s="9"/>
      <c r="VEI41" s="9"/>
      <c r="VEJ41" s="9"/>
      <c r="VEK41" s="9"/>
      <c r="VEL41" s="9"/>
      <c r="VEM41" s="9"/>
      <c r="VEN41" s="9"/>
      <c r="VEO41" s="9"/>
      <c r="VEP41" s="9"/>
      <c r="VEQ41" s="9"/>
      <c r="VER41" s="9"/>
      <c r="VES41" s="9"/>
      <c r="VET41" s="9"/>
      <c r="VEU41" s="9"/>
      <c r="VEV41" s="9"/>
      <c r="VEW41" s="9"/>
      <c r="VEX41" s="9"/>
      <c r="VEY41" s="9"/>
      <c r="VEZ41" s="9"/>
      <c r="VFA41" s="9"/>
      <c r="VFB41" s="9"/>
      <c r="VFC41" s="9"/>
      <c r="VFD41" s="9"/>
      <c r="VFE41" s="9"/>
      <c r="VFF41" s="9"/>
      <c r="VFG41" s="9"/>
      <c r="VFH41" s="9"/>
      <c r="VFI41" s="9"/>
      <c r="VFJ41" s="9"/>
      <c r="VFK41" s="9"/>
      <c r="VFL41" s="9"/>
      <c r="VFM41" s="9"/>
      <c r="VFN41" s="9"/>
      <c r="VFO41" s="9"/>
      <c r="VFP41" s="9"/>
      <c r="VFQ41" s="9"/>
      <c r="VFR41" s="9"/>
      <c r="VFS41" s="9"/>
      <c r="VFT41" s="9"/>
      <c r="VFU41" s="9"/>
      <c r="VFV41" s="9"/>
      <c r="VFW41" s="9"/>
      <c r="VFX41" s="9"/>
      <c r="VFY41" s="9"/>
      <c r="VFZ41" s="9"/>
      <c r="VGA41" s="9"/>
      <c r="VGB41" s="9"/>
      <c r="VGC41" s="9"/>
      <c r="VGD41" s="9"/>
      <c r="VGE41" s="9"/>
      <c r="VGF41" s="9"/>
      <c r="VGG41" s="9"/>
      <c r="VGH41" s="9"/>
      <c r="VGI41" s="9"/>
      <c r="VGJ41" s="9"/>
      <c r="VGK41" s="9"/>
      <c r="VGL41" s="9"/>
      <c r="VGM41" s="9"/>
      <c r="VGN41" s="9"/>
      <c r="VGO41" s="9"/>
      <c r="VGP41" s="9"/>
      <c r="VGQ41" s="9"/>
      <c r="VGR41" s="9"/>
      <c r="VGS41" s="9"/>
      <c r="VGT41" s="9"/>
      <c r="VGU41" s="9"/>
      <c r="VGV41" s="9"/>
      <c r="VGW41" s="9"/>
      <c r="VGX41" s="9"/>
      <c r="VGY41" s="9"/>
      <c r="VGZ41" s="9"/>
      <c r="VHA41" s="9"/>
      <c r="VHB41" s="9"/>
      <c r="VHC41" s="9"/>
      <c r="VHD41" s="9"/>
      <c r="VHE41" s="9"/>
      <c r="VHF41" s="9"/>
      <c r="VHG41" s="9"/>
      <c r="VHH41" s="9"/>
      <c r="VHI41" s="9"/>
      <c r="VHJ41" s="9"/>
      <c r="VHK41" s="9"/>
      <c r="VHL41" s="9"/>
      <c r="VHM41" s="9"/>
      <c r="VHN41" s="9"/>
      <c r="VHO41" s="9"/>
      <c r="VHP41" s="9"/>
      <c r="VHQ41" s="9"/>
      <c r="VHR41" s="9"/>
      <c r="VHS41" s="9"/>
      <c r="VHT41" s="9"/>
      <c r="VHU41" s="9"/>
      <c r="VHV41" s="9"/>
      <c r="VHW41" s="9"/>
      <c r="VHX41" s="9"/>
      <c r="VHY41" s="9"/>
      <c r="VHZ41" s="9"/>
      <c r="VIA41" s="9"/>
      <c r="VIB41" s="9"/>
      <c r="VIC41" s="9"/>
      <c r="VID41" s="9"/>
      <c r="VIE41" s="9"/>
      <c r="VIF41" s="9"/>
      <c r="VIG41" s="9"/>
      <c r="VIH41" s="9"/>
      <c r="VII41" s="9"/>
      <c r="VIJ41" s="9"/>
      <c r="VIK41" s="9"/>
      <c r="VIL41" s="9"/>
      <c r="VIM41" s="9"/>
      <c r="VIN41" s="9"/>
      <c r="VIO41" s="9"/>
      <c r="VIP41" s="9"/>
      <c r="VIQ41" s="9"/>
      <c r="VIR41" s="9"/>
      <c r="VIS41" s="9"/>
      <c r="VIT41" s="9"/>
      <c r="VIU41" s="9"/>
      <c r="VIV41" s="9"/>
      <c r="VIW41" s="9"/>
      <c r="VIX41" s="9"/>
      <c r="VIY41" s="9"/>
      <c r="VIZ41" s="9"/>
      <c r="VJA41" s="9"/>
      <c r="VJB41" s="9"/>
      <c r="VJC41" s="9"/>
      <c r="VJD41" s="9"/>
      <c r="VJE41" s="9"/>
      <c r="VJF41" s="9"/>
      <c r="VJG41" s="9"/>
      <c r="VJH41" s="9"/>
      <c r="VJI41" s="9"/>
      <c r="VJJ41" s="9"/>
      <c r="VJK41" s="9"/>
      <c r="VJL41" s="9"/>
      <c r="VJM41" s="9"/>
      <c r="VJN41" s="9"/>
      <c r="VJO41" s="9"/>
      <c r="VJP41" s="9"/>
      <c r="VJQ41" s="9"/>
      <c r="VJR41" s="9"/>
      <c r="VJS41" s="9"/>
      <c r="VJT41" s="9"/>
      <c r="VJU41" s="9"/>
      <c r="VJV41" s="9"/>
      <c r="VJW41" s="9"/>
      <c r="VJX41" s="9"/>
      <c r="VJY41" s="9"/>
      <c r="VJZ41" s="9"/>
      <c r="VKA41" s="9"/>
      <c r="VKB41" s="9"/>
      <c r="VKC41" s="9"/>
      <c r="VKD41" s="9"/>
      <c r="VKE41" s="9"/>
      <c r="VKF41" s="9"/>
      <c r="VKG41" s="9"/>
      <c r="VKH41" s="9"/>
      <c r="VKI41" s="9"/>
      <c r="VKJ41" s="9"/>
      <c r="VKK41" s="9"/>
      <c r="VKL41" s="9"/>
      <c r="VKM41" s="9"/>
      <c r="VKN41" s="9"/>
      <c r="VKO41" s="9"/>
      <c r="VKP41" s="9"/>
      <c r="VKQ41" s="9"/>
      <c r="VKR41" s="9"/>
      <c r="VKS41" s="9"/>
      <c r="VKT41" s="9"/>
      <c r="VKU41" s="9"/>
      <c r="VKV41" s="9"/>
      <c r="VKW41" s="9"/>
      <c r="VKX41" s="9"/>
      <c r="VKY41" s="9"/>
      <c r="VKZ41" s="9"/>
      <c r="VLA41" s="9"/>
      <c r="VLB41" s="9"/>
      <c r="VLC41" s="9"/>
      <c r="VLD41" s="9"/>
      <c r="VLE41" s="9"/>
      <c r="VLF41" s="9"/>
      <c r="VLG41" s="9"/>
      <c r="VLH41" s="9"/>
      <c r="VLI41" s="9"/>
      <c r="VLJ41" s="9"/>
      <c r="VLK41" s="9"/>
      <c r="VLL41" s="9"/>
      <c r="VLM41" s="9"/>
      <c r="VLN41" s="9"/>
      <c r="VLO41" s="9"/>
      <c r="VLP41" s="9"/>
      <c r="VLQ41" s="9"/>
      <c r="VLR41" s="9"/>
      <c r="VLS41" s="9"/>
      <c r="VLT41" s="9"/>
      <c r="VLU41" s="9"/>
      <c r="VLV41" s="9"/>
      <c r="VLW41" s="9"/>
      <c r="VLX41" s="9"/>
      <c r="VLY41" s="9"/>
      <c r="VLZ41" s="9"/>
      <c r="VMA41" s="9"/>
      <c r="VMB41" s="9"/>
      <c r="VMC41" s="9"/>
      <c r="VMD41" s="9"/>
      <c r="VME41" s="9"/>
      <c r="VMF41" s="9"/>
      <c r="VMG41" s="9"/>
      <c r="VMH41" s="9"/>
      <c r="VMI41" s="9"/>
      <c r="VMJ41" s="9"/>
      <c r="VMK41" s="9"/>
      <c r="VML41" s="9"/>
      <c r="VMM41" s="9"/>
      <c r="VMN41" s="9"/>
      <c r="VMO41" s="9"/>
      <c r="VMP41" s="9"/>
      <c r="VMQ41" s="9"/>
      <c r="VMR41" s="9"/>
      <c r="VMS41" s="9"/>
      <c r="VMT41" s="9"/>
      <c r="VMU41" s="9"/>
      <c r="VMV41" s="9"/>
      <c r="VMW41" s="9"/>
      <c r="VMX41" s="9"/>
      <c r="VMY41" s="9"/>
      <c r="VMZ41" s="9"/>
      <c r="VNA41" s="9"/>
      <c r="VNB41" s="9"/>
      <c r="VNC41" s="9"/>
      <c r="VND41" s="9"/>
      <c r="VNE41" s="9"/>
      <c r="VNF41" s="9"/>
      <c r="VNG41" s="9"/>
      <c r="VNH41" s="9"/>
      <c r="VNI41" s="9"/>
      <c r="VNJ41" s="9"/>
      <c r="VNK41" s="9"/>
      <c r="VNL41" s="9"/>
      <c r="VNM41" s="9"/>
      <c r="VNN41" s="9"/>
      <c r="VNO41" s="9"/>
      <c r="VNP41" s="9"/>
      <c r="VNQ41" s="9"/>
      <c r="VNR41" s="9"/>
      <c r="VNS41" s="9"/>
      <c r="VNT41" s="9"/>
      <c r="VNU41" s="9"/>
      <c r="VNV41" s="9"/>
      <c r="VNW41" s="9"/>
      <c r="VNX41" s="9"/>
      <c r="VNY41" s="9"/>
      <c r="VNZ41" s="9"/>
      <c r="VOA41" s="9"/>
      <c r="VOB41" s="9"/>
      <c r="VOC41" s="9"/>
      <c r="VOD41" s="9"/>
      <c r="VOE41" s="9"/>
      <c r="VOF41" s="9"/>
      <c r="VOG41" s="9"/>
      <c r="VOH41" s="9"/>
      <c r="VOI41" s="9"/>
      <c r="VOJ41" s="9"/>
      <c r="VOK41" s="9"/>
      <c r="VOL41" s="9"/>
      <c r="VOM41" s="9"/>
      <c r="VON41" s="9"/>
      <c r="VOO41" s="9"/>
      <c r="VOP41" s="9"/>
      <c r="VOQ41" s="9"/>
      <c r="VOR41" s="9"/>
      <c r="VOS41" s="9"/>
      <c r="VOT41" s="9"/>
      <c r="VOU41" s="9"/>
      <c r="VOV41" s="9"/>
      <c r="VOW41" s="9"/>
      <c r="VOX41" s="9"/>
      <c r="VOY41" s="9"/>
      <c r="VOZ41" s="9"/>
      <c r="VPA41" s="9"/>
      <c r="VPB41" s="9"/>
      <c r="VPC41" s="9"/>
      <c r="VPD41" s="9"/>
      <c r="VPE41" s="9"/>
      <c r="VPF41" s="9"/>
      <c r="VPG41" s="9"/>
      <c r="VPH41" s="9"/>
      <c r="VPI41" s="9"/>
      <c r="VPJ41" s="9"/>
      <c r="VPK41" s="9"/>
      <c r="VPL41" s="9"/>
      <c r="VPM41" s="9"/>
      <c r="VPN41" s="9"/>
      <c r="VPO41" s="9"/>
      <c r="VPP41" s="9"/>
      <c r="VPQ41" s="9"/>
      <c r="VPR41" s="9"/>
      <c r="VPS41" s="9"/>
      <c r="VPT41" s="9"/>
      <c r="VPU41" s="9"/>
      <c r="VPV41" s="9"/>
      <c r="VPW41" s="9"/>
      <c r="VPX41" s="9"/>
      <c r="VPY41" s="9"/>
      <c r="VPZ41" s="9"/>
      <c r="VQA41" s="9"/>
      <c r="VQB41" s="9"/>
      <c r="VQC41" s="9"/>
      <c r="VQD41" s="9"/>
      <c r="VQE41" s="9"/>
      <c r="VQF41" s="9"/>
      <c r="VQG41" s="9"/>
      <c r="VQH41" s="9"/>
      <c r="VQI41" s="9"/>
      <c r="VQJ41" s="9"/>
      <c r="VQK41" s="9"/>
      <c r="VQL41" s="9"/>
      <c r="VQM41" s="9"/>
      <c r="VQN41" s="9"/>
      <c r="VQO41" s="9"/>
      <c r="VQP41" s="9"/>
      <c r="VQQ41" s="9"/>
      <c r="VQR41" s="9"/>
      <c r="VQS41" s="9"/>
      <c r="VQT41" s="9"/>
      <c r="VQU41" s="9"/>
      <c r="VQV41" s="9"/>
      <c r="VQW41" s="9"/>
      <c r="VQX41" s="9"/>
      <c r="VQY41" s="9"/>
      <c r="VQZ41" s="9"/>
      <c r="VRA41" s="9"/>
      <c r="VRB41" s="9"/>
      <c r="VRC41" s="9"/>
      <c r="VRD41" s="9"/>
      <c r="VRE41" s="9"/>
      <c r="VRF41" s="9"/>
      <c r="VRG41" s="9"/>
      <c r="VRH41" s="9"/>
      <c r="VRI41" s="9"/>
      <c r="VRJ41" s="9"/>
      <c r="VRK41" s="9"/>
      <c r="VRL41" s="9"/>
      <c r="VRM41" s="9"/>
      <c r="VRN41" s="9"/>
      <c r="VRO41" s="9"/>
      <c r="VRP41" s="9"/>
      <c r="VRQ41" s="9"/>
      <c r="VRR41" s="9"/>
      <c r="VRS41" s="9"/>
      <c r="VRT41" s="9"/>
      <c r="VRU41" s="9"/>
      <c r="VRV41" s="9"/>
      <c r="VRW41" s="9"/>
      <c r="VRX41" s="9"/>
      <c r="VRY41" s="9"/>
      <c r="VRZ41" s="9"/>
      <c r="VSA41" s="9"/>
      <c r="VSB41" s="9"/>
      <c r="VSC41" s="9"/>
      <c r="VSD41" s="9"/>
      <c r="VSE41" s="9"/>
      <c r="VSF41" s="9"/>
      <c r="VSG41" s="9"/>
      <c r="VSH41" s="9"/>
      <c r="VSI41" s="9"/>
      <c r="VSJ41" s="9"/>
      <c r="VSK41" s="9"/>
      <c r="VSL41" s="9"/>
      <c r="VSM41" s="9"/>
      <c r="VSN41" s="9"/>
      <c r="VSO41" s="9"/>
      <c r="VSP41" s="9"/>
      <c r="VSQ41" s="9"/>
      <c r="VSR41" s="9"/>
      <c r="VSS41" s="9"/>
      <c r="VST41" s="9"/>
      <c r="VSU41" s="9"/>
      <c r="VSV41" s="9"/>
      <c r="VSW41" s="9"/>
      <c r="VSX41" s="9"/>
      <c r="VSY41" s="9"/>
      <c r="VSZ41" s="9"/>
      <c r="VTA41" s="9"/>
      <c r="VTB41" s="9"/>
      <c r="VTC41" s="9"/>
      <c r="VTD41" s="9"/>
      <c r="VTE41" s="9"/>
      <c r="VTF41" s="9"/>
      <c r="VTG41" s="9"/>
      <c r="VTH41" s="9"/>
      <c r="VTI41" s="9"/>
      <c r="VTJ41" s="9"/>
      <c r="VTK41" s="9"/>
      <c r="VTL41" s="9"/>
      <c r="VTM41" s="9"/>
      <c r="VTN41" s="9"/>
      <c r="VTO41" s="9"/>
      <c r="VTP41" s="9"/>
      <c r="VTQ41" s="9"/>
      <c r="VTR41" s="9"/>
      <c r="VTS41" s="9"/>
      <c r="VTT41" s="9"/>
      <c r="VTU41" s="9"/>
      <c r="VTV41" s="9"/>
      <c r="VTW41" s="9"/>
      <c r="VTX41" s="9"/>
      <c r="VTY41" s="9"/>
      <c r="VTZ41" s="9"/>
      <c r="VUA41" s="9"/>
      <c r="VUB41" s="9"/>
      <c r="VUC41" s="9"/>
      <c r="VUD41" s="9"/>
      <c r="VUE41" s="9"/>
      <c r="VUF41" s="9"/>
      <c r="VUG41" s="9"/>
      <c r="VUH41" s="9"/>
      <c r="VUI41" s="9"/>
      <c r="VUJ41" s="9"/>
      <c r="VUK41" s="9"/>
      <c r="VUL41" s="9"/>
      <c r="VUM41" s="9"/>
      <c r="VUN41" s="9"/>
      <c r="VUO41" s="9"/>
      <c r="VUP41" s="9"/>
      <c r="VUQ41" s="9"/>
      <c r="VUR41" s="9"/>
    </row>
    <row r="42" spans="1:15436" s="1" customFormat="1" ht="14.25">
      <c r="B42" s="76"/>
      <c r="C42" s="244" t="s">
        <v>42</v>
      </c>
      <c r="D42" s="80"/>
      <c r="E42" s="245" t="s">
        <v>10</v>
      </c>
      <c r="F42" s="70">
        <f t="shared" ref="F42:L42" si="14">SUM(F44:F45)</f>
        <v>0</v>
      </c>
      <c r="G42" s="70">
        <f t="shared" si="14"/>
        <v>0</v>
      </c>
      <c r="H42" s="70">
        <f t="shared" si="14"/>
        <v>0</v>
      </c>
      <c r="I42" s="70">
        <f t="shared" si="14"/>
        <v>0</v>
      </c>
      <c r="J42" s="70">
        <f t="shared" si="14"/>
        <v>0</v>
      </c>
      <c r="K42" s="70">
        <f t="shared" si="14"/>
        <v>875881</v>
      </c>
      <c r="L42" s="70">
        <f t="shared" si="14"/>
        <v>498884</v>
      </c>
      <c r="M42" s="70">
        <v>0</v>
      </c>
      <c r="N42" s="70">
        <v>0</v>
      </c>
      <c r="O42" s="70">
        <v>0</v>
      </c>
      <c r="P42" s="70">
        <v>0</v>
      </c>
      <c r="Q42" s="70">
        <f t="shared" ref="Q42:S42" si="15">SUM(Q44:Q45)</f>
        <v>861978</v>
      </c>
      <c r="R42" s="70">
        <f t="shared" si="15"/>
        <v>746971</v>
      </c>
      <c r="S42" s="70">
        <f t="shared" si="15"/>
        <v>691829</v>
      </c>
      <c r="T42" s="70">
        <f t="shared" ref="T42:W42" si="16">SUM(T43:T45)</f>
        <v>0</v>
      </c>
      <c r="U42" s="70">
        <f t="shared" si="16"/>
        <v>0</v>
      </c>
      <c r="V42" s="70">
        <f t="shared" si="16"/>
        <v>648009</v>
      </c>
      <c r="W42" s="70">
        <f t="shared" si="16"/>
        <v>67936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f t="shared" ref="AF42:AH42" si="17">SUM(AF43:AF45)</f>
        <v>836866</v>
      </c>
      <c r="AG42" s="70">
        <f t="shared" si="17"/>
        <v>859281</v>
      </c>
      <c r="AH42" s="70">
        <f t="shared" si="17"/>
        <v>535113</v>
      </c>
      <c r="AI42" s="70">
        <v>0</v>
      </c>
      <c r="AJ42" s="70">
        <v>0</v>
      </c>
      <c r="AK42" s="129"/>
      <c r="AL42" s="128">
        <f>SUM(F42:AJ42)</f>
        <v>6622748</v>
      </c>
      <c r="AO42" s="130"/>
      <c r="AQ42" s="119">
        <f t="shared" si="13"/>
        <v>836866</v>
      </c>
      <c r="AR42" s="155"/>
      <c r="AZ42" s="153">
        <f>AZ41/1000</f>
        <v>40414.451999999997</v>
      </c>
      <c r="GU42" s="153">
        <f t="shared" ref="GU42:GU45" si="18">SUM(T42:Z42)</f>
        <v>715945</v>
      </c>
      <c r="GV42" s="155"/>
    </row>
    <row r="43" spans="1:15436" s="1" customFormat="1" ht="14.25">
      <c r="B43" s="76"/>
      <c r="C43" s="244" t="s">
        <v>46</v>
      </c>
      <c r="D43" s="80"/>
      <c r="E43" s="245" t="s">
        <v>10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393992</v>
      </c>
      <c r="W43" s="70">
        <v>40936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  <c r="AC43" s="70">
        <v>0</v>
      </c>
      <c r="AD43" s="70">
        <v>0</v>
      </c>
      <c r="AE43" s="70">
        <v>0</v>
      </c>
      <c r="AF43" s="70">
        <v>0</v>
      </c>
      <c r="AG43" s="70">
        <v>0</v>
      </c>
      <c r="AH43" s="70">
        <v>0</v>
      </c>
      <c r="AI43" s="70">
        <v>0</v>
      </c>
      <c r="AJ43" s="70">
        <v>0</v>
      </c>
      <c r="AK43" s="129"/>
      <c r="AL43" s="128">
        <f>SUM(F43:AJ43)</f>
        <v>434928</v>
      </c>
      <c r="AO43" s="130"/>
      <c r="AQ43" s="119">
        <f t="shared" si="13"/>
        <v>0</v>
      </c>
      <c r="AR43" s="155"/>
      <c r="AV43" s="130"/>
      <c r="FV43" s="153"/>
      <c r="GU43" s="153">
        <f t="shared" si="18"/>
        <v>434928</v>
      </c>
      <c r="GV43" s="155"/>
    </row>
    <row r="44" spans="1:15436" s="1" customFormat="1" ht="14.25">
      <c r="B44" s="76"/>
      <c r="C44" s="244" t="s">
        <v>47</v>
      </c>
      <c r="D44" s="80"/>
      <c r="E44" s="245" t="s">
        <v>10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f>98000+435811</f>
        <v>533811</v>
      </c>
      <c r="L44" s="70">
        <f>L66+118371</f>
        <v>301191</v>
      </c>
      <c r="M44" s="70">
        <v>0</v>
      </c>
      <c r="N44" s="70">
        <v>0</v>
      </c>
      <c r="O44" s="70">
        <v>0</v>
      </c>
      <c r="P44" s="70">
        <v>0</v>
      </c>
      <c r="Q44" s="70">
        <f>96700+424375</f>
        <v>521075</v>
      </c>
      <c r="R44" s="70">
        <f>176000+277987</f>
        <v>453987</v>
      </c>
      <c r="S44" s="70">
        <f>82500+338242</f>
        <v>420742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f>AF66+332107</f>
        <v>506187</v>
      </c>
      <c r="AG44" s="70">
        <f>98000+421083</f>
        <v>519083</v>
      </c>
      <c r="AH44" s="70">
        <f>AH66+223696</f>
        <v>322813</v>
      </c>
      <c r="AI44" s="70">
        <v>0</v>
      </c>
      <c r="AJ44" s="70">
        <v>0</v>
      </c>
      <c r="AK44" s="129"/>
      <c r="AL44" s="128">
        <f>SUM(F44:AJ44)</f>
        <v>3578889</v>
      </c>
      <c r="AO44" s="130"/>
      <c r="AQ44" s="119">
        <f t="shared" si="13"/>
        <v>506187</v>
      </c>
      <c r="AR44" s="155">
        <f>SUM(AQ43:AQ44)/AQ42*100</f>
        <v>60.486027631663852</v>
      </c>
      <c r="AV44" s="130"/>
      <c r="FV44" s="153"/>
      <c r="GU44" s="153">
        <f t="shared" si="18"/>
        <v>0</v>
      </c>
      <c r="GV44" s="155">
        <f>SUM(GU43:GU44)/GU42*100</f>
        <v>60.748800536354054</v>
      </c>
    </row>
    <row r="45" spans="1:15436" s="1" customFormat="1" ht="14.25">
      <c r="B45" s="76"/>
      <c r="C45" s="244" t="s">
        <v>48</v>
      </c>
      <c r="D45" s="80"/>
      <c r="E45" s="245" t="s">
        <v>10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342070</v>
      </c>
      <c r="L45" s="70">
        <v>197693</v>
      </c>
      <c r="M45" s="70">
        <v>0</v>
      </c>
      <c r="N45" s="70">
        <v>0</v>
      </c>
      <c r="O45" s="70">
        <v>0</v>
      </c>
      <c r="P45" s="70">
        <v>0</v>
      </c>
      <c r="Q45" s="70">
        <v>340903</v>
      </c>
      <c r="R45" s="70">
        <v>292984</v>
      </c>
      <c r="S45" s="70">
        <v>271087</v>
      </c>
      <c r="T45" s="70">
        <v>0</v>
      </c>
      <c r="U45" s="70">
        <v>0</v>
      </c>
      <c r="V45" s="70">
        <v>254017</v>
      </c>
      <c r="W45" s="70">
        <v>27000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330679</v>
      </c>
      <c r="AG45" s="70">
        <v>340198</v>
      </c>
      <c r="AH45" s="70">
        <v>212300</v>
      </c>
      <c r="AI45" s="70">
        <v>0</v>
      </c>
      <c r="AJ45" s="70">
        <v>0</v>
      </c>
      <c r="AK45" s="129"/>
      <c r="AL45" s="128">
        <f>SUM(F45:AJ45)</f>
        <v>2608931</v>
      </c>
      <c r="AO45" s="130"/>
      <c r="AQ45" s="119">
        <f t="shared" si="13"/>
        <v>330679</v>
      </c>
      <c r="AR45" s="155">
        <f>AQ45/AQ42*100</f>
        <v>39.513972368336148</v>
      </c>
      <c r="AZ45" s="153">
        <f>(94.2%*AZ23)-8000</f>
        <v>42219.904000000002</v>
      </c>
      <c r="FV45" s="153"/>
      <c r="GU45" s="153">
        <f t="shared" si="18"/>
        <v>281017</v>
      </c>
      <c r="GV45" s="155">
        <f>GU45/GU42*100</f>
        <v>39.251199463645953</v>
      </c>
    </row>
    <row r="46" spans="1:15436">
      <c r="B46" s="62"/>
      <c r="C46" s="246" t="s">
        <v>49</v>
      </c>
      <c r="D46" s="90"/>
      <c r="E46" s="90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141"/>
      <c r="AL46" s="247" t="s">
        <v>50</v>
      </c>
      <c r="AZ46" s="18">
        <f>AZ42/AZ45*100</f>
        <v>95.723694682015363</v>
      </c>
    </row>
    <row r="47" spans="1:15436">
      <c r="B47" s="82"/>
      <c r="C47" s="248" t="s">
        <v>51</v>
      </c>
      <c r="D47" s="75">
        <v>94.2</v>
      </c>
      <c r="E47" s="249" t="s">
        <v>13</v>
      </c>
      <c r="F47" s="92">
        <f t="shared" ref="F47:AJ47" si="19">(F29/(F23+F24))*100</f>
        <v>94.892987432712729</v>
      </c>
      <c r="G47" s="92">
        <f t="shared" si="19"/>
        <v>95.154169203861827</v>
      </c>
      <c r="H47" s="92">
        <f t="shared" si="19"/>
        <v>95.272225044042614</v>
      </c>
      <c r="I47" s="92">
        <f t="shared" si="19"/>
        <v>95.010458954533007</v>
      </c>
      <c r="J47" s="92">
        <f t="shared" si="19"/>
        <v>94.910609622798773</v>
      </c>
      <c r="K47" s="92">
        <f t="shared" si="19"/>
        <v>94.827433216652153</v>
      </c>
      <c r="L47" s="92">
        <f t="shared" si="19"/>
        <v>95.06832075955532</v>
      </c>
      <c r="M47" s="92">
        <f t="shared" si="19"/>
        <v>95.200679023880653</v>
      </c>
      <c r="N47" s="92">
        <f t="shared" si="19"/>
        <v>95.026622836600566</v>
      </c>
      <c r="O47" s="92">
        <f t="shared" si="19"/>
        <v>95.237195514940055</v>
      </c>
      <c r="P47" s="92">
        <f t="shared" si="19"/>
        <v>95.15539185894832</v>
      </c>
      <c r="Q47" s="92">
        <f t="shared" si="19"/>
        <v>95.167497746964827</v>
      </c>
      <c r="R47" s="92">
        <f t="shared" si="19"/>
        <v>95.182690268108061</v>
      </c>
      <c r="S47" s="92">
        <f t="shared" si="19"/>
        <v>95.155023847614146</v>
      </c>
      <c r="T47" s="92">
        <f t="shared" si="19"/>
        <v>95.159473113087543</v>
      </c>
      <c r="U47" s="92">
        <f t="shared" si="19"/>
        <v>95.383809031979595</v>
      </c>
      <c r="V47" s="92">
        <f t="shared" si="19"/>
        <v>95.359879403202285</v>
      </c>
      <c r="W47" s="92">
        <f t="shared" si="19"/>
        <v>95.32927225951444</v>
      </c>
      <c r="X47" s="92">
        <f t="shared" si="19"/>
        <v>95.389118197907948</v>
      </c>
      <c r="Y47" s="92">
        <f t="shared" si="19"/>
        <v>95.33762785653694</v>
      </c>
      <c r="Z47" s="92">
        <f t="shared" si="19"/>
        <v>95.423545634107256</v>
      </c>
      <c r="AA47" s="92">
        <f t="shared" si="19"/>
        <v>95.347050515149178</v>
      </c>
      <c r="AB47" s="92">
        <f t="shared" si="19"/>
        <v>95.287501477404589</v>
      </c>
      <c r="AC47" s="92">
        <f t="shared" si="19"/>
        <v>95.526252611125699</v>
      </c>
      <c r="AD47" s="92">
        <f t="shared" si="19"/>
        <v>95.343564690227794</v>
      </c>
      <c r="AE47" s="92">
        <f t="shared" si="19"/>
        <v>95.326889119247824</v>
      </c>
      <c r="AF47" s="92">
        <f t="shared" si="19"/>
        <v>95.331369038583773</v>
      </c>
      <c r="AG47" s="92">
        <f t="shared" si="19"/>
        <v>95.338357876815422</v>
      </c>
      <c r="AH47" s="92">
        <f t="shared" si="19"/>
        <v>95.3672887070108</v>
      </c>
      <c r="AI47" s="92">
        <f t="shared" si="19"/>
        <v>95.359338594669936</v>
      </c>
      <c r="AJ47" s="92">
        <f t="shared" si="19"/>
        <v>95.492602722532808</v>
      </c>
      <c r="AK47" s="134"/>
      <c r="AL47" s="143">
        <f>AL29/(SUM(AL23:AL24))*100</f>
        <v>95.231362786996471</v>
      </c>
      <c r="GV47" s="19">
        <f>SUM(GV45,GV34)</f>
        <v>56.420125307824179</v>
      </c>
    </row>
    <row r="48" spans="1:15436">
      <c r="B48" s="82"/>
      <c r="C48" s="248" t="s">
        <v>34</v>
      </c>
      <c r="D48" s="75">
        <v>5</v>
      </c>
      <c r="E48" s="249" t="s">
        <v>13</v>
      </c>
      <c r="F48" s="92">
        <f t="shared" ref="F48:AJ48" si="20">(F30/(F23+F24))*100</f>
        <v>4.4934635215886418</v>
      </c>
      <c r="G48" s="92">
        <f t="shared" si="20"/>
        <v>4.250618527035404</v>
      </c>
      <c r="H48" s="92">
        <f t="shared" si="20"/>
        <v>4.1164353843442774</v>
      </c>
      <c r="I48" s="92">
        <f t="shared" si="20"/>
        <v>4.386946122994857</v>
      </c>
      <c r="J48" s="92">
        <f t="shared" si="20"/>
        <v>4.4697387896395577</v>
      </c>
      <c r="K48" s="92">
        <f t="shared" si="20"/>
        <v>4.550404601709185</v>
      </c>
      <c r="L48" s="92">
        <f t="shared" si="20"/>
        <v>4.3182900523853549</v>
      </c>
      <c r="M48" s="92">
        <f t="shared" si="20"/>
        <v>4.2021919683362334</v>
      </c>
      <c r="N48" s="92">
        <f t="shared" si="20"/>
        <v>4.3538283710962808</v>
      </c>
      <c r="O48" s="92">
        <f t="shared" si="20"/>
        <v>4.1579805893726496</v>
      </c>
      <c r="P48" s="92">
        <f t="shared" si="20"/>
        <v>4.23095321479913</v>
      </c>
      <c r="Q48" s="92">
        <f t="shared" si="20"/>
        <v>4.2040131469840603</v>
      </c>
      <c r="R48" s="92">
        <f t="shared" si="20"/>
        <v>4.1965230422815223</v>
      </c>
      <c r="S48" s="92">
        <f t="shared" si="20"/>
        <v>4.2353776168923565</v>
      </c>
      <c r="T48" s="92">
        <f t="shared" si="20"/>
        <v>4.2204430875946892</v>
      </c>
      <c r="U48" s="92">
        <f t="shared" si="20"/>
        <v>4.0019357545313499</v>
      </c>
      <c r="V48" s="92">
        <f t="shared" si="20"/>
        <v>4.038440229271389</v>
      </c>
      <c r="W48" s="92">
        <f t="shared" si="20"/>
        <v>4.0717316734186948</v>
      </c>
      <c r="X48" s="92">
        <f t="shared" si="20"/>
        <v>4.0007931924515381</v>
      </c>
      <c r="Y48" s="92">
        <f t="shared" si="20"/>
        <v>4.0672664303563613</v>
      </c>
      <c r="Z48" s="92">
        <f t="shared" si="20"/>
        <v>3.9415396464552352</v>
      </c>
      <c r="AA48" s="92">
        <f t="shared" si="20"/>
        <v>4.054821758272972</v>
      </c>
      <c r="AB48" s="92">
        <f t="shared" si="20"/>
        <v>4.0875345479782412</v>
      </c>
      <c r="AC48" s="92">
        <f t="shared" si="20"/>
        <v>3.8760211717139081</v>
      </c>
      <c r="AD48" s="92">
        <f t="shared" si="20"/>
        <v>4.0388050626472456</v>
      </c>
      <c r="AE48" s="92">
        <f t="shared" si="20"/>
        <v>4.0597930786236347</v>
      </c>
      <c r="AF48" s="92">
        <f t="shared" si="20"/>
        <v>4.0674209170359248</v>
      </c>
      <c r="AG48" s="92">
        <f t="shared" si="20"/>
        <v>4.0348757286889585</v>
      </c>
      <c r="AH48" s="92">
        <f t="shared" si="20"/>
        <v>4.0200598298346257</v>
      </c>
      <c r="AI48" s="92">
        <f t="shared" si="20"/>
        <v>4.0208543534165964</v>
      </c>
      <c r="AJ48" s="92">
        <f t="shared" si="20"/>
        <v>3.9066201580386886</v>
      </c>
      <c r="AK48" s="134"/>
      <c r="AL48" s="143">
        <f>AL30/(AL23+AL24)*100</f>
        <v>4.1571070860409041</v>
      </c>
    </row>
    <row r="49" spans="2:123 15437:15450">
      <c r="B49" s="82"/>
      <c r="C49" s="248" t="s">
        <v>36</v>
      </c>
      <c r="D49" s="75">
        <v>82</v>
      </c>
      <c r="E49" s="249" t="s">
        <v>13</v>
      </c>
      <c r="F49" s="93">
        <f t="shared" ref="F49:AJ49" si="21">(F33/F32)*100</f>
        <v>82.991866049774188</v>
      </c>
      <c r="G49" s="93">
        <f t="shared" si="21"/>
        <v>82.937175188154512</v>
      </c>
      <c r="H49" s="93">
        <f t="shared" si="21"/>
        <v>82.918364516837073</v>
      </c>
      <c r="I49" s="93">
        <f t="shared" si="21"/>
        <v>83.73787756852154</v>
      </c>
      <c r="J49" s="93">
        <f t="shared" si="21"/>
        <v>82.943705541456112</v>
      </c>
      <c r="K49" s="93" t="e">
        <f t="shared" si="21"/>
        <v>#DIV/0!</v>
      </c>
      <c r="L49" s="93">
        <f t="shared" si="21"/>
        <v>82.888014071530279</v>
      </c>
      <c r="M49" s="93">
        <f t="shared" si="21"/>
        <v>82.917070926313059</v>
      </c>
      <c r="N49" s="93">
        <f t="shared" si="21"/>
        <v>83.718348250863599</v>
      </c>
      <c r="O49" s="93">
        <f t="shared" si="21"/>
        <v>83.510287213768692</v>
      </c>
      <c r="P49" s="93">
        <f t="shared" si="21"/>
        <v>83.731100307925416</v>
      </c>
      <c r="Q49" s="93" t="e">
        <f t="shared" si="21"/>
        <v>#DIV/0!</v>
      </c>
      <c r="R49" s="93" t="e">
        <f t="shared" si="21"/>
        <v>#DIV/0!</v>
      </c>
      <c r="S49" s="93" t="e">
        <f t="shared" si="21"/>
        <v>#DIV/0!</v>
      </c>
      <c r="T49" s="93">
        <f t="shared" si="21"/>
        <v>82.792976953879759</v>
      </c>
      <c r="U49" s="93" t="e">
        <f t="shared" si="21"/>
        <v>#DIV/0!</v>
      </c>
      <c r="V49" s="93" t="e">
        <f t="shared" si="21"/>
        <v>#DIV/0!</v>
      </c>
      <c r="W49" s="93">
        <f t="shared" si="21"/>
        <v>82.680144294496415</v>
      </c>
      <c r="X49" s="93">
        <f t="shared" si="21"/>
        <v>83.30286828436077</v>
      </c>
      <c r="Y49" s="93">
        <f t="shared" si="21"/>
        <v>82.70085762127988</v>
      </c>
      <c r="Z49" s="93">
        <f t="shared" si="21"/>
        <v>82.495834984069063</v>
      </c>
      <c r="AA49" s="93">
        <f t="shared" si="21"/>
        <v>83.49325125434801</v>
      </c>
      <c r="AB49" s="93">
        <f t="shared" si="21"/>
        <v>82.890322282599286</v>
      </c>
      <c r="AC49" s="93">
        <f t="shared" si="21"/>
        <v>82.959819296168831</v>
      </c>
      <c r="AD49" s="93">
        <f t="shared" si="21"/>
        <v>83.857992844493324</v>
      </c>
      <c r="AE49" s="93">
        <f t="shared" si="21"/>
        <v>83.025432467317088</v>
      </c>
      <c r="AF49" s="93" t="e">
        <f t="shared" si="21"/>
        <v>#DIV/0!</v>
      </c>
      <c r="AG49" s="93" t="e">
        <f t="shared" si="21"/>
        <v>#DIV/0!</v>
      </c>
      <c r="AH49" s="93">
        <f t="shared" si="21"/>
        <v>82.676815933368744</v>
      </c>
      <c r="AI49" s="93">
        <f t="shared" si="21"/>
        <v>84.391142247499744</v>
      </c>
      <c r="AJ49" s="93">
        <f t="shared" si="21"/>
        <v>84.251779021385786</v>
      </c>
      <c r="AK49" s="134"/>
      <c r="AL49" s="143">
        <f>AL33/AL32*100</f>
        <v>83.279345723435554</v>
      </c>
    </row>
    <row r="50" spans="2:123 15437:15450">
      <c r="B50" s="82"/>
      <c r="C50" s="248" t="s">
        <v>52</v>
      </c>
      <c r="D50" s="75">
        <v>18</v>
      </c>
      <c r="E50" s="249" t="s">
        <v>13</v>
      </c>
      <c r="F50" s="93">
        <f t="shared" ref="F50:AJ50" si="22">(F34/F32)*100</f>
        <v>17.008133950225808</v>
      </c>
      <c r="G50" s="93">
        <f t="shared" si="22"/>
        <v>17.062824811845491</v>
      </c>
      <c r="H50" s="93">
        <f t="shared" si="22"/>
        <v>17.08163548316293</v>
      </c>
      <c r="I50" s="93">
        <f t="shared" si="22"/>
        <v>16.262122431478456</v>
      </c>
      <c r="J50" s="93">
        <f t="shared" si="22"/>
        <v>17.056294458543892</v>
      </c>
      <c r="K50" s="93" t="e">
        <f t="shared" si="22"/>
        <v>#DIV/0!</v>
      </c>
      <c r="L50" s="93">
        <f t="shared" si="22"/>
        <v>17.111985928469721</v>
      </c>
      <c r="M50" s="93">
        <f t="shared" si="22"/>
        <v>17.082929073686948</v>
      </c>
      <c r="N50" s="93">
        <f t="shared" si="22"/>
        <v>16.281651749136397</v>
      </c>
      <c r="O50" s="93">
        <f t="shared" si="22"/>
        <v>16.489712786231316</v>
      </c>
      <c r="P50" s="93">
        <f t="shared" si="22"/>
        <v>16.268899692074577</v>
      </c>
      <c r="Q50" s="93" t="e">
        <f t="shared" si="22"/>
        <v>#DIV/0!</v>
      </c>
      <c r="R50" s="93" t="e">
        <f t="shared" si="22"/>
        <v>#DIV/0!</v>
      </c>
      <c r="S50" s="93" t="e">
        <f t="shared" si="22"/>
        <v>#DIV/0!</v>
      </c>
      <c r="T50" s="93">
        <f t="shared" si="22"/>
        <v>17.207023046120241</v>
      </c>
      <c r="U50" s="93" t="e">
        <f t="shared" si="22"/>
        <v>#DIV/0!</v>
      </c>
      <c r="V50" s="93" t="e">
        <f t="shared" si="22"/>
        <v>#DIV/0!</v>
      </c>
      <c r="W50" s="93">
        <f t="shared" si="22"/>
        <v>17.319855705503585</v>
      </c>
      <c r="X50" s="93">
        <f t="shared" si="22"/>
        <v>16.697131715639234</v>
      </c>
      <c r="Y50" s="93">
        <f t="shared" si="22"/>
        <v>17.299142378720124</v>
      </c>
      <c r="Z50" s="93">
        <f t="shared" si="22"/>
        <v>17.504165015930944</v>
      </c>
      <c r="AA50" s="93">
        <f t="shared" si="22"/>
        <v>16.506748745651986</v>
      </c>
      <c r="AB50" s="93">
        <f t="shared" si="22"/>
        <v>17.109677717400722</v>
      </c>
      <c r="AC50" s="93">
        <f t="shared" si="22"/>
        <v>17.040180703831162</v>
      </c>
      <c r="AD50" s="93">
        <f t="shared" si="22"/>
        <v>16.142007155506676</v>
      </c>
      <c r="AE50" s="93">
        <f t="shared" si="22"/>
        <v>16.974567532682919</v>
      </c>
      <c r="AF50" s="93" t="e">
        <f t="shared" si="22"/>
        <v>#DIV/0!</v>
      </c>
      <c r="AG50" s="93" t="e">
        <f t="shared" si="22"/>
        <v>#DIV/0!</v>
      </c>
      <c r="AH50" s="93">
        <f t="shared" si="22"/>
        <v>17.32318406663126</v>
      </c>
      <c r="AI50" s="93">
        <f t="shared" si="22"/>
        <v>15.608857752500249</v>
      </c>
      <c r="AJ50" s="93">
        <f t="shared" si="22"/>
        <v>15.748220978614217</v>
      </c>
      <c r="AK50" s="134"/>
      <c r="AL50" s="143">
        <f>AL34/AL32*100</f>
        <v>16.720654276564449</v>
      </c>
    </row>
    <row r="51" spans="2:123 15437:15450" hidden="1">
      <c r="B51" s="82"/>
      <c r="C51" s="248" t="s">
        <v>41</v>
      </c>
      <c r="D51" s="75">
        <v>70</v>
      </c>
      <c r="E51" s="249" t="s">
        <v>13</v>
      </c>
      <c r="F51" s="93" t="e">
        <f t="shared" ref="F51:AC51" si="23">F38/F37*100</f>
        <v>#DIV/0!</v>
      </c>
      <c r="G51" s="93" t="e">
        <f t="shared" si="23"/>
        <v>#DIV/0!</v>
      </c>
      <c r="H51" s="93" t="e">
        <f t="shared" si="23"/>
        <v>#DIV/0!</v>
      </c>
      <c r="I51" s="93" t="e">
        <f t="shared" si="23"/>
        <v>#DIV/0!</v>
      </c>
      <c r="J51" s="93" t="e">
        <f t="shared" si="23"/>
        <v>#DIV/0!</v>
      </c>
      <c r="K51" s="93" t="e">
        <f t="shared" si="23"/>
        <v>#DIV/0!</v>
      </c>
      <c r="L51" s="93" t="e">
        <f t="shared" si="23"/>
        <v>#DIV/0!</v>
      </c>
      <c r="M51" s="93" t="e">
        <f t="shared" si="23"/>
        <v>#DIV/0!</v>
      </c>
      <c r="N51" s="93" t="e">
        <f t="shared" si="23"/>
        <v>#DIV/0!</v>
      </c>
      <c r="O51" s="93" t="e">
        <f t="shared" si="23"/>
        <v>#DIV/0!</v>
      </c>
      <c r="P51" s="93" t="e">
        <f t="shared" si="23"/>
        <v>#DIV/0!</v>
      </c>
      <c r="Q51" s="93" t="e">
        <f t="shared" si="23"/>
        <v>#DIV/0!</v>
      </c>
      <c r="R51" s="93" t="e">
        <f t="shared" si="23"/>
        <v>#DIV/0!</v>
      </c>
      <c r="S51" s="93" t="e">
        <f t="shared" si="23"/>
        <v>#DIV/0!</v>
      </c>
      <c r="T51" s="93" t="e">
        <f t="shared" si="23"/>
        <v>#DIV/0!</v>
      </c>
      <c r="U51" s="93" t="e">
        <f t="shared" si="23"/>
        <v>#DIV/0!</v>
      </c>
      <c r="V51" s="93" t="e">
        <f t="shared" si="23"/>
        <v>#DIV/0!</v>
      </c>
      <c r="W51" s="93" t="e">
        <f t="shared" si="23"/>
        <v>#DIV/0!</v>
      </c>
      <c r="X51" s="93" t="e">
        <f t="shared" si="23"/>
        <v>#DIV/0!</v>
      </c>
      <c r="Y51" s="93" t="e">
        <f t="shared" si="23"/>
        <v>#DIV/0!</v>
      </c>
      <c r="Z51" s="93" t="e">
        <f t="shared" si="23"/>
        <v>#DIV/0!</v>
      </c>
      <c r="AA51" s="93" t="e">
        <f t="shared" si="23"/>
        <v>#DIV/0!</v>
      </c>
      <c r="AB51" s="93" t="e">
        <f t="shared" si="23"/>
        <v>#DIV/0!</v>
      </c>
      <c r="AC51" s="93" t="e">
        <f t="shared" si="23"/>
        <v>#DIV/0!</v>
      </c>
      <c r="AD51" s="93" t="e">
        <f t="shared" ref="AD51:AJ51" si="24">AD41/AD40*100</f>
        <v>#DIV/0!</v>
      </c>
      <c r="AE51" s="93" t="e">
        <f t="shared" si="24"/>
        <v>#DIV/0!</v>
      </c>
      <c r="AF51" s="93" t="e">
        <f t="shared" si="24"/>
        <v>#DIV/0!</v>
      </c>
      <c r="AG51" s="93" t="e">
        <f t="shared" si="24"/>
        <v>#DIV/0!</v>
      </c>
      <c r="AH51" s="93" t="e">
        <f t="shared" si="24"/>
        <v>#DIV/0!</v>
      </c>
      <c r="AI51" s="93" t="e">
        <f t="shared" si="24"/>
        <v>#DIV/0!</v>
      </c>
      <c r="AJ51" s="93" t="e">
        <f t="shared" si="24"/>
        <v>#DIV/0!</v>
      </c>
      <c r="AK51" s="134"/>
      <c r="AL51" s="143" t="e">
        <f>AL38/AL37*100</f>
        <v>#DIV/0!</v>
      </c>
    </row>
    <row r="52" spans="2:123 15437:15450" hidden="1">
      <c r="B52" s="82"/>
      <c r="C52" s="248" t="s">
        <v>52</v>
      </c>
      <c r="D52" s="75">
        <v>30</v>
      </c>
      <c r="E52" s="249" t="s">
        <v>13</v>
      </c>
      <c r="F52" s="93" t="e">
        <f t="shared" ref="F52:AC52" si="25">F39/F37*100</f>
        <v>#DIV/0!</v>
      </c>
      <c r="G52" s="93" t="e">
        <f t="shared" si="25"/>
        <v>#DIV/0!</v>
      </c>
      <c r="H52" s="93" t="e">
        <f t="shared" si="25"/>
        <v>#DIV/0!</v>
      </c>
      <c r="I52" s="93" t="e">
        <f t="shared" si="25"/>
        <v>#DIV/0!</v>
      </c>
      <c r="J52" s="93" t="e">
        <f t="shared" si="25"/>
        <v>#DIV/0!</v>
      </c>
      <c r="K52" s="93" t="e">
        <f t="shared" si="25"/>
        <v>#DIV/0!</v>
      </c>
      <c r="L52" s="93" t="e">
        <f t="shared" si="25"/>
        <v>#DIV/0!</v>
      </c>
      <c r="M52" s="93" t="e">
        <f t="shared" si="25"/>
        <v>#DIV/0!</v>
      </c>
      <c r="N52" s="93" t="e">
        <f t="shared" si="25"/>
        <v>#DIV/0!</v>
      </c>
      <c r="O52" s="93" t="e">
        <f t="shared" si="25"/>
        <v>#DIV/0!</v>
      </c>
      <c r="P52" s="93" t="e">
        <f t="shared" si="25"/>
        <v>#DIV/0!</v>
      </c>
      <c r="Q52" s="93" t="e">
        <f t="shared" si="25"/>
        <v>#DIV/0!</v>
      </c>
      <c r="R52" s="93" t="e">
        <f t="shared" si="25"/>
        <v>#DIV/0!</v>
      </c>
      <c r="S52" s="93" t="e">
        <f t="shared" si="25"/>
        <v>#DIV/0!</v>
      </c>
      <c r="T52" s="93" t="e">
        <f t="shared" si="25"/>
        <v>#DIV/0!</v>
      </c>
      <c r="U52" s="93" t="e">
        <f t="shared" si="25"/>
        <v>#DIV/0!</v>
      </c>
      <c r="V52" s="93" t="e">
        <f t="shared" si="25"/>
        <v>#DIV/0!</v>
      </c>
      <c r="W52" s="93" t="e">
        <f t="shared" si="25"/>
        <v>#DIV/0!</v>
      </c>
      <c r="X52" s="93" t="e">
        <f t="shared" si="25"/>
        <v>#DIV/0!</v>
      </c>
      <c r="Y52" s="93" t="e">
        <f t="shared" si="25"/>
        <v>#DIV/0!</v>
      </c>
      <c r="Z52" s="93" t="e">
        <f t="shared" si="25"/>
        <v>#DIV/0!</v>
      </c>
      <c r="AA52" s="93" t="e">
        <f t="shared" si="25"/>
        <v>#DIV/0!</v>
      </c>
      <c r="AB52" s="93" t="e">
        <f t="shared" si="25"/>
        <v>#DIV/0!</v>
      </c>
      <c r="AC52" s="93" t="e">
        <f t="shared" si="25"/>
        <v>#DIV/0!</v>
      </c>
      <c r="AD52" s="93" t="e">
        <f t="shared" ref="AD52:AJ52" si="26">AD42/AD40*100</f>
        <v>#DIV/0!</v>
      </c>
      <c r="AE52" s="93" t="e">
        <f t="shared" si="26"/>
        <v>#DIV/0!</v>
      </c>
      <c r="AF52" s="93" t="e">
        <f t="shared" si="26"/>
        <v>#DIV/0!</v>
      </c>
      <c r="AG52" s="93" t="e">
        <f t="shared" si="26"/>
        <v>#DIV/0!</v>
      </c>
      <c r="AH52" s="93" t="e">
        <f t="shared" si="26"/>
        <v>#DIV/0!</v>
      </c>
      <c r="AI52" s="93" t="e">
        <f t="shared" si="26"/>
        <v>#DIV/0!</v>
      </c>
      <c r="AJ52" s="93" t="e">
        <f t="shared" si="26"/>
        <v>#DIV/0!</v>
      </c>
      <c r="AK52" s="144"/>
      <c r="AL52" s="143" t="e">
        <f>AL39/AL37*100</f>
        <v>#DIV/0!</v>
      </c>
    </row>
    <row r="53" spans="2:123 15437:15450">
      <c r="B53" s="82"/>
      <c r="C53" s="248" t="s">
        <v>45</v>
      </c>
      <c r="D53" s="75">
        <v>58</v>
      </c>
      <c r="E53" s="249" t="s">
        <v>13</v>
      </c>
      <c r="F53" s="93" t="e">
        <f t="shared" ref="F53:AJ53" si="27">F44/F42*100</f>
        <v>#DIV/0!</v>
      </c>
      <c r="G53" s="93" t="e">
        <f t="shared" si="27"/>
        <v>#DIV/0!</v>
      </c>
      <c r="H53" s="93" t="e">
        <f t="shared" si="27"/>
        <v>#DIV/0!</v>
      </c>
      <c r="I53" s="93" t="e">
        <f t="shared" si="27"/>
        <v>#DIV/0!</v>
      </c>
      <c r="J53" s="93" t="e">
        <f t="shared" si="27"/>
        <v>#DIV/0!</v>
      </c>
      <c r="K53" s="93">
        <f t="shared" si="27"/>
        <v>60.945607907923559</v>
      </c>
      <c r="L53" s="93">
        <f t="shared" si="27"/>
        <v>60.372952429823371</v>
      </c>
      <c r="M53" s="93" t="e">
        <f t="shared" si="27"/>
        <v>#DIV/0!</v>
      </c>
      <c r="N53" s="93" t="e">
        <f t="shared" si="27"/>
        <v>#DIV/0!</v>
      </c>
      <c r="O53" s="93" t="e">
        <f t="shared" si="27"/>
        <v>#DIV/0!</v>
      </c>
      <c r="P53" s="93" t="e">
        <f t="shared" si="27"/>
        <v>#DIV/0!</v>
      </c>
      <c r="Q53" s="93">
        <f t="shared" si="27"/>
        <v>60.451078797834747</v>
      </c>
      <c r="R53" s="93">
        <f t="shared" si="27"/>
        <v>60.777058279370955</v>
      </c>
      <c r="S53" s="93">
        <f t="shared" si="27"/>
        <v>60.815895257354057</v>
      </c>
      <c r="T53" s="93" t="e">
        <f t="shared" ref="T53:W53" si="28">(T44+T43)/T42*100</f>
        <v>#DIV/0!</v>
      </c>
      <c r="U53" s="93" t="e">
        <f t="shared" si="28"/>
        <v>#DIV/0!</v>
      </c>
      <c r="V53" s="93">
        <f t="shared" si="28"/>
        <v>60.800390118038486</v>
      </c>
      <c r="W53" s="93">
        <f t="shared" si="28"/>
        <v>60.256712199717377</v>
      </c>
      <c r="X53" s="93" t="e">
        <f t="shared" si="27"/>
        <v>#DIV/0!</v>
      </c>
      <c r="Y53" s="93" t="e">
        <f t="shared" si="27"/>
        <v>#DIV/0!</v>
      </c>
      <c r="Z53" s="93" t="e">
        <f t="shared" si="27"/>
        <v>#DIV/0!</v>
      </c>
      <c r="AA53" s="93" t="e">
        <f t="shared" si="27"/>
        <v>#DIV/0!</v>
      </c>
      <c r="AB53" s="93" t="e">
        <f t="shared" si="27"/>
        <v>#DIV/0!</v>
      </c>
      <c r="AC53" s="93" t="e">
        <f t="shared" si="27"/>
        <v>#DIV/0!</v>
      </c>
      <c r="AD53" s="93" t="e">
        <f t="shared" si="27"/>
        <v>#DIV/0!</v>
      </c>
      <c r="AE53" s="93" t="e">
        <f t="shared" si="27"/>
        <v>#DIV/0!</v>
      </c>
      <c r="AF53" s="93">
        <f t="shared" si="27"/>
        <v>60.486027631663852</v>
      </c>
      <c r="AG53" s="93">
        <f t="shared" si="27"/>
        <v>60.408993100045272</v>
      </c>
      <c r="AH53" s="93">
        <f t="shared" si="27"/>
        <v>60.326136722524026</v>
      </c>
      <c r="AI53" s="93" t="e">
        <f t="shared" si="27"/>
        <v>#DIV/0!</v>
      </c>
      <c r="AJ53" s="93" t="e">
        <f t="shared" si="27"/>
        <v>#DIV/0!</v>
      </c>
      <c r="AK53" s="134"/>
      <c r="AL53" s="143">
        <f>(AL44+AL43)/AL42*100</f>
        <v>60.606518623387153</v>
      </c>
    </row>
    <row r="54" spans="2:123 15437:15450">
      <c r="B54" s="82"/>
      <c r="C54" s="248" t="s">
        <v>53</v>
      </c>
      <c r="D54" s="75">
        <v>42</v>
      </c>
      <c r="E54" s="249" t="s">
        <v>13</v>
      </c>
      <c r="F54" s="93" t="e">
        <f t="shared" ref="F54:AJ54" si="29">F45/F42*100</f>
        <v>#DIV/0!</v>
      </c>
      <c r="G54" s="93" t="e">
        <f t="shared" si="29"/>
        <v>#DIV/0!</v>
      </c>
      <c r="H54" s="93" t="e">
        <f t="shared" si="29"/>
        <v>#DIV/0!</v>
      </c>
      <c r="I54" s="93" t="e">
        <f t="shared" si="29"/>
        <v>#DIV/0!</v>
      </c>
      <c r="J54" s="93" t="e">
        <f t="shared" si="29"/>
        <v>#DIV/0!</v>
      </c>
      <c r="K54" s="93">
        <f t="shared" si="29"/>
        <v>39.054392092076434</v>
      </c>
      <c r="L54" s="93">
        <f t="shared" si="29"/>
        <v>39.627047570176629</v>
      </c>
      <c r="M54" s="93" t="e">
        <f t="shared" si="29"/>
        <v>#DIV/0!</v>
      </c>
      <c r="N54" s="93" t="e">
        <f t="shared" si="29"/>
        <v>#DIV/0!</v>
      </c>
      <c r="O54" s="93" t="e">
        <f t="shared" si="29"/>
        <v>#DIV/0!</v>
      </c>
      <c r="P54" s="93" t="e">
        <f t="shared" si="29"/>
        <v>#DIV/0!</v>
      </c>
      <c r="Q54" s="93">
        <f t="shared" si="29"/>
        <v>39.548921202165253</v>
      </c>
      <c r="R54" s="93">
        <f t="shared" si="29"/>
        <v>39.222941720629045</v>
      </c>
      <c r="S54" s="93">
        <f t="shared" si="29"/>
        <v>39.184104742645943</v>
      </c>
      <c r="T54" s="93" t="e">
        <f t="shared" si="29"/>
        <v>#DIV/0!</v>
      </c>
      <c r="U54" s="93" t="e">
        <f t="shared" si="29"/>
        <v>#DIV/0!</v>
      </c>
      <c r="V54" s="93">
        <f t="shared" si="29"/>
        <v>39.199609881961514</v>
      </c>
      <c r="W54" s="93">
        <f t="shared" si="29"/>
        <v>39.743287800282616</v>
      </c>
      <c r="X54" s="93" t="e">
        <f t="shared" si="29"/>
        <v>#DIV/0!</v>
      </c>
      <c r="Y54" s="93" t="e">
        <f t="shared" si="29"/>
        <v>#DIV/0!</v>
      </c>
      <c r="Z54" s="93" t="e">
        <f t="shared" si="29"/>
        <v>#DIV/0!</v>
      </c>
      <c r="AA54" s="93" t="e">
        <f t="shared" si="29"/>
        <v>#DIV/0!</v>
      </c>
      <c r="AB54" s="93" t="e">
        <f t="shared" si="29"/>
        <v>#DIV/0!</v>
      </c>
      <c r="AC54" s="93" t="e">
        <f t="shared" si="29"/>
        <v>#DIV/0!</v>
      </c>
      <c r="AD54" s="93" t="e">
        <f t="shared" si="29"/>
        <v>#DIV/0!</v>
      </c>
      <c r="AE54" s="93" t="e">
        <f t="shared" si="29"/>
        <v>#DIV/0!</v>
      </c>
      <c r="AF54" s="93">
        <f t="shared" si="29"/>
        <v>39.513972368336148</v>
      </c>
      <c r="AG54" s="93">
        <f t="shared" si="29"/>
        <v>39.591006899954728</v>
      </c>
      <c r="AH54" s="93">
        <f t="shared" si="29"/>
        <v>39.673863277475974</v>
      </c>
      <c r="AI54" s="93" t="e">
        <f t="shared" si="29"/>
        <v>#DIV/0!</v>
      </c>
      <c r="AJ54" s="93" t="e">
        <f t="shared" si="29"/>
        <v>#DIV/0!</v>
      </c>
      <c r="AK54" s="144"/>
      <c r="AL54" s="143">
        <f>AL45/AL42*100</f>
        <v>39.393481376612847</v>
      </c>
    </row>
    <row r="55" spans="2:123 15437:15450">
      <c r="B55" s="59">
        <v>3</v>
      </c>
      <c r="C55" s="89" t="s">
        <v>54</v>
      </c>
      <c r="D55" s="90"/>
      <c r="E55" s="90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136"/>
      <c r="AL55" s="142" t="s">
        <v>55</v>
      </c>
    </row>
    <row r="56" spans="2:123 15437:15450">
      <c r="B56" s="62"/>
      <c r="C56" s="250" t="s">
        <v>56</v>
      </c>
      <c r="D56" s="75">
        <v>8</v>
      </c>
      <c r="E56" s="251" t="s">
        <v>57</v>
      </c>
      <c r="F56" s="65">
        <v>13786</v>
      </c>
      <c r="G56" s="65">
        <v>14532</v>
      </c>
      <c r="H56" s="65">
        <v>13957</v>
      </c>
      <c r="I56" s="65">
        <v>15112</v>
      </c>
      <c r="J56" s="65">
        <f>18928-J58</f>
        <v>3306</v>
      </c>
      <c r="K56" s="65">
        <f>19280-K58</f>
        <v>10335</v>
      </c>
      <c r="L56" s="65">
        <v>13083</v>
      </c>
      <c r="M56" s="65">
        <v>10361</v>
      </c>
      <c r="N56" s="65">
        <v>11253</v>
      </c>
      <c r="O56" s="65">
        <v>11114</v>
      </c>
      <c r="P56" s="65">
        <f>17318-P58</f>
        <v>1465</v>
      </c>
      <c r="Q56" s="65">
        <f>16386-Q58</f>
        <v>2820</v>
      </c>
      <c r="R56" s="65">
        <f>17092-R58</f>
        <v>4752</v>
      </c>
      <c r="S56" s="65">
        <v>12506</v>
      </c>
      <c r="T56" s="65">
        <v>11803</v>
      </c>
      <c r="U56" s="65">
        <f>13406-U58</f>
        <v>1600</v>
      </c>
      <c r="V56" s="65">
        <f>10613-V58</f>
        <v>9359</v>
      </c>
      <c r="W56" s="65">
        <v>10856</v>
      </c>
      <c r="X56" s="65">
        <v>9679</v>
      </c>
      <c r="Y56" s="65">
        <v>11261</v>
      </c>
      <c r="Z56" s="65">
        <v>11253</v>
      </c>
      <c r="AA56" s="65">
        <v>11308</v>
      </c>
      <c r="AB56" s="65">
        <v>11315</v>
      </c>
      <c r="AC56" s="65">
        <v>11145</v>
      </c>
      <c r="AD56" s="65">
        <v>9392</v>
      </c>
      <c r="AE56" s="65">
        <f>16515-AE58</f>
        <v>1651</v>
      </c>
      <c r="AF56" s="65">
        <f>17057-AF58</f>
        <v>0</v>
      </c>
      <c r="AG56" s="65">
        <v>10215</v>
      </c>
      <c r="AH56" s="65">
        <v>10819</v>
      </c>
      <c r="AI56" s="65">
        <v>11952</v>
      </c>
      <c r="AJ56" s="65">
        <v>12259</v>
      </c>
      <c r="AK56" s="136"/>
      <c r="AL56" s="121">
        <f>SUM(F56:AJ56)</f>
        <v>294249</v>
      </c>
      <c r="AQ56" s="119">
        <f t="shared" ref="AQ56:AQ60" si="30">SUM(Z56:AF56)</f>
        <v>56064</v>
      </c>
    </row>
    <row r="57" spans="2:123 15437:15450">
      <c r="B57" s="82"/>
      <c r="C57" s="94"/>
      <c r="D57" s="80"/>
      <c r="E57" s="251" t="s">
        <v>13</v>
      </c>
      <c r="F57" s="92">
        <f>F56/F23*100</f>
        <v>0.68884983663176114</v>
      </c>
      <c r="G57" s="92">
        <f>G56/(G23-G41)*100</f>
        <v>0.72472766607469596</v>
      </c>
      <c r="H57" s="92">
        <f t="shared" ref="H57:AJ57" si="31">H56/((H23+H24)-H41)*100</f>
        <v>0.68893551885379134</v>
      </c>
      <c r="I57" s="92">
        <f t="shared" ref="I57:O57" si="32">I56/((I23+I24)-I41)*100</f>
        <v>0.77081551281521599</v>
      </c>
      <c r="J57" s="92">
        <f t="shared" si="32"/>
        <v>0.36900795514738916</v>
      </c>
      <c r="K57" s="92">
        <f t="shared" si="32"/>
        <v>0.77509421131502598</v>
      </c>
      <c r="L57" s="92">
        <f t="shared" si="32"/>
        <v>0.70481035898297861</v>
      </c>
      <c r="M57" s="92">
        <f t="shared" si="32"/>
        <v>0.58317029405606458</v>
      </c>
      <c r="N57" s="92">
        <f t="shared" si="32"/>
        <v>0.62264736623981964</v>
      </c>
      <c r="O57" s="92">
        <f t="shared" si="32"/>
        <v>0.58330551689245225</v>
      </c>
      <c r="P57" s="92">
        <f t="shared" si="31"/>
        <v>0.20877348518299424</v>
      </c>
      <c r="Q57" s="92">
        <f t="shared" si="31"/>
        <v>0.31006741963174056</v>
      </c>
      <c r="R57" s="92">
        <f t="shared" si="31"/>
        <v>0.54833803607357934</v>
      </c>
      <c r="S57" s="92">
        <f t="shared" si="31"/>
        <v>0.7181272875736302</v>
      </c>
      <c r="T57" s="92">
        <f>T56/((T23+T24)-(T41+T36))*100</f>
        <v>0.61281496134535807</v>
      </c>
      <c r="U57" s="92">
        <f>U56/((U23+U24)-U36)*100</f>
        <v>8.8088943406157194E-2</v>
      </c>
      <c r="V57" s="92">
        <f>V56/((V23+V24)-V41)*100</f>
        <v>0.57901515238098866</v>
      </c>
      <c r="W57" s="92">
        <f>W56/((W23+W24)-W41)*100</f>
        <v>0.66879577332899631</v>
      </c>
      <c r="X57" s="92">
        <f t="shared" si="31"/>
        <v>0.62315825798970781</v>
      </c>
      <c r="Y57" s="92">
        <f t="shared" si="31"/>
        <v>0.7387813289928864</v>
      </c>
      <c r="Z57" s="92">
        <f t="shared" si="31"/>
        <v>0.69895278202213684</v>
      </c>
      <c r="AA57" s="92">
        <f t="shared" si="31"/>
        <v>0.63229207554850275</v>
      </c>
      <c r="AB57" s="92">
        <f t="shared" si="31"/>
        <v>0.65879144520153543</v>
      </c>
      <c r="AC57" s="92">
        <f t="shared" si="31"/>
        <v>0.62515565786905214</v>
      </c>
      <c r="AD57" s="92">
        <f t="shared" si="31"/>
        <v>0.62206791217132307</v>
      </c>
      <c r="AE57" s="92">
        <f t="shared" si="31"/>
        <v>0.39620146799085226</v>
      </c>
      <c r="AF57" s="92">
        <f t="shared" si="31"/>
        <v>0</v>
      </c>
      <c r="AG57" s="92">
        <f t="shared" si="31"/>
        <v>0.60894224080014347</v>
      </c>
      <c r="AH57" s="92">
        <f t="shared" si="31"/>
        <v>0.58378335211109522</v>
      </c>
      <c r="AI57" s="92">
        <f t="shared" si="31"/>
        <v>0.62256776909569844</v>
      </c>
      <c r="AJ57" s="92">
        <f t="shared" si="31"/>
        <v>0.64109738049043241</v>
      </c>
      <c r="AK57" s="136"/>
      <c r="AL57" s="143">
        <f>AL56/(AL23-(AL36+AL41))*100</f>
        <v>0.61434458335724917</v>
      </c>
      <c r="AM57" s="19"/>
      <c r="AN57" s="19"/>
      <c r="AO57" s="18">
        <f>AL57*10</f>
        <v>6.1434458335724917</v>
      </c>
      <c r="AQ57" s="18">
        <f>AQ56/((AQ23-AQ41)/1000)</f>
        <v>5.9855269199447756</v>
      </c>
      <c r="AR57" s="19">
        <f>AL57*10</f>
        <v>6.1434458335724917</v>
      </c>
      <c r="DI57" s="19"/>
      <c r="DS57" s="19">
        <f>L57*10</f>
        <v>7.0481035898297861</v>
      </c>
    </row>
    <row r="58" spans="2:123 15437:15450" s="3" customFormat="1">
      <c r="B58" s="62"/>
      <c r="C58" s="252" t="s">
        <v>58</v>
      </c>
      <c r="D58" s="95">
        <v>18</v>
      </c>
      <c r="E58" s="253" t="s">
        <v>57</v>
      </c>
      <c r="F58" s="96">
        <v>0</v>
      </c>
      <c r="G58" s="96">
        <v>0</v>
      </c>
      <c r="H58" s="96">
        <v>0</v>
      </c>
      <c r="I58" s="96">
        <v>0</v>
      </c>
      <c r="J58" s="96">
        <v>15622</v>
      </c>
      <c r="K58" s="96">
        <v>8945</v>
      </c>
      <c r="L58" s="96">
        <v>0</v>
      </c>
      <c r="M58" s="96">
        <v>0</v>
      </c>
      <c r="N58" s="96">
        <v>0</v>
      </c>
      <c r="O58" s="96">
        <v>0</v>
      </c>
      <c r="P58" s="96">
        <v>15853</v>
      </c>
      <c r="Q58" s="96">
        <v>13566</v>
      </c>
      <c r="R58" s="96">
        <v>12340</v>
      </c>
      <c r="S58" s="96">
        <v>0</v>
      </c>
      <c r="T58" s="96">
        <v>0</v>
      </c>
      <c r="U58" s="96">
        <v>11806</v>
      </c>
      <c r="V58" s="114">
        <v>1254</v>
      </c>
      <c r="W58" s="114">
        <v>0</v>
      </c>
      <c r="X58" s="114">
        <v>0</v>
      </c>
      <c r="Y58" s="114">
        <v>0</v>
      </c>
      <c r="Z58" s="114">
        <v>0</v>
      </c>
      <c r="AA58" s="114">
        <v>0</v>
      </c>
      <c r="AB58" s="114">
        <v>0</v>
      </c>
      <c r="AC58" s="114">
        <v>0</v>
      </c>
      <c r="AD58" s="114">
        <v>0</v>
      </c>
      <c r="AE58" s="114">
        <v>14864</v>
      </c>
      <c r="AF58" s="114">
        <v>17057</v>
      </c>
      <c r="AG58" s="114">
        <v>0</v>
      </c>
      <c r="AH58" s="114">
        <v>0</v>
      </c>
      <c r="AI58" s="114">
        <v>0</v>
      </c>
      <c r="AJ58" s="114">
        <v>0</v>
      </c>
      <c r="AK58" s="136"/>
      <c r="AL58" s="145">
        <f t="shared" ref="AL58:AL60" si="33">SUM(F58:AJ58)</f>
        <v>111307</v>
      </c>
      <c r="AN58" s="19"/>
      <c r="AO58" s="18"/>
      <c r="AQ58" s="119">
        <f t="shared" si="30"/>
        <v>31921</v>
      </c>
      <c r="VUS58"/>
      <c r="VUT58"/>
      <c r="VUU58"/>
      <c r="VUV58"/>
      <c r="VUW58"/>
      <c r="VUX58"/>
      <c r="VUY58"/>
      <c r="VUZ58"/>
      <c r="VVA58"/>
      <c r="VVB58"/>
      <c r="VVC58"/>
      <c r="VVD58"/>
      <c r="VVE58"/>
      <c r="VVF58"/>
    </row>
    <row r="59" spans="2:123 15437:15450" s="3" customFormat="1">
      <c r="B59" s="82"/>
      <c r="C59" s="97"/>
      <c r="D59" s="98"/>
      <c r="E59" s="254" t="s">
        <v>13</v>
      </c>
      <c r="F59" s="99" t="e">
        <f>F58/F41*100</f>
        <v>#DIV/0!</v>
      </c>
      <c r="G59" s="99" t="e">
        <f>G58/G41*100</f>
        <v>#DIV/0!</v>
      </c>
      <c r="H59" s="99" t="e">
        <f t="shared" ref="H59:S59" si="34">H58/H41*100</f>
        <v>#DIV/0!</v>
      </c>
      <c r="I59" s="99" t="e">
        <f t="shared" si="34"/>
        <v>#DIV/0!</v>
      </c>
      <c r="J59" s="99">
        <f t="shared" si="34"/>
        <v>1.6928024966032629</v>
      </c>
      <c r="K59" s="99">
        <f t="shared" si="34"/>
        <v>1.700257755556309</v>
      </c>
      <c r="L59" s="109" t="e">
        <f t="shared" si="34"/>
        <v>#DIV/0!</v>
      </c>
      <c r="M59" s="109" t="e">
        <f t="shared" si="34"/>
        <v>#DIV/0!</v>
      </c>
      <c r="N59" s="109" t="e">
        <f t="shared" si="34"/>
        <v>#DIV/0!</v>
      </c>
      <c r="O59" s="109" t="e">
        <f t="shared" si="34"/>
        <v>#DIV/0!</v>
      </c>
      <c r="P59" s="109">
        <f t="shared" si="34"/>
        <v>1.7500428400027701</v>
      </c>
      <c r="Q59" s="109">
        <f t="shared" si="34"/>
        <v>1.7283700095925076</v>
      </c>
      <c r="R59" s="109">
        <f t="shared" si="34"/>
        <v>1.6977524762744167</v>
      </c>
      <c r="S59" s="109" t="e">
        <f t="shared" si="34"/>
        <v>#DIV/0!</v>
      </c>
      <c r="T59" s="109" t="e">
        <f>T58/(T41+T36)*100</f>
        <v>#DIV/0!</v>
      </c>
      <c r="U59" s="109">
        <f t="shared" ref="U59:AB59" si="35">U58/U41*100</f>
        <v>1.7377864341877214</v>
      </c>
      <c r="V59" s="109">
        <f t="shared" si="35"/>
        <v>1.7602050278440837</v>
      </c>
      <c r="W59" s="109" t="e">
        <f t="shared" si="35"/>
        <v>#DIV/0!</v>
      </c>
      <c r="X59" s="109" t="e">
        <f t="shared" si="35"/>
        <v>#DIV/0!</v>
      </c>
      <c r="Y59" s="109" t="e">
        <f t="shared" si="35"/>
        <v>#DIV/0!</v>
      </c>
      <c r="Z59" s="109" t="e">
        <f t="shared" si="35"/>
        <v>#DIV/0!</v>
      </c>
      <c r="AA59" s="109" t="e">
        <f t="shared" si="35"/>
        <v>#DIV/0!</v>
      </c>
      <c r="AB59" s="109" t="e">
        <f t="shared" si="35"/>
        <v>#DIV/0!</v>
      </c>
      <c r="AC59" s="99" t="e">
        <f>AC58/(AC41)*100</f>
        <v>#DIV/0!</v>
      </c>
      <c r="AD59" s="109" t="e">
        <f t="shared" ref="AD59:AJ59" si="36">AD58/AD41*100</f>
        <v>#DIV/0!</v>
      </c>
      <c r="AE59" s="109">
        <f t="shared" si="36"/>
        <v>1.6931490583540252</v>
      </c>
      <c r="AF59" s="109">
        <f t="shared" si="36"/>
        <v>1.8923578686030802</v>
      </c>
      <c r="AG59" s="109" t="e">
        <f t="shared" si="36"/>
        <v>#DIV/0!</v>
      </c>
      <c r="AH59" s="109" t="e">
        <f t="shared" si="36"/>
        <v>#DIV/0!</v>
      </c>
      <c r="AI59" s="109" t="e">
        <f t="shared" si="36"/>
        <v>#DIV/0!</v>
      </c>
      <c r="AJ59" s="109" t="e">
        <f t="shared" si="36"/>
        <v>#DIV/0!</v>
      </c>
      <c r="AK59" s="136"/>
      <c r="AL59" s="146">
        <f>AL58/(AL41+AL36)*100</f>
        <v>1.7401457925966382</v>
      </c>
      <c r="AM59" s="19"/>
      <c r="AN59" s="19"/>
      <c r="AO59" s="18">
        <f>AL59*10</f>
        <v>17.401457925966383</v>
      </c>
      <c r="AQ59" s="18">
        <f>AQ58/(AQ41/1000)</f>
        <v>17.940674201950269</v>
      </c>
      <c r="AR59" s="19">
        <f>AL59*10</f>
        <v>17.401457925966383</v>
      </c>
      <c r="DS59" s="19">
        <f>K59*10</f>
        <v>17.002577555563089</v>
      </c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</row>
    <row r="60" spans="2:123 15437:15450">
      <c r="B60" s="82"/>
      <c r="C60" s="250" t="s">
        <v>59</v>
      </c>
      <c r="D60" s="75">
        <v>0.55000000000000004</v>
      </c>
      <c r="E60" s="251" t="s">
        <v>10</v>
      </c>
      <c r="F60" s="65">
        <v>988.7</v>
      </c>
      <c r="G60" s="65">
        <v>1002.6</v>
      </c>
      <c r="H60" s="65">
        <v>1014.5</v>
      </c>
      <c r="I60" s="65">
        <v>1120.5</v>
      </c>
      <c r="J60" s="65">
        <v>897.8</v>
      </c>
      <c r="K60" s="65">
        <v>938.7</v>
      </c>
      <c r="L60" s="65">
        <v>923.4</v>
      </c>
      <c r="M60" s="65">
        <v>890.9</v>
      </c>
      <c r="N60" s="65">
        <v>893.1</v>
      </c>
      <c r="O60" s="65">
        <v>962.5</v>
      </c>
      <c r="P60" s="65">
        <v>834.8</v>
      </c>
      <c r="Q60" s="65">
        <v>844.2</v>
      </c>
      <c r="R60" s="65">
        <v>844.2</v>
      </c>
      <c r="S60" s="65">
        <v>874.5</v>
      </c>
      <c r="T60" s="65">
        <v>956.1</v>
      </c>
      <c r="U60" s="65">
        <v>903.6</v>
      </c>
      <c r="V60" s="65">
        <v>789.4</v>
      </c>
      <c r="W60" s="65">
        <v>792.9</v>
      </c>
      <c r="X60" s="65">
        <v>773.1</v>
      </c>
      <c r="Y60" s="65">
        <v>795.2</v>
      </c>
      <c r="Z60" s="65">
        <v>813.9</v>
      </c>
      <c r="AA60" s="65">
        <v>945.6</v>
      </c>
      <c r="AB60" s="65">
        <v>893.2</v>
      </c>
      <c r="AC60" s="65">
        <v>907.1</v>
      </c>
      <c r="AD60" s="65">
        <v>749.7</v>
      </c>
      <c r="AE60" s="65">
        <v>707.8</v>
      </c>
      <c r="AF60" s="65">
        <v>776.5</v>
      </c>
      <c r="AG60" s="65">
        <v>845.4</v>
      </c>
      <c r="AH60" s="65">
        <v>909.5</v>
      </c>
      <c r="AI60" s="65">
        <v>993.4</v>
      </c>
      <c r="AJ60" s="65">
        <v>1018</v>
      </c>
      <c r="AK60" s="136"/>
      <c r="AL60" s="145">
        <f t="shared" si="33"/>
        <v>27600.800000000003</v>
      </c>
      <c r="AQ60" s="119">
        <f t="shared" si="30"/>
        <v>5793.8</v>
      </c>
    </row>
    <row r="61" spans="2:123 15437:15450">
      <c r="B61" s="100"/>
      <c r="C61" s="101"/>
      <c r="D61" s="80"/>
      <c r="E61" s="255" t="s">
        <v>13</v>
      </c>
      <c r="F61" s="102">
        <f t="shared" ref="F61:AJ61" si="37">F60/(F23+F24)*100</f>
        <v>4.9402715325534759E-2</v>
      </c>
      <c r="G61" s="102">
        <f t="shared" si="37"/>
        <v>5.0000822874104747E-2</v>
      </c>
      <c r="H61" s="102">
        <f t="shared" si="37"/>
        <v>5.0077028292410349E-2</v>
      </c>
      <c r="I61" s="110">
        <f t="shared" si="37"/>
        <v>5.7153175099884171E-2</v>
      </c>
      <c r="J61" s="102">
        <f t="shared" si="37"/>
        <v>4.9363193905311513E-2</v>
      </c>
      <c r="K61" s="102">
        <f t="shared" si="37"/>
        <v>5.0481773697312646E-2</v>
      </c>
      <c r="L61" s="102">
        <f t="shared" si="37"/>
        <v>4.9745615339362712E-2</v>
      </c>
      <c r="M61" s="102">
        <f t="shared" si="37"/>
        <v>5.0144427658966109E-2</v>
      </c>
      <c r="N61" s="102">
        <f t="shared" si="37"/>
        <v>4.9416721122259213E-2</v>
      </c>
      <c r="O61" s="102">
        <f t="shared" si="37"/>
        <v>5.051570631716621E-2</v>
      </c>
      <c r="P61" s="102">
        <f t="shared" si="37"/>
        <v>5.192895412424009E-2</v>
      </c>
      <c r="Q61" s="102">
        <f t="shared" si="37"/>
        <v>4.9823504866969119E-2</v>
      </c>
      <c r="R61" s="102">
        <f t="shared" si="37"/>
        <v>5.2978985379004966E-2</v>
      </c>
      <c r="S61" s="102">
        <f t="shared" si="37"/>
        <v>5.0216081319617745E-2</v>
      </c>
      <c r="T61" s="102">
        <f t="shared" si="37"/>
        <v>4.9640971324434201E-2</v>
      </c>
      <c r="U61" s="102">
        <f t="shared" si="37"/>
        <v>4.9748230788627272E-2</v>
      </c>
      <c r="V61" s="102">
        <f t="shared" si="37"/>
        <v>4.6776293295773243E-2</v>
      </c>
      <c r="W61" s="102">
        <f t="shared" si="37"/>
        <v>4.8847473164384772E-2</v>
      </c>
      <c r="X61" s="102">
        <f t="shared" si="37"/>
        <v>4.9774113984073061E-2</v>
      </c>
      <c r="Y61" s="102">
        <f t="shared" si="37"/>
        <v>5.2169337786621375E-2</v>
      </c>
      <c r="Z61" s="102">
        <f t="shared" si="37"/>
        <v>5.0553423023888489E-2</v>
      </c>
      <c r="AA61" s="102">
        <f t="shared" si="37"/>
        <v>5.2873663480603482E-2</v>
      </c>
      <c r="AB61" s="102">
        <f t="shared" si="37"/>
        <v>5.2004641524879498E-2</v>
      </c>
      <c r="AC61" s="102">
        <f t="shared" si="37"/>
        <v>5.0881892979185037E-2</v>
      </c>
      <c r="AD61" s="118">
        <f t="shared" si="37"/>
        <v>4.9655484854646603E-2</v>
      </c>
      <c r="AE61" s="118">
        <f t="shared" si="37"/>
        <v>5.4673342612919222E-2</v>
      </c>
      <c r="AF61" s="102">
        <f t="shared" si="37"/>
        <v>5.3820567150254683E-2</v>
      </c>
      <c r="AG61" s="102">
        <f t="shared" si="37"/>
        <v>5.0396453291477371E-2</v>
      </c>
      <c r="AH61" s="118">
        <f t="shared" si="37"/>
        <v>4.9075788773920062E-2</v>
      </c>
      <c r="AI61" s="102">
        <f t="shared" si="37"/>
        <v>5.1745216015701707E-2</v>
      </c>
      <c r="AJ61" s="102">
        <f t="shared" si="37"/>
        <v>5.3237387498104263E-2</v>
      </c>
      <c r="AK61" s="136"/>
      <c r="AL61" s="147">
        <f>AL60/(AL23)*100</f>
        <v>5.0836917170717283E-2</v>
      </c>
      <c r="AN61" s="18"/>
      <c r="AO61" s="18">
        <f>AL61*10</f>
        <v>0.50836917170717277</v>
      </c>
      <c r="AQ61" s="18">
        <f>AQ60/(AQ23/1000)</f>
        <v>0.51981693271045259</v>
      </c>
    </row>
    <row r="62" spans="2:123 15437:15450" s="5" customFormat="1">
      <c r="B62" s="103">
        <v>4</v>
      </c>
      <c r="C62" s="256" t="s">
        <v>60</v>
      </c>
      <c r="D62" s="104">
        <v>0.8</v>
      </c>
      <c r="E62" s="257" t="s">
        <v>13</v>
      </c>
      <c r="F62" s="105">
        <f t="shared" ref="F62:AJ62" si="38">((SUM(F29:F30))-(SUM(F23:F24)))/(SUM(F23:F24))*100</f>
        <v>-0.613549045698636</v>
      </c>
      <c r="G62" s="105">
        <f t="shared" si="38"/>
        <v>-0.59521226910277292</v>
      </c>
      <c r="H62" s="105">
        <f t="shared" si="38"/>
        <v>-0.61133957161311214</v>
      </c>
      <c r="I62" s="105">
        <f t="shared" si="38"/>
        <v>-0.60259492247213886</v>
      </c>
      <c r="J62" s="105">
        <f t="shared" si="38"/>
        <v>-0.61965158756166272</v>
      </c>
      <c r="K62" s="105">
        <f t="shared" si="38"/>
        <v>-0.62216218163865977</v>
      </c>
      <c r="L62" s="105">
        <f t="shared" si="38"/>
        <v>-0.61338918805932841</v>
      </c>
      <c r="M62" s="105">
        <f t="shared" si="38"/>
        <v>-0.59712900778310862</v>
      </c>
      <c r="N62" s="105">
        <f t="shared" si="38"/>
        <v>-0.6195487923031423</v>
      </c>
      <c r="O62" s="105">
        <f t="shared" si="38"/>
        <v>-0.604823895687297</v>
      </c>
      <c r="P62" s="105">
        <f t="shared" si="38"/>
        <v>-0.61365492625254958</v>
      </c>
      <c r="Q62" s="105">
        <f t="shared" si="38"/>
        <v>-0.62848910605111841</v>
      </c>
      <c r="R62" s="105">
        <f t="shared" si="38"/>
        <v>-0.62078668961042061</v>
      </c>
      <c r="S62" s="105">
        <f t="shared" si="38"/>
        <v>-0.60959853549349574</v>
      </c>
      <c r="T62" s="105">
        <f t="shared" si="38"/>
        <v>-0.62008379931776758</v>
      </c>
      <c r="U62" s="105">
        <f t="shared" si="38"/>
        <v>-0.61425521348905998</v>
      </c>
      <c r="V62" s="105">
        <f t="shared" si="38"/>
        <v>-0.6016803675263257</v>
      </c>
      <c r="W62" s="105">
        <f t="shared" si="38"/>
        <v>-0.59899606706685982</v>
      </c>
      <c r="X62" s="105">
        <f t="shared" si="38"/>
        <v>-0.61008860964050737</v>
      </c>
      <c r="Y62" s="105">
        <f t="shared" si="38"/>
        <v>-0.59510571310669325</v>
      </c>
      <c r="Z62" s="105">
        <f t="shared" si="38"/>
        <v>-0.63491471943750855</v>
      </c>
      <c r="AA62" s="105">
        <f t="shared" si="38"/>
        <v>-0.59812772657785052</v>
      </c>
      <c r="AB62" s="105">
        <f t="shared" si="38"/>
        <v>-0.62496397461717035</v>
      </c>
      <c r="AC62" s="105">
        <f t="shared" si="38"/>
        <v>-0.59772621716039664</v>
      </c>
      <c r="AD62" s="105">
        <f t="shared" si="38"/>
        <v>-0.61763024712495596</v>
      </c>
      <c r="AE62" s="105">
        <f t="shared" si="38"/>
        <v>-0.61331780212853726</v>
      </c>
      <c r="AF62" s="105">
        <f t="shared" si="38"/>
        <v>-0.60121004438030801</v>
      </c>
      <c r="AG62" s="105">
        <f t="shared" si="38"/>
        <v>-0.62676639449561522</v>
      </c>
      <c r="AH62" s="105">
        <f t="shared" si="38"/>
        <v>-0.61265146315457775</v>
      </c>
      <c r="AI62" s="105">
        <f t="shared" si="38"/>
        <v>-0.61980705191346341</v>
      </c>
      <c r="AJ62" s="105">
        <f t="shared" si="38"/>
        <v>-0.60077711942850864</v>
      </c>
      <c r="AK62" s="148"/>
      <c r="AL62" s="149">
        <f>((SUM(AL29:AL30))-(SUM(AL23:AL24)))/(SUM(AL23:AL24))*100</f>
        <v>-0.61153012696262576</v>
      </c>
      <c r="AO62" s="158"/>
    </row>
    <row r="63" spans="2:123 15437:15450" s="5" customFormat="1" ht="14.25">
      <c r="B63" s="81"/>
      <c r="C63" s="248" t="s">
        <v>61</v>
      </c>
      <c r="D63" s="106">
        <v>22</v>
      </c>
      <c r="E63" s="249" t="s">
        <v>13</v>
      </c>
      <c r="F63" s="93">
        <v>21.39</v>
      </c>
      <c r="G63" s="93">
        <v>21.4</v>
      </c>
      <c r="H63" s="93">
        <v>21.41</v>
      </c>
      <c r="I63" s="93">
        <v>21.38</v>
      </c>
      <c r="J63" s="93">
        <v>21.33</v>
      </c>
      <c r="K63" s="93">
        <v>21.36</v>
      </c>
      <c r="L63" s="93">
        <v>21.31</v>
      </c>
      <c r="M63" s="93">
        <v>21.31</v>
      </c>
      <c r="N63" s="93">
        <v>21.3</v>
      </c>
      <c r="O63" s="93">
        <v>21.29</v>
      </c>
      <c r="P63" s="93">
        <v>21.32</v>
      </c>
      <c r="Q63" s="93">
        <v>21.34</v>
      </c>
      <c r="R63" s="93">
        <v>21.3</v>
      </c>
      <c r="S63" s="93">
        <v>21.3</v>
      </c>
      <c r="T63" s="93">
        <v>21.3</v>
      </c>
      <c r="U63" s="93">
        <v>21.37</v>
      </c>
      <c r="V63" s="93">
        <v>21.31</v>
      </c>
      <c r="W63" s="93">
        <v>21.39</v>
      </c>
      <c r="X63" s="93">
        <v>21.37</v>
      </c>
      <c r="Y63" s="93">
        <v>21.41</v>
      </c>
      <c r="Z63" s="93">
        <v>21.37</v>
      </c>
      <c r="AA63" s="93">
        <v>21.38</v>
      </c>
      <c r="AB63" s="93">
        <v>21.38</v>
      </c>
      <c r="AC63" s="93">
        <v>21.39</v>
      </c>
      <c r="AD63" s="93">
        <v>21.36</v>
      </c>
      <c r="AE63" s="93">
        <v>21.34</v>
      </c>
      <c r="AF63" s="93">
        <v>21.37</v>
      </c>
      <c r="AG63" s="93">
        <v>21.36</v>
      </c>
      <c r="AH63" s="93">
        <v>21.33</v>
      </c>
      <c r="AI63" s="93">
        <v>21.33</v>
      </c>
      <c r="AJ63" s="93">
        <v>21.31</v>
      </c>
      <c r="AK63" s="150"/>
      <c r="AL63" s="151">
        <f>AVERAGE(F63:AJ63)</f>
        <v>21.348709677419361</v>
      </c>
      <c r="AO63" s="158"/>
      <c r="AQ63" s="159">
        <f>AVERAGE(Y63:AE63)</f>
        <v>21.375714285714285</v>
      </c>
    </row>
    <row r="64" spans="2:123 15437:15450" s="5" customFormat="1" ht="14.25">
      <c r="B64" s="107"/>
      <c r="C64" s="258" t="s">
        <v>62</v>
      </c>
      <c r="D64" s="80"/>
      <c r="E64" s="259" t="s">
        <v>10</v>
      </c>
      <c r="F64" s="93">
        <f t="shared" ref="F64:AJ64" si="39">SUM(F56,F58)+(F63%*SUM(F56,F58))</f>
        <v>16734.825400000002</v>
      </c>
      <c r="G64" s="93">
        <f t="shared" si="39"/>
        <v>17641.847999999998</v>
      </c>
      <c r="H64" s="93">
        <f t="shared" si="39"/>
        <v>16945.1937</v>
      </c>
      <c r="I64" s="93">
        <f t="shared" si="39"/>
        <v>18342.945599999999</v>
      </c>
      <c r="J64" s="93">
        <f t="shared" si="39"/>
        <v>22965.342400000001</v>
      </c>
      <c r="K64" s="93">
        <f t="shared" si="39"/>
        <v>23398.207999999999</v>
      </c>
      <c r="L64" s="93">
        <f t="shared" si="39"/>
        <v>15870.987300000001</v>
      </c>
      <c r="M64" s="93">
        <f t="shared" si="39"/>
        <v>12568.929099999999</v>
      </c>
      <c r="N64" s="93">
        <f t="shared" si="39"/>
        <v>13649.888999999999</v>
      </c>
      <c r="O64" s="93">
        <f t="shared" si="39"/>
        <v>13480.170599999999</v>
      </c>
      <c r="P64" s="93">
        <f t="shared" si="39"/>
        <v>21010.1976</v>
      </c>
      <c r="Q64" s="93">
        <f t="shared" si="39"/>
        <v>19882.772400000002</v>
      </c>
      <c r="R64" s="93">
        <f t="shared" si="39"/>
        <v>20732.596000000001</v>
      </c>
      <c r="S64" s="93">
        <f t="shared" si="39"/>
        <v>15169.778</v>
      </c>
      <c r="T64" s="93">
        <f t="shared" si="39"/>
        <v>14317.039000000001</v>
      </c>
      <c r="U64" s="93">
        <f t="shared" si="39"/>
        <v>16270.8622</v>
      </c>
      <c r="V64" s="93">
        <f t="shared" si="39"/>
        <v>12874.630300000001</v>
      </c>
      <c r="W64" s="93">
        <f t="shared" si="39"/>
        <v>13178.098399999999</v>
      </c>
      <c r="X64" s="93">
        <f t="shared" si="39"/>
        <v>11747.4023</v>
      </c>
      <c r="Y64" s="93">
        <f t="shared" si="39"/>
        <v>13671.980100000001</v>
      </c>
      <c r="Z64" s="93">
        <f t="shared" si="39"/>
        <v>13657.766100000001</v>
      </c>
      <c r="AA64" s="93">
        <f t="shared" si="39"/>
        <v>13725.6504</v>
      </c>
      <c r="AB64" s="93">
        <f t="shared" si="39"/>
        <v>13734.147000000001</v>
      </c>
      <c r="AC64" s="93">
        <f t="shared" si="39"/>
        <v>13528.915499999999</v>
      </c>
      <c r="AD64" s="93">
        <f t="shared" si="39"/>
        <v>11398.1312</v>
      </c>
      <c r="AE64" s="93">
        <f t="shared" si="39"/>
        <v>20039.300999999999</v>
      </c>
      <c r="AF64" s="93">
        <f t="shared" si="39"/>
        <v>20702.080900000001</v>
      </c>
      <c r="AG64" s="93">
        <f t="shared" si="39"/>
        <v>12396.923999999999</v>
      </c>
      <c r="AH64" s="93">
        <f t="shared" si="39"/>
        <v>13126.6927</v>
      </c>
      <c r="AI64" s="93">
        <f t="shared" si="39"/>
        <v>14501.3616</v>
      </c>
      <c r="AJ64" s="93">
        <f t="shared" si="39"/>
        <v>14871.392899999999</v>
      </c>
      <c r="AK64" s="150"/>
      <c r="AL64" s="151">
        <f>SUM(AL56,AL58)+(AL63%*SUM(AL56,AL58))</f>
        <v>492136.97301935486</v>
      </c>
      <c r="AN64" s="152"/>
      <c r="AO64" s="158"/>
    </row>
    <row r="65" spans="2:256">
      <c r="B65" s="59">
        <v>5</v>
      </c>
      <c r="C65" s="41" t="s">
        <v>63</v>
      </c>
      <c r="D65" s="60"/>
      <c r="E65" s="60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115"/>
      <c r="AD65" s="61"/>
      <c r="AE65" s="61"/>
      <c r="AF65" s="61"/>
      <c r="AG65" s="61"/>
      <c r="AH65" s="115"/>
      <c r="AI65" s="115"/>
      <c r="AJ65" s="115"/>
      <c r="AK65" s="119"/>
      <c r="AL65" s="247" t="s">
        <v>64</v>
      </c>
    </row>
    <row r="66" spans="2:256" s="6" customFormat="1">
      <c r="B66" s="66"/>
      <c r="C66" s="160" t="s">
        <v>65</v>
      </c>
      <c r="D66" s="161"/>
      <c r="E66" s="162" t="s">
        <v>10</v>
      </c>
      <c r="F66" s="163">
        <v>97400</v>
      </c>
      <c r="G66" s="163">
        <v>98600</v>
      </c>
      <c r="H66" s="163">
        <v>114548</v>
      </c>
      <c r="I66" s="163">
        <v>97500</v>
      </c>
      <c r="J66" s="163">
        <v>98200</v>
      </c>
      <c r="K66" s="163">
        <v>98000</v>
      </c>
      <c r="L66" s="163">
        <v>182820</v>
      </c>
      <c r="M66" s="163">
        <v>96200</v>
      </c>
      <c r="N66" s="163">
        <v>98700</v>
      </c>
      <c r="O66" s="163">
        <v>90430</v>
      </c>
      <c r="P66" s="163">
        <v>72096</v>
      </c>
      <c r="Q66" s="163">
        <v>96700</v>
      </c>
      <c r="R66" s="163">
        <v>176000</v>
      </c>
      <c r="S66" s="163">
        <v>82500</v>
      </c>
      <c r="T66" s="163">
        <v>98715</v>
      </c>
      <c r="U66" s="163">
        <v>88702</v>
      </c>
      <c r="V66" s="163">
        <v>99795</v>
      </c>
      <c r="W66" s="163">
        <v>73300</v>
      </c>
      <c r="X66" s="163">
        <v>97000</v>
      </c>
      <c r="Y66" s="163">
        <v>97900</v>
      </c>
      <c r="Z66" s="163">
        <v>93700</v>
      </c>
      <c r="AA66" s="163">
        <v>98400</v>
      </c>
      <c r="AB66" s="163">
        <v>95200</v>
      </c>
      <c r="AC66" s="163">
        <v>98200</v>
      </c>
      <c r="AD66" s="163">
        <v>99100</v>
      </c>
      <c r="AE66" s="163">
        <v>98000</v>
      </c>
      <c r="AF66" s="163">
        <v>174080</v>
      </c>
      <c r="AG66" s="163">
        <v>98000</v>
      </c>
      <c r="AH66" s="163">
        <v>99117</v>
      </c>
      <c r="AI66" s="163">
        <v>95126</v>
      </c>
      <c r="AJ66" s="163">
        <v>85995</v>
      </c>
      <c r="AK66" s="184"/>
      <c r="AL66" s="185">
        <f t="shared" ref="AL66:AL70" si="40">SUM(F66:AJ66)</f>
        <v>3190024</v>
      </c>
      <c r="AO66" s="197"/>
    </row>
    <row r="67" spans="2:256" s="1" customFormat="1">
      <c r="B67" s="76"/>
      <c r="C67" s="260" t="s">
        <v>66</v>
      </c>
      <c r="D67" s="164"/>
      <c r="E67" s="261" t="s">
        <v>10</v>
      </c>
      <c r="F67" s="165">
        <v>111639.005</v>
      </c>
      <c r="G67" s="165">
        <v>115678.015</v>
      </c>
      <c r="H67" s="165">
        <v>76569.345000000001</v>
      </c>
      <c r="I67" s="165">
        <v>115667.155</v>
      </c>
      <c r="J67" s="165">
        <v>115678.015</v>
      </c>
      <c r="K67" s="165">
        <v>115688.875</v>
      </c>
      <c r="L67" s="165">
        <v>115803.08</v>
      </c>
      <c r="M67" s="165">
        <v>111692.395</v>
      </c>
      <c r="N67" s="165">
        <v>77111.425000000003</v>
      </c>
      <c r="O67" s="165">
        <v>76570.244999999995</v>
      </c>
      <c r="P67" s="165">
        <v>115667.155</v>
      </c>
      <c r="Q67" s="165">
        <v>115678.015</v>
      </c>
      <c r="R67" s="165">
        <v>115689.785</v>
      </c>
      <c r="S67" s="165">
        <v>115689.785</v>
      </c>
      <c r="T67" s="165">
        <v>74755.72</v>
      </c>
      <c r="U67" s="165">
        <v>115678.925</v>
      </c>
      <c r="V67" s="165">
        <v>51045.62</v>
      </c>
      <c r="W67" s="165">
        <v>115678.925</v>
      </c>
      <c r="X67" s="165">
        <v>115678.925</v>
      </c>
      <c r="Y67" s="165">
        <v>77112.335000000006</v>
      </c>
      <c r="Z67" s="165">
        <v>115667.155</v>
      </c>
      <c r="AA67" s="165">
        <v>111691.485</v>
      </c>
      <c r="AB67" s="165">
        <v>77112.335000000006</v>
      </c>
      <c r="AC67" s="165">
        <v>76578.384999999995</v>
      </c>
      <c r="AD67" s="165">
        <v>115678.015</v>
      </c>
      <c r="AE67" s="165">
        <v>116137.155</v>
      </c>
      <c r="AF67" s="165">
        <v>115667.155</v>
      </c>
      <c r="AG67" s="165">
        <v>112952.155</v>
      </c>
      <c r="AH67" s="165">
        <v>74397.335000000006</v>
      </c>
      <c r="AI67" s="165">
        <v>115668.065</v>
      </c>
      <c r="AJ67" s="165">
        <v>51046.525000000001</v>
      </c>
      <c r="AK67" s="186"/>
      <c r="AL67" s="185">
        <f t="shared" ref="AL67:AL68" si="41">SUM(F67:AJ67)</f>
        <v>3127368.5099999988</v>
      </c>
      <c r="AO67" s="130"/>
      <c r="IT67" s="187"/>
    </row>
    <row r="68" spans="2:256" s="1" customFormat="1" ht="14.25">
      <c r="B68" s="76"/>
      <c r="C68" s="262" t="s">
        <v>67</v>
      </c>
      <c r="D68" s="80"/>
      <c r="E68" s="263" t="s">
        <v>10</v>
      </c>
      <c r="F68" s="93">
        <f t="shared" ref="F68:AJ68" si="42">SUM(F72:F73)*10.86</f>
        <v>111619.07999999999</v>
      </c>
      <c r="G68" s="93">
        <f t="shared" si="42"/>
        <v>115669.86</v>
      </c>
      <c r="H68" s="93">
        <f t="shared" si="42"/>
        <v>76563</v>
      </c>
      <c r="I68" s="93">
        <f t="shared" si="42"/>
        <v>115659</v>
      </c>
      <c r="J68" s="93">
        <f t="shared" si="42"/>
        <v>115669.86</v>
      </c>
      <c r="K68" s="93">
        <f t="shared" si="42"/>
        <v>115680.72</v>
      </c>
      <c r="L68" s="93">
        <f t="shared" si="42"/>
        <v>115659</v>
      </c>
      <c r="M68" s="93">
        <f t="shared" si="42"/>
        <v>111684.23999999999</v>
      </c>
      <c r="N68" s="93">
        <f t="shared" si="42"/>
        <v>77106</v>
      </c>
      <c r="O68" s="93">
        <f t="shared" si="42"/>
        <v>76563</v>
      </c>
      <c r="P68" s="93">
        <f t="shared" si="42"/>
        <v>115659</v>
      </c>
      <c r="Q68" s="93">
        <f t="shared" si="42"/>
        <v>115669.86</v>
      </c>
      <c r="R68" s="93">
        <f t="shared" si="42"/>
        <v>115680.72</v>
      </c>
      <c r="S68" s="93">
        <f t="shared" si="42"/>
        <v>115680.72</v>
      </c>
      <c r="T68" s="93">
        <f t="shared" si="42"/>
        <v>74749.37999999999</v>
      </c>
      <c r="U68" s="93">
        <f t="shared" si="42"/>
        <v>115669.86</v>
      </c>
      <c r="V68" s="93">
        <f t="shared" si="42"/>
        <v>51042</v>
      </c>
      <c r="W68" s="93">
        <f t="shared" si="42"/>
        <v>115669.86</v>
      </c>
      <c r="X68" s="93">
        <f t="shared" si="42"/>
        <v>115669.86</v>
      </c>
      <c r="Y68" s="93">
        <f t="shared" si="42"/>
        <v>77106</v>
      </c>
      <c r="Z68" s="93">
        <f t="shared" si="42"/>
        <v>115659</v>
      </c>
      <c r="AA68" s="93">
        <f t="shared" si="42"/>
        <v>111684.23999999999</v>
      </c>
      <c r="AB68" s="93">
        <f t="shared" si="42"/>
        <v>77106</v>
      </c>
      <c r="AC68" s="93">
        <f t="shared" si="42"/>
        <v>76573.86</v>
      </c>
      <c r="AD68" s="93">
        <f t="shared" si="42"/>
        <v>115669.86</v>
      </c>
      <c r="AE68" s="93">
        <f t="shared" si="42"/>
        <v>115659</v>
      </c>
      <c r="AF68" s="93">
        <f t="shared" si="42"/>
        <v>115659</v>
      </c>
      <c r="AG68" s="93">
        <f t="shared" si="42"/>
        <v>112944</v>
      </c>
      <c r="AH68" s="93">
        <f t="shared" si="42"/>
        <v>74391</v>
      </c>
      <c r="AI68" s="93">
        <f t="shared" si="42"/>
        <v>115659</v>
      </c>
      <c r="AJ68" s="93">
        <f t="shared" si="42"/>
        <v>51042</v>
      </c>
      <c r="AK68" s="129"/>
      <c r="AL68" s="131">
        <f t="shared" si="41"/>
        <v>3126517.9800000004</v>
      </c>
      <c r="AM68" s="187"/>
      <c r="AN68" s="187"/>
      <c r="AO68" s="130"/>
      <c r="DQ68" s="187"/>
    </row>
    <row r="69" spans="2:256" s="1" customFormat="1" ht="14.25">
      <c r="B69" s="76"/>
      <c r="C69" s="262" t="s">
        <v>68</v>
      </c>
      <c r="D69" s="80"/>
      <c r="E69" s="263" t="s">
        <v>10</v>
      </c>
      <c r="F69" s="93">
        <f t="shared" ref="F69:AJ69" si="43">F67-F68</f>
        <v>19.925000000017462</v>
      </c>
      <c r="G69" s="93">
        <f t="shared" si="43"/>
        <v>8.1549999999988358</v>
      </c>
      <c r="H69" s="93">
        <f t="shared" si="43"/>
        <v>6.3450000000011642</v>
      </c>
      <c r="I69" s="93">
        <f t="shared" si="43"/>
        <v>8.1549999999988358</v>
      </c>
      <c r="J69" s="93">
        <f t="shared" si="43"/>
        <v>8.1549999999988358</v>
      </c>
      <c r="K69" s="93">
        <f t="shared" si="43"/>
        <v>8.1549999999988358</v>
      </c>
      <c r="L69" s="93">
        <f t="shared" si="43"/>
        <v>144.08000000000175</v>
      </c>
      <c r="M69" s="93">
        <f t="shared" si="43"/>
        <v>8.1550000000133878</v>
      </c>
      <c r="N69" s="93">
        <f t="shared" si="43"/>
        <v>5.4250000000029104</v>
      </c>
      <c r="O69" s="93">
        <f t="shared" si="43"/>
        <v>7.2449999999953434</v>
      </c>
      <c r="P69" s="93">
        <f t="shared" si="43"/>
        <v>8.1549999999988358</v>
      </c>
      <c r="Q69" s="93">
        <f t="shared" si="43"/>
        <v>8.1549999999988358</v>
      </c>
      <c r="R69" s="93">
        <f t="shared" si="43"/>
        <v>9.0650000000023283</v>
      </c>
      <c r="S69" s="93">
        <f t="shared" si="43"/>
        <v>9.0650000000023283</v>
      </c>
      <c r="T69" s="93">
        <f t="shared" si="43"/>
        <v>6.3400000000110595</v>
      </c>
      <c r="U69" s="93">
        <f t="shared" si="43"/>
        <v>9.0650000000023283</v>
      </c>
      <c r="V69" s="93">
        <f t="shared" si="43"/>
        <v>3.6200000000026193</v>
      </c>
      <c r="W69" s="93">
        <f t="shared" si="43"/>
        <v>9.0650000000023283</v>
      </c>
      <c r="X69" s="93">
        <f t="shared" si="43"/>
        <v>9.0650000000023283</v>
      </c>
      <c r="Y69" s="93">
        <f t="shared" si="43"/>
        <v>6.3350000000064028</v>
      </c>
      <c r="Z69" s="93">
        <f t="shared" si="43"/>
        <v>8.1549999999988358</v>
      </c>
      <c r="AA69" s="93">
        <f t="shared" si="43"/>
        <v>7.2450000000098953</v>
      </c>
      <c r="AB69" s="93">
        <f t="shared" si="43"/>
        <v>6.3350000000064028</v>
      </c>
      <c r="AC69" s="93">
        <f t="shared" si="43"/>
        <v>4.5249999999941792</v>
      </c>
      <c r="AD69" s="93">
        <f t="shared" si="43"/>
        <v>8.1549999999988358</v>
      </c>
      <c r="AE69" s="93">
        <f>AE67-AE68-AE70</f>
        <v>8.1549999999988358</v>
      </c>
      <c r="AF69" s="93">
        <f t="shared" si="43"/>
        <v>8.1549999999988358</v>
      </c>
      <c r="AG69" s="93">
        <f t="shared" si="43"/>
        <v>8.1549999999988358</v>
      </c>
      <c r="AH69" s="93">
        <f t="shared" si="43"/>
        <v>6.3350000000064028</v>
      </c>
      <c r="AI69" s="93">
        <f t="shared" si="43"/>
        <v>9.0650000000023283</v>
      </c>
      <c r="AJ69" s="93">
        <f t="shared" si="43"/>
        <v>4.5250000000014552</v>
      </c>
      <c r="AK69" s="129"/>
      <c r="AL69" s="131">
        <f t="shared" si="40"/>
        <v>380.5300000000716</v>
      </c>
      <c r="AO69" s="130"/>
    </row>
    <row r="70" spans="2:256" s="1" customFormat="1" ht="14.25">
      <c r="B70" s="76"/>
      <c r="C70" s="262" t="s">
        <v>69</v>
      </c>
      <c r="D70" s="80"/>
      <c r="E70" s="76" t="s">
        <v>10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470</v>
      </c>
      <c r="AF70" s="93">
        <v>0</v>
      </c>
      <c r="AG70" s="93">
        <v>0</v>
      </c>
      <c r="AH70" s="93">
        <v>0</v>
      </c>
      <c r="AI70" s="93">
        <v>0</v>
      </c>
      <c r="AJ70" s="93">
        <v>0</v>
      </c>
      <c r="AK70" s="129"/>
      <c r="AL70" s="131">
        <f t="shared" si="40"/>
        <v>470</v>
      </c>
      <c r="AO70" s="130"/>
    </row>
    <row r="71" spans="2:256" s="1" customFormat="1" ht="14.25">
      <c r="B71" s="76"/>
      <c r="C71" s="262" t="s">
        <v>70</v>
      </c>
      <c r="D71" s="80"/>
      <c r="E71" s="76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129"/>
      <c r="AL71" s="188" t="s">
        <v>70</v>
      </c>
      <c r="AO71" s="130"/>
    </row>
    <row r="72" spans="2:256" s="7" customFormat="1" ht="14.25">
      <c r="B72" s="166"/>
      <c r="C72" s="264" t="s">
        <v>71</v>
      </c>
      <c r="D72" s="46"/>
      <c r="E72" s="265" t="s">
        <v>72</v>
      </c>
      <c r="F72" s="168">
        <v>3428</v>
      </c>
      <c r="G72" s="168">
        <v>3550</v>
      </c>
      <c r="H72" s="168">
        <v>2350</v>
      </c>
      <c r="I72" s="168">
        <v>3550</v>
      </c>
      <c r="J72" s="168">
        <v>3550</v>
      </c>
      <c r="K72" s="168">
        <v>3550</v>
      </c>
      <c r="L72" s="168">
        <v>3550</v>
      </c>
      <c r="M72" s="168">
        <v>3425</v>
      </c>
      <c r="N72" s="168">
        <v>7100</v>
      </c>
      <c r="O72" s="168">
        <v>2350</v>
      </c>
      <c r="P72" s="168">
        <v>3550</v>
      </c>
      <c r="Q72" s="168">
        <v>3550</v>
      </c>
      <c r="R72" s="168">
        <v>3550</v>
      </c>
      <c r="S72" s="168">
        <v>3550</v>
      </c>
      <c r="T72" s="168">
        <v>6883</v>
      </c>
      <c r="U72" s="168">
        <v>3550</v>
      </c>
      <c r="V72" s="168">
        <v>4700</v>
      </c>
      <c r="W72" s="168">
        <v>3550</v>
      </c>
      <c r="X72" s="168">
        <v>3550</v>
      </c>
      <c r="Y72" s="168">
        <v>7100</v>
      </c>
      <c r="Z72" s="168">
        <v>3550</v>
      </c>
      <c r="AA72" s="168">
        <v>3427</v>
      </c>
      <c r="AB72" s="168">
        <v>7100</v>
      </c>
      <c r="AC72" s="168">
        <v>2350</v>
      </c>
      <c r="AD72" s="168">
        <v>3550</v>
      </c>
      <c r="AE72" s="168">
        <v>3550</v>
      </c>
      <c r="AF72" s="168">
        <v>3550</v>
      </c>
      <c r="AG72" s="168">
        <v>3550</v>
      </c>
      <c r="AH72" s="168">
        <v>6850</v>
      </c>
      <c r="AI72" s="168">
        <v>3550</v>
      </c>
      <c r="AJ72" s="168">
        <v>4700</v>
      </c>
      <c r="AK72" s="189"/>
      <c r="AL72" s="190">
        <f>SUM(F72:AJ72)</f>
        <v>125663</v>
      </c>
      <c r="AO72" s="192"/>
      <c r="IT72" s="192"/>
    </row>
    <row r="73" spans="2:256" s="7" customFormat="1" ht="14.25">
      <c r="B73" s="166"/>
      <c r="C73" s="264" t="s">
        <v>73</v>
      </c>
      <c r="D73" s="46"/>
      <c r="E73" s="265" t="s">
        <v>72</v>
      </c>
      <c r="F73" s="168">
        <v>6850</v>
      </c>
      <c r="G73" s="168">
        <v>7101</v>
      </c>
      <c r="H73" s="168">
        <v>4700</v>
      </c>
      <c r="I73" s="168">
        <v>7100</v>
      </c>
      <c r="J73" s="168">
        <v>7101</v>
      </c>
      <c r="K73" s="168">
        <v>7102</v>
      </c>
      <c r="L73" s="168">
        <v>7100</v>
      </c>
      <c r="M73" s="168">
        <v>6859</v>
      </c>
      <c r="N73" s="168">
        <v>0</v>
      </c>
      <c r="O73" s="168">
        <v>4700</v>
      </c>
      <c r="P73" s="168">
        <v>7100</v>
      </c>
      <c r="Q73" s="168">
        <v>7101</v>
      </c>
      <c r="R73" s="168">
        <v>7102</v>
      </c>
      <c r="S73" s="168">
        <v>7102</v>
      </c>
      <c r="T73" s="168">
        <v>0</v>
      </c>
      <c r="U73" s="168">
        <v>7101</v>
      </c>
      <c r="V73" s="168">
        <v>0</v>
      </c>
      <c r="W73" s="168">
        <v>7101</v>
      </c>
      <c r="X73" s="168">
        <v>7101</v>
      </c>
      <c r="Y73" s="168">
        <v>0</v>
      </c>
      <c r="Z73" s="168">
        <v>7100</v>
      </c>
      <c r="AA73" s="168">
        <v>6857</v>
      </c>
      <c r="AB73" s="168">
        <v>0</v>
      </c>
      <c r="AC73" s="168">
        <v>4701</v>
      </c>
      <c r="AD73" s="168">
        <v>7101</v>
      </c>
      <c r="AE73" s="168">
        <v>7100</v>
      </c>
      <c r="AF73" s="168">
        <v>7100</v>
      </c>
      <c r="AG73" s="168">
        <v>6850</v>
      </c>
      <c r="AH73" s="168">
        <v>0</v>
      </c>
      <c r="AI73" s="168">
        <v>7100</v>
      </c>
      <c r="AJ73" s="168">
        <v>0</v>
      </c>
      <c r="AK73" s="189"/>
      <c r="AL73" s="190">
        <f>SUM(F73:AJ73)</f>
        <v>162230</v>
      </c>
      <c r="AO73" s="192"/>
      <c r="IT73" s="192"/>
    </row>
    <row r="74" spans="2:256" s="1" customFormat="1" ht="14.25">
      <c r="B74" s="76"/>
      <c r="C74" s="262" t="s">
        <v>74</v>
      </c>
      <c r="D74" s="80"/>
      <c r="E74" s="76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129"/>
      <c r="AL74" s="188" t="s">
        <v>74</v>
      </c>
      <c r="AO74" s="130"/>
    </row>
    <row r="75" spans="2:256" s="1" customFormat="1" ht="14.25">
      <c r="B75" s="76"/>
      <c r="C75" s="243" t="s">
        <v>71</v>
      </c>
      <c r="D75" s="80"/>
      <c r="E75" s="263" t="s">
        <v>74</v>
      </c>
      <c r="F75" s="65">
        <f t="shared" ref="F75:AJ75" si="44">F72*12</f>
        <v>41136</v>
      </c>
      <c r="G75" s="65">
        <f t="shared" si="44"/>
        <v>42600</v>
      </c>
      <c r="H75" s="65">
        <f t="shared" si="44"/>
        <v>28200</v>
      </c>
      <c r="I75" s="65">
        <f t="shared" si="44"/>
        <v>42600</v>
      </c>
      <c r="J75" s="65">
        <f t="shared" si="44"/>
        <v>42600</v>
      </c>
      <c r="K75" s="65">
        <f t="shared" si="44"/>
        <v>42600</v>
      </c>
      <c r="L75" s="65">
        <f t="shared" si="44"/>
        <v>42600</v>
      </c>
      <c r="M75" s="65">
        <f t="shared" si="44"/>
        <v>41100</v>
      </c>
      <c r="N75" s="65">
        <f t="shared" si="44"/>
        <v>85200</v>
      </c>
      <c r="O75" s="65">
        <f t="shared" si="44"/>
        <v>28200</v>
      </c>
      <c r="P75" s="65">
        <f t="shared" si="44"/>
        <v>42600</v>
      </c>
      <c r="Q75" s="65">
        <f t="shared" si="44"/>
        <v>42600</v>
      </c>
      <c r="R75" s="65">
        <f t="shared" si="44"/>
        <v>42600</v>
      </c>
      <c r="S75" s="65">
        <f t="shared" si="44"/>
        <v>42600</v>
      </c>
      <c r="T75" s="65">
        <f t="shared" si="44"/>
        <v>82596</v>
      </c>
      <c r="U75" s="65">
        <f t="shared" si="44"/>
        <v>42600</v>
      </c>
      <c r="V75" s="65">
        <f t="shared" si="44"/>
        <v>56400</v>
      </c>
      <c r="W75" s="65">
        <f t="shared" si="44"/>
        <v>42600</v>
      </c>
      <c r="X75" s="65">
        <f t="shared" si="44"/>
        <v>42600</v>
      </c>
      <c r="Y75" s="65">
        <f t="shared" si="44"/>
        <v>85200</v>
      </c>
      <c r="Z75" s="65">
        <f t="shared" si="44"/>
        <v>42600</v>
      </c>
      <c r="AA75" s="65">
        <f t="shared" si="44"/>
        <v>41124</v>
      </c>
      <c r="AB75" s="65">
        <f t="shared" si="44"/>
        <v>85200</v>
      </c>
      <c r="AC75" s="65">
        <f t="shared" si="44"/>
        <v>28200</v>
      </c>
      <c r="AD75" s="65">
        <f t="shared" si="44"/>
        <v>42600</v>
      </c>
      <c r="AE75" s="65">
        <f t="shared" si="44"/>
        <v>42600</v>
      </c>
      <c r="AF75" s="65">
        <f t="shared" si="44"/>
        <v>42600</v>
      </c>
      <c r="AG75" s="65">
        <f t="shared" si="44"/>
        <v>42600</v>
      </c>
      <c r="AH75" s="65">
        <f t="shared" si="44"/>
        <v>82200</v>
      </c>
      <c r="AI75" s="65">
        <f t="shared" si="44"/>
        <v>42600</v>
      </c>
      <c r="AJ75" s="65">
        <f t="shared" si="44"/>
        <v>56400</v>
      </c>
      <c r="AK75" s="129"/>
      <c r="AL75" s="190">
        <f>AL72*12</f>
        <v>1507956</v>
      </c>
      <c r="AO75" s="130"/>
    </row>
    <row r="76" spans="2:256" s="1" customFormat="1" ht="14.25">
      <c r="B76" s="76"/>
      <c r="C76" s="243" t="s">
        <v>73</v>
      </c>
      <c r="D76" s="80"/>
      <c r="E76" s="263" t="s">
        <v>74</v>
      </c>
      <c r="F76" s="65">
        <f t="shared" ref="F76:AJ76" si="45">F73*6</f>
        <v>41100</v>
      </c>
      <c r="G76" s="65">
        <f t="shared" si="45"/>
        <v>42606</v>
      </c>
      <c r="H76" s="65">
        <f t="shared" si="45"/>
        <v>28200</v>
      </c>
      <c r="I76" s="65">
        <f t="shared" si="45"/>
        <v>42600</v>
      </c>
      <c r="J76" s="65">
        <f t="shared" si="45"/>
        <v>42606</v>
      </c>
      <c r="K76" s="65">
        <f t="shared" si="45"/>
        <v>42612</v>
      </c>
      <c r="L76" s="65">
        <f t="shared" si="45"/>
        <v>42600</v>
      </c>
      <c r="M76" s="65">
        <f t="shared" si="45"/>
        <v>41154</v>
      </c>
      <c r="N76" s="65">
        <f t="shared" si="45"/>
        <v>0</v>
      </c>
      <c r="O76" s="65">
        <f t="shared" si="45"/>
        <v>28200</v>
      </c>
      <c r="P76" s="65">
        <f t="shared" si="45"/>
        <v>42600</v>
      </c>
      <c r="Q76" s="65">
        <f t="shared" si="45"/>
        <v>42606</v>
      </c>
      <c r="R76" s="65">
        <f t="shared" si="45"/>
        <v>42612</v>
      </c>
      <c r="S76" s="65">
        <f t="shared" si="45"/>
        <v>42612</v>
      </c>
      <c r="T76" s="65">
        <f t="shared" si="45"/>
        <v>0</v>
      </c>
      <c r="U76" s="65">
        <f t="shared" si="45"/>
        <v>42606</v>
      </c>
      <c r="V76" s="65">
        <f t="shared" si="45"/>
        <v>0</v>
      </c>
      <c r="W76" s="65">
        <f t="shared" si="45"/>
        <v>42606</v>
      </c>
      <c r="X76" s="65">
        <f t="shared" si="45"/>
        <v>42606</v>
      </c>
      <c r="Y76" s="65">
        <f t="shared" si="45"/>
        <v>0</v>
      </c>
      <c r="Z76" s="65">
        <f t="shared" si="45"/>
        <v>42600</v>
      </c>
      <c r="AA76" s="65">
        <f t="shared" si="45"/>
        <v>41142</v>
      </c>
      <c r="AB76" s="65">
        <f t="shared" si="45"/>
        <v>0</v>
      </c>
      <c r="AC76" s="65">
        <f t="shared" si="45"/>
        <v>28206</v>
      </c>
      <c r="AD76" s="65">
        <f t="shared" si="45"/>
        <v>42606</v>
      </c>
      <c r="AE76" s="65">
        <f t="shared" si="45"/>
        <v>42600</v>
      </c>
      <c r="AF76" s="65">
        <f t="shared" si="45"/>
        <v>42600</v>
      </c>
      <c r="AG76" s="65">
        <f t="shared" si="45"/>
        <v>41100</v>
      </c>
      <c r="AH76" s="65">
        <f t="shared" si="45"/>
        <v>0</v>
      </c>
      <c r="AI76" s="65">
        <f t="shared" si="45"/>
        <v>42600</v>
      </c>
      <c r="AJ76" s="65">
        <f t="shared" si="45"/>
        <v>0</v>
      </c>
      <c r="AK76" s="129"/>
      <c r="AL76" s="190">
        <f>AL73*6</f>
        <v>973380</v>
      </c>
      <c r="AO76" s="130"/>
    </row>
    <row r="77" spans="2:256" s="1" customFormat="1" ht="14.25">
      <c r="B77" s="76"/>
      <c r="C77" s="262" t="s">
        <v>75</v>
      </c>
      <c r="D77" s="80"/>
      <c r="E77" s="263" t="s">
        <v>76</v>
      </c>
      <c r="F77" s="169">
        <v>2298.4501029411799</v>
      </c>
      <c r="G77" s="170">
        <v>2381.60619117647</v>
      </c>
      <c r="H77" s="170">
        <v>1576.42769117647</v>
      </c>
      <c r="I77" s="170">
        <v>2381.3826029411798</v>
      </c>
      <c r="J77" s="177">
        <v>2381.60619117647</v>
      </c>
      <c r="K77" s="177">
        <v>2381.60619117647</v>
      </c>
      <c r="L77" s="177">
        <v>2384.1810588235298</v>
      </c>
      <c r="M77" s="177">
        <v>2299.5493088235298</v>
      </c>
      <c r="N77" s="177">
        <v>1587.5881617647101</v>
      </c>
      <c r="O77" s="177">
        <v>1576.4462205882401</v>
      </c>
      <c r="P77" s="177">
        <v>2381.3826029411798</v>
      </c>
      <c r="Q77" s="177">
        <v>2381.60619117647</v>
      </c>
      <c r="R77" s="177">
        <v>2381.84851470588</v>
      </c>
      <c r="S77" s="177">
        <v>2381.84851470588</v>
      </c>
      <c r="T77" s="177">
        <v>1539.0883529411799</v>
      </c>
      <c r="U77" s="177">
        <v>2381.6249264705898</v>
      </c>
      <c r="V77" s="177">
        <v>1050.93923529412</v>
      </c>
      <c r="W77" s="177">
        <v>2381.6249264705898</v>
      </c>
      <c r="X77" s="177">
        <v>2381.6249264705898</v>
      </c>
      <c r="Y77" s="177">
        <v>1587.6068970588201</v>
      </c>
      <c r="Z77" s="177">
        <v>2381.3826029411798</v>
      </c>
      <c r="AA77" s="177">
        <v>2299.53057352941</v>
      </c>
      <c r="AB77" s="177">
        <v>1587.6068970588201</v>
      </c>
      <c r="AC77" s="177">
        <v>1576.61380882353</v>
      </c>
      <c r="AD77" s="177">
        <v>2381.60619117647</v>
      </c>
      <c r="AE77" s="177">
        <v>2391.0590735294099</v>
      </c>
      <c r="AF77" s="177">
        <v>2381.3826029411798</v>
      </c>
      <c r="AG77" s="177">
        <v>2325.4855441176501</v>
      </c>
      <c r="AH77" s="177">
        <v>1531.7098382352899</v>
      </c>
      <c r="AI77" s="191">
        <v>2381.40133823529</v>
      </c>
      <c r="AJ77" s="65">
        <v>1050.9578676470601</v>
      </c>
      <c r="AK77" s="129"/>
      <c r="AL77" s="190">
        <f>SUM(F77:AJ77)</f>
        <v>64386.775147058848</v>
      </c>
      <c r="AO77" s="130"/>
      <c r="IV77" s="153"/>
    </row>
    <row r="78" spans="2:256" s="1" customFormat="1" ht="14.25">
      <c r="B78" s="76"/>
      <c r="C78" s="262" t="s">
        <v>77</v>
      </c>
      <c r="D78" s="80"/>
      <c r="E78" s="263" t="s">
        <v>78</v>
      </c>
      <c r="F78" s="65">
        <f t="shared" ref="F78:AJ78" si="46">SUM(F72:F73)/500</f>
        <v>20.556000000000001</v>
      </c>
      <c r="G78" s="65">
        <f t="shared" si="46"/>
        <v>21.302</v>
      </c>
      <c r="H78" s="65">
        <f t="shared" si="46"/>
        <v>14.1</v>
      </c>
      <c r="I78" s="65">
        <f t="shared" si="46"/>
        <v>21.3</v>
      </c>
      <c r="J78" s="65">
        <f t="shared" si="46"/>
        <v>21.302</v>
      </c>
      <c r="K78" s="65">
        <f t="shared" si="46"/>
        <v>21.303999999999998</v>
      </c>
      <c r="L78" s="65">
        <f t="shared" si="46"/>
        <v>21.3</v>
      </c>
      <c r="M78" s="65">
        <f t="shared" si="46"/>
        <v>20.568000000000001</v>
      </c>
      <c r="N78" s="65">
        <f t="shared" si="46"/>
        <v>14.2</v>
      </c>
      <c r="O78" s="65">
        <f t="shared" si="46"/>
        <v>14.1</v>
      </c>
      <c r="P78" s="65">
        <f t="shared" si="46"/>
        <v>21.3</v>
      </c>
      <c r="Q78" s="65">
        <f t="shared" si="46"/>
        <v>21.302</v>
      </c>
      <c r="R78" s="65">
        <f t="shared" si="46"/>
        <v>21.303999999999998</v>
      </c>
      <c r="S78" s="65">
        <f t="shared" si="46"/>
        <v>21.303999999999998</v>
      </c>
      <c r="T78" s="65">
        <f t="shared" si="46"/>
        <v>13.766</v>
      </c>
      <c r="U78" s="65">
        <f t="shared" si="46"/>
        <v>21.302</v>
      </c>
      <c r="V78" s="65">
        <f t="shared" si="46"/>
        <v>9.4</v>
      </c>
      <c r="W78" s="65">
        <f t="shared" si="46"/>
        <v>21.302</v>
      </c>
      <c r="X78" s="65">
        <f t="shared" si="46"/>
        <v>21.302</v>
      </c>
      <c r="Y78" s="65">
        <f t="shared" si="46"/>
        <v>14.2</v>
      </c>
      <c r="Z78" s="65">
        <f t="shared" si="46"/>
        <v>21.3</v>
      </c>
      <c r="AA78" s="65">
        <f t="shared" si="46"/>
        <v>20.568000000000001</v>
      </c>
      <c r="AB78" s="65">
        <f t="shared" si="46"/>
        <v>14.2</v>
      </c>
      <c r="AC78" s="65">
        <f t="shared" si="46"/>
        <v>14.102</v>
      </c>
      <c r="AD78" s="65">
        <f t="shared" si="46"/>
        <v>21.302</v>
      </c>
      <c r="AE78" s="65">
        <f t="shared" si="46"/>
        <v>21.3</v>
      </c>
      <c r="AF78" s="65">
        <f t="shared" si="46"/>
        <v>21.3</v>
      </c>
      <c r="AG78" s="65">
        <f t="shared" si="46"/>
        <v>20.8</v>
      </c>
      <c r="AH78" s="65">
        <f t="shared" si="46"/>
        <v>13.7</v>
      </c>
      <c r="AI78" s="65">
        <f t="shared" si="46"/>
        <v>21.3</v>
      </c>
      <c r="AJ78" s="65">
        <f t="shared" si="46"/>
        <v>9.4</v>
      </c>
      <c r="AK78" s="129"/>
      <c r="AL78" s="190">
        <f>SUM(F78:AJ78)</f>
        <v>575.78600000000006</v>
      </c>
      <c r="AO78" s="130"/>
    </row>
    <row r="79" spans="2:256">
      <c r="B79" s="62"/>
      <c r="C79" s="41" t="s">
        <v>79</v>
      </c>
      <c r="D79" s="60"/>
      <c r="E79" s="60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115"/>
      <c r="AD79" s="61"/>
      <c r="AE79" s="61"/>
      <c r="AF79" s="61"/>
      <c r="AG79" s="61"/>
      <c r="AH79" s="115"/>
      <c r="AI79" s="115"/>
      <c r="AJ79" s="115"/>
      <c r="AK79" s="119"/>
      <c r="AL79" s="247" t="s">
        <v>80</v>
      </c>
    </row>
    <row r="80" spans="2:256" s="1" customFormat="1" ht="14.25">
      <c r="B80" s="76"/>
      <c r="C80" s="262" t="s">
        <v>70</v>
      </c>
      <c r="D80" s="80"/>
      <c r="E80" s="76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129"/>
      <c r="AL80" s="188" t="s">
        <v>70</v>
      </c>
      <c r="AO80" s="130"/>
      <c r="DH80" s="153"/>
    </row>
    <row r="81" spans="1:15829" s="1" customFormat="1" ht="14.25">
      <c r="B81" s="76"/>
      <c r="C81" s="243" t="s">
        <v>71</v>
      </c>
      <c r="D81" s="80"/>
      <c r="E81" s="263" t="s">
        <v>72</v>
      </c>
      <c r="F81" s="65">
        <v>0</v>
      </c>
      <c r="G81" s="65">
        <v>3</v>
      </c>
      <c r="H81" s="65">
        <v>4</v>
      </c>
      <c r="I81" s="65">
        <v>4</v>
      </c>
      <c r="J81" s="65">
        <v>7</v>
      </c>
      <c r="K81" s="65">
        <v>8</v>
      </c>
      <c r="L81" s="65">
        <v>1</v>
      </c>
      <c r="M81" s="65">
        <v>1</v>
      </c>
      <c r="N81" s="65">
        <v>4</v>
      </c>
      <c r="O81" s="65">
        <v>11</v>
      </c>
      <c r="P81" s="65">
        <v>5</v>
      </c>
      <c r="Q81" s="65">
        <v>4</v>
      </c>
      <c r="R81" s="65">
        <v>3</v>
      </c>
      <c r="S81" s="65">
        <v>1</v>
      </c>
      <c r="T81" s="65">
        <v>3</v>
      </c>
      <c r="U81" s="65">
        <v>2</v>
      </c>
      <c r="V81" s="65">
        <v>1</v>
      </c>
      <c r="W81" s="65">
        <v>1</v>
      </c>
      <c r="X81" s="65">
        <v>2</v>
      </c>
      <c r="Y81" s="65">
        <v>8</v>
      </c>
      <c r="Z81" s="65">
        <v>1</v>
      </c>
      <c r="AA81" s="65">
        <v>0</v>
      </c>
      <c r="AB81" s="65">
        <v>3</v>
      </c>
      <c r="AC81" s="65">
        <v>1</v>
      </c>
      <c r="AD81" s="65">
        <v>1</v>
      </c>
      <c r="AE81" s="65">
        <v>6</v>
      </c>
      <c r="AF81" s="65">
        <v>1</v>
      </c>
      <c r="AG81" s="65">
        <v>0</v>
      </c>
      <c r="AH81" s="65">
        <v>1</v>
      </c>
      <c r="AI81" s="65">
        <v>6</v>
      </c>
      <c r="AJ81" s="65">
        <v>1</v>
      </c>
      <c r="AK81" s="129"/>
      <c r="AL81" s="190">
        <f>SUM(F81:AJ81)</f>
        <v>94</v>
      </c>
      <c r="AO81" s="130"/>
    </row>
    <row r="82" spans="1:15829" s="1" customFormat="1" ht="14.25">
      <c r="B82" s="76"/>
      <c r="C82" s="243" t="s">
        <v>73</v>
      </c>
      <c r="D82" s="80"/>
      <c r="E82" s="263" t="s">
        <v>72</v>
      </c>
      <c r="F82" s="65">
        <v>4</v>
      </c>
      <c r="G82" s="65">
        <v>2</v>
      </c>
      <c r="H82" s="65">
        <v>5</v>
      </c>
      <c r="I82" s="65">
        <v>1</v>
      </c>
      <c r="J82" s="65">
        <v>7</v>
      </c>
      <c r="K82" s="65">
        <v>1</v>
      </c>
      <c r="L82" s="65">
        <v>2</v>
      </c>
      <c r="M82" s="65">
        <v>1</v>
      </c>
      <c r="N82" s="65">
        <v>0</v>
      </c>
      <c r="O82" s="65">
        <v>7</v>
      </c>
      <c r="P82" s="65">
        <v>2</v>
      </c>
      <c r="Q82" s="65">
        <v>4</v>
      </c>
      <c r="R82" s="65">
        <v>0</v>
      </c>
      <c r="S82" s="65">
        <v>3</v>
      </c>
      <c r="T82" s="65">
        <v>0</v>
      </c>
      <c r="U82" s="65">
        <v>1</v>
      </c>
      <c r="V82" s="65">
        <v>0</v>
      </c>
      <c r="W82" s="65">
        <v>12</v>
      </c>
      <c r="X82" s="65">
        <v>7</v>
      </c>
      <c r="Y82" s="65">
        <v>0</v>
      </c>
      <c r="Z82" s="65">
        <v>6</v>
      </c>
      <c r="AA82" s="65">
        <v>2</v>
      </c>
      <c r="AB82" s="65">
        <v>0</v>
      </c>
      <c r="AC82" s="65">
        <v>2</v>
      </c>
      <c r="AD82" s="65">
        <v>6</v>
      </c>
      <c r="AE82" s="65">
        <v>3</v>
      </c>
      <c r="AF82" s="65">
        <v>5</v>
      </c>
      <c r="AG82" s="65">
        <v>4</v>
      </c>
      <c r="AH82" s="65">
        <v>0</v>
      </c>
      <c r="AI82" s="65">
        <v>3</v>
      </c>
      <c r="AJ82" s="65">
        <v>0</v>
      </c>
      <c r="AK82" s="129"/>
      <c r="AL82" s="190">
        <f>SUM(F82:AJ82)</f>
        <v>90</v>
      </c>
      <c r="AO82" s="130"/>
    </row>
    <row r="83" spans="1:15829" s="1" customFormat="1" ht="14.25">
      <c r="B83" s="76"/>
      <c r="C83" s="262" t="s">
        <v>74</v>
      </c>
      <c r="D83" s="80"/>
      <c r="E83" s="76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129"/>
      <c r="AL83" s="188" t="s">
        <v>74</v>
      </c>
      <c r="AO83" s="130"/>
    </row>
    <row r="84" spans="1:15829" s="1" customFormat="1" ht="14.25">
      <c r="B84" s="76"/>
      <c r="C84" s="243" t="s">
        <v>71</v>
      </c>
      <c r="D84" s="80"/>
      <c r="E84" s="263" t="s">
        <v>74</v>
      </c>
      <c r="F84" s="130">
        <v>1</v>
      </c>
      <c r="G84" s="168">
        <v>1</v>
      </c>
      <c r="H84" s="168">
        <v>6</v>
      </c>
      <c r="I84" s="65">
        <v>6</v>
      </c>
      <c r="J84" s="65">
        <v>5</v>
      </c>
      <c r="K84" s="65">
        <v>3</v>
      </c>
      <c r="L84" s="65">
        <v>7</v>
      </c>
      <c r="M84" s="65">
        <v>4</v>
      </c>
      <c r="N84" s="178">
        <v>33</v>
      </c>
      <c r="O84" s="65">
        <v>8</v>
      </c>
      <c r="P84" s="65">
        <v>6</v>
      </c>
      <c r="Q84" s="65">
        <v>2</v>
      </c>
      <c r="R84" s="65">
        <v>4</v>
      </c>
      <c r="S84" s="65">
        <v>5</v>
      </c>
      <c r="T84" s="65">
        <v>44</v>
      </c>
      <c r="U84" s="178">
        <v>3</v>
      </c>
      <c r="V84" s="65">
        <v>13</v>
      </c>
      <c r="W84" s="65">
        <v>5</v>
      </c>
      <c r="X84" s="65">
        <v>7</v>
      </c>
      <c r="Y84" s="65">
        <v>19</v>
      </c>
      <c r="Z84" s="65">
        <v>7</v>
      </c>
      <c r="AA84" s="65">
        <v>2</v>
      </c>
      <c r="AB84" s="178">
        <v>14</v>
      </c>
      <c r="AC84" s="65"/>
      <c r="AD84" s="65"/>
      <c r="AE84" s="65">
        <v>9</v>
      </c>
      <c r="AF84" s="65">
        <v>6</v>
      </c>
      <c r="AG84" s="192">
        <v>7</v>
      </c>
      <c r="AH84" s="168">
        <v>25</v>
      </c>
      <c r="AI84" s="65">
        <v>7</v>
      </c>
      <c r="AJ84" s="65">
        <v>23</v>
      </c>
      <c r="AK84" s="129"/>
      <c r="AL84" s="190">
        <f>SUM(F84:AJ84)</f>
        <v>282</v>
      </c>
      <c r="AO84" s="130"/>
    </row>
    <row r="85" spans="1:15829" s="1" customFormat="1" ht="14.25">
      <c r="B85" s="76"/>
      <c r="C85" s="243" t="s">
        <v>73</v>
      </c>
      <c r="D85" s="80"/>
      <c r="E85" s="263" t="s">
        <v>74</v>
      </c>
      <c r="F85" s="130">
        <v>14</v>
      </c>
      <c r="G85" s="168">
        <v>14</v>
      </c>
      <c r="H85" s="168">
        <v>14</v>
      </c>
      <c r="I85" s="65">
        <v>11</v>
      </c>
      <c r="J85" s="65">
        <v>14</v>
      </c>
      <c r="K85" s="65">
        <v>10</v>
      </c>
      <c r="L85" s="65">
        <v>9</v>
      </c>
      <c r="M85" s="65">
        <v>7</v>
      </c>
      <c r="N85" s="178"/>
      <c r="O85" s="65">
        <v>3</v>
      </c>
      <c r="P85" s="65">
        <v>2</v>
      </c>
      <c r="Q85" s="65">
        <v>9</v>
      </c>
      <c r="R85" s="65">
        <v>9</v>
      </c>
      <c r="S85" s="65">
        <v>11</v>
      </c>
      <c r="T85" s="65"/>
      <c r="U85" s="178">
        <v>8</v>
      </c>
      <c r="V85" s="65"/>
      <c r="W85" s="65">
        <v>9</v>
      </c>
      <c r="X85" s="65">
        <v>12</v>
      </c>
      <c r="Y85" s="65"/>
      <c r="Z85" s="65">
        <v>8</v>
      </c>
      <c r="AA85" s="65">
        <v>8</v>
      </c>
      <c r="AB85" s="178"/>
      <c r="AC85" s="65">
        <v>8</v>
      </c>
      <c r="AD85" s="65">
        <v>6</v>
      </c>
      <c r="AE85" s="65">
        <v>9</v>
      </c>
      <c r="AF85" s="65">
        <v>6</v>
      </c>
      <c r="AG85" s="192">
        <v>9</v>
      </c>
      <c r="AH85" s="168">
        <v>0</v>
      </c>
      <c r="AI85" s="65">
        <v>9</v>
      </c>
      <c r="AJ85" s="65">
        <v>0</v>
      </c>
      <c r="AK85" s="129"/>
      <c r="AL85" s="190">
        <f>SUM(F85:AJ85)</f>
        <v>219</v>
      </c>
      <c r="AO85" s="130"/>
    </row>
    <row r="86" spans="1:15829">
      <c r="B86" s="62"/>
      <c r="C86" s="41" t="s">
        <v>81</v>
      </c>
      <c r="D86" s="60"/>
      <c r="E86" s="60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115"/>
      <c r="AD86" s="61"/>
      <c r="AE86" s="61"/>
      <c r="AF86" s="61"/>
      <c r="AG86" s="61"/>
      <c r="AH86" s="115"/>
      <c r="AI86" s="115"/>
      <c r="AJ86" s="115"/>
      <c r="AK86" s="119"/>
      <c r="AL86" s="247" t="s">
        <v>80</v>
      </c>
    </row>
    <row r="87" spans="1:15829" s="1" customFormat="1" ht="14.25">
      <c r="B87" s="76"/>
      <c r="C87" s="262" t="s">
        <v>70</v>
      </c>
      <c r="D87" s="80"/>
      <c r="E87" s="76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129"/>
      <c r="AL87" s="188" t="s">
        <v>70</v>
      </c>
      <c r="AO87" s="130"/>
    </row>
    <row r="88" spans="1:15829" s="1" customFormat="1" ht="14.25">
      <c r="B88" s="76"/>
      <c r="C88" s="243" t="s">
        <v>71</v>
      </c>
      <c r="D88" s="75">
        <v>0.3</v>
      </c>
      <c r="E88" s="263" t="s">
        <v>13</v>
      </c>
      <c r="F88" s="93">
        <f t="shared" ref="F88:AJ88" si="47">F81/F72*100</f>
        <v>0</v>
      </c>
      <c r="G88" s="93">
        <f t="shared" si="47"/>
        <v>8.4507042253521125E-2</v>
      </c>
      <c r="H88" s="93">
        <f t="shared" si="47"/>
        <v>0.1702127659574468</v>
      </c>
      <c r="I88" s="93">
        <f t="shared" si="47"/>
        <v>0.11267605633802817</v>
      </c>
      <c r="J88" s="93">
        <f t="shared" si="47"/>
        <v>0.19718309859154928</v>
      </c>
      <c r="K88" s="93">
        <f t="shared" si="47"/>
        <v>0.22535211267605634</v>
      </c>
      <c r="L88" s="93">
        <f t="shared" si="47"/>
        <v>2.8169014084507043E-2</v>
      </c>
      <c r="M88" s="93">
        <f t="shared" si="47"/>
        <v>2.9197080291970805E-2</v>
      </c>
      <c r="N88" s="93">
        <f t="shared" si="47"/>
        <v>5.6338028169014086E-2</v>
      </c>
      <c r="O88" s="93">
        <f t="shared" si="47"/>
        <v>0.46808510638297873</v>
      </c>
      <c r="P88" s="93">
        <f t="shared" si="47"/>
        <v>0.14084507042253522</v>
      </c>
      <c r="Q88" s="93">
        <f t="shared" si="47"/>
        <v>0.11267605633802817</v>
      </c>
      <c r="R88" s="93">
        <f t="shared" si="47"/>
        <v>8.4507042253521125E-2</v>
      </c>
      <c r="S88" s="93">
        <f t="shared" si="47"/>
        <v>2.8169014084507043E-2</v>
      </c>
      <c r="T88" s="93">
        <f t="shared" si="47"/>
        <v>4.3585645793985182E-2</v>
      </c>
      <c r="U88" s="93">
        <f t="shared" si="47"/>
        <v>5.6338028169014086E-2</v>
      </c>
      <c r="V88" s="93">
        <f t="shared" si="47"/>
        <v>2.1276595744680851E-2</v>
      </c>
      <c r="W88" s="93">
        <f t="shared" si="47"/>
        <v>2.8169014084507043E-2</v>
      </c>
      <c r="X88" s="93">
        <f t="shared" si="47"/>
        <v>5.6338028169014086E-2</v>
      </c>
      <c r="Y88" s="93">
        <f t="shared" si="47"/>
        <v>0.11267605633802817</v>
      </c>
      <c r="Z88" s="93">
        <f t="shared" si="47"/>
        <v>2.8169014084507043E-2</v>
      </c>
      <c r="AA88" s="93">
        <f t="shared" si="47"/>
        <v>0</v>
      </c>
      <c r="AB88" s="93">
        <f t="shared" si="47"/>
        <v>4.2253521126760563E-2</v>
      </c>
      <c r="AC88" s="93">
        <f t="shared" si="47"/>
        <v>4.2553191489361701E-2</v>
      </c>
      <c r="AD88" s="93">
        <f t="shared" si="47"/>
        <v>2.8169014084507043E-2</v>
      </c>
      <c r="AE88" s="93">
        <f t="shared" si="47"/>
        <v>0.16901408450704225</v>
      </c>
      <c r="AF88" s="93">
        <f t="shared" si="47"/>
        <v>2.8169014084507043E-2</v>
      </c>
      <c r="AG88" s="93">
        <f t="shared" si="47"/>
        <v>0</v>
      </c>
      <c r="AH88" s="93">
        <f t="shared" si="47"/>
        <v>1.4598540145985403E-2</v>
      </c>
      <c r="AI88" s="93">
        <f t="shared" si="47"/>
        <v>0.16901408450704225</v>
      </c>
      <c r="AJ88" s="93">
        <f t="shared" si="47"/>
        <v>2.1276595744680851E-2</v>
      </c>
      <c r="AK88" s="129"/>
      <c r="AL88" s="131">
        <f>AL81/AL72*100</f>
        <v>7.4803243595966989E-2</v>
      </c>
      <c r="AO88" s="130"/>
    </row>
    <row r="89" spans="1:15829" s="1" customFormat="1" ht="14.25">
      <c r="B89" s="76"/>
      <c r="C89" s="243" t="s">
        <v>73</v>
      </c>
      <c r="D89" s="75">
        <v>0.3</v>
      </c>
      <c r="E89" s="263" t="s">
        <v>13</v>
      </c>
      <c r="F89" s="93">
        <f t="shared" ref="F89:AJ89" si="48">F82/F73*100</f>
        <v>5.8394160583941611E-2</v>
      </c>
      <c r="G89" s="93">
        <f t="shared" si="48"/>
        <v>2.8165047176454017E-2</v>
      </c>
      <c r="H89" s="93">
        <f t="shared" si="48"/>
        <v>0.10638297872340426</v>
      </c>
      <c r="I89" s="93">
        <f t="shared" si="48"/>
        <v>1.4084507042253521E-2</v>
      </c>
      <c r="J89" s="93">
        <f t="shared" si="48"/>
        <v>9.8577665117589086E-2</v>
      </c>
      <c r="K89" s="93">
        <f t="shared" si="48"/>
        <v>1.4080540692762602E-2</v>
      </c>
      <c r="L89" s="93">
        <f t="shared" si="48"/>
        <v>2.8169014084507043E-2</v>
      </c>
      <c r="M89" s="93">
        <f t="shared" si="48"/>
        <v>1.457938474996355E-2</v>
      </c>
      <c r="N89" s="93" t="e">
        <f t="shared" si="48"/>
        <v>#DIV/0!</v>
      </c>
      <c r="O89" s="93">
        <f t="shared" si="48"/>
        <v>0.14893617021276595</v>
      </c>
      <c r="P89" s="93">
        <f t="shared" si="48"/>
        <v>2.8169014084507043E-2</v>
      </c>
      <c r="Q89" s="93">
        <f t="shared" si="48"/>
        <v>5.6330094352908033E-2</v>
      </c>
      <c r="R89" s="93">
        <f t="shared" si="48"/>
        <v>0</v>
      </c>
      <c r="S89" s="93">
        <f t="shared" si="48"/>
        <v>4.2241622078287806E-2</v>
      </c>
      <c r="T89" s="93" t="e">
        <f t="shared" si="48"/>
        <v>#DIV/0!</v>
      </c>
      <c r="U89" s="93">
        <f t="shared" si="48"/>
        <v>1.4082523588227008E-2</v>
      </c>
      <c r="V89" s="93" t="e">
        <f t="shared" si="48"/>
        <v>#DIV/0!</v>
      </c>
      <c r="W89" s="93">
        <f t="shared" si="48"/>
        <v>0.16899028305872413</v>
      </c>
      <c r="X89" s="93">
        <f t="shared" si="48"/>
        <v>9.8577665117589086E-2</v>
      </c>
      <c r="Y89" s="93" t="e">
        <f t="shared" si="48"/>
        <v>#DIV/0!</v>
      </c>
      <c r="Z89" s="93">
        <f t="shared" si="48"/>
        <v>8.4507042253521125E-2</v>
      </c>
      <c r="AA89" s="93">
        <f t="shared" si="48"/>
        <v>2.9167274318214965E-2</v>
      </c>
      <c r="AB89" s="93" t="e">
        <f t="shared" si="48"/>
        <v>#DIV/0!</v>
      </c>
      <c r="AC89" s="93">
        <f t="shared" si="48"/>
        <v>4.2544139544777704E-2</v>
      </c>
      <c r="AD89" s="93">
        <f t="shared" si="48"/>
        <v>8.4495141529362064E-2</v>
      </c>
      <c r="AE89" s="93">
        <f t="shared" si="48"/>
        <v>4.2253521126760563E-2</v>
      </c>
      <c r="AF89" s="93">
        <f t="shared" si="48"/>
        <v>7.0422535211267609E-2</v>
      </c>
      <c r="AG89" s="93">
        <f t="shared" si="48"/>
        <v>5.8394160583941611E-2</v>
      </c>
      <c r="AH89" s="93" t="e">
        <f t="shared" si="48"/>
        <v>#DIV/0!</v>
      </c>
      <c r="AI89" s="93">
        <f t="shared" si="48"/>
        <v>4.2253521126760563E-2</v>
      </c>
      <c r="AJ89" s="93" t="e">
        <f t="shared" si="48"/>
        <v>#DIV/0!</v>
      </c>
      <c r="AK89" s="129"/>
      <c r="AL89" s="131">
        <f>AL82/AL73*100</f>
        <v>5.5476792208592744E-2</v>
      </c>
      <c r="AO89" s="130"/>
    </row>
    <row r="90" spans="1:15829" s="1" customFormat="1" ht="14.25">
      <c r="B90" s="76"/>
      <c r="C90" s="262" t="s">
        <v>74</v>
      </c>
      <c r="D90" s="75"/>
      <c r="E90" s="76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129"/>
      <c r="AL90" s="188" t="s">
        <v>74</v>
      </c>
      <c r="AO90" s="130"/>
    </row>
    <row r="91" spans="1:15829" s="1" customFormat="1" ht="14.25">
      <c r="B91" s="76"/>
      <c r="C91" s="243" t="s">
        <v>71</v>
      </c>
      <c r="D91" s="75">
        <v>0.5</v>
      </c>
      <c r="E91" s="263" t="s">
        <v>13</v>
      </c>
      <c r="F91" s="93">
        <f t="shared" ref="F91:AJ91" si="49">F84/F75*100</f>
        <v>2.4309607156748347E-3</v>
      </c>
      <c r="G91" s="93">
        <f t="shared" si="49"/>
        <v>2.3474178403755869E-3</v>
      </c>
      <c r="H91" s="93">
        <f t="shared" si="49"/>
        <v>2.1276595744680851E-2</v>
      </c>
      <c r="I91" s="93">
        <f t="shared" si="49"/>
        <v>1.4084507042253521E-2</v>
      </c>
      <c r="J91" s="93">
        <f t="shared" si="49"/>
        <v>1.1737089201877934E-2</v>
      </c>
      <c r="K91" s="93">
        <f t="shared" si="49"/>
        <v>7.0422535211267607E-3</v>
      </c>
      <c r="L91" s="93">
        <f t="shared" si="49"/>
        <v>1.6431924882629106E-2</v>
      </c>
      <c r="M91" s="93">
        <f t="shared" si="49"/>
        <v>9.7323600973236012E-3</v>
      </c>
      <c r="N91" s="93">
        <f t="shared" si="49"/>
        <v>3.873239436619718E-2</v>
      </c>
      <c r="O91" s="93">
        <f t="shared" si="49"/>
        <v>2.8368794326241134E-2</v>
      </c>
      <c r="P91" s="93">
        <f t="shared" si="49"/>
        <v>1.4084507042253521E-2</v>
      </c>
      <c r="Q91" s="93">
        <f t="shared" si="49"/>
        <v>4.6948356807511738E-3</v>
      </c>
      <c r="R91" s="93">
        <f t="shared" si="49"/>
        <v>9.3896713615023476E-3</v>
      </c>
      <c r="S91" s="93">
        <f t="shared" si="49"/>
        <v>1.1737089201877934E-2</v>
      </c>
      <c r="T91" s="93">
        <f t="shared" si="49"/>
        <v>5.3271344859315221E-2</v>
      </c>
      <c r="U91" s="93">
        <f t="shared" si="49"/>
        <v>7.0422535211267607E-3</v>
      </c>
      <c r="V91" s="93">
        <f t="shared" si="49"/>
        <v>2.3049645390070921E-2</v>
      </c>
      <c r="W91" s="93">
        <f t="shared" si="49"/>
        <v>1.1737089201877934E-2</v>
      </c>
      <c r="X91" s="93">
        <f t="shared" si="49"/>
        <v>1.6431924882629106E-2</v>
      </c>
      <c r="Y91" s="93">
        <f t="shared" si="49"/>
        <v>2.2300469483568074E-2</v>
      </c>
      <c r="Z91" s="93">
        <f t="shared" si="49"/>
        <v>1.6431924882629106E-2</v>
      </c>
      <c r="AA91" s="93">
        <f t="shared" si="49"/>
        <v>4.8633401420095325E-3</v>
      </c>
      <c r="AB91" s="93">
        <f t="shared" si="49"/>
        <v>1.6431924882629106E-2</v>
      </c>
      <c r="AC91" s="93">
        <f t="shared" si="49"/>
        <v>0</v>
      </c>
      <c r="AD91" s="93">
        <f t="shared" si="49"/>
        <v>0</v>
      </c>
      <c r="AE91" s="93">
        <f t="shared" si="49"/>
        <v>2.1126760563380281E-2</v>
      </c>
      <c r="AF91" s="93">
        <f t="shared" si="49"/>
        <v>1.4084507042253521E-2</v>
      </c>
      <c r="AG91" s="93">
        <f t="shared" si="49"/>
        <v>1.6431924882629106E-2</v>
      </c>
      <c r="AH91" s="93">
        <f t="shared" si="49"/>
        <v>3.0413625304136254E-2</v>
      </c>
      <c r="AI91" s="93">
        <f t="shared" si="49"/>
        <v>1.6431924882629106E-2</v>
      </c>
      <c r="AJ91" s="93">
        <f t="shared" si="49"/>
        <v>4.0780141843971635E-2</v>
      </c>
      <c r="AK91" s="129"/>
      <c r="AL91" s="131">
        <f>AL84/AL75*100</f>
        <v>1.8700810898991747E-2</v>
      </c>
      <c r="AO91" s="130"/>
    </row>
    <row r="92" spans="1:15829" s="1" customFormat="1" ht="14.25">
      <c r="B92" s="76"/>
      <c r="C92" s="243" t="s">
        <v>73</v>
      </c>
      <c r="D92" s="75">
        <v>0.5</v>
      </c>
      <c r="E92" s="263" t="s">
        <v>13</v>
      </c>
      <c r="F92" s="93">
        <f t="shared" ref="F92:AJ92" si="50">F85/F76*100</f>
        <v>3.4063260340632603E-2</v>
      </c>
      <c r="G92" s="93">
        <f t="shared" si="50"/>
        <v>3.2859221705863022E-2</v>
      </c>
      <c r="H92" s="93">
        <f t="shared" si="50"/>
        <v>4.9645390070921988E-2</v>
      </c>
      <c r="I92" s="93">
        <f t="shared" si="50"/>
        <v>2.5821596244131453E-2</v>
      </c>
      <c r="J92" s="93">
        <f t="shared" si="50"/>
        <v>3.2859221705863022E-2</v>
      </c>
      <c r="K92" s="93">
        <f t="shared" si="50"/>
        <v>2.3467567821271004E-2</v>
      </c>
      <c r="L92" s="93">
        <f t="shared" si="50"/>
        <v>2.1126760563380281E-2</v>
      </c>
      <c r="M92" s="93">
        <f t="shared" si="50"/>
        <v>1.7009282208290809E-2</v>
      </c>
      <c r="N92" s="93" t="e">
        <f t="shared" si="50"/>
        <v>#DIV/0!</v>
      </c>
      <c r="O92" s="93">
        <f t="shared" si="50"/>
        <v>1.0638297872340425E-2</v>
      </c>
      <c r="P92" s="93">
        <f t="shared" si="50"/>
        <v>4.6948356807511738E-3</v>
      </c>
      <c r="Q92" s="93">
        <f t="shared" si="50"/>
        <v>2.1123785382340516E-2</v>
      </c>
      <c r="R92" s="93">
        <f t="shared" si="50"/>
        <v>2.1120811039143903E-2</v>
      </c>
      <c r="S92" s="93">
        <f t="shared" si="50"/>
        <v>2.5814324603398102E-2</v>
      </c>
      <c r="T92" s="93" t="e">
        <f t="shared" si="50"/>
        <v>#DIV/0!</v>
      </c>
      <c r="U92" s="93">
        <f t="shared" si="50"/>
        <v>1.8776698117636013E-2</v>
      </c>
      <c r="V92" s="93" t="e">
        <f t="shared" si="50"/>
        <v>#DIV/0!</v>
      </c>
      <c r="W92" s="93">
        <f t="shared" si="50"/>
        <v>2.1123785382340516E-2</v>
      </c>
      <c r="X92" s="93">
        <f t="shared" si="50"/>
        <v>2.8165047176454017E-2</v>
      </c>
      <c r="Y92" s="93" t="e">
        <f t="shared" si="50"/>
        <v>#DIV/0!</v>
      </c>
      <c r="Z92" s="93">
        <f t="shared" si="50"/>
        <v>1.8779342723004695E-2</v>
      </c>
      <c r="AA92" s="93">
        <f t="shared" si="50"/>
        <v>1.944484954547664E-2</v>
      </c>
      <c r="AB92" s="93" t="e">
        <f t="shared" si="50"/>
        <v>#DIV/0!</v>
      </c>
      <c r="AC92" s="93">
        <f t="shared" si="50"/>
        <v>2.8362759696518469E-2</v>
      </c>
      <c r="AD92" s="93">
        <f t="shared" si="50"/>
        <v>1.4082523588227008E-2</v>
      </c>
      <c r="AE92" s="93">
        <f t="shared" si="50"/>
        <v>2.1126760563380281E-2</v>
      </c>
      <c r="AF92" s="93">
        <f t="shared" si="50"/>
        <v>1.4084507042253521E-2</v>
      </c>
      <c r="AG92" s="93">
        <f t="shared" si="50"/>
        <v>2.18978102189781E-2</v>
      </c>
      <c r="AH92" s="93" t="e">
        <f t="shared" si="50"/>
        <v>#DIV/0!</v>
      </c>
      <c r="AI92" s="93">
        <f t="shared" si="50"/>
        <v>2.1126760563380281E-2</v>
      </c>
      <c r="AJ92" s="93" t="e">
        <f t="shared" si="50"/>
        <v>#DIV/0!</v>
      </c>
      <c r="AK92" s="129"/>
      <c r="AL92" s="131">
        <f>AL85/AL76*100</f>
        <v>2.2498921284595942E-2</v>
      </c>
      <c r="AO92" s="130"/>
    </row>
    <row r="93" spans="1:15829" s="1" customFormat="1" hidden="1">
      <c r="A93" s="3"/>
      <c r="B93" s="59">
        <v>6</v>
      </c>
      <c r="C93" s="41" t="s">
        <v>82</v>
      </c>
      <c r="D93" s="60"/>
      <c r="E93" s="60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115"/>
      <c r="AD93" s="61"/>
      <c r="AE93" s="61"/>
      <c r="AF93" s="61"/>
      <c r="AG93" s="61"/>
      <c r="AH93" s="115"/>
      <c r="AI93" s="115"/>
      <c r="AJ93" s="115"/>
      <c r="AK93" s="119"/>
      <c r="AL93" s="247" t="s">
        <v>64</v>
      </c>
      <c r="AM93" s="3"/>
      <c r="AN93" s="3"/>
      <c r="AO93" s="3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  <c r="AAA93" s="3"/>
      <c r="AAB93" s="3"/>
      <c r="AAC93" s="3"/>
      <c r="AAD93" s="3"/>
      <c r="AAE93" s="3"/>
      <c r="AAF93" s="3"/>
      <c r="AAG93" s="3"/>
      <c r="AAH93" s="3"/>
      <c r="AAI93" s="3"/>
      <c r="AAJ93" s="3"/>
      <c r="AAK93" s="3"/>
      <c r="AAL93" s="3"/>
      <c r="AAM93" s="3"/>
      <c r="AAN93" s="3"/>
      <c r="AAO93" s="3"/>
      <c r="AAP93" s="3"/>
      <c r="AAQ93" s="3"/>
      <c r="AAR93" s="3"/>
      <c r="AAS93" s="3"/>
      <c r="AAT93" s="3"/>
      <c r="AAU93" s="3"/>
      <c r="AAV93" s="3"/>
      <c r="AAW93" s="3"/>
      <c r="AAX93" s="3"/>
      <c r="AAY93" s="3"/>
      <c r="AAZ93" s="3"/>
      <c r="ABA93" s="3"/>
      <c r="ABB93" s="3"/>
      <c r="ABC93" s="3"/>
      <c r="ABD93" s="3"/>
      <c r="ABE93" s="3"/>
      <c r="ABF93" s="3"/>
      <c r="ABG93" s="3"/>
      <c r="ABH93" s="3"/>
      <c r="ABI93" s="3"/>
      <c r="ABJ93" s="3"/>
      <c r="ABK93" s="3"/>
      <c r="ABL93" s="3"/>
      <c r="ABM93" s="3"/>
      <c r="ABN93" s="3"/>
      <c r="ABO93" s="3"/>
      <c r="ABP93" s="3"/>
      <c r="ABQ93" s="3"/>
      <c r="ABR93" s="3"/>
      <c r="ABS93" s="3"/>
      <c r="ABT93" s="3"/>
      <c r="ABU93" s="3"/>
      <c r="ABV93" s="3"/>
      <c r="ABW93" s="3"/>
      <c r="ABX93" s="3"/>
      <c r="ABY93" s="3"/>
      <c r="ABZ93" s="3"/>
      <c r="ACA93" s="3"/>
      <c r="ACB93" s="3"/>
      <c r="ACC93" s="3"/>
      <c r="ACD93" s="3"/>
      <c r="ACE93" s="3"/>
      <c r="ACF93" s="3"/>
      <c r="ACG93" s="3"/>
      <c r="ACH93" s="3"/>
      <c r="ACI93" s="3"/>
      <c r="ACJ93" s="3"/>
      <c r="ACK93" s="3"/>
      <c r="ACL93" s="3"/>
      <c r="ACM93" s="3"/>
      <c r="ACN93" s="3"/>
      <c r="ACO93" s="3"/>
      <c r="ACP93" s="3"/>
      <c r="ACQ93" s="3"/>
      <c r="ACR93" s="3"/>
      <c r="ACS93" s="3"/>
      <c r="ACT93" s="3"/>
      <c r="ACU93" s="3"/>
      <c r="ACV93" s="3"/>
      <c r="ACW93" s="3"/>
      <c r="ACX93" s="3"/>
      <c r="ACY93" s="3"/>
      <c r="ACZ93" s="3"/>
      <c r="ADA93" s="3"/>
      <c r="ADB93" s="3"/>
      <c r="ADC93" s="3"/>
      <c r="ADD93" s="3"/>
      <c r="ADE93" s="3"/>
      <c r="ADF93" s="3"/>
      <c r="ADG93" s="3"/>
      <c r="ADH93" s="3"/>
      <c r="ADI93" s="3"/>
      <c r="ADJ93" s="3"/>
      <c r="ADK93" s="3"/>
      <c r="ADL93" s="3"/>
      <c r="ADM93" s="3"/>
      <c r="ADN93" s="3"/>
      <c r="ADO93" s="3"/>
      <c r="ADP93" s="3"/>
      <c r="ADQ93" s="3"/>
      <c r="ADR93" s="3"/>
      <c r="ADS93" s="3"/>
      <c r="ADT93" s="3"/>
      <c r="ADU93" s="3"/>
      <c r="ADV93" s="3"/>
      <c r="ADW93" s="3"/>
      <c r="ADX93" s="3"/>
      <c r="ADY93" s="3"/>
      <c r="ADZ93" s="3"/>
      <c r="AEA93" s="3"/>
      <c r="AEB93" s="3"/>
      <c r="AEC93" s="3"/>
      <c r="AED93" s="3"/>
      <c r="AEE93" s="3"/>
      <c r="AEF93" s="3"/>
      <c r="AEG93" s="3"/>
      <c r="AEH93" s="3"/>
      <c r="AEI93" s="3"/>
      <c r="AEJ93" s="3"/>
      <c r="AEK93" s="3"/>
      <c r="AEL93" s="3"/>
      <c r="AEM93" s="3"/>
      <c r="AEN93" s="3"/>
      <c r="AEO93" s="3"/>
      <c r="AEP93" s="3"/>
      <c r="AEQ93" s="3"/>
      <c r="AER93" s="3"/>
      <c r="AES93" s="3"/>
      <c r="AET93" s="3"/>
      <c r="AEU93" s="3"/>
      <c r="AEV93" s="3"/>
      <c r="AEW93" s="3"/>
      <c r="AEX93" s="3"/>
      <c r="AEY93" s="3"/>
      <c r="AEZ93" s="3"/>
      <c r="AFA93" s="3"/>
      <c r="AFB93" s="3"/>
      <c r="AFC93" s="3"/>
      <c r="AFD93" s="3"/>
      <c r="AFE93" s="3"/>
      <c r="AFF93" s="3"/>
      <c r="AFG93" s="3"/>
      <c r="AFH93" s="3"/>
      <c r="AFI93" s="3"/>
      <c r="AFJ93" s="3"/>
      <c r="AFK93" s="3"/>
      <c r="AFL93" s="3"/>
      <c r="AFM93" s="3"/>
      <c r="AFN93" s="3"/>
      <c r="AFO93" s="3"/>
      <c r="AFP93" s="3"/>
      <c r="AFQ93" s="3"/>
      <c r="AFR93" s="3"/>
      <c r="AFS93" s="3"/>
      <c r="AFT93" s="3"/>
      <c r="AFU93" s="3"/>
      <c r="AFV93" s="3"/>
      <c r="AFW93" s="3"/>
      <c r="AFX93" s="3"/>
      <c r="AFY93" s="3"/>
      <c r="AFZ93" s="3"/>
      <c r="AGA93" s="3"/>
      <c r="AGB93" s="3"/>
      <c r="AGC93" s="3"/>
      <c r="AGD93" s="3"/>
      <c r="AGE93" s="3"/>
      <c r="AGF93" s="3"/>
      <c r="AGG93" s="3"/>
      <c r="AGH93" s="3"/>
      <c r="AGI93" s="3"/>
      <c r="AGJ93" s="3"/>
      <c r="AGK93" s="3"/>
      <c r="AGL93" s="3"/>
      <c r="AGM93" s="3"/>
      <c r="AGN93" s="3"/>
      <c r="AGO93" s="3"/>
      <c r="AGP93" s="3"/>
      <c r="AGQ93" s="3"/>
      <c r="AGR93" s="3"/>
      <c r="AGS93" s="3"/>
      <c r="AGT93" s="3"/>
      <c r="AGU93" s="3"/>
      <c r="AGV93" s="3"/>
      <c r="AGW93" s="3"/>
      <c r="AGX93" s="3"/>
      <c r="AGY93" s="3"/>
      <c r="AGZ93" s="3"/>
      <c r="AHA93" s="3"/>
      <c r="AHB93" s="3"/>
      <c r="AHC93" s="3"/>
      <c r="AHD93" s="3"/>
      <c r="AHE93" s="3"/>
      <c r="AHF93" s="3"/>
      <c r="AHG93" s="3"/>
      <c r="AHH93" s="3"/>
      <c r="AHI93" s="3"/>
      <c r="AHJ93" s="3"/>
      <c r="AHK93" s="3"/>
      <c r="AHL93" s="3"/>
      <c r="AHM93" s="3"/>
      <c r="AHN93" s="3"/>
      <c r="AHO93" s="3"/>
      <c r="AHP93" s="3"/>
      <c r="AHQ93" s="3"/>
      <c r="AHR93" s="3"/>
      <c r="AHS93" s="3"/>
      <c r="AHT93" s="3"/>
      <c r="AHU93" s="3"/>
      <c r="AHV93" s="3"/>
      <c r="AHW93" s="3"/>
      <c r="AHX93" s="3"/>
      <c r="AHY93" s="3"/>
      <c r="AHZ93" s="3"/>
      <c r="AIA93" s="3"/>
      <c r="AIB93" s="3"/>
      <c r="AIC93" s="3"/>
      <c r="AID93" s="3"/>
      <c r="AIE93" s="3"/>
      <c r="AIF93" s="3"/>
      <c r="AIG93" s="3"/>
      <c r="AIH93" s="3"/>
      <c r="AII93" s="3"/>
      <c r="AIJ93" s="3"/>
      <c r="AIK93" s="3"/>
      <c r="AIL93" s="3"/>
      <c r="AIM93" s="3"/>
      <c r="AIN93" s="3"/>
      <c r="AIO93" s="3"/>
      <c r="AIP93" s="3"/>
      <c r="AIQ93" s="3"/>
      <c r="AIR93" s="3"/>
      <c r="AIS93" s="3"/>
      <c r="AIT93" s="3"/>
      <c r="AIU93" s="3"/>
      <c r="AIV93" s="3"/>
      <c r="AIW93" s="3"/>
      <c r="AIX93" s="3"/>
      <c r="AIY93" s="3"/>
      <c r="AIZ93" s="3"/>
      <c r="AJA93" s="3"/>
      <c r="AJB93" s="3"/>
      <c r="AJC93" s="3"/>
      <c r="AJD93" s="3"/>
      <c r="AJE93" s="3"/>
      <c r="AJF93" s="3"/>
      <c r="AJG93" s="3"/>
      <c r="AJH93" s="3"/>
      <c r="AJI93" s="3"/>
      <c r="AJJ93" s="3"/>
      <c r="AJK93" s="3"/>
      <c r="AJL93" s="3"/>
      <c r="AJM93" s="3"/>
      <c r="AJN93" s="3"/>
      <c r="AJO93" s="3"/>
      <c r="AJP93" s="3"/>
      <c r="AJQ93" s="3"/>
      <c r="AJR93" s="3"/>
      <c r="AJS93" s="3"/>
      <c r="AJT93" s="3"/>
      <c r="AJU93" s="3"/>
      <c r="AJV93" s="3"/>
      <c r="AJW93" s="3"/>
      <c r="AJX93" s="3"/>
      <c r="AJY93" s="3"/>
      <c r="AJZ93" s="3"/>
      <c r="AKA93" s="3"/>
      <c r="AKB93" s="3"/>
      <c r="AKC93" s="3"/>
      <c r="AKD93" s="3"/>
      <c r="AKE93" s="3"/>
      <c r="AKF93" s="3"/>
      <c r="AKG93" s="3"/>
      <c r="AKH93" s="3"/>
      <c r="AKI93" s="3"/>
      <c r="AKJ93" s="3"/>
      <c r="AKK93" s="3"/>
      <c r="AKL93" s="3"/>
      <c r="AKM93" s="3"/>
      <c r="AKN93" s="3"/>
      <c r="AKO93" s="3"/>
      <c r="AKP93" s="3"/>
      <c r="AKQ93" s="3"/>
      <c r="AKR93" s="3"/>
      <c r="AKS93" s="3"/>
      <c r="AKT93" s="3"/>
      <c r="AKU93" s="3"/>
      <c r="AKV93" s="3"/>
      <c r="AKW93" s="3"/>
      <c r="AKX93" s="3"/>
      <c r="AKY93" s="3"/>
      <c r="AKZ93" s="3"/>
      <c r="ALA93" s="3"/>
      <c r="ALB93" s="3"/>
      <c r="ALC93" s="3"/>
      <c r="ALD93" s="3"/>
      <c r="ALE93" s="3"/>
      <c r="ALF93" s="3"/>
      <c r="ALG93" s="3"/>
      <c r="ALH93" s="3"/>
      <c r="ALI93" s="3"/>
      <c r="ALJ93" s="3"/>
      <c r="ALK93" s="3"/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QK93" s="3"/>
      <c r="AQL93" s="3"/>
      <c r="AQM93" s="3"/>
      <c r="AQN93" s="3"/>
      <c r="AQO93" s="3"/>
      <c r="AQP93" s="3"/>
      <c r="AQQ93" s="3"/>
      <c r="AQR93" s="3"/>
      <c r="AQS93" s="3"/>
      <c r="AQT93" s="3"/>
      <c r="AQU93" s="3"/>
      <c r="AQV93" s="3"/>
      <c r="AQW93" s="3"/>
      <c r="AQX93" s="3"/>
      <c r="AQY93" s="3"/>
      <c r="AQZ93" s="3"/>
      <c r="ARA93" s="3"/>
      <c r="ARB93" s="3"/>
      <c r="ARC93" s="3"/>
      <c r="ARD93" s="3"/>
      <c r="ARE93" s="3"/>
      <c r="ARF93" s="3"/>
      <c r="ARG93" s="3"/>
      <c r="ARH93" s="3"/>
      <c r="ARI93" s="3"/>
      <c r="ARJ93" s="3"/>
      <c r="ARK93" s="3"/>
      <c r="ARL93" s="3"/>
      <c r="ARM93" s="3"/>
      <c r="ARN93" s="3"/>
      <c r="ARO93" s="3"/>
      <c r="ARP93" s="3"/>
      <c r="ARQ93" s="3"/>
      <c r="ARR93" s="3"/>
      <c r="ARS93" s="3"/>
      <c r="ART93" s="3"/>
      <c r="ARU93" s="3"/>
      <c r="ARV93" s="3"/>
      <c r="ARW93" s="3"/>
      <c r="ARX93" s="3"/>
      <c r="ARY93" s="3"/>
      <c r="ARZ93" s="3"/>
      <c r="ASA93" s="3"/>
      <c r="ASB93" s="3"/>
      <c r="ASC93" s="3"/>
      <c r="ASD93" s="3"/>
      <c r="ASE93" s="3"/>
      <c r="ASF93" s="3"/>
      <c r="ASG93" s="3"/>
      <c r="ASH93" s="3"/>
      <c r="ASI93" s="3"/>
      <c r="ASJ93" s="3"/>
      <c r="ASK93" s="3"/>
      <c r="ASL93" s="3"/>
      <c r="ASM93" s="3"/>
      <c r="ASN93" s="3"/>
      <c r="ASO93" s="3"/>
      <c r="ASP93" s="3"/>
      <c r="ASQ93" s="3"/>
      <c r="ASR93" s="3"/>
      <c r="ASS93" s="3"/>
      <c r="AST93" s="3"/>
      <c r="ASU93" s="3"/>
      <c r="ASV93" s="3"/>
      <c r="ASW93" s="3"/>
      <c r="ASX93" s="3"/>
      <c r="ASY93" s="3"/>
      <c r="ASZ93" s="3"/>
      <c r="ATA93" s="3"/>
      <c r="ATB93" s="3"/>
      <c r="ATC93" s="3"/>
      <c r="ATD93" s="3"/>
      <c r="ATE93" s="3"/>
      <c r="ATF93" s="3"/>
      <c r="ATG93" s="3"/>
      <c r="ATH93" s="3"/>
      <c r="ATI93" s="3"/>
      <c r="ATJ93" s="3"/>
      <c r="ATK93" s="3"/>
      <c r="ATL93" s="3"/>
      <c r="ATM93" s="3"/>
      <c r="ATN93" s="3"/>
      <c r="ATO93" s="3"/>
      <c r="ATP93" s="3"/>
      <c r="ATQ93" s="3"/>
      <c r="ATR93" s="3"/>
      <c r="ATS93" s="3"/>
      <c r="ATT93" s="3"/>
      <c r="ATU93" s="3"/>
      <c r="ATV93" s="3"/>
      <c r="ATW93" s="3"/>
      <c r="ATX93" s="3"/>
      <c r="ATY93" s="3"/>
      <c r="ATZ93" s="3"/>
      <c r="AUA93" s="3"/>
      <c r="AUB93" s="3"/>
      <c r="AUC93" s="3"/>
      <c r="AUD93" s="3"/>
      <c r="AUE93" s="3"/>
      <c r="AUF93" s="3"/>
      <c r="AUG93" s="3"/>
      <c r="AUH93" s="3"/>
      <c r="AUI93" s="3"/>
      <c r="AUJ93" s="3"/>
      <c r="AUK93" s="3"/>
      <c r="AUL93" s="3"/>
      <c r="AUM93" s="3"/>
      <c r="AUN93" s="3"/>
      <c r="AUO93" s="3"/>
      <c r="AUP93" s="3"/>
      <c r="AUQ93" s="3"/>
      <c r="AUR93" s="3"/>
      <c r="AUS93" s="3"/>
      <c r="AUT93" s="3"/>
      <c r="AUU93" s="3"/>
      <c r="AUV93" s="3"/>
      <c r="AUW93" s="3"/>
      <c r="AUX93" s="3"/>
      <c r="AUY93" s="3"/>
      <c r="AUZ93" s="3"/>
      <c r="AVA93" s="3"/>
      <c r="AVB93" s="3"/>
      <c r="AVC93" s="3"/>
      <c r="AVD93" s="3"/>
      <c r="AVE93" s="3"/>
      <c r="AVF93" s="3"/>
      <c r="AVG93" s="3"/>
      <c r="AVH93" s="3"/>
      <c r="AVI93" s="3"/>
      <c r="AVJ93" s="3"/>
      <c r="AVK93" s="3"/>
      <c r="AVL93" s="3"/>
      <c r="AVM93" s="3"/>
      <c r="AVN93" s="3"/>
      <c r="AVO93" s="3"/>
      <c r="AVP93" s="3"/>
      <c r="AVQ93" s="3"/>
      <c r="AVR93" s="3"/>
      <c r="AVS93" s="3"/>
      <c r="AVT93" s="3"/>
      <c r="AVU93" s="3"/>
      <c r="AVV93" s="3"/>
      <c r="AVW93" s="3"/>
      <c r="AVX93" s="3"/>
      <c r="AVY93" s="3"/>
      <c r="AVZ93" s="3"/>
      <c r="AWA93" s="3"/>
      <c r="AWB93" s="3"/>
      <c r="AWC93" s="3"/>
      <c r="AWD93" s="3"/>
      <c r="AWE93" s="3"/>
      <c r="AWF93" s="3"/>
      <c r="AWG93" s="3"/>
      <c r="AWH93" s="3"/>
      <c r="AWI93" s="3"/>
      <c r="AWJ93" s="3"/>
      <c r="AWK93" s="3"/>
      <c r="AWL93" s="3"/>
      <c r="AWM93" s="3"/>
      <c r="AWN93" s="3"/>
      <c r="AWO93" s="3"/>
      <c r="AWP93" s="3"/>
      <c r="AWQ93" s="3"/>
      <c r="AWR93" s="3"/>
      <c r="AWS93" s="3"/>
      <c r="AWT93" s="3"/>
      <c r="AWU93" s="3"/>
      <c r="AWV93" s="3"/>
      <c r="AWW93" s="3"/>
      <c r="AWX93" s="3"/>
      <c r="AWY93" s="3"/>
      <c r="AWZ93" s="3"/>
      <c r="AXA93" s="3"/>
      <c r="AXB93" s="3"/>
      <c r="AXC93" s="3"/>
      <c r="AXD93" s="3"/>
      <c r="AXE93" s="3"/>
      <c r="AXF93" s="3"/>
      <c r="AXG93" s="3"/>
      <c r="AXH93" s="3"/>
      <c r="AXI93" s="3"/>
      <c r="AXJ93" s="3"/>
      <c r="AXK93" s="3"/>
      <c r="AXL93" s="3"/>
      <c r="AXM93" s="3"/>
      <c r="AXN93" s="3"/>
      <c r="AXO93" s="3"/>
      <c r="AXP93" s="3"/>
      <c r="AXQ93" s="3"/>
      <c r="AXR93" s="3"/>
      <c r="AXS93" s="3"/>
      <c r="AXT93" s="3"/>
      <c r="AXU93" s="3"/>
      <c r="AXV93" s="3"/>
      <c r="AXW93" s="3"/>
      <c r="AXX93" s="3"/>
      <c r="AXY93" s="3"/>
      <c r="AXZ93" s="3"/>
      <c r="AYA93" s="3"/>
      <c r="AYB93" s="3"/>
      <c r="AYC93" s="3"/>
      <c r="AYD93" s="3"/>
      <c r="AYE93" s="3"/>
      <c r="AYF93" s="3"/>
      <c r="AYG93" s="3"/>
      <c r="AYH93" s="3"/>
      <c r="AYI93" s="3"/>
      <c r="AYJ93" s="3"/>
      <c r="AYK93" s="3"/>
      <c r="AYL93" s="3"/>
      <c r="AYM93" s="3"/>
      <c r="AYN93" s="3"/>
      <c r="AYO93" s="3"/>
      <c r="AYP93" s="3"/>
      <c r="AYQ93" s="3"/>
      <c r="AYR93" s="3"/>
      <c r="AYS93" s="3"/>
      <c r="AYT93" s="3"/>
      <c r="AYU93" s="3"/>
      <c r="AYV93" s="3"/>
      <c r="AYW93" s="3"/>
      <c r="AYX93" s="3"/>
      <c r="AYY93" s="3"/>
      <c r="AYZ93" s="3"/>
      <c r="AZA93" s="3"/>
      <c r="AZB93" s="3"/>
      <c r="AZC93" s="3"/>
      <c r="AZD93" s="3"/>
      <c r="AZE93" s="3"/>
      <c r="AZF93" s="3"/>
      <c r="AZG93" s="3"/>
      <c r="AZH93" s="3"/>
      <c r="AZI93" s="3"/>
      <c r="AZJ93" s="3"/>
      <c r="AZK93" s="3"/>
      <c r="AZL93" s="3"/>
      <c r="AZM93" s="3"/>
      <c r="AZN93" s="3"/>
      <c r="AZO93" s="3"/>
      <c r="AZP93" s="3"/>
      <c r="AZQ93" s="3"/>
      <c r="AZR93" s="3"/>
      <c r="AZS93" s="3"/>
      <c r="AZT93" s="3"/>
      <c r="AZU93" s="3"/>
      <c r="AZV93" s="3"/>
      <c r="AZW93" s="3"/>
      <c r="AZX93" s="3"/>
      <c r="AZY93" s="3"/>
      <c r="AZZ93" s="3"/>
      <c r="BAA93" s="3"/>
      <c r="BAB93" s="3"/>
      <c r="BAC93" s="3"/>
      <c r="BAD93" s="3"/>
      <c r="BAE93" s="3"/>
      <c r="BAF93" s="3"/>
      <c r="BAG93" s="3"/>
      <c r="BAH93" s="3"/>
      <c r="BAI93" s="3"/>
      <c r="BAJ93" s="3"/>
      <c r="BAK93" s="3"/>
      <c r="BAL93" s="3"/>
      <c r="BAM93" s="3"/>
      <c r="BAN93" s="3"/>
      <c r="BAO93" s="3"/>
      <c r="BAP93" s="3"/>
      <c r="BAQ93" s="3"/>
      <c r="BAR93" s="3"/>
      <c r="BAS93" s="3"/>
      <c r="BAT93" s="3"/>
      <c r="BAU93" s="3"/>
      <c r="BAV93" s="3"/>
      <c r="BAW93" s="3"/>
      <c r="BAX93" s="3"/>
      <c r="BAY93" s="3"/>
      <c r="BAZ93" s="3"/>
      <c r="BBA93" s="3"/>
      <c r="BBB93" s="3"/>
      <c r="BBC93" s="3"/>
      <c r="BBD93" s="3"/>
      <c r="BBE93" s="3"/>
      <c r="BBF93" s="3"/>
      <c r="BBG93" s="3"/>
      <c r="BBH93" s="3"/>
      <c r="BBI93" s="3"/>
      <c r="BBJ93" s="3"/>
      <c r="BBK93" s="3"/>
      <c r="BBL93" s="3"/>
      <c r="BBM93" s="3"/>
      <c r="BBN93" s="3"/>
      <c r="BBO93" s="3"/>
      <c r="BBP93" s="3"/>
      <c r="BBQ93" s="3"/>
      <c r="BBR93" s="3"/>
      <c r="BBS93" s="3"/>
      <c r="BBT93" s="3"/>
      <c r="BBU93" s="3"/>
      <c r="BBV93" s="3"/>
      <c r="BBW93" s="3"/>
      <c r="BBX93" s="3"/>
      <c r="BBY93" s="3"/>
      <c r="BBZ93" s="3"/>
      <c r="BCA93" s="3"/>
      <c r="BCB93" s="3"/>
      <c r="BCC93" s="3"/>
      <c r="BCD93" s="3"/>
      <c r="BCE93" s="3"/>
      <c r="BCF93" s="3"/>
      <c r="BCG93" s="3"/>
      <c r="BCH93" s="3"/>
      <c r="BCI93" s="3"/>
      <c r="BCJ93" s="3"/>
      <c r="BCK93" s="3"/>
      <c r="BCL93" s="3"/>
      <c r="BCM93" s="3"/>
      <c r="BCN93" s="3"/>
      <c r="BCO93" s="3"/>
      <c r="BCP93" s="3"/>
      <c r="BCQ93" s="3"/>
      <c r="BCR93" s="3"/>
      <c r="BCS93" s="3"/>
      <c r="BCT93" s="3"/>
      <c r="BCU93" s="3"/>
      <c r="BCV93" s="3"/>
      <c r="BCW93" s="3"/>
      <c r="BCX93" s="3"/>
      <c r="BCY93" s="3"/>
      <c r="BCZ93" s="3"/>
      <c r="BDA93" s="3"/>
      <c r="BDB93" s="3"/>
      <c r="BDC93" s="3"/>
      <c r="BDD93" s="3"/>
      <c r="BDE93" s="3"/>
      <c r="BDF93" s="3"/>
      <c r="BDG93" s="3"/>
      <c r="BDH93" s="3"/>
      <c r="BDI93" s="3"/>
      <c r="BDJ93" s="3"/>
      <c r="BDK93" s="3"/>
      <c r="BDL93" s="3"/>
      <c r="BDM93" s="3"/>
      <c r="BDN93" s="3"/>
      <c r="BDO93" s="3"/>
      <c r="BDP93" s="3"/>
      <c r="BDQ93" s="3"/>
      <c r="BDR93" s="3"/>
      <c r="BDS93" s="3"/>
      <c r="BDT93" s="3"/>
      <c r="BDU93" s="3"/>
      <c r="BDV93" s="3"/>
      <c r="BDW93" s="3"/>
      <c r="BDX93" s="3"/>
      <c r="BDY93" s="3"/>
      <c r="BDZ93" s="3"/>
      <c r="BEA93" s="3"/>
      <c r="BEB93" s="3"/>
      <c r="BEC93" s="3"/>
      <c r="BED93" s="3"/>
      <c r="BEE93" s="3"/>
      <c r="BEF93" s="3"/>
      <c r="BEG93" s="3"/>
      <c r="BEH93" s="3"/>
      <c r="BEI93" s="3"/>
      <c r="BEJ93" s="3"/>
      <c r="BEK93" s="3"/>
      <c r="BEL93" s="3"/>
      <c r="BEM93" s="3"/>
      <c r="BEN93" s="3"/>
      <c r="BEO93" s="3"/>
      <c r="BEP93" s="3"/>
      <c r="BEQ93" s="3"/>
      <c r="BER93" s="3"/>
      <c r="BES93" s="3"/>
      <c r="BET93" s="3"/>
      <c r="BEU93" s="3"/>
      <c r="BEV93" s="3"/>
      <c r="BEW93" s="3"/>
      <c r="BEX93" s="3"/>
      <c r="BEY93" s="3"/>
      <c r="BEZ93" s="3"/>
      <c r="BFA93" s="3"/>
      <c r="BFB93" s="3"/>
      <c r="BFC93" s="3"/>
      <c r="BFD93" s="3"/>
      <c r="BFE93" s="3"/>
      <c r="BFF93" s="3"/>
      <c r="BFG93" s="3"/>
      <c r="BFH93" s="3"/>
      <c r="BFI93" s="3"/>
      <c r="BFJ93" s="3"/>
      <c r="BFK93" s="3"/>
      <c r="BFL93" s="3"/>
      <c r="BFM93" s="3"/>
      <c r="BFN93" s="3"/>
      <c r="BFO93" s="3"/>
      <c r="BFP93" s="3"/>
      <c r="BFQ93" s="3"/>
      <c r="BFR93" s="3"/>
      <c r="BFS93" s="3"/>
      <c r="BFT93" s="3"/>
      <c r="BFU93" s="3"/>
      <c r="BFV93" s="3"/>
      <c r="BFW93" s="3"/>
      <c r="BFX93" s="3"/>
      <c r="BFY93" s="3"/>
      <c r="BFZ93" s="3"/>
      <c r="BGA93" s="3"/>
      <c r="BGB93" s="3"/>
      <c r="BGC93" s="3"/>
      <c r="BGD93" s="3"/>
      <c r="BGE93" s="3"/>
      <c r="BGF93" s="3"/>
      <c r="BGG93" s="3"/>
      <c r="BGH93" s="3"/>
      <c r="BGI93" s="3"/>
      <c r="BGJ93" s="3"/>
      <c r="BGK93" s="3"/>
      <c r="BGL93" s="3"/>
      <c r="BGM93" s="3"/>
      <c r="BGN93" s="3"/>
      <c r="BGO93" s="3"/>
      <c r="BGP93" s="3"/>
      <c r="BGQ93" s="3"/>
      <c r="BGR93" s="3"/>
      <c r="BGS93" s="3"/>
      <c r="BGT93" s="3"/>
      <c r="BGU93" s="3"/>
      <c r="BGV93" s="3"/>
      <c r="BGW93" s="3"/>
      <c r="BGX93" s="3"/>
      <c r="BGY93" s="3"/>
      <c r="BGZ93" s="3"/>
      <c r="BHA93" s="3"/>
      <c r="BHB93" s="3"/>
      <c r="BHC93" s="3"/>
      <c r="BHD93" s="3"/>
      <c r="BHE93" s="3"/>
      <c r="BHF93" s="3"/>
      <c r="BHG93" s="3"/>
      <c r="BHH93" s="3"/>
      <c r="BHI93" s="3"/>
      <c r="BHJ93" s="3"/>
      <c r="BHK93" s="3"/>
      <c r="BHL93" s="3"/>
      <c r="BHM93" s="3"/>
      <c r="BHN93" s="3"/>
      <c r="BHO93" s="3"/>
      <c r="BHP93" s="3"/>
      <c r="BHQ93" s="3"/>
      <c r="BHR93" s="3"/>
      <c r="BHS93" s="3"/>
      <c r="BHT93" s="3"/>
      <c r="BHU93" s="3"/>
      <c r="BHV93" s="3"/>
      <c r="BHW93" s="3"/>
      <c r="BHX93" s="3"/>
      <c r="BHY93" s="3"/>
      <c r="BHZ93" s="3"/>
      <c r="BIA93" s="3"/>
      <c r="BIB93" s="3"/>
      <c r="BIC93" s="3"/>
      <c r="BID93" s="3"/>
      <c r="BIE93" s="3"/>
      <c r="BIF93" s="3"/>
      <c r="BIG93" s="3"/>
      <c r="BIH93" s="3"/>
      <c r="BII93" s="3"/>
      <c r="BIJ93" s="3"/>
      <c r="BIK93" s="3"/>
      <c r="BIL93" s="3"/>
      <c r="BIM93" s="3"/>
      <c r="BIN93" s="3"/>
      <c r="BIO93" s="3"/>
      <c r="BIP93" s="3"/>
      <c r="BIQ93" s="3"/>
      <c r="BIR93" s="3"/>
      <c r="BIS93" s="3"/>
      <c r="BIT93" s="3"/>
      <c r="BIU93" s="3"/>
      <c r="BIV93" s="3"/>
      <c r="BIW93" s="3"/>
      <c r="BIX93" s="3"/>
      <c r="BIY93" s="3"/>
      <c r="BIZ93" s="3"/>
      <c r="BJA93" s="3"/>
      <c r="BJB93" s="3"/>
      <c r="BJC93" s="3"/>
      <c r="BJD93" s="3"/>
      <c r="BJE93" s="3"/>
      <c r="BJF93" s="3"/>
      <c r="BJG93" s="3"/>
      <c r="BJH93" s="3"/>
      <c r="BJI93" s="3"/>
      <c r="BJJ93" s="3"/>
      <c r="BJK93" s="3"/>
      <c r="BJL93" s="3"/>
      <c r="BJM93" s="3"/>
      <c r="BJN93" s="3"/>
      <c r="BJO93" s="3"/>
      <c r="BJP93" s="3"/>
      <c r="BJQ93" s="3"/>
      <c r="BJR93" s="3"/>
      <c r="BJS93" s="3"/>
      <c r="BJT93" s="3"/>
      <c r="BJU93" s="3"/>
      <c r="BJV93" s="3"/>
      <c r="BJW93" s="3"/>
      <c r="BJX93" s="3"/>
      <c r="BJY93" s="3"/>
      <c r="BJZ93" s="3"/>
      <c r="BKA93" s="3"/>
      <c r="BKB93" s="3"/>
      <c r="BKC93" s="3"/>
      <c r="BKD93" s="3"/>
      <c r="BKE93" s="3"/>
      <c r="BKF93" s="3"/>
      <c r="BKG93" s="3"/>
      <c r="BKH93" s="3"/>
      <c r="BKI93" s="3"/>
      <c r="BKJ93" s="3"/>
      <c r="BKK93" s="3"/>
      <c r="BKL93" s="3"/>
      <c r="BKM93" s="3"/>
      <c r="BKN93" s="3"/>
      <c r="BKO93" s="3"/>
      <c r="BKP93" s="3"/>
      <c r="BKQ93" s="3"/>
      <c r="BKR93" s="3"/>
      <c r="BKS93" s="3"/>
      <c r="BKT93" s="3"/>
      <c r="BKU93" s="3"/>
      <c r="BKV93" s="3"/>
      <c r="BKW93" s="3"/>
      <c r="BKX93" s="3"/>
      <c r="BKY93" s="3"/>
      <c r="BKZ93" s="3"/>
      <c r="BLA93" s="3"/>
      <c r="BLB93" s="3"/>
      <c r="BLC93" s="3"/>
      <c r="BLD93" s="3"/>
      <c r="BLE93" s="3"/>
      <c r="BLF93" s="3"/>
      <c r="BLG93" s="3"/>
      <c r="BLH93" s="3"/>
      <c r="BLI93" s="3"/>
      <c r="BLJ93" s="3"/>
      <c r="BLK93" s="3"/>
      <c r="BLL93" s="3"/>
      <c r="BLM93" s="3"/>
      <c r="BLN93" s="3"/>
      <c r="BLO93" s="3"/>
      <c r="BLP93" s="3"/>
      <c r="BLQ93" s="3"/>
      <c r="BLR93" s="3"/>
      <c r="BLS93" s="3"/>
      <c r="BLT93" s="3"/>
      <c r="BLU93" s="3"/>
      <c r="BLV93" s="3"/>
      <c r="BLW93" s="3"/>
      <c r="BLX93" s="3"/>
      <c r="BLY93" s="3"/>
      <c r="BLZ93" s="3"/>
      <c r="BMA93" s="3"/>
      <c r="BMB93" s="3"/>
      <c r="BMC93" s="3"/>
      <c r="BMD93" s="3"/>
      <c r="BME93" s="3"/>
      <c r="BMF93" s="3"/>
      <c r="BMG93" s="3"/>
      <c r="BMH93" s="3"/>
      <c r="BMI93" s="3"/>
      <c r="BMJ93" s="3"/>
      <c r="BMK93" s="3"/>
      <c r="BML93" s="3"/>
      <c r="BMM93" s="3"/>
      <c r="BMN93" s="3"/>
      <c r="BMO93" s="3"/>
      <c r="BMP93" s="3"/>
      <c r="BMQ93" s="3"/>
      <c r="BMR93" s="3"/>
      <c r="BMS93" s="3"/>
      <c r="BMT93" s="3"/>
      <c r="BMU93" s="3"/>
      <c r="BMV93" s="3"/>
      <c r="BMW93" s="3"/>
      <c r="BMX93" s="3"/>
      <c r="BMY93" s="3"/>
      <c r="BMZ93" s="3"/>
      <c r="BNA93" s="3"/>
      <c r="BNB93" s="3"/>
      <c r="BNC93" s="3"/>
      <c r="BND93" s="3"/>
      <c r="BNE93" s="3"/>
      <c r="BNF93" s="3"/>
      <c r="BNG93" s="3"/>
      <c r="BNH93" s="3"/>
      <c r="BNI93" s="3"/>
      <c r="BNJ93" s="3"/>
      <c r="BNK93" s="3"/>
      <c r="BNL93" s="3"/>
      <c r="BNM93" s="3"/>
      <c r="BNN93" s="3"/>
      <c r="BNO93" s="3"/>
      <c r="BNP93" s="3"/>
      <c r="BNQ93" s="3"/>
      <c r="BNR93" s="3"/>
      <c r="BNS93" s="3"/>
      <c r="BNT93" s="3"/>
      <c r="BNU93" s="3"/>
      <c r="BNV93" s="3"/>
      <c r="BNW93" s="3"/>
      <c r="BNX93" s="3"/>
      <c r="BNY93" s="3"/>
      <c r="BNZ93" s="3"/>
      <c r="BOA93" s="3"/>
      <c r="BOB93" s="3"/>
      <c r="BOC93" s="3"/>
      <c r="BOD93" s="3"/>
      <c r="BOE93" s="3"/>
      <c r="BOF93" s="3"/>
      <c r="BOG93" s="3"/>
      <c r="BOH93" s="3"/>
      <c r="BOI93" s="3"/>
      <c r="BOJ93" s="3"/>
      <c r="BOK93" s="3"/>
      <c r="BOL93" s="3"/>
      <c r="BOM93" s="3"/>
      <c r="BON93" s="3"/>
      <c r="BOO93" s="3"/>
      <c r="BOP93" s="3"/>
      <c r="BOQ93" s="3"/>
      <c r="BOR93" s="3"/>
      <c r="BOS93" s="3"/>
      <c r="BOT93" s="3"/>
      <c r="BOU93" s="3"/>
      <c r="BOV93" s="3"/>
      <c r="BOW93" s="3"/>
      <c r="BOX93" s="3"/>
      <c r="BOY93" s="3"/>
      <c r="BOZ93" s="3"/>
      <c r="BPA93" s="3"/>
      <c r="BPB93" s="3"/>
      <c r="BPC93" s="3"/>
      <c r="BPD93" s="3"/>
      <c r="BPE93" s="3"/>
      <c r="BPF93" s="3"/>
      <c r="BPG93" s="3"/>
      <c r="BPH93" s="3"/>
      <c r="BPI93" s="3"/>
      <c r="BPJ93" s="3"/>
      <c r="BPK93" s="3"/>
      <c r="BPL93" s="3"/>
      <c r="BPM93" s="3"/>
      <c r="BPN93" s="3"/>
      <c r="BPO93" s="3"/>
      <c r="BPP93" s="3"/>
      <c r="BPQ93" s="3"/>
      <c r="BPR93" s="3"/>
      <c r="BPS93" s="3"/>
      <c r="BPT93" s="3"/>
      <c r="BPU93" s="3"/>
      <c r="BPV93" s="3"/>
      <c r="BPW93" s="3"/>
      <c r="BPX93" s="3"/>
      <c r="BPY93" s="3"/>
      <c r="BPZ93" s="3"/>
      <c r="BQA93" s="3"/>
      <c r="BQB93" s="3"/>
      <c r="BQC93" s="3"/>
      <c r="BQD93" s="3"/>
      <c r="BQE93" s="3"/>
      <c r="BQF93" s="3"/>
      <c r="BQG93" s="3"/>
      <c r="BQH93" s="3"/>
      <c r="BQI93" s="3"/>
      <c r="BQJ93" s="3"/>
      <c r="BQK93" s="3"/>
      <c r="BQL93" s="3"/>
      <c r="BQM93" s="3"/>
      <c r="BQN93" s="3"/>
      <c r="BQO93" s="3"/>
      <c r="BQP93" s="3"/>
      <c r="BQQ93" s="3"/>
      <c r="BQR93" s="3"/>
      <c r="BQS93" s="3"/>
      <c r="BQT93" s="3"/>
      <c r="BQU93" s="3"/>
      <c r="BQV93" s="3"/>
      <c r="BQW93" s="3"/>
      <c r="BQX93" s="3"/>
      <c r="BQY93" s="3"/>
      <c r="BQZ93" s="3"/>
      <c r="BRA93" s="3"/>
      <c r="BRB93" s="3"/>
      <c r="BRC93" s="3"/>
      <c r="BRD93" s="3"/>
      <c r="BRE93" s="3"/>
      <c r="BRF93" s="3"/>
      <c r="BRG93" s="3"/>
      <c r="BRH93" s="3"/>
      <c r="BRI93" s="3"/>
      <c r="BRJ93" s="3"/>
      <c r="BRK93" s="3"/>
      <c r="BRL93" s="3"/>
      <c r="BRM93" s="3"/>
      <c r="BRN93" s="3"/>
      <c r="BRO93" s="3"/>
      <c r="BRP93" s="3"/>
      <c r="BRQ93" s="3"/>
      <c r="BRR93" s="3"/>
      <c r="BRS93" s="3"/>
      <c r="BRT93" s="3"/>
      <c r="BRU93" s="3"/>
      <c r="BRV93" s="3"/>
      <c r="BRW93" s="3"/>
      <c r="BRX93" s="3"/>
      <c r="BRY93" s="3"/>
      <c r="BRZ93" s="3"/>
      <c r="BSA93" s="3"/>
      <c r="BSB93" s="3"/>
      <c r="BSC93" s="3"/>
      <c r="BSD93" s="3"/>
      <c r="BSE93" s="3"/>
      <c r="BSF93" s="3"/>
      <c r="BSG93" s="3"/>
      <c r="BSH93" s="3"/>
      <c r="BSI93" s="3"/>
      <c r="BSJ93" s="3"/>
      <c r="BSK93" s="3"/>
      <c r="BSL93" s="3"/>
      <c r="BSM93" s="3"/>
      <c r="BSN93" s="3"/>
      <c r="BSO93" s="3"/>
      <c r="BSP93" s="3"/>
      <c r="BSQ93" s="3"/>
      <c r="BSR93" s="3"/>
      <c r="BSS93" s="3"/>
      <c r="BST93" s="3"/>
      <c r="BSU93" s="3"/>
      <c r="BSV93" s="3"/>
      <c r="BSW93" s="3"/>
      <c r="BSX93" s="3"/>
      <c r="BSY93" s="3"/>
      <c r="BSZ93" s="3"/>
      <c r="BTA93" s="3"/>
      <c r="BTB93" s="3"/>
      <c r="BTC93" s="3"/>
      <c r="BTD93" s="3"/>
      <c r="BTE93" s="3"/>
      <c r="BTF93" s="3"/>
      <c r="BTG93" s="3"/>
      <c r="BTH93" s="3"/>
      <c r="BTI93" s="3"/>
      <c r="BTJ93" s="3"/>
      <c r="BTK93" s="3"/>
      <c r="BTL93" s="3"/>
      <c r="BTM93" s="3"/>
      <c r="BTN93" s="3"/>
      <c r="BTO93" s="3"/>
      <c r="BTP93" s="3"/>
      <c r="BTQ93" s="3"/>
      <c r="BTR93" s="3"/>
      <c r="BTS93" s="3"/>
      <c r="BTT93" s="3"/>
      <c r="BTU93" s="3"/>
      <c r="BTV93" s="3"/>
      <c r="BTW93" s="3"/>
      <c r="BTX93" s="3"/>
      <c r="BTY93" s="3"/>
      <c r="BTZ93" s="3"/>
      <c r="BUA93" s="3"/>
      <c r="BUB93" s="3"/>
      <c r="BUC93" s="3"/>
      <c r="BUD93" s="3"/>
      <c r="BUE93" s="3"/>
      <c r="BUF93" s="3"/>
      <c r="BUG93" s="3"/>
      <c r="BUH93" s="3"/>
      <c r="BUI93" s="3"/>
      <c r="BUJ93" s="3"/>
      <c r="BUK93" s="3"/>
      <c r="BUL93" s="3"/>
      <c r="BUM93" s="3"/>
      <c r="BUN93" s="3"/>
      <c r="BUO93" s="3"/>
      <c r="BUP93" s="3"/>
      <c r="BUQ93" s="3"/>
      <c r="BUR93" s="3"/>
      <c r="BUS93" s="3"/>
      <c r="BUT93" s="3"/>
      <c r="BUU93" s="3"/>
      <c r="BUV93" s="3"/>
      <c r="BUW93" s="3"/>
      <c r="BUX93" s="3"/>
      <c r="BUY93" s="3"/>
      <c r="BUZ93" s="3"/>
      <c r="BVA93" s="3"/>
      <c r="BVB93" s="3"/>
      <c r="BVC93" s="3"/>
      <c r="BVD93" s="3"/>
      <c r="BVE93" s="3"/>
      <c r="BVF93" s="3"/>
      <c r="BVG93" s="3"/>
      <c r="BVH93" s="3"/>
      <c r="BVI93" s="3"/>
      <c r="BVJ93" s="3"/>
      <c r="BVK93" s="3"/>
      <c r="BVL93" s="3"/>
      <c r="BVM93" s="3"/>
      <c r="BVN93" s="3"/>
      <c r="BVO93" s="3"/>
      <c r="BVP93" s="3"/>
      <c r="BVQ93" s="3"/>
      <c r="BVR93" s="3"/>
      <c r="BVS93" s="3"/>
      <c r="BVT93" s="3"/>
      <c r="BVU93" s="3"/>
      <c r="BVV93" s="3"/>
      <c r="BVW93" s="3"/>
      <c r="BVX93" s="3"/>
      <c r="BVY93" s="3"/>
      <c r="BVZ93" s="3"/>
      <c r="BWA93" s="3"/>
      <c r="BWB93" s="3"/>
      <c r="BWC93" s="3"/>
      <c r="BWD93" s="3"/>
      <c r="BWE93" s="3"/>
      <c r="BWF93" s="3"/>
      <c r="BWG93" s="3"/>
      <c r="BWH93" s="3"/>
      <c r="BWI93" s="3"/>
      <c r="BWJ93" s="3"/>
      <c r="BWK93" s="3"/>
      <c r="BWL93" s="3"/>
      <c r="BWM93" s="3"/>
      <c r="BWN93" s="3"/>
      <c r="BWO93" s="3"/>
      <c r="BWP93" s="3"/>
      <c r="BWQ93" s="3"/>
      <c r="BWR93" s="3"/>
      <c r="BWS93" s="3"/>
      <c r="BWT93" s="3"/>
      <c r="BWU93" s="3"/>
      <c r="BWV93" s="3"/>
      <c r="BWW93" s="3"/>
      <c r="BWX93" s="3"/>
      <c r="BWY93" s="3"/>
      <c r="BWZ93" s="3"/>
      <c r="BXA93" s="3"/>
      <c r="BXB93" s="3"/>
      <c r="BXC93" s="3"/>
      <c r="BXD93" s="3"/>
      <c r="BXE93" s="3"/>
      <c r="BXF93" s="3"/>
      <c r="BXG93" s="3"/>
      <c r="BXH93" s="3"/>
      <c r="BXI93" s="3"/>
      <c r="BXJ93" s="3"/>
      <c r="BXK93" s="3"/>
      <c r="BXL93" s="3"/>
      <c r="BXM93" s="3"/>
      <c r="BXN93" s="3"/>
      <c r="BXO93" s="3"/>
      <c r="BXP93" s="3"/>
      <c r="BXQ93" s="3"/>
      <c r="BXR93" s="3"/>
      <c r="BXS93" s="3"/>
      <c r="BXT93" s="3"/>
      <c r="BXU93" s="3"/>
      <c r="BXV93" s="3"/>
      <c r="BXW93" s="3"/>
      <c r="BXX93" s="3"/>
      <c r="BXY93" s="3"/>
      <c r="BXZ93" s="3"/>
      <c r="BYA93" s="3"/>
      <c r="BYB93" s="3"/>
      <c r="BYC93" s="3"/>
      <c r="BYD93" s="3"/>
      <c r="BYE93" s="3"/>
      <c r="BYF93" s="3"/>
      <c r="BYG93" s="3"/>
      <c r="BYH93" s="3"/>
      <c r="BYI93" s="3"/>
      <c r="BYJ93" s="3"/>
      <c r="BYK93" s="3"/>
      <c r="BYL93" s="3"/>
      <c r="BYM93" s="3"/>
      <c r="BYN93" s="3"/>
      <c r="BYO93" s="3"/>
      <c r="BYP93" s="3"/>
      <c r="BYQ93" s="3"/>
      <c r="BYR93" s="3"/>
      <c r="BYS93" s="3"/>
      <c r="BYT93" s="3"/>
      <c r="BYU93" s="3"/>
      <c r="BYV93" s="3"/>
      <c r="BYW93" s="3"/>
      <c r="BYX93" s="3"/>
      <c r="BYY93" s="3"/>
      <c r="BYZ93" s="3"/>
      <c r="BZA93" s="3"/>
      <c r="BZB93" s="3"/>
      <c r="BZC93" s="3"/>
      <c r="BZD93" s="3"/>
      <c r="BZE93" s="3"/>
      <c r="BZF93" s="3"/>
      <c r="BZG93" s="3"/>
      <c r="BZH93" s="3"/>
      <c r="BZI93" s="3"/>
      <c r="BZJ93" s="3"/>
      <c r="BZK93" s="3"/>
      <c r="BZL93" s="3"/>
      <c r="BZM93" s="3"/>
      <c r="BZN93" s="3"/>
      <c r="BZO93" s="3"/>
      <c r="BZP93" s="3"/>
      <c r="BZQ93" s="3"/>
      <c r="BZR93" s="3"/>
      <c r="BZS93" s="3"/>
      <c r="BZT93" s="3"/>
      <c r="BZU93" s="3"/>
      <c r="BZV93" s="3"/>
      <c r="BZW93" s="3"/>
      <c r="BZX93" s="3"/>
      <c r="BZY93" s="3"/>
      <c r="BZZ93" s="3"/>
      <c r="CAA93" s="3"/>
      <c r="CAB93" s="3"/>
      <c r="CAC93" s="3"/>
      <c r="CAD93" s="3"/>
      <c r="CAE93" s="3"/>
      <c r="CAF93" s="3"/>
      <c r="CAG93" s="3"/>
      <c r="CAH93" s="3"/>
      <c r="CAI93" s="3"/>
      <c r="CAJ93" s="3"/>
      <c r="CAK93" s="3"/>
      <c r="CAL93" s="3"/>
      <c r="CAM93" s="3"/>
      <c r="CAN93" s="3"/>
      <c r="CAO93" s="3"/>
      <c r="CAP93" s="3"/>
      <c r="CAQ93" s="3"/>
      <c r="CAR93" s="3"/>
      <c r="CAS93" s="3"/>
      <c r="CAT93" s="3"/>
      <c r="CAU93" s="3"/>
      <c r="CAV93" s="3"/>
      <c r="CAW93" s="3"/>
      <c r="CAX93" s="3"/>
      <c r="CAY93" s="3"/>
      <c r="CAZ93" s="3"/>
      <c r="CBA93" s="3"/>
      <c r="CBB93" s="3"/>
      <c r="CBC93" s="3"/>
      <c r="CBD93" s="3"/>
      <c r="CBE93" s="3"/>
      <c r="CBF93" s="3"/>
      <c r="CBG93" s="3"/>
      <c r="CBH93" s="3"/>
      <c r="CBI93" s="3"/>
      <c r="CBJ93" s="3"/>
      <c r="CBK93" s="3"/>
      <c r="CBL93" s="3"/>
      <c r="CBM93" s="3"/>
      <c r="CBN93" s="3"/>
      <c r="CBO93" s="3"/>
      <c r="CBP93" s="3"/>
      <c r="CBQ93" s="3"/>
      <c r="CBR93" s="3"/>
      <c r="CBS93" s="3"/>
      <c r="CBT93" s="3"/>
      <c r="CBU93" s="3"/>
      <c r="CBV93" s="3"/>
      <c r="CBW93" s="3"/>
      <c r="CBX93" s="3"/>
      <c r="CBY93" s="3"/>
      <c r="CBZ93" s="3"/>
      <c r="CCA93" s="3"/>
      <c r="CCB93" s="3"/>
      <c r="CCC93" s="3"/>
      <c r="CCD93" s="3"/>
      <c r="CCE93" s="3"/>
      <c r="CCF93" s="3"/>
      <c r="CCG93" s="3"/>
      <c r="CCH93" s="3"/>
      <c r="CCI93" s="3"/>
      <c r="CCJ93" s="3"/>
      <c r="CCK93" s="3"/>
      <c r="CCL93" s="3"/>
      <c r="CCM93" s="3"/>
      <c r="CCN93" s="3"/>
      <c r="CCO93" s="3"/>
      <c r="CCP93" s="3"/>
      <c r="CCQ93" s="3"/>
      <c r="CCR93" s="3"/>
      <c r="CCS93" s="3"/>
      <c r="CCT93" s="3"/>
      <c r="CCU93" s="3"/>
      <c r="CCV93" s="3"/>
      <c r="CCW93" s="3"/>
      <c r="CCX93" s="3"/>
      <c r="CCY93" s="3"/>
      <c r="CCZ93" s="3"/>
      <c r="CDA93" s="3"/>
      <c r="CDB93" s="3"/>
      <c r="CDC93" s="3"/>
      <c r="CDD93" s="3"/>
      <c r="CDE93" s="3"/>
      <c r="CDF93" s="3"/>
      <c r="CDG93" s="3"/>
      <c r="CDH93" s="3"/>
      <c r="CDI93" s="3"/>
      <c r="CDJ93" s="3"/>
      <c r="CDK93" s="3"/>
      <c r="CDL93" s="3"/>
      <c r="CDM93" s="3"/>
      <c r="CDN93" s="3"/>
      <c r="CDO93" s="3"/>
      <c r="CDP93" s="3"/>
      <c r="CDQ93" s="3"/>
      <c r="CDR93" s="3"/>
      <c r="CDS93" s="3"/>
      <c r="CDT93" s="3"/>
      <c r="CDU93" s="3"/>
      <c r="CDV93" s="3"/>
      <c r="CDW93" s="3"/>
      <c r="CDX93" s="3"/>
      <c r="CDY93" s="3"/>
      <c r="CDZ93" s="3"/>
      <c r="CEA93" s="3"/>
      <c r="CEB93" s="3"/>
      <c r="CEC93" s="3"/>
      <c r="CED93" s="3"/>
      <c r="CEE93" s="3"/>
      <c r="CEF93" s="3"/>
      <c r="CEG93" s="3"/>
      <c r="CEH93" s="3"/>
      <c r="CEI93" s="3"/>
      <c r="CEJ93" s="3"/>
      <c r="CEK93" s="3"/>
      <c r="CEL93" s="3"/>
      <c r="CEM93" s="3"/>
      <c r="CEN93" s="3"/>
      <c r="CEO93" s="3"/>
      <c r="CEP93" s="3"/>
      <c r="CEQ93" s="3"/>
      <c r="CER93" s="3"/>
      <c r="CES93" s="3"/>
      <c r="CET93" s="3"/>
      <c r="CEU93" s="3"/>
      <c r="CEV93" s="3"/>
      <c r="CEW93" s="3"/>
      <c r="CEX93" s="3"/>
      <c r="CEY93" s="3"/>
      <c r="CEZ93" s="3"/>
      <c r="CFA93" s="3"/>
      <c r="CFB93" s="3"/>
      <c r="CFC93" s="3"/>
      <c r="CFD93" s="3"/>
      <c r="CFE93" s="3"/>
      <c r="CFF93" s="3"/>
      <c r="CFG93" s="3"/>
      <c r="CFH93" s="3"/>
      <c r="CFI93" s="3"/>
      <c r="CFJ93" s="3"/>
      <c r="CFK93" s="3"/>
      <c r="CFL93" s="3"/>
      <c r="CFM93" s="3"/>
      <c r="CFN93" s="3"/>
      <c r="CFO93" s="3"/>
      <c r="CFP93" s="3"/>
      <c r="CFQ93" s="3"/>
      <c r="CFR93" s="3"/>
      <c r="CFS93" s="3"/>
      <c r="CFT93" s="3"/>
      <c r="CFU93" s="3"/>
      <c r="CFV93" s="3"/>
      <c r="CFW93" s="3"/>
      <c r="CFX93" s="3"/>
      <c r="CFY93" s="3"/>
      <c r="CFZ93" s="3"/>
      <c r="CGA93" s="3"/>
      <c r="CGB93" s="3"/>
      <c r="CGC93" s="3"/>
      <c r="CGD93" s="3"/>
      <c r="CGE93" s="3"/>
      <c r="CGF93" s="3"/>
      <c r="CGG93" s="3"/>
      <c r="CGH93" s="3"/>
      <c r="CGI93" s="3"/>
      <c r="CGJ93" s="3"/>
      <c r="CGK93" s="3"/>
      <c r="CGL93" s="3"/>
      <c r="CGM93" s="3"/>
      <c r="CGN93" s="3"/>
      <c r="CGO93" s="3"/>
      <c r="CGP93" s="3"/>
      <c r="CGQ93" s="3"/>
      <c r="CGR93" s="3"/>
      <c r="CGS93" s="3"/>
      <c r="CGT93" s="3"/>
      <c r="CGU93" s="3"/>
      <c r="CGV93" s="3"/>
      <c r="CGW93" s="3"/>
      <c r="CGX93" s="3"/>
      <c r="CGY93" s="3"/>
      <c r="CGZ93" s="3"/>
      <c r="CHA93" s="3"/>
      <c r="CHB93" s="3"/>
      <c r="CHC93" s="3"/>
      <c r="CHD93" s="3"/>
      <c r="CHE93" s="3"/>
      <c r="CHF93" s="3"/>
      <c r="CHG93" s="3"/>
      <c r="CHH93" s="3"/>
      <c r="CHI93" s="3"/>
      <c r="CHJ93" s="3"/>
      <c r="CHK93" s="3"/>
      <c r="CHL93" s="3"/>
      <c r="CHM93" s="3"/>
      <c r="CHN93" s="3"/>
      <c r="CHO93" s="3"/>
      <c r="CHP93" s="3"/>
      <c r="CHQ93" s="3"/>
      <c r="CHR93" s="3"/>
      <c r="CHS93" s="3"/>
      <c r="CHT93" s="3"/>
      <c r="CHU93" s="3"/>
      <c r="CHV93" s="3"/>
      <c r="CHW93" s="3"/>
      <c r="CHX93" s="3"/>
      <c r="CHY93" s="3"/>
      <c r="CHZ93" s="3"/>
      <c r="CIA93" s="3"/>
      <c r="CIB93" s="3"/>
      <c r="CIC93" s="3"/>
      <c r="CID93" s="3"/>
      <c r="CIE93" s="3"/>
      <c r="CIF93" s="3"/>
      <c r="CIG93" s="3"/>
      <c r="CIH93" s="3"/>
      <c r="CII93" s="3"/>
      <c r="CIJ93" s="3"/>
      <c r="CIK93" s="3"/>
      <c r="CIL93" s="3"/>
      <c r="CIM93" s="3"/>
      <c r="CIN93" s="3"/>
      <c r="CIO93" s="3"/>
      <c r="CIP93" s="3"/>
      <c r="CIQ93" s="3"/>
      <c r="CIR93" s="3"/>
      <c r="CIS93" s="3"/>
      <c r="CIT93" s="3"/>
      <c r="CIU93" s="3"/>
      <c r="CIV93" s="3"/>
      <c r="CIW93" s="3"/>
      <c r="CIX93" s="3"/>
      <c r="CIY93" s="3"/>
      <c r="CIZ93" s="3"/>
      <c r="CJA93" s="3"/>
      <c r="CJB93" s="3"/>
      <c r="CJC93" s="3"/>
      <c r="CJD93" s="3"/>
      <c r="CJE93" s="3"/>
      <c r="CJF93" s="3"/>
      <c r="CJG93" s="3"/>
      <c r="CJH93" s="3"/>
      <c r="CJI93" s="3"/>
      <c r="CJJ93" s="3"/>
      <c r="CJK93" s="3"/>
      <c r="CJL93" s="3"/>
      <c r="CJM93" s="3"/>
      <c r="CJN93" s="3"/>
      <c r="CJO93" s="3"/>
      <c r="CJP93" s="3"/>
      <c r="CJQ93" s="3"/>
      <c r="CJR93" s="3"/>
      <c r="CJS93" s="3"/>
      <c r="CJT93" s="3"/>
      <c r="CJU93" s="3"/>
      <c r="CJV93" s="3"/>
      <c r="CJW93" s="3"/>
      <c r="CJX93" s="3"/>
      <c r="CJY93" s="3"/>
      <c r="CJZ93" s="3"/>
      <c r="CKA93" s="3"/>
      <c r="CKB93" s="3"/>
      <c r="CKC93" s="3"/>
      <c r="CKD93" s="3"/>
      <c r="CKE93" s="3"/>
      <c r="CKF93" s="3"/>
      <c r="CKG93" s="3"/>
      <c r="CKH93" s="3"/>
      <c r="CKI93" s="3"/>
      <c r="CKJ93" s="3"/>
      <c r="CKK93" s="3"/>
      <c r="CKL93" s="3"/>
      <c r="CKM93" s="3"/>
      <c r="CKN93" s="3"/>
      <c r="CKO93" s="3"/>
      <c r="CKP93" s="3"/>
      <c r="CKQ93" s="3"/>
      <c r="CKR93" s="3"/>
      <c r="CKS93" s="3"/>
      <c r="CKT93" s="3"/>
      <c r="CKU93" s="3"/>
      <c r="CKV93" s="3"/>
      <c r="CKW93" s="3"/>
      <c r="CKX93" s="3"/>
      <c r="CKY93" s="3"/>
      <c r="CKZ93" s="3"/>
      <c r="CLA93" s="3"/>
      <c r="CLB93" s="3"/>
      <c r="CLC93" s="3"/>
      <c r="CLD93" s="3"/>
      <c r="CLE93" s="3"/>
      <c r="CLF93" s="3"/>
      <c r="CLG93" s="3"/>
      <c r="CLH93" s="3"/>
      <c r="CLI93" s="3"/>
      <c r="CLJ93" s="3"/>
      <c r="CLK93" s="3"/>
      <c r="CLL93" s="3"/>
      <c r="CLM93" s="3"/>
      <c r="CLN93" s="3"/>
      <c r="CLO93" s="3"/>
      <c r="CLP93" s="3"/>
      <c r="CLQ93" s="3"/>
      <c r="CLR93" s="3"/>
      <c r="CLS93" s="3"/>
      <c r="CLT93" s="3"/>
      <c r="CLU93" s="3"/>
      <c r="CLV93" s="3"/>
      <c r="CLW93" s="3"/>
      <c r="CLX93" s="3"/>
      <c r="CLY93" s="3"/>
      <c r="CLZ93" s="3"/>
      <c r="CMA93" s="3"/>
      <c r="CMB93" s="3"/>
      <c r="CMC93" s="3"/>
      <c r="CMD93" s="3"/>
      <c r="CME93" s="3"/>
      <c r="CMF93" s="3"/>
      <c r="CMG93" s="3"/>
      <c r="CMH93" s="3"/>
      <c r="CMI93" s="3"/>
      <c r="CMJ93" s="3"/>
      <c r="CMK93" s="3"/>
      <c r="CML93" s="3"/>
      <c r="CMM93" s="3"/>
      <c r="CMN93" s="3"/>
      <c r="CMO93" s="3"/>
      <c r="CMP93" s="3"/>
      <c r="CMQ93" s="3"/>
      <c r="CMR93" s="3"/>
      <c r="CMS93" s="3"/>
      <c r="CMT93" s="3"/>
      <c r="CMU93" s="3"/>
      <c r="CMV93" s="3"/>
      <c r="CMW93" s="3"/>
      <c r="CMX93" s="3"/>
      <c r="CMY93" s="3"/>
      <c r="CMZ93" s="3"/>
      <c r="CNA93" s="3"/>
      <c r="CNB93" s="3"/>
      <c r="CNC93" s="3"/>
      <c r="CND93" s="3"/>
      <c r="CNE93" s="3"/>
      <c r="CNF93" s="3"/>
      <c r="CNG93" s="3"/>
      <c r="CNH93" s="3"/>
      <c r="CNI93" s="3"/>
      <c r="CNJ93" s="3"/>
      <c r="CNK93" s="3"/>
      <c r="CNL93" s="3"/>
      <c r="CNM93" s="3"/>
      <c r="CNN93" s="3"/>
      <c r="CNO93" s="3"/>
      <c r="CNP93" s="3"/>
      <c r="CNQ93" s="3"/>
      <c r="CNR93" s="3"/>
      <c r="CNS93" s="3"/>
      <c r="CNT93" s="3"/>
      <c r="CNU93" s="3"/>
      <c r="CNV93" s="3"/>
      <c r="CNW93" s="3"/>
      <c r="CNX93" s="3"/>
      <c r="CNY93" s="3"/>
      <c r="CNZ93" s="3"/>
      <c r="COA93" s="3"/>
      <c r="COB93" s="3"/>
      <c r="COC93" s="3"/>
      <c r="COD93" s="3"/>
      <c r="COE93" s="3"/>
      <c r="COF93" s="3"/>
      <c r="COG93" s="3"/>
      <c r="COH93" s="3"/>
      <c r="COI93" s="3"/>
      <c r="COJ93" s="3"/>
      <c r="COK93" s="3"/>
      <c r="COL93" s="3"/>
      <c r="COM93" s="3"/>
      <c r="CON93" s="3"/>
      <c r="COO93" s="3"/>
      <c r="COP93" s="3"/>
      <c r="COQ93" s="3"/>
      <c r="COR93" s="3"/>
      <c r="COS93" s="3"/>
      <c r="COT93" s="3"/>
      <c r="COU93" s="3"/>
      <c r="COV93" s="3"/>
      <c r="COW93" s="3"/>
      <c r="COX93" s="3"/>
      <c r="COY93" s="3"/>
      <c r="COZ93" s="3"/>
      <c r="CPA93" s="3"/>
      <c r="CPB93" s="3"/>
      <c r="CPC93" s="3"/>
      <c r="CPD93" s="3"/>
      <c r="CPE93" s="3"/>
      <c r="CPF93" s="3"/>
      <c r="CPG93" s="3"/>
      <c r="CPH93" s="3"/>
      <c r="CPI93" s="3"/>
      <c r="CPJ93" s="3"/>
      <c r="CPK93" s="3"/>
      <c r="CPL93" s="3"/>
      <c r="CPM93" s="3"/>
      <c r="CPN93" s="3"/>
      <c r="CPO93" s="3"/>
      <c r="CPP93" s="3"/>
      <c r="CPQ93" s="3"/>
      <c r="CPR93" s="3"/>
      <c r="CPS93" s="3"/>
      <c r="CPT93" s="3"/>
      <c r="CPU93" s="3"/>
      <c r="CPV93" s="3"/>
      <c r="CPW93" s="3"/>
      <c r="CPX93" s="3"/>
      <c r="CPY93" s="3"/>
      <c r="CPZ93" s="3"/>
      <c r="CQA93" s="3"/>
      <c r="CQB93" s="3"/>
      <c r="CQC93" s="3"/>
      <c r="CQD93" s="3"/>
      <c r="CQE93" s="3"/>
      <c r="CQF93" s="3"/>
      <c r="CQG93" s="3"/>
      <c r="CQH93" s="3"/>
      <c r="CQI93" s="3"/>
      <c r="CQJ93" s="3"/>
      <c r="CQK93" s="3"/>
      <c r="CQL93" s="3"/>
      <c r="CQM93" s="3"/>
      <c r="CQN93" s="3"/>
      <c r="CQO93" s="3"/>
      <c r="CQP93" s="3"/>
      <c r="CQQ93" s="3"/>
      <c r="CQR93" s="3"/>
      <c r="CQS93" s="3"/>
      <c r="CQT93" s="3"/>
      <c r="CQU93" s="3"/>
      <c r="CQV93" s="3"/>
      <c r="CQW93" s="3"/>
      <c r="CQX93" s="3"/>
      <c r="CQY93" s="3"/>
      <c r="CQZ93" s="3"/>
      <c r="CRA93" s="3"/>
      <c r="CRB93" s="3"/>
      <c r="CRC93" s="3"/>
      <c r="CRD93" s="3"/>
      <c r="CRE93" s="3"/>
      <c r="CRF93" s="3"/>
      <c r="CRG93" s="3"/>
      <c r="CRH93" s="3"/>
      <c r="CRI93" s="3"/>
      <c r="CRJ93" s="3"/>
      <c r="CRK93" s="3"/>
      <c r="CRL93" s="3"/>
      <c r="CRM93" s="3"/>
      <c r="CRN93" s="3"/>
      <c r="CRO93" s="3"/>
      <c r="CRP93" s="3"/>
      <c r="CRQ93" s="3"/>
      <c r="CRR93" s="3"/>
      <c r="CRS93" s="3"/>
      <c r="CRT93" s="3"/>
      <c r="CRU93" s="3"/>
      <c r="CRV93" s="3"/>
      <c r="CRW93" s="3"/>
      <c r="CRX93" s="3"/>
      <c r="CRY93" s="3"/>
      <c r="CRZ93" s="3"/>
      <c r="CSA93" s="3"/>
      <c r="CSB93" s="3"/>
      <c r="CSC93" s="3"/>
      <c r="CSD93" s="3"/>
      <c r="CSE93" s="3"/>
      <c r="CSF93" s="3"/>
      <c r="CSG93" s="3"/>
      <c r="CSH93" s="3"/>
      <c r="CSI93" s="3"/>
      <c r="CSJ93" s="3"/>
      <c r="CSK93" s="3"/>
      <c r="CSL93" s="3"/>
      <c r="CSM93" s="3"/>
      <c r="CSN93" s="3"/>
      <c r="CSO93" s="3"/>
      <c r="CSP93" s="3"/>
      <c r="CSQ93" s="3"/>
      <c r="CSR93" s="3"/>
      <c r="CSS93" s="3"/>
      <c r="CST93" s="3"/>
      <c r="CSU93" s="3"/>
      <c r="CSV93" s="3"/>
      <c r="CSW93" s="3"/>
      <c r="CSX93" s="3"/>
      <c r="CSY93" s="3"/>
      <c r="CSZ93" s="3"/>
      <c r="CTA93" s="3"/>
      <c r="CTB93" s="3"/>
      <c r="CTC93" s="3"/>
      <c r="CTD93" s="3"/>
      <c r="CTE93" s="3"/>
      <c r="CTF93" s="3"/>
      <c r="CTG93" s="3"/>
      <c r="CTH93" s="3"/>
      <c r="CTI93" s="3"/>
      <c r="CTJ93" s="3"/>
      <c r="CTK93" s="3"/>
      <c r="CTL93" s="3"/>
      <c r="CTM93" s="3"/>
      <c r="CTN93" s="3"/>
      <c r="CTO93" s="3"/>
      <c r="CTP93" s="3"/>
      <c r="CTQ93" s="3"/>
      <c r="CTR93" s="3"/>
      <c r="CTS93" s="3"/>
      <c r="CTT93" s="3"/>
      <c r="CTU93" s="3"/>
      <c r="CTV93" s="3"/>
      <c r="CTW93" s="3"/>
      <c r="CTX93" s="3"/>
      <c r="CTY93" s="3"/>
      <c r="CTZ93" s="3"/>
      <c r="CUA93" s="3"/>
      <c r="CUB93" s="3"/>
      <c r="CUC93" s="3"/>
      <c r="CUD93" s="3"/>
      <c r="CUE93" s="3"/>
      <c r="CUF93" s="3"/>
      <c r="CUG93" s="3"/>
      <c r="CUH93" s="3"/>
      <c r="CUI93" s="3"/>
      <c r="CUJ93" s="3"/>
      <c r="CUK93" s="3"/>
      <c r="CUL93" s="3"/>
      <c r="CUM93" s="3"/>
      <c r="CUN93" s="3"/>
      <c r="CUO93" s="3"/>
      <c r="CUP93" s="3"/>
      <c r="CUQ93" s="3"/>
      <c r="CUR93" s="3"/>
      <c r="CUS93" s="3"/>
      <c r="CUT93" s="3"/>
      <c r="CUU93" s="3"/>
      <c r="CUV93" s="3"/>
      <c r="CUW93" s="3"/>
      <c r="CUX93" s="3"/>
      <c r="CUY93" s="3"/>
      <c r="CUZ93" s="3"/>
      <c r="CVA93" s="3"/>
      <c r="CVB93" s="3"/>
      <c r="CVC93" s="3"/>
      <c r="CVD93" s="3"/>
      <c r="CVE93" s="3"/>
      <c r="CVF93" s="3"/>
      <c r="CVG93" s="3"/>
      <c r="CVH93" s="3"/>
      <c r="CVI93" s="3"/>
      <c r="CVJ93" s="3"/>
      <c r="CVK93" s="3"/>
      <c r="CVL93" s="3"/>
      <c r="CVM93" s="3"/>
      <c r="CVN93" s="3"/>
      <c r="CVO93" s="3"/>
      <c r="CVP93" s="3"/>
      <c r="CVQ93" s="3"/>
      <c r="CVR93" s="3"/>
      <c r="CVS93" s="3"/>
      <c r="CVT93" s="3"/>
      <c r="CVU93" s="3"/>
      <c r="CVV93" s="3"/>
      <c r="CVW93" s="3"/>
      <c r="CVX93" s="3"/>
      <c r="CVY93" s="3"/>
      <c r="CVZ93" s="3"/>
      <c r="CWA93" s="3"/>
      <c r="CWB93" s="3"/>
      <c r="CWC93" s="3"/>
      <c r="CWD93" s="3"/>
      <c r="CWE93" s="3"/>
      <c r="CWF93" s="3"/>
      <c r="CWG93" s="3"/>
      <c r="CWH93" s="3"/>
      <c r="CWI93" s="3"/>
      <c r="CWJ93" s="3"/>
      <c r="CWK93" s="3"/>
      <c r="CWL93" s="3"/>
      <c r="CWM93" s="3"/>
      <c r="CWN93" s="3"/>
      <c r="CWO93" s="3"/>
      <c r="CWP93" s="3"/>
      <c r="CWQ93" s="3"/>
      <c r="CWR93" s="3"/>
      <c r="CWS93" s="3"/>
      <c r="CWT93" s="3"/>
      <c r="CWU93" s="3"/>
      <c r="CWV93" s="3"/>
      <c r="CWW93" s="3"/>
      <c r="CWX93" s="3"/>
      <c r="CWY93" s="3"/>
      <c r="CWZ93" s="3"/>
      <c r="CXA93" s="3"/>
      <c r="CXB93" s="3"/>
      <c r="CXC93" s="3"/>
      <c r="CXD93" s="3"/>
      <c r="CXE93" s="3"/>
      <c r="CXF93" s="3"/>
      <c r="CXG93" s="3"/>
      <c r="CXH93" s="3"/>
      <c r="CXI93" s="3"/>
      <c r="CXJ93" s="3"/>
      <c r="CXK93" s="3"/>
      <c r="CXL93" s="3"/>
      <c r="CXM93" s="3"/>
      <c r="CXN93" s="3"/>
      <c r="CXO93" s="3"/>
      <c r="CXP93" s="3"/>
      <c r="CXQ93" s="3"/>
      <c r="CXR93" s="3"/>
      <c r="CXS93" s="3"/>
      <c r="CXT93" s="3"/>
      <c r="CXU93" s="3"/>
      <c r="CXV93" s="3"/>
      <c r="CXW93" s="3"/>
      <c r="CXX93" s="3"/>
      <c r="CXY93" s="3"/>
      <c r="CXZ93" s="3"/>
      <c r="CYA93" s="3"/>
      <c r="CYB93" s="3"/>
      <c r="CYC93" s="3"/>
      <c r="CYD93" s="3"/>
      <c r="CYE93" s="3"/>
      <c r="CYF93" s="3"/>
      <c r="CYG93" s="3"/>
      <c r="CYH93" s="3"/>
      <c r="CYI93" s="3"/>
      <c r="CYJ93" s="3"/>
      <c r="CYK93" s="3"/>
      <c r="CYL93" s="3"/>
      <c r="CYM93" s="3"/>
      <c r="CYN93" s="3"/>
      <c r="CYO93" s="3"/>
      <c r="CYP93" s="3"/>
      <c r="CYQ93" s="3"/>
      <c r="CYR93" s="3"/>
      <c r="CYS93" s="3"/>
      <c r="CYT93" s="3"/>
      <c r="CYU93" s="3"/>
      <c r="CYV93" s="3"/>
      <c r="CYW93" s="3"/>
      <c r="CYX93" s="3"/>
      <c r="CYY93" s="3"/>
      <c r="CYZ93" s="3"/>
      <c r="CZA93" s="3"/>
      <c r="CZB93" s="3"/>
      <c r="CZC93" s="3"/>
      <c r="CZD93" s="3"/>
      <c r="CZE93" s="3"/>
      <c r="CZF93" s="3"/>
      <c r="CZG93" s="3"/>
      <c r="CZH93" s="3"/>
      <c r="CZI93" s="3"/>
      <c r="CZJ93" s="3"/>
      <c r="CZK93" s="3"/>
      <c r="CZL93" s="3"/>
      <c r="CZM93" s="3"/>
      <c r="CZN93" s="3"/>
      <c r="CZO93" s="3"/>
      <c r="CZP93" s="3"/>
      <c r="CZQ93" s="3"/>
      <c r="CZR93" s="3"/>
      <c r="CZS93" s="3"/>
      <c r="CZT93" s="3"/>
      <c r="CZU93" s="3"/>
      <c r="CZV93" s="3"/>
      <c r="CZW93" s="3"/>
      <c r="CZX93" s="3"/>
      <c r="CZY93" s="3"/>
      <c r="CZZ93" s="3"/>
      <c r="DAA93" s="3"/>
      <c r="DAB93" s="3"/>
      <c r="DAC93" s="3"/>
      <c r="DAD93" s="3"/>
      <c r="DAE93" s="3"/>
      <c r="DAF93" s="3"/>
      <c r="DAG93" s="3"/>
      <c r="DAH93" s="3"/>
      <c r="DAI93" s="3"/>
      <c r="DAJ93" s="3"/>
      <c r="DAK93" s="3"/>
      <c r="DAL93" s="3"/>
      <c r="DAM93" s="3"/>
      <c r="DAN93" s="3"/>
      <c r="DAO93" s="3"/>
      <c r="DAP93" s="3"/>
      <c r="DAQ93" s="3"/>
      <c r="DAR93" s="3"/>
      <c r="DAS93" s="3"/>
      <c r="DAT93" s="3"/>
      <c r="DAU93" s="3"/>
      <c r="DAV93" s="3"/>
      <c r="DAW93" s="3"/>
      <c r="DAX93" s="3"/>
      <c r="DAY93" s="3"/>
      <c r="DAZ93" s="3"/>
      <c r="DBA93" s="3"/>
      <c r="DBB93" s="3"/>
      <c r="DBC93" s="3"/>
      <c r="DBD93" s="3"/>
      <c r="DBE93" s="3"/>
      <c r="DBF93" s="3"/>
      <c r="DBG93" s="3"/>
      <c r="DBH93" s="3"/>
      <c r="DBI93" s="3"/>
      <c r="DBJ93" s="3"/>
      <c r="DBK93" s="3"/>
      <c r="DBL93" s="3"/>
      <c r="DBM93" s="3"/>
      <c r="DBN93" s="3"/>
      <c r="DBO93" s="3"/>
      <c r="DBP93" s="3"/>
      <c r="DBQ93" s="3"/>
      <c r="DBR93" s="3"/>
      <c r="DBS93" s="3"/>
      <c r="DBT93" s="3"/>
      <c r="DBU93" s="3"/>
      <c r="DBV93" s="3"/>
      <c r="DBW93" s="3"/>
      <c r="DBX93" s="3"/>
      <c r="DBY93" s="3"/>
      <c r="DBZ93" s="3"/>
      <c r="DCA93" s="3"/>
      <c r="DCB93" s="3"/>
      <c r="DCC93" s="3"/>
      <c r="DCD93" s="3"/>
      <c r="DCE93" s="3"/>
      <c r="DCF93" s="3"/>
      <c r="DCG93" s="3"/>
      <c r="DCH93" s="3"/>
      <c r="DCI93" s="3"/>
      <c r="DCJ93" s="3"/>
      <c r="DCK93" s="3"/>
      <c r="DCL93" s="3"/>
      <c r="DCM93" s="3"/>
      <c r="DCN93" s="3"/>
      <c r="DCO93" s="3"/>
      <c r="DCP93" s="3"/>
      <c r="DCQ93" s="3"/>
      <c r="DCR93" s="3"/>
      <c r="DCS93" s="3"/>
      <c r="DCT93" s="3"/>
      <c r="DCU93" s="3"/>
      <c r="DCV93" s="3"/>
      <c r="DCW93" s="3"/>
      <c r="DCX93" s="3"/>
      <c r="DCY93" s="3"/>
      <c r="DCZ93" s="3"/>
      <c r="DDA93" s="3"/>
      <c r="DDB93" s="3"/>
      <c r="DDC93" s="3"/>
      <c r="DDD93" s="3"/>
      <c r="DDE93" s="3"/>
      <c r="DDF93" s="3"/>
      <c r="DDG93" s="3"/>
      <c r="DDH93" s="3"/>
      <c r="DDI93" s="3"/>
      <c r="DDJ93" s="3"/>
      <c r="DDK93" s="3"/>
      <c r="DDL93" s="3"/>
      <c r="DDM93" s="3"/>
      <c r="DDN93" s="3"/>
      <c r="DDO93" s="3"/>
      <c r="DDP93" s="3"/>
      <c r="DDQ93" s="3"/>
      <c r="DDR93" s="3"/>
      <c r="DDS93" s="3"/>
      <c r="DDT93" s="3"/>
      <c r="DDU93" s="3"/>
      <c r="DDV93" s="3"/>
      <c r="DDW93" s="3"/>
      <c r="DDX93" s="3"/>
      <c r="DDY93" s="3"/>
      <c r="DDZ93" s="3"/>
      <c r="DEA93" s="3"/>
      <c r="DEB93" s="3"/>
      <c r="DEC93" s="3"/>
      <c r="DED93" s="3"/>
      <c r="DEE93" s="3"/>
      <c r="DEF93" s="3"/>
      <c r="DEG93" s="3"/>
      <c r="DEH93" s="3"/>
      <c r="DEI93" s="3"/>
      <c r="DEJ93" s="3"/>
      <c r="DEK93" s="3"/>
      <c r="DEL93" s="3"/>
      <c r="DEM93" s="3"/>
      <c r="DEN93" s="3"/>
      <c r="DEO93" s="3"/>
      <c r="DEP93" s="3"/>
      <c r="DEQ93" s="3"/>
      <c r="DER93" s="3"/>
      <c r="DES93" s="3"/>
      <c r="DET93" s="3"/>
      <c r="DEU93" s="3"/>
      <c r="DEV93" s="3"/>
      <c r="DEW93" s="3"/>
      <c r="DEX93" s="3"/>
      <c r="DEY93" s="3"/>
      <c r="DEZ93" s="3"/>
      <c r="DFA93" s="3"/>
      <c r="DFB93" s="3"/>
      <c r="DFC93" s="3"/>
      <c r="DFD93" s="3"/>
      <c r="DFE93" s="3"/>
      <c r="DFF93" s="3"/>
      <c r="DFG93" s="3"/>
      <c r="DFH93" s="3"/>
      <c r="DFI93" s="3"/>
      <c r="DFJ93" s="3"/>
      <c r="DFK93" s="3"/>
      <c r="DFL93" s="3"/>
      <c r="DFM93" s="3"/>
      <c r="DFN93" s="3"/>
      <c r="DFO93" s="3"/>
      <c r="DFP93" s="3"/>
      <c r="DFQ93" s="3"/>
      <c r="DFR93" s="3"/>
      <c r="DFS93" s="3"/>
      <c r="DFT93" s="3"/>
      <c r="DFU93" s="3"/>
      <c r="DFV93" s="3"/>
      <c r="DFW93" s="3"/>
      <c r="DFX93" s="3"/>
      <c r="DFY93" s="3"/>
      <c r="DFZ93" s="3"/>
      <c r="DGA93" s="3"/>
      <c r="DGB93" s="3"/>
      <c r="DGC93" s="3"/>
      <c r="DGD93" s="3"/>
      <c r="DGE93" s="3"/>
      <c r="DGF93" s="3"/>
      <c r="DGG93" s="3"/>
      <c r="DGH93" s="3"/>
      <c r="DGI93" s="3"/>
      <c r="DGJ93" s="3"/>
      <c r="DGK93" s="3"/>
      <c r="DGL93" s="3"/>
      <c r="DGM93" s="3"/>
      <c r="DGN93" s="3"/>
      <c r="DGO93" s="3"/>
      <c r="DGP93" s="3"/>
      <c r="DGQ93" s="3"/>
      <c r="DGR93" s="3"/>
      <c r="DGS93" s="3"/>
      <c r="DGT93" s="3"/>
      <c r="DGU93" s="3"/>
      <c r="DGV93" s="3"/>
      <c r="DGW93" s="3"/>
      <c r="DGX93" s="3"/>
      <c r="DGY93" s="3"/>
      <c r="DGZ93" s="3"/>
      <c r="DHA93" s="3"/>
      <c r="DHB93" s="3"/>
      <c r="DHC93" s="3"/>
      <c r="DHD93" s="3"/>
      <c r="DHE93" s="3"/>
      <c r="DHF93" s="3"/>
      <c r="DHG93" s="3"/>
      <c r="DHH93" s="3"/>
      <c r="DHI93" s="3"/>
      <c r="DHJ93" s="3"/>
      <c r="DHK93" s="3"/>
      <c r="DHL93" s="3"/>
      <c r="DHM93" s="3"/>
      <c r="DHN93" s="3"/>
      <c r="DHO93" s="3"/>
      <c r="DHP93" s="3"/>
      <c r="DHQ93" s="3"/>
      <c r="DHR93" s="3"/>
      <c r="DHS93" s="3"/>
      <c r="DHT93" s="3"/>
      <c r="DHU93" s="3"/>
      <c r="DHV93" s="3"/>
      <c r="DHW93" s="3"/>
      <c r="DHX93" s="3"/>
      <c r="DHY93" s="3"/>
      <c r="DHZ93" s="3"/>
      <c r="DIA93" s="3"/>
      <c r="DIB93" s="3"/>
      <c r="DIC93" s="3"/>
      <c r="DID93" s="3"/>
      <c r="DIE93" s="3"/>
      <c r="DIF93" s="3"/>
      <c r="DIG93" s="3"/>
      <c r="DIH93" s="3"/>
      <c r="DII93" s="3"/>
      <c r="DIJ93" s="3"/>
      <c r="DIK93" s="3"/>
      <c r="DIL93" s="3"/>
      <c r="DIM93" s="3"/>
      <c r="DIN93" s="3"/>
      <c r="DIO93" s="3"/>
      <c r="DIP93" s="3"/>
      <c r="DIQ93" s="3"/>
      <c r="DIR93" s="3"/>
      <c r="DIS93" s="3"/>
      <c r="DIT93" s="3"/>
      <c r="DIU93" s="3"/>
      <c r="DIV93" s="3"/>
      <c r="DIW93" s="3"/>
      <c r="DIX93" s="3"/>
      <c r="DIY93" s="3"/>
      <c r="DIZ93" s="3"/>
      <c r="DJA93" s="3"/>
      <c r="DJB93" s="3"/>
      <c r="DJC93" s="3"/>
      <c r="DJD93" s="3"/>
      <c r="DJE93" s="3"/>
      <c r="DJF93" s="3"/>
      <c r="DJG93" s="3"/>
      <c r="DJH93" s="3"/>
      <c r="DJI93" s="3"/>
      <c r="DJJ93" s="3"/>
      <c r="DJK93" s="3"/>
      <c r="DJL93" s="3"/>
      <c r="DJM93" s="3"/>
      <c r="DJN93" s="3"/>
      <c r="DJO93" s="3"/>
      <c r="DJP93" s="3"/>
      <c r="DJQ93" s="3"/>
      <c r="DJR93" s="3"/>
      <c r="DJS93" s="3"/>
      <c r="DJT93" s="3"/>
      <c r="DJU93" s="3"/>
      <c r="DJV93" s="3"/>
      <c r="DJW93" s="3"/>
      <c r="DJX93" s="3"/>
      <c r="DJY93" s="3"/>
      <c r="DJZ93" s="3"/>
      <c r="DKA93" s="3"/>
      <c r="DKB93" s="3"/>
      <c r="DKC93" s="3"/>
      <c r="DKD93" s="3"/>
      <c r="DKE93" s="3"/>
      <c r="DKF93" s="3"/>
      <c r="DKG93" s="3"/>
      <c r="DKH93" s="3"/>
      <c r="DKI93" s="3"/>
      <c r="DKJ93" s="3"/>
      <c r="DKK93" s="3"/>
      <c r="DKL93" s="3"/>
      <c r="DKM93" s="3"/>
      <c r="DKN93" s="3"/>
      <c r="DKO93" s="3"/>
      <c r="DKP93" s="3"/>
      <c r="DKQ93" s="3"/>
      <c r="DKR93" s="3"/>
      <c r="DKS93" s="3"/>
      <c r="DKT93" s="3"/>
      <c r="DKU93" s="3"/>
      <c r="DKV93" s="3"/>
      <c r="DKW93" s="3"/>
      <c r="DKX93" s="3"/>
      <c r="DKY93" s="3"/>
      <c r="DKZ93" s="3"/>
      <c r="DLA93" s="3"/>
      <c r="DLB93" s="3"/>
      <c r="DLC93" s="3"/>
      <c r="DLD93" s="3"/>
      <c r="DLE93" s="3"/>
      <c r="DLF93" s="3"/>
      <c r="DLG93" s="3"/>
      <c r="DLH93" s="3"/>
      <c r="DLI93" s="3"/>
      <c r="DLJ93" s="3"/>
      <c r="DLK93" s="3"/>
      <c r="DLL93" s="3"/>
      <c r="DLM93" s="3"/>
      <c r="DLN93" s="3"/>
      <c r="DLO93" s="3"/>
      <c r="DLP93" s="3"/>
      <c r="DLQ93" s="3"/>
      <c r="DLR93" s="3"/>
      <c r="DLS93" s="3"/>
      <c r="DLT93" s="3"/>
      <c r="DLU93" s="3"/>
      <c r="DLV93" s="3"/>
      <c r="DLW93" s="3"/>
      <c r="DLX93" s="3"/>
      <c r="DLY93" s="3"/>
      <c r="DLZ93" s="3"/>
      <c r="DMA93" s="3"/>
      <c r="DMB93" s="3"/>
      <c r="DMC93" s="3"/>
      <c r="DMD93" s="3"/>
      <c r="DME93" s="3"/>
      <c r="DMF93" s="3"/>
      <c r="DMG93" s="3"/>
      <c r="DMH93" s="3"/>
      <c r="DMI93" s="3"/>
      <c r="DMJ93" s="3"/>
      <c r="DMK93" s="3"/>
      <c r="DML93" s="3"/>
      <c r="DMM93" s="3"/>
      <c r="DMN93" s="3"/>
      <c r="DMO93" s="3"/>
      <c r="DMP93" s="3"/>
      <c r="DMQ93" s="3"/>
      <c r="DMR93" s="3"/>
      <c r="DMS93" s="3"/>
      <c r="DMT93" s="3"/>
      <c r="DMU93" s="3"/>
      <c r="DMV93" s="3"/>
      <c r="DMW93" s="3"/>
      <c r="DMX93" s="3"/>
      <c r="DMY93" s="3"/>
      <c r="DMZ93" s="3"/>
      <c r="DNA93" s="3"/>
      <c r="DNB93" s="3"/>
      <c r="DNC93" s="3"/>
      <c r="DND93" s="3"/>
      <c r="DNE93" s="3"/>
      <c r="DNF93" s="3"/>
      <c r="DNG93" s="3"/>
      <c r="DNH93" s="3"/>
      <c r="DNI93" s="3"/>
      <c r="DNJ93" s="3"/>
      <c r="DNK93" s="3"/>
      <c r="DNL93" s="3"/>
      <c r="DNM93" s="3"/>
      <c r="DNN93" s="3"/>
      <c r="DNO93" s="3"/>
      <c r="DNP93" s="3"/>
      <c r="DNQ93" s="3"/>
      <c r="DNR93" s="3"/>
      <c r="DNS93" s="3"/>
      <c r="DNT93" s="3"/>
      <c r="DNU93" s="3"/>
      <c r="DNV93" s="3"/>
      <c r="DNW93" s="3"/>
      <c r="DNX93" s="3"/>
      <c r="DNY93" s="3"/>
      <c r="DNZ93" s="3"/>
      <c r="DOA93" s="3"/>
      <c r="DOB93" s="3"/>
      <c r="DOC93" s="3"/>
      <c r="DOD93" s="3"/>
      <c r="DOE93" s="3"/>
      <c r="DOF93" s="3"/>
      <c r="DOG93" s="3"/>
      <c r="DOH93" s="3"/>
      <c r="DOI93" s="3"/>
      <c r="DOJ93" s="3"/>
      <c r="DOK93" s="3"/>
      <c r="DOL93" s="3"/>
      <c r="DOM93" s="3"/>
      <c r="DON93" s="3"/>
      <c r="DOO93" s="3"/>
      <c r="DOP93" s="3"/>
      <c r="DOQ93" s="3"/>
      <c r="DOR93" s="3"/>
      <c r="DOS93" s="3"/>
      <c r="DOT93" s="3"/>
      <c r="DOU93" s="3"/>
      <c r="DOV93" s="3"/>
      <c r="DOW93" s="3"/>
      <c r="DOX93" s="3"/>
      <c r="DOY93" s="3"/>
      <c r="DOZ93" s="3"/>
      <c r="DPA93" s="3"/>
      <c r="DPB93" s="3"/>
      <c r="DPC93" s="3"/>
      <c r="DPD93" s="3"/>
      <c r="DPE93" s="3"/>
      <c r="DPF93" s="3"/>
      <c r="DPG93" s="3"/>
      <c r="DPH93" s="3"/>
      <c r="DPI93" s="3"/>
      <c r="DPJ93" s="3"/>
      <c r="DPK93" s="3"/>
      <c r="DPL93" s="3"/>
      <c r="DPM93" s="3"/>
      <c r="DPN93" s="3"/>
      <c r="DPO93" s="3"/>
      <c r="DPP93" s="3"/>
      <c r="DPQ93" s="3"/>
      <c r="DPR93" s="3"/>
      <c r="DPS93" s="3"/>
      <c r="DPT93" s="3"/>
      <c r="DPU93" s="3"/>
      <c r="DPV93" s="3"/>
      <c r="DPW93" s="3"/>
      <c r="DPX93" s="3"/>
      <c r="DPY93" s="3"/>
      <c r="DPZ93" s="3"/>
      <c r="DQA93" s="3"/>
      <c r="DQB93" s="3"/>
      <c r="DQC93" s="3"/>
      <c r="DQD93" s="3"/>
      <c r="DQE93" s="3"/>
      <c r="DQF93" s="3"/>
      <c r="DQG93" s="3"/>
      <c r="DQH93" s="3"/>
      <c r="DQI93" s="3"/>
      <c r="DQJ93" s="3"/>
      <c r="DQK93" s="3"/>
      <c r="DQL93" s="3"/>
      <c r="DQM93" s="3"/>
      <c r="DQN93" s="3"/>
      <c r="DQO93" s="3"/>
      <c r="DQP93" s="3"/>
      <c r="DQQ93" s="3"/>
      <c r="DQR93" s="3"/>
      <c r="DQS93" s="3"/>
      <c r="DQT93" s="3"/>
      <c r="DQU93" s="3"/>
      <c r="DQV93" s="3"/>
      <c r="DQW93" s="3"/>
      <c r="DQX93" s="3"/>
      <c r="DQY93" s="3"/>
      <c r="DQZ93" s="3"/>
      <c r="DRA93" s="3"/>
      <c r="DRB93" s="3"/>
      <c r="DRC93" s="3"/>
      <c r="DRD93" s="3"/>
      <c r="DRE93" s="3"/>
      <c r="DRF93" s="3"/>
      <c r="DRG93" s="3"/>
      <c r="DRH93" s="3"/>
      <c r="DRI93" s="3"/>
      <c r="DRJ93" s="3"/>
      <c r="DRK93" s="3"/>
      <c r="DRL93" s="3"/>
      <c r="DRM93" s="3"/>
      <c r="DRN93" s="3"/>
      <c r="DRO93" s="3"/>
      <c r="DRP93" s="3"/>
      <c r="DRQ93" s="3"/>
      <c r="DRR93" s="3"/>
      <c r="DRS93" s="3"/>
      <c r="DRT93" s="3"/>
      <c r="DRU93" s="3"/>
      <c r="DRV93" s="3"/>
      <c r="DRW93" s="3"/>
      <c r="DRX93" s="3"/>
      <c r="DRY93" s="3"/>
      <c r="DRZ93" s="3"/>
      <c r="DSA93" s="3"/>
      <c r="DSB93" s="3"/>
      <c r="DSC93" s="3"/>
      <c r="DSD93" s="3"/>
      <c r="DSE93" s="3"/>
      <c r="DSF93" s="3"/>
      <c r="DSG93" s="3"/>
      <c r="DSH93" s="3"/>
      <c r="DSI93" s="3"/>
      <c r="DSJ93" s="3"/>
      <c r="DSK93" s="3"/>
      <c r="DSL93" s="3"/>
      <c r="DSM93" s="3"/>
      <c r="DSN93" s="3"/>
      <c r="DSO93" s="3"/>
      <c r="DSP93" s="3"/>
      <c r="DSQ93" s="3"/>
      <c r="DSR93" s="3"/>
      <c r="DSS93" s="3"/>
      <c r="DST93" s="3"/>
      <c r="DSU93" s="3"/>
      <c r="DSV93" s="3"/>
      <c r="DSW93" s="3"/>
      <c r="DSX93" s="3"/>
      <c r="DSY93" s="3"/>
      <c r="DSZ93" s="3"/>
      <c r="DTA93" s="3"/>
      <c r="DTB93" s="3"/>
      <c r="DTC93" s="3"/>
      <c r="DTD93" s="3"/>
      <c r="DTE93" s="3"/>
      <c r="DTF93" s="3"/>
      <c r="DTG93" s="3"/>
      <c r="DTH93" s="3"/>
      <c r="DTI93" s="3"/>
      <c r="DTJ93" s="3"/>
      <c r="DTK93" s="3"/>
      <c r="DTL93" s="3"/>
      <c r="DTM93" s="3"/>
      <c r="DTN93" s="3"/>
      <c r="DTO93" s="3"/>
      <c r="DTP93" s="3"/>
      <c r="DTQ93" s="3"/>
      <c r="DTR93" s="3"/>
      <c r="DTS93" s="3"/>
      <c r="DTT93" s="3"/>
      <c r="DTU93" s="3"/>
      <c r="DTV93" s="3"/>
      <c r="DTW93" s="3"/>
      <c r="DTX93" s="3"/>
      <c r="DTY93" s="3"/>
      <c r="DTZ93" s="3"/>
      <c r="DUA93" s="3"/>
      <c r="DUB93" s="3"/>
      <c r="DUC93" s="3"/>
      <c r="DUD93" s="3"/>
      <c r="DUE93" s="3"/>
      <c r="DUF93" s="3"/>
      <c r="DUG93" s="3"/>
      <c r="DUH93" s="3"/>
      <c r="DUI93" s="3"/>
      <c r="DUJ93" s="3"/>
      <c r="DUK93" s="3"/>
      <c r="DUL93" s="3"/>
      <c r="DUM93" s="3"/>
      <c r="DUN93" s="3"/>
      <c r="DUO93" s="3"/>
      <c r="DUP93" s="3"/>
      <c r="DUQ93" s="3"/>
      <c r="DUR93" s="3"/>
      <c r="DUS93" s="3"/>
      <c r="DUT93" s="3"/>
      <c r="DUU93" s="3"/>
      <c r="DUV93" s="3"/>
      <c r="DUW93" s="3"/>
      <c r="DUX93" s="3"/>
      <c r="DUY93" s="3"/>
      <c r="DUZ93" s="3"/>
      <c r="DVA93" s="3"/>
      <c r="DVB93" s="3"/>
      <c r="DVC93" s="3"/>
      <c r="DVD93" s="3"/>
      <c r="DVE93" s="3"/>
      <c r="DVF93" s="3"/>
      <c r="DVG93" s="3"/>
      <c r="DVH93" s="3"/>
      <c r="DVI93" s="3"/>
      <c r="DVJ93" s="3"/>
      <c r="DVK93" s="3"/>
      <c r="DVL93" s="3"/>
      <c r="DVM93" s="3"/>
      <c r="DVN93" s="3"/>
      <c r="DVO93" s="3"/>
      <c r="DVP93" s="3"/>
      <c r="DVQ93" s="3"/>
      <c r="DVR93" s="3"/>
      <c r="DVS93" s="3"/>
      <c r="DVT93" s="3"/>
      <c r="DVU93" s="3"/>
      <c r="DVV93" s="3"/>
      <c r="DVW93" s="3"/>
      <c r="DVX93" s="3"/>
      <c r="DVY93" s="3"/>
      <c r="DVZ93" s="3"/>
      <c r="DWA93" s="3"/>
      <c r="DWB93" s="3"/>
      <c r="DWC93" s="3"/>
      <c r="DWD93" s="3"/>
      <c r="DWE93" s="3"/>
      <c r="DWF93" s="3"/>
      <c r="DWG93" s="3"/>
      <c r="DWH93" s="3"/>
      <c r="DWI93" s="3"/>
      <c r="DWJ93" s="3"/>
      <c r="DWK93" s="3"/>
      <c r="DWL93" s="3"/>
      <c r="DWM93" s="3"/>
      <c r="DWN93" s="3"/>
      <c r="DWO93" s="3"/>
      <c r="DWP93" s="3"/>
      <c r="DWQ93" s="3"/>
      <c r="DWR93" s="3"/>
      <c r="DWS93" s="3"/>
      <c r="DWT93" s="3"/>
      <c r="DWU93" s="3"/>
      <c r="DWV93" s="3"/>
      <c r="DWW93" s="3"/>
      <c r="DWX93" s="3"/>
      <c r="DWY93" s="3"/>
      <c r="DWZ93" s="3"/>
      <c r="DXA93" s="3"/>
      <c r="DXB93" s="3"/>
      <c r="DXC93" s="3"/>
      <c r="DXD93" s="3"/>
      <c r="DXE93" s="3"/>
      <c r="DXF93" s="3"/>
      <c r="DXG93" s="3"/>
      <c r="DXH93" s="3"/>
      <c r="DXI93" s="3"/>
      <c r="DXJ93" s="3"/>
      <c r="DXK93" s="3"/>
      <c r="DXL93" s="3"/>
      <c r="DXM93" s="3"/>
      <c r="DXN93" s="3"/>
      <c r="DXO93" s="3"/>
      <c r="DXP93" s="3"/>
      <c r="DXQ93" s="3"/>
      <c r="DXR93" s="3"/>
      <c r="DXS93" s="3"/>
      <c r="DXT93" s="3"/>
      <c r="DXU93" s="3"/>
      <c r="DXV93" s="3"/>
      <c r="DXW93" s="3"/>
      <c r="DXX93" s="3"/>
      <c r="DXY93" s="3"/>
      <c r="DXZ93" s="3"/>
      <c r="DYA93" s="3"/>
      <c r="DYB93" s="3"/>
      <c r="DYC93" s="3"/>
      <c r="DYD93" s="3"/>
      <c r="DYE93" s="3"/>
      <c r="DYF93" s="3"/>
      <c r="DYG93" s="3"/>
      <c r="DYH93" s="3"/>
      <c r="DYI93" s="3"/>
      <c r="DYJ93" s="3"/>
      <c r="DYK93" s="3"/>
      <c r="DYL93" s="3"/>
      <c r="DYM93" s="3"/>
      <c r="DYN93" s="3"/>
      <c r="DYO93" s="3"/>
      <c r="DYP93" s="3"/>
      <c r="DYQ93" s="3"/>
      <c r="DYR93" s="3"/>
      <c r="DYS93" s="3"/>
      <c r="DYT93" s="3"/>
      <c r="DYU93" s="3"/>
      <c r="DYV93" s="3"/>
      <c r="DYW93" s="3"/>
      <c r="DYX93" s="3"/>
      <c r="DYY93" s="3"/>
      <c r="DYZ93" s="3"/>
      <c r="DZA93" s="3"/>
      <c r="DZB93" s="3"/>
      <c r="DZC93" s="3"/>
      <c r="DZD93" s="3"/>
      <c r="DZE93" s="3"/>
      <c r="DZF93" s="3"/>
      <c r="DZG93" s="3"/>
      <c r="DZH93" s="3"/>
      <c r="DZI93" s="3"/>
      <c r="DZJ93" s="3"/>
      <c r="DZK93" s="3"/>
      <c r="DZL93" s="3"/>
      <c r="DZM93" s="3"/>
      <c r="DZN93" s="3"/>
      <c r="DZO93" s="3"/>
      <c r="DZP93" s="3"/>
      <c r="DZQ93" s="3"/>
      <c r="DZR93" s="3"/>
      <c r="DZS93" s="3"/>
      <c r="DZT93" s="3"/>
      <c r="DZU93" s="3"/>
      <c r="DZV93" s="3"/>
      <c r="DZW93" s="3"/>
      <c r="DZX93" s="3"/>
      <c r="DZY93" s="3"/>
      <c r="DZZ93" s="3"/>
      <c r="EAA93" s="3"/>
      <c r="EAB93" s="3"/>
      <c r="EAC93" s="3"/>
      <c r="EAD93" s="3"/>
      <c r="EAE93" s="3"/>
      <c r="EAF93" s="3"/>
      <c r="EAG93" s="3"/>
      <c r="EAH93" s="3"/>
      <c r="EAI93" s="3"/>
      <c r="EAJ93" s="3"/>
      <c r="EAK93" s="3"/>
      <c r="EAL93" s="3"/>
      <c r="EAM93" s="3"/>
      <c r="EAN93" s="3"/>
      <c r="EAO93" s="3"/>
      <c r="EAP93" s="3"/>
      <c r="EAQ93" s="3"/>
      <c r="EAR93" s="3"/>
      <c r="EAS93" s="3"/>
      <c r="EAT93" s="3"/>
      <c r="EAU93" s="3"/>
      <c r="EAV93" s="3"/>
      <c r="EAW93" s="3"/>
      <c r="EAX93" s="3"/>
      <c r="EAY93" s="3"/>
      <c r="EAZ93" s="3"/>
      <c r="EBA93" s="3"/>
      <c r="EBB93" s="3"/>
      <c r="EBC93" s="3"/>
      <c r="EBD93" s="3"/>
      <c r="EBE93" s="3"/>
      <c r="EBF93" s="3"/>
      <c r="EBG93" s="3"/>
      <c r="EBH93" s="3"/>
      <c r="EBI93" s="3"/>
      <c r="EBJ93" s="3"/>
      <c r="EBK93" s="3"/>
      <c r="EBL93" s="3"/>
      <c r="EBM93" s="3"/>
      <c r="EBN93" s="3"/>
      <c r="EBO93" s="3"/>
      <c r="EBP93" s="3"/>
      <c r="EBQ93" s="3"/>
      <c r="EBR93" s="3"/>
      <c r="EBS93" s="3"/>
      <c r="EBT93" s="3"/>
      <c r="EBU93" s="3"/>
      <c r="EBV93" s="3"/>
      <c r="EBW93" s="3"/>
      <c r="EBX93" s="3"/>
      <c r="EBY93" s="3"/>
      <c r="EBZ93" s="3"/>
      <c r="ECA93" s="3"/>
      <c r="ECB93" s="3"/>
      <c r="ECC93" s="3"/>
      <c r="ECD93" s="3"/>
      <c r="ECE93" s="3"/>
      <c r="ECF93" s="3"/>
      <c r="ECG93" s="3"/>
      <c r="ECH93" s="3"/>
      <c r="ECI93" s="3"/>
      <c r="ECJ93" s="3"/>
      <c r="ECK93" s="3"/>
      <c r="ECL93" s="3"/>
      <c r="ECM93" s="3"/>
      <c r="ECN93" s="3"/>
      <c r="ECO93" s="3"/>
      <c r="ECP93" s="3"/>
      <c r="ECQ93" s="3"/>
      <c r="ECR93" s="3"/>
      <c r="ECS93" s="3"/>
      <c r="ECT93" s="3"/>
      <c r="ECU93" s="3"/>
      <c r="ECV93" s="3"/>
      <c r="ECW93" s="3"/>
      <c r="ECX93" s="3"/>
      <c r="ECY93" s="3"/>
      <c r="ECZ93" s="3"/>
      <c r="EDA93" s="3"/>
      <c r="EDB93" s="3"/>
      <c r="EDC93" s="3"/>
      <c r="EDD93" s="3"/>
      <c r="EDE93" s="3"/>
      <c r="EDF93" s="3"/>
      <c r="EDG93" s="3"/>
      <c r="EDH93" s="3"/>
      <c r="EDI93" s="3"/>
      <c r="EDJ93" s="3"/>
      <c r="EDK93" s="3"/>
      <c r="EDL93" s="3"/>
      <c r="EDM93" s="3"/>
      <c r="EDN93" s="3"/>
      <c r="EDO93" s="3"/>
      <c r="EDP93" s="3"/>
      <c r="EDQ93" s="3"/>
      <c r="EDR93" s="3"/>
      <c r="EDS93" s="3"/>
      <c r="EDT93" s="3"/>
      <c r="EDU93" s="3"/>
      <c r="EDV93" s="3"/>
      <c r="EDW93" s="3"/>
      <c r="EDX93" s="3"/>
      <c r="EDY93" s="3"/>
      <c r="EDZ93" s="3"/>
      <c r="EEA93" s="3"/>
      <c r="EEB93" s="3"/>
      <c r="EEC93" s="3"/>
      <c r="EED93" s="3"/>
      <c r="EEE93" s="3"/>
      <c r="EEF93" s="3"/>
      <c r="EEG93" s="3"/>
      <c r="EEH93" s="3"/>
      <c r="EEI93" s="3"/>
      <c r="EEJ93" s="3"/>
      <c r="EEK93" s="3"/>
      <c r="EEL93" s="3"/>
      <c r="EEM93" s="3"/>
      <c r="EEN93" s="3"/>
      <c r="EEO93" s="3"/>
      <c r="EEP93" s="3"/>
      <c r="EEQ93" s="3"/>
      <c r="EER93" s="3"/>
      <c r="EES93" s="3"/>
      <c r="EET93" s="3"/>
      <c r="EEU93" s="3"/>
      <c r="EEV93" s="3"/>
      <c r="EEW93" s="3"/>
      <c r="EEX93" s="3"/>
      <c r="EEY93" s="3"/>
      <c r="EEZ93" s="3"/>
      <c r="EFA93" s="3"/>
      <c r="EFB93" s="3"/>
      <c r="EFC93" s="3"/>
      <c r="EFD93" s="3"/>
      <c r="EFE93" s="3"/>
      <c r="EFF93" s="3"/>
      <c r="EFG93" s="3"/>
      <c r="EFH93" s="3"/>
      <c r="EFI93" s="3"/>
      <c r="EFJ93" s="3"/>
      <c r="EFK93" s="3"/>
      <c r="EFL93" s="3"/>
      <c r="EFM93" s="3"/>
      <c r="EFN93" s="3"/>
      <c r="EFO93" s="3"/>
      <c r="EFP93" s="3"/>
      <c r="EFQ93" s="3"/>
      <c r="EFR93" s="3"/>
      <c r="EFS93" s="3"/>
      <c r="EFT93" s="3"/>
      <c r="EFU93" s="3"/>
      <c r="EFV93" s="3"/>
      <c r="EFW93" s="3"/>
      <c r="EFX93" s="3"/>
      <c r="EFY93" s="3"/>
      <c r="EFZ93" s="3"/>
      <c r="EGA93" s="3"/>
      <c r="EGB93" s="3"/>
      <c r="EGC93" s="3"/>
      <c r="EGD93" s="3"/>
      <c r="EGE93" s="3"/>
      <c r="EGF93" s="3"/>
      <c r="EGG93" s="3"/>
      <c r="EGH93" s="3"/>
      <c r="EGI93" s="3"/>
      <c r="EGJ93" s="3"/>
      <c r="EGK93" s="3"/>
      <c r="EGL93" s="3"/>
      <c r="EGM93" s="3"/>
      <c r="EGN93" s="3"/>
      <c r="EGO93" s="3"/>
      <c r="EGP93" s="3"/>
      <c r="EGQ93" s="3"/>
      <c r="EGR93" s="3"/>
      <c r="EGS93" s="3"/>
      <c r="EGT93" s="3"/>
      <c r="EGU93" s="3"/>
      <c r="EGV93" s="3"/>
      <c r="EGW93" s="3"/>
      <c r="EGX93" s="3"/>
      <c r="EGY93" s="3"/>
      <c r="EGZ93" s="3"/>
      <c r="EHA93" s="3"/>
      <c r="EHB93" s="3"/>
      <c r="EHC93" s="3"/>
      <c r="EHD93" s="3"/>
      <c r="EHE93" s="3"/>
      <c r="EHF93" s="3"/>
      <c r="EHG93" s="3"/>
      <c r="EHH93" s="3"/>
      <c r="EHI93" s="3"/>
      <c r="EHJ93" s="3"/>
      <c r="EHK93" s="3"/>
      <c r="EHL93" s="3"/>
      <c r="EHM93" s="3"/>
      <c r="EHN93" s="3"/>
      <c r="EHO93" s="3"/>
      <c r="EHP93" s="3"/>
      <c r="EHQ93" s="3"/>
      <c r="EHR93" s="3"/>
      <c r="EHS93" s="3"/>
      <c r="EHT93" s="3"/>
      <c r="EHU93" s="3"/>
      <c r="EHV93" s="3"/>
      <c r="EHW93" s="3"/>
      <c r="EHX93" s="3"/>
      <c r="EHY93" s="3"/>
      <c r="EHZ93" s="3"/>
      <c r="EIA93" s="3"/>
      <c r="EIB93" s="3"/>
      <c r="EIC93" s="3"/>
      <c r="EID93" s="3"/>
      <c r="EIE93" s="3"/>
      <c r="EIF93" s="3"/>
      <c r="EIG93" s="3"/>
      <c r="EIH93" s="3"/>
      <c r="EII93" s="3"/>
      <c r="EIJ93" s="3"/>
      <c r="EIK93" s="3"/>
      <c r="EIL93" s="3"/>
      <c r="EIM93" s="3"/>
      <c r="EIN93" s="3"/>
      <c r="EIO93" s="3"/>
      <c r="EIP93" s="3"/>
      <c r="EIQ93" s="3"/>
      <c r="EIR93" s="3"/>
      <c r="EIS93" s="3"/>
      <c r="EIT93" s="3"/>
      <c r="EIU93" s="3"/>
      <c r="EIV93" s="3"/>
      <c r="EIW93" s="3"/>
      <c r="EIX93" s="3"/>
      <c r="EIY93" s="3"/>
      <c r="EIZ93" s="3"/>
      <c r="EJA93" s="3"/>
      <c r="EJB93" s="3"/>
      <c r="EJC93" s="3"/>
      <c r="EJD93" s="3"/>
      <c r="EJE93" s="3"/>
      <c r="EJF93" s="3"/>
      <c r="EJG93" s="3"/>
      <c r="EJH93" s="3"/>
      <c r="EJI93" s="3"/>
      <c r="EJJ93" s="3"/>
      <c r="EJK93" s="3"/>
      <c r="EJL93" s="3"/>
      <c r="EJM93" s="3"/>
      <c r="EJN93" s="3"/>
      <c r="EJO93" s="3"/>
      <c r="EJP93" s="3"/>
      <c r="EJQ93" s="3"/>
      <c r="EJR93" s="3"/>
      <c r="EJS93" s="3"/>
      <c r="EJT93" s="3"/>
      <c r="EJU93" s="3"/>
      <c r="EJV93" s="3"/>
      <c r="EJW93" s="3"/>
      <c r="EJX93" s="3"/>
      <c r="EJY93" s="3"/>
      <c r="EJZ93" s="3"/>
      <c r="EKA93" s="3"/>
      <c r="EKB93" s="3"/>
      <c r="EKC93" s="3"/>
      <c r="EKD93" s="3"/>
      <c r="EKE93" s="3"/>
      <c r="EKF93" s="3"/>
      <c r="EKG93" s="3"/>
      <c r="EKH93" s="3"/>
      <c r="EKI93" s="3"/>
      <c r="EKJ93" s="3"/>
      <c r="EKK93" s="3"/>
      <c r="EKL93" s="3"/>
      <c r="EKM93" s="3"/>
      <c r="EKN93" s="3"/>
      <c r="EKO93" s="3"/>
      <c r="EKP93" s="3"/>
      <c r="EKQ93" s="3"/>
      <c r="EKR93" s="3"/>
      <c r="EKS93" s="3"/>
      <c r="EKT93" s="3"/>
      <c r="EKU93" s="3"/>
      <c r="EKV93" s="3"/>
      <c r="EKW93" s="3"/>
      <c r="EKX93" s="3"/>
      <c r="EKY93" s="3"/>
      <c r="EKZ93" s="3"/>
      <c r="ELA93" s="3"/>
      <c r="ELB93" s="3"/>
      <c r="ELC93" s="3"/>
      <c r="ELD93" s="3"/>
      <c r="ELE93" s="3"/>
      <c r="ELF93" s="3"/>
      <c r="ELG93" s="3"/>
      <c r="ELH93" s="3"/>
      <c r="ELI93" s="3"/>
      <c r="ELJ93" s="3"/>
      <c r="ELK93" s="3"/>
      <c r="ELL93" s="3"/>
      <c r="ELM93" s="3"/>
      <c r="ELN93" s="3"/>
      <c r="ELO93" s="3"/>
      <c r="ELP93" s="3"/>
      <c r="ELQ93" s="3"/>
      <c r="ELR93" s="3"/>
      <c r="ELS93" s="3"/>
      <c r="ELT93" s="3"/>
      <c r="ELU93" s="3"/>
      <c r="ELV93" s="3"/>
      <c r="ELW93" s="3"/>
      <c r="ELX93" s="3"/>
      <c r="ELY93" s="3"/>
      <c r="ELZ93" s="3"/>
      <c r="EMA93" s="3"/>
      <c r="EMB93" s="3"/>
      <c r="EMC93" s="3"/>
      <c r="EMD93" s="3"/>
      <c r="EME93" s="3"/>
      <c r="EMF93" s="3"/>
      <c r="EMG93" s="3"/>
      <c r="EMH93" s="3"/>
      <c r="EMI93" s="3"/>
      <c r="EMJ93" s="3"/>
      <c r="EMK93" s="3"/>
      <c r="EML93" s="3"/>
      <c r="EMM93" s="3"/>
      <c r="EMN93" s="3"/>
      <c r="EMO93" s="3"/>
      <c r="EMP93" s="3"/>
      <c r="EMQ93" s="3"/>
      <c r="EMR93" s="3"/>
      <c r="EMS93" s="3"/>
      <c r="EMT93" s="3"/>
      <c r="EMU93" s="3"/>
      <c r="EMV93" s="3"/>
      <c r="EMW93" s="3"/>
      <c r="EMX93" s="3"/>
      <c r="EMY93" s="3"/>
      <c r="EMZ93" s="3"/>
      <c r="ENA93" s="3"/>
      <c r="ENB93" s="3"/>
      <c r="ENC93" s="3"/>
      <c r="END93" s="3"/>
      <c r="ENE93" s="3"/>
      <c r="ENF93" s="3"/>
      <c r="ENG93" s="3"/>
      <c r="ENH93" s="3"/>
      <c r="ENI93" s="3"/>
      <c r="ENJ93" s="3"/>
      <c r="ENK93" s="3"/>
      <c r="ENL93" s="3"/>
      <c r="ENM93" s="3"/>
      <c r="ENN93" s="3"/>
      <c r="ENO93" s="3"/>
      <c r="ENP93" s="3"/>
      <c r="ENQ93" s="3"/>
      <c r="ENR93" s="3"/>
      <c r="ENS93" s="3"/>
      <c r="ENT93" s="3"/>
      <c r="ENU93" s="3"/>
      <c r="ENV93" s="3"/>
      <c r="ENW93" s="3"/>
      <c r="ENX93" s="3"/>
      <c r="ENY93" s="3"/>
      <c r="ENZ93" s="3"/>
      <c r="EOA93" s="3"/>
      <c r="EOB93" s="3"/>
      <c r="EOC93" s="3"/>
      <c r="EOD93" s="3"/>
      <c r="EOE93" s="3"/>
      <c r="EOF93" s="3"/>
      <c r="EOG93" s="3"/>
      <c r="EOH93" s="3"/>
      <c r="EOI93" s="3"/>
      <c r="EOJ93" s="3"/>
      <c r="EOK93" s="3"/>
      <c r="EOL93" s="3"/>
      <c r="EOM93" s="3"/>
      <c r="EON93" s="3"/>
      <c r="EOO93" s="3"/>
      <c r="EOP93" s="3"/>
      <c r="EOQ93" s="3"/>
      <c r="EOR93" s="3"/>
      <c r="EOS93" s="3"/>
      <c r="EOT93" s="3"/>
      <c r="EOU93" s="3"/>
      <c r="EOV93" s="3"/>
      <c r="EOW93" s="3"/>
      <c r="EOX93" s="3"/>
      <c r="EOY93" s="3"/>
      <c r="EOZ93" s="3"/>
      <c r="EPA93" s="3"/>
      <c r="EPB93" s="3"/>
      <c r="EPC93" s="3"/>
      <c r="EPD93" s="3"/>
      <c r="EPE93" s="3"/>
      <c r="EPF93" s="3"/>
      <c r="EPG93" s="3"/>
      <c r="EPH93" s="3"/>
      <c r="EPI93" s="3"/>
      <c r="EPJ93" s="3"/>
      <c r="EPK93" s="3"/>
      <c r="EPL93" s="3"/>
      <c r="EPM93" s="3"/>
      <c r="EPN93" s="3"/>
      <c r="EPO93" s="3"/>
      <c r="EPP93" s="3"/>
      <c r="EPQ93" s="3"/>
      <c r="EPR93" s="3"/>
      <c r="EPS93" s="3"/>
      <c r="EPT93" s="3"/>
      <c r="EPU93" s="3"/>
      <c r="EPV93" s="3"/>
      <c r="EPW93" s="3"/>
      <c r="EPX93" s="3"/>
      <c r="EPY93" s="3"/>
      <c r="EPZ93" s="3"/>
      <c r="EQA93" s="3"/>
      <c r="EQB93" s="3"/>
      <c r="EQC93" s="3"/>
      <c r="EQD93" s="3"/>
      <c r="EQE93" s="3"/>
      <c r="EQF93" s="3"/>
      <c r="EQG93" s="3"/>
      <c r="EQH93" s="3"/>
      <c r="EQI93" s="3"/>
      <c r="EQJ93" s="3"/>
      <c r="EQK93" s="3"/>
      <c r="EQL93" s="3"/>
      <c r="EQM93" s="3"/>
      <c r="EQN93" s="3"/>
      <c r="EQO93" s="3"/>
      <c r="EQP93" s="3"/>
      <c r="EQQ93" s="3"/>
      <c r="EQR93" s="3"/>
      <c r="EQS93" s="3"/>
      <c r="EQT93" s="3"/>
      <c r="EQU93" s="3"/>
      <c r="EQV93" s="3"/>
      <c r="EQW93" s="3"/>
      <c r="EQX93" s="3"/>
      <c r="EQY93" s="3"/>
      <c r="EQZ93" s="3"/>
      <c r="ERA93" s="3"/>
      <c r="ERB93" s="3"/>
      <c r="ERC93" s="3"/>
      <c r="ERD93" s="3"/>
      <c r="ERE93" s="3"/>
      <c r="ERF93" s="3"/>
      <c r="ERG93" s="3"/>
      <c r="ERH93" s="3"/>
      <c r="ERI93" s="3"/>
      <c r="ERJ93" s="3"/>
      <c r="ERK93" s="3"/>
      <c r="ERL93" s="3"/>
      <c r="ERM93" s="3"/>
      <c r="ERN93" s="3"/>
      <c r="ERO93" s="3"/>
      <c r="ERP93" s="3"/>
      <c r="ERQ93" s="3"/>
      <c r="ERR93" s="3"/>
      <c r="ERS93" s="3"/>
      <c r="ERT93" s="3"/>
      <c r="ERU93" s="3"/>
      <c r="ERV93" s="3"/>
      <c r="ERW93" s="3"/>
      <c r="ERX93" s="3"/>
      <c r="ERY93" s="3"/>
      <c r="ERZ93" s="3"/>
      <c r="ESA93" s="3"/>
      <c r="ESB93" s="3"/>
      <c r="ESC93" s="3"/>
      <c r="ESD93" s="3"/>
      <c r="ESE93" s="3"/>
      <c r="ESF93" s="3"/>
      <c r="ESG93" s="3"/>
      <c r="ESH93" s="3"/>
      <c r="ESI93" s="3"/>
      <c r="ESJ93" s="3"/>
      <c r="ESK93" s="3"/>
      <c r="ESL93" s="3"/>
      <c r="ESM93" s="3"/>
      <c r="ESN93" s="3"/>
      <c r="ESO93" s="3"/>
      <c r="ESP93" s="3"/>
      <c r="ESQ93" s="3"/>
      <c r="ESR93" s="3"/>
      <c r="ESS93" s="3"/>
      <c r="EST93" s="3"/>
      <c r="ESU93" s="3"/>
      <c r="ESV93" s="3"/>
      <c r="ESW93" s="3"/>
      <c r="ESX93" s="3"/>
      <c r="ESY93" s="3"/>
      <c r="ESZ93" s="3"/>
      <c r="ETA93" s="3"/>
      <c r="ETB93" s="3"/>
      <c r="ETC93" s="3"/>
      <c r="ETD93" s="3"/>
      <c r="ETE93" s="3"/>
      <c r="ETF93" s="3"/>
      <c r="ETG93" s="3"/>
      <c r="ETH93" s="3"/>
      <c r="ETI93" s="3"/>
      <c r="ETJ93" s="3"/>
      <c r="ETK93" s="3"/>
      <c r="ETL93" s="3"/>
      <c r="ETM93" s="3"/>
      <c r="ETN93" s="3"/>
      <c r="ETO93" s="3"/>
      <c r="ETP93" s="3"/>
      <c r="ETQ93" s="3"/>
      <c r="ETR93" s="3"/>
      <c r="ETS93" s="3"/>
      <c r="ETT93" s="3"/>
      <c r="ETU93" s="3"/>
      <c r="ETV93" s="3"/>
      <c r="ETW93" s="3"/>
      <c r="ETX93" s="3"/>
      <c r="ETY93" s="3"/>
      <c r="ETZ93" s="3"/>
      <c r="EUA93" s="3"/>
      <c r="EUB93" s="3"/>
      <c r="EUC93" s="3"/>
      <c r="EUD93" s="3"/>
      <c r="EUE93" s="3"/>
      <c r="EUF93" s="3"/>
      <c r="EUG93" s="3"/>
      <c r="EUH93" s="3"/>
      <c r="EUI93" s="3"/>
      <c r="EUJ93" s="3"/>
      <c r="EUK93" s="3"/>
      <c r="EUL93" s="3"/>
      <c r="EUM93" s="3"/>
      <c r="EUN93" s="3"/>
      <c r="EUO93" s="3"/>
      <c r="EUP93" s="3"/>
      <c r="EUQ93" s="3"/>
      <c r="EUR93" s="3"/>
      <c r="EUS93" s="3"/>
      <c r="EUT93" s="3"/>
      <c r="EUU93" s="3"/>
      <c r="EUV93" s="3"/>
      <c r="EUW93" s="3"/>
      <c r="EUX93" s="3"/>
      <c r="EUY93" s="3"/>
      <c r="EUZ93" s="3"/>
      <c r="EVA93" s="3"/>
      <c r="EVB93" s="3"/>
      <c r="EVC93" s="3"/>
      <c r="EVD93" s="3"/>
      <c r="EVE93" s="3"/>
      <c r="EVF93" s="3"/>
      <c r="EVG93" s="3"/>
      <c r="EVH93" s="3"/>
      <c r="EVI93" s="3"/>
      <c r="EVJ93" s="3"/>
      <c r="EVK93" s="3"/>
      <c r="EVL93" s="3"/>
      <c r="EVM93" s="3"/>
      <c r="EVN93" s="3"/>
      <c r="EVO93" s="3"/>
      <c r="EVP93" s="3"/>
      <c r="EVQ93" s="3"/>
      <c r="EVR93" s="3"/>
      <c r="EVS93" s="3"/>
      <c r="EVT93" s="3"/>
      <c r="EVU93" s="3"/>
      <c r="EVV93" s="3"/>
      <c r="EVW93" s="3"/>
      <c r="EVX93" s="3"/>
      <c r="EVY93" s="3"/>
      <c r="EVZ93" s="3"/>
      <c r="EWA93" s="3"/>
      <c r="EWB93" s="3"/>
      <c r="EWC93" s="3"/>
      <c r="EWD93" s="3"/>
      <c r="EWE93" s="3"/>
      <c r="EWF93" s="3"/>
      <c r="EWG93" s="3"/>
      <c r="EWH93" s="3"/>
      <c r="EWI93" s="3"/>
      <c r="EWJ93" s="3"/>
      <c r="EWK93" s="3"/>
      <c r="EWL93" s="3"/>
      <c r="EWM93" s="3"/>
      <c r="EWN93" s="3"/>
      <c r="EWO93" s="3"/>
      <c r="EWP93" s="3"/>
      <c r="EWQ93" s="3"/>
      <c r="EWR93" s="3"/>
      <c r="EWS93" s="3"/>
      <c r="EWT93" s="3"/>
      <c r="EWU93" s="3"/>
      <c r="EWV93" s="3"/>
      <c r="EWW93" s="3"/>
      <c r="EWX93" s="3"/>
      <c r="EWY93" s="3"/>
      <c r="EWZ93" s="3"/>
      <c r="EXA93" s="3"/>
      <c r="EXB93" s="3"/>
      <c r="EXC93" s="3"/>
      <c r="EXD93" s="3"/>
      <c r="EXE93" s="3"/>
      <c r="EXF93" s="3"/>
      <c r="EXG93" s="3"/>
      <c r="EXH93" s="3"/>
      <c r="EXI93" s="3"/>
      <c r="EXJ93" s="3"/>
      <c r="EXK93" s="3"/>
      <c r="EXL93" s="3"/>
      <c r="EXM93" s="3"/>
      <c r="EXN93" s="3"/>
      <c r="EXO93" s="3"/>
      <c r="EXP93" s="3"/>
      <c r="EXQ93" s="3"/>
      <c r="EXR93" s="3"/>
      <c r="EXS93" s="3"/>
      <c r="EXT93" s="3"/>
      <c r="EXU93" s="3"/>
      <c r="EXV93" s="3"/>
      <c r="EXW93" s="3"/>
      <c r="EXX93" s="3"/>
      <c r="EXY93" s="3"/>
      <c r="EXZ93" s="3"/>
      <c r="EYA93" s="3"/>
      <c r="EYB93" s="3"/>
      <c r="EYC93" s="3"/>
      <c r="EYD93" s="3"/>
      <c r="EYE93" s="3"/>
      <c r="EYF93" s="3"/>
      <c r="EYG93" s="3"/>
      <c r="EYH93" s="3"/>
      <c r="EYI93" s="3"/>
      <c r="EYJ93" s="3"/>
      <c r="EYK93" s="3"/>
      <c r="EYL93" s="3"/>
      <c r="EYM93" s="3"/>
      <c r="EYN93" s="3"/>
      <c r="EYO93" s="3"/>
      <c r="EYP93" s="3"/>
      <c r="EYQ93" s="3"/>
      <c r="EYR93" s="3"/>
      <c r="EYS93" s="3"/>
      <c r="EYT93" s="3"/>
      <c r="EYU93" s="3"/>
      <c r="EYV93" s="3"/>
      <c r="EYW93" s="3"/>
      <c r="EYX93" s="3"/>
      <c r="EYY93" s="3"/>
      <c r="EYZ93" s="3"/>
      <c r="EZA93" s="3"/>
      <c r="EZB93" s="3"/>
      <c r="EZC93" s="3"/>
      <c r="EZD93" s="3"/>
      <c r="EZE93" s="3"/>
      <c r="EZF93" s="3"/>
      <c r="EZG93" s="3"/>
      <c r="EZH93" s="3"/>
      <c r="EZI93" s="3"/>
      <c r="EZJ93" s="3"/>
      <c r="EZK93" s="3"/>
      <c r="EZL93" s="3"/>
      <c r="EZM93" s="3"/>
      <c r="EZN93" s="3"/>
      <c r="EZO93" s="3"/>
      <c r="EZP93" s="3"/>
      <c r="EZQ93" s="3"/>
      <c r="EZR93" s="3"/>
      <c r="EZS93" s="3"/>
      <c r="EZT93" s="3"/>
      <c r="EZU93" s="3"/>
      <c r="EZV93" s="3"/>
      <c r="EZW93" s="3"/>
      <c r="EZX93" s="3"/>
      <c r="EZY93" s="3"/>
      <c r="EZZ93" s="3"/>
      <c r="FAA93" s="3"/>
      <c r="FAB93" s="3"/>
      <c r="FAC93" s="3"/>
      <c r="FAD93" s="3"/>
      <c r="FAE93" s="3"/>
      <c r="FAF93" s="3"/>
      <c r="FAG93" s="3"/>
      <c r="FAH93" s="3"/>
      <c r="FAI93" s="3"/>
      <c r="FAJ93" s="3"/>
      <c r="FAK93" s="3"/>
      <c r="FAL93" s="3"/>
      <c r="FAM93" s="3"/>
      <c r="FAN93" s="3"/>
      <c r="FAO93" s="3"/>
      <c r="FAP93" s="3"/>
      <c r="FAQ93" s="3"/>
      <c r="FAR93" s="3"/>
      <c r="FAS93" s="3"/>
      <c r="FAT93" s="3"/>
      <c r="FAU93" s="3"/>
      <c r="FAV93" s="3"/>
      <c r="FAW93" s="3"/>
      <c r="FAX93" s="3"/>
      <c r="FAY93" s="3"/>
      <c r="FAZ93" s="3"/>
      <c r="FBA93" s="3"/>
      <c r="FBB93" s="3"/>
      <c r="FBC93" s="3"/>
      <c r="FBD93" s="3"/>
      <c r="FBE93" s="3"/>
      <c r="FBF93" s="3"/>
      <c r="FBG93" s="3"/>
      <c r="FBH93" s="3"/>
      <c r="FBI93" s="3"/>
      <c r="FBJ93" s="3"/>
      <c r="FBK93" s="3"/>
      <c r="FBL93" s="3"/>
      <c r="FBM93" s="3"/>
      <c r="FBN93" s="3"/>
      <c r="FBO93" s="3"/>
      <c r="FBP93" s="3"/>
      <c r="FBQ93" s="3"/>
      <c r="FBR93" s="3"/>
      <c r="FBS93" s="3"/>
      <c r="FBT93" s="3"/>
      <c r="FBU93" s="3"/>
      <c r="FBV93" s="3"/>
      <c r="FBW93" s="3"/>
      <c r="FBX93" s="3"/>
      <c r="FBY93" s="3"/>
      <c r="FBZ93" s="3"/>
      <c r="FCA93" s="3"/>
      <c r="FCB93" s="3"/>
      <c r="FCC93" s="3"/>
      <c r="FCD93" s="3"/>
      <c r="FCE93" s="3"/>
      <c r="FCF93" s="3"/>
      <c r="FCG93" s="3"/>
      <c r="FCH93" s="3"/>
      <c r="FCI93" s="3"/>
      <c r="FCJ93" s="3"/>
      <c r="FCK93" s="3"/>
      <c r="FCL93" s="3"/>
      <c r="FCM93" s="3"/>
      <c r="FCN93" s="3"/>
      <c r="FCO93" s="3"/>
      <c r="FCP93" s="3"/>
      <c r="FCQ93" s="3"/>
      <c r="FCR93" s="3"/>
      <c r="FCS93" s="3"/>
      <c r="FCT93" s="3"/>
      <c r="FCU93" s="3"/>
      <c r="FCV93" s="3"/>
      <c r="FCW93" s="3"/>
      <c r="FCX93" s="3"/>
      <c r="FCY93" s="3"/>
      <c r="FCZ93" s="3"/>
      <c r="FDA93" s="3"/>
      <c r="FDB93" s="3"/>
      <c r="FDC93" s="3"/>
      <c r="FDD93" s="3"/>
      <c r="FDE93" s="3"/>
      <c r="FDF93" s="3"/>
      <c r="FDG93" s="3"/>
      <c r="FDH93" s="3"/>
      <c r="FDI93" s="3"/>
      <c r="FDJ93" s="3"/>
      <c r="FDK93" s="3"/>
      <c r="FDL93" s="3"/>
      <c r="FDM93" s="3"/>
      <c r="FDN93" s="3"/>
      <c r="FDO93" s="3"/>
      <c r="FDP93" s="3"/>
      <c r="FDQ93" s="3"/>
      <c r="FDR93" s="3"/>
      <c r="FDS93" s="3"/>
      <c r="FDT93" s="3"/>
      <c r="FDU93" s="3"/>
      <c r="FDV93" s="3"/>
      <c r="FDW93" s="3"/>
      <c r="FDX93" s="3"/>
      <c r="FDY93" s="3"/>
      <c r="FDZ93" s="3"/>
      <c r="FEA93" s="3"/>
      <c r="FEB93" s="3"/>
      <c r="FEC93" s="3"/>
      <c r="FED93" s="3"/>
      <c r="FEE93" s="3"/>
      <c r="FEF93" s="3"/>
      <c r="FEG93" s="3"/>
      <c r="FEH93" s="3"/>
      <c r="FEI93" s="3"/>
      <c r="FEJ93" s="3"/>
      <c r="FEK93" s="3"/>
      <c r="FEL93" s="3"/>
      <c r="FEM93" s="3"/>
      <c r="FEN93" s="3"/>
      <c r="FEO93" s="3"/>
      <c r="FEP93" s="3"/>
      <c r="FEQ93" s="3"/>
      <c r="FER93" s="3"/>
      <c r="FES93" s="3"/>
      <c r="FET93" s="3"/>
      <c r="FEU93" s="3"/>
      <c r="FEV93" s="3"/>
      <c r="FEW93" s="3"/>
      <c r="FEX93" s="3"/>
      <c r="FEY93" s="3"/>
      <c r="FEZ93" s="3"/>
      <c r="FFA93" s="3"/>
      <c r="FFB93" s="3"/>
      <c r="FFC93" s="3"/>
      <c r="FFD93" s="3"/>
      <c r="FFE93" s="3"/>
      <c r="FFF93" s="3"/>
      <c r="FFG93" s="3"/>
      <c r="FFH93" s="3"/>
      <c r="FFI93" s="3"/>
      <c r="FFJ93" s="3"/>
      <c r="FFK93" s="3"/>
      <c r="FFL93" s="3"/>
      <c r="FFM93" s="3"/>
      <c r="FFN93" s="3"/>
      <c r="FFO93" s="3"/>
      <c r="FFP93" s="3"/>
      <c r="FFQ93" s="3"/>
      <c r="FFR93" s="3"/>
      <c r="FFS93" s="3"/>
      <c r="FFT93" s="3"/>
      <c r="FFU93" s="3"/>
      <c r="FFV93" s="3"/>
      <c r="FFW93" s="3"/>
      <c r="FFX93" s="3"/>
      <c r="FFY93" s="3"/>
      <c r="FFZ93" s="3"/>
      <c r="FGA93" s="3"/>
      <c r="FGB93" s="3"/>
      <c r="FGC93" s="3"/>
      <c r="FGD93" s="3"/>
      <c r="FGE93" s="3"/>
      <c r="FGF93" s="3"/>
      <c r="FGG93" s="3"/>
      <c r="FGH93" s="3"/>
      <c r="FGI93" s="3"/>
      <c r="FGJ93" s="3"/>
      <c r="FGK93" s="3"/>
      <c r="FGL93" s="3"/>
      <c r="FGM93" s="3"/>
      <c r="FGN93" s="3"/>
      <c r="FGO93" s="3"/>
      <c r="FGP93" s="3"/>
      <c r="FGQ93" s="3"/>
      <c r="FGR93" s="3"/>
      <c r="FGS93" s="3"/>
      <c r="FGT93" s="3"/>
      <c r="FGU93" s="3"/>
      <c r="FGV93" s="3"/>
      <c r="FGW93" s="3"/>
      <c r="FGX93" s="3"/>
      <c r="FGY93" s="3"/>
      <c r="FGZ93" s="3"/>
      <c r="FHA93" s="3"/>
      <c r="FHB93" s="3"/>
      <c r="FHC93" s="3"/>
      <c r="FHD93" s="3"/>
      <c r="FHE93" s="3"/>
      <c r="FHF93" s="3"/>
      <c r="FHG93" s="3"/>
      <c r="FHH93" s="3"/>
      <c r="FHI93" s="3"/>
      <c r="FHJ93" s="3"/>
      <c r="FHK93" s="3"/>
      <c r="FHL93" s="3"/>
      <c r="FHM93" s="3"/>
      <c r="FHN93" s="3"/>
      <c r="FHO93" s="3"/>
      <c r="FHP93" s="3"/>
      <c r="FHQ93" s="3"/>
      <c r="FHR93" s="3"/>
      <c r="FHS93" s="3"/>
      <c r="FHT93" s="3"/>
      <c r="FHU93" s="3"/>
      <c r="FHV93" s="3"/>
      <c r="FHW93" s="3"/>
      <c r="FHX93" s="3"/>
      <c r="FHY93" s="3"/>
      <c r="FHZ93" s="3"/>
      <c r="FIA93" s="3"/>
      <c r="FIB93" s="3"/>
      <c r="FIC93" s="3"/>
      <c r="FID93" s="3"/>
      <c r="FIE93" s="3"/>
      <c r="FIF93" s="3"/>
      <c r="FIG93" s="3"/>
      <c r="FIH93" s="3"/>
      <c r="FII93" s="3"/>
      <c r="FIJ93" s="3"/>
      <c r="FIK93" s="3"/>
      <c r="FIL93" s="3"/>
      <c r="FIM93" s="3"/>
      <c r="FIN93" s="3"/>
      <c r="FIO93" s="3"/>
      <c r="FIP93" s="3"/>
      <c r="FIQ93" s="3"/>
      <c r="FIR93" s="3"/>
      <c r="FIS93" s="3"/>
      <c r="FIT93" s="3"/>
      <c r="FIU93" s="3"/>
      <c r="FIV93" s="3"/>
      <c r="FIW93" s="3"/>
      <c r="FIX93" s="3"/>
      <c r="FIY93" s="3"/>
      <c r="FIZ93" s="3"/>
      <c r="FJA93" s="3"/>
      <c r="FJB93" s="3"/>
      <c r="FJC93" s="3"/>
      <c r="FJD93" s="3"/>
      <c r="FJE93" s="3"/>
      <c r="FJF93" s="3"/>
      <c r="FJG93" s="3"/>
      <c r="FJH93" s="3"/>
      <c r="FJI93" s="3"/>
      <c r="FJJ93" s="3"/>
      <c r="FJK93" s="3"/>
      <c r="FJL93" s="3"/>
      <c r="FJM93" s="3"/>
      <c r="FJN93" s="3"/>
      <c r="FJO93" s="3"/>
      <c r="FJP93" s="3"/>
      <c r="FJQ93" s="3"/>
      <c r="FJR93" s="3"/>
      <c r="FJS93" s="3"/>
      <c r="FJT93" s="3"/>
      <c r="FJU93" s="3"/>
      <c r="FJV93" s="3"/>
      <c r="FJW93" s="3"/>
      <c r="FJX93" s="3"/>
      <c r="FJY93" s="3"/>
      <c r="FJZ93" s="3"/>
      <c r="FKA93" s="3"/>
      <c r="FKB93" s="3"/>
      <c r="FKC93" s="3"/>
      <c r="FKD93" s="3"/>
      <c r="FKE93" s="3"/>
      <c r="FKF93" s="3"/>
      <c r="FKG93" s="3"/>
      <c r="FKH93" s="3"/>
      <c r="FKI93" s="3"/>
      <c r="FKJ93" s="3"/>
      <c r="FKK93" s="3"/>
      <c r="FKL93" s="3"/>
      <c r="FKM93" s="3"/>
      <c r="FKN93" s="3"/>
      <c r="FKO93" s="3"/>
      <c r="FKP93" s="3"/>
      <c r="FKQ93" s="3"/>
      <c r="FKR93" s="3"/>
      <c r="FKS93" s="3"/>
      <c r="FKT93" s="3"/>
      <c r="FKU93" s="3"/>
      <c r="FKV93" s="3"/>
      <c r="FKW93" s="3"/>
      <c r="FKX93" s="3"/>
      <c r="FKY93" s="3"/>
      <c r="FKZ93" s="3"/>
      <c r="FLA93" s="3"/>
      <c r="FLB93" s="3"/>
      <c r="FLC93" s="3"/>
      <c r="FLD93" s="3"/>
      <c r="FLE93" s="3"/>
      <c r="FLF93" s="3"/>
      <c r="FLG93" s="3"/>
      <c r="FLH93" s="3"/>
      <c r="FLI93" s="3"/>
      <c r="FLJ93" s="3"/>
      <c r="FLK93" s="3"/>
      <c r="FLL93" s="3"/>
      <c r="FLM93" s="3"/>
      <c r="FLN93" s="3"/>
      <c r="FLO93" s="3"/>
      <c r="FLP93" s="3"/>
      <c r="FLQ93" s="3"/>
      <c r="FLR93" s="3"/>
      <c r="FLS93" s="3"/>
      <c r="FLT93" s="3"/>
      <c r="FLU93" s="3"/>
      <c r="FLV93" s="3"/>
      <c r="FLW93" s="3"/>
      <c r="FLX93" s="3"/>
      <c r="FLY93" s="3"/>
      <c r="FLZ93" s="3"/>
      <c r="FMA93" s="3"/>
      <c r="FMB93" s="3"/>
      <c r="FMC93" s="3"/>
      <c r="FMD93" s="3"/>
      <c r="FME93" s="3"/>
      <c r="FMF93" s="3"/>
      <c r="FMG93" s="3"/>
      <c r="FMH93" s="3"/>
      <c r="FMI93" s="3"/>
      <c r="FMJ93" s="3"/>
      <c r="FMK93" s="3"/>
      <c r="FML93" s="3"/>
      <c r="FMM93" s="3"/>
      <c r="FMN93" s="3"/>
      <c r="FMO93" s="3"/>
      <c r="FMP93" s="3"/>
      <c r="FMQ93" s="3"/>
      <c r="FMR93" s="3"/>
      <c r="FMS93" s="3"/>
      <c r="FMT93" s="3"/>
      <c r="FMU93" s="3"/>
      <c r="FMV93" s="3"/>
      <c r="FMW93" s="3"/>
      <c r="FMX93" s="3"/>
      <c r="FMY93" s="3"/>
      <c r="FMZ93" s="3"/>
      <c r="FNA93" s="3"/>
      <c r="FNB93" s="3"/>
      <c r="FNC93" s="3"/>
      <c r="FND93" s="3"/>
      <c r="FNE93" s="3"/>
      <c r="FNF93" s="3"/>
      <c r="FNG93" s="3"/>
      <c r="FNH93" s="3"/>
      <c r="FNI93" s="3"/>
      <c r="FNJ93" s="3"/>
      <c r="FNK93" s="3"/>
      <c r="FNL93" s="3"/>
      <c r="FNM93" s="3"/>
      <c r="FNN93" s="3"/>
      <c r="FNO93" s="3"/>
      <c r="FNP93" s="3"/>
      <c r="FNQ93" s="3"/>
      <c r="FNR93" s="3"/>
      <c r="FNS93" s="3"/>
      <c r="FNT93" s="3"/>
      <c r="FNU93" s="3"/>
      <c r="FNV93" s="3"/>
      <c r="FNW93" s="3"/>
      <c r="FNX93" s="3"/>
      <c r="FNY93" s="3"/>
      <c r="FNZ93" s="3"/>
      <c r="FOA93" s="3"/>
      <c r="FOB93" s="3"/>
      <c r="FOC93" s="3"/>
      <c r="FOD93" s="3"/>
      <c r="FOE93" s="3"/>
      <c r="FOF93" s="3"/>
      <c r="FOG93" s="3"/>
      <c r="FOH93" s="3"/>
      <c r="FOI93" s="3"/>
      <c r="FOJ93" s="3"/>
      <c r="FOK93" s="3"/>
      <c r="FOL93" s="3"/>
      <c r="FOM93" s="3"/>
      <c r="FON93" s="3"/>
      <c r="FOO93" s="3"/>
      <c r="FOP93" s="3"/>
      <c r="FOQ93" s="3"/>
      <c r="FOR93" s="3"/>
      <c r="FOS93" s="3"/>
      <c r="FOT93" s="3"/>
      <c r="FOU93" s="3"/>
      <c r="FOV93" s="3"/>
      <c r="FOW93" s="3"/>
      <c r="FOX93" s="3"/>
      <c r="FOY93" s="3"/>
      <c r="FOZ93" s="3"/>
      <c r="FPA93" s="3"/>
      <c r="FPB93" s="3"/>
      <c r="FPC93" s="3"/>
      <c r="FPD93" s="3"/>
      <c r="FPE93" s="3"/>
      <c r="FPF93" s="3"/>
      <c r="FPG93" s="3"/>
      <c r="FPH93" s="3"/>
      <c r="FPI93" s="3"/>
      <c r="FPJ93" s="3"/>
      <c r="FPK93" s="3"/>
      <c r="FPL93" s="3"/>
      <c r="FPM93" s="3"/>
      <c r="FPN93" s="3"/>
      <c r="FPO93" s="3"/>
      <c r="FPP93" s="3"/>
      <c r="FPQ93" s="3"/>
      <c r="FPR93" s="3"/>
      <c r="FPS93" s="3"/>
      <c r="FPT93" s="3"/>
      <c r="FPU93" s="3"/>
      <c r="FPV93" s="3"/>
      <c r="FPW93" s="3"/>
      <c r="FPX93" s="3"/>
      <c r="FPY93" s="3"/>
      <c r="FPZ93" s="3"/>
      <c r="FQA93" s="3"/>
      <c r="FQB93" s="3"/>
      <c r="FQC93" s="3"/>
      <c r="FQD93" s="3"/>
      <c r="FQE93" s="3"/>
      <c r="FQF93" s="3"/>
      <c r="FQG93" s="3"/>
      <c r="FQH93" s="3"/>
      <c r="FQI93" s="3"/>
      <c r="FQJ93" s="3"/>
      <c r="FQK93" s="3"/>
      <c r="FQL93" s="3"/>
      <c r="FQM93" s="3"/>
      <c r="FQN93" s="3"/>
      <c r="FQO93" s="3"/>
      <c r="FQP93" s="3"/>
      <c r="FQQ93" s="3"/>
      <c r="FQR93" s="3"/>
      <c r="FQS93" s="3"/>
      <c r="FQT93" s="3"/>
      <c r="FQU93" s="3"/>
      <c r="FQV93" s="3"/>
      <c r="FQW93" s="3"/>
      <c r="FQX93" s="3"/>
      <c r="FQY93" s="3"/>
      <c r="FQZ93" s="3"/>
      <c r="FRA93" s="3"/>
      <c r="FRB93" s="3"/>
      <c r="FRC93" s="3"/>
      <c r="FRD93" s="3"/>
      <c r="FRE93" s="3"/>
      <c r="FRF93" s="3"/>
      <c r="FRG93" s="3"/>
      <c r="FRH93" s="3"/>
      <c r="FRI93" s="3"/>
      <c r="FRJ93" s="3"/>
      <c r="FRK93" s="3"/>
      <c r="FRL93" s="3"/>
      <c r="FRM93" s="3"/>
      <c r="FRN93" s="3"/>
      <c r="FRO93" s="3"/>
      <c r="FRP93" s="3"/>
      <c r="FRQ93" s="3"/>
      <c r="FRR93" s="3"/>
      <c r="FRS93" s="3"/>
      <c r="FRT93" s="3"/>
      <c r="FRU93" s="3"/>
      <c r="FRV93" s="3"/>
      <c r="FRW93" s="3"/>
      <c r="FRX93" s="3"/>
      <c r="FRY93" s="3"/>
      <c r="FRZ93" s="3"/>
      <c r="FSA93" s="3"/>
      <c r="FSB93" s="3"/>
      <c r="FSC93" s="3"/>
      <c r="FSD93" s="3"/>
      <c r="FSE93" s="3"/>
      <c r="FSF93" s="3"/>
      <c r="FSG93" s="3"/>
      <c r="FSH93" s="3"/>
      <c r="FSI93" s="3"/>
      <c r="FSJ93" s="3"/>
      <c r="FSK93" s="3"/>
      <c r="FSL93" s="3"/>
      <c r="FSM93" s="3"/>
      <c r="FSN93" s="3"/>
      <c r="FSO93" s="3"/>
      <c r="FSP93" s="3"/>
      <c r="FSQ93" s="3"/>
      <c r="FSR93" s="3"/>
      <c r="FSS93" s="3"/>
      <c r="FST93" s="3"/>
      <c r="FSU93" s="3"/>
      <c r="FSV93" s="3"/>
      <c r="FSW93" s="3"/>
      <c r="FSX93" s="3"/>
      <c r="FSY93" s="3"/>
      <c r="FSZ93" s="3"/>
      <c r="FTA93" s="3"/>
      <c r="FTB93" s="3"/>
      <c r="FTC93" s="3"/>
      <c r="FTD93" s="3"/>
      <c r="FTE93" s="3"/>
      <c r="FTF93" s="3"/>
      <c r="FTG93" s="3"/>
      <c r="FTH93" s="3"/>
      <c r="FTI93" s="3"/>
      <c r="FTJ93" s="3"/>
      <c r="FTK93" s="3"/>
      <c r="FTL93" s="3"/>
      <c r="FTM93" s="3"/>
      <c r="FTN93" s="3"/>
      <c r="FTO93" s="3"/>
      <c r="FTP93" s="3"/>
      <c r="FTQ93" s="3"/>
      <c r="FTR93" s="3"/>
      <c r="FTS93" s="3"/>
      <c r="FTT93" s="3"/>
      <c r="FTU93" s="3"/>
      <c r="FTV93" s="3"/>
      <c r="FTW93" s="3"/>
      <c r="FTX93" s="3"/>
      <c r="FTY93" s="3"/>
      <c r="FTZ93" s="3"/>
      <c r="FUA93" s="3"/>
      <c r="FUB93" s="3"/>
      <c r="FUC93" s="3"/>
      <c r="FUD93" s="3"/>
      <c r="FUE93" s="3"/>
      <c r="FUF93" s="3"/>
      <c r="FUG93" s="3"/>
      <c r="FUH93" s="3"/>
      <c r="FUI93" s="3"/>
      <c r="FUJ93" s="3"/>
      <c r="FUK93" s="3"/>
      <c r="FUL93" s="3"/>
      <c r="FUM93" s="3"/>
      <c r="FUN93" s="3"/>
      <c r="FUO93" s="3"/>
      <c r="FUP93" s="3"/>
      <c r="FUQ93" s="3"/>
      <c r="FUR93" s="3"/>
      <c r="FUS93" s="3"/>
      <c r="FUT93" s="3"/>
      <c r="FUU93" s="3"/>
      <c r="FUV93" s="3"/>
      <c r="FUW93" s="3"/>
      <c r="FUX93" s="3"/>
      <c r="FUY93" s="3"/>
      <c r="FUZ93" s="3"/>
      <c r="FVA93" s="3"/>
      <c r="FVB93" s="3"/>
      <c r="FVC93" s="3"/>
      <c r="FVD93" s="3"/>
      <c r="FVE93" s="3"/>
      <c r="FVF93" s="3"/>
      <c r="FVG93" s="3"/>
      <c r="FVH93" s="3"/>
      <c r="FVI93" s="3"/>
      <c r="FVJ93" s="3"/>
      <c r="FVK93" s="3"/>
      <c r="FVL93" s="3"/>
      <c r="FVM93" s="3"/>
      <c r="FVN93" s="3"/>
      <c r="FVO93" s="3"/>
      <c r="FVP93" s="3"/>
      <c r="FVQ93" s="3"/>
      <c r="FVR93" s="3"/>
      <c r="FVS93" s="3"/>
      <c r="FVT93" s="3"/>
      <c r="FVU93" s="3"/>
      <c r="FVV93" s="3"/>
      <c r="FVW93" s="3"/>
      <c r="FVX93" s="3"/>
      <c r="FVY93" s="3"/>
      <c r="FVZ93" s="3"/>
      <c r="FWA93" s="3"/>
      <c r="FWB93" s="3"/>
      <c r="FWC93" s="3"/>
      <c r="FWD93" s="3"/>
      <c r="FWE93" s="3"/>
      <c r="FWF93" s="3"/>
      <c r="FWG93" s="3"/>
      <c r="FWH93" s="3"/>
      <c r="FWI93" s="3"/>
      <c r="FWJ93" s="3"/>
      <c r="FWK93" s="3"/>
      <c r="FWL93" s="3"/>
      <c r="FWM93" s="3"/>
      <c r="FWN93" s="3"/>
      <c r="FWO93" s="3"/>
      <c r="FWP93" s="3"/>
      <c r="FWQ93" s="3"/>
      <c r="FWR93" s="3"/>
      <c r="FWS93" s="3"/>
      <c r="FWT93" s="3"/>
      <c r="FWU93" s="3"/>
      <c r="FWV93" s="3"/>
      <c r="FWW93" s="3"/>
      <c r="FWX93" s="3"/>
      <c r="FWY93" s="3"/>
      <c r="FWZ93" s="3"/>
      <c r="FXA93" s="3"/>
      <c r="FXB93" s="3"/>
      <c r="FXC93" s="3"/>
      <c r="FXD93" s="3"/>
      <c r="FXE93" s="3"/>
      <c r="FXF93" s="3"/>
      <c r="FXG93" s="3"/>
      <c r="FXH93" s="3"/>
      <c r="FXI93" s="3"/>
      <c r="FXJ93" s="3"/>
      <c r="FXK93" s="3"/>
      <c r="FXL93" s="3"/>
      <c r="FXM93" s="3"/>
      <c r="FXN93" s="3"/>
      <c r="FXO93" s="3"/>
      <c r="FXP93" s="3"/>
      <c r="FXQ93" s="3"/>
      <c r="FXR93" s="3"/>
      <c r="FXS93" s="3"/>
      <c r="FXT93" s="3"/>
      <c r="FXU93" s="3"/>
      <c r="FXV93" s="3"/>
      <c r="FXW93" s="3"/>
      <c r="FXX93" s="3"/>
      <c r="FXY93" s="3"/>
      <c r="FXZ93" s="3"/>
      <c r="FYA93" s="3"/>
      <c r="FYB93" s="3"/>
      <c r="FYC93" s="3"/>
      <c r="FYD93" s="3"/>
      <c r="FYE93" s="3"/>
      <c r="FYF93" s="3"/>
      <c r="FYG93" s="3"/>
      <c r="FYH93" s="3"/>
      <c r="FYI93" s="3"/>
      <c r="FYJ93" s="3"/>
      <c r="FYK93" s="3"/>
      <c r="FYL93" s="3"/>
      <c r="FYM93" s="3"/>
      <c r="FYN93" s="3"/>
      <c r="FYO93" s="3"/>
      <c r="FYP93" s="3"/>
      <c r="FYQ93" s="3"/>
      <c r="FYR93" s="3"/>
      <c r="FYS93" s="3"/>
      <c r="FYT93" s="3"/>
      <c r="FYU93" s="3"/>
      <c r="FYV93" s="3"/>
      <c r="FYW93" s="3"/>
      <c r="FYX93" s="3"/>
      <c r="FYY93" s="3"/>
      <c r="FYZ93" s="3"/>
      <c r="FZA93" s="3"/>
      <c r="FZB93" s="3"/>
      <c r="FZC93" s="3"/>
      <c r="FZD93" s="3"/>
      <c r="FZE93" s="3"/>
      <c r="FZF93" s="3"/>
      <c r="FZG93" s="3"/>
      <c r="FZH93" s="3"/>
      <c r="FZI93" s="3"/>
      <c r="FZJ93" s="3"/>
      <c r="FZK93" s="3"/>
      <c r="FZL93" s="3"/>
      <c r="FZM93" s="3"/>
      <c r="FZN93" s="3"/>
      <c r="FZO93" s="3"/>
      <c r="FZP93" s="3"/>
      <c r="FZQ93" s="3"/>
      <c r="FZR93" s="3"/>
      <c r="FZS93" s="3"/>
      <c r="FZT93" s="3"/>
      <c r="FZU93" s="3"/>
      <c r="FZV93" s="3"/>
      <c r="FZW93" s="3"/>
      <c r="FZX93" s="3"/>
      <c r="FZY93" s="3"/>
      <c r="FZZ93" s="3"/>
      <c r="GAA93" s="3"/>
      <c r="GAB93" s="3"/>
      <c r="GAC93" s="3"/>
      <c r="GAD93" s="3"/>
      <c r="GAE93" s="3"/>
      <c r="GAF93" s="3"/>
      <c r="GAG93" s="3"/>
      <c r="GAH93" s="3"/>
      <c r="GAI93" s="3"/>
      <c r="GAJ93" s="3"/>
      <c r="GAK93" s="3"/>
      <c r="GAL93" s="3"/>
      <c r="GAM93" s="3"/>
      <c r="GAN93" s="3"/>
      <c r="GAO93" s="3"/>
      <c r="GAP93" s="3"/>
      <c r="GAQ93" s="3"/>
      <c r="GAR93" s="3"/>
      <c r="GAS93" s="3"/>
      <c r="GAT93" s="3"/>
      <c r="GAU93" s="3"/>
      <c r="GAV93" s="3"/>
      <c r="GAW93" s="3"/>
      <c r="GAX93" s="3"/>
      <c r="GAY93" s="3"/>
      <c r="GAZ93" s="3"/>
      <c r="GBA93" s="3"/>
      <c r="GBB93" s="3"/>
      <c r="GBC93" s="3"/>
      <c r="GBD93" s="3"/>
      <c r="GBE93" s="3"/>
      <c r="GBF93" s="3"/>
      <c r="GBG93" s="3"/>
      <c r="GBH93" s="3"/>
      <c r="GBI93" s="3"/>
      <c r="GBJ93" s="3"/>
      <c r="GBK93" s="3"/>
      <c r="GBL93" s="3"/>
      <c r="GBM93" s="3"/>
      <c r="GBN93" s="3"/>
      <c r="GBO93" s="3"/>
      <c r="GBP93" s="3"/>
      <c r="GBQ93" s="3"/>
      <c r="GBR93" s="3"/>
      <c r="GBS93" s="3"/>
      <c r="GBT93" s="3"/>
      <c r="GBU93" s="3"/>
      <c r="GBV93" s="3"/>
      <c r="GBW93" s="3"/>
      <c r="GBX93" s="3"/>
      <c r="GBY93" s="3"/>
      <c r="GBZ93" s="3"/>
      <c r="GCA93" s="3"/>
      <c r="GCB93" s="3"/>
      <c r="GCC93" s="3"/>
      <c r="GCD93" s="3"/>
      <c r="GCE93" s="3"/>
      <c r="GCF93" s="3"/>
      <c r="GCG93" s="3"/>
      <c r="GCH93" s="3"/>
      <c r="GCI93" s="3"/>
      <c r="GCJ93" s="3"/>
      <c r="GCK93" s="3"/>
      <c r="GCL93" s="3"/>
      <c r="GCM93" s="3"/>
      <c r="GCN93" s="3"/>
      <c r="GCO93" s="3"/>
      <c r="GCP93" s="3"/>
      <c r="GCQ93" s="3"/>
      <c r="GCR93" s="3"/>
      <c r="GCS93" s="3"/>
      <c r="GCT93" s="3"/>
      <c r="GCU93" s="3"/>
      <c r="GCV93" s="3"/>
      <c r="GCW93" s="3"/>
      <c r="GCX93" s="3"/>
      <c r="GCY93" s="3"/>
      <c r="GCZ93" s="3"/>
      <c r="GDA93" s="3"/>
      <c r="GDB93" s="3"/>
      <c r="GDC93" s="3"/>
      <c r="GDD93" s="3"/>
      <c r="GDE93" s="3"/>
      <c r="GDF93" s="3"/>
      <c r="GDG93" s="3"/>
      <c r="GDH93" s="3"/>
      <c r="GDI93" s="3"/>
      <c r="GDJ93" s="3"/>
      <c r="GDK93" s="3"/>
      <c r="GDL93" s="3"/>
      <c r="GDM93" s="3"/>
      <c r="GDN93" s="3"/>
      <c r="GDO93" s="3"/>
      <c r="GDP93" s="3"/>
      <c r="GDQ93" s="3"/>
      <c r="GDR93" s="3"/>
      <c r="GDS93" s="3"/>
      <c r="GDT93" s="3"/>
      <c r="GDU93" s="3"/>
      <c r="GDV93" s="3"/>
      <c r="GDW93" s="3"/>
      <c r="GDX93" s="3"/>
      <c r="GDY93" s="3"/>
      <c r="GDZ93" s="3"/>
      <c r="GEA93" s="3"/>
      <c r="GEB93" s="3"/>
      <c r="GEC93" s="3"/>
      <c r="GED93" s="3"/>
      <c r="GEE93" s="3"/>
      <c r="GEF93" s="3"/>
      <c r="GEG93" s="3"/>
      <c r="GEH93" s="3"/>
      <c r="GEI93" s="3"/>
      <c r="GEJ93" s="3"/>
      <c r="GEK93" s="3"/>
      <c r="GEL93" s="3"/>
      <c r="GEM93" s="3"/>
      <c r="GEN93" s="3"/>
      <c r="GEO93" s="3"/>
      <c r="GEP93" s="3"/>
      <c r="GEQ93" s="3"/>
      <c r="GER93" s="3"/>
      <c r="GES93" s="3"/>
      <c r="GET93" s="3"/>
      <c r="GEU93" s="3"/>
      <c r="GEV93" s="3"/>
      <c r="GEW93" s="3"/>
      <c r="GEX93" s="3"/>
      <c r="GEY93" s="3"/>
      <c r="GEZ93" s="3"/>
      <c r="GFA93" s="3"/>
      <c r="GFB93" s="3"/>
      <c r="GFC93" s="3"/>
      <c r="GFD93" s="3"/>
      <c r="GFE93" s="3"/>
      <c r="GFF93" s="3"/>
      <c r="GFG93" s="3"/>
      <c r="GFH93" s="3"/>
      <c r="GFI93" s="3"/>
      <c r="GFJ93" s="3"/>
      <c r="GFK93" s="3"/>
      <c r="GFL93" s="3"/>
      <c r="GFM93" s="3"/>
      <c r="GFN93" s="3"/>
      <c r="GFO93" s="3"/>
      <c r="GFP93" s="3"/>
      <c r="GFQ93" s="3"/>
      <c r="GFR93" s="3"/>
      <c r="GFS93" s="3"/>
      <c r="GFT93" s="3"/>
      <c r="GFU93" s="3"/>
      <c r="GFV93" s="3"/>
      <c r="GFW93" s="3"/>
      <c r="GFX93" s="3"/>
      <c r="GFY93" s="3"/>
      <c r="GFZ93" s="3"/>
      <c r="GGA93" s="3"/>
      <c r="GGB93" s="3"/>
      <c r="GGC93" s="3"/>
      <c r="GGD93" s="3"/>
      <c r="GGE93" s="3"/>
      <c r="GGF93" s="3"/>
      <c r="GGG93" s="3"/>
      <c r="GGH93" s="3"/>
      <c r="GGI93" s="3"/>
      <c r="GGJ93" s="3"/>
      <c r="GGK93" s="3"/>
      <c r="GGL93" s="3"/>
      <c r="GGM93" s="3"/>
      <c r="GGN93" s="3"/>
      <c r="GGO93" s="3"/>
      <c r="GGP93" s="3"/>
      <c r="GGQ93" s="3"/>
      <c r="GGR93" s="3"/>
      <c r="GGS93" s="3"/>
      <c r="GGT93" s="3"/>
      <c r="GGU93" s="3"/>
      <c r="GGV93" s="3"/>
      <c r="GGW93" s="3"/>
      <c r="GGX93" s="3"/>
      <c r="GGY93" s="3"/>
      <c r="GGZ93" s="3"/>
      <c r="GHA93" s="3"/>
      <c r="GHB93" s="3"/>
      <c r="GHC93" s="3"/>
      <c r="GHD93" s="3"/>
      <c r="GHE93" s="3"/>
      <c r="GHF93" s="3"/>
      <c r="GHG93" s="3"/>
      <c r="GHH93" s="3"/>
      <c r="GHI93" s="3"/>
      <c r="GHJ93" s="3"/>
      <c r="GHK93" s="3"/>
      <c r="GHL93" s="3"/>
      <c r="GHM93" s="3"/>
      <c r="GHN93" s="3"/>
      <c r="GHO93" s="3"/>
      <c r="GHP93" s="3"/>
      <c r="GHQ93" s="3"/>
      <c r="GHR93" s="3"/>
      <c r="GHS93" s="3"/>
      <c r="GHT93" s="3"/>
      <c r="GHU93" s="3"/>
      <c r="GHV93" s="3"/>
      <c r="GHW93" s="3"/>
      <c r="GHX93" s="3"/>
      <c r="GHY93" s="3"/>
      <c r="GHZ93" s="3"/>
      <c r="GIA93" s="3"/>
      <c r="GIB93" s="3"/>
      <c r="GIC93" s="3"/>
      <c r="GID93" s="3"/>
      <c r="GIE93" s="3"/>
      <c r="GIF93" s="3"/>
      <c r="GIG93" s="3"/>
      <c r="GIH93" s="3"/>
      <c r="GII93" s="3"/>
      <c r="GIJ93" s="3"/>
      <c r="GIK93" s="3"/>
      <c r="GIL93" s="3"/>
      <c r="GIM93" s="3"/>
      <c r="GIN93" s="3"/>
      <c r="GIO93" s="3"/>
      <c r="GIP93" s="3"/>
      <c r="GIQ93" s="3"/>
      <c r="GIR93" s="3"/>
      <c r="GIS93" s="3"/>
      <c r="GIT93" s="3"/>
      <c r="GIU93" s="3"/>
      <c r="GIV93" s="3"/>
      <c r="GIW93" s="3"/>
      <c r="GIX93" s="3"/>
      <c r="GIY93" s="3"/>
      <c r="GIZ93" s="3"/>
      <c r="GJA93" s="3"/>
      <c r="GJB93" s="3"/>
      <c r="GJC93" s="3"/>
      <c r="GJD93" s="3"/>
      <c r="GJE93" s="3"/>
      <c r="GJF93" s="3"/>
      <c r="GJG93" s="3"/>
      <c r="GJH93" s="3"/>
      <c r="GJI93" s="3"/>
      <c r="GJJ93" s="3"/>
      <c r="GJK93" s="3"/>
      <c r="GJL93" s="3"/>
      <c r="GJM93" s="3"/>
      <c r="GJN93" s="3"/>
      <c r="GJO93" s="3"/>
      <c r="GJP93" s="3"/>
      <c r="GJQ93" s="3"/>
      <c r="GJR93" s="3"/>
      <c r="GJS93" s="3"/>
      <c r="GJT93" s="3"/>
      <c r="GJU93" s="3"/>
      <c r="GJV93" s="3"/>
      <c r="GJW93" s="3"/>
      <c r="GJX93" s="3"/>
      <c r="GJY93" s="3"/>
      <c r="GJZ93" s="3"/>
      <c r="GKA93" s="3"/>
      <c r="GKB93" s="3"/>
      <c r="GKC93" s="3"/>
      <c r="GKD93" s="3"/>
      <c r="GKE93" s="3"/>
      <c r="GKF93" s="3"/>
      <c r="GKG93" s="3"/>
      <c r="GKH93" s="3"/>
      <c r="GKI93" s="3"/>
      <c r="GKJ93" s="3"/>
      <c r="GKK93" s="3"/>
      <c r="GKL93" s="3"/>
      <c r="GKM93" s="3"/>
      <c r="GKN93" s="3"/>
      <c r="GKO93" s="3"/>
      <c r="GKP93" s="3"/>
      <c r="GKQ93" s="3"/>
      <c r="GKR93" s="3"/>
      <c r="GKS93" s="3"/>
      <c r="GKT93" s="3"/>
      <c r="GKU93" s="3"/>
      <c r="GKV93" s="3"/>
      <c r="GKW93" s="3"/>
      <c r="GKX93" s="3"/>
      <c r="GKY93" s="3"/>
      <c r="GKZ93" s="3"/>
      <c r="GLA93" s="3"/>
      <c r="GLB93" s="3"/>
      <c r="GLC93" s="3"/>
      <c r="GLD93" s="3"/>
      <c r="GLE93" s="3"/>
      <c r="GLF93" s="3"/>
      <c r="GLG93" s="3"/>
      <c r="GLH93" s="3"/>
      <c r="GLI93" s="3"/>
      <c r="GLJ93" s="3"/>
      <c r="GLK93" s="3"/>
      <c r="GLL93" s="3"/>
      <c r="GLM93" s="3"/>
      <c r="GLN93" s="3"/>
      <c r="GLO93" s="3"/>
      <c r="GLP93" s="3"/>
      <c r="GLQ93" s="3"/>
      <c r="GLR93" s="3"/>
      <c r="GLS93" s="3"/>
      <c r="GLT93" s="3"/>
      <c r="GLU93" s="3"/>
      <c r="GLV93" s="3"/>
      <c r="GLW93" s="3"/>
      <c r="GLX93" s="3"/>
      <c r="GLY93" s="3"/>
      <c r="GLZ93" s="3"/>
      <c r="GMA93" s="3"/>
      <c r="GMB93" s="3"/>
      <c r="GMC93" s="3"/>
      <c r="GMD93" s="3"/>
      <c r="GME93" s="3"/>
      <c r="GMF93" s="3"/>
      <c r="GMG93" s="3"/>
      <c r="GMH93" s="3"/>
      <c r="GMI93" s="3"/>
      <c r="GMJ93" s="3"/>
      <c r="GMK93" s="3"/>
      <c r="GML93" s="3"/>
      <c r="GMM93" s="3"/>
      <c r="GMN93" s="3"/>
      <c r="GMO93" s="3"/>
      <c r="GMP93" s="3"/>
      <c r="GMQ93" s="3"/>
      <c r="GMR93" s="3"/>
      <c r="GMS93" s="3"/>
      <c r="GMT93" s="3"/>
      <c r="GMU93" s="3"/>
      <c r="GMV93" s="3"/>
      <c r="GMW93" s="3"/>
      <c r="GMX93" s="3"/>
      <c r="GMY93" s="3"/>
      <c r="GMZ93" s="3"/>
      <c r="GNA93" s="3"/>
      <c r="GNB93" s="3"/>
      <c r="GNC93" s="3"/>
      <c r="GND93" s="3"/>
      <c r="GNE93" s="3"/>
      <c r="GNF93" s="3"/>
      <c r="GNG93" s="3"/>
      <c r="GNH93" s="3"/>
      <c r="GNI93" s="3"/>
      <c r="GNJ93" s="3"/>
      <c r="GNK93" s="3"/>
      <c r="GNL93" s="3"/>
      <c r="GNM93" s="3"/>
      <c r="GNN93" s="3"/>
      <c r="GNO93" s="3"/>
      <c r="GNP93" s="3"/>
      <c r="GNQ93" s="3"/>
      <c r="GNR93" s="3"/>
      <c r="GNS93" s="3"/>
      <c r="GNT93" s="3"/>
      <c r="GNU93" s="3"/>
      <c r="GNV93" s="3"/>
      <c r="GNW93" s="3"/>
      <c r="GNX93" s="3"/>
      <c r="GNY93" s="3"/>
      <c r="GNZ93" s="3"/>
      <c r="GOA93" s="3"/>
      <c r="GOB93" s="3"/>
      <c r="GOC93" s="3"/>
      <c r="GOD93" s="3"/>
      <c r="GOE93" s="3"/>
      <c r="GOF93" s="3"/>
      <c r="GOG93" s="3"/>
      <c r="GOH93" s="3"/>
      <c r="GOI93" s="3"/>
      <c r="GOJ93" s="3"/>
      <c r="GOK93" s="3"/>
      <c r="GOL93" s="3"/>
      <c r="GOM93" s="3"/>
      <c r="GON93" s="3"/>
      <c r="GOO93" s="3"/>
      <c r="GOP93" s="3"/>
      <c r="GOQ93" s="3"/>
      <c r="GOR93" s="3"/>
      <c r="GOS93" s="3"/>
      <c r="GOT93" s="3"/>
      <c r="GOU93" s="3"/>
      <c r="GOV93" s="3"/>
      <c r="GOW93" s="3"/>
      <c r="GOX93" s="3"/>
      <c r="GOY93" s="3"/>
      <c r="GOZ93" s="3"/>
      <c r="GPA93" s="3"/>
      <c r="GPB93" s="3"/>
      <c r="GPC93" s="3"/>
      <c r="GPD93" s="3"/>
      <c r="GPE93" s="3"/>
      <c r="GPF93" s="3"/>
      <c r="GPG93" s="3"/>
      <c r="GPH93" s="3"/>
      <c r="GPI93" s="3"/>
      <c r="GPJ93" s="3"/>
      <c r="GPK93" s="3"/>
      <c r="GPL93" s="3"/>
      <c r="GPM93" s="3"/>
      <c r="GPN93" s="3"/>
      <c r="GPO93" s="3"/>
      <c r="GPP93" s="3"/>
      <c r="GPQ93" s="3"/>
      <c r="GPR93" s="3"/>
      <c r="GPS93" s="3"/>
      <c r="GPT93" s="3"/>
      <c r="GPU93" s="3"/>
      <c r="GPV93" s="3"/>
      <c r="GPW93" s="3"/>
      <c r="GPX93" s="3"/>
      <c r="GPY93" s="3"/>
      <c r="GPZ93" s="3"/>
      <c r="GQA93" s="3"/>
      <c r="GQB93" s="3"/>
      <c r="GQC93" s="3"/>
      <c r="GQD93" s="3"/>
      <c r="GQE93" s="3"/>
      <c r="GQF93" s="3"/>
      <c r="GQG93" s="3"/>
      <c r="GQH93" s="3"/>
      <c r="GQI93" s="3"/>
      <c r="GQJ93" s="3"/>
      <c r="GQK93" s="3"/>
      <c r="GQL93" s="3"/>
      <c r="GQM93" s="3"/>
      <c r="GQN93" s="3"/>
      <c r="GQO93" s="3"/>
      <c r="GQP93" s="3"/>
      <c r="GQQ93" s="3"/>
      <c r="GQR93" s="3"/>
      <c r="GQS93" s="3"/>
      <c r="GQT93" s="3"/>
      <c r="GQU93" s="3"/>
      <c r="GQV93" s="3"/>
      <c r="GQW93" s="3"/>
      <c r="GQX93" s="3"/>
      <c r="GQY93" s="3"/>
      <c r="GQZ93" s="3"/>
      <c r="GRA93" s="3"/>
      <c r="GRB93" s="3"/>
      <c r="GRC93" s="3"/>
      <c r="GRD93" s="3"/>
      <c r="GRE93" s="3"/>
      <c r="GRF93" s="3"/>
      <c r="GRG93" s="3"/>
      <c r="GRH93" s="3"/>
      <c r="GRI93" s="3"/>
      <c r="GRJ93" s="3"/>
      <c r="GRK93" s="3"/>
      <c r="GRL93" s="3"/>
      <c r="GRM93" s="3"/>
      <c r="GRN93" s="3"/>
      <c r="GRO93" s="3"/>
      <c r="GRP93" s="3"/>
      <c r="GRQ93" s="3"/>
      <c r="GRR93" s="3"/>
      <c r="GRS93" s="3"/>
      <c r="GRT93" s="3"/>
      <c r="GRU93" s="3"/>
      <c r="GRV93" s="3"/>
      <c r="GRW93" s="3"/>
      <c r="GRX93" s="3"/>
      <c r="GRY93" s="3"/>
      <c r="GRZ93" s="3"/>
      <c r="GSA93" s="3"/>
      <c r="GSB93" s="3"/>
      <c r="GSC93" s="3"/>
      <c r="GSD93" s="3"/>
      <c r="GSE93" s="3"/>
      <c r="GSF93" s="3"/>
      <c r="GSG93" s="3"/>
      <c r="GSH93" s="3"/>
      <c r="GSI93" s="3"/>
      <c r="GSJ93" s="3"/>
      <c r="GSK93" s="3"/>
      <c r="GSL93" s="3"/>
      <c r="GSM93" s="3"/>
      <c r="GSN93" s="3"/>
      <c r="GSO93" s="3"/>
      <c r="GSP93" s="3"/>
      <c r="GSQ93" s="3"/>
      <c r="GSR93" s="3"/>
      <c r="GSS93" s="3"/>
      <c r="GST93" s="3"/>
      <c r="GSU93" s="3"/>
      <c r="GSV93" s="3"/>
      <c r="GSW93" s="3"/>
      <c r="GSX93" s="3"/>
      <c r="GSY93" s="3"/>
      <c r="GSZ93" s="3"/>
      <c r="GTA93" s="3"/>
      <c r="GTB93" s="3"/>
      <c r="GTC93" s="3"/>
      <c r="GTD93" s="3"/>
      <c r="GTE93" s="3"/>
      <c r="GTF93" s="3"/>
      <c r="GTG93" s="3"/>
      <c r="GTH93" s="3"/>
      <c r="GTI93" s="3"/>
      <c r="GTJ93" s="3"/>
      <c r="GTK93" s="3"/>
      <c r="GTL93" s="3"/>
      <c r="GTM93" s="3"/>
      <c r="GTN93" s="3"/>
      <c r="GTO93" s="3"/>
      <c r="GTP93" s="3"/>
      <c r="GTQ93" s="3"/>
      <c r="GTR93" s="3"/>
      <c r="GTS93" s="3"/>
      <c r="GTT93" s="3"/>
      <c r="GTU93" s="3"/>
      <c r="GTV93" s="3"/>
      <c r="GTW93" s="3"/>
      <c r="GTX93" s="3"/>
      <c r="GTY93" s="3"/>
      <c r="GTZ93" s="3"/>
      <c r="GUA93" s="3"/>
      <c r="GUB93" s="3"/>
      <c r="GUC93" s="3"/>
      <c r="GUD93" s="3"/>
      <c r="GUE93" s="3"/>
      <c r="GUF93" s="3"/>
      <c r="GUG93" s="3"/>
      <c r="GUH93" s="3"/>
      <c r="GUI93" s="3"/>
      <c r="GUJ93" s="3"/>
      <c r="GUK93" s="3"/>
      <c r="GUL93" s="3"/>
      <c r="GUM93" s="3"/>
      <c r="GUN93" s="3"/>
      <c r="GUO93" s="3"/>
      <c r="GUP93" s="3"/>
      <c r="GUQ93" s="3"/>
      <c r="GUR93" s="3"/>
      <c r="GUS93" s="3"/>
      <c r="GUT93" s="3"/>
      <c r="GUU93" s="3"/>
      <c r="GUV93" s="3"/>
      <c r="GUW93" s="3"/>
      <c r="GUX93" s="3"/>
      <c r="GUY93" s="3"/>
      <c r="GUZ93" s="3"/>
      <c r="GVA93" s="3"/>
      <c r="GVB93" s="3"/>
      <c r="GVC93" s="3"/>
      <c r="GVD93" s="3"/>
      <c r="GVE93" s="3"/>
      <c r="GVF93" s="3"/>
      <c r="GVG93" s="3"/>
      <c r="GVH93" s="3"/>
      <c r="GVI93" s="3"/>
      <c r="GVJ93" s="3"/>
      <c r="GVK93" s="3"/>
      <c r="GVL93" s="3"/>
      <c r="GVM93" s="3"/>
      <c r="GVN93" s="3"/>
      <c r="GVO93" s="3"/>
      <c r="GVP93" s="3"/>
      <c r="GVQ93" s="3"/>
      <c r="GVR93" s="3"/>
      <c r="GVS93" s="3"/>
      <c r="GVT93" s="3"/>
      <c r="GVU93" s="3"/>
      <c r="GVV93" s="3"/>
      <c r="GVW93" s="3"/>
      <c r="GVX93" s="3"/>
      <c r="GVY93" s="3"/>
      <c r="GVZ93" s="3"/>
      <c r="GWA93" s="3"/>
      <c r="GWB93" s="3"/>
      <c r="GWC93" s="3"/>
      <c r="GWD93" s="3"/>
      <c r="GWE93" s="3"/>
      <c r="GWF93" s="3"/>
      <c r="GWG93" s="3"/>
      <c r="GWH93" s="3"/>
      <c r="GWI93" s="3"/>
      <c r="GWJ93" s="3"/>
      <c r="GWK93" s="3"/>
      <c r="GWL93" s="3"/>
      <c r="GWM93" s="3"/>
      <c r="GWN93" s="3"/>
      <c r="GWO93" s="3"/>
      <c r="GWP93" s="3"/>
      <c r="GWQ93" s="3"/>
      <c r="GWR93" s="3"/>
      <c r="GWS93" s="3"/>
      <c r="GWT93" s="3"/>
      <c r="GWU93" s="3"/>
      <c r="GWV93" s="3"/>
      <c r="GWW93" s="3"/>
      <c r="GWX93" s="3"/>
      <c r="GWY93" s="3"/>
      <c r="GWZ93" s="3"/>
      <c r="GXA93" s="3"/>
      <c r="GXB93" s="3"/>
      <c r="GXC93" s="3"/>
      <c r="GXD93" s="3"/>
      <c r="GXE93" s="3"/>
      <c r="GXF93" s="3"/>
      <c r="GXG93" s="3"/>
      <c r="GXH93" s="3"/>
      <c r="GXI93" s="3"/>
      <c r="GXJ93" s="3"/>
      <c r="GXK93" s="3"/>
      <c r="GXL93" s="3"/>
      <c r="GXM93" s="3"/>
      <c r="GXN93" s="3"/>
      <c r="GXO93" s="3"/>
      <c r="GXP93" s="3"/>
      <c r="GXQ93" s="3"/>
      <c r="GXR93" s="3"/>
      <c r="GXS93" s="3"/>
      <c r="GXT93" s="3"/>
      <c r="GXU93" s="3"/>
      <c r="GXV93" s="3"/>
      <c r="GXW93" s="3"/>
      <c r="GXX93" s="3"/>
      <c r="GXY93" s="3"/>
      <c r="GXZ93" s="3"/>
      <c r="GYA93" s="3"/>
      <c r="GYB93" s="3"/>
      <c r="GYC93" s="3"/>
      <c r="GYD93" s="3"/>
      <c r="GYE93" s="3"/>
      <c r="GYF93" s="3"/>
      <c r="GYG93" s="3"/>
      <c r="GYH93" s="3"/>
      <c r="GYI93" s="3"/>
      <c r="GYJ93" s="3"/>
      <c r="GYK93" s="3"/>
      <c r="GYL93" s="3"/>
      <c r="GYM93" s="3"/>
      <c r="GYN93" s="3"/>
      <c r="GYO93" s="3"/>
      <c r="GYP93" s="3"/>
      <c r="GYQ93" s="3"/>
      <c r="GYR93" s="3"/>
      <c r="GYS93" s="3"/>
      <c r="GYT93" s="3"/>
      <c r="GYU93" s="3"/>
      <c r="GYV93" s="3"/>
      <c r="GYW93" s="3"/>
      <c r="GYX93" s="3"/>
      <c r="GYY93" s="3"/>
      <c r="GYZ93" s="3"/>
      <c r="GZA93" s="3"/>
      <c r="GZB93" s="3"/>
      <c r="GZC93" s="3"/>
      <c r="GZD93" s="3"/>
      <c r="GZE93" s="3"/>
      <c r="GZF93" s="3"/>
      <c r="GZG93" s="3"/>
      <c r="GZH93" s="3"/>
      <c r="GZI93" s="3"/>
      <c r="GZJ93" s="3"/>
      <c r="GZK93" s="3"/>
      <c r="GZL93" s="3"/>
      <c r="GZM93" s="3"/>
      <c r="GZN93" s="3"/>
      <c r="GZO93" s="3"/>
      <c r="GZP93" s="3"/>
      <c r="GZQ93" s="3"/>
      <c r="GZR93" s="3"/>
      <c r="GZS93" s="3"/>
      <c r="GZT93" s="3"/>
      <c r="GZU93" s="3"/>
      <c r="GZV93" s="3"/>
      <c r="GZW93" s="3"/>
      <c r="GZX93" s="3"/>
      <c r="GZY93" s="3"/>
      <c r="GZZ93" s="3"/>
      <c r="HAA93" s="3"/>
      <c r="HAB93" s="3"/>
      <c r="HAC93" s="3"/>
      <c r="HAD93" s="3"/>
      <c r="HAE93" s="3"/>
      <c r="HAF93" s="3"/>
      <c r="HAG93" s="3"/>
      <c r="HAH93" s="3"/>
      <c r="HAI93" s="3"/>
      <c r="HAJ93" s="3"/>
      <c r="HAK93" s="3"/>
      <c r="HAL93" s="3"/>
      <c r="HAM93" s="3"/>
      <c r="HAN93" s="3"/>
      <c r="HAO93" s="3"/>
      <c r="HAP93" s="3"/>
      <c r="HAQ93" s="3"/>
      <c r="HAR93" s="3"/>
      <c r="HAS93" s="3"/>
      <c r="HAT93" s="3"/>
      <c r="HAU93" s="3"/>
      <c r="HAV93" s="3"/>
      <c r="HAW93" s="3"/>
      <c r="HAX93" s="3"/>
      <c r="HAY93" s="3"/>
      <c r="HAZ93" s="3"/>
      <c r="HBA93" s="3"/>
      <c r="HBB93" s="3"/>
      <c r="HBC93" s="3"/>
      <c r="HBD93" s="3"/>
      <c r="HBE93" s="3"/>
      <c r="HBF93" s="3"/>
      <c r="HBG93" s="3"/>
      <c r="HBH93" s="3"/>
      <c r="HBI93" s="3"/>
      <c r="HBJ93" s="3"/>
      <c r="HBK93" s="3"/>
      <c r="HBL93" s="3"/>
      <c r="HBM93" s="3"/>
      <c r="HBN93" s="3"/>
      <c r="HBO93" s="3"/>
      <c r="HBP93" s="3"/>
      <c r="HBQ93" s="3"/>
      <c r="HBR93" s="3"/>
      <c r="HBS93" s="3"/>
      <c r="HBT93" s="3"/>
      <c r="HBU93" s="3"/>
      <c r="HBV93" s="3"/>
      <c r="HBW93" s="3"/>
      <c r="HBX93" s="3"/>
      <c r="HBY93" s="3"/>
      <c r="HBZ93" s="3"/>
      <c r="HCA93" s="3"/>
      <c r="HCB93" s="3"/>
      <c r="HCC93" s="3"/>
      <c r="HCD93" s="3"/>
      <c r="HCE93" s="3"/>
      <c r="HCF93" s="3"/>
      <c r="HCG93" s="3"/>
      <c r="HCH93" s="3"/>
      <c r="HCI93" s="3"/>
      <c r="HCJ93" s="3"/>
      <c r="HCK93" s="3"/>
      <c r="HCL93" s="3"/>
      <c r="HCM93" s="3"/>
      <c r="HCN93" s="3"/>
      <c r="HCO93" s="3"/>
      <c r="HCP93" s="3"/>
      <c r="HCQ93" s="3"/>
      <c r="HCR93" s="3"/>
      <c r="HCS93" s="3"/>
      <c r="HCT93" s="3"/>
      <c r="HCU93" s="3"/>
      <c r="HCV93" s="3"/>
      <c r="HCW93" s="3"/>
      <c r="HCX93" s="3"/>
      <c r="HCY93" s="3"/>
      <c r="HCZ93" s="3"/>
      <c r="HDA93" s="3"/>
      <c r="HDB93" s="3"/>
      <c r="HDC93" s="3"/>
      <c r="HDD93" s="3"/>
      <c r="HDE93" s="3"/>
      <c r="HDF93" s="3"/>
      <c r="HDG93" s="3"/>
      <c r="HDH93" s="3"/>
      <c r="HDI93" s="3"/>
      <c r="HDJ93" s="3"/>
      <c r="HDK93" s="3"/>
      <c r="HDL93" s="3"/>
      <c r="HDM93" s="3"/>
      <c r="HDN93" s="3"/>
      <c r="HDO93" s="3"/>
      <c r="HDP93" s="3"/>
      <c r="HDQ93" s="3"/>
      <c r="HDR93" s="3"/>
      <c r="HDS93" s="3"/>
      <c r="HDT93" s="3"/>
      <c r="HDU93" s="3"/>
      <c r="HDV93" s="3"/>
      <c r="HDW93" s="3"/>
      <c r="HDX93" s="3"/>
      <c r="HDY93" s="3"/>
      <c r="HDZ93" s="3"/>
      <c r="HEA93" s="3"/>
      <c r="HEB93" s="3"/>
      <c r="HEC93" s="3"/>
      <c r="HED93" s="3"/>
      <c r="HEE93" s="3"/>
      <c r="HEF93" s="3"/>
      <c r="HEG93" s="3"/>
      <c r="HEH93" s="3"/>
      <c r="HEI93" s="3"/>
      <c r="HEJ93" s="3"/>
      <c r="HEK93" s="3"/>
      <c r="HEL93" s="3"/>
      <c r="HEM93" s="3"/>
      <c r="HEN93" s="3"/>
      <c r="HEO93" s="3"/>
      <c r="HEP93" s="3"/>
      <c r="HEQ93" s="3"/>
      <c r="HER93" s="3"/>
      <c r="HES93" s="3"/>
      <c r="HET93" s="3"/>
      <c r="HEU93" s="3"/>
      <c r="HEV93" s="3"/>
      <c r="HEW93" s="3"/>
      <c r="HEX93" s="3"/>
      <c r="HEY93" s="3"/>
      <c r="HEZ93" s="3"/>
      <c r="HFA93" s="3"/>
      <c r="HFB93" s="3"/>
      <c r="HFC93" s="3"/>
      <c r="HFD93" s="3"/>
      <c r="HFE93" s="3"/>
      <c r="HFF93" s="3"/>
      <c r="HFG93" s="3"/>
      <c r="HFH93" s="3"/>
      <c r="HFI93" s="3"/>
      <c r="HFJ93" s="3"/>
      <c r="HFK93" s="3"/>
      <c r="HFL93" s="3"/>
      <c r="HFM93" s="3"/>
      <c r="HFN93" s="3"/>
      <c r="HFO93" s="3"/>
      <c r="HFP93" s="3"/>
      <c r="HFQ93" s="3"/>
      <c r="HFR93" s="3"/>
      <c r="HFS93" s="3"/>
      <c r="HFT93" s="3"/>
      <c r="HFU93" s="3"/>
      <c r="HFV93" s="3"/>
      <c r="HFW93" s="3"/>
      <c r="HFX93" s="3"/>
      <c r="HFY93" s="3"/>
      <c r="HFZ93" s="3"/>
      <c r="HGA93" s="3"/>
      <c r="HGB93" s="3"/>
      <c r="HGC93" s="3"/>
      <c r="HGD93" s="3"/>
      <c r="HGE93" s="3"/>
      <c r="HGF93" s="3"/>
      <c r="HGG93" s="3"/>
      <c r="HGH93" s="3"/>
      <c r="HGI93" s="3"/>
      <c r="HGJ93" s="3"/>
      <c r="HGK93" s="3"/>
      <c r="HGL93" s="3"/>
      <c r="HGM93" s="3"/>
      <c r="HGN93" s="3"/>
      <c r="HGO93" s="3"/>
      <c r="HGP93" s="3"/>
      <c r="HGQ93" s="3"/>
      <c r="HGR93" s="3"/>
      <c r="HGS93" s="3"/>
      <c r="HGT93" s="3"/>
      <c r="HGU93" s="3"/>
      <c r="HGV93" s="3"/>
      <c r="HGW93" s="3"/>
      <c r="HGX93" s="3"/>
      <c r="HGY93" s="3"/>
      <c r="HGZ93" s="3"/>
      <c r="HHA93" s="3"/>
      <c r="HHB93" s="3"/>
      <c r="HHC93" s="3"/>
      <c r="HHD93" s="3"/>
      <c r="HHE93" s="3"/>
      <c r="HHF93" s="3"/>
      <c r="HHG93" s="3"/>
      <c r="HHH93" s="3"/>
      <c r="HHI93" s="3"/>
      <c r="HHJ93" s="3"/>
      <c r="HHK93" s="3"/>
      <c r="HHL93" s="3"/>
      <c r="HHM93" s="3"/>
      <c r="HHN93" s="3"/>
      <c r="HHO93" s="3"/>
      <c r="HHP93" s="3"/>
      <c r="HHQ93" s="3"/>
      <c r="HHR93" s="3"/>
      <c r="HHS93" s="3"/>
      <c r="HHT93" s="3"/>
      <c r="HHU93" s="3"/>
      <c r="HHV93" s="3"/>
      <c r="HHW93" s="3"/>
      <c r="HHX93" s="3"/>
      <c r="HHY93" s="3"/>
      <c r="HHZ93" s="3"/>
      <c r="HIA93" s="3"/>
      <c r="HIB93" s="3"/>
      <c r="HIC93" s="3"/>
      <c r="HID93" s="3"/>
      <c r="HIE93" s="3"/>
      <c r="HIF93" s="3"/>
      <c r="HIG93" s="3"/>
      <c r="HIH93" s="3"/>
      <c r="HII93" s="3"/>
      <c r="HIJ93" s="3"/>
      <c r="HIK93" s="3"/>
      <c r="HIL93" s="3"/>
      <c r="HIM93" s="3"/>
      <c r="HIN93" s="3"/>
      <c r="HIO93" s="3"/>
      <c r="HIP93" s="3"/>
      <c r="HIQ93" s="3"/>
      <c r="HIR93" s="3"/>
      <c r="HIS93" s="3"/>
      <c r="HIT93" s="3"/>
      <c r="HIU93" s="3"/>
      <c r="HIV93" s="3"/>
      <c r="HIW93" s="3"/>
      <c r="HIX93" s="3"/>
      <c r="HIY93" s="3"/>
      <c r="HIZ93" s="3"/>
      <c r="HJA93" s="3"/>
      <c r="HJB93" s="3"/>
      <c r="HJC93" s="3"/>
      <c r="HJD93" s="3"/>
      <c r="HJE93" s="3"/>
      <c r="HJF93" s="3"/>
      <c r="HJG93" s="3"/>
      <c r="HJH93" s="3"/>
      <c r="HJI93" s="3"/>
      <c r="HJJ93" s="3"/>
      <c r="HJK93" s="3"/>
      <c r="HJL93" s="3"/>
      <c r="HJM93" s="3"/>
      <c r="HJN93" s="3"/>
      <c r="HJO93" s="3"/>
      <c r="HJP93" s="3"/>
      <c r="HJQ93" s="3"/>
      <c r="HJR93" s="3"/>
      <c r="HJS93" s="3"/>
      <c r="HJT93" s="3"/>
      <c r="HJU93" s="3"/>
      <c r="HJV93" s="3"/>
      <c r="HJW93" s="3"/>
      <c r="HJX93" s="3"/>
      <c r="HJY93" s="3"/>
      <c r="HJZ93" s="3"/>
      <c r="HKA93" s="3"/>
      <c r="HKB93" s="3"/>
      <c r="HKC93" s="3"/>
      <c r="HKD93" s="3"/>
      <c r="HKE93" s="3"/>
      <c r="HKF93" s="3"/>
      <c r="HKG93" s="3"/>
      <c r="HKH93" s="3"/>
      <c r="HKI93" s="3"/>
      <c r="HKJ93" s="3"/>
      <c r="HKK93" s="3"/>
      <c r="HKL93" s="3"/>
      <c r="HKM93" s="3"/>
      <c r="HKN93" s="3"/>
      <c r="HKO93" s="3"/>
      <c r="HKP93" s="3"/>
      <c r="HKQ93" s="3"/>
      <c r="HKR93" s="3"/>
      <c r="HKS93" s="3"/>
      <c r="HKT93" s="3"/>
      <c r="HKU93" s="3"/>
      <c r="HKV93" s="3"/>
      <c r="HKW93" s="3"/>
      <c r="HKX93" s="3"/>
      <c r="HKY93" s="3"/>
      <c r="HKZ93" s="3"/>
      <c r="HLA93" s="3"/>
      <c r="HLB93" s="3"/>
      <c r="HLC93" s="3"/>
      <c r="HLD93" s="3"/>
      <c r="HLE93" s="3"/>
      <c r="HLF93" s="3"/>
      <c r="HLG93" s="3"/>
      <c r="HLH93" s="3"/>
      <c r="HLI93" s="3"/>
      <c r="HLJ93" s="3"/>
      <c r="HLK93" s="3"/>
      <c r="HLL93" s="3"/>
      <c r="HLM93" s="3"/>
      <c r="HLN93" s="3"/>
      <c r="HLO93" s="3"/>
      <c r="HLP93" s="3"/>
      <c r="HLQ93" s="3"/>
      <c r="HLR93" s="3"/>
      <c r="HLS93" s="3"/>
      <c r="HLT93" s="3"/>
      <c r="HLU93" s="3"/>
      <c r="HLV93" s="3"/>
      <c r="HLW93" s="3"/>
      <c r="HLX93" s="3"/>
      <c r="HLY93" s="3"/>
      <c r="HLZ93" s="3"/>
      <c r="HMA93" s="3"/>
      <c r="HMB93" s="3"/>
      <c r="HMC93" s="3"/>
      <c r="HMD93" s="3"/>
      <c r="HME93" s="3"/>
      <c r="HMF93" s="3"/>
      <c r="HMG93" s="3"/>
      <c r="HMH93" s="3"/>
      <c r="HMI93" s="3"/>
      <c r="HMJ93" s="3"/>
      <c r="HMK93" s="3"/>
      <c r="HML93" s="3"/>
      <c r="HMM93" s="3"/>
      <c r="HMN93" s="3"/>
      <c r="HMO93" s="3"/>
      <c r="HMP93" s="3"/>
      <c r="HMQ93" s="3"/>
      <c r="HMR93" s="3"/>
      <c r="HMS93" s="3"/>
      <c r="HMT93" s="3"/>
      <c r="HMU93" s="3"/>
      <c r="HMV93" s="3"/>
      <c r="HMW93" s="3"/>
      <c r="HMX93" s="3"/>
      <c r="HMY93" s="3"/>
      <c r="HMZ93" s="3"/>
      <c r="HNA93" s="3"/>
      <c r="HNB93" s="3"/>
      <c r="HNC93" s="3"/>
      <c r="HND93" s="3"/>
      <c r="HNE93" s="3"/>
      <c r="HNF93" s="3"/>
      <c r="HNG93" s="3"/>
      <c r="HNH93" s="3"/>
      <c r="HNI93" s="3"/>
      <c r="HNJ93" s="3"/>
      <c r="HNK93" s="3"/>
      <c r="HNL93" s="3"/>
      <c r="HNM93" s="3"/>
      <c r="HNN93" s="3"/>
      <c r="HNO93" s="3"/>
      <c r="HNP93" s="3"/>
      <c r="HNQ93" s="3"/>
      <c r="HNR93" s="3"/>
      <c r="HNS93" s="3"/>
      <c r="HNT93" s="3"/>
      <c r="HNU93" s="3"/>
      <c r="HNV93" s="3"/>
      <c r="HNW93" s="3"/>
      <c r="HNX93" s="3"/>
      <c r="HNY93" s="3"/>
      <c r="HNZ93" s="3"/>
      <c r="HOA93" s="3"/>
      <c r="HOB93" s="3"/>
      <c r="HOC93" s="3"/>
      <c r="HOD93" s="3"/>
      <c r="HOE93" s="3"/>
      <c r="HOF93" s="3"/>
      <c r="HOG93" s="3"/>
      <c r="HOH93" s="3"/>
      <c r="HOI93" s="3"/>
      <c r="HOJ93" s="3"/>
      <c r="HOK93" s="3"/>
      <c r="HOL93" s="3"/>
      <c r="HOM93" s="3"/>
      <c r="HON93" s="3"/>
      <c r="HOO93" s="3"/>
      <c r="HOP93" s="3"/>
      <c r="HOQ93" s="3"/>
      <c r="HOR93" s="3"/>
      <c r="HOS93" s="3"/>
      <c r="HOT93" s="3"/>
      <c r="HOU93" s="3"/>
      <c r="HOV93" s="3"/>
      <c r="HOW93" s="3"/>
      <c r="HOX93" s="3"/>
      <c r="HOY93" s="3"/>
      <c r="HOZ93" s="3"/>
      <c r="HPA93" s="3"/>
      <c r="HPB93" s="3"/>
      <c r="HPC93" s="3"/>
      <c r="HPD93" s="3"/>
      <c r="HPE93" s="3"/>
      <c r="HPF93" s="3"/>
      <c r="HPG93" s="3"/>
      <c r="HPH93" s="3"/>
      <c r="HPI93" s="3"/>
      <c r="HPJ93" s="3"/>
      <c r="HPK93" s="3"/>
      <c r="HPL93" s="3"/>
      <c r="HPM93" s="3"/>
      <c r="HPN93" s="3"/>
      <c r="HPO93" s="3"/>
      <c r="HPP93" s="3"/>
      <c r="HPQ93" s="3"/>
      <c r="HPR93" s="3"/>
      <c r="HPS93" s="3"/>
      <c r="HPT93" s="3"/>
      <c r="HPU93" s="3"/>
      <c r="HPV93" s="3"/>
      <c r="HPW93" s="3"/>
      <c r="HPX93" s="3"/>
      <c r="HPY93" s="3"/>
      <c r="HPZ93" s="3"/>
      <c r="HQA93" s="3"/>
      <c r="HQB93" s="3"/>
      <c r="HQC93" s="3"/>
      <c r="HQD93" s="3"/>
      <c r="HQE93" s="3"/>
      <c r="HQF93" s="3"/>
      <c r="HQG93" s="3"/>
      <c r="HQH93" s="3"/>
      <c r="HQI93" s="3"/>
      <c r="HQJ93" s="3"/>
      <c r="HQK93" s="3"/>
      <c r="HQL93" s="3"/>
      <c r="HQM93" s="3"/>
      <c r="HQN93" s="3"/>
      <c r="HQO93" s="3"/>
      <c r="HQP93" s="3"/>
      <c r="HQQ93" s="3"/>
      <c r="HQR93" s="3"/>
      <c r="HQS93" s="3"/>
      <c r="HQT93" s="3"/>
      <c r="HQU93" s="3"/>
      <c r="HQV93" s="3"/>
      <c r="HQW93" s="3"/>
      <c r="HQX93" s="3"/>
      <c r="HQY93" s="3"/>
      <c r="HQZ93" s="3"/>
      <c r="HRA93" s="3"/>
      <c r="HRB93" s="3"/>
      <c r="HRC93" s="3"/>
      <c r="HRD93" s="3"/>
      <c r="HRE93" s="3"/>
      <c r="HRF93" s="3"/>
      <c r="HRG93" s="3"/>
      <c r="HRH93" s="3"/>
      <c r="HRI93" s="3"/>
      <c r="HRJ93" s="3"/>
      <c r="HRK93" s="3"/>
      <c r="HRL93" s="3"/>
      <c r="HRM93" s="3"/>
      <c r="HRN93" s="3"/>
      <c r="HRO93" s="3"/>
      <c r="HRP93" s="3"/>
      <c r="HRQ93" s="3"/>
      <c r="HRR93" s="3"/>
      <c r="HRS93" s="3"/>
      <c r="HRT93" s="3"/>
      <c r="HRU93" s="3"/>
      <c r="HRV93" s="3"/>
      <c r="HRW93" s="3"/>
      <c r="HRX93" s="3"/>
      <c r="HRY93" s="3"/>
      <c r="HRZ93" s="3"/>
      <c r="HSA93" s="3"/>
      <c r="HSB93" s="3"/>
      <c r="HSC93" s="3"/>
      <c r="HSD93" s="3"/>
      <c r="HSE93" s="3"/>
      <c r="HSF93" s="3"/>
      <c r="HSG93" s="3"/>
      <c r="HSH93" s="3"/>
      <c r="HSI93" s="3"/>
      <c r="HSJ93" s="3"/>
      <c r="HSK93" s="3"/>
      <c r="HSL93" s="3"/>
      <c r="HSM93" s="3"/>
      <c r="HSN93" s="3"/>
      <c r="HSO93" s="3"/>
      <c r="HSP93" s="3"/>
      <c r="HSQ93" s="3"/>
      <c r="HSR93" s="3"/>
      <c r="HSS93" s="3"/>
      <c r="HST93" s="3"/>
      <c r="HSU93" s="3"/>
      <c r="HSV93" s="3"/>
      <c r="HSW93" s="3"/>
      <c r="HSX93" s="3"/>
      <c r="HSY93" s="3"/>
      <c r="HSZ93" s="3"/>
      <c r="HTA93" s="3"/>
      <c r="HTB93" s="3"/>
      <c r="HTC93" s="3"/>
      <c r="HTD93" s="3"/>
      <c r="HTE93" s="3"/>
      <c r="HTF93" s="3"/>
      <c r="HTG93" s="3"/>
      <c r="HTH93" s="3"/>
      <c r="HTI93" s="3"/>
      <c r="HTJ93" s="3"/>
      <c r="HTK93" s="3"/>
      <c r="HTL93" s="3"/>
      <c r="HTM93" s="3"/>
      <c r="HTN93" s="3"/>
      <c r="HTO93" s="3"/>
      <c r="HTP93" s="3"/>
      <c r="HTQ93" s="3"/>
      <c r="HTR93" s="3"/>
      <c r="HTS93" s="3"/>
      <c r="HTT93" s="3"/>
      <c r="HTU93" s="3"/>
      <c r="HTV93" s="3"/>
      <c r="HTW93" s="3"/>
      <c r="HTX93" s="3"/>
      <c r="HTY93" s="3"/>
      <c r="HTZ93" s="3"/>
      <c r="HUA93" s="3"/>
      <c r="HUB93" s="3"/>
      <c r="HUC93" s="3"/>
      <c r="HUD93" s="3"/>
      <c r="HUE93" s="3"/>
      <c r="HUF93" s="3"/>
      <c r="HUG93" s="3"/>
      <c r="HUH93" s="3"/>
      <c r="HUI93" s="3"/>
      <c r="HUJ93" s="3"/>
      <c r="HUK93" s="3"/>
      <c r="HUL93" s="3"/>
      <c r="HUM93" s="3"/>
      <c r="HUN93" s="3"/>
      <c r="HUO93" s="3"/>
      <c r="HUP93" s="3"/>
      <c r="HUQ93" s="3"/>
      <c r="HUR93" s="3"/>
      <c r="HUS93" s="3"/>
      <c r="HUT93" s="3"/>
      <c r="HUU93" s="3"/>
      <c r="HUV93" s="3"/>
      <c r="HUW93" s="3"/>
      <c r="HUX93" s="3"/>
      <c r="HUY93" s="3"/>
      <c r="HUZ93" s="3"/>
      <c r="HVA93" s="3"/>
      <c r="HVB93" s="3"/>
      <c r="HVC93" s="3"/>
      <c r="HVD93" s="3"/>
      <c r="HVE93" s="3"/>
      <c r="HVF93" s="3"/>
      <c r="HVG93" s="3"/>
      <c r="HVH93" s="3"/>
      <c r="HVI93" s="3"/>
      <c r="HVJ93" s="3"/>
      <c r="HVK93" s="3"/>
      <c r="HVL93" s="3"/>
      <c r="HVM93" s="3"/>
      <c r="HVN93" s="3"/>
      <c r="HVO93" s="3"/>
      <c r="HVP93" s="3"/>
      <c r="HVQ93" s="3"/>
      <c r="HVR93" s="3"/>
      <c r="HVS93" s="3"/>
      <c r="HVT93" s="3"/>
      <c r="HVU93" s="3"/>
      <c r="HVV93" s="3"/>
      <c r="HVW93" s="3"/>
      <c r="HVX93" s="3"/>
      <c r="HVY93" s="3"/>
      <c r="HVZ93" s="3"/>
      <c r="HWA93" s="3"/>
      <c r="HWB93" s="3"/>
      <c r="HWC93" s="3"/>
      <c r="HWD93" s="3"/>
      <c r="HWE93" s="3"/>
      <c r="HWF93" s="3"/>
      <c r="HWG93" s="3"/>
      <c r="HWH93" s="3"/>
      <c r="HWI93" s="3"/>
      <c r="HWJ93" s="3"/>
      <c r="HWK93" s="3"/>
      <c r="HWL93" s="3"/>
      <c r="HWM93" s="3"/>
      <c r="HWN93" s="3"/>
      <c r="HWO93" s="3"/>
      <c r="HWP93" s="3"/>
      <c r="HWQ93" s="3"/>
      <c r="HWR93" s="3"/>
      <c r="HWS93" s="3"/>
      <c r="HWT93" s="3"/>
      <c r="HWU93" s="3"/>
      <c r="HWV93" s="3"/>
      <c r="HWW93" s="3"/>
      <c r="HWX93" s="3"/>
      <c r="HWY93" s="3"/>
      <c r="HWZ93" s="3"/>
      <c r="HXA93" s="3"/>
      <c r="HXB93" s="3"/>
      <c r="HXC93" s="3"/>
      <c r="HXD93" s="3"/>
      <c r="HXE93" s="3"/>
      <c r="HXF93" s="3"/>
      <c r="HXG93" s="3"/>
      <c r="HXH93" s="3"/>
      <c r="HXI93" s="3"/>
      <c r="HXJ93" s="3"/>
      <c r="HXK93" s="3"/>
      <c r="HXL93" s="3"/>
      <c r="HXM93" s="3"/>
      <c r="HXN93" s="3"/>
      <c r="HXO93" s="3"/>
      <c r="HXP93" s="3"/>
      <c r="HXQ93" s="3"/>
      <c r="HXR93" s="3"/>
      <c r="HXS93" s="3"/>
      <c r="HXT93" s="3"/>
      <c r="HXU93" s="3"/>
      <c r="HXV93" s="3"/>
      <c r="HXW93" s="3"/>
      <c r="HXX93" s="3"/>
      <c r="HXY93" s="3"/>
      <c r="HXZ93" s="3"/>
      <c r="HYA93" s="3"/>
      <c r="HYB93" s="3"/>
      <c r="HYC93" s="3"/>
      <c r="HYD93" s="3"/>
      <c r="HYE93" s="3"/>
      <c r="HYF93" s="3"/>
      <c r="HYG93" s="3"/>
      <c r="HYH93" s="3"/>
      <c r="HYI93" s="3"/>
      <c r="HYJ93" s="3"/>
      <c r="HYK93" s="3"/>
      <c r="HYL93" s="3"/>
      <c r="HYM93" s="3"/>
      <c r="HYN93" s="3"/>
      <c r="HYO93" s="3"/>
      <c r="HYP93" s="3"/>
      <c r="HYQ93" s="3"/>
      <c r="HYR93" s="3"/>
      <c r="HYS93" s="3"/>
      <c r="HYT93" s="3"/>
      <c r="HYU93" s="3"/>
      <c r="HYV93" s="3"/>
      <c r="HYW93" s="3"/>
      <c r="HYX93" s="3"/>
      <c r="HYY93" s="3"/>
      <c r="HYZ93" s="3"/>
      <c r="HZA93" s="3"/>
      <c r="HZB93" s="3"/>
      <c r="HZC93" s="3"/>
      <c r="HZD93" s="3"/>
      <c r="HZE93" s="3"/>
      <c r="HZF93" s="3"/>
      <c r="HZG93" s="3"/>
      <c r="HZH93" s="3"/>
      <c r="HZI93" s="3"/>
      <c r="HZJ93" s="3"/>
      <c r="HZK93" s="3"/>
      <c r="HZL93" s="3"/>
      <c r="HZM93" s="3"/>
      <c r="HZN93" s="3"/>
      <c r="HZO93" s="3"/>
      <c r="HZP93" s="3"/>
      <c r="HZQ93" s="3"/>
      <c r="HZR93" s="3"/>
      <c r="HZS93" s="3"/>
      <c r="HZT93" s="3"/>
      <c r="HZU93" s="3"/>
      <c r="HZV93" s="3"/>
      <c r="HZW93" s="3"/>
      <c r="HZX93" s="3"/>
      <c r="HZY93" s="3"/>
      <c r="HZZ93" s="3"/>
      <c r="IAA93" s="3"/>
      <c r="IAB93" s="3"/>
      <c r="IAC93" s="3"/>
      <c r="IAD93" s="3"/>
      <c r="IAE93" s="3"/>
      <c r="IAF93" s="3"/>
      <c r="IAG93" s="3"/>
      <c r="IAH93" s="3"/>
      <c r="IAI93" s="3"/>
      <c r="IAJ93" s="3"/>
      <c r="IAK93" s="3"/>
      <c r="IAL93" s="3"/>
      <c r="IAM93" s="3"/>
      <c r="IAN93" s="3"/>
      <c r="IAO93" s="3"/>
      <c r="IAP93" s="3"/>
      <c r="IAQ93" s="3"/>
      <c r="IAR93" s="3"/>
      <c r="IAS93" s="3"/>
      <c r="IAT93" s="3"/>
      <c r="IAU93" s="3"/>
      <c r="IAV93" s="3"/>
      <c r="IAW93" s="3"/>
      <c r="IAX93" s="3"/>
      <c r="IAY93" s="3"/>
      <c r="IAZ93" s="3"/>
      <c r="IBA93" s="3"/>
      <c r="IBB93" s="3"/>
      <c r="IBC93" s="3"/>
      <c r="IBD93" s="3"/>
      <c r="IBE93" s="3"/>
      <c r="IBF93" s="3"/>
      <c r="IBG93" s="3"/>
      <c r="IBH93" s="3"/>
      <c r="IBI93" s="3"/>
      <c r="IBJ93" s="3"/>
      <c r="IBK93" s="3"/>
      <c r="IBL93" s="3"/>
      <c r="IBM93" s="3"/>
      <c r="IBN93" s="3"/>
      <c r="IBO93" s="3"/>
      <c r="IBP93" s="3"/>
      <c r="IBQ93" s="3"/>
      <c r="IBR93" s="3"/>
      <c r="IBS93" s="3"/>
      <c r="IBT93" s="3"/>
      <c r="IBU93" s="3"/>
      <c r="IBV93" s="3"/>
      <c r="IBW93" s="3"/>
      <c r="IBX93" s="3"/>
      <c r="IBY93" s="3"/>
      <c r="IBZ93" s="3"/>
      <c r="ICA93" s="3"/>
      <c r="ICB93" s="3"/>
      <c r="ICC93" s="3"/>
      <c r="ICD93" s="3"/>
      <c r="ICE93" s="3"/>
      <c r="ICF93" s="3"/>
      <c r="ICG93" s="3"/>
      <c r="ICH93" s="3"/>
      <c r="ICI93" s="3"/>
      <c r="ICJ93" s="3"/>
      <c r="ICK93" s="3"/>
      <c r="ICL93" s="3"/>
      <c r="ICM93" s="3"/>
      <c r="ICN93" s="3"/>
      <c r="ICO93" s="3"/>
      <c r="ICP93" s="3"/>
      <c r="ICQ93" s="3"/>
      <c r="ICR93" s="3"/>
      <c r="ICS93" s="3"/>
      <c r="ICT93" s="3"/>
      <c r="ICU93" s="3"/>
      <c r="ICV93" s="3"/>
      <c r="ICW93" s="3"/>
      <c r="ICX93" s="3"/>
      <c r="ICY93" s="3"/>
      <c r="ICZ93" s="3"/>
      <c r="IDA93" s="3"/>
      <c r="IDB93" s="3"/>
      <c r="IDC93" s="3"/>
      <c r="IDD93" s="3"/>
      <c r="IDE93" s="3"/>
      <c r="IDF93" s="3"/>
      <c r="IDG93" s="3"/>
      <c r="IDH93" s="3"/>
      <c r="IDI93" s="3"/>
      <c r="IDJ93" s="3"/>
      <c r="IDK93" s="3"/>
      <c r="IDL93" s="3"/>
      <c r="IDM93" s="3"/>
      <c r="IDN93" s="3"/>
      <c r="IDO93" s="3"/>
      <c r="IDP93" s="3"/>
      <c r="IDQ93" s="3"/>
      <c r="IDR93" s="3"/>
      <c r="IDS93" s="3"/>
      <c r="IDT93" s="3"/>
      <c r="IDU93" s="3"/>
      <c r="IDV93" s="3"/>
      <c r="IDW93" s="3"/>
      <c r="IDX93" s="3"/>
      <c r="IDY93" s="3"/>
      <c r="IDZ93" s="3"/>
      <c r="IEA93" s="3"/>
      <c r="IEB93" s="3"/>
      <c r="IEC93" s="3"/>
      <c r="IED93" s="3"/>
      <c r="IEE93" s="3"/>
      <c r="IEF93" s="3"/>
      <c r="IEG93" s="3"/>
      <c r="IEH93" s="3"/>
      <c r="IEI93" s="3"/>
      <c r="IEJ93" s="3"/>
      <c r="IEK93" s="3"/>
      <c r="IEL93" s="3"/>
      <c r="IEM93" s="3"/>
      <c r="IEN93" s="3"/>
      <c r="IEO93" s="3"/>
      <c r="IEP93" s="3"/>
      <c r="IEQ93" s="3"/>
      <c r="IER93" s="3"/>
      <c r="IES93" s="3"/>
      <c r="IET93" s="3"/>
      <c r="IEU93" s="3"/>
      <c r="IEV93" s="3"/>
      <c r="IEW93" s="3"/>
      <c r="IEX93" s="3"/>
      <c r="IEY93" s="3"/>
      <c r="IEZ93" s="3"/>
      <c r="IFA93" s="3"/>
      <c r="IFB93" s="3"/>
      <c r="IFC93" s="3"/>
      <c r="IFD93" s="3"/>
      <c r="IFE93" s="3"/>
      <c r="IFF93" s="3"/>
      <c r="IFG93" s="3"/>
      <c r="IFH93" s="3"/>
      <c r="IFI93" s="3"/>
      <c r="IFJ93" s="3"/>
      <c r="IFK93" s="3"/>
      <c r="IFL93" s="3"/>
      <c r="IFM93" s="3"/>
      <c r="IFN93" s="3"/>
      <c r="IFO93" s="3"/>
      <c r="IFP93" s="3"/>
      <c r="IFQ93" s="3"/>
      <c r="IFR93" s="3"/>
      <c r="IFS93" s="3"/>
      <c r="IFT93" s="3"/>
      <c r="IFU93" s="3"/>
      <c r="IFV93" s="3"/>
      <c r="IFW93" s="3"/>
      <c r="IFX93" s="3"/>
      <c r="IFY93" s="3"/>
      <c r="IFZ93" s="3"/>
      <c r="IGA93" s="3"/>
      <c r="IGB93" s="3"/>
      <c r="IGC93" s="3"/>
      <c r="IGD93" s="3"/>
      <c r="IGE93" s="3"/>
      <c r="IGF93" s="3"/>
      <c r="IGG93" s="3"/>
      <c r="IGH93" s="3"/>
      <c r="IGI93" s="3"/>
      <c r="IGJ93" s="3"/>
      <c r="IGK93" s="3"/>
      <c r="IGL93" s="3"/>
      <c r="IGM93" s="3"/>
      <c r="IGN93" s="3"/>
      <c r="IGO93" s="3"/>
      <c r="IGP93" s="3"/>
      <c r="IGQ93" s="3"/>
      <c r="IGR93" s="3"/>
      <c r="IGS93" s="3"/>
      <c r="IGT93" s="3"/>
      <c r="IGU93" s="3"/>
      <c r="IGV93" s="3"/>
      <c r="IGW93" s="3"/>
      <c r="IGX93" s="3"/>
      <c r="IGY93" s="3"/>
      <c r="IGZ93" s="3"/>
      <c r="IHA93" s="3"/>
      <c r="IHB93" s="3"/>
      <c r="IHC93" s="3"/>
      <c r="IHD93" s="3"/>
      <c r="IHE93" s="3"/>
      <c r="IHF93" s="3"/>
      <c r="IHG93" s="3"/>
      <c r="IHH93" s="3"/>
      <c r="IHI93" s="3"/>
      <c r="IHJ93" s="3"/>
      <c r="IHK93" s="3"/>
      <c r="IHL93" s="3"/>
      <c r="IHM93" s="3"/>
      <c r="IHN93" s="3"/>
      <c r="IHO93" s="3"/>
      <c r="IHP93" s="3"/>
      <c r="IHQ93" s="3"/>
      <c r="IHR93" s="3"/>
      <c r="IHS93" s="3"/>
      <c r="IHT93" s="3"/>
      <c r="IHU93" s="3"/>
      <c r="IHV93" s="3"/>
      <c r="IHW93" s="3"/>
      <c r="IHX93" s="3"/>
      <c r="IHY93" s="3"/>
      <c r="IHZ93" s="3"/>
      <c r="IIA93" s="3"/>
      <c r="IIB93" s="3"/>
      <c r="IIC93" s="3"/>
      <c r="IID93" s="3"/>
      <c r="IIE93" s="3"/>
      <c r="IIF93" s="3"/>
      <c r="IIG93" s="3"/>
      <c r="IIH93" s="3"/>
      <c r="III93" s="3"/>
      <c r="IIJ93" s="3"/>
      <c r="IIK93" s="3"/>
      <c r="IIL93" s="3"/>
      <c r="IIM93" s="3"/>
      <c r="IIN93" s="3"/>
      <c r="IIO93" s="3"/>
      <c r="IIP93" s="3"/>
      <c r="IIQ93" s="3"/>
      <c r="IIR93" s="3"/>
      <c r="IIS93" s="3"/>
      <c r="IIT93" s="3"/>
      <c r="IIU93" s="3"/>
      <c r="IIV93" s="3"/>
      <c r="IIW93" s="3"/>
      <c r="IIX93" s="3"/>
      <c r="IIY93" s="3"/>
      <c r="IIZ93" s="3"/>
      <c r="IJA93" s="3"/>
      <c r="IJB93" s="3"/>
      <c r="IJC93" s="3"/>
      <c r="IJD93" s="3"/>
      <c r="IJE93" s="3"/>
      <c r="IJF93" s="3"/>
      <c r="IJG93" s="3"/>
      <c r="IJH93" s="3"/>
      <c r="IJI93" s="3"/>
      <c r="IJJ93" s="3"/>
      <c r="IJK93" s="3"/>
      <c r="IJL93" s="3"/>
      <c r="IJM93" s="3"/>
      <c r="IJN93" s="3"/>
      <c r="IJO93" s="3"/>
      <c r="IJP93" s="3"/>
      <c r="IJQ93" s="3"/>
      <c r="IJR93" s="3"/>
      <c r="IJS93" s="3"/>
      <c r="IJT93" s="3"/>
      <c r="IJU93" s="3"/>
      <c r="IJV93" s="3"/>
      <c r="IJW93" s="3"/>
      <c r="IJX93" s="3"/>
      <c r="IJY93" s="3"/>
      <c r="IJZ93" s="3"/>
      <c r="IKA93" s="3"/>
      <c r="IKB93" s="3"/>
      <c r="IKC93" s="3"/>
      <c r="IKD93" s="3"/>
      <c r="IKE93" s="3"/>
      <c r="IKF93" s="3"/>
      <c r="IKG93" s="3"/>
      <c r="IKH93" s="3"/>
      <c r="IKI93" s="3"/>
      <c r="IKJ93" s="3"/>
      <c r="IKK93" s="3"/>
      <c r="IKL93" s="3"/>
      <c r="IKM93" s="3"/>
      <c r="IKN93" s="3"/>
      <c r="IKO93" s="3"/>
      <c r="IKP93" s="3"/>
      <c r="IKQ93" s="3"/>
      <c r="IKR93" s="3"/>
      <c r="IKS93" s="3"/>
      <c r="IKT93" s="3"/>
      <c r="IKU93" s="3"/>
      <c r="IKV93" s="3"/>
      <c r="IKW93" s="3"/>
      <c r="IKX93" s="3"/>
      <c r="IKY93" s="3"/>
      <c r="IKZ93" s="3"/>
      <c r="ILA93" s="3"/>
      <c r="ILB93" s="3"/>
      <c r="ILC93" s="3"/>
      <c r="ILD93" s="3"/>
      <c r="ILE93" s="3"/>
      <c r="ILF93" s="3"/>
      <c r="ILG93" s="3"/>
      <c r="ILH93" s="3"/>
      <c r="ILI93" s="3"/>
      <c r="ILJ93" s="3"/>
      <c r="ILK93" s="3"/>
      <c r="ILL93" s="3"/>
      <c r="ILM93" s="3"/>
      <c r="ILN93" s="3"/>
      <c r="ILO93" s="3"/>
      <c r="ILP93" s="3"/>
      <c r="ILQ93" s="3"/>
      <c r="ILR93" s="3"/>
      <c r="ILS93" s="3"/>
      <c r="ILT93" s="3"/>
      <c r="ILU93" s="3"/>
      <c r="ILV93" s="3"/>
      <c r="ILW93" s="3"/>
      <c r="ILX93" s="3"/>
      <c r="ILY93" s="3"/>
      <c r="ILZ93" s="3"/>
      <c r="IMA93" s="3"/>
      <c r="IMB93" s="3"/>
      <c r="IMC93" s="3"/>
      <c r="IMD93" s="3"/>
      <c r="IME93" s="3"/>
      <c r="IMF93" s="3"/>
      <c r="IMG93" s="3"/>
      <c r="IMH93" s="3"/>
      <c r="IMI93" s="3"/>
      <c r="IMJ93" s="3"/>
      <c r="IMK93" s="3"/>
      <c r="IML93" s="3"/>
      <c r="IMM93" s="3"/>
      <c r="IMN93" s="3"/>
      <c r="IMO93" s="3"/>
      <c r="IMP93" s="3"/>
      <c r="IMQ93" s="3"/>
      <c r="IMR93" s="3"/>
      <c r="IMS93" s="3"/>
      <c r="IMT93" s="3"/>
      <c r="IMU93" s="3"/>
      <c r="IMV93" s="3"/>
      <c r="IMW93" s="3"/>
      <c r="IMX93" s="3"/>
      <c r="IMY93" s="3"/>
      <c r="IMZ93" s="3"/>
      <c r="INA93" s="3"/>
      <c r="INB93" s="3"/>
      <c r="INC93" s="3"/>
      <c r="IND93" s="3"/>
      <c r="INE93" s="3"/>
      <c r="INF93" s="3"/>
      <c r="ING93" s="3"/>
      <c r="INH93" s="3"/>
      <c r="INI93" s="3"/>
      <c r="INJ93" s="3"/>
      <c r="INK93" s="3"/>
      <c r="INL93" s="3"/>
      <c r="INM93" s="3"/>
      <c r="INN93" s="3"/>
      <c r="INO93" s="3"/>
      <c r="INP93" s="3"/>
      <c r="INQ93" s="3"/>
      <c r="INR93" s="3"/>
      <c r="INS93" s="3"/>
      <c r="INT93" s="3"/>
      <c r="INU93" s="3"/>
      <c r="INV93" s="3"/>
      <c r="INW93" s="3"/>
      <c r="INX93" s="3"/>
      <c r="INY93" s="3"/>
      <c r="INZ93" s="3"/>
      <c r="IOA93" s="3"/>
      <c r="IOB93" s="3"/>
      <c r="IOC93" s="3"/>
      <c r="IOD93" s="3"/>
      <c r="IOE93" s="3"/>
      <c r="IOF93" s="3"/>
      <c r="IOG93" s="3"/>
      <c r="IOH93" s="3"/>
      <c r="IOI93" s="3"/>
      <c r="IOJ93" s="3"/>
      <c r="IOK93" s="3"/>
      <c r="IOL93" s="3"/>
      <c r="IOM93" s="3"/>
      <c r="ION93" s="3"/>
      <c r="IOO93" s="3"/>
      <c r="IOP93" s="3"/>
      <c r="IOQ93" s="3"/>
      <c r="IOR93" s="3"/>
      <c r="IOS93" s="3"/>
      <c r="IOT93" s="3"/>
      <c r="IOU93" s="3"/>
      <c r="IOV93" s="3"/>
      <c r="IOW93" s="3"/>
      <c r="IOX93" s="3"/>
      <c r="IOY93" s="3"/>
      <c r="IOZ93" s="3"/>
      <c r="IPA93" s="3"/>
      <c r="IPB93" s="3"/>
      <c r="IPC93" s="3"/>
      <c r="IPD93" s="3"/>
      <c r="IPE93" s="3"/>
      <c r="IPF93" s="3"/>
      <c r="IPG93" s="3"/>
      <c r="IPH93" s="3"/>
      <c r="IPI93" s="3"/>
      <c r="IPJ93" s="3"/>
      <c r="IPK93" s="3"/>
      <c r="IPL93" s="3"/>
      <c r="IPM93" s="3"/>
      <c r="IPN93" s="3"/>
      <c r="IPO93" s="3"/>
      <c r="IPP93" s="3"/>
      <c r="IPQ93" s="3"/>
      <c r="IPR93" s="3"/>
      <c r="IPS93" s="3"/>
      <c r="IPT93" s="3"/>
      <c r="IPU93" s="3"/>
      <c r="IPV93" s="3"/>
      <c r="IPW93" s="3"/>
      <c r="IPX93" s="3"/>
      <c r="IPY93" s="3"/>
      <c r="IPZ93" s="3"/>
      <c r="IQA93" s="3"/>
      <c r="IQB93" s="3"/>
      <c r="IQC93" s="3"/>
      <c r="IQD93" s="3"/>
      <c r="IQE93" s="3"/>
      <c r="IQF93" s="3"/>
      <c r="IQG93" s="3"/>
      <c r="IQH93" s="3"/>
      <c r="IQI93" s="3"/>
      <c r="IQJ93" s="3"/>
      <c r="IQK93" s="3"/>
      <c r="IQL93" s="3"/>
      <c r="IQM93" s="3"/>
      <c r="IQN93" s="3"/>
      <c r="IQO93" s="3"/>
      <c r="IQP93" s="3"/>
      <c r="IQQ93" s="3"/>
      <c r="IQR93" s="3"/>
      <c r="IQS93" s="3"/>
      <c r="IQT93" s="3"/>
      <c r="IQU93" s="3"/>
      <c r="IQV93" s="3"/>
      <c r="IQW93" s="3"/>
      <c r="IQX93" s="3"/>
      <c r="IQY93" s="3"/>
      <c r="IQZ93" s="3"/>
      <c r="IRA93" s="3"/>
      <c r="IRB93" s="3"/>
      <c r="IRC93" s="3"/>
      <c r="IRD93" s="3"/>
      <c r="IRE93" s="3"/>
      <c r="IRF93" s="3"/>
      <c r="IRG93" s="3"/>
      <c r="IRH93" s="3"/>
      <c r="IRI93" s="3"/>
      <c r="IRJ93" s="3"/>
      <c r="IRK93" s="3"/>
      <c r="IRL93" s="3"/>
      <c r="IRM93" s="3"/>
      <c r="IRN93" s="3"/>
      <c r="IRO93" s="3"/>
      <c r="IRP93" s="3"/>
      <c r="IRQ93" s="3"/>
      <c r="IRR93" s="3"/>
      <c r="IRS93" s="3"/>
      <c r="IRT93" s="3"/>
      <c r="IRU93" s="3"/>
      <c r="IRV93" s="3"/>
      <c r="IRW93" s="3"/>
      <c r="IRX93" s="3"/>
      <c r="IRY93" s="3"/>
      <c r="IRZ93" s="3"/>
      <c r="ISA93" s="3"/>
      <c r="ISB93" s="3"/>
      <c r="ISC93" s="3"/>
      <c r="ISD93" s="3"/>
      <c r="ISE93" s="3"/>
      <c r="ISF93" s="3"/>
      <c r="ISG93" s="3"/>
      <c r="ISH93" s="3"/>
      <c r="ISI93" s="3"/>
      <c r="ISJ93" s="3"/>
      <c r="ISK93" s="3"/>
      <c r="ISL93" s="3"/>
      <c r="ISM93" s="3"/>
      <c r="ISN93" s="3"/>
      <c r="ISO93" s="3"/>
      <c r="ISP93" s="3"/>
      <c r="ISQ93" s="3"/>
      <c r="ISR93" s="3"/>
      <c r="ISS93" s="3"/>
      <c r="IST93" s="3"/>
      <c r="ISU93" s="3"/>
      <c r="ISV93" s="3"/>
      <c r="ISW93" s="3"/>
      <c r="ISX93" s="3"/>
      <c r="ISY93" s="3"/>
      <c r="ISZ93" s="3"/>
      <c r="ITA93" s="3"/>
      <c r="ITB93" s="3"/>
      <c r="ITC93" s="3"/>
      <c r="ITD93" s="3"/>
      <c r="ITE93" s="3"/>
      <c r="ITF93" s="3"/>
      <c r="ITG93" s="3"/>
      <c r="ITH93" s="3"/>
      <c r="ITI93" s="3"/>
      <c r="ITJ93" s="3"/>
      <c r="ITK93" s="3"/>
      <c r="ITL93" s="3"/>
      <c r="ITM93" s="3"/>
      <c r="ITN93" s="3"/>
      <c r="ITO93" s="3"/>
      <c r="ITP93" s="3"/>
      <c r="ITQ93" s="3"/>
      <c r="ITR93" s="3"/>
      <c r="ITS93" s="3"/>
      <c r="ITT93" s="3"/>
      <c r="ITU93" s="3"/>
      <c r="ITV93" s="3"/>
      <c r="ITW93" s="3"/>
      <c r="ITX93" s="3"/>
      <c r="ITY93" s="3"/>
      <c r="ITZ93" s="3"/>
      <c r="IUA93" s="3"/>
      <c r="IUB93" s="3"/>
      <c r="IUC93" s="3"/>
      <c r="IUD93" s="3"/>
      <c r="IUE93" s="3"/>
      <c r="IUF93" s="3"/>
      <c r="IUG93" s="3"/>
      <c r="IUH93" s="3"/>
      <c r="IUI93" s="3"/>
      <c r="IUJ93" s="3"/>
      <c r="IUK93" s="3"/>
      <c r="IUL93" s="3"/>
      <c r="IUM93" s="3"/>
      <c r="IUN93" s="3"/>
      <c r="IUO93" s="3"/>
      <c r="IUP93" s="3"/>
      <c r="IUQ93" s="3"/>
      <c r="IUR93" s="3"/>
      <c r="IUS93" s="3"/>
      <c r="IUT93" s="3"/>
      <c r="IUU93" s="3"/>
      <c r="IUV93" s="3"/>
      <c r="IUW93" s="3"/>
      <c r="IUX93" s="3"/>
      <c r="IUY93" s="3"/>
      <c r="IUZ93" s="3"/>
      <c r="IVA93" s="3"/>
      <c r="IVB93" s="3"/>
      <c r="IVC93" s="3"/>
      <c r="IVD93" s="3"/>
      <c r="IVE93" s="3"/>
      <c r="IVF93" s="3"/>
      <c r="IVG93" s="3"/>
      <c r="IVH93" s="3"/>
      <c r="IVI93" s="3"/>
      <c r="IVJ93" s="3"/>
      <c r="IVK93" s="3"/>
      <c r="IVL93" s="3"/>
      <c r="IVM93" s="3"/>
      <c r="IVN93" s="3"/>
      <c r="IVO93" s="3"/>
      <c r="IVP93" s="3"/>
      <c r="IVQ93" s="3"/>
      <c r="IVR93" s="3"/>
      <c r="IVS93" s="3"/>
      <c r="IVT93" s="3"/>
      <c r="IVU93" s="3"/>
      <c r="IVV93" s="3"/>
      <c r="IVW93" s="3"/>
      <c r="IVX93" s="3"/>
      <c r="IVY93" s="3"/>
      <c r="IVZ93" s="3"/>
      <c r="IWA93" s="3"/>
      <c r="IWB93" s="3"/>
      <c r="IWC93" s="3"/>
      <c r="IWD93" s="3"/>
      <c r="IWE93" s="3"/>
      <c r="IWF93" s="3"/>
      <c r="IWG93" s="3"/>
      <c r="IWH93" s="3"/>
      <c r="IWI93" s="3"/>
      <c r="IWJ93" s="3"/>
      <c r="IWK93" s="3"/>
      <c r="IWL93" s="3"/>
      <c r="IWM93" s="3"/>
      <c r="IWN93" s="3"/>
      <c r="IWO93" s="3"/>
      <c r="IWP93" s="3"/>
      <c r="IWQ93" s="3"/>
      <c r="IWR93" s="3"/>
      <c r="IWS93" s="3"/>
      <c r="IWT93" s="3"/>
      <c r="IWU93" s="3"/>
      <c r="IWV93" s="3"/>
      <c r="IWW93" s="3"/>
      <c r="IWX93" s="3"/>
      <c r="IWY93" s="3"/>
      <c r="IWZ93" s="3"/>
      <c r="IXA93" s="3"/>
      <c r="IXB93" s="3"/>
      <c r="IXC93" s="3"/>
      <c r="IXD93" s="3"/>
      <c r="IXE93" s="3"/>
      <c r="IXF93" s="3"/>
      <c r="IXG93" s="3"/>
      <c r="IXH93" s="3"/>
      <c r="IXI93" s="3"/>
      <c r="IXJ93" s="3"/>
      <c r="IXK93" s="3"/>
      <c r="IXL93" s="3"/>
      <c r="IXM93" s="3"/>
      <c r="IXN93" s="3"/>
      <c r="IXO93" s="3"/>
      <c r="IXP93" s="3"/>
      <c r="IXQ93" s="3"/>
      <c r="IXR93" s="3"/>
      <c r="IXS93" s="3"/>
      <c r="IXT93" s="3"/>
      <c r="IXU93" s="3"/>
      <c r="IXV93" s="3"/>
      <c r="IXW93" s="3"/>
      <c r="IXX93" s="3"/>
      <c r="IXY93" s="3"/>
      <c r="IXZ93" s="3"/>
      <c r="IYA93" s="3"/>
      <c r="IYB93" s="3"/>
      <c r="IYC93" s="3"/>
      <c r="IYD93" s="3"/>
      <c r="IYE93" s="3"/>
      <c r="IYF93" s="3"/>
      <c r="IYG93" s="3"/>
      <c r="IYH93" s="3"/>
      <c r="IYI93" s="3"/>
      <c r="IYJ93" s="3"/>
      <c r="IYK93" s="3"/>
      <c r="IYL93" s="3"/>
      <c r="IYM93" s="3"/>
      <c r="IYN93" s="3"/>
      <c r="IYO93" s="3"/>
      <c r="IYP93" s="3"/>
      <c r="IYQ93" s="3"/>
      <c r="IYR93" s="3"/>
      <c r="IYS93" s="3"/>
      <c r="IYT93" s="3"/>
      <c r="IYU93" s="3"/>
      <c r="IYV93" s="3"/>
      <c r="IYW93" s="3"/>
      <c r="IYX93" s="3"/>
      <c r="IYY93" s="3"/>
      <c r="IYZ93" s="3"/>
      <c r="IZA93" s="3"/>
      <c r="IZB93" s="3"/>
      <c r="IZC93" s="3"/>
      <c r="IZD93" s="3"/>
      <c r="IZE93" s="3"/>
      <c r="IZF93" s="3"/>
      <c r="IZG93" s="3"/>
      <c r="IZH93" s="3"/>
      <c r="IZI93" s="3"/>
      <c r="IZJ93" s="3"/>
      <c r="IZK93" s="3"/>
      <c r="IZL93" s="3"/>
      <c r="IZM93" s="3"/>
      <c r="IZN93" s="3"/>
      <c r="IZO93" s="3"/>
      <c r="IZP93" s="3"/>
      <c r="IZQ93" s="3"/>
      <c r="IZR93" s="3"/>
      <c r="IZS93" s="3"/>
      <c r="IZT93" s="3"/>
      <c r="IZU93" s="3"/>
      <c r="IZV93" s="3"/>
      <c r="IZW93" s="3"/>
      <c r="IZX93" s="3"/>
      <c r="IZY93" s="3"/>
      <c r="IZZ93" s="3"/>
      <c r="JAA93" s="3"/>
      <c r="JAB93" s="3"/>
      <c r="JAC93" s="3"/>
      <c r="JAD93" s="3"/>
      <c r="JAE93" s="3"/>
      <c r="JAF93" s="3"/>
      <c r="JAG93" s="3"/>
      <c r="JAH93" s="3"/>
      <c r="JAI93" s="3"/>
      <c r="JAJ93" s="3"/>
      <c r="JAK93" s="3"/>
      <c r="JAL93" s="3"/>
      <c r="JAM93" s="3"/>
      <c r="JAN93" s="3"/>
      <c r="JAO93" s="3"/>
      <c r="JAP93" s="3"/>
      <c r="JAQ93" s="3"/>
      <c r="JAR93" s="3"/>
      <c r="JAS93" s="3"/>
      <c r="JAT93" s="3"/>
      <c r="JAU93" s="3"/>
      <c r="JAV93" s="3"/>
      <c r="JAW93" s="3"/>
      <c r="JAX93" s="3"/>
      <c r="JAY93" s="3"/>
      <c r="JAZ93" s="3"/>
      <c r="JBA93" s="3"/>
      <c r="JBB93" s="3"/>
      <c r="JBC93" s="3"/>
      <c r="JBD93" s="3"/>
      <c r="JBE93" s="3"/>
      <c r="JBF93" s="3"/>
      <c r="JBG93" s="3"/>
      <c r="JBH93" s="3"/>
      <c r="JBI93" s="3"/>
      <c r="JBJ93" s="3"/>
      <c r="JBK93" s="3"/>
      <c r="JBL93" s="3"/>
      <c r="JBM93" s="3"/>
      <c r="JBN93" s="3"/>
      <c r="JBO93" s="3"/>
      <c r="JBP93" s="3"/>
      <c r="JBQ93" s="3"/>
      <c r="JBR93" s="3"/>
      <c r="JBS93" s="3"/>
      <c r="JBT93" s="3"/>
      <c r="JBU93" s="3"/>
      <c r="JBV93" s="3"/>
      <c r="JBW93" s="3"/>
      <c r="JBX93" s="3"/>
      <c r="JBY93" s="3"/>
      <c r="JBZ93" s="3"/>
      <c r="JCA93" s="3"/>
      <c r="JCB93" s="3"/>
      <c r="JCC93" s="3"/>
      <c r="JCD93" s="3"/>
      <c r="JCE93" s="3"/>
      <c r="JCF93" s="3"/>
      <c r="JCG93" s="3"/>
      <c r="JCH93" s="3"/>
      <c r="JCI93" s="3"/>
      <c r="JCJ93" s="3"/>
      <c r="JCK93" s="3"/>
      <c r="JCL93" s="3"/>
      <c r="JCM93" s="3"/>
      <c r="JCN93" s="3"/>
      <c r="JCO93" s="3"/>
      <c r="JCP93" s="3"/>
      <c r="JCQ93" s="3"/>
      <c r="JCR93" s="3"/>
      <c r="JCS93" s="3"/>
      <c r="JCT93" s="3"/>
      <c r="JCU93" s="3"/>
      <c r="JCV93" s="3"/>
      <c r="JCW93" s="3"/>
      <c r="JCX93" s="3"/>
      <c r="JCY93" s="3"/>
      <c r="JCZ93" s="3"/>
      <c r="JDA93" s="3"/>
      <c r="JDB93" s="3"/>
      <c r="JDC93" s="3"/>
      <c r="JDD93" s="3"/>
      <c r="JDE93" s="3"/>
      <c r="JDF93" s="3"/>
      <c r="JDG93" s="3"/>
      <c r="JDH93" s="3"/>
      <c r="JDI93" s="3"/>
      <c r="JDJ93" s="3"/>
      <c r="JDK93" s="3"/>
      <c r="JDL93" s="3"/>
      <c r="JDM93" s="3"/>
      <c r="JDN93" s="3"/>
      <c r="JDO93" s="3"/>
      <c r="JDP93" s="3"/>
      <c r="JDQ93" s="3"/>
      <c r="JDR93" s="3"/>
      <c r="JDS93" s="3"/>
      <c r="JDT93" s="3"/>
      <c r="JDU93" s="3"/>
      <c r="JDV93" s="3"/>
      <c r="JDW93" s="3"/>
      <c r="JDX93" s="3"/>
      <c r="JDY93" s="3"/>
      <c r="JDZ93" s="3"/>
      <c r="JEA93" s="3"/>
      <c r="JEB93" s="3"/>
      <c r="JEC93" s="3"/>
      <c r="JED93" s="3"/>
      <c r="JEE93" s="3"/>
      <c r="JEF93" s="3"/>
      <c r="JEG93" s="3"/>
      <c r="JEH93" s="3"/>
      <c r="JEI93" s="3"/>
      <c r="JEJ93" s="3"/>
      <c r="JEK93" s="3"/>
      <c r="JEL93" s="3"/>
      <c r="JEM93" s="3"/>
      <c r="JEN93" s="3"/>
      <c r="JEO93" s="3"/>
      <c r="JEP93" s="3"/>
      <c r="JEQ93" s="3"/>
      <c r="JER93" s="3"/>
      <c r="JES93" s="3"/>
      <c r="JET93" s="3"/>
      <c r="JEU93" s="3"/>
      <c r="JEV93" s="3"/>
      <c r="JEW93" s="3"/>
      <c r="JEX93" s="3"/>
      <c r="JEY93" s="3"/>
      <c r="JEZ93" s="3"/>
      <c r="JFA93" s="3"/>
      <c r="JFB93" s="3"/>
      <c r="JFC93" s="3"/>
      <c r="JFD93" s="3"/>
      <c r="JFE93" s="3"/>
      <c r="JFF93" s="3"/>
      <c r="JFG93" s="3"/>
      <c r="JFH93" s="3"/>
      <c r="JFI93" s="3"/>
      <c r="JFJ93" s="3"/>
      <c r="JFK93" s="3"/>
      <c r="JFL93" s="3"/>
      <c r="JFM93" s="3"/>
      <c r="JFN93" s="3"/>
      <c r="JFO93" s="3"/>
      <c r="JFP93" s="3"/>
      <c r="JFQ93" s="3"/>
      <c r="JFR93" s="3"/>
      <c r="JFS93" s="3"/>
      <c r="JFT93" s="3"/>
      <c r="JFU93" s="3"/>
      <c r="JFV93" s="3"/>
      <c r="JFW93" s="3"/>
      <c r="JFX93" s="3"/>
      <c r="JFY93" s="3"/>
      <c r="JFZ93" s="3"/>
      <c r="JGA93" s="3"/>
      <c r="JGB93" s="3"/>
      <c r="JGC93" s="3"/>
      <c r="JGD93" s="3"/>
      <c r="JGE93" s="3"/>
      <c r="JGF93" s="3"/>
      <c r="JGG93" s="3"/>
      <c r="JGH93" s="3"/>
      <c r="JGI93" s="3"/>
      <c r="JGJ93" s="3"/>
      <c r="JGK93" s="3"/>
      <c r="JGL93" s="3"/>
      <c r="JGM93" s="3"/>
      <c r="JGN93" s="3"/>
      <c r="JGO93" s="3"/>
      <c r="JGP93" s="3"/>
      <c r="JGQ93" s="3"/>
      <c r="JGR93" s="3"/>
      <c r="JGS93" s="3"/>
      <c r="JGT93" s="3"/>
      <c r="JGU93" s="3"/>
      <c r="JGV93" s="3"/>
      <c r="JGW93" s="3"/>
      <c r="JGX93" s="3"/>
      <c r="JGY93" s="3"/>
      <c r="JGZ93" s="3"/>
      <c r="JHA93" s="3"/>
      <c r="JHB93" s="3"/>
      <c r="JHC93" s="3"/>
      <c r="JHD93" s="3"/>
      <c r="JHE93" s="3"/>
      <c r="JHF93" s="3"/>
      <c r="JHG93" s="3"/>
      <c r="JHH93" s="3"/>
      <c r="JHI93" s="3"/>
      <c r="JHJ93" s="3"/>
      <c r="JHK93" s="3"/>
      <c r="JHL93" s="3"/>
      <c r="JHM93" s="3"/>
      <c r="JHN93" s="3"/>
      <c r="JHO93" s="3"/>
      <c r="JHP93" s="3"/>
      <c r="JHQ93" s="3"/>
      <c r="JHR93" s="3"/>
      <c r="JHS93" s="3"/>
      <c r="JHT93" s="3"/>
      <c r="JHU93" s="3"/>
      <c r="JHV93" s="3"/>
      <c r="JHW93" s="3"/>
      <c r="JHX93" s="3"/>
      <c r="JHY93" s="3"/>
      <c r="JHZ93" s="3"/>
      <c r="JIA93" s="3"/>
      <c r="JIB93" s="3"/>
      <c r="JIC93" s="3"/>
      <c r="JID93" s="3"/>
      <c r="JIE93" s="3"/>
      <c r="JIF93" s="3"/>
      <c r="JIG93" s="3"/>
      <c r="JIH93" s="3"/>
      <c r="JII93" s="3"/>
      <c r="JIJ93" s="3"/>
      <c r="JIK93" s="3"/>
      <c r="JIL93" s="3"/>
      <c r="JIM93" s="3"/>
      <c r="JIN93" s="3"/>
      <c r="JIO93" s="3"/>
      <c r="JIP93" s="3"/>
      <c r="JIQ93" s="3"/>
      <c r="JIR93" s="3"/>
      <c r="JIS93" s="3"/>
      <c r="JIT93" s="3"/>
      <c r="JIU93" s="3"/>
      <c r="JIV93" s="3"/>
      <c r="JIW93" s="3"/>
      <c r="JIX93" s="3"/>
      <c r="JIY93" s="3"/>
      <c r="JIZ93" s="3"/>
      <c r="JJA93" s="3"/>
      <c r="JJB93" s="3"/>
      <c r="JJC93" s="3"/>
      <c r="JJD93" s="3"/>
      <c r="JJE93" s="3"/>
      <c r="JJF93" s="3"/>
      <c r="JJG93" s="3"/>
      <c r="JJH93" s="3"/>
      <c r="JJI93" s="3"/>
      <c r="JJJ93" s="3"/>
      <c r="JJK93" s="3"/>
      <c r="JJL93" s="3"/>
      <c r="JJM93" s="3"/>
      <c r="JJN93" s="3"/>
      <c r="JJO93" s="3"/>
      <c r="JJP93" s="3"/>
      <c r="JJQ93" s="3"/>
      <c r="JJR93" s="3"/>
      <c r="JJS93" s="3"/>
      <c r="JJT93" s="3"/>
      <c r="JJU93" s="3"/>
      <c r="JJV93" s="3"/>
      <c r="JJW93" s="3"/>
      <c r="JJX93" s="3"/>
      <c r="JJY93" s="3"/>
      <c r="JJZ93" s="3"/>
      <c r="JKA93" s="3"/>
      <c r="JKB93" s="3"/>
      <c r="JKC93" s="3"/>
      <c r="JKD93" s="3"/>
      <c r="JKE93" s="3"/>
      <c r="JKF93" s="3"/>
      <c r="JKG93" s="3"/>
      <c r="JKH93" s="3"/>
      <c r="JKI93" s="3"/>
      <c r="JKJ93" s="3"/>
      <c r="JKK93" s="3"/>
      <c r="JKL93" s="3"/>
      <c r="JKM93" s="3"/>
      <c r="JKN93" s="3"/>
      <c r="JKO93" s="3"/>
      <c r="JKP93" s="3"/>
      <c r="JKQ93" s="3"/>
      <c r="JKR93" s="3"/>
      <c r="JKS93" s="3"/>
      <c r="JKT93" s="3"/>
      <c r="JKU93" s="3"/>
      <c r="JKV93" s="3"/>
      <c r="JKW93" s="3"/>
      <c r="JKX93" s="3"/>
      <c r="JKY93" s="3"/>
      <c r="JKZ93" s="3"/>
      <c r="JLA93" s="3"/>
      <c r="JLB93" s="3"/>
      <c r="JLC93" s="3"/>
      <c r="JLD93" s="3"/>
      <c r="JLE93" s="3"/>
      <c r="JLF93" s="3"/>
      <c r="JLG93" s="3"/>
      <c r="JLH93" s="3"/>
      <c r="JLI93" s="3"/>
      <c r="JLJ93" s="3"/>
      <c r="JLK93" s="3"/>
      <c r="JLL93" s="3"/>
      <c r="JLM93" s="3"/>
      <c r="JLN93" s="3"/>
      <c r="JLO93" s="3"/>
      <c r="JLP93" s="3"/>
      <c r="JLQ93" s="3"/>
      <c r="JLR93" s="3"/>
      <c r="JLS93" s="3"/>
      <c r="JLT93" s="3"/>
      <c r="JLU93" s="3"/>
      <c r="JLV93" s="3"/>
      <c r="JLW93" s="3"/>
      <c r="JLX93" s="3"/>
      <c r="JLY93" s="3"/>
      <c r="JLZ93" s="3"/>
      <c r="JMA93" s="3"/>
      <c r="JMB93" s="3"/>
      <c r="JMC93" s="3"/>
      <c r="JMD93" s="3"/>
      <c r="JME93" s="3"/>
      <c r="JMF93" s="3"/>
      <c r="JMG93" s="3"/>
      <c r="JMH93" s="3"/>
      <c r="JMI93" s="3"/>
      <c r="JMJ93" s="3"/>
      <c r="JMK93" s="3"/>
      <c r="JML93" s="3"/>
      <c r="JMM93" s="3"/>
      <c r="JMN93" s="3"/>
      <c r="JMO93" s="3"/>
      <c r="JMP93" s="3"/>
      <c r="JMQ93" s="3"/>
      <c r="JMR93" s="3"/>
      <c r="JMS93" s="3"/>
      <c r="JMT93" s="3"/>
      <c r="JMU93" s="3"/>
      <c r="JMV93" s="3"/>
      <c r="JMW93" s="3"/>
      <c r="JMX93" s="3"/>
      <c r="JMY93" s="3"/>
      <c r="JMZ93" s="3"/>
      <c r="JNA93" s="3"/>
      <c r="JNB93" s="3"/>
      <c r="JNC93" s="3"/>
      <c r="JND93" s="3"/>
      <c r="JNE93" s="3"/>
      <c r="JNF93" s="3"/>
      <c r="JNG93" s="3"/>
      <c r="JNH93" s="3"/>
      <c r="JNI93" s="3"/>
      <c r="JNJ93" s="3"/>
      <c r="JNK93" s="3"/>
      <c r="JNL93" s="3"/>
      <c r="JNM93" s="3"/>
      <c r="JNN93" s="3"/>
      <c r="JNO93" s="3"/>
      <c r="JNP93" s="3"/>
      <c r="JNQ93" s="3"/>
      <c r="JNR93" s="3"/>
      <c r="JNS93" s="3"/>
      <c r="JNT93" s="3"/>
      <c r="JNU93" s="3"/>
      <c r="JNV93" s="3"/>
      <c r="JNW93" s="3"/>
      <c r="JNX93" s="3"/>
      <c r="JNY93" s="3"/>
      <c r="JNZ93" s="3"/>
      <c r="JOA93" s="3"/>
      <c r="JOB93" s="3"/>
      <c r="JOC93" s="3"/>
      <c r="JOD93" s="3"/>
      <c r="JOE93" s="3"/>
      <c r="JOF93" s="3"/>
      <c r="JOG93" s="3"/>
      <c r="JOH93" s="3"/>
      <c r="JOI93" s="3"/>
      <c r="JOJ93" s="3"/>
      <c r="JOK93" s="3"/>
      <c r="JOL93" s="3"/>
      <c r="JOM93" s="3"/>
      <c r="JON93" s="3"/>
      <c r="JOO93" s="3"/>
      <c r="JOP93" s="3"/>
      <c r="JOQ93" s="3"/>
      <c r="JOR93" s="3"/>
      <c r="JOS93" s="3"/>
      <c r="JOT93" s="3"/>
      <c r="JOU93" s="3"/>
      <c r="JOV93" s="3"/>
      <c r="JOW93" s="3"/>
      <c r="JOX93" s="3"/>
      <c r="JOY93" s="3"/>
      <c r="JOZ93" s="3"/>
      <c r="JPA93" s="3"/>
      <c r="JPB93" s="3"/>
      <c r="JPC93" s="3"/>
      <c r="JPD93" s="3"/>
      <c r="JPE93" s="3"/>
      <c r="JPF93" s="3"/>
      <c r="JPG93" s="3"/>
      <c r="JPH93" s="3"/>
      <c r="JPI93" s="3"/>
      <c r="JPJ93" s="3"/>
      <c r="JPK93" s="3"/>
      <c r="JPL93" s="3"/>
      <c r="JPM93" s="3"/>
      <c r="JPN93" s="3"/>
      <c r="JPO93" s="3"/>
      <c r="JPP93" s="3"/>
      <c r="JPQ93" s="3"/>
      <c r="JPR93" s="3"/>
      <c r="JPS93" s="3"/>
      <c r="JPT93" s="3"/>
      <c r="JPU93" s="3"/>
      <c r="JPV93" s="3"/>
      <c r="JPW93" s="3"/>
      <c r="JPX93" s="3"/>
      <c r="JPY93" s="3"/>
      <c r="JPZ93" s="3"/>
      <c r="JQA93" s="3"/>
      <c r="JQB93" s="3"/>
      <c r="JQC93" s="3"/>
      <c r="JQD93" s="3"/>
      <c r="JQE93" s="3"/>
      <c r="JQF93" s="3"/>
      <c r="JQG93" s="3"/>
      <c r="JQH93" s="3"/>
      <c r="JQI93" s="3"/>
      <c r="JQJ93" s="3"/>
      <c r="JQK93" s="3"/>
      <c r="JQL93" s="3"/>
      <c r="JQM93" s="3"/>
      <c r="JQN93" s="3"/>
      <c r="JQO93" s="3"/>
      <c r="JQP93" s="3"/>
      <c r="JQQ93" s="3"/>
      <c r="JQR93" s="3"/>
      <c r="JQS93" s="3"/>
      <c r="JQT93" s="3"/>
      <c r="JQU93" s="3"/>
      <c r="JQV93" s="3"/>
      <c r="JQW93" s="3"/>
      <c r="JQX93" s="3"/>
      <c r="JQY93" s="3"/>
      <c r="JQZ93" s="3"/>
      <c r="JRA93" s="3"/>
      <c r="JRB93" s="3"/>
      <c r="JRC93" s="3"/>
      <c r="JRD93" s="3"/>
      <c r="JRE93" s="3"/>
      <c r="JRF93" s="3"/>
      <c r="JRG93" s="3"/>
      <c r="JRH93" s="3"/>
      <c r="JRI93" s="3"/>
      <c r="JRJ93" s="3"/>
      <c r="JRK93" s="3"/>
      <c r="JRL93" s="3"/>
      <c r="JRM93" s="3"/>
      <c r="JRN93" s="3"/>
      <c r="JRO93" s="3"/>
      <c r="JRP93" s="3"/>
      <c r="JRQ93" s="3"/>
      <c r="JRR93" s="3"/>
      <c r="JRS93" s="3"/>
      <c r="JRT93" s="3"/>
      <c r="JRU93" s="3"/>
      <c r="JRV93" s="3"/>
      <c r="JRW93" s="3"/>
      <c r="JRX93" s="3"/>
      <c r="JRY93" s="3"/>
      <c r="JRZ93" s="3"/>
      <c r="JSA93" s="3"/>
      <c r="JSB93" s="3"/>
      <c r="JSC93" s="3"/>
      <c r="JSD93" s="3"/>
      <c r="JSE93" s="3"/>
      <c r="JSF93" s="3"/>
      <c r="JSG93" s="3"/>
      <c r="JSH93" s="3"/>
      <c r="JSI93" s="3"/>
      <c r="JSJ93" s="3"/>
      <c r="JSK93" s="3"/>
      <c r="JSL93" s="3"/>
      <c r="JSM93" s="3"/>
      <c r="JSN93" s="3"/>
      <c r="JSO93" s="3"/>
      <c r="JSP93" s="3"/>
      <c r="JSQ93" s="3"/>
      <c r="JSR93" s="3"/>
      <c r="JSS93" s="3"/>
      <c r="JST93" s="3"/>
      <c r="JSU93" s="3"/>
      <c r="JSV93" s="3"/>
      <c r="JSW93" s="3"/>
      <c r="JSX93" s="3"/>
      <c r="JSY93" s="3"/>
      <c r="JSZ93" s="3"/>
      <c r="JTA93" s="3"/>
      <c r="JTB93" s="3"/>
      <c r="JTC93" s="3"/>
      <c r="JTD93" s="3"/>
      <c r="JTE93" s="3"/>
      <c r="JTF93" s="3"/>
      <c r="JTG93" s="3"/>
      <c r="JTH93" s="3"/>
      <c r="JTI93" s="3"/>
      <c r="JTJ93" s="3"/>
      <c r="JTK93" s="3"/>
      <c r="JTL93" s="3"/>
      <c r="JTM93" s="3"/>
      <c r="JTN93" s="3"/>
      <c r="JTO93" s="3"/>
      <c r="JTP93" s="3"/>
      <c r="JTQ93" s="3"/>
      <c r="JTR93" s="3"/>
      <c r="JTS93" s="3"/>
      <c r="JTT93" s="3"/>
      <c r="JTU93" s="3"/>
      <c r="JTV93" s="3"/>
      <c r="JTW93" s="3"/>
      <c r="JTX93" s="3"/>
      <c r="JTY93" s="3"/>
      <c r="JTZ93" s="3"/>
      <c r="JUA93" s="3"/>
      <c r="JUB93" s="3"/>
      <c r="JUC93" s="3"/>
      <c r="JUD93" s="3"/>
      <c r="JUE93" s="3"/>
      <c r="JUF93" s="3"/>
      <c r="JUG93" s="3"/>
      <c r="JUH93" s="3"/>
      <c r="JUI93" s="3"/>
      <c r="JUJ93" s="3"/>
      <c r="JUK93" s="3"/>
      <c r="JUL93" s="3"/>
      <c r="JUM93" s="3"/>
      <c r="JUN93" s="3"/>
      <c r="JUO93" s="3"/>
      <c r="JUP93" s="3"/>
      <c r="JUQ93" s="3"/>
      <c r="JUR93" s="3"/>
      <c r="JUS93" s="3"/>
      <c r="JUT93" s="3"/>
      <c r="JUU93" s="3"/>
      <c r="JUV93" s="3"/>
      <c r="JUW93" s="3"/>
      <c r="JUX93" s="3"/>
      <c r="JUY93" s="3"/>
      <c r="JUZ93" s="3"/>
      <c r="JVA93" s="3"/>
      <c r="JVB93" s="3"/>
      <c r="JVC93" s="3"/>
      <c r="JVD93" s="3"/>
      <c r="JVE93" s="3"/>
      <c r="JVF93" s="3"/>
      <c r="JVG93" s="3"/>
      <c r="JVH93" s="3"/>
      <c r="JVI93" s="3"/>
      <c r="JVJ93" s="3"/>
      <c r="JVK93" s="3"/>
      <c r="JVL93" s="3"/>
      <c r="JVM93" s="3"/>
      <c r="JVN93" s="3"/>
      <c r="JVO93" s="3"/>
      <c r="JVP93" s="3"/>
      <c r="JVQ93" s="3"/>
      <c r="JVR93" s="3"/>
      <c r="JVS93" s="3"/>
      <c r="JVT93" s="3"/>
      <c r="JVU93" s="3"/>
      <c r="JVV93" s="3"/>
      <c r="JVW93" s="3"/>
      <c r="JVX93" s="3"/>
      <c r="JVY93" s="3"/>
      <c r="JVZ93" s="3"/>
      <c r="JWA93" s="3"/>
      <c r="JWB93" s="3"/>
      <c r="JWC93" s="3"/>
      <c r="JWD93" s="3"/>
      <c r="JWE93" s="3"/>
      <c r="JWF93" s="3"/>
      <c r="JWG93" s="3"/>
      <c r="JWH93" s="3"/>
      <c r="JWI93" s="3"/>
      <c r="JWJ93" s="3"/>
      <c r="JWK93" s="3"/>
      <c r="JWL93" s="3"/>
      <c r="JWM93" s="3"/>
      <c r="JWN93" s="3"/>
      <c r="JWO93" s="3"/>
      <c r="JWP93" s="3"/>
      <c r="JWQ93" s="3"/>
      <c r="JWR93" s="3"/>
      <c r="JWS93" s="3"/>
      <c r="JWT93" s="3"/>
      <c r="JWU93" s="3"/>
      <c r="JWV93" s="3"/>
      <c r="JWW93" s="3"/>
      <c r="JWX93" s="3"/>
      <c r="JWY93" s="3"/>
      <c r="JWZ93" s="3"/>
      <c r="JXA93" s="3"/>
      <c r="JXB93" s="3"/>
      <c r="JXC93" s="3"/>
      <c r="JXD93" s="3"/>
      <c r="JXE93" s="3"/>
      <c r="JXF93" s="3"/>
      <c r="JXG93" s="3"/>
      <c r="JXH93" s="3"/>
      <c r="JXI93" s="3"/>
      <c r="JXJ93" s="3"/>
      <c r="JXK93" s="3"/>
      <c r="JXL93" s="3"/>
      <c r="JXM93" s="3"/>
      <c r="JXN93" s="3"/>
      <c r="JXO93" s="3"/>
      <c r="JXP93" s="3"/>
      <c r="JXQ93" s="3"/>
      <c r="JXR93" s="3"/>
      <c r="JXS93" s="3"/>
      <c r="JXT93" s="3"/>
      <c r="JXU93" s="3"/>
      <c r="JXV93" s="3"/>
      <c r="JXW93" s="3"/>
      <c r="JXX93" s="3"/>
      <c r="JXY93" s="3"/>
      <c r="JXZ93" s="3"/>
      <c r="JYA93" s="3"/>
      <c r="JYB93" s="3"/>
      <c r="JYC93" s="3"/>
      <c r="JYD93" s="3"/>
      <c r="JYE93" s="3"/>
      <c r="JYF93" s="3"/>
      <c r="JYG93" s="3"/>
      <c r="JYH93" s="3"/>
      <c r="JYI93" s="3"/>
      <c r="JYJ93" s="3"/>
      <c r="JYK93" s="3"/>
      <c r="JYL93" s="3"/>
      <c r="JYM93" s="3"/>
      <c r="JYN93" s="3"/>
      <c r="JYO93" s="3"/>
      <c r="JYP93" s="3"/>
      <c r="JYQ93" s="3"/>
      <c r="JYR93" s="3"/>
      <c r="JYS93" s="3"/>
      <c r="JYT93" s="3"/>
      <c r="JYU93" s="3"/>
      <c r="JYV93" s="3"/>
      <c r="JYW93" s="3"/>
      <c r="JYX93" s="3"/>
      <c r="JYY93" s="3"/>
      <c r="JYZ93" s="3"/>
      <c r="JZA93" s="3"/>
      <c r="JZB93" s="3"/>
      <c r="JZC93" s="3"/>
      <c r="JZD93" s="3"/>
      <c r="JZE93" s="3"/>
      <c r="JZF93" s="3"/>
      <c r="JZG93" s="3"/>
      <c r="JZH93" s="3"/>
      <c r="JZI93" s="3"/>
      <c r="JZJ93" s="3"/>
      <c r="JZK93" s="3"/>
      <c r="JZL93" s="3"/>
      <c r="JZM93" s="3"/>
      <c r="JZN93" s="3"/>
      <c r="JZO93" s="3"/>
      <c r="JZP93" s="3"/>
      <c r="JZQ93" s="3"/>
      <c r="JZR93" s="3"/>
      <c r="JZS93" s="3"/>
      <c r="JZT93" s="3"/>
      <c r="JZU93" s="3"/>
      <c r="JZV93" s="3"/>
      <c r="JZW93" s="3"/>
      <c r="JZX93" s="3"/>
      <c r="JZY93" s="3"/>
      <c r="JZZ93" s="3"/>
      <c r="KAA93" s="3"/>
      <c r="KAB93" s="3"/>
      <c r="KAC93" s="3"/>
      <c r="KAD93" s="3"/>
      <c r="KAE93" s="3"/>
      <c r="KAF93" s="3"/>
      <c r="KAG93" s="3"/>
      <c r="KAH93" s="3"/>
      <c r="KAI93" s="3"/>
      <c r="KAJ93" s="3"/>
      <c r="KAK93" s="3"/>
      <c r="KAL93" s="3"/>
      <c r="KAM93" s="3"/>
      <c r="KAN93" s="3"/>
      <c r="KAO93" s="3"/>
      <c r="KAP93" s="3"/>
      <c r="KAQ93" s="3"/>
      <c r="KAR93" s="3"/>
      <c r="KAS93" s="3"/>
      <c r="KAT93" s="3"/>
      <c r="KAU93" s="3"/>
      <c r="KAV93" s="3"/>
      <c r="KAW93" s="3"/>
      <c r="KAX93" s="3"/>
      <c r="KAY93" s="3"/>
      <c r="KAZ93" s="3"/>
      <c r="KBA93" s="3"/>
      <c r="KBB93" s="3"/>
      <c r="KBC93" s="3"/>
      <c r="KBD93" s="3"/>
      <c r="KBE93" s="3"/>
      <c r="KBF93" s="3"/>
      <c r="KBG93" s="3"/>
      <c r="KBH93" s="3"/>
      <c r="KBI93" s="3"/>
      <c r="KBJ93" s="3"/>
      <c r="KBK93" s="3"/>
      <c r="KBL93" s="3"/>
      <c r="KBM93" s="3"/>
      <c r="KBN93" s="3"/>
      <c r="KBO93" s="3"/>
      <c r="KBP93" s="3"/>
      <c r="KBQ93" s="3"/>
      <c r="KBR93" s="3"/>
      <c r="KBS93" s="3"/>
      <c r="KBT93" s="3"/>
      <c r="KBU93" s="3"/>
      <c r="KBV93" s="3"/>
      <c r="KBW93" s="3"/>
      <c r="KBX93" s="3"/>
      <c r="KBY93" s="3"/>
      <c r="KBZ93" s="3"/>
      <c r="KCA93" s="3"/>
      <c r="KCB93" s="3"/>
      <c r="KCC93" s="3"/>
      <c r="KCD93" s="3"/>
      <c r="KCE93" s="3"/>
      <c r="KCF93" s="3"/>
      <c r="KCG93" s="3"/>
      <c r="KCH93" s="3"/>
      <c r="KCI93" s="3"/>
      <c r="KCJ93" s="3"/>
      <c r="KCK93" s="3"/>
      <c r="KCL93" s="3"/>
      <c r="KCM93" s="3"/>
      <c r="KCN93" s="3"/>
      <c r="KCO93" s="3"/>
      <c r="KCP93" s="3"/>
      <c r="KCQ93" s="3"/>
      <c r="KCR93" s="3"/>
      <c r="KCS93" s="3"/>
      <c r="KCT93" s="3"/>
      <c r="KCU93" s="3"/>
      <c r="KCV93" s="3"/>
      <c r="KCW93" s="3"/>
      <c r="KCX93" s="3"/>
      <c r="KCY93" s="3"/>
      <c r="KCZ93" s="3"/>
      <c r="KDA93" s="3"/>
      <c r="KDB93" s="3"/>
      <c r="KDC93" s="3"/>
      <c r="KDD93" s="3"/>
      <c r="KDE93" s="3"/>
      <c r="KDF93" s="3"/>
      <c r="KDG93" s="3"/>
      <c r="KDH93" s="3"/>
      <c r="KDI93" s="3"/>
      <c r="KDJ93" s="3"/>
      <c r="KDK93" s="3"/>
      <c r="KDL93" s="3"/>
      <c r="KDM93" s="3"/>
      <c r="KDN93" s="3"/>
      <c r="KDO93" s="3"/>
      <c r="KDP93" s="3"/>
      <c r="KDQ93" s="3"/>
      <c r="KDR93" s="3"/>
      <c r="KDS93" s="3"/>
      <c r="KDT93" s="3"/>
      <c r="KDU93" s="3"/>
      <c r="KDV93" s="3"/>
      <c r="KDW93" s="3"/>
      <c r="KDX93" s="3"/>
      <c r="KDY93" s="3"/>
      <c r="KDZ93" s="3"/>
      <c r="KEA93" s="3"/>
      <c r="KEB93" s="3"/>
      <c r="KEC93" s="3"/>
      <c r="KED93" s="3"/>
      <c r="KEE93" s="3"/>
      <c r="KEF93" s="3"/>
      <c r="KEG93" s="3"/>
      <c r="KEH93" s="3"/>
      <c r="KEI93" s="3"/>
      <c r="KEJ93" s="3"/>
      <c r="KEK93" s="3"/>
      <c r="KEL93" s="3"/>
      <c r="KEM93" s="3"/>
      <c r="KEN93" s="3"/>
      <c r="KEO93" s="3"/>
      <c r="KEP93" s="3"/>
      <c r="KEQ93" s="3"/>
      <c r="KER93" s="3"/>
      <c r="KES93" s="3"/>
      <c r="KET93" s="3"/>
      <c r="KEU93" s="3"/>
      <c r="KEV93" s="3"/>
      <c r="KEW93" s="3"/>
      <c r="KEX93" s="3"/>
      <c r="KEY93" s="3"/>
      <c r="KEZ93" s="3"/>
      <c r="KFA93" s="3"/>
      <c r="KFB93" s="3"/>
      <c r="KFC93" s="3"/>
      <c r="KFD93" s="3"/>
      <c r="KFE93" s="3"/>
      <c r="KFF93" s="3"/>
      <c r="KFG93" s="3"/>
      <c r="KFH93" s="3"/>
      <c r="KFI93" s="3"/>
      <c r="KFJ93" s="3"/>
      <c r="KFK93" s="3"/>
      <c r="KFL93" s="3"/>
      <c r="KFM93" s="3"/>
      <c r="KFN93" s="3"/>
      <c r="KFO93" s="3"/>
      <c r="KFP93" s="3"/>
      <c r="KFQ93" s="3"/>
      <c r="KFR93" s="3"/>
      <c r="KFS93" s="3"/>
      <c r="KFT93" s="3"/>
      <c r="KFU93" s="3"/>
      <c r="KFV93" s="3"/>
      <c r="KFW93" s="3"/>
      <c r="KFX93" s="3"/>
      <c r="KFY93" s="3"/>
      <c r="KFZ93" s="3"/>
      <c r="KGA93" s="3"/>
      <c r="KGB93" s="3"/>
      <c r="KGC93" s="3"/>
      <c r="KGD93" s="3"/>
      <c r="KGE93" s="3"/>
      <c r="KGF93" s="3"/>
      <c r="KGG93" s="3"/>
      <c r="KGH93" s="3"/>
      <c r="KGI93" s="3"/>
      <c r="KGJ93" s="3"/>
      <c r="KGK93" s="3"/>
      <c r="KGL93" s="3"/>
      <c r="KGM93" s="3"/>
      <c r="KGN93" s="3"/>
      <c r="KGO93" s="3"/>
      <c r="KGP93" s="3"/>
      <c r="KGQ93" s="3"/>
      <c r="KGR93" s="3"/>
      <c r="KGS93" s="3"/>
      <c r="KGT93" s="3"/>
      <c r="KGU93" s="3"/>
      <c r="KGV93" s="3"/>
      <c r="KGW93" s="3"/>
      <c r="KGX93" s="3"/>
      <c r="KGY93" s="3"/>
      <c r="KGZ93" s="3"/>
      <c r="KHA93" s="3"/>
      <c r="KHB93" s="3"/>
      <c r="KHC93" s="3"/>
      <c r="KHD93" s="3"/>
      <c r="KHE93" s="3"/>
      <c r="KHF93" s="3"/>
      <c r="KHG93" s="3"/>
      <c r="KHH93" s="3"/>
      <c r="KHI93" s="3"/>
      <c r="KHJ93" s="3"/>
      <c r="KHK93" s="3"/>
      <c r="KHL93" s="3"/>
      <c r="KHM93" s="3"/>
      <c r="KHN93" s="3"/>
      <c r="KHO93" s="3"/>
      <c r="KHP93" s="3"/>
      <c r="KHQ93" s="3"/>
      <c r="KHR93" s="3"/>
      <c r="KHS93" s="3"/>
      <c r="KHT93" s="3"/>
      <c r="KHU93" s="3"/>
      <c r="KHV93" s="3"/>
      <c r="KHW93" s="3"/>
      <c r="KHX93" s="3"/>
      <c r="KHY93" s="3"/>
      <c r="KHZ93" s="3"/>
      <c r="KIA93" s="3"/>
      <c r="KIB93" s="3"/>
      <c r="KIC93" s="3"/>
      <c r="KID93" s="3"/>
      <c r="KIE93" s="3"/>
      <c r="KIF93" s="3"/>
      <c r="KIG93" s="3"/>
      <c r="KIH93" s="3"/>
      <c r="KII93" s="3"/>
      <c r="KIJ93" s="3"/>
      <c r="KIK93" s="3"/>
      <c r="KIL93" s="3"/>
      <c r="KIM93" s="3"/>
      <c r="KIN93" s="3"/>
      <c r="KIO93" s="3"/>
      <c r="KIP93" s="3"/>
      <c r="KIQ93" s="3"/>
      <c r="KIR93" s="3"/>
      <c r="KIS93" s="3"/>
      <c r="KIT93" s="3"/>
      <c r="KIU93" s="3"/>
      <c r="KIV93" s="3"/>
      <c r="KIW93" s="3"/>
      <c r="KIX93" s="3"/>
      <c r="KIY93" s="3"/>
      <c r="KIZ93" s="3"/>
      <c r="KJA93" s="3"/>
      <c r="KJB93" s="3"/>
      <c r="KJC93" s="3"/>
      <c r="KJD93" s="3"/>
      <c r="KJE93" s="3"/>
      <c r="KJF93" s="3"/>
      <c r="KJG93" s="3"/>
      <c r="KJH93" s="3"/>
      <c r="KJI93" s="3"/>
      <c r="KJJ93" s="3"/>
      <c r="KJK93" s="3"/>
      <c r="KJL93" s="3"/>
      <c r="KJM93" s="3"/>
      <c r="KJN93" s="3"/>
      <c r="KJO93" s="3"/>
      <c r="KJP93" s="3"/>
      <c r="KJQ93" s="3"/>
      <c r="KJR93" s="3"/>
      <c r="KJS93" s="3"/>
      <c r="KJT93" s="3"/>
      <c r="KJU93" s="3"/>
      <c r="KJV93" s="3"/>
      <c r="KJW93" s="3"/>
      <c r="KJX93" s="3"/>
      <c r="KJY93" s="3"/>
      <c r="KJZ93" s="3"/>
      <c r="KKA93" s="3"/>
      <c r="KKB93" s="3"/>
      <c r="KKC93" s="3"/>
      <c r="KKD93" s="3"/>
      <c r="KKE93" s="3"/>
      <c r="KKF93" s="3"/>
      <c r="KKG93" s="3"/>
      <c r="KKH93" s="3"/>
      <c r="KKI93" s="3"/>
      <c r="KKJ93" s="3"/>
      <c r="KKK93" s="3"/>
      <c r="KKL93" s="3"/>
      <c r="KKM93" s="3"/>
      <c r="KKN93" s="3"/>
      <c r="KKO93" s="3"/>
      <c r="KKP93" s="3"/>
      <c r="KKQ93" s="3"/>
      <c r="KKR93" s="3"/>
      <c r="KKS93" s="3"/>
      <c r="KKT93" s="3"/>
      <c r="KKU93" s="3"/>
      <c r="KKV93" s="3"/>
      <c r="KKW93" s="3"/>
      <c r="KKX93" s="3"/>
      <c r="KKY93" s="3"/>
      <c r="KKZ93" s="3"/>
      <c r="KLA93" s="3"/>
      <c r="KLB93" s="3"/>
      <c r="KLC93" s="3"/>
      <c r="KLD93" s="3"/>
      <c r="KLE93" s="3"/>
      <c r="KLF93" s="3"/>
      <c r="KLG93" s="3"/>
      <c r="KLH93" s="3"/>
      <c r="KLI93" s="3"/>
      <c r="KLJ93" s="3"/>
      <c r="KLK93" s="3"/>
      <c r="KLL93" s="3"/>
      <c r="KLM93" s="3"/>
      <c r="KLN93" s="3"/>
      <c r="KLO93" s="3"/>
      <c r="KLP93" s="3"/>
      <c r="KLQ93" s="3"/>
      <c r="KLR93" s="3"/>
      <c r="KLS93" s="3"/>
      <c r="KLT93" s="3"/>
      <c r="KLU93" s="3"/>
      <c r="KLV93" s="3"/>
      <c r="KLW93" s="3"/>
      <c r="KLX93" s="3"/>
      <c r="KLY93" s="3"/>
      <c r="KLZ93" s="3"/>
      <c r="KMA93" s="3"/>
      <c r="KMB93" s="3"/>
      <c r="KMC93" s="3"/>
      <c r="KMD93" s="3"/>
      <c r="KME93" s="3"/>
      <c r="KMF93" s="3"/>
      <c r="KMG93" s="3"/>
      <c r="KMH93" s="3"/>
      <c r="KMI93" s="3"/>
      <c r="KMJ93" s="3"/>
      <c r="KMK93" s="3"/>
      <c r="KML93" s="3"/>
      <c r="KMM93" s="3"/>
      <c r="KMN93" s="3"/>
      <c r="KMO93" s="3"/>
      <c r="KMP93" s="3"/>
      <c r="KMQ93" s="3"/>
      <c r="KMR93" s="3"/>
      <c r="KMS93" s="3"/>
      <c r="KMT93" s="3"/>
      <c r="KMU93" s="3"/>
      <c r="KMV93" s="3"/>
      <c r="KMW93" s="3"/>
      <c r="KMX93" s="3"/>
      <c r="KMY93" s="3"/>
      <c r="KMZ93" s="3"/>
      <c r="KNA93" s="3"/>
      <c r="KNB93" s="3"/>
      <c r="KNC93" s="3"/>
      <c r="KND93" s="3"/>
      <c r="KNE93" s="3"/>
      <c r="KNF93" s="3"/>
      <c r="KNG93" s="3"/>
      <c r="KNH93" s="3"/>
      <c r="KNI93" s="3"/>
      <c r="KNJ93" s="3"/>
      <c r="KNK93" s="3"/>
      <c r="KNL93" s="3"/>
      <c r="KNM93" s="3"/>
      <c r="KNN93" s="3"/>
      <c r="KNO93" s="3"/>
      <c r="KNP93" s="3"/>
      <c r="KNQ93" s="3"/>
      <c r="KNR93" s="3"/>
      <c r="KNS93" s="3"/>
      <c r="KNT93" s="3"/>
      <c r="KNU93" s="3"/>
      <c r="KNV93" s="3"/>
      <c r="KNW93" s="3"/>
      <c r="KNX93" s="3"/>
      <c r="KNY93" s="3"/>
      <c r="KNZ93" s="3"/>
      <c r="KOA93" s="3"/>
      <c r="KOB93" s="3"/>
      <c r="KOC93" s="3"/>
      <c r="KOD93" s="3"/>
      <c r="KOE93" s="3"/>
      <c r="KOF93" s="3"/>
      <c r="KOG93" s="3"/>
      <c r="KOH93" s="3"/>
      <c r="KOI93" s="3"/>
      <c r="KOJ93" s="3"/>
      <c r="KOK93" s="3"/>
      <c r="KOL93" s="3"/>
      <c r="KOM93" s="3"/>
      <c r="KON93" s="3"/>
      <c r="KOO93" s="3"/>
      <c r="KOP93" s="3"/>
      <c r="KOQ93" s="3"/>
      <c r="KOR93" s="3"/>
      <c r="KOS93" s="3"/>
      <c r="KOT93" s="3"/>
      <c r="KOU93" s="3"/>
      <c r="KOV93" s="3"/>
      <c r="KOW93" s="3"/>
      <c r="KOX93" s="3"/>
      <c r="KOY93" s="3"/>
      <c r="KOZ93" s="3"/>
      <c r="KPA93" s="3"/>
      <c r="KPB93" s="3"/>
      <c r="KPC93" s="3"/>
      <c r="KPD93" s="3"/>
      <c r="KPE93" s="3"/>
      <c r="KPF93" s="3"/>
      <c r="KPG93" s="3"/>
      <c r="KPH93" s="3"/>
      <c r="KPI93" s="3"/>
      <c r="KPJ93" s="3"/>
      <c r="KPK93" s="3"/>
      <c r="KPL93" s="3"/>
      <c r="KPM93" s="3"/>
      <c r="KPN93" s="3"/>
      <c r="KPO93" s="3"/>
      <c r="KPP93" s="3"/>
      <c r="KPQ93" s="3"/>
      <c r="KPR93" s="3"/>
      <c r="KPS93" s="3"/>
      <c r="KPT93" s="3"/>
      <c r="KPU93" s="3"/>
      <c r="KPV93" s="3"/>
      <c r="KPW93" s="3"/>
      <c r="KPX93" s="3"/>
      <c r="KPY93" s="3"/>
      <c r="KPZ93" s="3"/>
      <c r="KQA93" s="3"/>
      <c r="KQB93" s="3"/>
      <c r="KQC93" s="3"/>
      <c r="KQD93" s="3"/>
      <c r="KQE93" s="3"/>
      <c r="KQF93" s="3"/>
      <c r="KQG93" s="3"/>
      <c r="KQH93" s="3"/>
      <c r="KQI93" s="3"/>
      <c r="KQJ93" s="3"/>
      <c r="KQK93" s="3"/>
      <c r="KQL93" s="3"/>
      <c r="KQM93" s="3"/>
      <c r="KQN93" s="3"/>
      <c r="KQO93" s="3"/>
      <c r="KQP93" s="3"/>
      <c r="KQQ93" s="3"/>
      <c r="KQR93" s="3"/>
      <c r="KQS93" s="3"/>
      <c r="KQT93" s="3"/>
      <c r="KQU93" s="3"/>
      <c r="KQV93" s="3"/>
      <c r="KQW93" s="3"/>
      <c r="KQX93" s="3"/>
      <c r="KQY93" s="3"/>
      <c r="KQZ93" s="3"/>
      <c r="KRA93" s="3"/>
      <c r="KRB93" s="3"/>
      <c r="KRC93" s="3"/>
      <c r="KRD93" s="3"/>
      <c r="KRE93" s="3"/>
      <c r="KRF93" s="3"/>
      <c r="KRG93" s="3"/>
      <c r="KRH93" s="3"/>
      <c r="KRI93" s="3"/>
      <c r="KRJ93" s="3"/>
      <c r="KRK93" s="3"/>
      <c r="KRL93" s="3"/>
      <c r="KRM93" s="3"/>
      <c r="KRN93" s="3"/>
      <c r="KRO93" s="3"/>
      <c r="KRP93" s="3"/>
      <c r="KRQ93" s="3"/>
      <c r="KRR93" s="3"/>
      <c r="KRS93" s="3"/>
      <c r="KRT93" s="3"/>
      <c r="KRU93" s="3"/>
      <c r="KRV93" s="3"/>
      <c r="KRW93" s="3"/>
      <c r="KRX93" s="3"/>
      <c r="KRY93" s="3"/>
      <c r="KRZ93" s="3"/>
      <c r="KSA93" s="3"/>
      <c r="KSB93" s="3"/>
      <c r="KSC93" s="3"/>
      <c r="KSD93" s="3"/>
      <c r="KSE93" s="3"/>
      <c r="KSF93" s="3"/>
      <c r="KSG93" s="3"/>
      <c r="KSH93" s="3"/>
      <c r="KSI93" s="3"/>
      <c r="KSJ93" s="3"/>
      <c r="KSK93" s="3"/>
      <c r="KSL93" s="3"/>
      <c r="KSM93" s="3"/>
      <c r="KSN93" s="3"/>
      <c r="KSO93" s="3"/>
      <c r="KSP93" s="3"/>
      <c r="KSQ93" s="3"/>
      <c r="KSR93" s="3"/>
      <c r="KSS93" s="3"/>
      <c r="KST93" s="3"/>
      <c r="KSU93" s="3"/>
      <c r="KSV93" s="3"/>
      <c r="KSW93" s="3"/>
      <c r="KSX93" s="3"/>
      <c r="KSY93" s="3"/>
      <c r="KSZ93" s="3"/>
      <c r="KTA93" s="3"/>
      <c r="KTB93" s="3"/>
      <c r="KTC93" s="3"/>
      <c r="KTD93" s="3"/>
      <c r="KTE93" s="3"/>
      <c r="KTF93" s="3"/>
      <c r="KTG93" s="3"/>
      <c r="KTH93" s="3"/>
      <c r="KTI93" s="3"/>
      <c r="KTJ93" s="3"/>
      <c r="KTK93" s="3"/>
      <c r="KTL93" s="3"/>
      <c r="KTM93" s="3"/>
      <c r="KTN93" s="3"/>
      <c r="KTO93" s="3"/>
      <c r="KTP93" s="3"/>
      <c r="KTQ93" s="3"/>
      <c r="KTR93" s="3"/>
      <c r="KTS93" s="3"/>
      <c r="KTT93" s="3"/>
      <c r="KTU93" s="3"/>
      <c r="KTV93" s="3"/>
      <c r="KTW93" s="3"/>
      <c r="KTX93" s="3"/>
      <c r="KTY93" s="3"/>
      <c r="KTZ93" s="3"/>
      <c r="KUA93" s="3"/>
      <c r="KUB93" s="3"/>
      <c r="KUC93" s="3"/>
      <c r="KUD93" s="3"/>
      <c r="KUE93" s="3"/>
      <c r="KUF93" s="3"/>
      <c r="KUG93" s="3"/>
      <c r="KUH93" s="3"/>
      <c r="KUI93" s="3"/>
      <c r="KUJ93" s="3"/>
      <c r="KUK93" s="3"/>
      <c r="KUL93" s="3"/>
      <c r="KUM93" s="3"/>
      <c r="KUN93" s="3"/>
      <c r="KUO93" s="3"/>
      <c r="KUP93" s="3"/>
      <c r="KUQ93" s="3"/>
      <c r="KUR93" s="3"/>
      <c r="KUS93" s="3"/>
      <c r="KUT93" s="3"/>
      <c r="KUU93" s="3"/>
      <c r="KUV93" s="3"/>
      <c r="KUW93" s="3"/>
      <c r="KUX93" s="3"/>
      <c r="KUY93" s="3"/>
      <c r="KUZ93" s="3"/>
      <c r="KVA93" s="3"/>
      <c r="KVB93" s="3"/>
      <c r="KVC93" s="3"/>
      <c r="KVD93" s="3"/>
      <c r="KVE93" s="3"/>
      <c r="KVF93" s="3"/>
      <c r="KVG93" s="3"/>
      <c r="KVH93" s="3"/>
      <c r="KVI93" s="3"/>
      <c r="KVJ93" s="3"/>
      <c r="KVK93" s="3"/>
      <c r="KVL93" s="3"/>
      <c r="KVM93" s="3"/>
      <c r="KVN93" s="3"/>
      <c r="KVO93" s="3"/>
      <c r="KVP93" s="3"/>
      <c r="KVQ93" s="3"/>
      <c r="KVR93" s="3"/>
      <c r="KVS93" s="3"/>
      <c r="KVT93" s="3"/>
      <c r="KVU93" s="3"/>
      <c r="KVV93" s="3"/>
      <c r="KVW93" s="3"/>
      <c r="KVX93" s="3"/>
      <c r="KVY93" s="3"/>
      <c r="KVZ93" s="3"/>
      <c r="KWA93" s="3"/>
      <c r="KWB93" s="3"/>
      <c r="KWC93" s="3"/>
      <c r="KWD93" s="3"/>
      <c r="KWE93" s="3"/>
      <c r="KWF93" s="3"/>
      <c r="KWG93" s="3"/>
      <c r="KWH93" s="3"/>
      <c r="KWI93" s="3"/>
      <c r="KWJ93" s="3"/>
      <c r="KWK93" s="3"/>
      <c r="KWL93" s="3"/>
      <c r="KWM93" s="3"/>
      <c r="KWN93" s="3"/>
      <c r="KWO93" s="3"/>
      <c r="KWP93" s="3"/>
      <c r="KWQ93" s="3"/>
      <c r="KWR93" s="3"/>
      <c r="KWS93" s="3"/>
      <c r="KWT93" s="3"/>
      <c r="KWU93" s="3"/>
      <c r="KWV93" s="3"/>
      <c r="KWW93" s="3"/>
      <c r="KWX93" s="3"/>
      <c r="KWY93" s="3"/>
      <c r="KWZ93" s="3"/>
      <c r="KXA93" s="3"/>
      <c r="KXB93" s="3"/>
      <c r="KXC93" s="3"/>
      <c r="KXD93" s="3"/>
      <c r="KXE93" s="3"/>
      <c r="KXF93" s="3"/>
      <c r="KXG93" s="3"/>
      <c r="KXH93" s="3"/>
      <c r="KXI93" s="3"/>
      <c r="KXJ93" s="3"/>
      <c r="KXK93" s="3"/>
      <c r="KXL93" s="3"/>
      <c r="KXM93" s="3"/>
      <c r="KXN93" s="3"/>
      <c r="KXO93" s="3"/>
      <c r="KXP93" s="3"/>
      <c r="KXQ93" s="3"/>
      <c r="KXR93" s="3"/>
      <c r="KXS93" s="3"/>
      <c r="KXT93" s="3"/>
      <c r="KXU93" s="3"/>
      <c r="KXV93" s="3"/>
      <c r="KXW93" s="3"/>
      <c r="KXX93" s="3"/>
      <c r="KXY93" s="3"/>
      <c r="KXZ93" s="3"/>
      <c r="KYA93" s="3"/>
      <c r="KYB93" s="3"/>
      <c r="KYC93" s="3"/>
      <c r="KYD93" s="3"/>
      <c r="KYE93" s="3"/>
      <c r="KYF93" s="3"/>
      <c r="KYG93" s="3"/>
      <c r="KYH93" s="3"/>
      <c r="KYI93" s="3"/>
      <c r="KYJ93" s="3"/>
      <c r="KYK93" s="3"/>
      <c r="KYL93" s="3"/>
      <c r="KYM93" s="3"/>
      <c r="KYN93" s="3"/>
      <c r="KYO93" s="3"/>
      <c r="KYP93" s="3"/>
      <c r="KYQ93" s="3"/>
      <c r="KYR93" s="3"/>
      <c r="KYS93" s="3"/>
      <c r="KYT93" s="3"/>
      <c r="KYU93" s="3"/>
      <c r="KYV93" s="3"/>
      <c r="KYW93" s="3"/>
      <c r="KYX93" s="3"/>
      <c r="KYY93" s="3"/>
      <c r="KYZ93" s="3"/>
      <c r="KZA93" s="3"/>
      <c r="KZB93" s="3"/>
      <c r="KZC93" s="3"/>
      <c r="KZD93" s="3"/>
      <c r="KZE93" s="3"/>
      <c r="KZF93" s="3"/>
      <c r="KZG93" s="3"/>
      <c r="KZH93" s="3"/>
      <c r="KZI93" s="3"/>
      <c r="KZJ93" s="3"/>
      <c r="KZK93" s="3"/>
      <c r="KZL93" s="3"/>
      <c r="KZM93" s="3"/>
      <c r="KZN93" s="3"/>
      <c r="KZO93" s="3"/>
      <c r="KZP93" s="3"/>
      <c r="KZQ93" s="3"/>
      <c r="KZR93" s="3"/>
      <c r="KZS93" s="3"/>
      <c r="KZT93" s="3"/>
      <c r="KZU93" s="3"/>
      <c r="KZV93" s="3"/>
      <c r="KZW93" s="3"/>
      <c r="KZX93" s="3"/>
      <c r="KZY93" s="3"/>
      <c r="KZZ93" s="3"/>
      <c r="LAA93" s="3"/>
      <c r="LAB93" s="3"/>
      <c r="LAC93" s="3"/>
      <c r="LAD93" s="3"/>
      <c r="LAE93" s="3"/>
      <c r="LAF93" s="3"/>
      <c r="LAG93" s="3"/>
      <c r="LAH93" s="3"/>
      <c r="LAI93" s="3"/>
      <c r="LAJ93" s="3"/>
      <c r="LAK93" s="3"/>
      <c r="LAL93" s="3"/>
      <c r="LAM93" s="3"/>
      <c r="LAN93" s="3"/>
      <c r="LAO93" s="3"/>
      <c r="LAP93" s="3"/>
      <c r="LAQ93" s="3"/>
      <c r="LAR93" s="3"/>
      <c r="LAS93" s="3"/>
      <c r="LAT93" s="3"/>
      <c r="LAU93" s="3"/>
      <c r="LAV93" s="3"/>
      <c r="LAW93" s="3"/>
      <c r="LAX93" s="3"/>
      <c r="LAY93" s="3"/>
      <c r="LAZ93" s="3"/>
      <c r="LBA93" s="3"/>
      <c r="LBB93" s="3"/>
      <c r="LBC93" s="3"/>
      <c r="LBD93" s="3"/>
      <c r="LBE93" s="3"/>
      <c r="LBF93" s="3"/>
      <c r="LBG93" s="3"/>
      <c r="LBH93" s="3"/>
      <c r="LBI93" s="3"/>
      <c r="LBJ93" s="3"/>
      <c r="LBK93" s="3"/>
      <c r="LBL93" s="3"/>
      <c r="LBM93" s="3"/>
      <c r="LBN93" s="3"/>
      <c r="LBO93" s="3"/>
      <c r="LBP93" s="3"/>
      <c r="LBQ93" s="3"/>
      <c r="LBR93" s="3"/>
      <c r="LBS93" s="3"/>
      <c r="LBT93" s="3"/>
      <c r="LBU93" s="3"/>
      <c r="LBV93" s="3"/>
      <c r="LBW93" s="3"/>
      <c r="LBX93" s="3"/>
      <c r="LBY93" s="3"/>
      <c r="LBZ93" s="3"/>
      <c r="LCA93" s="3"/>
      <c r="LCB93" s="3"/>
      <c r="LCC93" s="3"/>
      <c r="LCD93" s="3"/>
      <c r="LCE93" s="3"/>
      <c r="LCF93" s="3"/>
      <c r="LCG93" s="3"/>
      <c r="LCH93" s="3"/>
      <c r="LCI93" s="3"/>
      <c r="LCJ93" s="3"/>
      <c r="LCK93" s="3"/>
      <c r="LCL93" s="3"/>
      <c r="LCM93" s="3"/>
      <c r="LCN93" s="3"/>
      <c r="LCO93" s="3"/>
      <c r="LCP93" s="3"/>
      <c r="LCQ93" s="3"/>
      <c r="LCR93" s="3"/>
      <c r="LCS93" s="3"/>
      <c r="LCT93" s="3"/>
      <c r="LCU93" s="3"/>
      <c r="LCV93" s="3"/>
      <c r="LCW93" s="3"/>
      <c r="LCX93" s="3"/>
      <c r="LCY93" s="3"/>
      <c r="LCZ93" s="3"/>
      <c r="LDA93" s="3"/>
      <c r="LDB93" s="3"/>
      <c r="LDC93" s="3"/>
      <c r="LDD93" s="3"/>
      <c r="LDE93" s="3"/>
      <c r="LDF93" s="3"/>
      <c r="LDG93" s="3"/>
      <c r="LDH93" s="3"/>
      <c r="LDI93" s="3"/>
      <c r="LDJ93" s="3"/>
      <c r="LDK93" s="3"/>
      <c r="LDL93" s="3"/>
      <c r="LDM93" s="3"/>
      <c r="LDN93" s="3"/>
      <c r="LDO93" s="3"/>
      <c r="LDP93" s="3"/>
      <c r="LDQ93" s="3"/>
      <c r="LDR93" s="3"/>
      <c r="LDS93" s="3"/>
      <c r="LDT93" s="3"/>
      <c r="LDU93" s="3"/>
      <c r="LDV93" s="3"/>
      <c r="LDW93" s="3"/>
      <c r="LDX93" s="3"/>
      <c r="LDY93" s="3"/>
      <c r="LDZ93" s="3"/>
      <c r="LEA93" s="3"/>
      <c r="LEB93" s="3"/>
      <c r="LEC93" s="3"/>
      <c r="LED93" s="3"/>
      <c r="LEE93" s="3"/>
      <c r="LEF93" s="3"/>
      <c r="LEG93" s="3"/>
      <c r="LEH93" s="3"/>
      <c r="LEI93" s="3"/>
      <c r="LEJ93" s="3"/>
      <c r="LEK93" s="3"/>
      <c r="LEL93" s="3"/>
      <c r="LEM93" s="3"/>
      <c r="LEN93" s="3"/>
      <c r="LEO93" s="3"/>
      <c r="LEP93" s="3"/>
      <c r="LEQ93" s="3"/>
      <c r="LER93" s="3"/>
      <c r="LES93" s="3"/>
      <c r="LET93" s="3"/>
      <c r="LEU93" s="3"/>
      <c r="LEV93" s="3"/>
      <c r="LEW93" s="3"/>
      <c r="LEX93" s="3"/>
      <c r="LEY93" s="3"/>
      <c r="LEZ93" s="3"/>
      <c r="LFA93" s="3"/>
      <c r="LFB93" s="3"/>
      <c r="LFC93" s="3"/>
      <c r="LFD93" s="3"/>
      <c r="LFE93" s="3"/>
      <c r="LFF93" s="3"/>
      <c r="LFG93" s="3"/>
      <c r="LFH93" s="3"/>
      <c r="LFI93" s="3"/>
      <c r="LFJ93" s="3"/>
      <c r="LFK93" s="3"/>
      <c r="LFL93" s="3"/>
      <c r="LFM93" s="3"/>
      <c r="LFN93" s="3"/>
      <c r="LFO93" s="3"/>
      <c r="LFP93" s="3"/>
      <c r="LFQ93" s="3"/>
      <c r="LFR93" s="3"/>
      <c r="LFS93" s="3"/>
      <c r="LFT93" s="3"/>
      <c r="LFU93" s="3"/>
      <c r="LFV93" s="3"/>
      <c r="LFW93" s="3"/>
      <c r="LFX93" s="3"/>
      <c r="LFY93" s="3"/>
      <c r="LFZ93" s="3"/>
      <c r="LGA93" s="3"/>
      <c r="LGB93" s="3"/>
      <c r="LGC93" s="3"/>
      <c r="LGD93" s="3"/>
      <c r="LGE93" s="3"/>
      <c r="LGF93" s="3"/>
      <c r="LGG93" s="3"/>
      <c r="LGH93" s="3"/>
      <c r="LGI93" s="3"/>
      <c r="LGJ93" s="3"/>
      <c r="LGK93" s="3"/>
      <c r="LGL93" s="3"/>
      <c r="LGM93" s="3"/>
      <c r="LGN93" s="3"/>
      <c r="LGO93" s="3"/>
      <c r="LGP93" s="3"/>
      <c r="LGQ93" s="3"/>
      <c r="LGR93" s="3"/>
      <c r="LGS93" s="3"/>
      <c r="LGT93" s="3"/>
      <c r="LGU93" s="3"/>
      <c r="LGV93" s="3"/>
      <c r="LGW93" s="3"/>
      <c r="LGX93" s="3"/>
      <c r="LGY93" s="3"/>
      <c r="LGZ93" s="3"/>
      <c r="LHA93" s="3"/>
      <c r="LHB93" s="3"/>
      <c r="LHC93" s="3"/>
      <c r="LHD93" s="3"/>
      <c r="LHE93" s="3"/>
      <c r="LHF93" s="3"/>
      <c r="LHG93" s="3"/>
      <c r="LHH93" s="3"/>
      <c r="LHI93" s="3"/>
      <c r="LHJ93" s="3"/>
      <c r="LHK93" s="3"/>
      <c r="LHL93" s="3"/>
      <c r="LHM93" s="3"/>
      <c r="LHN93" s="3"/>
      <c r="LHO93" s="3"/>
      <c r="LHP93" s="3"/>
      <c r="LHQ93" s="3"/>
      <c r="LHR93" s="3"/>
      <c r="LHS93" s="3"/>
      <c r="LHT93" s="3"/>
      <c r="LHU93" s="3"/>
      <c r="LHV93" s="3"/>
      <c r="LHW93" s="3"/>
      <c r="LHX93" s="3"/>
      <c r="LHY93" s="3"/>
      <c r="LHZ93" s="3"/>
      <c r="LIA93" s="3"/>
      <c r="LIB93" s="3"/>
      <c r="LIC93" s="3"/>
      <c r="LID93" s="3"/>
      <c r="LIE93" s="3"/>
      <c r="LIF93" s="3"/>
      <c r="LIG93" s="3"/>
      <c r="LIH93" s="3"/>
      <c r="LII93" s="3"/>
      <c r="LIJ93" s="3"/>
      <c r="LIK93" s="3"/>
      <c r="LIL93" s="3"/>
      <c r="LIM93" s="3"/>
      <c r="LIN93" s="3"/>
      <c r="LIO93" s="3"/>
      <c r="LIP93" s="3"/>
      <c r="LIQ93" s="3"/>
      <c r="LIR93" s="3"/>
      <c r="LIS93" s="3"/>
      <c r="LIT93" s="3"/>
      <c r="LIU93" s="3"/>
      <c r="LIV93" s="3"/>
      <c r="LIW93" s="3"/>
      <c r="LIX93" s="3"/>
      <c r="LIY93" s="3"/>
      <c r="LIZ93" s="3"/>
      <c r="LJA93" s="3"/>
      <c r="LJB93" s="3"/>
      <c r="LJC93" s="3"/>
      <c r="LJD93" s="3"/>
      <c r="LJE93" s="3"/>
      <c r="LJF93" s="3"/>
      <c r="LJG93" s="3"/>
      <c r="LJH93" s="3"/>
      <c r="LJI93" s="3"/>
      <c r="LJJ93" s="3"/>
      <c r="LJK93" s="3"/>
      <c r="LJL93" s="3"/>
      <c r="LJM93" s="3"/>
      <c r="LJN93" s="3"/>
      <c r="LJO93" s="3"/>
      <c r="LJP93" s="3"/>
      <c r="LJQ93" s="3"/>
      <c r="LJR93" s="3"/>
      <c r="LJS93" s="3"/>
      <c r="LJT93" s="3"/>
      <c r="LJU93" s="3"/>
      <c r="LJV93" s="3"/>
      <c r="LJW93" s="3"/>
      <c r="LJX93" s="3"/>
      <c r="LJY93" s="3"/>
      <c r="LJZ93" s="3"/>
      <c r="LKA93" s="3"/>
      <c r="LKB93" s="3"/>
      <c r="LKC93" s="3"/>
      <c r="LKD93" s="3"/>
      <c r="LKE93" s="3"/>
      <c r="LKF93" s="3"/>
      <c r="LKG93" s="3"/>
      <c r="LKH93" s="3"/>
      <c r="LKI93" s="3"/>
      <c r="LKJ93" s="3"/>
      <c r="LKK93" s="3"/>
      <c r="LKL93" s="3"/>
      <c r="LKM93" s="3"/>
      <c r="LKN93" s="3"/>
      <c r="LKO93" s="3"/>
      <c r="LKP93" s="3"/>
      <c r="LKQ93" s="3"/>
      <c r="LKR93" s="3"/>
      <c r="LKS93" s="3"/>
      <c r="LKT93" s="3"/>
      <c r="LKU93" s="3"/>
      <c r="LKV93" s="3"/>
      <c r="LKW93" s="3"/>
      <c r="LKX93" s="3"/>
      <c r="LKY93" s="3"/>
      <c r="LKZ93" s="3"/>
      <c r="LLA93" s="3"/>
      <c r="LLB93" s="3"/>
      <c r="LLC93" s="3"/>
      <c r="LLD93" s="3"/>
      <c r="LLE93" s="3"/>
      <c r="LLF93" s="3"/>
      <c r="LLG93" s="3"/>
      <c r="LLH93" s="3"/>
      <c r="LLI93" s="3"/>
      <c r="LLJ93" s="3"/>
      <c r="LLK93" s="3"/>
      <c r="LLL93" s="3"/>
      <c r="LLM93" s="3"/>
      <c r="LLN93" s="3"/>
      <c r="LLO93" s="3"/>
      <c r="LLP93" s="3"/>
      <c r="LLQ93" s="3"/>
      <c r="LLR93" s="3"/>
      <c r="LLS93" s="3"/>
      <c r="LLT93" s="3"/>
      <c r="LLU93" s="3"/>
      <c r="LLV93" s="3"/>
      <c r="LLW93" s="3"/>
      <c r="LLX93" s="3"/>
      <c r="LLY93" s="3"/>
      <c r="LLZ93" s="3"/>
      <c r="LMA93" s="3"/>
      <c r="LMB93" s="3"/>
      <c r="LMC93" s="3"/>
      <c r="LMD93" s="3"/>
      <c r="LME93" s="3"/>
      <c r="LMF93" s="3"/>
      <c r="LMG93" s="3"/>
      <c r="LMH93" s="3"/>
      <c r="LMI93" s="3"/>
      <c r="LMJ93" s="3"/>
      <c r="LMK93" s="3"/>
      <c r="LML93" s="3"/>
      <c r="LMM93" s="3"/>
      <c r="LMN93" s="3"/>
      <c r="LMO93" s="3"/>
      <c r="LMP93" s="3"/>
      <c r="LMQ93" s="3"/>
      <c r="LMR93" s="3"/>
      <c r="LMS93" s="3"/>
      <c r="LMT93" s="3"/>
      <c r="LMU93" s="3"/>
      <c r="LMV93" s="3"/>
      <c r="LMW93" s="3"/>
      <c r="LMX93" s="3"/>
      <c r="LMY93" s="3"/>
      <c r="LMZ93" s="3"/>
      <c r="LNA93" s="3"/>
      <c r="LNB93" s="3"/>
      <c r="LNC93" s="3"/>
      <c r="LND93" s="3"/>
      <c r="LNE93" s="3"/>
      <c r="LNF93" s="3"/>
      <c r="LNG93" s="3"/>
      <c r="LNH93" s="3"/>
      <c r="LNI93" s="3"/>
      <c r="LNJ93" s="3"/>
      <c r="LNK93" s="3"/>
      <c r="LNL93" s="3"/>
      <c r="LNM93" s="3"/>
      <c r="LNN93" s="3"/>
      <c r="LNO93" s="3"/>
      <c r="LNP93" s="3"/>
      <c r="LNQ93" s="3"/>
      <c r="LNR93" s="3"/>
      <c r="LNS93" s="3"/>
      <c r="LNT93" s="3"/>
      <c r="LNU93" s="3"/>
      <c r="LNV93" s="3"/>
      <c r="LNW93" s="3"/>
      <c r="LNX93" s="3"/>
      <c r="LNY93" s="3"/>
      <c r="LNZ93" s="3"/>
      <c r="LOA93" s="3"/>
      <c r="LOB93" s="3"/>
      <c r="LOC93" s="3"/>
      <c r="LOD93" s="3"/>
      <c r="LOE93" s="3"/>
      <c r="LOF93" s="3"/>
      <c r="LOG93" s="3"/>
      <c r="LOH93" s="3"/>
      <c r="LOI93" s="3"/>
      <c r="LOJ93" s="3"/>
      <c r="LOK93" s="3"/>
      <c r="LOL93" s="3"/>
      <c r="LOM93" s="3"/>
      <c r="LON93" s="3"/>
      <c r="LOO93" s="3"/>
      <c r="LOP93" s="3"/>
      <c r="LOQ93" s="3"/>
      <c r="LOR93" s="3"/>
      <c r="LOS93" s="3"/>
      <c r="LOT93" s="3"/>
      <c r="LOU93" s="3"/>
      <c r="LOV93" s="3"/>
      <c r="LOW93" s="3"/>
      <c r="LOX93" s="3"/>
      <c r="LOY93" s="3"/>
      <c r="LOZ93" s="3"/>
      <c r="LPA93" s="3"/>
      <c r="LPB93" s="3"/>
      <c r="LPC93" s="3"/>
      <c r="LPD93" s="3"/>
      <c r="LPE93" s="3"/>
      <c r="LPF93" s="3"/>
      <c r="LPG93" s="3"/>
      <c r="LPH93" s="3"/>
      <c r="LPI93" s="3"/>
      <c r="LPJ93" s="3"/>
      <c r="LPK93" s="3"/>
      <c r="LPL93" s="3"/>
      <c r="LPM93" s="3"/>
      <c r="LPN93" s="3"/>
      <c r="LPO93" s="3"/>
      <c r="LPP93" s="3"/>
      <c r="LPQ93" s="3"/>
      <c r="LPR93" s="3"/>
      <c r="LPS93" s="3"/>
      <c r="LPT93" s="3"/>
      <c r="LPU93" s="3"/>
      <c r="LPV93" s="3"/>
      <c r="LPW93" s="3"/>
      <c r="LPX93" s="3"/>
      <c r="LPY93" s="3"/>
      <c r="LPZ93" s="3"/>
      <c r="LQA93" s="3"/>
      <c r="LQB93" s="3"/>
      <c r="LQC93" s="3"/>
      <c r="LQD93" s="3"/>
      <c r="LQE93" s="3"/>
      <c r="LQF93" s="3"/>
      <c r="LQG93" s="3"/>
      <c r="LQH93" s="3"/>
      <c r="LQI93" s="3"/>
      <c r="LQJ93" s="3"/>
      <c r="LQK93" s="3"/>
      <c r="LQL93" s="3"/>
      <c r="LQM93" s="3"/>
      <c r="LQN93" s="3"/>
      <c r="LQO93" s="3"/>
      <c r="LQP93" s="3"/>
      <c r="LQQ93" s="3"/>
      <c r="LQR93" s="3"/>
      <c r="LQS93" s="3"/>
      <c r="LQT93" s="3"/>
      <c r="LQU93" s="3"/>
      <c r="LQV93" s="3"/>
      <c r="LQW93" s="3"/>
      <c r="LQX93" s="3"/>
      <c r="LQY93" s="3"/>
      <c r="LQZ93" s="3"/>
      <c r="LRA93" s="3"/>
      <c r="LRB93" s="3"/>
      <c r="LRC93" s="3"/>
      <c r="LRD93" s="3"/>
      <c r="LRE93" s="3"/>
      <c r="LRF93" s="3"/>
      <c r="LRG93" s="3"/>
      <c r="LRH93" s="3"/>
      <c r="LRI93" s="3"/>
      <c r="LRJ93" s="3"/>
      <c r="LRK93" s="3"/>
      <c r="LRL93" s="3"/>
      <c r="LRM93" s="3"/>
      <c r="LRN93" s="3"/>
      <c r="LRO93" s="3"/>
      <c r="LRP93" s="3"/>
      <c r="LRQ93" s="3"/>
      <c r="LRR93" s="3"/>
      <c r="LRS93" s="3"/>
      <c r="LRT93" s="3"/>
      <c r="LRU93" s="3"/>
      <c r="LRV93" s="3"/>
      <c r="LRW93" s="3"/>
      <c r="LRX93" s="3"/>
      <c r="LRY93" s="3"/>
      <c r="LRZ93" s="3"/>
      <c r="LSA93" s="3"/>
      <c r="LSB93" s="3"/>
      <c r="LSC93" s="3"/>
      <c r="LSD93" s="3"/>
      <c r="LSE93" s="3"/>
      <c r="LSF93" s="3"/>
      <c r="LSG93" s="3"/>
      <c r="LSH93" s="3"/>
      <c r="LSI93" s="3"/>
      <c r="LSJ93" s="3"/>
      <c r="LSK93" s="3"/>
      <c r="LSL93" s="3"/>
      <c r="LSM93" s="3"/>
      <c r="LSN93" s="3"/>
      <c r="LSO93" s="3"/>
      <c r="LSP93" s="3"/>
      <c r="LSQ93" s="3"/>
      <c r="LSR93" s="3"/>
      <c r="LSS93" s="3"/>
      <c r="LST93" s="3"/>
      <c r="LSU93" s="3"/>
      <c r="LSV93" s="3"/>
      <c r="LSW93" s="3"/>
      <c r="LSX93" s="3"/>
      <c r="LSY93" s="3"/>
      <c r="LSZ93" s="3"/>
      <c r="LTA93" s="3"/>
      <c r="LTB93" s="3"/>
      <c r="LTC93" s="3"/>
      <c r="LTD93" s="3"/>
      <c r="LTE93" s="3"/>
      <c r="LTF93" s="3"/>
      <c r="LTG93" s="3"/>
      <c r="LTH93" s="3"/>
      <c r="LTI93" s="3"/>
      <c r="LTJ93" s="3"/>
      <c r="LTK93" s="3"/>
      <c r="LTL93" s="3"/>
      <c r="LTM93" s="3"/>
      <c r="LTN93" s="3"/>
      <c r="LTO93" s="3"/>
      <c r="LTP93" s="3"/>
      <c r="LTQ93" s="3"/>
      <c r="LTR93" s="3"/>
      <c r="LTS93" s="3"/>
      <c r="LTT93" s="3"/>
      <c r="LTU93" s="3"/>
      <c r="LTV93" s="3"/>
      <c r="LTW93" s="3"/>
      <c r="LTX93" s="3"/>
      <c r="LTY93" s="3"/>
      <c r="LTZ93" s="3"/>
      <c r="LUA93" s="3"/>
      <c r="LUB93" s="3"/>
      <c r="LUC93" s="3"/>
      <c r="LUD93" s="3"/>
      <c r="LUE93" s="3"/>
      <c r="LUF93" s="3"/>
      <c r="LUG93" s="3"/>
      <c r="LUH93" s="3"/>
      <c r="LUI93" s="3"/>
      <c r="LUJ93" s="3"/>
      <c r="LUK93" s="3"/>
      <c r="LUL93" s="3"/>
      <c r="LUM93" s="3"/>
      <c r="LUN93" s="3"/>
      <c r="LUO93" s="3"/>
      <c r="LUP93" s="3"/>
      <c r="LUQ93" s="3"/>
      <c r="LUR93" s="3"/>
      <c r="LUS93" s="3"/>
      <c r="LUT93" s="3"/>
      <c r="LUU93" s="3"/>
      <c r="LUV93" s="3"/>
      <c r="LUW93" s="3"/>
      <c r="LUX93" s="3"/>
      <c r="LUY93" s="3"/>
      <c r="LUZ93" s="3"/>
      <c r="LVA93" s="3"/>
      <c r="LVB93" s="3"/>
      <c r="LVC93" s="3"/>
      <c r="LVD93" s="3"/>
      <c r="LVE93" s="3"/>
      <c r="LVF93" s="3"/>
      <c r="LVG93" s="3"/>
      <c r="LVH93" s="3"/>
      <c r="LVI93" s="3"/>
      <c r="LVJ93" s="3"/>
      <c r="LVK93" s="3"/>
      <c r="LVL93" s="3"/>
      <c r="LVM93" s="3"/>
      <c r="LVN93" s="3"/>
      <c r="LVO93" s="3"/>
      <c r="LVP93" s="3"/>
      <c r="LVQ93" s="3"/>
      <c r="LVR93" s="3"/>
      <c r="LVS93" s="3"/>
      <c r="LVT93" s="3"/>
      <c r="LVU93" s="3"/>
      <c r="LVV93" s="3"/>
      <c r="LVW93" s="3"/>
      <c r="LVX93" s="3"/>
      <c r="LVY93" s="3"/>
      <c r="LVZ93" s="3"/>
      <c r="LWA93" s="3"/>
      <c r="LWB93" s="3"/>
      <c r="LWC93" s="3"/>
      <c r="LWD93" s="3"/>
      <c r="LWE93" s="3"/>
      <c r="LWF93" s="3"/>
      <c r="LWG93" s="3"/>
      <c r="LWH93" s="3"/>
      <c r="LWI93" s="3"/>
      <c r="LWJ93" s="3"/>
      <c r="LWK93" s="3"/>
      <c r="LWL93" s="3"/>
      <c r="LWM93" s="3"/>
      <c r="LWN93" s="3"/>
      <c r="LWO93" s="3"/>
      <c r="LWP93" s="3"/>
      <c r="LWQ93" s="3"/>
      <c r="LWR93" s="3"/>
      <c r="LWS93" s="3"/>
      <c r="LWT93" s="3"/>
      <c r="LWU93" s="3"/>
      <c r="LWV93" s="3"/>
      <c r="LWW93" s="3"/>
      <c r="LWX93" s="3"/>
      <c r="LWY93" s="3"/>
      <c r="LWZ93" s="3"/>
      <c r="LXA93" s="3"/>
      <c r="LXB93" s="3"/>
      <c r="LXC93" s="3"/>
      <c r="LXD93" s="3"/>
      <c r="LXE93" s="3"/>
      <c r="LXF93" s="3"/>
      <c r="LXG93" s="3"/>
      <c r="LXH93" s="3"/>
      <c r="LXI93" s="3"/>
      <c r="LXJ93" s="3"/>
      <c r="LXK93" s="3"/>
      <c r="LXL93" s="3"/>
      <c r="LXM93" s="3"/>
      <c r="LXN93" s="3"/>
      <c r="LXO93" s="3"/>
      <c r="LXP93" s="3"/>
      <c r="LXQ93" s="3"/>
      <c r="LXR93" s="3"/>
      <c r="LXS93" s="3"/>
      <c r="LXT93" s="3"/>
      <c r="LXU93" s="3"/>
      <c r="LXV93" s="3"/>
      <c r="LXW93" s="3"/>
      <c r="LXX93" s="3"/>
      <c r="LXY93" s="3"/>
      <c r="LXZ93" s="3"/>
      <c r="LYA93" s="3"/>
      <c r="LYB93" s="3"/>
      <c r="LYC93" s="3"/>
      <c r="LYD93" s="3"/>
      <c r="LYE93" s="3"/>
      <c r="LYF93" s="3"/>
      <c r="LYG93" s="3"/>
      <c r="LYH93" s="3"/>
      <c r="LYI93" s="3"/>
      <c r="LYJ93" s="3"/>
      <c r="LYK93" s="3"/>
      <c r="LYL93" s="3"/>
      <c r="LYM93" s="3"/>
      <c r="LYN93" s="3"/>
      <c r="LYO93" s="3"/>
      <c r="LYP93" s="3"/>
      <c r="LYQ93" s="3"/>
      <c r="LYR93" s="3"/>
      <c r="LYS93" s="3"/>
      <c r="LYT93" s="3"/>
      <c r="LYU93" s="3"/>
      <c r="LYV93" s="3"/>
      <c r="LYW93" s="3"/>
      <c r="LYX93" s="3"/>
      <c r="LYY93" s="3"/>
      <c r="LYZ93" s="3"/>
      <c r="LZA93" s="3"/>
      <c r="LZB93" s="3"/>
      <c r="LZC93" s="3"/>
      <c r="LZD93" s="3"/>
      <c r="LZE93" s="3"/>
      <c r="LZF93" s="3"/>
      <c r="LZG93" s="3"/>
      <c r="LZH93" s="3"/>
      <c r="LZI93" s="3"/>
      <c r="LZJ93" s="3"/>
      <c r="LZK93" s="3"/>
      <c r="LZL93" s="3"/>
      <c r="LZM93" s="3"/>
      <c r="LZN93" s="3"/>
      <c r="LZO93" s="3"/>
      <c r="LZP93" s="3"/>
      <c r="LZQ93" s="3"/>
      <c r="LZR93" s="3"/>
      <c r="LZS93" s="3"/>
      <c r="LZT93" s="3"/>
      <c r="LZU93" s="3"/>
      <c r="LZV93" s="3"/>
      <c r="LZW93" s="3"/>
      <c r="LZX93" s="3"/>
      <c r="LZY93" s="3"/>
      <c r="LZZ93" s="3"/>
      <c r="MAA93" s="3"/>
      <c r="MAB93" s="3"/>
      <c r="MAC93" s="3"/>
      <c r="MAD93" s="3"/>
      <c r="MAE93" s="3"/>
      <c r="MAF93" s="3"/>
      <c r="MAG93" s="3"/>
      <c r="MAH93" s="3"/>
      <c r="MAI93" s="3"/>
      <c r="MAJ93" s="3"/>
      <c r="MAK93" s="3"/>
      <c r="MAL93" s="3"/>
      <c r="MAM93" s="3"/>
      <c r="MAN93" s="3"/>
      <c r="MAO93" s="3"/>
      <c r="MAP93" s="3"/>
      <c r="MAQ93" s="3"/>
      <c r="MAR93" s="3"/>
      <c r="MAS93" s="3"/>
      <c r="MAT93" s="3"/>
      <c r="MAU93" s="3"/>
      <c r="MAV93" s="3"/>
      <c r="MAW93" s="3"/>
      <c r="MAX93" s="3"/>
      <c r="MAY93" s="3"/>
      <c r="MAZ93" s="3"/>
      <c r="MBA93" s="3"/>
      <c r="MBB93" s="3"/>
      <c r="MBC93" s="3"/>
      <c r="MBD93" s="3"/>
      <c r="MBE93" s="3"/>
      <c r="MBF93" s="3"/>
      <c r="MBG93" s="3"/>
      <c r="MBH93" s="3"/>
      <c r="MBI93" s="3"/>
      <c r="MBJ93" s="3"/>
      <c r="MBK93" s="3"/>
      <c r="MBL93" s="3"/>
      <c r="MBM93" s="3"/>
      <c r="MBN93" s="3"/>
      <c r="MBO93" s="3"/>
      <c r="MBP93" s="3"/>
      <c r="MBQ93" s="3"/>
      <c r="MBR93" s="3"/>
      <c r="MBS93" s="3"/>
      <c r="MBT93" s="3"/>
      <c r="MBU93" s="3"/>
      <c r="MBV93" s="3"/>
      <c r="MBW93" s="3"/>
      <c r="MBX93" s="3"/>
      <c r="MBY93" s="3"/>
      <c r="MBZ93" s="3"/>
      <c r="MCA93" s="3"/>
      <c r="MCB93" s="3"/>
      <c r="MCC93" s="3"/>
      <c r="MCD93" s="3"/>
      <c r="MCE93" s="3"/>
      <c r="MCF93" s="3"/>
      <c r="MCG93" s="3"/>
      <c r="MCH93" s="3"/>
      <c r="MCI93" s="3"/>
      <c r="MCJ93" s="3"/>
      <c r="MCK93" s="3"/>
      <c r="MCL93" s="3"/>
      <c r="MCM93" s="3"/>
      <c r="MCN93" s="3"/>
      <c r="MCO93" s="3"/>
      <c r="MCP93" s="3"/>
      <c r="MCQ93" s="3"/>
      <c r="MCR93" s="3"/>
      <c r="MCS93" s="3"/>
      <c r="MCT93" s="3"/>
      <c r="MCU93" s="3"/>
      <c r="MCV93" s="3"/>
      <c r="MCW93" s="3"/>
      <c r="MCX93" s="3"/>
      <c r="MCY93" s="3"/>
      <c r="MCZ93" s="3"/>
      <c r="MDA93" s="3"/>
      <c r="MDB93" s="3"/>
      <c r="MDC93" s="3"/>
      <c r="MDD93" s="3"/>
      <c r="MDE93" s="3"/>
      <c r="MDF93" s="3"/>
      <c r="MDG93" s="3"/>
      <c r="MDH93" s="3"/>
      <c r="MDI93" s="3"/>
      <c r="MDJ93" s="3"/>
      <c r="MDK93" s="3"/>
      <c r="MDL93" s="3"/>
      <c r="MDM93" s="3"/>
      <c r="MDN93" s="3"/>
      <c r="MDO93" s="3"/>
      <c r="MDP93" s="3"/>
      <c r="MDQ93" s="3"/>
      <c r="MDR93" s="3"/>
      <c r="MDS93" s="3"/>
      <c r="MDT93" s="3"/>
      <c r="MDU93" s="3"/>
      <c r="MDV93" s="3"/>
      <c r="MDW93" s="3"/>
      <c r="MDX93" s="3"/>
      <c r="MDY93" s="3"/>
      <c r="MDZ93" s="3"/>
      <c r="MEA93" s="3"/>
      <c r="MEB93" s="3"/>
      <c r="MEC93" s="3"/>
      <c r="MED93" s="3"/>
      <c r="MEE93" s="3"/>
      <c r="MEF93" s="3"/>
      <c r="MEG93" s="3"/>
      <c r="MEH93" s="3"/>
      <c r="MEI93" s="3"/>
      <c r="MEJ93" s="3"/>
      <c r="MEK93" s="3"/>
      <c r="MEL93" s="3"/>
      <c r="MEM93" s="3"/>
      <c r="MEN93" s="3"/>
      <c r="MEO93" s="3"/>
      <c r="MEP93" s="3"/>
      <c r="MEQ93" s="3"/>
      <c r="MER93" s="3"/>
      <c r="MES93" s="3"/>
      <c r="MET93" s="3"/>
      <c r="MEU93" s="3"/>
      <c r="MEV93" s="3"/>
      <c r="MEW93" s="3"/>
      <c r="MEX93" s="3"/>
      <c r="MEY93" s="3"/>
      <c r="MEZ93" s="3"/>
      <c r="MFA93" s="3"/>
      <c r="MFB93" s="3"/>
      <c r="MFC93" s="3"/>
      <c r="MFD93" s="3"/>
      <c r="MFE93" s="3"/>
      <c r="MFF93" s="3"/>
      <c r="MFG93" s="3"/>
      <c r="MFH93" s="3"/>
      <c r="MFI93" s="3"/>
      <c r="MFJ93" s="3"/>
      <c r="MFK93" s="3"/>
      <c r="MFL93" s="3"/>
      <c r="MFM93" s="3"/>
      <c r="MFN93" s="3"/>
      <c r="MFO93" s="3"/>
      <c r="MFP93" s="3"/>
      <c r="MFQ93" s="3"/>
      <c r="MFR93" s="3"/>
      <c r="MFS93" s="3"/>
      <c r="MFT93" s="3"/>
      <c r="MFU93" s="3"/>
      <c r="MFV93" s="3"/>
      <c r="MFW93" s="3"/>
      <c r="MFX93" s="3"/>
      <c r="MFY93" s="3"/>
      <c r="MFZ93" s="3"/>
      <c r="MGA93" s="3"/>
      <c r="MGB93" s="3"/>
      <c r="MGC93" s="3"/>
      <c r="MGD93" s="3"/>
      <c r="MGE93" s="3"/>
      <c r="MGF93" s="3"/>
      <c r="MGG93" s="3"/>
      <c r="MGH93" s="3"/>
      <c r="MGI93" s="3"/>
      <c r="MGJ93" s="3"/>
      <c r="MGK93" s="3"/>
      <c r="MGL93" s="3"/>
      <c r="MGM93" s="3"/>
      <c r="MGN93" s="3"/>
      <c r="MGO93" s="3"/>
      <c r="MGP93" s="3"/>
      <c r="MGQ93" s="3"/>
      <c r="MGR93" s="3"/>
      <c r="MGS93" s="3"/>
      <c r="MGT93" s="3"/>
      <c r="MGU93" s="3"/>
      <c r="MGV93" s="3"/>
      <c r="MGW93" s="3"/>
      <c r="MGX93" s="3"/>
      <c r="MGY93" s="3"/>
      <c r="MGZ93" s="3"/>
      <c r="MHA93" s="3"/>
      <c r="MHB93" s="3"/>
      <c r="MHC93" s="3"/>
      <c r="MHD93" s="3"/>
      <c r="MHE93" s="3"/>
      <c r="MHF93" s="3"/>
      <c r="MHG93" s="3"/>
      <c r="MHH93" s="3"/>
      <c r="MHI93" s="3"/>
      <c r="MHJ93" s="3"/>
      <c r="MHK93" s="3"/>
      <c r="MHL93" s="3"/>
      <c r="MHM93" s="3"/>
      <c r="MHN93" s="3"/>
      <c r="MHO93" s="3"/>
      <c r="MHP93" s="3"/>
      <c r="MHQ93" s="3"/>
      <c r="MHR93" s="3"/>
      <c r="MHS93" s="3"/>
      <c r="MHT93" s="3"/>
      <c r="MHU93" s="3"/>
      <c r="MHV93" s="3"/>
      <c r="MHW93" s="3"/>
      <c r="MHX93" s="3"/>
      <c r="MHY93" s="3"/>
      <c r="MHZ93" s="3"/>
      <c r="MIA93" s="3"/>
      <c r="MIB93" s="3"/>
      <c r="MIC93" s="3"/>
      <c r="MID93" s="3"/>
      <c r="MIE93" s="3"/>
      <c r="MIF93" s="3"/>
      <c r="MIG93" s="3"/>
      <c r="MIH93" s="3"/>
      <c r="MII93" s="3"/>
      <c r="MIJ93" s="3"/>
      <c r="MIK93" s="3"/>
      <c r="MIL93" s="3"/>
      <c r="MIM93" s="3"/>
      <c r="MIN93" s="3"/>
      <c r="MIO93" s="3"/>
      <c r="MIP93" s="3"/>
      <c r="MIQ93" s="3"/>
      <c r="MIR93" s="3"/>
      <c r="MIS93" s="3"/>
      <c r="MIT93" s="3"/>
      <c r="MIU93" s="3"/>
      <c r="MIV93" s="3"/>
      <c r="MIW93" s="3"/>
      <c r="MIX93" s="3"/>
      <c r="MIY93" s="3"/>
      <c r="MIZ93" s="3"/>
      <c r="MJA93" s="3"/>
      <c r="MJB93" s="3"/>
      <c r="MJC93" s="3"/>
      <c r="MJD93" s="3"/>
      <c r="MJE93" s="3"/>
      <c r="MJF93" s="3"/>
      <c r="MJG93" s="3"/>
      <c r="MJH93" s="3"/>
      <c r="MJI93" s="3"/>
      <c r="MJJ93" s="3"/>
      <c r="MJK93" s="3"/>
      <c r="MJL93" s="3"/>
      <c r="MJM93" s="3"/>
      <c r="MJN93" s="3"/>
      <c r="MJO93" s="3"/>
      <c r="MJP93" s="3"/>
      <c r="MJQ93" s="3"/>
      <c r="MJR93" s="3"/>
      <c r="MJS93" s="3"/>
      <c r="MJT93" s="3"/>
      <c r="MJU93" s="3"/>
      <c r="MJV93" s="3"/>
      <c r="MJW93" s="3"/>
      <c r="MJX93" s="3"/>
      <c r="MJY93" s="3"/>
      <c r="MJZ93" s="3"/>
      <c r="MKA93" s="3"/>
      <c r="MKB93" s="3"/>
      <c r="MKC93" s="3"/>
      <c r="MKD93" s="3"/>
      <c r="MKE93" s="3"/>
      <c r="MKF93" s="3"/>
      <c r="MKG93" s="3"/>
      <c r="MKH93" s="3"/>
      <c r="MKI93" s="3"/>
      <c r="MKJ93" s="3"/>
      <c r="MKK93" s="3"/>
      <c r="MKL93" s="3"/>
      <c r="MKM93" s="3"/>
      <c r="MKN93" s="3"/>
      <c r="MKO93" s="3"/>
      <c r="MKP93" s="3"/>
      <c r="MKQ93" s="3"/>
      <c r="MKR93" s="3"/>
      <c r="MKS93" s="3"/>
      <c r="MKT93" s="3"/>
      <c r="MKU93" s="3"/>
      <c r="MKV93" s="3"/>
      <c r="MKW93" s="3"/>
      <c r="MKX93" s="3"/>
      <c r="MKY93" s="3"/>
      <c r="MKZ93" s="3"/>
      <c r="MLA93" s="3"/>
      <c r="MLB93" s="3"/>
      <c r="MLC93" s="3"/>
      <c r="MLD93" s="3"/>
      <c r="MLE93" s="3"/>
      <c r="MLF93" s="3"/>
      <c r="MLG93" s="3"/>
      <c r="MLH93" s="3"/>
      <c r="MLI93" s="3"/>
      <c r="MLJ93" s="3"/>
      <c r="MLK93" s="3"/>
      <c r="MLL93" s="3"/>
      <c r="MLM93" s="3"/>
      <c r="MLN93" s="3"/>
      <c r="MLO93" s="3"/>
      <c r="MLP93" s="3"/>
      <c r="MLQ93" s="3"/>
      <c r="MLR93" s="3"/>
      <c r="MLS93" s="3"/>
      <c r="MLT93" s="3"/>
      <c r="MLU93" s="3"/>
      <c r="MLV93" s="3"/>
      <c r="MLW93" s="3"/>
      <c r="MLX93" s="3"/>
      <c r="MLY93" s="3"/>
      <c r="MLZ93" s="3"/>
      <c r="MMA93" s="3"/>
      <c r="MMB93" s="3"/>
      <c r="MMC93" s="3"/>
      <c r="MMD93" s="3"/>
      <c r="MME93" s="3"/>
      <c r="MMF93" s="3"/>
      <c r="MMG93" s="3"/>
      <c r="MMH93" s="3"/>
      <c r="MMI93" s="3"/>
      <c r="MMJ93" s="3"/>
      <c r="MMK93" s="3"/>
      <c r="MML93" s="3"/>
      <c r="MMM93" s="3"/>
      <c r="MMN93" s="3"/>
      <c r="MMO93" s="3"/>
      <c r="MMP93" s="3"/>
      <c r="MMQ93" s="3"/>
      <c r="MMR93" s="3"/>
      <c r="MMS93" s="3"/>
      <c r="MMT93" s="3"/>
      <c r="MMU93" s="3"/>
      <c r="MMV93" s="3"/>
      <c r="MMW93" s="3"/>
      <c r="MMX93" s="3"/>
      <c r="MMY93" s="3"/>
      <c r="MMZ93" s="3"/>
      <c r="MNA93" s="3"/>
      <c r="MNB93" s="3"/>
      <c r="MNC93" s="3"/>
      <c r="MND93" s="3"/>
      <c r="MNE93" s="3"/>
      <c r="MNF93" s="3"/>
      <c r="MNG93" s="3"/>
      <c r="MNH93" s="3"/>
      <c r="MNI93" s="3"/>
      <c r="MNJ93" s="3"/>
      <c r="MNK93" s="3"/>
      <c r="MNL93" s="3"/>
      <c r="MNM93" s="3"/>
      <c r="MNN93" s="3"/>
      <c r="MNO93" s="3"/>
      <c r="MNP93" s="3"/>
      <c r="MNQ93" s="3"/>
      <c r="MNR93" s="3"/>
      <c r="MNS93" s="3"/>
      <c r="MNT93" s="3"/>
      <c r="MNU93" s="3"/>
      <c r="MNV93" s="3"/>
      <c r="MNW93" s="3"/>
      <c r="MNX93" s="3"/>
      <c r="MNY93" s="3"/>
      <c r="MNZ93" s="3"/>
      <c r="MOA93" s="3"/>
      <c r="MOB93" s="3"/>
      <c r="MOC93" s="3"/>
      <c r="MOD93" s="3"/>
      <c r="MOE93" s="3"/>
      <c r="MOF93" s="3"/>
      <c r="MOG93" s="3"/>
      <c r="MOH93" s="3"/>
      <c r="MOI93" s="3"/>
      <c r="MOJ93" s="3"/>
      <c r="MOK93" s="3"/>
      <c r="MOL93" s="3"/>
      <c r="MOM93" s="3"/>
      <c r="MON93" s="3"/>
      <c r="MOO93" s="3"/>
      <c r="MOP93" s="3"/>
      <c r="MOQ93" s="3"/>
      <c r="MOR93" s="3"/>
      <c r="MOS93" s="3"/>
      <c r="MOT93" s="3"/>
      <c r="MOU93" s="3"/>
      <c r="MOV93" s="3"/>
      <c r="MOW93" s="3"/>
      <c r="MOX93" s="3"/>
      <c r="MOY93" s="3"/>
      <c r="MOZ93" s="3"/>
      <c r="MPA93" s="3"/>
      <c r="MPB93" s="3"/>
      <c r="MPC93" s="3"/>
      <c r="MPD93" s="3"/>
      <c r="MPE93" s="3"/>
      <c r="MPF93" s="3"/>
      <c r="MPG93" s="3"/>
      <c r="MPH93" s="3"/>
      <c r="MPI93" s="3"/>
      <c r="MPJ93" s="3"/>
      <c r="MPK93" s="3"/>
      <c r="MPL93" s="3"/>
      <c r="MPM93" s="3"/>
      <c r="MPN93" s="3"/>
      <c r="MPO93" s="3"/>
      <c r="MPP93" s="3"/>
      <c r="MPQ93" s="3"/>
      <c r="MPR93" s="3"/>
      <c r="MPS93" s="3"/>
      <c r="MPT93" s="3"/>
      <c r="MPU93" s="3"/>
      <c r="MPV93" s="3"/>
      <c r="MPW93" s="3"/>
      <c r="MPX93" s="3"/>
      <c r="MPY93" s="3"/>
      <c r="MPZ93" s="3"/>
      <c r="MQA93" s="3"/>
      <c r="MQB93" s="3"/>
      <c r="MQC93" s="3"/>
      <c r="MQD93" s="3"/>
      <c r="MQE93" s="3"/>
      <c r="MQF93" s="3"/>
      <c r="MQG93" s="3"/>
      <c r="MQH93" s="3"/>
      <c r="MQI93" s="3"/>
      <c r="MQJ93" s="3"/>
      <c r="MQK93" s="3"/>
      <c r="MQL93" s="3"/>
      <c r="MQM93" s="3"/>
      <c r="MQN93" s="3"/>
      <c r="MQO93" s="3"/>
      <c r="MQP93" s="3"/>
      <c r="MQQ93" s="3"/>
      <c r="MQR93" s="3"/>
      <c r="MQS93" s="3"/>
      <c r="MQT93" s="3"/>
      <c r="MQU93" s="3"/>
      <c r="MQV93" s="3"/>
      <c r="MQW93" s="3"/>
      <c r="MQX93" s="3"/>
      <c r="MQY93" s="3"/>
      <c r="MQZ93" s="3"/>
      <c r="MRA93" s="3"/>
      <c r="MRB93" s="3"/>
      <c r="MRC93" s="3"/>
      <c r="MRD93" s="3"/>
      <c r="MRE93" s="3"/>
      <c r="MRF93" s="3"/>
      <c r="MRG93" s="3"/>
      <c r="MRH93" s="3"/>
      <c r="MRI93" s="3"/>
      <c r="MRJ93" s="3"/>
      <c r="MRK93" s="3"/>
      <c r="MRL93" s="3"/>
      <c r="MRM93" s="3"/>
      <c r="MRN93" s="3"/>
      <c r="MRO93" s="3"/>
      <c r="MRP93" s="3"/>
      <c r="MRQ93" s="3"/>
      <c r="MRR93" s="3"/>
      <c r="MRS93" s="3"/>
      <c r="MRT93" s="3"/>
      <c r="MRU93" s="3"/>
      <c r="MRV93" s="3"/>
      <c r="MRW93" s="3"/>
      <c r="MRX93" s="3"/>
      <c r="MRY93" s="3"/>
      <c r="MRZ93" s="3"/>
      <c r="MSA93" s="3"/>
      <c r="MSB93" s="3"/>
      <c r="MSC93" s="3"/>
      <c r="MSD93" s="3"/>
      <c r="MSE93" s="3"/>
      <c r="MSF93" s="3"/>
      <c r="MSG93" s="3"/>
      <c r="MSH93" s="3"/>
      <c r="MSI93" s="3"/>
      <c r="MSJ93" s="3"/>
      <c r="MSK93" s="3"/>
      <c r="MSL93" s="3"/>
      <c r="MSM93" s="3"/>
      <c r="MSN93" s="3"/>
      <c r="MSO93" s="3"/>
      <c r="MSP93" s="3"/>
      <c r="MSQ93" s="3"/>
      <c r="MSR93" s="3"/>
      <c r="MSS93" s="3"/>
      <c r="MST93" s="3"/>
      <c r="MSU93" s="3"/>
      <c r="MSV93" s="3"/>
      <c r="MSW93" s="3"/>
      <c r="MSX93" s="3"/>
      <c r="MSY93" s="3"/>
      <c r="MSZ93" s="3"/>
      <c r="MTA93" s="3"/>
      <c r="MTB93" s="3"/>
      <c r="MTC93" s="3"/>
      <c r="MTD93" s="3"/>
      <c r="MTE93" s="3"/>
      <c r="MTF93" s="3"/>
      <c r="MTG93" s="3"/>
      <c r="MTH93" s="3"/>
      <c r="MTI93" s="3"/>
      <c r="MTJ93" s="3"/>
      <c r="MTK93" s="3"/>
      <c r="MTL93" s="3"/>
      <c r="MTM93" s="3"/>
      <c r="MTN93" s="3"/>
      <c r="MTO93" s="3"/>
      <c r="MTP93" s="3"/>
      <c r="MTQ93" s="3"/>
      <c r="MTR93" s="3"/>
      <c r="MTS93" s="3"/>
      <c r="MTT93" s="3"/>
      <c r="MTU93" s="3"/>
      <c r="MTV93" s="3"/>
      <c r="MTW93" s="3"/>
      <c r="MTX93" s="3"/>
      <c r="MTY93" s="3"/>
      <c r="MTZ93" s="3"/>
      <c r="MUA93" s="3"/>
      <c r="MUB93" s="3"/>
      <c r="MUC93" s="3"/>
      <c r="MUD93" s="3"/>
      <c r="MUE93" s="3"/>
      <c r="MUF93" s="3"/>
      <c r="MUG93" s="3"/>
      <c r="MUH93" s="3"/>
      <c r="MUI93" s="3"/>
      <c r="MUJ93" s="3"/>
      <c r="MUK93" s="3"/>
      <c r="MUL93" s="3"/>
      <c r="MUM93" s="3"/>
      <c r="MUN93" s="3"/>
      <c r="MUO93" s="3"/>
      <c r="MUP93" s="3"/>
      <c r="MUQ93" s="3"/>
      <c r="MUR93" s="3"/>
      <c r="MUS93" s="3"/>
      <c r="MUT93" s="3"/>
      <c r="MUU93" s="3"/>
      <c r="MUV93" s="3"/>
      <c r="MUW93" s="3"/>
      <c r="MUX93" s="3"/>
      <c r="MUY93" s="3"/>
      <c r="MUZ93" s="3"/>
      <c r="MVA93" s="3"/>
      <c r="MVB93" s="3"/>
      <c r="MVC93" s="3"/>
      <c r="MVD93" s="3"/>
      <c r="MVE93" s="3"/>
      <c r="MVF93" s="3"/>
      <c r="MVG93" s="3"/>
      <c r="MVH93" s="3"/>
      <c r="MVI93" s="3"/>
      <c r="MVJ93" s="3"/>
      <c r="MVK93" s="3"/>
      <c r="MVL93" s="3"/>
      <c r="MVM93" s="3"/>
      <c r="MVN93" s="3"/>
      <c r="MVO93" s="3"/>
      <c r="MVP93" s="3"/>
      <c r="MVQ93" s="3"/>
      <c r="MVR93" s="3"/>
      <c r="MVS93" s="3"/>
      <c r="MVT93" s="3"/>
      <c r="MVU93" s="3"/>
      <c r="MVV93" s="3"/>
      <c r="MVW93" s="3"/>
      <c r="MVX93" s="3"/>
      <c r="MVY93" s="3"/>
      <c r="MVZ93" s="3"/>
      <c r="MWA93" s="3"/>
      <c r="MWB93" s="3"/>
      <c r="MWC93" s="3"/>
      <c r="MWD93" s="3"/>
      <c r="MWE93" s="3"/>
      <c r="MWF93" s="3"/>
      <c r="MWG93" s="3"/>
      <c r="MWH93" s="3"/>
      <c r="MWI93" s="3"/>
      <c r="MWJ93" s="3"/>
      <c r="MWK93" s="3"/>
      <c r="MWL93" s="3"/>
      <c r="MWM93" s="3"/>
      <c r="MWN93" s="3"/>
      <c r="MWO93" s="3"/>
      <c r="MWP93" s="3"/>
      <c r="MWQ93" s="3"/>
      <c r="MWR93" s="3"/>
      <c r="MWS93" s="3"/>
      <c r="MWT93" s="3"/>
      <c r="MWU93" s="3"/>
      <c r="MWV93" s="3"/>
      <c r="MWW93" s="3"/>
      <c r="MWX93" s="3"/>
      <c r="MWY93" s="3"/>
      <c r="MWZ93" s="3"/>
      <c r="MXA93" s="3"/>
      <c r="MXB93" s="3"/>
      <c r="MXC93" s="3"/>
      <c r="MXD93" s="3"/>
      <c r="MXE93" s="3"/>
      <c r="MXF93" s="3"/>
      <c r="MXG93" s="3"/>
      <c r="MXH93" s="3"/>
      <c r="MXI93" s="3"/>
      <c r="MXJ93" s="3"/>
      <c r="MXK93" s="3"/>
      <c r="MXL93" s="3"/>
      <c r="MXM93" s="3"/>
      <c r="MXN93" s="3"/>
      <c r="MXO93" s="3"/>
      <c r="MXP93" s="3"/>
      <c r="MXQ93" s="3"/>
      <c r="MXR93" s="3"/>
      <c r="MXS93" s="3"/>
      <c r="MXT93" s="3"/>
      <c r="MXU93" s="3"/>
      <c r="MXV93" s="3"/>
      <c r="MXW93" s="3"/>
      <c r="MXX93" s="3"/>
      <c r="MXY93" s="3"/>
      <c r="MXZ93" s="3"/>
      <c r="MYA93" s="3"/>
      <c r="MYB93" s="3"/>
      <c r="MYC93" s="3"/>
      <c r="MYD93" s="3"/>
      <c r="MYE93" s="3"/>
      <c r="MYF93" s="3"/>
      <c r="MYG93" s="3"/>
      <c r="MYH93" s="3"/>
      <c r="MYI93" s="3"/>
      <c r="MYJ93" s="3"/>
      <c r="MYK93" s="3"/>
      <c r="MYL93" s="3"/>
      <c r="MYM93" s="3"/>
      <c r="MYN93" s="3"/>
      <c r="MYO93" s="3"/>
      <c r="MYP93" s="3"/>
      <c r="MYQ93" s="3"/>
      <c r="MYR93" s="3"/>
      <c r="MYS93" s="3"/>
      <c r="MYT93" s="3"/>
      <c r="MYU93" s="3"/>
      <c r="MYV93" s="3"/>
      <c r="MYW93" s="3"/>
      <c r="MYX93" s="3"/>
      <c r="MYY93" s="3"/>
      <c r="MYZ93" s="3"/>
      <c r="MZA93" s="3"/>
      <c r="MZB93" s="3"/>
      <c r="MZC93" s="3"/>
      <c r="MZD93" s="3"/>
      <c r="MZE93" s="3"/>
      <c r="MZF93" s="3"/>
      <c r="MZG93" s="3"/>
      <c r="MZH93" s="3"/>
      <c r="MZI93" s="3"/>
      <c r="MZJ93" s="3"/>
      <c r="MZK93" s="3"/>
      <c r="MZL93" s="3"/>
      <c r="MZM93" s="3"/>
      <c r="MZN93" s="3"/>
      <c r="MZO93" s="3"/>
      <c r="MZP93" s="3"/>
      <c r="MZQ93" s="3"/>
      <c r="MZR93" s="3"/>
      <c r="MZS93" s="3"/>
      <c r="MZT93" s="3"/>
      <c r="MZU93" s="3"/>
      <c r="MZV93" s="3"/>
      <c r="MZW93" s="3"/>
      <c r="MZX93" s="3"/>
      <c r="MZY93" s="3"/>
      <c r="MZZ93" s="3"/>
      <c r="NAA93" s="3"/>
      <c r="NAB93" s="3"/>
      <c r="NAC93" s="3"/>
      <c r="NAD93" s="3"/>
      <c r="NAE93" s="3"/>
      <c r="NAF93" s="3"/>
      <c r="NAG93" s="3"/>
      <c r="NAH93" s="3"/>
      <c r="NAI93" s="3"/>
      <c r="NAJ93" s="3"/>
      <c r="NAK93" s="3"/>
      <c r="NAL93" s="3"/>
      <c r="NAM93" s="3"/>
      <c r="NAN93" s="3"/>
      <c r="NAO93" s="3"/>
      <c r="NAP93" s="3"/>
      <c r="NAQ93" s="3"/>
      <c r="NAR93" s="3"/>
      <c r="NAS93" s="3"/>
      <c r="NAT93" s="3"/>
      <c r="NAU93" s="3"/>
      <c r="NAV93" s="3"/>
      <c r="NAW93" s="3"/>
      <c r="NAX93" s="3"/>
      <c r="NAY93" s="3"/>
      <c r="NAZ93" s="3"/>
      <c r="NBA93" s="3"/>
      <c r="NBB93" s="3"/>
      <c r="NBC93" s="3"/>
      <c r="NBD93" s="3"/>
      <c r="NBE93" s="3"/>
      <c r="NBF93" s="3"/>
      <c r="NBG93" s="3"/>
      <c r="NBH93" s="3"/>
      <c r="NBI93" s="3"/>
      <c r="NBJ93" s="3"/>
      <c r="NBK93" s="3"/>
      <c r="NBL93" s="3"/>
      <c r="NBM93" s="3"/>
      <c r="NBN93" s="3"/>
      <c r="NBO93" s="3"/>
      <c r="NBP93" s="3"/>
      <c r="NBQ93" s="3"/>
      <c r="NBR93" s="3"/>
      <c r="NBS93" s="3"/>
      <c r="NBT93" s="3"/>
      <c r="NBU93" s="3"/>
      <c r="NBV93" s="3"/>
      <c r="NBW93" s="3"/>
      <c r="NBX93" s="3"/>
      <c r="NBY93" s="3"/>
      <c r="NBZ93" s="3"/>
      <c r="NCA93" s="3"/>
      <c r="NCB93" s="3"/>
      <c r="NCC93" s="3"/>
      <c r="NCD93" s="3"/>
      <c r="NCE93" s="3"/>
      <c r="NCF93" s="3"/>
      <c r="NCG93" s="3"/>
      <c r="NCH93" s="3"/>
      <c r="NCI93" s="3"/>
      <c r="NCJ93" s="3"/>
      <c r="NCK93" s="3"/>
      <c r="NCL93" s="3"/>
      <c r="NCM93" s="3"/>
      <c r="NCN93" s="3"/>
      <c r="NCO93" s="3"/>
      <c r="NCP93" s="3"/>
      <c r="NCQ93" s="3"/>
      <c r="NCR93" s="3"/>
      <c r="NCS93" s="3"/>
      <c r="NCT93" s="3"/>
      <c r="NCU93" s="3"/>
      <c r="NCV93" s="3"/>
      <c r="NCW93" s="3"/>
      <c r="NCX93" s="3"/>
      <c r="NCY93" s="3"/>
      <c r="NCZ93" s="3"/>
      <c r="NDA93" s="3"/>
      <c r="NDB93" s="3"/>
      <c r="NDC93" s="3"/>
      <c r="NDD93" s="3"/>
      <c r="NDE93" s="3"/>
      <c r="NDF93" s="3"/>
      <c r="NDG93" s="3"/>
      <c r="NDH93" s="3"/>
      <c r="NDI93" s="3"/>
      <c r="NDJ93" s="3"/>
      <c r="NDK93" s="3"/>
      <c r="NDL93" s="3"/>
      <c r="NDM93" s="3"/>
      <c r="NDN93" s="3"/>
      <c r="NDO93" s="3"/>
      <c r="NDP93" s="3"/>
      <c r="NDQ93" s="3"/>
      <c r="NDR93" s="3"/>
      <c r="NDS93" s="3"/>
      <c r="NDT93" s="3"/>
      <c r="NDU93" s="3"/>
      <c r="NDV93" s="3"/>
      <c r="NDW93" s="3"/>
      <c r="NDX93" s="3"/>
      <c r="NDY93" s="3"/>
      <c r="NDZ93" s="3"/>
      <c r="NEA93" s="3"/>
      <c r="NEB93" s="3"/>
      <c r="NEC93" s="3"/>
      <c r="NED93" s="3"/>
      <c r="NEE93" s="3"/>
      <c r="NEF93" s="3"/>
      <c r="NEG93" s="3"/>
      <c r="NEH93" s="3"/>
      <c r="NEI93" s="3"/>
      <c r="NEJ93" s="3"/>
      <c r="NEK93" s="3"/>
      <c r="NEL93" s="3"/>
      <c r="NEM93" s="3"/>
      <c r="NEN93" s="3"/>
      <c r="NEO93" s="3"/>
      <c r="NEP93" s="3"/>
      <c r="NEQ93" s="3"/>
      <c r="NER93" s="3"/>
      <c r="NES93" s="3"/>
      <c r="NET93" s="3"/>
      <c r="NEU93" s="3"/>
      <c r="NEV93" s="3"/>
      <c r="NEW93" s="3"/>
      <c r="NEX93" s="3"/>
      <c r="NEY93" s="3"/>
      <c r="NEZ93" s="3"/>
      <c r="NFA93" s="3"/>
      <c r="NFB93" s="3"/>
      <c r="NFC93" s="3"/>
      <c r="NFD93" s="3"/>
      <c r="NFE93" s="3"/>
      <c r="NFF93" s="3"/>
      <c r="NFG93" s="3"/>
      <c r="NFH93" s="3"/>
      <c r="NFI93" s="3"/>
      <c r="NFJ93" s="3"/>
      <c r="NFK93" s="3"/>
      <c r="NFL93" s="3"/>
      <c r="NFM93" s="3"/>
      <c r="NFN93" s="3"/>
      <c r="NFO93" s="3"/>
      <c r="NFP93" s="3"/>
      <c r="NFQ93" s="3"/>
      <c r="NFR93" s="3"/>
      <c r="NFS93" s="3"/>
      <c r="NFT93" s="3"/>
      <c r="NFU93" s="3"/>
      <c r="NFV93" s="3"/>
      <c r="NFW93" s="3"/>
      <c r="NFX93" s="3"/>
      <c r="NFY93" s="3"/>
      <c r="NFZ93" s="3"/>
      <c r="NGA93" s="3"/>
      <c r="NGB93" s="3"/>
      <c r="NGC93" s="3"/>
      <c r="NGD93" s="3"/>
      <c r="NGE93" s="3"/>
      <c r="NGF93" s="3"/>
      <c r="NGG93" s="3"/>
      <c r="NGH93" s="3"/>
      <c r="NGI93" s="3"/>
      <c r="NGJ93" s="3"/>
      <c r="NGK93" s="3"/>
      <c r="NGL93" s="3"/>
      <c r="NGM93" s="3"/>
      <c r="NGN93" s="3"/>
      <c r="NGO93" s="3"/>
      <c r="NGP93" s="3"/>
      <c r="NGQ93" s="3"/>
      <c r="NGR93" s="3"/>
      <c r="NGS93" s="3"/>
      <c r="NGT93" s="3"/>
      <c r="NGU93" s="3"/>
      <c r="NGV93" s="3"/>
      <c r="NGW93" s="3"/>
      <c r="NGX93" s="3"/>
      <c r="NGY93" s="3"/>
      <c r="NGZ93" s="3"/>
      <c r="NHA93" s="3"/>
      <c r="NHB93" s="3"/>
      <c r="NHC93" s="3"/>
      <c r="NHD93" s="3"/>
      <c r="NHE93" s="3"/>
      <c r="NHF93" s="3"/>
      <c r="NHG93" s="3"/>
      <c r="NHH93" s="3"/>
      <c r="NHI93" s="3"/>
      <c r="NHJ93" s="3"/>
      <c r="NHK93" s="3"/>
      <c r="NHL93" s="3"/>
      <c r="NHM93" s="3"/>
      <c r="NHN93" s="3"/>
      <c r="NHO93" s="3"/>
      <c r="NHP93" s="3"/>
      <c r="NHQ93" s="3"/>
      <c r="NHR93" s="3"/>
      <c r="NHS93" s="3"/>
      <c r="NHT93" s="3"/>
      <c r="NHU93" s="3"/>
      <c r="NHV93" s="3"/>
      <c r="NHW93" s="3"/>
      <c r="NHX93" s="3"/>
      <c r="NHY93" s="3"/>
      <c r="NHZ93" s="3"/>
      <c r="NIA93" s="3"/>
      <c r="NIB93" s="3"/>
      <c r="NIC93" s="3"/>
      <c r="NID93" s="3"/>
      <c r="NIE93" s="3"/>
      <c r="NIF93" s="3"/>
      <c r="NIG93" s="3"/>
      <c r="NIH93" s="3"/>
      <c r="NII93" s="3"/>
      <c r="NIJ93" s="3"/>
      <c r="NIK93" s="3"/>
      <c r="NIL93" s="3"/>
      <c r="NIM93" s="3"/>
      <c r="NIN93" s="3"/>
      <c r="NIO93" s="3"/>
      <c r="NIP93" s="3"/>
      <c r="NIQ93" s="3"/>
      <c r="NIR93" s="3"/>
      <c r="NIS93" s="3"/>
      <c r="NIT93" s="3"/>
      <c r="NIU93" s="3"/>
      <c r="NIV93" s="3"/>
      <c r="NIW93" s="3"/>
      <c r="NIX93" s="3"/>
      <c r="NIY93" s="3"/>
      <c r="NIZ93" s="3"/>
      <c r="NJA93" s="3"/>
      <c r="NJB93" s="3"/>
      <c r="NJC93" s="3"/>
      <c r="NJD93" s="3"/>
      <c r="NJE93" s="3"/>
      <c r="NJF93" s="3"/>
      <c r="NJG93" s="3"/>
      <c r="NJH93" s="3"/>
      <c r="NJI93" s="3"/>
      <c r="NJJ93" s="3"/>
      <c r="NJK93" s="3"/>
      <c r="NJL93" s="3"/>
      <c r="NJM93" s="3"/>
      <c r="NJN93" s="3"/>
      <c r="NJO93" s="3"/>
      <c r="NJP93" s="3"/>
      <c r="NJQ93" s="3"/>
      <c r="NJR93" s="3"/>
      <c r="NJS93" s="3"/>
      <c r="NJT93" s="3"/>
      <c r="NJU93" s="3"/>
      <c r="NJV93" s="3"/>
      <c r="NJW93" s="3"/>
      <c r="NJX93" s="3"/>
      <c r="NJY93" s="3"/>
      <c r="NJZ93" s="3"/>
      <c r="NKA93" s="3"/>
      <c r="NKB93" s="3"/>
      <c r="NKC93" s="3"/>
      <c r="NKD93" s="3"/>
      <c r="NKE93" s="3"/>
      <c r="NKF93" s="3"/>
      <c r="NKG93" s="3"/>
      <c r="NKH93" s="3"/>
      <c r="NKI93" s="3"/>
      <c r="NKJ93" s="3"/>
      <c r="NKK93" s="3"/>
      <c r="NKL93" s="3"/>
      <c r="NKM93" s="3"/>
      <c r="NKN93" s="3"/>
      <c r="NKO93" s="3"/>
      <c r="NKP93" s="3"/>
      <c r="NKQ93" s="3"/>
      <c r="NKR93" s="3"/>
      <c r="NKS93" s="3"/>
      <c r="NKT93" s="3"/>
      <c r="NKU93" s="3"/>
      <c r="NKV93" s="3"/>
      <c r="NKW93" s="3"/>
      <c r="NKX93" s="3"/>
      <c r="NKY93" s="3"/>
      <c r="NKZ93" s="3"/>
      <c r="NLA93" s="3"/>
      <c r="NLB93" s="3"/>
      <c r="NLC93" s="3"/>
      <c r="NLD93" s="3"/>
      <c r="NLE93" s="3"/>
      <c r="NLF93" s="3"/>
      <c r="NLG93" s="3"/>
      <c r="NLH93" s="3"/>
      <c r="NLI93" s="3"/>
      <c r="NLJ93" s="3"/>
      <c r="NLK93" s="3"/>
      <c r="NLL93" s="3"/>
      <c r="NLM93" s="3"/>
      <c r="NLN93" s="3"/>
      <c r="NLO93" s="3"/>
      <c r="NLP93" s="3"/>
      <c r="NLQ93" s="3"/>
      <c r="NLR93" s="3"/>
      <c r="NLS93" s="3"/>
      <c r="NLT93" s="3"/>
      <c r="NLU93" s="3"/>
      <c r="NLV93" s="3"/>
      <c r="NLW93" s="3"/>
      <c r="NLX93" s="3"/>
      <c r="NLY93" s="3"/>
      <c r="NLZ93" s="3"/>
      <c r="NMA93" s="3"/>
      <c r="NMB93" s="3"/>
      <c r="NMC93" s="3"/>
      <c r="NMD93" s="3"/>
      <c r="NME93" s="3"/>
      <c r="NMF93" s="3"/>
      <c r="NMG93" s="3"/>
      <c r="NMH93" s="3"/>
      <c r="NMI93" s="3"/>
      <c r="NMJ93" s="3"/>
      <c r="NMK93" s="3"/>
      <c r="NML93" s="3"/>
      <c r="NMM93" s="3"/>
      <c r="NMN93" s="3"/>
      <c r="NMO93" s="3"/>
      <c r="NMP93" s="3"/>
      <c r="NMQ93" s="3"/>
      <c r="NMR93" s="3"/>
      <c r="NMS93" s="3"/>
      <c r="NMT93" s="3"/>
      <c r="NMU93" s="3"/>
      <c r="NMV93" s="3"/>
      <c r="NMW93" s="3"/>
      <c r="NMX93" s="3"/>
      <c r="NMY93" s="3"/>
      <c r="NMZ93" s="3"/>
      <c r="NNA93" s="3"/>
      <c r="NNB93" s="3"/>
      <c r="NNC93" s="3"/>
      <c r="NND93" s="3"/>
      <c r="NNE93" s="3"/>
      <c r="NNF93" s="3"/>
      <c r="NNG93" s="3"/>
      <c r="NNH93" s="3"/>
      <c r="NNI93" s="3"/>
      <c r="NNJ93" s="3"/>
      <c r="NNK93" s="3"/>
      <c r="NNL93" s="3"/>
      <c r="NNM93" s="3"/>
      <c r="NNN93" s="3"/>
      <c r="NNO93" s="3"/>
      <c r="NNP93" s="3"/>
      <c r="NNQ93" s="3"/>
      <c r="NNR93" s="3"/>
      <c r="NNS93" s="3"/>
      <c r="NNT93" s="3"/>
      <c r="NNU93" s="3"/>
      <c r="NNV93" s="3"/>
      <c r="NNW93" s="3"/>
      <c r="NNX93" s="3"/>
      <c r="NNY93" s="3"/>
      <c r="NNZ93" s="3"/>
      <c r="NOA93" s="3"/>
      <c r="NOB93" s="3"/>
      <c r="NOC93" s="3"/>
      <c r="NOD93" s="3"/>
      <c r="NOE93" s="3"/>
      <c r="NOF93" s="3"/>
      <c r="NOG93" s="3"/>
      <c r="NOH93" s="3"/>
      <c r="NOI93" s="3"/>
      <c r="NOJ93" s="3"/>
      <c r="NOK93" s="3"/>
      <c r="NOL93" s="3"/>
      <c r="NOM93" s="3"/>
      <c r="NON93" s="3"/>
      <c r="NOO93" s="3"/>
      <c r="NOP93" s="3"/>
      <c r="NOQ93" s="3"/>
      <c r="NOR93" s="3"/>
      <c r="NOS93" s="3"/>
      <c r="NOT93" s="3"/>
      <c r="NOU93" s="3"/>
      <c r="NOV93" s="3"/>
      <c r="NOW93" s="3"/>
      <c r="NOX93" s="3"/>
      <c r="NOY93" s="3"/>
      <c r="NOZ93" s="3"/>
      <c r="NPA93" s="3"/>
      <c r="NPB93" s="3"/>
      <c r="NPC93" s="3"/>
      <c r="NPD93" s="3"/>
      <c r="NPE93" s="3"/>
      <c r="NPF93" s="3"/>
      <c r="NPG93" s="3"/>
      <c r="NPH93" s="3"/>
      <c r="NPI93" s="3"/>
      <c r="NPJ93" s="3"/>
      <c r="NPK93" s="3"/>
      <c r="NPL93" s="3"/>
      <c r="NPM93" s="3"/>
      <c r="NPN93" s="3"/>
      <c r="NPO93" s="3"/>
      <c r="NPP93" s="3"/>
      <c r="NPQ93" s="3"/>
      <c r="NPR93" s="3"/>
      <c r="NPS93" s="3"/>
      <c r="NPT93" s="3"/>
      <c r="NPU93" s="3"/>
      <c r="NPV93" s="3"/>
      <c r="NPW93" s="3"/>
      <c r="NPX93" s="3"/>
      <c r="NPY93" s="3"/>
      <c r="NPZ93" s="3"/>
      <c r="NQA93" s="3"/>
      <c r="NQB93" s="3"/>
      <c r="NQC93" s="3"/>
      <c r="NQD93" s="3"/>
      <c r="NQE93" s="3"/>
      <c r="NQF93" s="3"/>
      <c r="NQG93" s="3"/>
      <c r="NQH93" s="3"/>
      <c r="NQI93" s="3"/>
      <c r="NQJ93" s="3"/>
      <c r="NQK93" s="3"/>
      <c r="NQL93" s="3"/>
      <c r="NQM93" s="3"/>
      <c r="NQN93" s="3"/>
      <c r="NQO93" s="3"/>
      <c r="NQP93" s="3"/>
      <c r="NQQ93" s="3"/>
      <c r="NQR93" s="3"/>
      <c r="NQS93" s="3"/>
      <c r="NQT93" s="3"/>
      <c r="NQU93" s="3"/>
      <c r="NQV93" s="3"/>
      <c r="NQW93" s="3"/>
      <c r="NQX93" s="3"/>
      <c r="NQY93" s="3"/>
      <c r="NQZ93" s="3"/>
      <c r="NRA93" s="3"/>
      <c r="NRB93" s="3"/>
      <c r="NRC93" s="3"/>
      <c r="NRD93" s="3"/>
      <c r="NRE93" s="3"/>
      <c r="NRF93" s="3"/>
      <c r="NRG93" s="3"/>
      <c r="NRH93" s="3"/>
      <c r="NRI93" s="3"/>
      <c r="NRJ93" s="3"/>
      <c r="NRK93" s="3"/>
      <c r="NRL93" s="3"/>
      <c r="NRM93" s="3"/>
      <c r="NRN93" s="3"/>
      <c r="NRO93" s="3"/>
      <c r="NRP93" s="3"/>
      <c r="NRQ93" s="3"/>
      <c r="NRR93" s="3"/>
      <c r="NRS93" s="3"/>
      <c r="NRT93" s="3"/>
      <c r="NRU93" s="3"/>
      <c r="NRV93" s="3"/>
      <c r="NRW93" s="3"/>
      <c r="NRX93" s="3"/>
      <c r="NRY93" s="3"/>
      <c r="NRZ93" s="3"/>
      <c r="NSA93" s="3"/>
      <c r="NSB93" s="3"/>
      <c r="NSC93" s="3"/>
      <c r="NSD93" s="3"/>
      <c r="NSE93" s="3"/>
      <c r="NSF93" s="3"/>
      <c r="NSG93" s="3"/>
      <c r="NSH93" s="3"/>
      <c r="NSI93" s="3"/>
      <c r="NSJ93" s="3"/>
      <c r="NSK93" s="3"/>
      <c r="NSL93" s="3"/>
      <c r="NSM93" s="3"/>
      <c r="NSN93" s="3"/>
      <c r="NSO93" s="3"/>
      <c r="NSP93" s="3"/>
      <c r="NSQ93" s="3"/>
      <c r="NSR93" s="3"/>
      <c r="NSS93" s="3"/>
      <c r="NST93" s="3"/>
      <c r="NSU93" s="3"/>
      <c r="NSV93" s="3"/>
      <c r="NSW93" s="3"/>
      <c r="NSX93" s="3"/>
      <c r="NSY93" s="3"/>
      <c r="NSZ93" s="3"/>
      <c r="NTA93" s="3"/>
      <c r="NTB93" s="3"/>
      <c r="NTC93" s="3"/>
      <c r="NTD93" s="3"/>
      <c r="NTE93" s="3"/>
      <c r="NTF93" s="3"/>
      <c r="NTG93" s="3"/>
      <c r="NTH93" s="3"/>
      <c r="NTI93" s="3"/>
      <c r="NTJ93" s="3"/>
      <c r="NTK93" s="3"/>
      <c r="NTL93" s="3"/>
      <c r="NTM93" s="3"/>
      <c r="NTN93" s="3"/>
      <c r="NTO93" s="3"/>
      <c r="NTP93" s="3"/>
      <c r="NTQ93" s="3"/>
      <c r="NTR93" s="3"/>
      <c r="NTS93" s="3"/>
      <c r="NTT93" s="3"/>
      <c r="NTU93" s="3"/>
      <c r="NTV93" s="3"/>
      <c r="NTW93" s="3"/>
      <c r="NTX93" s="3"/>
      <c r="NTY93" s="3"/>
      <c r="NTZ93" s="3"/>
      <c r="NUA93" s="3"/>
      <c r="NUB93" s="3"/>
      <c r="NUC93" s="3"/>
      <c r="NUD93" s="3"/>
      <c r="NUE93" s="3"/>
      <c r="NUF93" s="3"/>
      <c r="NUG93" s="3"/>
      <c r="NUH93" s="3"/>
      <c r="NUI93" s="3"/>
      <c r="NUJ93" s="3"/>
      <c r="NUK93" s="3"/>
      <c r="NUL93" s="3"/>
      <c r="NUM93" s="3"/>
      <c r="NUN93" s="3"/>
      <c r="NUO93" s="3"/>
      <c r="NUP93" s="3"/>
      <c r="NUQ93" s="3"/>
      <c r="NUR93" s="3"/>
      <c r="NUS93" s="3"/>
      <c r="NUT93" s="3"/>
      <c r="NUU93" s="3"/>
      <c r="NUV93" s="3"/>
      <c r="NUW93" s="3"/>
      <c r="NUX93" s="3"/>
      <c r="NUY93" s="3"/>
      <c r="NUZ93" s="3"/>
      <c r="NVA93" s="3"/>
      <c r="NVB93" s="3"/>
      <c r="NVC93" s="3"/>
      <c r="NVD93" s="3"/>
      <c r="NVE93" s="3"/>
      <c r="NVF93" s="3"/>
      <c r="NVG93" s="3"/>
      <c r="NVH93" s="3"/>
      <c r="NVI93" s="3"/>
      <c r="NVJ93" s="3"/>
      <c r="NVK93" s="3"/>
      <c r="NVL93" s="3"/>
      <c r="NVM93" s="3"/>
      <c r="NVN93" s="3"/>
      <c r="NVO93" s="3"/>
      <c r="NVP93" s="3"/>
      <c r="NVQ93" s="3"/>
      <c r="NVR93" s="3"/>
      <c r="NVS93" s="3"/>
      <c r="NVT93" s="3"/>
      <c r="NVU93" s="3"/>
      <c r="NVV93" s="3"/>
      <c r="NVW93" s="3"/>
      <c r="NVX93" s="3"/>
      <c r="NVY93" s="3"/>
      <c r="NVZ93" s="3"/>
      <c r="NWA93" s="3"/>
      <c r="NWB93" s="3"/>
      <c r="NWC93" s="3"/>
      <c r="NWD93" s="3"/>
      <c r="NWE93" s="3"/>
      <c r="NWF93" s="3"/>
      <c r="NWG93" s="3"/>
      <c r="NWH93" s="3"/>
      <c r="NWI93" s="3"/>
      <c r="NWJ93" s="3"/>
      <c r="NWK93" s="3"/>
      <c r="NWL93" s="3"/>
      <c r="NWM93" s="3"/>
      <c r="NWN93" s="3"/>
      <c r="NWO93" s="3"/>
      <c r="NWP93" s="3"/>
      <c r="NWQ93" s="3"/>
      <c r="NWR93" s="3"/>
      <c r="NWS93" s="3"/>
      <c r="NWT93" s="3"/>
      <c r="NWU93" s="3"/>
      <c r="NWV93" s="3"/>
      <c r="NWW93" s="3"/>
      <c r="NWX93" s="3"/>
      <c r="NWY93" s="3"/>
      <c r="NWZ93" s="3"/>
      <c r="NXA93" s="3"/>
      <c r="NXB93" s="3"/>
      <c r="NXC93" s="3"/>
      <c r="NXD93" s="3"/>
      <c r="NXE93" s="3"/>
      <c r="NXF93" s="3"/>
      <c r="NXG93" s="3"/>
      <c r="NXH93" s="3"/>
      <c r="NXI93" s="3"/>
      <c r="NXJ93" s="3"/>
      <c r="NXK93" s="3"/>
      <c r="NXL93" s="3"/>
      <c r="NXM93" s="3"/>
      <c r="NXN93" s="3"/>
      <c r="NXO93" s="3"/>
      <c r="NXP93" s="3"/>
      <c r="NXQ93" s="3"/>
      <c r="NXR93" s="3"/>
      <c r="NXS93" s="3"/>
      <c r="NXT93" s="3"/>
      <c r="NXU93" s="3"/>
      <c r="NXV93" s="3"/>
      <c r="NXW93" s="3"/>
      <c r="NXX93" s="3"/>
      <c r="NXY93" s="3"/>
      <c r="NXZ93" s="3"/>
      <c r="NYA93" s="3"/>
      <c r="NYB93" s="3"/>
      <c r="NYC93" s="3"/>
      <c r="NYD93" s="3"/>
      <c r="NYE93" s="3"/>
      <c r="NYF93" s="3"/>
      <c r="NYG93" s="3"/>
      <c r="NYH93" s="3"/>
      <c r="NYI93" s="3"/>
      <c r="NYJ93" s="3"/>
      <c r="NYK93" s="3"/>
      <c r="NYL93" s="3"/>
      <c r="NYM93" s="3"/>
      <c r="NYN93" s="3"/>
      <c r="NYO93" s="3"/>
      <c r="NYP93" s="3"/>
      <c r="NYQ93" s="3"/>
      <c r="NYR93" s="3"/>
      <c r="NYS93" s="3"/>
      <c r="NYT93" s="3"/>
      <c r="NYU93" s="3"/>
      <c r="NYV93" s="3"/>
      <c r="NYW93" s="3"/>
      <c r="NYX93" s="3"/>
      <c r="NYY93" s="3"/>
      <c r="NYZ93" s="3"/>
      <c r="NZA93" s="3"/>
      <c r="NZB93" s="3"/>
      <c r="NZC93" s="3"/>
      <c r="NZD93" s="3"/>
      <c r="NZE93" s="3"/>
      <c r="NZF93" s="3"/>
      <c r="NZG93" s="3"/>
      <c r="NZH93" s="3"/>
      <c r="NZI93" s="3"/>
      <c r="NZJ93" s="3"/>
      <c r="NZK93" s="3"/>
      <c r="NZL93" s="3"/>
      <c r="NZM93" s="3"/>
      <c r="NZN93" s="3"/>
      <c r="NZO93" s="3"/>
      <c r="NZP93" s="3"/>
      <c r="NZQ93" s="3"/>
      <c r="NZR93" s="3"/>
      <c r="NZS93" s="3"/>
      <c r="NZT93" s="3"/>
      <c r="NZU93" s="3"/>
      <c r="NZV93" s="3"/>
      <c r="NZW93" s="3"/>
      <c r="NZX93" s="3"/>
      <c r="NZY93" s="3"/>
      <c r="NZZ93" s="3"/>
      <c r="OAA93" s="3"/>
      <c r="OAB93" s="3"/>
      <c r="OAC93" s="3"/>
      <c r="OAD93" s="3"/>
      <c r="OAE93" s="3"/>
      <c r="OAF93" s="3"/>
      <c r="OAG93" s="3"/>
      <c r="OAH93" s="3"/>
      <c r="OAI93" s="3"/>
      <c r="OAJ93" s="3"/>
      <c r="OAK93" s="3"/>
      <c r="OAL93" s="3"/>
      <c r="OAM93" s="3"/>
      <c r="OAN93" s="3"/>
      <c r="OAO93" s="3"/>
      <c r="OAP93" s="3"/>
      <c r="OAQ93" s="3"/>
      <c r="OAR93" s="3"/>
      <c r="OAS93" s="3"/>
      <c r="OAT93" s="3"/>
      <c r="OAU93" s="3"/>
      <c r="OAV93" s="3"/>
      <c r="OAW93" s="3"/>
      <c r="OAX93" s="3"/>
      <c r="OAY93" s="3"/>
      <c r="OAZ93" s="3"/>
      <c r="OBA93" s="3"/>
      <c r="OBB93" s="3"/>
      <c r="OBC93" s="3"/>
      <c r="OBD93" s="3"/>
      <c r="OBE93" s="3"/>
      <c r="OBF93" s="3"/>
      <c r="OBG93" s="3"/>
      <c r="OBH93" s="3"/>
      <c r="OBI93" s="3"/>
      <c r="OBJ93" s="3"/>
      <c r="OBK93" s="3"/>
      <c r="OBL93" s="3"/>
      <c r="OBM93" s="3"/>
      <c r="OBN93" s="3"/>
      <c r="OBO93" s="3"/>
      <c r="OBP93" s="3"/>
      <c r="OBQ93" s="3"/>
      <c r="OBR93" s="3"/>
      <c r="OBS93" s="3"/>
      <c r="OBT93" s="3"/>
      <c r="OBU93" s="3"/>
      <c r="OBV93" s="3"/>
      <c r="OBW93" s="3"/>
      <c r="OBX93" s="3"/>
      <c r="OBY93" s="3"/>
      <c r="OBZ93" s="3"/>
      <c r="OCA93" s="3"/>
      <c r="OCB93" s="3"/>
      <c r="OCC93" s="3"/>
      <c r="OCD93" s="3"/>
      <c r="OCE93" s="3"/>
      <c r="OCF93" s="3"/>
      <c r="OCG93" s="3"/>
      <c r="OCH93" s="3"/>
      <c r="OCI93" s="3"/>
      <c r="OCJ93" s="3"/>
      <c r="OCK93" s="3"/>
      <c r="OCL93" s="3"/>
      <c r="OCM93" s="3"/>
      <c r="OCN93" s="3"/>
      <c r="OCO93" s="3"/>
      <c r="OCP93" s="3"/>
      <c r="OCQ93" s="3"/>
      <c r="OCR93" s="3"/>
      <c r="OCS93" s="3"/>
      <c r="OCT93" s="3"/>
      <c r="OCU93" s="3"/>
      <c r="OCV93" s="3"/>
      <c r="OCW93" s="3"/>
      <c r="OCX93" s="3"/>
      <c r="OCY93" s="3"/>
      <c r="OCZ93" s="3"/>
      <c r="ODA93" s="3"/>
      <c r="ODB93" s="3"/>
      <c r="ODC93" s="3"/>
      <c r="ODD93" s="3"/>
      <c r="ODE93" s="3"/>
      <c r="ODF93" s="3"/>
      <c r="ODG93" s="3"/>
      <c r="ODH93" s="3"/>
      <c r="ODI93" s="3"/>
      <c r="ODJ93" s="3"/>
      <c r="ODK93" s="3"/>
      <c r="ODL93" s="3"/>
      <c r="ODM93" s="3"/>
      <c r="ODN93" s="3"/>
      <c r="ODO93" s="3"/>
      <c r="ODP93" s="3"/>
      <c r="ODQ93" s="3"/>
      <c r="ODR93" s="3"/>
      <c r="ODS93" s="3"/>
      <c r="ODT93" s="3"/>
      <c r="ODU93" s="3"/>
      <c r="ODV93" s="3"/>
      <c r="ODW93" s="3"/>
      <c r="ODX93" s="3"/>
      <c r="ODY93" s="3"/>
      <c r="ODZ93" s="3"/>
      <c r="OEA93" s="3"/>
      <c r="OEB93" s="3"/>
      <c r="OEC93" s="3"/>
      <c r="OED93" s="3"/>
      <c r="OEE93" s="3"/>
      <c r="OEF93" s="3"/>
      <c r="OEG93" s="3"/>
      <c r="OEH93" s="3"/>
      <c r="OEI93" s="3"/>
      <c r="OEJ93" s="3"/>
      <c r="OEK93" s="3"/>
      <c r="OEL93" s="3"/>
      <c r="OEM93" s="3"/>
      <c r="OEN93" s="3"/>
      <c r="OEO93" s="3"/>
      <c r="OEP93" s="3"/>
      <c r="OEQ93" s="3"/>
      <c r="OER93" s="3"/>
      <c r="OES93" s="3"/>
      <c r="OET93" s="3"/>
      <c r="OEU93" s="3"/>
      <c r="OEV93" s="3"/>
      <c r="OEW93" s="3"/>
      <c r="OEX93" s="3"/>
      <c r="OEY93" s="3"/>
      <c r="OEZ93" s="3"/>
      <c r="OFA93" s="3"/>
      <c r="OFB93" s="3"/>
      <c r="OFC93" s="3"/>
      <c r="OFD93" s="3"/>
      <c r="OFE93" s="3"/>
      <c r="OFF93" s="3"/>
      <c r="OFG93" s="3"/>
      <c r="OFH93" s="3"/>
      <c r="OFI93" s="3"/>
      <c r="OFJ93" s="3"/>
      <c r="OFK93" s="3"/>
      <c r="OFL93" s="3"/>
      <c r="OFM93" s="3"/>
      <c r="OFN93" s="3"/>
      <c r="OFO93" s="3"/>
      <c r="OFP93" s="3"/>
      <c r="OFQ93" s="3"/>
      <c r="OFR93" s="3"/>
      <c r="OFS93" s="3"/>
      <c r="OFT93" s="3"/>
      <c r="OFU93" s="3"/>
      <c r="OFV93" s="3"/>
      <c r="OFW93" s="3"/>
      <c r="OFX93" s="3"/>
      <c r="OFY93" s="3"/>
      <c r="OFZ93" s="3"/>
      <c r="OGA93" s="3"/>
      <c r="OGB93" s="3"/>
      <c r="OGC93" s="3"/>
      <c r="OGD93" s="3"/>
      <c r="OGE93" s="3"/>
      <c r="OGF93" s="3"/>
      <c r="OGG93" s="3"/>
      <c r="OGH93" s="3"/>
      <c r="OGI93" s="3"/>
      <c r="OGJ93" s="3"/>
      <c r="OGK93" s="3"/>
      <c r="OGL93" s="3"/>
      <c r="OGM93" s="3"/>
      <c r="OGN93" s="3"/>
      <c r="OGO93" s="3"/>
      <c r="OGP93" s="3"/>
      <c r="OGQ93" s="3"/>
      <c r="OGR93" s="3"/>
      <c r="OGS93" s="3"/>
      <c r="OGT93" s="3"/>
      <c r="OGU93" s="3"/>
      <c r="OGV93" s="3"/>
      <c r="OGW93" s="3"/>
      <c r="OGX93" s="3"/>
      <c r="OGY93" s="3"/>
      <c r="OGZ93" s="3"/>
      <c r="OHA93" s="3"/>
      <c r="OHB93" s="3"/>
      <c r="OHC93" s="3"/>
      <c r="OHD93" s="3"/>
      <c r="OHE93" s="3"/>
      <c r="OHF93" s="3"/>
      <c r="OHG93" s="3"/>
      <c r="OHH93" s="3"/>
      <c r="OHI93" s="3"/>
      <c r="OHJ93" s="3"/>
      <c r="OHK93" s="3"/>
      <c r="OHL93" s="3"/>
      <c r="OHM93" s="3"/>
      <c r="OHN93" s="3"/>
      <c r="OHO93" s="3"/>
      <c r="OHP93" s="3"/>
      <c r="OHQ93" s="3"/>
      <c r="OHR93" s="3"/>
      <c r="OHS93" s="3"/>
      <c r="OHT93" s="3"/>
      <c r="OHU93" s="3"/>
      <c r="OHV93" s="3"/>
      <c r="OHW93" s="3"/>
      <c r="OHX93" s="3"/>
      <c r="OHY93" s="3"/>
      <c r="OHZ93" s="3"/>
      <c r="OIA93" s="3"/>
      <c r="OIB93" s="3"/>
      <c r="OIC93" s="3"/>
      <c r="OID93" s="3"/>
      <c r="OIE93" s="3"/>
      <c r="OIF93" s="3"/>
      <c r="OIG93" s="3"/>
      <c r="OIH93" s="3"/>
      <c r="OII93" s="3"/>
      <c r="OIJ93" s="3"/>
      <c r="OIK93" s="3"/>
      <c r="OIL93" s="3"/>
      <c r="OIM93" s="3"/>
      <c r="OIN93" s="3"/>
      <c r="OIO93" s="3"/>
      <c r="OIP93" s="3"/>
      <c r="OIQ93" s="3"/>
      <c r="OIR93" s="3"/>
      <c r="OIS93" s="3"/>
      <c r="OIT93" s="3"/>
      <c r="OIU93" s="3"/>
      <c r="OIV93" s="3"/>
      <c r="OIW93" s="3"/>
      <c r="OIX93" s="3"/>
      <c r="OIY93" s="3"/>
      <c r="OIZ93" s="3"/>
      <c r="OJA93" s="3"/>
      <c r="OJB93" s="3"/>
      <c r="OJC93" s="3"/>
      <c r="OJD93" s="3"/>
      <c r="OJE93" s="3"/>
      <c r="OJF93" s="3"/>
      <c r="OJG93" s="3"/>
      <c r="OJH93" s="3"/>
      <c r="OJI93" s="3"/>
      <c r="OJJ93" s="3"/>
      <c r="OJK93" s="3"/>
      <c r="OJL93" s="3"/>
      <c r="OJM93" s="3"/>
      <c r="OJN93" s="3"/>
      <c r="OJO93" s="3"/>
      <c r="OJP93" s="3"/>
      <c r="OJQ93" s="3"/>
      <c r="OJR93" s="3"/>
      <c r="OJS93" s="3"/>
      <c r="OJT93" s="3"/>
      <c r="OJU93" s="3"/>
      <c r="OJV93" s="3"/>
      <c r="OJW93" s="3"/>
      <c r="OJX93" s="3"/>
      <c r="OJY93" s="3"/>
      <c r="OJZ93" s="3"/>
      <c r="OKA93" s="3"/>
      <c r="OKB93" s="3"/>
      <c r="OKC93" s="3"/>
      <c r="OKD93" s="3"/>
      <c r="OKE93" s="3"/>
      <c r="OKF93" s="3"/>
      <c r="OKG93" s="3"/>
      <c r="OKH93" s="3"/>
      <c r="OKI93" s="3"/>
      <c r="OKJ93" s="3"/>
      <c r="OKK93" s="3"/>
      <c r="OKL93" s="3"/>
      <c r="OKM93" s="3"/>
      <c r="OKN93" s="3"/>
      <c r="OKO93" s="3"/>
      <c r="OKP93" s="3"/>
      <c r="OKQ93" s="3"/>
      <c r="OKR93" s="3"/>
      <c r="OKS93" s="3"/>
      <c r="OKT93" s="3"/>
      <c r="OKU93" s="3"/>
      <c r="OKV93" s="3"/>
      <c r="OKW93" s="3"/>
      <c r="OKX93" s="3"/>
      <c r="OKY93" s="3"/>
      <c r="OKZ93" s="3"/>
      <c r="OLA93" s="3"/>
      <c r="OLB93" s="3"/>
      <c r="OLC93" s="3"/>
      <c r="OLD93" s="3"/>
      <c r="OLE93" s="3"/>
      <c r="OLF93" s="3"/>
      <c r="OLG93" s="3"/>
      <c r="OLH93" s="3"/>
      <c r="OLI93" s="3"/>
      <c r="OLJ93" s="3"/>
      <c r="OLK93" s="3"/>
      <c r="OLL93" s="3"/>
      <c r="OLM93" s="3"/>
      <c r="OLN93" s="3"/>
      <c r="OLO93" s="3"/>
      <c r="OLP93" s="3"/>
      <c r="OLQ93" s="3"/>
      <c r="OLR93" s="3"/>
      <c r="OLS93" s="3"/>
      <c r="OLT93" s="3"/>
      <c r="OLU93" s="3"/>
      <c r="OLV93" s="3"/>
      <c r="OLW93" s="3"/>
      <c r="OLX93" s="3"/>
      <c r="OLY93" s="3"/>
      <c r="OLZ93" s="3"/>
      <c r="OMA93" s="3"/>
      <c r="OMB93" s="3"/>
      <c r="OMC93" s="3"/>
      <c r="OMD93" s="3"/>
      <c r="OME93" s="3"/>
      <c r="OMF93" s="3"/>
      <c r="OMG93" s="3"/>
      <c r="OMH93" s="3"/>
      <c r="OMI93" s="3"/>
      <c r="OMJ93" s="3"/>
      <c r="OMK93" s="3"/>
      <c r="OML93" s="3"/>
      <c r="OMM93" s="3"/>
      <c r="OMN93" s="3"/>
      <c r="OMO93" s="3"/>
      <c r="OMP93" s="3"/>
      <c r="OMQ93" s="3"/>
      <c r="OMR93" s="3"/>
      <c r="OMS93" s="3"/>
      <c r="OMT93" s="3"/>
      <c r="OMU93" s="3"/>
      <c r="OMV93" s="3"/>
      <c r="OMW93" s="3"/>
      <c r="OMX93" s="3"/>
      <c r="OMY93" s="3"/>
      <c r="OMZ93" s="3"/>
      <c r="ONA93" s="3"/>
      <c r="ONB93" s="3"/>
      <c r="ONC93" s="3"/>
      <c r="OND93" s="3"/>
      <c r="ONE93" s="3"/>
      <c r="ONF93" s="3"/>
      <c r="ONG93" s="3"/>
      <c r="ONH93" s="3"/>
      <c r="ONI93" s="3"/>
      <c r="ONJ93" s="3"/>
      <c r="ONK93" s="3"/>
      <c r="ONL93" s="3"/>
      <c r="ONM93" s="3"/>
      <c r="ONN93" s="3"/>
      <c r="ONO93" s="3"/>
      <c r="ONP93" s="3"/>
      <c r="ONQ93" s="3"/>
      <c r="ONR93" s="3"/>
      <c r="ONS93" s="3"/>
      <c r="ONT93" s="3"/>
      <c r="ONU93" s="3"/>
      <c r="ONV93" s="3"/>
      <c r="ONW93" s="3"/>
      <c r="ONX93" s="3"/>
      <c r="ONY93" s="3"/>
      <c r="ONZ93" s="3"/>
      <c r="OOA93" s="3"/>
      <c r="OOB93" s="3"/>
      <c r="OOC93" s="3"/>
      <c r="OOD93" s="3"/>
      <c r="OOE93" s="3"/>
      <c r="OOF93" s="3"/>
      <c r="OOG93" s="3"/>
      <c r="OOH93" s="3"/>
      <c r="OOI93" s="3"/>
      <c r="OOJ93" s="3"/>
      <c r="OOK93" s="3"/>
      <c r="OOL93" s="3"/>
      <c r="OOM93" s="3"/>
      <c r="OON93" s="3"/>
      <c r="OOO93" s="3"/>
      <c r="OOP93" s="3"/>
      <c r="OOQ93" s="3"/>
      <c r="OOR93" s="3"/>
      <c r="OOS93" s="3"/>
      <c r="OOT93" s="3"/>
      <c r="OOU93" s="3"/>
      <c r="OOV93" s="3"/>
      <c r="OOW93" s="3"/>
      <c r="OOX93" s="3"/>
      <c r="OOY93" s="3"/>
      <c r="OOZ93" s="3"/>
      <c r="OPA93" s="3"/>
      <c r="OPB93" s="3"/>
      <c r="OPC93" s="3"/>
      <c r="OPD93" s="3"/>
      <c r="OPE93" s="3"/>
      <c r="OPF93" s="3"/>
      <c r="OPG93" s="3"/>
      <c r="OPH93" s="3"/>
      <c r="OPI93" s="3"/>
      <c r="OPJ93" s="3"/>
      <c r="OPK93" s="3"/>
      <c r="OPL93" s="3"/>
      <c r="OPM93" s="3"/>
      <c r="OPN93" s="3"/>
      <c r="OPO93" s="3"/>
      <c r="OPP93" s="3"/>
      <c r="OPQ93" s="3"/>
      <c r="OPR93" s="3"/>
      <c r="OPS93" s="3"/>
      <c r="OPT93" s="3"/>
      <c r="OPU93" s="3"/>
      <c r="OPV93" s="3"/>
      <c r="OPW93" s="3"/>
      <c r="OPX93" s="3"/>
      <c r="OPY93" s="3"/>
      <c r="OPZ93" s="3"/>
      <c r="OQA93" s="3"/>
      <c r="OQB93" s="3"/>
      <c r="OQC93" s="3"/>
      <c r="OQD93" s="3"/>
      <c r="OQE93" s="3"/>
      <c r="OQF93" s="3"/>
      <c r="OQG93" s="3"/>
      <c r="OQH93" s="3"/>
      <c r="OQI93" s="3"/>
      <c r="OQJ93" s="3"/>
      <c r="OQK93" s="3"/>
      <c r="OQL93" s="3"/>
      <c r="OQM93" s="3"/>
      <c r="OQN93" s="3"/>
      <c r="OQO93" s="3"/>
      <c r="OQP93" s="3"/>
      <c r="OQQ93" s="3"/>
      <c r="OQR93" s="3"/>
      <c r="OQS93" s="3"/>
      <c r="OQT93" s="3"/>
      <c r="OQU93" s="3"/>
      <c r="OQV93" s="3"/>
      <c r="OQW93" s="3"/>
      <c r="OQX93" s="3"/>
      <c r="OQY93" s="3"/>
      <c r="OQZ93" s="3"/>
      <c r="ORA93" s="3"/>
      <c r="ORB93" s="3"/>
      <c r="ORC93" s="3"/>
      <c r="ORD93" s="3"/>
      <c r="ORE93" s="3"/>
      <c r="ORF93" s="3"/>
      <c r="ORG93" s="3"/>
      <c r="ORH93" s="3"/>
      <c r="ORI93" s="3"/>
      <c r="ORJ93" s="3"/>
      <c r="ORK93" s="3"/>
      <c r="ORL93" s="3"/>
      <c r="ORM93" s="3"/>
      <c r="ORN93" s="3"/>
      <c r="ORO93" s="3"/>
      <c r="ORP93" s="3"/>
      <c r="ORQ93" s="3"/>
      <c r="ORR93" s="3"/>
      <c r="ORS93" s="3"/>
      <c r="ORT93" s="3"/>
      <c r="ORU93" s="3"/>
      <c r="ORV93" s="3"/>
      <c r="ORW93" s="3"/>
      <c r="ORX93" s="3"/>
      <c r="ORY93" s="3"/>
      <c r="ORZ93" s="3"/>
      <c r="OSA93" s="3"/>
      <c r="OSB93" s="3"/>
      <c r="OSC93" s="3"/>
      <c r="OSD93" s="3"/>
      <c r="OSE93" s="3"/>
      <c r="OSF93" s="3"/>
      <c r="OSG93" s="3"/>
      <c r="OSH93" s="3"/>
      <c r="OSI93" s="3"/>
      <c r="OSJ93" s="3"/>
      <c r="OSK93" s="3"/>
      <c r="OSL93" s="3"/>
      <c r="OSM93" s="3"/>
      <c r="OSN93" s="3"/>
      <c r="OSO93" s="3"/>
      <c r="OSP93" s="3"/>
      <c r="OSQ93" s="3"/>
      <c r="OSR93" s="3"/>
      <c r="OSS93" s="3"/>
      <c r="OST93" s="3"/>
      <c r="OSU93" s="3"/>
      <c r="OSV93" s="3"/>
      <c r="OSW93" s="3"/>
      <c r="OSX93" s="3"/>
      <c r="OSY93" s="3"/>
      <c r="OSZ93" s="3"/>
      <c r="OTA93" s="3"/>
      <c r="OTB93" s="3"/>
      <c r="OTC93" s="3"/>
      <c r="OTD93" s="3"/>
      <c r="OTE93" s="3"/>
      <c r="OTF93" s="3"/>
      <c r="OTG93" s="3"/>
      <c r="OTH93" s="3"/>
      <c r="OTI93" s="3"/>
      <c r="OTJ93" s="3"/>
      <c r="OTK93" s="3"/>
      <c r="OTL93" s="3"/>
      <c r="OTM93" s="3"/>
      <c r="OTN93" s="3"/>
      <c r="OTO93" s="3"/>
      <c r="OTP93" s="3"/>
      <c r="OTQ93" s="3"/>
      <c r="OTR93" s="3"/>
      <c r="OTS93" s="3"/>
      <c r="OTT93" s="3"/>
      <c r="OTU93" s="3"/>
      <c r="OTV93" s="3"/>
      <c r="OTW93" s="3"/>
      <c r="OTX93" s="3"/>
      <c r="OTY93" s="3"/>
      <c r="OTZ93" s="3"/>
      <c r="OUA93" s="3"/>
      <c r="OUB93" s="3"/>
      <c r="OUC93" s="3"/>
      <c r="OUD93" s="3"/>
      <c r="OUE93" s="3"/>
      <c r="OUF93" s="3"/>
      <c r="OUG93" s="3"/>
      <c r="OUH93" s="3"/>
      <c r="OUI93" s="3"/>
      <c r="OUJ93" s="3"/>
      <c r="OUK93" s="3"/>
      <c r="OUL93" s="3"/>
      <c r="OUM93" s="3"/>
      <c r="OUN93" s="3"/>
      <c r="OUO93" s="3"/>
      <c r="OUP93" s="3"/>
      <c r="OUQ93" s="3"/>
      <c r="OUR93" s="3"/>
      <c r="OUS93" s="3"/>
      <c r="OUT93" s="3"/>
      <c r="OUU93" s="3"/>
      <c r="OUV93" s="3"/>
      <c r="OUW93" s="3"/>
      <c r="OUX93" s="3"/>
      <c r="OUY93" s="3"/>
      <c r="OUZ93" s="3"/>
      <c r="OVA93" s="3"/>
      <c r="OVB93" s="3"/>
      <c r="OVC93" s="3"/>
      <c r="OVD93" s="3"/>
      <c r="OVE93" s="3"/>
      <c r="OVF93" s="3"/>
      <c r="OVG93" s="3"/>
      <c r="OVH93" s="3"/>
      <c r="OVI93" s="3"/>
      <c r="OVJ93" s="3"/>
      <c r="OVK93" s="3"/>
      <c r="OVL93" s="3"/>
      <c r="OVM93" s="3"/>
      <c r="OVN93" s="3"/>
      <c r="OVO93" s="3"/>
      <c r="OVP93" s="3"/>
      <c r="OVQ93" s="3"/>
      <c r="OVR93" s="3"/>
      <c r="OVS93" s="3"/>
      <c r="OVT93" s="3"/>
      <c r="OVU93" s="3"/>
      <c r="OVV93" s="3"/>
      <c r="OVW93" s="3"/>
      <c r="OVX93" s="3"/>
      <c r="OVY93" s="3"/>
      <c r="OVZ93" s="3"/>
      <c r="OWA93" s="3"/>
      <c r="OWB93" s="3"/>
      <c r="OWC93" s="3"/>
      <c r="OWD93" s="3"/>
      <c r="OWE93" s="3"/>
      <c r="OWF93" s="3"/>
      <c r="OWG93" s="3"/>
      <c r="OWH93" s="3"/>
      <c r="OWI93" s="3"/>
      <c r="OWJ93" s="3"/>
      <c r="OWK93" s="3"/>
      <c r="OWL93" s="3"/>
      <c r="OWM93" s="3"/>
      <c r="OWN93" s="3"/>
      <c r="OWO93" s="3"/>
      <c r="OWP93" s="3"/>
      <c r="OWQ93" s="3"/>
      <c r="OWR93" s="3"/>
      <c r="OWS93" s="3"/>
      <c r="OWT93" s="3"/>
      <c r="OWU93" s="3"/>
      <c r="OWV93" s="3"/>
      <c r="OWW93" s="3"/>
      <c r="OWX93" s="3"/>
      <c r="OWY93" s="3"/>
      <c r="OWZ93" s="3"/>
      <c r="OXA93" s="3"/>
      <c r="OXB93" s="3"/>
      <c r="OXC93" s="3"/>
      <c r="OXD93" s="3"/>
      <c r="OXE93" s="3"/>
      <c r="OXF93" s="3"/>
      <c r="OXG93" s="3"/>
      <c r="OXH93" s="3"/>
      <c r="OXI93" s="3"/>
      <c r="OXJ93" s="3"/>
      <c r="OXK93" s="3"/>
      <c r="OXL93" s="3"/>
      <c r="OXM93" s="3"/>
      <c r="OXN93" s="3"/>
      <c r="OXO93" s="3"/>
      <c r="OXP93" s="3"/>
      <c r="OXQ93" s="3"/>
      <c r="OXR93" s="3"/>
      <c r="OXS93" s="3"/>
      <c r="OXT93" s="3"/>
      <c r="OXU93" s="3"/>
      <c r="OXV93" s="3"/>
      <c r="OXW93" s="3"/>
      <c r="OXX93" s="3"/>
      <c r="OXY93" s="3"/>
      <c r="OXZ93" s="3"/>
      <c r="OYA93" s="3"/>
      <c r="OYB93" s="3"/>
      <c r="OYC93" s="3"/>
      <c r="OYD93" s="3"/>
      <c r="OYE93" s="3"/>
      <c r="OYF93" s="3"/>
      <c r="OYG93" s="3"/>
      <c r="OYH93" s="3"/>
      <c r="OYI93" s="3"/>
      <c r="OYJ93" s="3"/>
      <c r="OYK93" s="3"/>
      <c r="OYL93" s="3"/>
      <c r="OYM93" s="3"/>
      <c r="OYN93" s="3"/>
      <c r="OYO93" s="3"/>
      <c r="OYP93" s="3"/>
      <c r="OYQ93" s="3"/>
      <c r="OYR93" s="3"/>
      <c r="OYS93" s="3"/>
      <c r="OYT93" s="3"/>
      <c r="OYU93" s="3"/>
      <c r="OYV93" s="3"/>
      <c r="OYW93" s="3"/>
      <c r="OYX93" s="3"/>
      <c r="OYY93" s="3"/>
      <c r="OYZ93" s="3"/>
      <c r="OZA93" s="3"/>
      <c r="OZB93" s="3"/>
      <c r="OZC93" s="3"/>
      <c r="OZD93" s="3"/>
      <c r="OZE93" s="3"/>
      <c r="OZF93" s="3"/>
      <c r="OZG93" s="3"/>
      <c r="OZH93" s="3"/>
      <c r="OZI93" s="3"/>
      <c r="OZJ93" s="3"/>
      <c r="OZK93" s="3"/>
      <c r="OZL93" s="3"/>
      <c r="OZM93" s="3"/>
      <c r="OZN93" s="3"/>
      <c r="OZO93" s="3"/>
      <c r="OZP93" s="3"/>
      <c r="OZQ93" s="3"/>
      <c r="OZR93" s="3"/>
      <c r="OZS93" s="3"/>
      <c r="OZT93" s="3"/>
      <c r="OZU93" s="3"/>
      <c r="OZV93" s="3"/>
      <c r="OZW93" s="3"/>
      <c r="OZX93" s="3"/>
      <c r="OZY93" s="3"/>
      <c r="OZZ93" s="3"/>
      <c r="PAA93" s="3"/>
      <c r="PAB93" s="3"/>
      <c r="PAC93" s="3"/>
      <c r="PAD93" s="3"/>
      <c r="PAE93" s="3"/>
      <c r="PAF93" s="3"/>
      <c r="PAG93" s="3"/>
      <c r="PAH93" s="3"/>
      <c r="PAI93" s="3"/>
      <c r="PAJ93" s="3"/>
      <c r="PAK93" s="3"/>
      <c r="PAL93" s="3"/>
      <c r="PAM93" s="3"/>
      <c r="PAN93" s="3"/>
      <c r="PAO93" s="3"/>
      <c r="PAP93" s="3"/>
      <c r="PAQ93" s="3"/>
      <c r="PAR93" s="3"/>
      <c r="PAS93" s="3"/>
      <c r="PAT93" s="3"/>
      <c r="PAU93" s="3"/>
      <c r="PAV93" s="3"/>
      <c r="PAW93" s="3"/>
      <c r="PAX93" s="3"/>
      <c r="PAY93" s="3"/>
      <c r="PAZ93" s="3"/>
      <c r="PBA93" s="3"/>
      <c r="PBB93" s="3"/>
      <c r="PBC93" s="3"/>
      <c r="PBD93" s="3"/>
      <c r="PBE93" s="3"/>
      <c r="PBF93" s="3"/>
      <c r="PBG93" s="3"/>
      <c r="PBH93" s="3"/>
      <c r="PBI93" s="3"/>
      <c r="PBJ93" s="3"/>
      <c r="PBK93" s="3"/>
      <c r="PBL93" s="3"/>
      <c r="PBM93" s="3"/>
      <c r="PBN93" s="3"/>
      <c r="PBO93" s="3"/>
      <c r="PBP93" s="3"/>
      <c r="PBQ93" s="3"/>
      <c r="PBR93" s="3"/>
      <c r="PBS93" s="3"/>
      <c r="PBT93" s="3"/>
      <c r="PBU93" s="3"/>
      <c r="PBV93" s="3"/>
      <c r="PBW93" s="3"/>
      <c r="PBX93" s="3"/>
      <c r="PBY93" s="3"/>
      <c r="PBZ93" s="3"/>
      <c r="PCA93" s="3"/>
      <c r="PCB93" s="3"/>
      <c r="PCC93" s="3"/>
      <c r="PCD93" s="3"/>
      <c r="PCE93" s="3"/>
      <c r="PCF93" s="3"/>
      <c r="PCG93" s="3"/>
      <c r="PCH93" s="3"/>
      <c r="PCI93" s="3"/>
      <c r="PCJ93" s="3"/>
      <c r="PCK93" s="3"/>
      <c r="PCL93" s="3"/>
      <c r="PCM93" s="3"/>
      <c r="PCN93" s="3"/>
      <c r="PCO93" s="3"/>
      <c r="PCP93" s="3"/>
      <c r="PCQ93" s="3"/>
      <c r="PCR93" s="3"/>
      <c r="PCS93" s="3"/>
      <c r="PCT93" s="3"/>
      <c r="PCU93" s="3"/>
      <c r="PCV93" s="3"/>
      <c r="PCW93" s="3"/>
      <c r="PCX93" s="3"/>
      <c r="PCY93" s="3"/>
      <c r="PCZ93" s="3"/>
      <c r="PDA93" s="3"/>
      <c r="PDB93" s="3"/>
      <c r="PDC93" s="3"/>
      <c r="PDD93" s="3"/>
      <c r="PDE93" s="3"/>
      <c r="PDF93" s="3"/>
      <c r="PDG93" s="3"/>
      <c r="PDH93" s="3"/>
      <c r="PDI93" s="3"/>
      <c r="PDJ93" s="3"/>
      <c r="PDK93" s="3"/>
      <c r="PDL93" s="3"/>
      <c r="PDM93" s="3"/>
      <c r="PDN93" s="3"/>
      <c r="PDO93" s="3"/>
      <c r="PDP93" s="3"/>
      <c r="PDQ93" s="3"/>
      <c r="PDR93" s="3"/>
      <c r="PDS93" s="3"/>
      <c r="PDT93" s="3"/>
      <c r="PDU93" s="3"/>
      <c r="PDV93" s="3"/>
      <c r="PDW93" s="3"/>
      <c r="PDX93" s="3"/>
      <c r="PDY93" s="3"/>
      <c r="PDZ93" s="3"/>
      <c r="PEA93" s="3"/>
      <c r="PEB93" s="3"/>
      <c r="PEC93" s="3"/>
      <c r="PED93" s="3"/>
      <c r="PEE93" s="3"/>
      <c r="PEF93" s="3"/>
      <c r="PEG93" s="3"/>
      <c r="PEH93" s="3"/>
      <c r="PEI93" s="3"/>
      <c r="PEJ93" s="3"/>
      <c r="PEK93" s="3"/>
      <c r="PEL93" s="3"/>
      <c r="PEM93" s="3"/>
      <c r="PEN93" s="3"/>
      <c r="PEO93" s="3"/>
      <c r="PEP93" s="3"/>
      <c r="PEQ93" s="3"/>
      <c r="PER93" s="3"/>
      <c r="PES93" s="3"/>
      <c r="PET93" s="3"/>
      <c r="PEU93" s="3"/>
      <c r="PEV93" s="3"/>
      <c r="PEW93" s="3"/>
      <c r="PEX93" s="3"/>
      <c r="PEY93" s="3"/>
      <c r="PEZ93" s="3"/>
      <c r="PFA93" s="3"/>
      <c r="PFB93" s="3"/>
      <c r="PFC93" s="3"/>
      <c r="PFD93" s="3"/>
      <c r="PFE93" s="3"/>
      <c r="PFF93" s="3"/>
      <c r="PFG93" s="3"/>
      <c r="PFH93" s="3"/>
      <c r="PFI93" s="3"/>
      <c r="PFJ93" s="3"/>
      <c r="PFK93" s="3"/>
      <c r="PFL93" s="3"/>
      <c r="PFM93" s="3"/>
      <c r="PFN93" s="3"/>
      <c r="PFO93" s="3"/>
      <c r="PFP93" s="3"/>
      <c r="PFQ93" s="3"/>
      <c r="PFR93" s="3"/>
      <c r="PFS93" s="3"/>
      <c r="PFT93" s="3"/>
      <c r="PFU93" s="3"/>
      <c r="PFV93" s="3"/>
      <c r="PFW93" s="3"/>
      <c r="PFX93" s="3"/>
      <c r="PFY93" s="3"/>
      <c r="PFZ93" s="3"/>
      <c r="PGA93" s="3"/>
      <c r="PGB93" s="3"/>
      <c r="PGC93" s="3"/>
      <c r="PGD93" s="3"/>
      <c r="PGE93" s="3"/>
      <c r="PGF93" s="3"/>
      <c r="PGG93" s="3"/>
      <c r="PGH93" s="3"/>
      <c r="PGI93" s="3"/>
      <c r="PGJ93" s="3"/>
      <c r="PGK93" s="3"/>
      <c r="PGL93" s="3"/>
      <c r="PGM93" s="3"/>
      <c r="PGN93" s="3"/>
      <c r="PGO93" s="3"/>
      <c r="PGP93" s="3"/>
      <c r="PGQ93" s="3"/>
      <c r="PGR93" s="3"/>
      <c r="PGS93" s="3"/>
      <c r="PGT93" s="3"/>
      <c r="PGU93" s="3"/>
      <c r="PGV93" s="3"/>
      <c r="PGW93" s="3"/>
      <c r="PGX93" s="3"/>
      <c r="PGY93" s="3"/>
      <c r="PGZ93" s="3"/>
      <c r="PHA93" s="3"/>
      <c r="PHB93" s="3"/>
      <c r="PHC93" s="3"/>
      <c r="PHD93" s="3"/>
      <c r="PHE93" s="3"/>
      <c r="PHF93" s="3"/>
      <c r="PHG93" s="3"/>
      <c r="PHH93" s="3"/>
      <c r="PHI93" s="3"/>
      <c r="PHJ93" s="3"/>
      <c r="PHK93" s="3"/>
      <c r="PHL93" s="3"/>
      <c r="PHM93" s="3"/>
      <c r="PHN93" s="3"/>
      <c r="PHO93" s="3"/>
      <c r="PHP93" s="3"/>
      <c r="PHQ93" s="3"/>
      <c r="PHR93" s="3"/>
      <c r="PHS93" s="3"/>
      <c r="PHT93" s="3"/>
      <c r="PHU93" s="3"/>
      <c r="PHV93" s="3"/>
      <c r="PHW93" s="3"/>
      <c r="PHX93" s="3"/>
      <c r="PHY93" s="3"/>
      <c r="PHZ93" s="3"/>
      <c r="PIA93" s="3"/>
      <c r="PIB93" s="3"/>
      <c r="PIC93" s="3"/>
      <c r="PID93" s="3"/>
      <c r="PIE93" s="3"/>
      <c r="PIF93" s="3"/>
      <c r="PIG93" s="3"/>
      <c r="PIH93" s="3"/>
      <c r="PII93" s="3"/>
      <c r="PIJ93" s="3"/>
      <c r="PIK93" s="3"/>
      <c r="PIL93" s="3"/>
      <c r="PIM93" s="3"/>
      <c r="PIN93" s="3"/>
      <c r="PIO93" s="3"/>
      <c r="PIP93" s="3"/>
      <c r="PIQ93" s="3"/>
      <c r="PIR93" s="3"/>
      <c r="PIS93" s="3"/>
      <c r="PIT93" s="3"/>
      <c r="PIU93" s="3"/>
      <c r="PIV93" s="3"/>
      <c r="PIW93" s="3"/>
      <c r="PIX93" s="3"/>
      <c r="PIY93" s="3"/>
      <c r="PIZ93" s="3"/>
      <c r="PJA93" s="3"/>
      <c r="PJB93" s="3"/>
      <c r="PJC93" s="3"/>
      <c r="PJD93" s="3"/>
      <c r="PJE93" s="3"/>
      <c r="PJF93" s="3"/>
      <c r="PJG93" s="3"/>
      <c r="PJH93" s="3"/>
      <c r="PJI93" s="3"/>
      <c r="PJJ93" s="3"/>
      <c r="PJK93" s="3"/>
      <c r="PJL93" s="3"/>
      <c r="PJM93" s="3"/>
      <c r="PJN93" s="3"/>
      <c r="PJO93" s="3"/>
      <c r="PJP93" s="3"/>
      <c r="PJQ93" s="3"/>
      <c r="PJR93" s="3"/>
      <c r="PJS93" s="3"/>
      <c r="PJT93" s="3"/>
      <c r="PJU93" s="3"/>
      <c r="PJV93" s="3"/>
      <c r="PJW93" s="3"/>
      <c r="PJX93" s="3"/>
      <c r="PJY93" s="3"/>
      <c r="PJZ93" s="3"/>
      <c r="PKA93" s="3"/>
      <c r="PKB93" s="3"/>
      <c r="PKC93" s="3"/>
      <c r="PKD93" s="3"/>
      <c r="PKE93" s="3"/>
      <c r="PKF93" s="3"/>
      <c r="PKG93" s="3"/>
      <c r="PKH93" s="3"/>
      <c r="PKI93" s="3"/>
      <c r="PKJ93" s="3"/>
      <c r="PKK93" s="3"/>
      <c r="PKL93" s="3"/>
      <c r="PKM93" s="3"/>
      <c r="PKN93" s="3"/>
      <c r="PKO93" s="3"/>
      <c r="PKP93" s="3"/>
      <c r="PKQ93" s="3"/>
      <c r="PKR93" s="3"/>
      <c r="PKS93" s="3"/>
      <c r="PKT93" s="3"/>
      <c r="PKU93" s="3"/>
      <c r="PKV93" s="3"/>
      <c r="PKW93" s="3"/>
      <c r="PKX93" s="3"/>
      <c r="PKY93" s="3"/>
      <c r="PKZ93" s="3"/>
      <c r="PLA93" s="3"/>
      <c r="PLB93" s="3"/>
      <c r="PLC93" s="3"/>
      <c r="PLD93" s="3"/>
      <c r="PLE93" s="3"/>
      <c r="PLF93" s="3"/>
      <c r="PLG93" s="3"/>
      <c r="PLH93" s="3"/>
      <c r="PLI93" s="3"/>
      <c r="PLJ93" s="3"/>
      <c r="PLK93" s="3"/>
      <c r="PLL93" s="3"/>
      <c r="PLM93" s="3"/>
      <c r="PLN93" s="3"/>
      <c r="PLO93" s="3"/>
      <c r="PLP93" s="3"/>
      <c r="PLQ93" s="3"/>
      <c r="PLR93" s="3"/>
      <c r="PLS93" s="3"/>
      <c r="PLT93" s="3"/>
      <c r="PLU93" s="3"/>
      <c r="PLV93" s="3"/>
      <c r="PLW93" s="3"/>
      <c r="PLX93" s="3"/>
      <c r="PLY93" s="3"/>
      <c r="PLZ93" s="3"/>
      <c r="PMA93" s="3"/>
      <c r="PMB93" s="3"/>
      <c r="PMC93" s="3"/>
      <c r="PMD93" s="3"/>
      <c r="PME93" s="3"/>
      <c r="PMF93" s="3"/>
      <c r="PMG93" s="3"/>
      <c r="PMH93" s="3"/>
      <c r="PMI93" s="3"/>
      <c r="PMJ93" s="3"/>
      <c r="PMK93" s="3"/>
      <c r="PML93" s="3"/>
      <c r="PMM93" s="3"/>
      <c r="PMN93" s="3"/>
      <c r="PMO93" s="3"/>
      <c r="PMP93" s="3"/>
      <c r="PMQ93" s="3"/>
      <c r="PMR93" s="3"/>
      <c r="PMS93" s="3"/>
      <c r="PMT93" s="3"/>
      <c r="PMU93" s="3"/>
      <c r="PMV93" s="3"/>
      <c r="PMW93" s="3"/>
      <c r="PMX93" s="3"/>
      <c r="PMY93" s="3"/>
      <c r="PMZ93" s="3"/>
      <c r="PNA93" s="3"/>
      <c r="PNB93" s="3"/>
      <c r="PNC93" s="3"/>
      <c r="PND93" s="3"/>
      <c r="PNE93" s="3"/>
      <c r="PNF93" s="3"/>
      <c r="PNG93" s="3"/>
      <c r="PNH93" s="3"/>
      <c r="PNI93" s="3"/>
      <c r="PNJ93" s="3"/>
      <c r="PNK93" s="3"/>
      <c r="PNL93" s="3"/>
      <c r="PNM93" s="3"/>
      <c r="PNN93" s="3"/>
      <c r="PNO93" s="3"/>
      <c r="PNP93" s="3"/>
      <c r="PNQ93" s="3"/>
      <c r="PNR93" s="3"/>
      <c r="PNS93" s="3"/>
      <c r="PNT93" s="3"/>
      <c r="PNU93" s="3"/>
      <c r="PNV93" s="3"/>
      <c r="PNW93" s="3"/>
      <c r="PNX93" s="3"/>
      <c r="PNY93" s="3"/>
      <c r="PNZ93" s="3"/>
      <c r="POA93" s="3"/>
      <c r="POB93" s="3"/>
      <c r="POC93" s="3"/>
      <c r="POD93" s="3"/>
      <c r="POE93" s="3"/>
      <c r="POF93" s="3"/>
      <c r="POG93" s="3"/>
      <c r="POH93" s="3"/>
      <c r="POI93" s="3"/>
      <c r="POJ93" s="3"/>
      <c r="POK93" s="3"/>
      <c r="POL93" s="3"/>
      <c r="POM93" s="3"/>
      <c r="PON93" s="3"/>
      <c r="POO93" s="3"/>
      <c r="POP93" s="3"/>
      <c r="POQ93" s="3"/>
      <c r="POR93" s="3"/>
      <c r="POS93" s="3"/>
      <c r="POT93" s="3"/>
      <c r="POU93" s="3"/>
      <c r="POV93" s="3"/>
      <c r="POW93" s="3"/>
      <c r="POX93" s="3"/>
      <c r="POY93" s="3"/>
      <c r="POZ93" s="3"/>
      <c r="PPA93" s="3"/>
      <c r="PPB93" s="3"/>
      <c r="PPC93" s="3"/>
      <c r="PPD93" s="3"/>
      <c r="PPE93" s="3"/>
      <c r="PPF93" s="3"/>
      <c r="PPG93" s="3"/>
      <c r="PPH93" s="3"/>
      <c r="PPI93" s="3"/>
      <c r="PPJ93" s="3"/>
      <c r="PPK93" s="3"/>
      <c r="PPL93" s="3"/>
      <c r="PPM93" s="3"/>
      <c r="PPN93" s="3"/>
      <c r="PPO93" s="3"/>
      <c r="PPP93" s="3"/>
      <c r="PPQ93" s="3"/>
      <c r="PPR93" s="3"/>
      <c r="PPS93" s="3"/>
      <c r="PPT93" s="3"/>
      <c r="PPU93" s="3"/>
      <c r="PPV93" s="3"/>
      <c r="PPW93" s="3"/>
      <c r="PPX93" s="3"/>
      <c r="PPY93" s="3"/>
      <c r="PPZ93" s="3"/>
      <c r="PQA93" s="3"/>
      <c r="PQB93" s="3"/>
      <c r="PQC93" s="3"/>
      <c r="PQD93" s="3"/>
      <c r="PQE93" s="3"/>
      <c r="PQF93" s="3"/>
      <c r="PQG93" s="3"/>
      <c r="PQH93" s="3"/>
      <c r="PQI93" s="3"/>
      <c r="PQJ93" s="3"/>
      <c r="PQK93" s="3"/>
      <c r="PQL93" s="3"/>
      <c r="PQM93" s="3"/>
      <c r="PQN93" s="3"/>
      <c r="PQO93" s="3"/>
      <c r="PQP93" s="3"/>
      <c r="PQQ93" s="3"/>
      <c r="PQR93" s="3"/>
      <c r="PQS93" s="3"/>
      <c r="PQT93" s="3"/>
      <c r="PQU93" s="3"/>
      <c r="PQV93" s="3"/>
      <c r="PQW93" s="3"/>
      <c r="PQX93" s="3"/>
      <c r="PQY93" s="3"/>
      <c r="PQZ93" s="3"/>
      <c r="PRA93" s="3"/>
      <c r="PRB93" s="3"/>
      <c r="PRC93" s="3"/>
      <c r="PRD93" s="3"/>
      <c r="PRE93" s="3"/>
      <c r="PRF93" s="3"/>
      <c r="PRG93" s="3"/>
      <c r="PRH93" s="3"/>
      <c r="PRI93" s="3"/>
      <c r="PRJ93" s="3"/>
      <c r="PRK93" s="3"/>
      <c r="PRL93" s="3"/>
      <c r="PRM93" s="3"/>
      <c r="PRN93" s="3"/>
      <c r="PRO93" s="3"/>
      <c r="PRP93" s="3"/>
      <c r="PRQ93" s="3"/>
      <c r="PRR93" s="3"/>
      <c r="PRS93" s="3"/>
      <c r="PRT93" s="3"/>
      <c r="PRU93" s="3"/>
      <c r="PRV93" s="3"/>
      <c r="PRW93" s="3"/>
      <c r="PRX93" s="3"/>
      <c r="PRY93" s="3"/>
      <c r="PRZ93" s="3"/>
      <c r="PSA93" s="3"/>
      <c r="PSB93" s="3"/>
      <c r="PSC93" s="3"/>
      <c r="PSD93" s="3"/>
      <c r="PSE93" s="3"/>
      <c r="PSF93" s="3"/>
      <c r="PSG93" s="3"/>
      <c r="PSH93" s="3"/>
      <c r="PSI93" s="3"/>
      <c r="PSJ93" s="3"/>
      <c r="PSK93" s="3"/>
      <c r="PSL93" s="3"/>
      <c r="PSM93" s="3"/>
      <c r="PSN93" s="3"/>
      <c r="PSO93" s="3"/>
      <c r="PSP93" s="3"/>
      <c r="PSQ93" s="3"/>
      <c r="PSR93" s="3"/>
      <c r="PSS93" s="3"/>
      <c r="PST93" s="3"/>
      <c r="PSU93" s="3"/>
      <c r="PSV93" s="3"/>
      <c r="PSW93" s="3"/>
      <c r="PSX93" s="3"/>
      <c r="PSY93" s="3"/>
      <c r="PSZ93" s="3"/>
      <c r="PTA93" s="3"/>
      <c r="PTB93" s="3"/>
      <c r="PTC93" s="3"/>
      <c r="PTD93" s="3"/>
      <c r="PTE93" s="3"/>
      <c r="PTF93" s="3"/>
      <c r="PTG93" s="3"/>
      <c r="PTH93" s="3"/>
      <c r="PTI93" s="3"/>
      <c r="PTJ93" s="3"/>
      <c r="PTK93" s="3"/>
      <c r="PTL93" s="3"/>
      <c r="PTM93" s="3"/>
      <c r="PTN93" s="3"/>
      <c r="PTO93" s="3"/>
      <c r="PTP93" s="3"/>
      <c r="PTQ93" s="3"/>
      <c r="PTR93" s="3"/>
      <c r="PTS93" s="3"/>
      <c r="PTT93" s="3"/>
      <c r="PTU93" s="3"/>
      <c r="PTV93" s="3"/>
      <c r="PTW93" s="3"/>
      <c r="PTX93" s="3"/>
      <c r="PTY93" s="3"/>
      <c r="PTZ93" s="3"/>
      <c r="PUA93" s="3"/>
      <c r="PUB93" s="3"/>
      <c r="PUC93" s="3"/>
      <c r="PUD93" s="3"/>
      <c r="PUE93" s="3"/>
      <c r="PUF93" s="3"/>
      <c r="PUG93" s="3"/>
      <c r="PUH93" s="3"/>
      <c r="PUI93" s="3"/>
      <c r="PUJ93" s="3"/>
      <c r="PUK93" s="3"/>
      <c r="PUL93" s="3"/>
      <c r="PUM93" s="3"/>
      <c r="PUN93" s="3"/>
      <c r="PUO93" s="3"/>
      <c r="PUP93" s="3"/>
      <c r="PUQ93" s="3"/>
      <c r="PUR93" s="3"/>
      <c r="PUS93" s="3"/>
      <c r="PUT93" s="3"/>
      <c r="PUU93" s="3"/>
      <c r="PUV93" s="3"/>
      <c r="PUW93" s="3"/>
      <c r="PUX93" s="3"/>
      <c r="PUY93" s="3"/>
      <c r="PUZ93" s="3"/>
      <c r="PVA93" s="3"/>
      <c r="PVB93" s="3"/>
      <c r="PVC93" s="3"/>
      <c r="PVD93" s="3"/>
      <c r="PVE93" s="3"/>
      <c r="PVF93" s="3"/>
      <c r="PVG93" s="3"/>
      <c r="PVH93" s="3"/>
      <c r="PVI93" s="3"/>
      <c r="PVJ93" s="3"/>
      <c r="PVK93" s="3"/>
      <c r="PVL93" s="3"/>
      <c r="PVM93" s="3"/>
      <c r="PVN93" s="3"/>
      <c r="PVO93" s="3"/>
      <c r="PVP93" s="3"/>
      <c r="PVQ93" s="3"/>
      <c r="PVR93" s="3"/>
      <c r="PVS93" s="3"/>
      <c r="PVT93" s="3"/>
      <c r="PVU93" s="3"/>
      <c r="PVV93" s="3"/>
      <c r="PVW93" s="3"/>
      <c r="PVX93" s="3"/>
      <c r="PVY93" s="3"/>
      <c r="PVZ93" s="3"/>
      <c r="PWA93" s="3"/>
      <c r="PWB93" s="3"/>
      <c r="PWC93" s="3"/>
      <c r="PWD93" s="3"/>
      <c r="PWE93" s="3"/>
      <c r="PWF93" s="3"/>
      <c r="PWG93" s="3"/>
      <c r="PWH93" s="3"/>
      <c r="PWI93" s="3"/>
      <c r="PWJ93" s="3"/>
      <c r="PWK93" s="3"/>
      <c r="PWL93" s="3"/>
      <c r="PWM93" s="3"/>
      <c r="PWN93" s="3"/>
      <c r="PWO93" s="3"/>
      <c r="PWP93" s="3"/>
      <c r="PWQ93" s="3"/>
      <c r="PWR93" s="3"/>
      <c r="PWS93" s="3"/>
      <c r="PWT93" s="3"/>
      <c r="PWU93" s="3"/>
      <c r="PWV93" s="3"/>
      <c r="PWW93" s="3"/>
      <c r="PWX93" s="3"/>
      <c r="PWY93" s="3"/>
      <c r="PWZ93" s="3"/>
      <c r="PXA93" s="3"/>
      <c r="PXB93" s="3"/>
      <c r="PXC93" s="3"/>
      <c r="PXD93" s="3"/>
      <c r="PXE93" s="3"/>
      <c r="PXF93" s="3"/>
      <c r="PXG93" s="3"/>
      <c r="PXH93" s="3"/>
      <c r="PXI93" s="3"/>
      <c r="PXJ93" s="3"/>
      <c r="PXK93" s="3"/>
      <c r="PXL93" s="3"/>
      <c r="PXM93" s="3"/>
      <c r="PXN93" s="3"/>
      <c r="PXO93" s="3"/>
      <c r="PXP93" s="3"/>
      <c r="PXQ93" s="3"/>
      <c r="PXR93" s="3"/>
      <c r="PXS93" s="3"/>
      <c r="PXT93" s="3"/>
      <c r="PXU93" s="3"/>
      <c r="PXV93" s="3"/>
      <c r="PXW93" s="3"/>
      <c r="PXX93" s="3"/>
      <c r="PXY93" s="3"/>
      <c r="PXZ93" s="3"/>
      <c r="PYA93" s="3"/>
      <c r="PYB93" s="3"/>
      <c r="PYC93" s="3"/>
      <c r="PYD93" s="3"/>
      <c r="PYE93" s="3"/>
      <c r="PYF93" s="3"/>
      <c r="PYG93" s="3"/>
      <c r="PYH93" s="3"/>
      <c r="PYI93" s="3"/>
      <c r="PYJ93" s="3"/>
      <c r="PYK93" s="3"/>
      <c r="PYL93" s="3"/>
      <c r="PYM93" s="3"/>
      <c r="PYN93" s="3"/>
      <c r="PYO93" s="3"/>
      <c r="PYP93" s="3"/>
      <c r="PYQ93" s="3"/>
      <c r="PYR93" s="3"/>
      <c r="PYS93" s="3"/>
      <c r="PYT93" s="3"/>
      <c r="PYU93" s="3"/>
      <c r="PYV93" s="3"/>
      <c r="PYW93" s="3"/>
      <c r="PYX93" s="3"/>
      <c r="PYY93" s="3"/>
      <c r="PYZ93" s="3"/>
      <c r="PZA93" s="3"/>
      <c r="PZB93" s="3"/>
      <c r="PZC93" s="3"/>
      <c r="PZD93" s="3"/>
      <c r="PZE93" s="3"/>
      <c r="PZF93" s="3"/>
      <c r="PZG93" s="3"/>
      <c r="PZH93" s="3"/>
      <c r="PZI93" s="3"/>
      <c r="PZJ93" s="3"/>
      <c r="PZK93" s="3"/>
      <c r="PZL93" s="3"/>
      <c r="PZM93" s="3"/>
      <c r="PZN93" s="3"/>
      <c r="PZO93" s="3"/>
      <c r="PZP93" s="3"/>
      <c r="PZQ93" s="3"/>
      <c r="PZR93" s="3"/>
      <c r="PZS93" s="3"/>
      <c r="PZT93" s="3"/>
      <c r="PZU93" s="3"/>
      <c r="PZV93" s="3"/>
      <c r="PZW93" s="3"/>
      <c r="PZX93" s="3"/>
      <c r="PZY93" s="3"/>
      <c r="PZZ93" s="3"/>
      <c r="QAA93" s="3"/>
      <c r="QAB93" s="3"/>
      <c r="QAC93" s="3"/>
      <c r="QAD93" s="3"/>
      <c r="QAE93" s="3"/>
      <c r="QAF93" s="3"/>
      <c r="QAG93" s="3"/>
      <c r="QAH93" s="3"/>
      <c r="QAI93" s="3"/>
      <c r="QAJ93" s="3"/>
      <c r="QAK93" s="3"/>
      <c r="QAL93" s="3"/>
      <c r="QAM93" s="3"/>
      <c r="QAN93" s="3"/>
      <c r="QAO93" s="3"/>
      <c r="QAP93" s="3"/>
      <c r="QAQ93" s="3"/>
      <c r="QAR93" s="3"/>
      <c r="QAS93" s="3"/>
      <c r="QAT93" s="3"/>
      <c r="QAU93" s="3"/>
      <c r="QAV93" s="3"/>
      <c r="QAW93" s="3"/>
      <c r="QAX93" s="3"/>
      <c r="QAY93" s="3"/>
      <c r="QAZ93" s="3"/>
      <c r="QBA93" s="3"/>
      <c r="QBB93" s="3"/>
      <c r="QBC93" s="3"/>
      <c r="QBD93" s="3"/>
      <c r="QBE93" s="3"/>
      <c r="QBF93" s="3"/>
      <c r="QBG93" s="3"/>
      <c r="QBH93" s="3"/>
      <c r="QBI93" s="3"/>
      <c r="QBJ93" s="3"/>
      <c r="QBK93" s="3"/>
      <c r="QBL93" s="3"/>
      <c r="QBM93" s="3"/>
      <c r="QBN93" s="3"/>
      <c r="QBO93" s="3"/>
      <c r="QBP93" s="3"/>
      <c r="QBQ93" s="3"/>
      <c r="QBR93" s="3"/>
      <c r="QBS93" s="3"/>
      <c r="QBT93" s="3"/>
      <c r="QBU93" s="3"/>
      <c r="QBV93" s="3"/>
      <c r="QBW93" s="3"/>
      <c r="QBX93" s="3"/>
      <c r="QBY93" s="3"/>
      <c r="QBZ93" s="3"/>
      <c r="QCA93" s="3"/>
      <c r="QCB93" s="3"/>
      <c r="QCC93" s="3"/>
      <c r="QCD93" s="3"/>
      <c r="QCE93" s="3"/>
      <c r="QCF93" s="3"/>
      <c r="QCG93" s="3"/>
      <c r="QCH93" s="3"/>
      <c r="QCI93" s="3"/>
      <c r="QCJ93" s="3"/>
      <c r="QCK93" s="3"/>
      <c r="QCL93" s="3"/>
      <c r="QCM93" s="3"/>
      <c r="QCN93" s="3"/>
      <c r="QCO93" s="3"/>
      <c r="QCP93" s="3"/>
      <c r="QCQ93" s="3"/>
      <c r="QCR93" s="3"/>
      <c r="QCS93" s="3"/>
      <c r="QCT93" s="3"/>
      <c r="QCU93" s="3"/>
      <c r="QCV93" s="3"/>
      <c r="QCW93" s="3"/>
      <c r="QCX93" s="3"/>
      <c r="QCY93" s="3"/>
      <c r="QCZ93" s="3"/>
      <c r="QDA93" s="3"/>
      <c r="QDB93" s="3"/>
      <c r="QDC93" s="3"/>
      <c r="QDD93" s="3"/>
      <c r="QDE93" s="3"/>
      <c r="QDF93" s="3"/>
      <c r="QDG93" s="3"/>
      <c r="QDH93" s="3"/>
      <c r="QDI93" s="3"/>
      <c r="QDJ93" s="3"/>
      <c r="QDK93" s="3"/>
      <c r="QDL93" s="3"/>
      <c r="QDM93" s="3"/>
      <c r="QDN93" s="3"/>
      <c r="QDO93" s="3"/>
      <c r="QDP93" s="3"/>
      <c r="QDQ93" s="3"/>
      <c r="QDR93" s="3"/>
      <c r="QDS93" s="3"/>
      <c r="QDT93" s="3"/>
      <c r="QDU93" s="3"/>
      <c r="QDV93" s="3"/>
      <c r="QDW93" s="3"/>
      <c r="QDX93" s="3"/>
      <c r="QDY93" s="3"/>
      <c r="QDZ93" s="3"/>
      <c r="QEA93" s="3"/>
      <c r="QEB93" s="3"/>
      <c r="QEC93" s="3"/>
      <c r="QED93" s="3"/>
      <c r="QEE93" s="3"/>
      <c r="QEF93" s="3"/>
      <c r="QEG93" s="3"/>
      <c r="QEH93" s="3"/>
      <c r="QEI93" s="3"/>
      <c r="QEJ93" s="3"/>
      <c r="QEK93" s="3"/>
      <c r="QEL93" s="3"/>
      <c r="QEM93" s="3"/>
      <c r="QEN93" s="3"/>
      <c r="QEO93" s="3"/>
      <c r="QEP93" s="3"/>
      <c r="QEQ93" s="3"/>
      <c r="QER93" s="3"/>
      <c r="QES93" s="3"/>
      <c r="QET93" s="3"/>
      <c r="QEU93" s="3"/>
      <c r="QEV93" s="3"/>
      <c r="QEW93" s="3"/>
      <c r="QEX93" s="3"/>
      <c r="QEY93" s="3"/>
      <c r="QEZ93" s="3"/>
      <c r="QFA93" s="3"/>
      <c r="QFB93" s="3"/>
      <c r="QFC93" s="3"/>
      <c r="QFD93" s="3"/>
      <c r="QFE93" s="3"/>
      <c r="QFF93" s="3"/>
      <c r="QFG93" s="3"/>
      <c r="QFH93" s="3"/>
      <c r="QFI93" s="3"/>
      <c r="QFJ93" s="3"/>
      <c r="QFK93" s="3"/>
      <c r="QFL93" s="3"/>
      <c r="QFM93" s="3"/>
      <c r="QFN93" s="3"/>
      <c r="QFO93" s="3"/>
      <c r="QFP93" s="3"/>
      <c r="QFQ93" s="3"/>
      <c r="QFR93" s="3"/>
      <c r="QFS93" s="3"/>
      <c r="QFT93" s="3"/>
      <c r="QFU93" s="3"/>
      <c r="QFV93" s="3"/>
      <c r="QFW93" s="3"/>
      <c r="QFX93" s="3"/>
      <c r="QFY93" s="3"/>
      <c r="QFZ93" s="3"/>
      <c r="QGA93" s="3"/>
      <c r="QGB93" s="3"/>
      <c r="QGC93" s="3"/>
      <c r="QGD93" s="3"/>
      <c r="QGE93" s="3"/>
      <c r="QGF93" s="3"/>
      <c r="QGG93" s="3"/>
      <c r="QGH93" s="3"/>
      <c r="QGI93" s="3"/>
      <c r="QGJ93" s="3"/>
      <c r="QGK93" s="3"/>
      <c r="QGL93" s="3"/>
      <c r="QGM93" s="3"/>
      <c r="QGN93" s="3"/>
      <c r="QGO93" s="3"/>
      <c r="QGP93" s="3"/>
      <c r="QGQ93" s="3"/>
      <c r="QGR93" s="3"/>
      <c r="QGS93" s="3"/>
      <c r="QGT93" s="3"/>
      <c r="QGU93" s="3"/>
      <c r="QGV93" s="3"/>
      <c r="QGW93" s="3"/>
      <c r="QGX93" s="3"/>
      <c r="QGY93" s="3"/>
      <c r="QGZ93" s="3"/>
      <c r="QHA93" s="3"/>
      <c r="QHB93" s="3"/>
      <c r="QHC93" s="3"/>
      <c r="QHD93" s="3"/>
      <c r="QHE93" s="3"/>
      <c r="QHF93" s="3"/>
      <c r="QHG93" s="3"/>
      <c r="QHH93" s="3"/>
      <c r="QHI93" s="3"/>
      <c r="QHJ93" s="3"/>
      <c r="QHK93" s="3"/>
      <c r="QHL93" s="3"/>
      <c r="QHM93" s="3"/>
      <c r="QHN93" s="3"/>
      <c r="QHO93" s="3"/>
      <c r="QHP93" s="3"/>
      <c r="QHQ93" s="3"/>
      <c r="QHR93" s="3"/>
      <c r="QHS93" s="3"/>
      <c r="QHT93" s="3"/>
      <c r="QHU93" s="3"/>
      <c r="QHV93" s="3"/>
      <c r="QHW93" s="3"/>
      <c r="QHX93" s="3"/>
      <c r="QHY93" s="3"/>
      <c r="QHZ93" s="3"/>
      <c r="QIA93" s="3"/>
      <c r="QIB93" s="3"/>
      <c r="QIC93" s="3"/>
      <c r="QID93" s="3"/>
      <c r="QIE93" s="3"/>
      <c r="QIF93" s="3"/>
      <c r="QIG93" s="3"/>
      <c r="QIH93" s="3"/>
      <c r="QII93" s="3"/>
      <c r="QIJ93" s="3"/>
      <c r="QIK93" s="3"/>
      <c r="QIL93" s="3"/>
      <c r="QIM93" s="3"/>
      <c r="QIN93" s="3"/>
      <c r="QIO93" s="3"/>
      <c r="QIP93" s="3"/>
      <c r="QIQ93" s="3"/>
      <c r="QIR93" s="3"/>
      <c r="QIS93" s="3"/>
      <c r="QIT93" s="3"/>
      <c r="QIU93" s="3"/>
      <c r="QIV93" s="3"/>
      <c r="QIW93" s="3"/>
      <c r="QIX93" s="3"/>
      <c r="QIY93" s="3"/>
      <c r="QIZ93" s="3"/>
      <c r="QJA93" s="3"/>
      <c r="QJB93" s="3"/>
      <c r="QJC93" s="3"/>
      <c r="QJD93" s="3"/>
      <c r="QJE93" s="3"/>
      <c r="QJF93" s="3"/>
      <c r="QJG93" s="3"/>
      <c r="QJH93" s="3"/>
      <c r="QJI93" s="3"/>
      <c r="QJJ93" s="3"/>
      <c r="QJK93" s="3"/>
      <c r="QJL93" s="3"/>
      <c r="QJM93" s="3"/>
      <c r="QJN93" s="3"/>
      <c r="QJO93" s="3"/>
      <c r="QJP93" s="3"/>
      <c r="QJQ93" s="3"/>
      <c r="QJR93" s="3"/>
      <c r="QJS93" s="3"/>
      <c r="QJT93" s="3"/>
      <c r="QJU93" s="3"/>
      <c r="QJV93" s="3"/>
      <c r="QJW93" s="3"/>
      <c r="QJX93" s="3"/>
      <c r="QJY93" s="3"/>
      <c r="QJZ93" s="3"/>
      <c r="QKA93" s="3"/>
      <c r="QKB93" s="3"/>
      <c r="QKC93" s="3"/>
      <c r="QKD93" s="3"/>
      <c r="QKE93" s="3"/>
      <c r="QKF93" s="3"/>
      <c r="QKG93" s="3"/>
      <c r="QKH93" s="3"/>
      <c r="QKI93" s="3"/>
      <c r="QKJ93" s="3"/>
      <c r="QKK93" s="3"/>
      <c r="QKL93" s="3"/>
      <c r="QKM93" s="3"/>
      <c r="QKN93" s="3"/>
      <c r="QKO93" s="3"/>
      <c r="QKP93" s="3"/>
      <c r="QKQ93" s="3"/>
      <c r="QKR93" s="3"/>
      <c r="QKS93" s="3"/>
      <c r="QKT93" s="3"/>
      <c r="QKU93" s="3"/>
      <c r="QKV93" s="3"/>
      <c r="QKW93" s="3"/>
      <c r="QKX93" s="3"/>
      <c r="QKY93" s="3"/>
      <c r="QKZ93" s="3"/>
      <c r="QLA93" s="3"/>
      <c r="QLB93" s="3"/>
      <c r="QLC93" s="3"/>
      <c r="QLD93" s="3"/>
      <c r="QLE93" s="3"/>
      <c r="QLF93" s="3"/>
      <c r="QLG93" s="3"/>
      <c r="QLH93" s="3"/>
      <c r="QLI93" s="3"/>
      <c r="QLJ93" s="3"/>
      <c r="QLK93" s="3"/>
      <c r="QLL93" s="3"/>
      <c r="QLM93" s="3"/>
      <c r="QLN93" s="3"/>
      <c r="QLO93" s="3"/>
      <c r="QLP93" s="3"/>
      <c r="QLQ93" s="3"/>
      <c r="QLR93" s="3"/>
      <c r="QLS93" s="3"/>
      <c r="QLT93" s="3"/>
      <c r="QLU93" s="3"/>
      <c r="QLV93" s="3"/>
      <c r="QLW93" s="3"/>
      <c r="QLX93" s="3"/>
      <c r="QLY93" s="3"/>
      <c r="QLZ93" s="3"/>
      <c r="QMA93" s="3"/>
      <c r="QMB93" s="3"/>
      <c r="QMC93" s="3"/>
      <c r="QMD93" s="3"/>
      <c r="QME93" s="3"/>
      <c r="QMF93" s="3"/>
      <c r="QMG93" s="3"/>
      <c r="QMH93" s="3"/>
      <c r="QMI93" s="3"/>
      <c r="QMJ93" s="3"/>
      <c r="QMK93" s="3"/>
      <c r="QML93" s="3"/>
      <c r="QMM93" s="3"/>
      <c r="QMN93" s="3"/>
      <c r="QMO93" s="3"/>
      <c r="QMP93" s="3"/>
      <c r="QMQ93" s="3"/>
      <c r="QMR93" s="3"/>
      <c r="QMS93" s="3"/>
      <c r="QMT93" s="3"/>
      <c r="QMU93" s="3"/>
      <c r="QMV93" s="3"/>
      <c r="QMW93" s="3"/>
      <c r="QMX93" s="3"/>
      <c r="QMY93" s="3"/>
      <c r="QMZ93" s="3"/>
      <c r="QNA93" s="3"/>
      <c r="QNB93" s="3"/>
      <c r="QNC93" s="3"/>
      <c r="QND93" s="3"/>
      <c r="QNE93" s="3"/>
      <c r="QNF93" s="3"/>
      <c r="QNG93" s="3"/>
      <c r="QNH93" s="3"/>
      <c r="QNI93" s="3"/>
      <c r="QNJ93" s="3"/>
      <c r="QNK93" s="3"/>
      <c r="QNL93" s="3"/>
      <c r="QNM93" s="3"/>
      <c r="QNN93" s="3"/>
      <c r="QNO93" s="3"/>
      <c r="QNP93" s="3"/>
      <c r="QNQ93" s="3"/>
      <c r="QNR93" s="3"/>
      <c r="QNS93" s="3"/>
      <c r="QNT93" s="3"/>
      <c r="QNU93" s="3"/>
      <c r="QNV93" s="3"/>
      <c r="QNW93" s="3"/>
      <c r="QNX93" s="3"/>
      <c r="QNY93" s="3"/>
      <c r="QNZ93" s="3"/>
      <c r="QOA93" s="3"/>
      <c r="QOB93" s="3"/>
      <c r="QOC93" s="3"/>
      <c r="QOD93" s="3"/>
      <c r="QOE93" s="3"/>
      <c r="QOF93" s="3"/>
      <c r="QOG93" s="3"/>
      <c r="QOH93" s="3"/>
      <c r="QOI93" s="3"/>
      <c r="QOJ93" s="3"/>
      <c r="QOK93" s="3"/>
      <c r="QOL93" s="3"/>
      <c r="QOM93" s="3"/>
      <c r="QON93" s="3"/>
      <c r="QOO93" s="3"/>
      <c r="QOP93" s="3"/>
      <c r="QOQ93" s="3"/>
      <c r="QOR93" s="3"/>
      <c r="QOS93" s="3"/>
      <c r="QOT93" s="3"/>
      <c r="QOU93" s="3"/>
      <c r="QOV93" s="3"/>
      <c r="QOW93" s="3"/>
      <c r="QOX93" s="3"/>
      <c r="QOY93" s="3"/>
      <c r="QOZ93" s="3"/>
      <c r="QPA93" s="3"/>
      <c r="QPB93" s="3"/>
      <c r="QPC93" s="3"/>
      <c r="QPD93" s="3"/>
      <c r="QPE93" s="3"/>
      <c r="QPF93" s="3"/>
      <c r="QPG93" s="3"/>
      <c r="QPH93" s="3"/>
      <c r="QPI93" s="3"/>
      <c r="QPJ93" s="3"/>
      <c r="QPK93" s="3"/>
      <c r="QPL93" s="3"/>
      <c r="QPM93" s="3"/>
      <c r="QPN93" s="3"/>
      <c r="QPO93" s="3"/>
      <c r="QPP93" s="3"/>
      <c r="QPQ93" s="3"/>
      <c r="QPR93" s="3"/>
      <c r="QPS93" s="3"/>
      <c r="QPT93" s="3"/>
      <c r="QPU93" s="3"/>
      <c r="QPV93" s="3"/>
      <c r="QPW93" s="3"/>
      <c r="QPX93" s="3"/>
      <c r="QPY93" s="3"/>
      <c r="QPZ93" s="3"/>
      <c r="QQA93" s="3"/>
      <c r="QQB93" s="3"/>
      <c r="QQC93" s="3"/>
      <c r="QQD93" s="3"/>
      <c r="QQE93" s="3"/>
      <c r="QQF93" s="3"/>
      <c r="QQG93" s="3"/>
      <c r="QQH93" s="3"/>
      <c r="QQI93" s="3"/>
      <c r="QQJ93" s="3"/>
      <c r="QQK93" s="3"/>
      <c r="QQL93" s="3"/>
      <c r="QQM93" s="3"/>
      <c r="QQN93" s="3"/>
      <c r="QQO93" s="3"/>
      <c r="QQP93" s="3"/>
      <c r="QQQ93" s="3"/>
      <c r="QQR93" s="3"/>
      <c r="QQS93" s="3"/>
      <c r="QQT93" s="3"/>
      <c r="QQU93" s="3"/>
      <c r="QQV93" s="3"/>
      <c r="QQW93" s="3"/>
      <c r="QQX93" s="3"/>
      <c r="QQY93" s="3"/>
      <c r="QQZ93" s="3"/>
      <c r="QRA93" s="3"/>
      <c r="QRB93" s="3"/>
      <c r="QRC93" s="3"/>
      <c r="QRD93" s="3"/>
      <c r="QRE93" s="3"/>
      <c r="QRF93" s="3"/>
      <c r="QRG93" s="3"/>
      <c r="QRH93" s="3"/>
      <c r="QRI93" s="3"/>
      <c r="QRJ93" s="3"/>
      <c r="QRK93" s="3"/>
      <c r="QRL93" s="3"/>
      <c r="QRM93" s="3"/>
      <c r="QRN93" s="3"/>
      <c r="QRO93" s="3"/>
      <c r="QRP93" s="3"/>
      <c r="QRQ93" s="3"/>
      <c r="QRR93" s="3"/>
      <c r="QRS93" s="3"/>
      <c r="QRT93" s="3"/>
      <c r="QRU93" s="3"/>
      <c r="QRV93" s="3"/>
      <c r="QRW93" s="3"/>
      <c r="QRX93" s="3"/>
      <c r="QRY93" s="3"/>
      <c r="QRZ93" s="3"/>
      <c r="QSA93" s="3"/>
      <c r="QSB93" s="3"/>
      <c r="QSC93" s="3"/>
      <c r="QSD93" s="3"/>
      <c r="QSE93" s="3"/>
      <c r="QSF93" s="3"/>
      <c r="QSG93" s="3"/>
      <c r="QSH93" s="3"/>
      <c r="QSI93" s="3"/>
      <c r="QSJ93" s="3"/>
      <c r="QSK93" s="3"/>
      <c r="QSL93" s="3"/>
      <c r="QSM93" s="3"/>
      <c r="QSN93" s="3"/>
      <c r="QSO93" s="3"/>
      <c r="QSP93" s="3"/>
      <c r="QSQ93" s="3"/>
      <c r="QSR93" s="3"/>
      <c r="QSS93" s="3"/>
      <c r="QST93" s="3"/>
      <c r="QSU93" s="3"/>
      <c r="QSV93" s="3"/>
      <c r="QSW93" s="3"/>
      <c r="QSX93" s="3"/>
      <c r="QSY93" s="3"/>
      <c r="QSZ93" s="3"/>
      <c r="QTA93" s="3"/>
      <c r="QTB93" s="3"/>
      <c r="QTC93" s="3"/>
      <c r="QTD93" s="3"/>
      <c r="QTE93" s="3"/>
      <c r="QTF93" s="3"/>
      <c r="QTG93" s="3"/>
      <c r="QTH93" s="3"/>
      <c r="QTI93" s="3"/>
      <c r="QTJ93" s="3"/>
      <c r="QTK93" s="3"/>
      <c r="QTL93" s="3"/>
      <c r="QTM93" s="3"/>
      <c r="QTN93" s="3"/>
      <c r="QTO93" s="3"/>
      <c r="QTP93" s="3"/>
      <c r="QTQ93" s="3"/>
      <c r="QTR93" s="3"/>
      <c r="QTS93" s="3"/>
      <c r="QTT93" s="3"/>
      <c r="QTU93" s="3"/>
      <c r="QTV93" s="3"/>
      <c r="QTW93" s="3"/>
      <c r="QTX93" s="3"/>
      <c r="QTY93" s="3"/>
      <c r="QTZ93" s="3"/>
      <c r="QUA93" s="3"/>
      <c r="QUB93" s="3"/>
      <c r="QUC93" s="3"/>
      <c r="QUD93" s="3"/>
      <c r="QUE93" s="3"/>
      <c r="QUF93" s="3"/>
      <c r="QUG93" s="3"/>
      <c r="QUH93" s="3"/>
      <c r="QUI93" s="3"/>
      <c r="QUJ93" s="3"/>
      <c r="QUK93" s="3"/>
      <c r="QUL93" s="3"/>
      <c r="QUM93" s="3"/>
      <c r="QUN93" s="3"/>
      <c r="QUO93" s="3"/>
      <c r="QUP93" s="3"/>
      <c r="QUQ93" s="3"/>
      <c r="QUR93" s="3"/>
      <c r="QUS93" s="3"/>
      <c r="QUT93" s="3"/>
      <c r="QUU93" s="3"/>
      <c r="QUV93" s="3"/>
      <c r="QUW93" s="3"/>
      <c r="QUX93" s="3"/>
      <c r="QUY93" s="3"/>
      <c r="QUZ93" s="3"/>
      <c r="QVA93" s="3"/>
      <c r="QVB93" s="3"/>
      <c r="QVC93" s="3"/>
      <c r="QVD93" s="3"/>
      <c r="QVE93" s="3"/>
      <c r="QVF93" s="3"/>
      <c r="QVG93" s="3"/>
      <c r="QVH93" s="3"/>
      <c r="QVI93" s="3"/>
      <c r="QVJ93" s="3"/>
      <c r="QVK93" s="3"/>
      <c r="QVL93" s="3"/>
      <c r="QVM93" s="3"/>
      <c r="QVN93" s="3"/>
      <c r="QVO93" s="3"/>
      <c r="QVP93" s="3"/>
      <c r="QVQ93" s="3"/>
      <c r="QVR93" s="3"/>
      <c r="QVS93" s="3"/>
      <c r="QVT93" s="3"/>
      <c r="QVU93" s="3"/>
      <c r="QVV93" s="3"/>
      <c r="QVW93" s="3"/>
      <c r="QVX93" s="3"/>
      <c r="QVY93" s="3"/>
      <c r="QVZ93" s="3"/>
      <c r="QWA93" s="3"/>
      <c r="QWB93" s="3"/>
      <c r="QWC93" s="3"/>
      <c r="QWD93" s="3"/>
      <c r="QWE93" s="3"/>
      <c r="QWF93" s="3"/>
      <c r="QWG93" s="3"/>
      <c r="QWH93" s="3"/>
      <c r="QWI93" s="3"/>
      <c r="QWJ93" s="3"/>
      <c r="QWK93" s="3"/>
      <c r="QWL93" s="3"/>
      <c r="QWM93" s="3"/>
      <c r="QWN93" s="3"/>
      <c r="QWO93" s="3"/>
      <c r="QWP93" s="3"/>
      <c r="QWQ93" s="3"/>
      <c r="QWR93" s="3"/>
      <c r="QWS93" s="3"/>
      <c r="QWT93" s="3"/>
      <c r="QWU93" s="3"/>
      <c r="QWV93" s="3"/>
      <c r="QWW93" s="3"/>
      <c r="QWX93" s="3"/>
      <c r="QWY93" s="3"/>
      <c r="QWZ93" s="3"/>
      <c r="QXA93" s="3"/>
      <c r="QXB93" s="3"/>
      <c r="QXC93" s="3"/>
      <c r="QXD93" s="3"/>
      <c r="QXE93" s="3"/>
      <c r="QXF93" s="3"/>
      <c r="QXG93" s="3"/>
      <c r="QXH93" s="3"/>
      <c r="QXI93" s="3"/>
      <c r="QXJ93" s="3"/>
      <c r="QXK93" s="3"/>
      <c r="QXL93" s="3"/>
      <c r="QXM93" s="3"/>
      <c r="QXN93" s="3"/>
      <c r="QXO93" s="3"/>
      <c r="QXP93" s="3"/>
      <c r="QXQ93" s="3"/>
      <c r="QXR93" s="3"/>
      <c r="QXS93" s="3"/>
      <c r="QXT93" s="3"/>
      <c r="QXU93" s="3"/>
      <c r="QXV93" s="3"/>
      <c r="QXW93" s="3"/>
      <c r="QXX93" s="3"/>
      <c r="QXY93" s="3"/>
      <c r="QXZ93" s="3"/>
      <c r="QYA93" s="3"/>
      <c r="QYB93" s="3"/>
      <c r="QYC93" s="3"/>
      <c r="QYD93" s="3"/>
      <c r="QYE93" s="3"/>
      <c r="QYF93" s="3"/>
      <c r="QYG93" s="3"/>
      <c r="QYH93" s="3"/>
      <c r="QYI93" s="3"/>
      <c r="QYJ93" s="3"/>
      <c r="QYK93" s="3"/>
      <c r="QYL93" s="3"/>
      <c r="QYM93" s="3"/>
      <c r="QYN93" s="3"/>
      <c r="QYO93" s="3"/>
      <c r="QYP93" s="3"/>
      <c r="QYQ93" s="3"/>
      <c r="QYR93" s="3"/>
      <c r="QYS93" s="3"/>
      <c r="QYT93" s="3"/>
      <c r="QYU93" s="3"/>
      <c r="QYV93" s="3"/>
      <c r="QYW93" s="3"/>
      <c r="QYX93" s="3"/>
      <c r="QYY93" s="3"/>
      <c r="QYZ93" s="3"/>
      <c r="QZA93" s="3"/>
      <c r="QZB93" s="3"/>
      <c r="QZC93" s="3"/>
      <c r="QZD93" s="3"/>
      <c r="QZE93" s="3"/>
      <c r="QZF93" s="3"/>
      <c r="QZG93" s="3"/>
      <c r="QZH93" s="3"/>
      <c r="QZI93" s="3"/>
      <c r="QZJ93" s="3"/>
      <c r="QZK93" s="3"/>
      <c r="QZL93" s="3"/>
      <c r="QZM93" s="3"/>
      <c r="QZN93" s="3"/>
      <c r="QZO93" s="3"/>
      <c r="QZP93" s="3"/>
      <c r="QZQ93" s="3"/>
      <c r="QZR93" s="3"/>
      <c r="QZS93" s="3"/>
      <c r="QZT93" s="3"/>
      <c r="QZU93" s="3"/>
      <c r="QZV93" s="3"/>
      <c r="QZW93" s="3"/>
      <c r="QZX93" s="3"/>
      <c r="QZY93" s="3"/>
      <c r="QZZ93" s="3"/>
      <c r="RAA93" s="3"/>
      <c r="RAB93" s="3"/>
      <c r="RAC93" s="3"/>
      <c r="RAD93" s="3"/>
      <c r="RAE93" s="3"/>
      <c r="RAF93" s="3"/>
      <c r="RAG93" s="3"/>
      <c r="RAH93" s="3"/>
      <c r="RAI93" s="3"/>
      <c r="RAJ93" s="3"/>
      <c r="RAK93" s="3"/>
      <c r="RAL93" s="3"/>
      <c r="RAM93" s="3"/>
      <c r="RAN93" s="3"/>
      <c r="RAO93" s="3"/>
      <c r="RAP93" s="3"/>
      <c r="RAQ93" s="3"/>
      <c r="RAR93" s="3"/>
      <c r="RAS93" s="3"/>
      <c r="RAT93" s="3"/>
      <c r="RAU93" s="3"/>
      <c r="RAV93" s="3"/>
      <c r="RAW93" s="3"/>
      <c r="RAX93" s="3"/>
      <c r="RAY93" s="3"/>
      <c r="RAZ93" s="3"/>
      <c r="RBA93" s="3"/>
      <c r="RBB93" s="3"/>
      <c r="RBC93" s="3"/>
      <c r="RBD93" s="3"/>
      <c r="RBE93" s="3"/>
      <c r="RBF93" s="3"/>
      <c r="RBG93" s="3"/>
      <c r="RBH93" s="3"/>
      <c r="RBI93" s="3"/>
      <c r="RBJ93" s="3"/>
      <c r="RBK93" s="3"/>
      <c r="RBL93" s="3"/>
      <c r="RBM93" s="3"/>
      <c r="RBN93" s="3"/>
      <c r="RBO93" s="3"/>
      <c r="RBP93" s="3"/>
      <c r="RBQ93" s="3"/>
      <c r="RBR93" s="3"/>
      <c r="RBS93" s="3"/>
      <c r="RBT93" s="3"/>
      <c r="RBU93" s="3"/>
      <c r="RBV93" s="3"/>
      <c r="RBW93" s="3"/>
      <c r="RBX93" s="3"/>
      <c r="RBY93" s="3"/>
      <c r="RBZ93" s="3"/>
      <c r="RCA93" s="3"/>
      <c r="RCB93" s="3"/>
      <c r="RCC93" s="3"/>
      <c r="RCD93" s="3"/>
      <c r="RCE93" s="3"/>
      <c r="RCF93" s="3"/>
      <c r="RCG93" s="3"/>
      <c r="RCH93" s="3"/>
      <c r="RCI93" s="3"/>
      <c r="RCJ93" s="3"/>
      <c r="RCK93" s="3"/>
      <c r="RCL93" s="3"/>
      <c r="RCM93" s="3"/>
      <c r="RCN93" s="3"/>
      <c r="RCO93" s="3"/>
      <c r="RCP93" s="3"/>
      <c r="RCQ93" s="3"/>
      <c r="RCR93" s="3"/>
      <c r="RCS93" s="3"/>
      <c r="RCT93" s="3"/>
      <c r="RCU93" s="3"/>
      <c r="RCV93" s="3"/>
      <c r="RCW93" s="3"/>
      <c r="RCX93" s="3"/>
      <c r="RCY93" s="3"/>
      <c r="RCZ93" s="3"/>
      <c r="RDA93" s="3"/>
      <c r="RDB93" s="3"/>
      <c r="RDC93" s="3"/>
      <c r="RDD93" s="3"/>
      <c r="RDE93" s="3"/>
      <c r="RDF93" s="3"/>
      <c r="RDG93" s="3"/>
      <c r="RDH93" s="3"/>
      <c r="RDI93" s="3"/>
      <c r="RDJ93" s="3"/>
      <c r="RDK93" s="3"/>
      <c r="RDL93" s="3"/>
      <c r="RDM93" s="3"/>
      <c r="RDN93" s="3"/>
      <c r="RDO93" s="3"/>
      <c r="RDP93" s="3"/>
      <c r="RDQ93" s="3"/>
      <c r="RDR93" s="3"/>
      <c r="RDS93" s="3"/>
      <c r="RDT93" s="3"/>
      <c r="RDU93" s="3"/>
      <c r="RDV93" s="3"/>
      <c r="RDW93" s="3"/>
      <c r="RDX93" s="3"/>
      <c r="RDY93" s="3"/>
      <c r="RDZ93" s="3"/>
      <c r="REA93" s="3"/>
      <c r="REB93" s="3"/>
      <c r="REC93" s="3"/>
      <c r="RED93" s="3"/>
      <c r="REE93" s="3"/>
      <c r="REF93" s="3"/>
      <c r="REG93" s="3"/>
      <c r="REH93" s="3"/>
      <c r="REI93" s="3"/>
      <c r="REJ93" s="3"/>
      <c r="REK93" s="3"/>
      <c r="REL93" s="3"/>
      <c r="REM93" s="3"/>
      <c r="REN93" s="3"/>
      <c r="REO93" s="3"/>
      <c r="REP93" s="3"/>
      <c r="REQ93" s="3"/>
      <c r="RER93" s="3"/>
      <c r="RES93" s="3"/>
      <c r="RET93" s="3"/>
      <c r="REU93" s="3"/>
      <c r="REV93" s="3"/>
      <c r="REW93" s="3"/>
      <c r="REX93" s="3"/>
      <c r="REY93" s="3"/>
      <c r="REZ93" s="3"/>
      <c r="RFA93" s="3"/>
      <c r="RFB93" s="3"/>
      <c r="RFC93" s="3"/>
      <c r="RFD93" s="3"/>
      <c r="RFE93" s="3"/>
      <c r="RFF93" s="3"/>
      <c r="RFG93" s="3"/>
      <c r="RFH93" s="3"/>
      <c r="RFI93" s="3"/>
      <c r="RFJ93" s="3"/>
      <c r="RFK93" s="3"/>
      <c r="RFL93" s="3"/>
      <c r="RFM93" s="3"/>
      <c r="RFN93" s="3"/>
      <c r="RFO93" s="3"/>
      <c r="RFP93" s="3"/>
      <c r="RFQ93" s="3"/>
      <c r="RFR93" s="3"/>
      <c r="RFS93" s="3"/>
      <c r="RFT93" s="3"/>
      <c r="RFU93" s="3"/>
      <c r="RFV93" s="3"/>
      <c r="RFW93" s="3"/>
      <c r="RFX93" s="3"/>
      <c r="RFY93" s="3"/>
      <c r="RFZ93" s="3"/>
      <c r="RGA93" s="3"/>
      <c r="RGB93" s="3"/>
      <c r="RGC93" s="3"/>
      <c r="RGD93" s="3"/>
      <c r="RGE93" s="3"/>
      <c r="RGF93" s="3"/>
      <c r="RGG93" s="3"/>
      <c r="RGH93" s="3"/>
      <c r="RGI93" s="3"/>
      <c r="RGJ93" s="3"/>
      <c r="RGK93" s="3"/>
      <c r="RGL93" s="3"/>
      <c r="RGM93" s="3"/>
      <c r="RGN93" s="3"/>
      <c r="RGO93" s="3"/>
      <c r="RGP93" s="3"/>
      <c r="RGQ93" s="3"/>
      <c r="RGR93" s="3"/>
      <c r="RGS93" s="3"/>
      <c r="RGT93" s="3"/>
      <c r="RGU93" s="3"/>
      <c r="RGV93" s="3"/>
      <c r="RGW93" s="3"/>
      <c r="RGX93" s="3"/>
      <c r="RGY93" s="3"/>
      <c r="RGZ93" s="3"/>
      <c r="RHA93" s="3"/>
      <c r="RHB93" s="3"/>
      <c r="RHC93" s="3"/>
      <c r="RHD93" s="3"/>
      <c r="RHE93" s="3"/>
      <c r="RHF93" s="3"/>
      <c r="RHG93" s="3"/>
      <c r="RHH93" s="3"/>
      <c r="RHI93" s="3"/>
      <c r="RHJ93" s="3"/>
      <c r="RHK93" s="3"/>
      <c r="RHL93" s="3"/>
      <c r="RHM93" s="3"/>
      <c r="RHN93" s="3"/>
      <c r="RHO93" s="3"/>
      <c r="RHP93" s="3"/>
      <c r="RHQ93" s="3"/>
      <c r="RHR93" s="3"/>
      <c r="RHS93" s="3"/>
      <c r="RHT93" s="3"/>
      <c r="RHU93" s="3"/>
      <c r="RHV93" s="3"/>
      <c r="RHW93" s="3"/>
      <c r="RHX93" s="3"/>
      <c r="RHY93" s="3"/>
      <c r="RHZ93" s="3"/>
      <c r="RIA93" s="3"/>
      <c r="RIB93" s="3"/>
      <c r="RIC93" s="3"/>
      <c r="RID93" s="3"/>
      <c r="RIE93" s="3"/>
      <c r="RIF93" s="3"/>
      <c r="RIG93" s="3"/>
      <c r="RIH93" s="3"/>
      <c r="RII93" s="3"/>
      <c r="RIJ93" s="3"/>
      <c r="RIK93" s="3"/>
      <c r="RIL93" s="3"/>
      <c r="RIM93" s="3"/>
      <c r="RIN93" s="3"/>
      <c r="RIO93" s="3"/>
      <c r="RIP93" s="3"/>
      <c r="RIQ93" s="3"/>
      <c r="RIR93" s="3"/>
      <c r="RIS93" s="3"/>
      <c r="RIT93" s="3"/>
      <c r="RIU93" s="3"/>
      <c r="RIV93" s="3"/>
      <c r="RIW93" s="3"/>
      <c r="RIX93" s="3"/>
      <c r="RIY93" s="3"/>
      <c r="RIZ93" s="3"/>
      <c r="RJA93" s="3"/>
      <c r="RJB93" s="3"/>
      <c r="RJC93" s="3"/>
      <c r="RJD93" s="3"/>
      <c r="RJE93" s="3"/>
      <c r="RJF93" s="3"/>
      <c r="RJG93" s="3"/>
      <c r="RJH93" s="3"/>
      <c r="RJI93" s="3"/>
      <c r="RJJ93" s="3"/>
      <c r="RJK93" s="3"/>
      <c r="RJL93" s="3"/>
      <c r="RJM93" s="3"/>
      <c r="RJN93" s="3"/>
      <c r="RJO93" s="3"/>
      <c r="RJP93" s="3"/>
      <c r="RJQ93" s="3"/>
      <c r="RJR93" s="3"/>
      <c r="RJS93" s="3"/>
      <c r="RJT93" s="3"/>
      <c r="RJU93" s="3"/>
      <c r="RJV93" s="3"/>
      <c r="RJW93" s="3"/>
      <c r="RJX93" s="3"/>
      <c r="RJY93" s="3"/>
      <c r="RJZ93" s="3"/>
      <c r="RKA93" s="3"/>
      <c r="RKB93" s="3"/>
      <c r="RKC93" s="3"/>
      <c r="RKD93" s="3"/>
      <c r="RKE93" s="3"/>
      <c r="RKF93" s="3"/>
      <c r="RKG93" s="3"/>
      <c r="RKH93" s="3"/>
      <c r="RKI93" s="3"/>
      <c r="RKJ93" s="3"/>
      <c r="RKK93" s="3"/>
      <c r="RKL93" s="3"/>
      <c r="RKM93" s="3"/>
      <c r="RKN93" s="3"/>
      <c r="RKO93" s="3"/>
      <c r="RKP93" s="3"/>
      <c r="RKQ93" s="3"/>
      <c r="RKR93" s="3"/>
      <c r="RKS93" s="3"/>
      <c r="RKT93" s="3"/>
      <c r="RKU93" s="3"/>
      <c r="RKV93" s="3"/>
      <c r="RKW93" s="3"/>
      <c r="RKX93" s="3"/>
      <c r="RKY93" s="3"/>
      <c r="RKZ93" s="3"/>
      <c r="RLA93" s="3"/>
      <c r="RLB93" s="3"/>
      <c r="RLC93" s="3"/>
      <c r="RLD93" s="3"/>
      <c r="RLE93" s="3"/>
      <c r="RLF93" s="3"/>
      <c r="RLG93" s="3"/>
      <c r="RLH93" s="3"/>
      <c r="RLI93" s="3"/>
      <c r="RLJ93" s="3"/>
      <c r="RLK93" s="3"/>
      <c r="RLL93" s="3"/>
      <c r="RLM93" s="3"/>
      <c r="RLN93" s="3"/>
      <c r="RLO93" s="3"/>
      <c r="RLP93" s="3"/>
      <c r="RLQ93" s="3"/>
      <c r="RLR93" s="3"/>
      <c r="RLS93" s="3"/>
      <c r="RLT93" s="3"/>
      <c r="RLU93" s="3"/>
      <c r="RLV93" s="3"/>
      <c r="RLW93" s="3"/>
      <c r="RLX93" s="3"/>
      <c r="RLY93" s="3"/>
      <c r="RLZ93" s="3"/>
      <c r="RMA93" s="3"/>
      <c r="RMB93" s="3"/>
      <c r="RMC93" s="3"/>
      <c r="RMD93" s="3"/>
      <c r="RME93" s="3"/>
      <c r="RMF93" s="3"/>
      <c r="RMG93" s="3"/>
      <c r="RMH93" s="3"/>
      <c r="RMI93" s="3"/>
      <c r="RMJ93" s="3"/>
      <c r="RMK93" s="3"/>
      <c r="RML93" s="3"/>
      <c r="RMM93" s="3"/>
      <c r="RMN93" s="3"/>
      <c r="RMO93" s="3"/>
      <c r="RMP93" s="3"/>
      <c r="RMQ93" s="3"/>
      <c r="RMR93" s="3"/>
      <c r="RMS93" s="3"/>
      <c r="RMT93" s="3"/>
      <c r="RMU93" s="3"/>
      <c r="RMV93" s="3"/>
      <c r="RMW93" s="3"/>
      <c r="RMX93" s="3"/>
      <c r="RMY93" s="3"/>
      <c r="RMZ93" s="3"/>
      <c r="RNA93" s="3"/>
      <c r="RNB93" s="3"/>
      <c r="RNC93" s="3"/>
      <c r="RND93" s="3"/>
      <c r="RNE93" s="3"/>
      <c r="RNF93" s="3"/>
      <c r="RNG93" s="3"/>
      <c r="RNH93" s="3"/>
      <c r="RNI93" s="3"/>
      <c r="RNJ93" s="3"/>
      <c r="RNK93" s="3"/>
      <c r="RNL93" s="3"/>
      <c r="RNM93" s="3"/>
      <c r="RNN93" s="3"/>
      <c r="RNO93" s="3"/>
      <c r="RNP93" s="3"/>
      <c r="RNQ93" s="3"/>
      <c r="RNR93" s="3"/>
      <c r="RNS93" s="3"/>
      <c r="RNT93" s="3"/>
      <c r="RNU93" s="3"/>
      <c r="RNV93" s="3"/>
      <c r="RNW93" s="3"/>
      <c r="RNX93" s="3"/>
      <c r="RNY93" s="3"/>
      <c r="RNZ93" s="3"/>
      <c r="ROA93" s="3"/>
      <c r="ROB93" s="3"/>
      <c r="ROC93" s="3"/>
      <c r="ROD93" s="3"/>
      <c r="ROE93" s="3"/>
      <c r="ROF93" s="3"/>
      <c r="ROG93" s="3"/>
      <c r="ROH93" s="3"/>
      <c r="ROI93" s="3"/>
      <c r="ROJ93" s="3"/>
      <c r="ROK93" s="3"/>
      <c r="ROL93" s="3"/>
      <c r="ROM93" s="3"/>
      <c r="RON93" s="3"/>
      <c r="ROO93" s="3"/>
      <c r="ROP93" s="3"/>
      <c r="ROQ93" s="3"/>
      <c r="ROR93" s="3"/>
      <c r="ROS93" s="3"/>
      <c r="ROT93" s="3"/>
      <c r="ROU93" s="3"/>
      <c r="ROV93" s="3"/>
      <c r="ROW93" s="3"/>
      <c r="ROX93" s="3"/>
      <c r="ROY93" s="3"/>
      <c r="ROZ93" s="3"/>
      <c r="RPA93" s="3"/>
      <c r="RPB93" s="3"/>
      <c r="RPC93" s="3"/>
      <c r="RPD93" s="3"/>
      <c r="RPE93" s="3"/>
      <c r="RPF93" s="3"/>
      <c r="RPG93" s="3"/>
      <c r="RPH93" s="3"/>
      <c r="RPI93" s="3"/>
      <c r="RPJ93" s="3"/>
      <c r="RPK93" s="3"/>
      <c r="RPL93" s="3"/>
      <c r="RPM93" s="3"/>
      <c r="RPN93" s="3"/>
      <c r="RPO93" s="3"/>
      <c r="RPP93" s="3"/>
      <c r="RPQ93" s="3"/>
      <c r="RPR93" s="3"/>
      <c r="RPS93" s="3"/>
      <c r="RPT93" s="3"/>
      <c r="RPU93" s="3"/>
      <c r="RPV93" s="3"/>
      <c r="RPW93" s="3"/>
      <c r="RPX93" s="3"/>
      <c r="RPY93" s="3"/>
      <c r="RPZ93" s="3"/>
      <c r="RQA93" s="3"/>
      <c r="RQB93" s="3"/>
      <c r="RQC93" s="3"/>
      <c r="RQD93" s="3"/>
      <c r="RQE93" s="3"/>
      <c r="RQF93" s="3"/>
      <c r="RQG93" s="3"/>
      <c r="RQH93" s="3"/>
      <c r="RQI93" s="3"/>
      <c r="RQJ93" s="3"/>
      <c r="RQK93" s="3"/>
      <c r="RQL93" s="3"/>
      <c r="RQM93" s="3"/>
      <c r="RQN93" s="3"/>
      <c r="RQO93" s="3"/>
      <c r="RQP93" s="3"/>
      <c r="RQQ93" s="3"/>
      <c r="RQR93" s="3"/>
      <c r="RQS93" s="3"/>
      <c r="RQT93" s="3"/>
      <c r="RQU93" s="3"/>
      <c r="RQV93" s="3"/>
      <c r="RQW93" s="3"/>
      <c r="RQX93" s="3"/>
      <c r="RQY93" s="3"/>
      <c r="RQZ93" s="3"/>
      <c r="RRA93" s="3"/>
      <c r="RRB93" s="3"/>
      <c r="RRC93" s="3"/>
      <c r="RRD93" s="3"/>
      <c r="RRE93" s="3"/>
      <c r="RRF93" s="3"/>
      <c r="RRG93" s="3"/>
      <c r="RRH93" s="3"/>
      <c r="RRI93" s="3"/>
      <c r="RRJ93" s="3"/>
      <c r="RRK93" s="3"/>
      <c r="RRL93" s="3"/>
      <c r="RRM93" s="3"/>
      <c r="RRN93" s="3"/>
      <c r="RRO93" s="3"/>
      <c r="RRP93" s="3"/>
      <c r="RRQ93" s="3"/>
      <c r="RRR93" s="3"/>
      <c r="RRS93" s="3"/>
      <c r="RRT93" s="3"/>
      <c r="RRU93" s="3"/>
      <c r="RRV93" s="3"/>
      <c r="RRW93" s="3"/>
      <c r="RRX93" s="3"/>
      <c r="RRY93" s="3"/>
      <c r="RRZ93" s="3"/>
      <c r="RSA93" s="3"/>
      <c r="RSB93" s="3"/>
      <c r="RSC93" s="3"/>
      <c r="RSD93" s="3"/>
      <c r="RSE93" s="3"/>
      <c r="RSF93" s="3"/>
      <c r="RSG93" s="3"/>
      <c r="RSH93" s="3"/>
      <c r="RSI93" s="3"/>
      <c r="RSJ93" s="3"/>
      <c r="RSK93" s="3"/>
      <c r="RSL93" s="3"/>
      <c r="RSM93" s="3"/>
      <c r="RSN93" s="3"/>
      <c r="RSO93" s="3"/>
      <c r="RSP93" s="3"/>
      <c r="RSQ93" s="3"/>
      <c r="RSR93" s="3"/>
      <c r="RSS93" s="3"/>
      <c r="RST93" s="3"/>
      <c r="RSU93" s="3"/>
      <c r="RSV93" s="3"/>
      <c r="RSW93" s="3"/>
      <c r="RSX93" s="3"/>
      <c r="RSY93" s="3"/>
      <c r="RSZ93" s="3"/>
      <c r="RTA93" s="3"/>
      <c r="RTB93" s="3"/>
      <c r="RTC93" s="3"/>
      <c r="RTD93" s="3"/>
      <c r="RTE93" s="3"/>
      <c r="RTF93" s="3"/>
      <c r="RTG93" s="3"/>
      <c r="RTH93" s="3"/>
      <c r="RTI93" s="3"/>
      <c r="RTJ93" s="3"/>
      <c r="RTK93" s="3"/>
      <c r="RTL93" s="3"/>
      <c r="RTM93" s="3"/>
      <c r="RTN93" s="3"/>
      <c r="RTO93" s="3"/>
      <c r="RTP93" s="3"/>
      <c r="RTQ93" s="3"/>
      <c r="RTR93" s="3"/>
      <c r="RTS93" s="3"/>
      <c r="RTT93" s="3"/>
      <c r="RTU93" s="3"/>
      <c r="RTV93" s="3"/>
      <c r="RTW93" s="3"/>
      <c r="RTX93" s="3"/>
      <c r="RTY93" s="3"/>
      <c r="RTZ93" s="3"/>
      <c r="RUA93" s="3"/>
      <c r="RUB93" s="3"/>
      <c r="RUC93" s="3"/>
      <c r="RUD93" s="3"/>
      <c r="RUE93" s="3"/>
      <c r="RUF93" s="3"/>
      <c r="RUG93" s="3"/>
      <c r="RUH93" s="3"/>
      <c r="RUI93" s="3"/>
      <c r="RUJ93" s="3"/>
      <c r="RUK93" s="3"/>
      <c r="RUL93" s="3"/>
      <c r="RUM93" s="3"/>
      <c r="RUN93" s="3"/>
      <c r="RUO93" s="3"/>
      <c r="RUP93" s="3"/>
      <c r="RUQ93" s="3"/>
      <c r="RUR93" s="3"/>
      <c r="RUS93" s="3"/>
      <c r="RUT93" s="3"/>
      <c r="RUU93" s="3"/>
      <c r="RUV93" s="3"/>
      <c r="RUW93" s="3"/>
      <c r="RUX93" s="3"/>
      <c r="RUY93" s="3"/>
      <c r="RUZ93" s="3"/>
      <c r="RVA93" s="3"/>
      <c r="RVB93" s="3"/>
      <c r="RVC93" s="3"/>
      <c r="RVD93" s="3"/>
      <c r="RVE93" s="3"/>
      <c r="RVF93" s="3"/>
      <c r="RVG93" s="3"/>
      <c r="RVH93" s="3"/>
      <c r="RVI93" s="3"/>
      <c r="RVJ93" s="3"/>
      <c r="RVK93" s="3"/>
      <c r="RVL93" s="3"/>
      <c r="RVM93" s="3"/>
      <c r="RVN93" s="3"/>
      <c r="RVO93" s="3"/>
      <c r="RVP93" s="3"/>
      <c r="RVQ93" s="3"/>
      <c r="RVR93" s="3"/>
      <c r="RVS93" s="3"/>
      <c r="RVT93" s="3"/>
      <c r="RVU93" s="3"/>
      <c r="RVV93" s="3"/>
      <c r="RVW93" s="3"/>
      <c r="RVX93" s="3"/>
      <c r="RVY93" s="3"/>
      <c r="RVZ93" s="3"/>
      <c r="RWA93" s="3"/>
      <c r="RWB93" s="3"/>
      <c r="RWC93" s="3"/>
      <c r="RWD93" s="3"/>
      <c r="RWE93" s="3"/>
      <c r="RWF93" s="3"/>
      <c r="RWG93" s="3"/>
      <c r="RWH93" s="3"/>
      <c r="RWI93" s="3"/>
      <c r="RWJ93" s="3"/>
      <c r="RWK93" s="3"/>
      <c r="RWL93" s="3"/>
      <c r="RWM93" s="3"/>
      <c r="RWN93" s="3"/>
      <c r="RWO93" s="3"/>
      <c r="RWP93" s="3"/>
      <c r="RWQ93" s="3"/>
      <c r="RWR93" s="3"/>
      <c r="RWS93" s="3"/>
      <c r="RWT93" s="3"/>
      <c r="RWU93" s="3"/>
      <c r="RWV93" s="3"/>
      <c r="RWW93" s="3"/>
      <c r="RWX93" s="3"/>
      <c r="RWY93" s="3"/>
      <c r="RWZ93" s="3"/>
      <c r="RXA93" s="3"/>
      <c r="RXB93" s="3"/>
      <c r="RXC93" s="3"/>
      <c r="RXD93" s="3"/>
      <c r="RXE93" s="3"/>
      <c r="RXF93" s="3"/>
      <c r="RXG93" s="3"/>
      <c r="RXH93" s="3"/>
      <c r="RXI93" s="3"/>
      <c r="RXJ93" s="3"/>
      <c r="RXK93" s="3"/>
      <c r="RXL93" s="3"/>
      <c r="RXM93" s="3"/>
      <c r="RXN93" s="3"/>
      <c r="RXO93" s="3"/>
      <c r="RXP93" s="3"/>
      <c r="RXQ93" s="3"/>
      <c r="RXR93" s="3"/>
      <c r="RXS93" s="3"/>
      <c r="RXT93" s="3"/>
      <c r="RXU93" s="3"/>
      <c r="RXV93" s="3"/>
      <c r="RXW93" s="3"/>
      <c r="RXX93" s="3"/>
      <c r="RXY93" s="3"/>
      <c r="RXZ93" s="3"/>
      <c r="RYA93" s="3"/>
      <c r="RYB93" s="3"/>
      <c r="RYC93" s="3"/>
      <c r="RYD93" s="3"/>
      <c r="RYE93" s="3"/>
      <c r="RYF93" s="3"/>
      <c r="RYG93" s="3"/>
      <c r="RYH93" s="3"/>
      <c r="RYI93" s="3"/>
      <c r="RYJ93" s="3"/>
      <c r="RYK93" s="3"/>
      <c r="RYL93" s="3"/>
      <c r="RYM93" s="3"/>
      <c r="RYN93" s="3"/>
      <c r="RYO93" s="3"/>
      <c r="RYP93" s="3"/>
      <c r="RYQ93" s="3"/>
      <c r="RYR93" s="3"/>
      <c r="RYS93" s="3"/>
      <c r="RYT93" s="3"/>
      <c r="RYU93" s="3"/>
      <c r="RYV93" s="3"/>
      <c r="RYW93" s="3"/>
      <c r="RYX93" s="3"/>
      <c r="RYY93" s="3"/>
      <c r="RYZ93" s="3"/>
      <c r="RZA93" s="3"/>
      <c r="RZB93" s="3"/>
      <c r="RZC93" s="3"/>
      <c r="RZD93" s="3"/>
      <c r="RZE93" s="3"/>
      <c r="RZF93" s="3"/>
      <c r="RZG93" s="3"/>
      <c r="RZH93" s="3"/>
      <c r="RZI93" s="3"/>
      <c r="RZJ93" s="3"/>
      <c r="RZK93" s="3"/>
      <c r="RZL93" s="3"/>
      <c r="RZM93" s="3"/>
      <c r="RZN93" s="3"/>
      <c r="RZO93" s="3"/>
      <c r="RZP93" s="3"/>
      <c r="RZQ93" s="3"/>
      <c r="RZR93" s="3"/>
      <c r="RZS93" s="3"/>
      <c r="RZT93" s="3"/>
      <c r="RZU93" s="3"/>
      <c r="RZV93" s="3"/>
      <c r="RZW93" s="3"/>
      <c r="RZX93" s="3"/>
      <c r="RZY93" s="3"/>
      <c r="RZZ93" s="3"/>
      <c r="SAA93" s="3"/>
      <c r="SAB93" s="3"/>
      <c r="SAC93" s="3"/>
      <c r="SAD93" s="3"/>
      <c r="SAE93" s="3"/>
      <c r="SAF93" s="3"/>
      <c r="SAG93" s="3"/>
      <c r="SAH93" s="3"/>
      <c r="SAI93" s="3"/>
      <c r="SAJ93" s="3"/>
      <c r="SAK93" s="3"/>
      <c r="SAL93" s="3"/>
      <c r="SAM93" s="3"/>
      <c r="SAN93" s="3"/>
      <c r="SAO93" s="3"/>
      <c r="SAP93" s="3"/>
      <c r="SAQ93" s="3"/>
      <c r="SAR93" s="3"/>
      <c r="SAS93" s="3"/>
      <c r="SAT93" s="3"/>
      <c r="SAU93" s="3"/>
      <c r="SAV93" s="3"/>
      <c r="SAW93" s="3"/>
      <c r="SAX93" s="3"/>
      <c r="SAY93" s="3"/>
      <c r="SAZ93" s="3"/>
      <c r="SBA93" s="3"/>
      <c r="SBB93" s="3"/>
      <c r="SBC93" s="3"/>
      <c r="SBD93" s="3"/>
      <c r="SBE93" s="3"/>
      <c r="SBF93" s="3"/>
      <c r="SBG93" s="3"/>
      <c r="SBH93" s="3"/>
      <c r="SBI93" s="3"/>
      <c r="SBJ93" s="3"/>
      <c r="SBK93" s="3"/>
      <c r="SBL93" s="3"/>
      <c r="SBM93" s="3"/>
      <c r="SBN93" s="3"/>
      <c r="SBO93" s="3"/>
      <c r="SBP93" s="3"/>
      <c r="SBQ93" s="3"/>
      <c r="SBR93" s="3"/>
      <c r="SBS93" s="3"/>
      <c r="SBT93" s="3"/>
      <c r="SBU93" s="3"/>
      <c r="SBV93" s="3"/>
      <c r="SBW93" s="3"/>
      <c r="SBX93" s="3"/>
      <c r="SBY93" s="3"/>
      <c r="SBZ93" s="3"/>
      <c r="SCA93" s="3"/>
      <c r="SCB93" s="3"/>
      <c r="SCC93" s="3"/>
      <c r="SCD93" s="3"/>
      <c r="SCE93" s="3"/>
      <c r="SCF93" s="3"/>
      <c r="SCG93" s="3"/>
      <c r="SCH93" s="3"/>
      <c r="SCI93" s="3"/>
      <c r="SCJ93" s="3"/>
      <c r="SCK93" s="3"/>
      <c r="SCL93" s="3"/>
      <c r="SCM93" s="3"/>
      <c r="SCN93" s="3"/>
      <c r="SCO93" s="3"/>
      <c r="SCP93" s="3"/>
      <c r="SCQ93" s="3"/>
      <c r="SCR93" s="3"/>
      <c r="SCS93" s="3"/>
      <c r="SCT93" s="3"/>
      <c r="SCU93" s="3"/>
      <c r="SCV93" s="3"/>
      <c r="SCW93" s="3"/>
      <c r="SCX93" s="3"/>
      <c r="SCY93" s="3"/>
      <c r="SCZ93" s="3"/>
      <c r="SDA93" s="3"/>
      <c r="SDB93" s="3"/>
      <c r="SDC93" s="3"/>
      <c r="SDD93" s="3"/>
      <c r="SDE93" s="3"/>
      <c r="SDF93" s="3"/>
      <c r="SDG93" s="3"/>
      <c r="SDH93" s="3"/>
      <c r="SDI93" s="3"/>
      <c r="SDJ93" s="3"/>
      <c r="SDK93" s="3"/>
      <c r="SDL93" s="3"/>
      <c r="SDM93" s="3"/>
      <c r="SDN93" s="3"/>
      <c r="SDO93" s="3"/>
      <c r="SDP93" s="3"/>
      <c r="SDQ93" s="3"/>
      <c r="SDR93" s="3"/>
      <c r="SDS93" s="3"/>
      <c r="SDT93" s="3"/>
      <c r="SDU93" s="3"/>
      <c r="SDV93" s="3"/>
      <c r="SDW93" s="3"/>
      <c r="SDX93" s="3"/>
      <c r="SDY93" s="3"/>
      <c r="SDZ93" s="3"/>
      <c r="SEA93" s="3"/>
      <c r="SEB93" s="3"/>
      <c r="SEC93" s="3"/>
      <c r="SED93" s="3"/>
      <c r="SEE93" s="3"/>
      <c r="SEF93" s="3"/>
      <c r="SEG93" s="3"/>
      <c r="SEH93" s="3"/>
      <c r="SEI93" s="3"/>
      <c r="SEJ93" s="3"/>
      <c r="SEK93" s="3"/>
      <c r="SEL93" s="3"/>
      <c r="SEM93" s="3"/>
      <c r="SEN93" s="3"/>
      <c r="SEO93" s="3"/>
      <c r="SEP93" s="3"/>
      <c r="SEQ93" s="3"/>
      <c r="SER93" s="3"/>
      <c r="SES93" s="3"/>
      <c r="SET93" s="3"/>
      <c r="SEU93" s="3"/>
      <c r="SEV93" s="3"/>
      <c r="SEW93" s="3"/>
      <c r="SEX93" s="3"/>
      <c r="SEY93" s="3"/>
      <c r="SEZ93" s="3"/>
      <c r="SFA93" s="3"/>
      <c r="SFB93" s="3"/>
      <c r="SFC93" s="3"/>
      <c r="SFD93" s="3"/>
      <c r="SFE93" s="3"/>
      <c r="SFF93" s="3"/>
      <c r="SFG93" s="3"/>
      <c r="SFH93" s="3"/>
      <c r="SFI93" s="3"/>
      <c r="SFJ93" s="3"/>
      <c r="SFK93" s="3"/>
      <c r="SFL93" s="3"/>
      <c r="SFM93" s="3"/>
      <c r="SFN93" s="3"/>
      <c r="SFO93" s="3"/>
      <c r="SFP93" s="3"/>
      <c r="SFQ93" s="3"/>
      <c r="SFR93" s="3"/>
      <c r="SFS93" s="3"/>
      <c r="SFT93" s="3"/>
      <c r="SFU93" s="3"/>
      <c r="SFV93" s="3"/>
      <c r="SFW93" s="3"/>
      <c r="SFX93" s="3"/>
      <c r="SFY93" s="3"/>
      <c r="SFZ93" s="3"/>
      <c r="SGA93" s="3"/>
      <c r="SGB93" s="3"/>
      <c r="SGC93" s="3"/>
      <c r="SGD93" s="3"/>
      <c r="SGE93" s="3"/>
      <c r="SGF93" s="3"/>
      <c r="SGG93" s="3"/>
      <c r="SGH93" s="3"/>
      <c r="SGI93" s="3"/>
      <c r="SGJ93" s="3"/>
      <c r="SGK93" s="3"/>
      <c r="SGL93" s="3"/>
      <c r="SGM93" s="3"/>
      <c r="SGN93" s="3"/>
      <c r="SGO93" s="3"/>
      <c r="SGP93" s="3"/>
      <c r="SGQ93" s="3"/>
      <c r="SGR93" s="3"/>
      <c r="SGS93" s="3"/>
      <c r="SGT93" s="3"/>
      <c r="SGU93" s="3"/>
      <c r="SGV93" s="3"/>
      <c r="SGW93" s="3"/>
      <c r="SGX93" s="3"/>
      <c r="SGY93" s="3"/>
      <c r="SGZ93" s="3"/>
      <c r="SHA93" s="3"/>
      <c r="SHB93" s="3"/>
      <c r="SHC93" s="3"/>
      <c r="SHD93" s="3"/>
      <c r="SHE93" s="3"/>
      <c r="SHF93" s="3"/>
      <c r="SHG93" s="3"/>
      <c r="SHH93" s="3"/>
      <c r="SHI93" s="3"/>
      <c r="SHJ93" s="3"/>
      <c r="SHK93" s="3"/>
      <c r="SHL93" s="3"/>
      <c r="SHM93" s="3"/>
      <c r="SHN93" s="3"/>
      <c r="SHO93" s="3"/>
      <c r="SHP93" s="3"/>
      <c r="SHQ93" s="3"/>
      <c r="SHR93" s="3"/>
      <c r="SHS93" s="3"/>
      <c r="SHT93" s="3"/>
      <c r="SHU93" s="3"/>
      <c r="SHV93" s="3"/>
      <c r="SHW93" s="3"/>
      <c r="SHX93" s="3"/>
      <c r="SHY93" s="3"/>
      <c r="SHZ93" s="3"/>
      <c r="SIA93" s="3"/>
      <c r="SIB93" s="3"/>
      <c r="SIC93" s="3"/>
      <c r="SID93" s="3"/>
      <c r="SIE93" s="3"/>
      <c r="SIF93" s="3"/>
      <c r="SIG93" s="3"/>
      <c r="SIH93" s="3"/>
      <c r="SII93" s="3"/>
      <c r="SIJ93" s="3"/>
      <c r="SIK93" s="3"/>
      <c r="SIL93" s="3"/>
      <c r="SIM93" s="3"/>
      <c r="SIN93" s="3"/>
      <c r="SIO93" s="3"/>
      <c r="SIP93" s="3"/>
      <c r="SIQ93" s="3"/>
      <c r="SIR93" s="3"/>
      <c r="SIS93" s="3"/>
      <c r="SIT93" s="3"/>
      <c r="SIU93" s="3"/>
      <c r="SIV93" s="3"/>
      <c r="SIW93" s="3"/>
      <c r="SIX93" s="3"/>
      <c r="SIY93" s="3"/>
      <c r="SIZ93" s="3"/>
      <c r="SJA93" s="3"/>
      <c r="SJB93" s="3"/>
      <c r="SJC93" s="3"/>
      <c r="SJD93" s="3"/>
      <c r="SJE93" s="3"/>
      <c r="SJF93" s="3"/>
      <c r="SJG93" s="3"/>
      <c r="SJH93" s="3"/>
      <c r="SJI93" s="3"/>
      <c r="SJJ93" s="3"/>
      <c r="SJK93" s="3"/>
      <c r="SJL93" s="3"/>
      <c r="SJM93" s="3"/>
      <c r="SJN93" s="3"/>
      <c r="SJO93" s="3"/>
      <c r="SJP93" s="3"/>
      <c r="SJQ93" s="3"/>
      <c r="SJR93" s="3"/>
      <c r="SJS93" s="3"/>
      <c r="SJT93" s="3"/>
      <c r="SJU93" s="3"/>
      <c r="SJV93" s="3"/>
      <c r="SJW93" s="3"/>
      <c r="SJX93" s="3"/>
      <c r="SJY93" s="3"/>
      <c r="SJZ93" s="3"/>
      <c r="SKA93" s="3"/>
      <c r="SKB93" s="3"/>
      <c r="SKC93" s="3"/>
      <c r="SKD93" s="3"/>
      <c r="SKE93" s="3"/>
      <c r="SKF93" s="3"/>
      <c r="SKG93" s="3"/>
      <c r="SKH93" s="3"/>
      <c r="SKI93" s="3"/>
      <c r="SKJ93" s="3"/>
      <c r="SKK93" s="3"/>
      <c r="SKL93" s="3"/>
      <c r="SKM93" s="3"/>
      <c r="SKN93" s="3"/>
      <c r="SKO93" s="3"/>
      <c r="SKP93" s="3"/>
      <c r="SKQ93" s="3"/>
      <c r="SKR93" s="3"/>
      <c r="SKS93" s="3"/>
      <c r="SKT93" s="3"/>
      <c r="SKU93" s="3"/>
      <c r="SKV93" s="3"/>
      <c r="SKW93" s="3"/>
      <c r="SKX93" s="3"/>
      <c r="SKY93" s="3"/>
      <c r="SKZ93" s="3"/>
      <c r="SLA93" s="3"/>
      <c r="SLB93" s="3"/>
      <c r="SLC93" s="3"/>
      <c r="SLD93" s="3"/>
      <c r="SLE93" s="3"/>
      <c r="SLF93" s="3"/>
      <c r="SLG93" s="3"/>
      <c r="SLH93" s="3"/>
      <c r="SLI93" s="3"/>
      <c r="SLJ93" s="3"/>
      <c r="SLK93" s="3"/>
      <c r="SLL93" s="3"/>
      <c r="SLM93" s="3"/>
      <c r="SLN93" s="3"/>
      <c r="SLO93" s="3"/>
      <c r="SLP93" s="3"/>
      <c r="SLQ93" s="3"/>
      <c r="SLR93" s="3"/>
      <c r="SLS93" s="3"/>
      <c r="SLT93" s="3"/>
      <c r="SLU93" s="3"/>
      <c r="SLV93" s="3"/>
      <c r="SLW93" s="3"/>
      <c r="SLX93" s="3"/>
      <c r="SLY93" s="3"/>
      <c r="SLZ93" s="3"/>
      <c r="SMA93" s="3"/>
      <c r="SMB93" s="3"/>
      <c r="SMC93" s="3"/>
      <c r="SMD93" s="3"/>
      <c r="SME93" s="3"/>
      <c r="SMF93" s="3"/>
      <c r="SMG93" s="3"/>
      <c r="SMH93" s="3"/>
      <c r="SMI93" s="3"/>
      <c r="SMJ93" s="3"/>
      <c r="SMK93" s="3"/>
      <c r="SML93" s="3"/>
      <c r="SMM93" s="3"/>
      <c r="SMN93" s="3"/>
      <c r="SMO93" s="3"/>
      <c r="SMP93" s="3"/>
      <c r="SMQ93" s="3"/>
      <c r="SMR93" s="3"/>
      <c r="SMS93" s="3"/>
      <c r="SMT93" s="3"/>
      <c r="SMU93" s="3"/>
      <c r="SMV93" s="3"/>
      <c r="SMW93" s="3"/>
      <c r="SMX93" s="3"/>
      <c r="SMY93" s="3"/>
      <c r="SMZ93" s="3"/>
      <c r="SNA93" s="3"/>
      <c r="SNB93" s="3"/>
      <c r="SNC93" s="3"/>
      <c r="SND93" s="3"/>
      <c r="SNE93" s="3"/>
      <c r="SNF93" s="3"/>
      <c r="SNG93" s="3"/>
      <c r="SNH93" s="3"/>
      <c r="SNI93" s="3"/>
      <c r="SNJ93" s="3"/>
      <c r="SNK93" s="3"/>
      <c r="SNL93" s="3"/>
      <c r="SNM93" s="3"/>
      <c r="SNN93" s="3"/>
      <c r="SNO93" s="3"/>
      <c r="SNP93" s="3"/>
      <c r="SNQ93" s="3"/>
      <c r="SNR93" s="3"/>
      <c r="SNS93" s="3"/>
      <c r="SNT93" s="3"/>
      <c r="SNU93" s="3"/>
      <c r="SNV93" s="3"/>
      <c r="SNW93" s="3"/>
      <c r="SNX93" s="3"/>
      <c r="SNY93" s="3"/>
      <c r="SNZ93" s="3"/>
      <c r="SOA93" s="3"/>
      <c r="SOB93" s="3"/>
      <c r="SOC93" s="3"/>
      <c r="SOD93" s="3"/>
      <c r="SOE93" s="3"/>
      <c r="SOF93" s="3"/>
      <c r="SOG93" s="3"/>
      <c r="SOH93" s="3"/>
      <c r="SOI93" s="3"/>
      <c r="SOJ93" s="3"/>
      <c r="SOK93" s="3"/>
      <c r="SOL93" s="3"/>
      <c r="SOM93" s="3"/>
      <c r="SON93" s="3"/>
      <c r="SOO93" s="3"/>
      <c r="SOP93" s="3"/>
      <c r="SOQ93" s="3"/>
      <c r="SOR93" s="3"/>
      <c r="SOS93" s="3"/>
      <c r="SOT93" s="3"/>
      <c r="SOU93" s="3"/>
      <c r="SOV93" s="3"/>
      <c r="SOW93" s="3"/>
      <c r="SOX93" s="3"/>
      <c r="SOY93" s="3"/>
      <c r="SOZ93" s="3"/>
      <c r="SPA93" s="3"/>
      <c r="SPB93" s="3"/>
      <c r="SPC93" s="3"/>
      <c r="SPD93" s="3"/>
      <c r="SPE93" s="3"/>
      <c r="SPF93" s="3"/>
      <c r="SPG93" s="3"/>
      <c r="SPH93" s="3"/>
      <c r="SPI93" s="3"/>
      <c r="SPJ93" s="3"/>
      <c r="SPK93" s="3"/>
      <c r="SPL93" s="3"/>
      <c r="SPM93" s="3"/>
      <c r="SPN93" s="3"/>
      <c r="SPO93" s="3"/>
      <c r="SPP93" s="3"/>
      <c r="SPQ93" s="3"/>
      <c r="SPR93" s="3"/>
      <c r="SPS93" s="3"/>
      <c r="SPT93" s="3"/>
      <c r="SPU93" s="3"/>
      <c r="SPV93" s="3"/>
      <c r="SPW93" s="3"/>
      <c r="SPX93" s="3"/>
      <c r="SPY93" s="3"/>
      <c r="SPZ93" s="3"/>
      <c r="SQA93" s="3"/>
      <c r="SQB93" s="3"/>
      <c r="SQC93" s="3"/>
      <c r="SQD93" s="3"/>
      <c r="SQE93" s="3"/>
      <c r="SQF93" s="3"/>
      <c r="SQG93" s="3"/>
      <c r="SQH93" s="3"/>
      <c r="SQI93" s="3"/>
      <c r="SQJ93" s="3"/>
      <c r="SQK93" s="3"/>
      <c r="SQL93" s="3"/>
      <c r="SQM93" s="3"/>
      <c r="SQN93" s="3"/>
      <c r="SQO93" s="3"/>
      <c r="SQP93" s="3"/>
      <c r="SQQ93" s="3"/>
      <c r="SQR93" s="3"/>
      <c r="SQS93" s="3"/>
      <c r="SQT93" s="3"/>
      <c r="SQU93" s="3"/>
      <c r="SQV93" s="3"/>
      <c r="SQW93" s="3"/>
      <c r="SQX93" s="3"/>
      <c r="SQY93" s="3"/>
      <c r="SQZ93" s="3"/>
      <c r="SRA93" s="3"/>
      <c r="SRB93" s="3"/>
      <c r="SRC93" s="3"/>
      <c r="SRD93" s="3"/>
      <c r="SRE93" s="3"/>
      <c r="SRF93" s="3"/>
      <c r="SRG93" s="3"/>
      <c r="SRH93" s="3"/>
      <c r="SRI93" s="3"/>
      <c r="SRJ93" s="3"/>
      <c r="SRK93" s="3"/>
      <c r="SRL93" s="3"/>
      <c r="SRM93" s="3"/>
      <c r="SRN93" s="3"/>
      <c r="SRO93" s="3"/>
      <c r="SRP93" s="3"/>
      <c r="SRQ93" s="3"/>
      <c r="SRR93" s="3"/>
      <c r="SRS93" s="3"/>
      <c r="SRT93" s="3"/>
      <c r="SRU93" s="3"/>
      <c r="SRV93" s="3"/>
      <c r="SRW93" s="3"/>
      <c r="SRX93" s="3"/>
      <c r="SRY93" s="3"/>
      <c r="SRZ93" s="3"/>
      <c r="SSA93" s="3"/>
      <c r="SSB93" s="3"/>
      <c r="SSC93" s="3"/>
      <c r="SSD93" s="3"/>
      <c r="SSE93" s="3"/>
      <c r="SSF93" s="3"/>
      <c r="SSG93" s="3"/>
      <c r="SSH93" s="3"/>
      <c r="SSI93" s="3"/>
      <c r="SSJ93" s="3"/>
      <c r="SSK93" s="3"/>
      <c r="SSL93" s="3"/>
      <c r="SSM93" s="3"/>
      <c r="SSN93" s="3"/>
      <c r="SSO93" s="3"/>
      <c r="SSP93" s="3"/>
      <c r="SSQ93" s="3"/>
      <c r="SSR93" s="3"/>
      <c r="SSS93" s="3"/>
      <c r="SST93" s="3"/>
      <c r="SSU93" s="3"/>
      <c r="SSV93" s="3"/>
      <c r="SSW93" s="3"/>
      <c r="SSX93" s="3"/>
      <c r="SSY93" s="3"/>
      <c r="SSZ93" s="3"/>
      <c r="STA93" s="3"/>
      <c r="STB93" s="3"/>
      <c r="STC93" s="3"/>
      <c r="STD93" s="3"/>
      <c r="STE93" s="3"/>
      <c r="STF93" s="3"/>
      <c r="STG93" s="3"/>
      <c r="STH93" s="3"/>
      <c r="STI93" s="3"/>
      <c r="STJ93" s="3"/>
      <c r="STK93" s="3"/>
      <c r="STL93" s="3"/>
      <c r="STM93" s="3"/>
      <c r="STN93" s="3"/>
      <c r="STO93" s="3"/>
      <c r="STP93" s="3"/>
      <c r="STQ93" s="3"/>
      <c r="STR93" s="3"/>
      <c r="STS93" s="3"/>
      <c r="STT93" s="3"/>
      <c r="STU93" s="3"/>
      <c r="STV93" s="3"/>
      <c r="STW93" s="3"/>
      <c r="STX93" s="3"/>
      <c r="STY93" s="3"/>
      <c r="STZ93" s="3"/>
      <c r="SUA93" s="3"/>
      <c r="SUB93" s="3"/>
      <c r="SUC93" s="3"/>
      <c r="SUD93" s="3"/>
      <c r="SUE93" s="3"/>
      <c r="SUF93" s="3"/>
      <c r="SUG93" s="3"/>
      <c r="SUH93" s="3"/>
      <c r="SUI93" s="3"/>
      <c r="SUJ93" s="3"/>
      <c r="SUK93" s="3"/>
      <c r="SUL93" s="3"/>
      <c r="SUM93" s="3"/>
      <c r="SUN93" s="3"/>
      <c r="SUO93" s="3"/>
      <c r="SUP93" s="3"/>
      <c r="SUQ93" s="3"/>
      <c r="SUR93" s="3"/>
      <c r="SUS93" s="3"/>
      <c r="SUT93" s="3"/>
      <c r="SUU93" s="3"/>
      <c r="SUV93" s="3"/>
      <c r="SUW93" s="3"/>
      <c r="SUX93" s="3"/>
      <c r="SUY93" s="3"/>
      <c r="SUZ93" s="3"/>
      <c r="SVA93" s="3"/>
      <c r="SVB93" s="3"/>
      <c r="SVC93" s="3"/>
      <c r="SVD93" s="3"/>
      <c r="SVE93" s="3"/>
      <c r="SVF93" s="3"/>
      <c r="SVG93" s="3"/>
      <c r="SVH93" s="3"/>
      <c r="SVI93" s="3"/>
      <c r="SVJ93" s="3"/>
      <c r="SVK93" s="3"/>
      <c r="SVL93" s="3"/>
      <c r="SVM93" s="3"/>
      <c r="SVN93" s="3"/>
      <c r="SVO93" s="3"/>
      <c r="SVP93" s="3"/>
      <c r="SVQ93" s="3"/>
      <c r="SVR93" s="3"/>
      <c r="SVS93" s="3"/>
      <c r="SVT93" s="3"/>
      <c r="SVU93" s="3"/>
      <c r="SVV93" s="3"/>
      <c r="SVW93" s="3"/>
      <c r="SVX93" s="3"/>
      <c r="SVY93" s="3"/>
      <c r="SVZ93" s="3"/>
      <c r="SWA93" s="3"/>
      <c r="SWB93" s="3"/>
      <c r="SWC93" s="3"/>
      <c r="SWD93" s="3"/>
      <c r="SWE93" s="3"/>
      <c r="SWF93" s="3"/>
      <c r="SWG93" s="3"/>
      <c r="SWH93" s="3"/>
      <c r="SWI93" s="3"/>
      <c r="SWJ93" s="3"/>
      <c r="SWK93" s="3"/>
      <c r="SWL93" s="3"/>
      <c r="SWM93" s="3"/>
      <c r="SWN93" s="3"/>
      <c r="SWO93" s="3"/>
      <c r="SWP93" s="3"/>
      <c r="SWQ93" s="3"/>
      <c r="SWR93" s="3"/>
      <c r="SWS93" s="3"/>
      <c r="SWT93" s="3"/>
      <c r="SWU93" s="3"/>
      <c r="SWV93" s="3"/>
      <c r="SWW93" s="3"/>
      <c r="SWX93" s="3"/>
      <c r="SWY93" s="3"/>
      <c r="SWZ93" s="3"/>
      <c r="SXA93" s="3"/>
      <c r="SXB93" s="3"/>
      <c r="SXC93" s="3"/>
      <c r="SXD93" s="3"/>
      <c r="SXE93" s="3"/>
      <c r="SXF93" s="3"/>
      <c r="SXG93" s="3"/>
      <c r="SXH93" s="3"/>
      <c r="SXI93" s="3"/>
      <c r="SXJ93" s="3"/>
      <c r="SXK93" s="3"/>
      <c r="SXL93" s="3"/>
      <c r="SXM93" s="3"/>
      <c r="SXN93" s="3"/>
      <c r="SXO93" s="3"/>
      <c r="SXP93" s="3"/>
      <c r="SXQ93" s="3"/>
      <c r="SXR93" s="3"/>
      <c r="SXS93" s="3"/>
      <c r="SXT93" s="3"/>
      <c r="SXU93" s="3"/>
      <c r="SXV93" s="3"/>
      <c r="SXW93" s="3"/>
      <c r="SXX93" s="3"/>
      <c r="SXY93" s="3"/>
      <c r="SXZ93" s="3"/>
      <c r="SYA93" s="3"/>
      <c r="SYB93" s="3"/>
      <c r="SYC93" s="3"/>
      <c r="SYD93" s="3"/>
      <c r="SYE93" s="3"/>
      <c r="SYF93" s="3"/>
      <c r="SYG93" s="3"/>
      <c r="SYH93" s="3"/>
      <c r="SYI93" s="3"/>
      <c r="SYJ93" s="3"/>
      <c r="SYK93" s="3"/>
      <c r="SYL93" s="3"/>
      <c r="SYM93" s="3"/>
      <c r="SYN93" s="3"/>
      <c r="SYO93" s="3"/>
      <c r="SYP93" s="3"/>
      <c r="SYQ93" s="3"/>
      <c r="SYR93" s="3"/>
      <c r="SYS93" s="3"/>
      <c r="SYT93" s="3"/>
      <c r="SYU93" s="3"/>
      <c r="SYV93" s="3"/>
      <c r="SYW93" s="3"/>
      <c r="SYX93" s="3"/>
      <c r="SYY93" s="3"/>
      <c r="SYZ93" s="3"/>
      <c r="SZA93" s="3"/>
      <c r="SZB93" s="3"/>
      <c r="SZC93" s="3"/>
      <c r="SZD93" s="3"/>
      <c r="SZE93" s="3"/>
      <c r="SZF93" s="3"/>
      <c r="SZG93" s="3"/>
      <c r="SZH93" s="3"/>
      <c r="SZI93" s="3"/>
      <c r="SZJ93" s="3"/>
      <c r="SZK93" s="3"/>
      <c r="SZL93" s="3"/>
      <c r="SZM93" s="3"/>
      <c r="SZN93" s="3"/>
      <c r="SZO93" s="3"/>
      <c r="SZP93" s="3"/>
      <c r="SZQ93" s="3"/>
      <c r="SZR93" s="3"/>
      <c r="SZS93" s="3"/>
      <c r="SZT93" s="3"/>
      <c r="SZU93" s="3"/>
      <c r="SZV93" s="3"/>
      <c r="SZW93" s="3"/>
      <c r="SZX93" s="3"/>
      <c r="SZY93" s="3"/>
      <c r="SZZ93" s="3"/>
      <c r="TAA93" s="3"/>
      <c r="TAB93" s="3"/>
      <c r="TAC93" s="3"/>
      <c r="TAD93" s="3"/>
      <c r="TAE93" s="3"/>
      <c r="TAF93" s="3"/>
      <c r="TAG93" s="3"/>
      <c r="TAH93" s="3"/>
      <c r="TAI93" s="3"/>
      <c r="TAJ93" s="3"/>
      <c r="TAK93" s="3"/>
      <c r="TAL93" s="3"/>
      <c r="TAM93" s="3"/>
      <c r="TAN93" s="3"/>
      <c r="TAO93" s="3"/>
      <c r="TAP93" s="3"/>
      <c r="TAQ93" s="3"/>
      <c r="TAR93" s="3"/>
      <c r="TAS93" s="3"/>
      <c r="TAT93" s="3"/>
      <c r="TAU93" s="3"/>
      <c r="TAV93" s="3"/>
      <c r="TAW93" s="3"/>
      <c r="TAX93" s="3"/>
      <c r="TAY93" s="3"/>
      <c r="TAZ93" s="3"/>
      <c r="TBA93" s="3"/>
      <c r="TBB93" s="3"/>
      <c r="TBC93" s="3"/>
      <c r="TBD93" s="3"/>
      <c r="TBE93" s="3"/>
      <c r="TBF93" s="3"/>
      <c r="TBG93" s="3"/>
      <c r="TBH93" s="3"/>
      <c r="TBI93" s="3"/>
      <c r="TBJ93" s="3"/>
      <c r="TBK93" s="3"/>
      <c r="TBL93" s="3"/>
      <c r="TBM93" s="3"/>
      <c r="TBN93" s="3"/>
      <c r="TBO93" s="3"/>
      <c r="TBP93" s="3"/>
      <c r="TBQ93" s="3"/>
      <c r="TBR93" s="3"/>
      <c r="TBS93" s="3"/>
      <c r="TBT93" s="3"/>
      <c r="TBU93" s="3"/>
      <c r="TBV93" s="3"/>
      <c r="TBW93" s="3"/>
      <c r="TBX93" s="3"/>
      <c r="TBY93" s="3"/>
      <c r="TBZ93" s="3"/>
      <c r="TCA93" s="3"/>
      <c r="TCB93" s="3"/>
      <c r="TCC93" s="3"/>
      <c r="TCD93" s="3"/>
      <c r="TCE93" s="3"/>
      <c r="TCF93" s="3"/>
      <c r="TCG93" s="3"/>
      <c r="TCH93" s="3"/>
      <c r="TCI93" s="3"/>
      <c r="TCJ93" s="3"/>
      <c r="TCK93" s="3"/>
      <c r="TCL93" s="3"/>
      <c r="TCM93" s="3"/>
      <c r="TCN93" s="3"/>
      <c r="TCO93" s="3"/>
      <c r="TCP93" s="3"/>
      <c r="TCQ93" s="3"/>
      <c r="TCR93" s="3"/>
      <c r="TCS93" s="3"/>
      <c r="TCT93" s="3"/>
      <c r="TCU93" s="3"/>
      <c r="TCV93" s="3"/>
      <c r="TCW93" s="3"/>
      <c r="TCX93" s="3"/>
      <c r="TCY93" s="3"/>
      <c r="TCZ93" s="3"/>
      <c r="TDA93" s="3"/>
      <c r="TDB93" s="3"/>
      <c r="TDC93" s="3"/>
      <c r="TDD93" s="3"/>
      <c r="TDE93" s="3"/>
      <c r="TDF93" s="3"/>
      <c r="TDG93" s="3"/>
      <c r="TDH93" s="3"/>
      <c r="TDI93" s="3"/>
      <c r="TDJ93" s="3"/>
      <c r="TDK93" s="3"/>
      <c r="TDL93" s="3"/>
      <c r="TDM93" s="3"/>
      <c r="TDN93" s="3"/>
      <c r="TDO93" s="3"/>
      <c r="TDP93" s="3"/>
      <c r="TDQ93" s="3"/>
      <c r="TDR93" s="3"/>
      <c r="TDS93" s="3"/>
      <c r="TDT93" s="3"/>
      <c r="TDU93" s="3"/>
      <c r="TDV93" s="3"/>
      <c r="TDW93" s="3"/>
      <c r="TDX93" s="3"/>
      <c r="TDY93" s="3"/>
      <c r="TDZ93" s="3"/>
      <c r="TEA93" s="3"/>
      <c r="TEB93" s="3"/>
      <c r="TEC93" s="3"/>
      <c r="TED93" s="3"/>
      <c r="TEE93" s="3"/>
      <c r="TEF93" s="3"/>
      <c r="TEG93" s="3"/>
      <c r="TEH93" s="3"/>
      <c r="TEI93" s="3"/>
      <c r="TEJ93" s="3"/>
      <c r="TEK93" s="3"/>
      <c r="TEL93" s="3"/>
      <c r="TEM93" s="3"/>
      <c r="TEN93" s="3"/>
      <c r="TEO93" s="3"/>
      <c r="TEP93" s="3"/>
      <c r="TEQ93" s="3"/>
      <c r="TER93" s="3"/>
      <c r="TES93" s="3"/>
      <c r="TET93" s="3"/>
      <c r="TEU93" s="3"/>
      <c r="TEV93" s="3"/>
      <c r="TEW93" s="3"/>
      <c r="TEX93" s="3"/>
      <c r="TEY93" s="3"/>
      <c r="TEZ93" s="3"/>
      <c r="TFA93" s="3"/>
      <c r="TFB93" s="3"/>
      <c r="TFC93" s="3"/>
      <c r="TFD93" s="3"/>
      <c r="TFE93" s="3"/>
      <c r="TFF93" s="3"/>
      <c r="TFG93" s="3"/>
      <c r="TFH93" s="3"/>
      <c r="TFI93" s="3"/>
      <c r="TFJ93" s="3"/>
      <c r="TFK93" s="3"/>
      <c r="TFL93" s="3"/>
      <c r="TFM93" s="3"/>
      <c r="TFN93" s="3"/>
      <c r="TFO93" s="3"/>
      <c r="TFP93" s="3"/>
      <c r="TFQ93" s="3"/>
      <c r="TFR93" s="3"/>
      <c r="TFS93" s="3"/>
      <c r="TFT93" s="3"/>
      <c r="TFU93" s="3"/>
      <c r="TFV93" s="3"/>
      <c r="TFW93" s="3"/>
      <c r="TFX93" s="3"/>
      <c r="TFY93" s="3"/>
      <c r="TFZ93" s="3"/>
      <c r="TGA93" s="3"/>
      <c r="TGB93" s="3"/>
      <c r="TGC93" s="3"/>
      <c r="TGD93" s="3"/>
      <c r="TGE93" s="3"/>
      <c r="TGF93" s="3"/>
      <c r="TGG93" s="3"/>
      <c r="TGH93" s="3"/>
      <c r="TGI93" s="3"/>
      <c r="TGJ93" s="3"/>
      <c r="TGK93" s="3"/>
      <c r="TGL93" s="3"/>
      <c r="TGM93" s="3"/>
      <c r="TGN93" s="3"/>
      <c r="TGO93" s="3"/>
      <c r="TGP93" s="3"/>
      <c r="TGQ93" s="3"/>
      <c r="TGR93" s="3"/>
      <c r="TGS93" s="3"/>
      <c r="TGT93" s="3"/>
      <c r="TGU93" s="3"/>
      <c r="TGV93" s="3"/>
      <c r="TGW93" s="3"/>
      <c r="TGX93" s="3"/>
      <c r="TGY93" s="3"/>
      <c r="TGZ93" s="3"/>
      <c r="THA93" s="3"/>
      <c r="THB93" s="3"/>
      <c r="THC93" s="3"/>
      <c r="THD93" s="3"/>
      <c r="THE93" s="3"/>
      <c r="THF93" s="3"/>
      <c r="THG93" s="3"/>
      <c r="THH93" s="3"/>
      <c r="THI93" s="3"/>
      <c r="THJ93" s="3"/>
      <c r="THK93" s="3"/>
      <c r="THL93" s="3"/>
      <c r="THM93" s="3"/>
      <c r="THN93" s="3"/>
      <c r="THO93" s="3"/>
      <c r="THP93" s="3"/>
      <c r="THQ93" s="3"/>
      <c r="THR93" s="3"/>
      <c r="THS93" s="3"/>
      <c r="THT93" s="3"/>
      <c r="THU93" s="3"/>
      <c r="THV93" s="3"/>
      <c r="THW93" s="3"/>
      <c r="THX93" s="3"/>
      <c r="THY93" s="3"/>
      <c r="THZ93" s="3"/>
      <c r="TIA93" s="3"/>
      <c r="TIB93" s="3"/>
      <c r="TIC93" s="3"/>
      <c r="TID93" s="3"/>
      <c r="TIE93" s="3"/>
      <c r="TIF93" s="3"/>
      <c r="TIG93" s="3"/>
      <c r="TIH93" s="3"/>
      <c r="TII93" s="3"/>
      <c r="TIJ93" s="3"/>
      <c r="TIK93" s="3"/>
      <c r="TIL93" s="3"/>
      <c r="TIM93" s="3"/>
      <c r="TIN93" s="3"/>
      <c r="TIO93" s="3"/>
      <c r="TIP93" s="3"/>
      <c r="TIQ93" s="3"/>
      <c r="TIR93" s="3"/>
      <c r="TIS93" s="3"/>
      <c r="TIT93" s="3"/>
      <c r="TIU93" s="3"/>
      <c r="TIV93" s="3"/>
      <c r="TIW93" s="3"/>
      <c r="TIX93" s="3"/>
      <c r="TIY93" s="3"/>
      <c r="TIZ93" s="3"/>
      <c r="TJA93" s="3"/>
      <c r="TJB93" s="3"/>
      <c r="TJC93" s="3"/>
      <c r="TJD93" s="3"/>
      <c r="TJE93" s="3"/>
      <c r="TJF93" s="3"/>
      <c r="TJG93" s="3"/>
      <c r="TJH93" s="3"/>
      <c r="TJI93" s="3"/>
      <c r="TJJ93" s="3"/>
      <c r="TJK93" s="3"/>
      <c r="TJL93" s="3"/>
      <c r="TJM93" s="3"/>
      <c r="TJN93" s="3"/>
      <c r="TJO93" s="3"/>
      <c r="TJP93" s="3"/>
      <c r="TJQ93" s="3"/>
      <c r="TJR93" s="3"/>
      <c r="TJS93" s="3"/>
      <c r="TJT93" s="3"/>
      <c r="TJU93" s="3"/>
      <c r="TJV93" s="3"/>
      <c r="TJW93" s="3"/>
      <c r="TJX93" s="3"/>
      <c r="TJY93" s="3"/>
      <c r="TJZ93" s="3"/>
      <c r="TKA93" s="3"/>
      <c r="TKB93" s="3"/>
      <c r="TKC93" s="3"/>
      <c r="TKD93" s="3"/>
      <c r="TKE93" s="3"/>
      <c r="TKF93" s="3"/>
      <c r="TKG93" s="3"/>
      <c r="TKH93" s="3"/>
      <c r="TKI93" s="3"/>
      <c r="TKJ93" s="3"/>
      <c r="TKK93" s="3"/>
      <c r="TKL93" s="3"/>
      <c r="TKM93" s="3"/>
      <c r="TKN93" s="3"/>
      <c r="TKO93" s="3"/>
      <c r="TKP93" s="3"/>
      <c r="TKQ93" s="3"/>
      <c r="TKR93" s="3"/>
      <c r="TKS93" s="3"/>
      <c r="TKT93" s="3"/>
      <c r="TKU93" s="3"/>
      <c r="TKV93" s="3"/>
      <c r="TKW93" s="3"/>
      <c r="TKX93" s="3"/>
      <c r="TKY93" s="3"/>
      <c r="TKZ93" s="3"/>
      <c r="TLA93" s="3"/>
      <c r="TLB93" s="3"/>
      <c r="TLC93" s="3"/>
      <c r="TLD93" s="3"/>
      <c r="TLE93" s="3"/>
      <c r="TLF93" s="3"/>
      <c r="TLG93" s="3"/>
      <c r="TLH93" s="3"/>
      <c r="TLI93" s="3"/>
      <c r="TLJ93" s="3"/>
      <c r="TLK93" s="3"/>
      <c r="TLL93" s="3"/>
      <c r="TLM93" s="3"/>
      <c r="TLN93" s="3"/>
      <c r="TLO93" s="3"/>
      <c r="TLP93" s="3"/>
      <c r="TLQ93" s="3"/>
      <c r="TLR93" s="3"/>
      <c r="TLS93" s="3"/>
      <c r="TLT93" s="3"/>
      <c r="TLU93" s="3"/>
      <c r="TLV93" s="3"/>
      <c r="TLW93" s="3"/>
      <c r="TLX93" s="3"/>
      <c r="TLY93" s="3"/>
      <c r="TLZ93" s="3"/>
      <c r="TMA93" s="3"/>
      <c r="TMB93" s="3"/>
      <c r="TMC93" s="3"/>
      <c r="TMD93" s="3"/>
      <c r="TME93" s="3"/>
      <c r="TMF93" s="3"/>
      <c r="TMG93" s="3"/>
      <c r="TMH93" s="3"/>
      <c r="TMI93" s="3"/>
      <c r="TMJ93" s="3"/>
      <c r="TMK93" s="3"/>
      <c r="TML93" s="3"/>
      <c r="TMM93" s="3"/>
      <c r="TMN93" s="3"/>
      <c r="TMO93" s="3"/>
      <c r="TMP93" s="3"/>
      <c r="TMQ93" s="3"/>
      <c r="TMR93" s="3"/>
      <c r="TMS93" s="3"/>
      <c r="TMT93" s="3"/>
      <c r="TMU93" s="3"/>
      <c r="TMV93" s="3"/>
      <c r="TMW93" s="3"/>
      <c r="TMX93" s="3"/>
      <c r="TMY93" s="3"/>
      <c r="TMZ93" s="3"/>
      <c r="TNA93" s="3"/>
      <c r="TNB93" s="3"/>
      <c r="TNC93" s="3"/>
      <c r="TND93" s="3"/>
      <c r="TNE93" s="3"/>
      <c r="TNF93" s="3"/>
      <c r="TNG93" s="3"/>
      <c r="TNH93" s="3"/>
      <c r="TNI93" s="3"/>
      <c r="TNJ93" s="3"/>
      <c r="TNK93" s="3"/>
      <c r="TNL93" s="3"/>
      <c r="TNM93" s="3"/>
      <c r="TNN93" s="3"/>
      <c r="TNO93" s="3"/>
      <c r="TNP93" s="3"/>
      <c r="TNQ93" s="3"/>
      <c r="TNR93" s="3"/>
      <c r="TNS93" s="3"/>
      <c r="TNT93" s="3"/>
      <c r="TNU93" s="3"/>
      <c r="TNV93" s="3"/>
      <c r="TNW93" s="3"/>
      <c r="TNX93" s="3"/>
      <c r="TNY93" s="3"/>
      <c r="TNZ93" s="3"/>
      <c r="TOA93" s="3"/>
      <c r="TOB93" s="3"/>
      <c r="TOC93" s="3"/>
      <c r="TOD93" s="3"/>
      <c r="TOE93" s="3"/>
      <c r="TOF93" s="3"/>
      <c r="TOG93" s="3"/>
      <c r="TOH93" s="3"/>
      <c r="TOI93" s="3"/>
      <c r="TOJ93" s="3"/>
      <c r="TOK93" s="3"/>
      <c r="TOL93" s="3"/>
      <c r="TOM93" s="3"/>
      <c r="TON93" s="3"/>
      <c r="TOO93" s="3"/>
      <c r="TOP93" s="3"/>
      <c r="TOQ93" s="3"/>
      <c r="TOR93" s="3"/>
      <c r="TOS93" s="3"/>
      <c r="TOT93" s="3"/>
      <c r="TOU93" s="3"/>
      <c r="TOV93" s="3"/>
      <c r="TOW93" s="3"/>
      <c r="TOX93" s="3"/>
      <c r="TOY93" s="3"/>
      <c r="TOZ93" s="3"/>
      <c r="TPA93" s="3"/>
      <c r="TPB93" s="3"/>
      <c r="TPC93" s="3"/>
      <c r="TPD93" s="3"/>
      <c r="TPE93" s="3"/>
      <c r="TPF93" s="3"/>
      <c r="TPG93" s="3"/>
      <c r="TPH93" s="3"/>
      <c r="TPI93" s="3"/>
      <c r="TPJ93" s="3"/>
      <c r="TPK93" s="3"/>
      <c r="TPL93" s="3"/>
      <c r="TPM93" s="3"/>
      <c r="TPN93" s="3"/>
      <c r="TPO93" s="3"/>
      <c r="TPP93" s="3"/>
      <c r="TPQ93" s="3"/>
      <c r="TPR93" s="3"/>
      <c r="TPS93" s="3"/>
      <c r="TPT93" s="3"/>
      <c r="TPU93" s="3"/>
      <c r="TPV93" s="3"/>
      <c r="TPW93" s="3"/>
      <c r="TPX93" s="3"/>
      <c r="TPY93" s="3"/>
      <c r="TPZ93" s="3"/>
      <c r="TQA93" s="3"/>
      <c r="TQB93" s="3"/>
      <c r="TQC93" s="3"/>
      <c r="TQD93" s="3"/>
      <c r="TQE93" s="3"/>
      <c r="TQF93" s="3"/>
      <c r="TQG93" s="3"/>
      <c r="TQH93" s="3"/>
      <c r="TQI93" s="3"/>
      <c r="TQJ93" s="3"/>
      <c r="TQK93" s="3"/>
      <c r="TQL93" s="3"/>
      <c r="TQM93" s="3"/>
      <c r="TQN93" s="3"/>
      <c r="TQO93" s="3"/>
      <c r="TQP93" s="3"/>
      <c r="TQQ93" s="3"/>
      <c r="TQR93" s="3"/>
      <c r="TQS93" s="3"/>
      <c r="TQT93" s="3"/>
      <c r="TQU93" s="3"/>
      <c r="TQV93" s="3"/>
      <c r="TQW93" s="3"/>
      <c r="TQX93" s="3"/>
      <c r="TQY93" s="3"/>
      <c r="TQZ93" s="3"/>
      <c r="TRA93" s="3"/>
      <c r="TRB93" s="3"/>
      <c r="TRC93" s="3"/>
      <c r="TRD93" s="3"/>
      <c r="TRE93" s="3"/>
      <c r="TRF93" s="3"/>
      <c r="TRG93" s="3"/>
      <c r="TRH93" s="3"/>
      <c r="TRI93" s="3"/>
      <c r="TRJ93" s="3"/>
      <c r="TRK93" s="3"/>
      <c r="TRL93" s="3"/>
      <c r="TRM93" s="3"/>
      <c r="TRN93" s="3"/>
      <c r="TRO93" s="3"/>
      <c r="TRP93" s="3"/>
      <c r="TRQ93" s="3"/>
      <c r="TRR93" s="3"/>
      <c r="TRS93" s="3"/>
      <c r="TRT93" s="3"/>
      <c r="TRU93" s="3"/>
      <c r="TRV93" s="3"/>
      <c r="TRW93" s="3"/>
      <c r="TRX93" s="3"/>
      <c r="TRY93" s="3"/>
      <c r="TRZ93" s="3"/>
      <c r="TSA93" s="3"/>
      <c r="TSB93" s="3"/>
      <c r="TSC93" s="3"/>
      <c r="TSD93" s="3"/>
      <c r="TSE93" s="3"/>
      <c r="TSF93" s="3"/>
      <c r="TSG93" s="3"/>
      <c r="TSH93" s="3"/>
      <c r="TSI93" s="3"/>
      <c r="TSJ93" s="3"/>
      <c r="TSK93" s="3"/>
      <c r="TSL93" s="3"/>
      <c r="TSM93" s="3"/>
      <c r="TSN93" s="3"/>
      <c r="TSO93" s="3"/>
      <c r="TSP93" s="3"/>
      <c r="TSQ93" s="3"/>
      <c r="TSR93" s="3"/>
      <c r="TSS93" s="3"/>
      <c r="TST93" s="3"/>
      <c r="TSU93" s="3"/>
      <c r="TSV93" s="3"/>
      <c r="TSW93" s="3"/>
      <c r="TSX93" s="3"/>
      <c r="TSY93" s="3"/>
      <c r="TSZ93" s="3"/>
      <c r="TTA93" s="3"/>
      <c r="TTB93" s="3"/>
      <c r="TTC93" s="3"/>
      <c r="TTD93" s="3"/>
      <c r="TTE93" s="3"/>
      <c r="TTF93" s="3"/>
      <c r="TTG93" s="3"/>
      <c r="TTH93" s="3"/>
      <c r="TTI93" s="3"/>
      <c r="TTJ93" s="3"/>
      <c r="TTK93" s="3"/>
      <c r="TTL93" s="3"/>
      <c r="TTM93" s="3"/>
      <c r="TTN93" s="3"/>
      <c r="TTO93" s="3"/>
      <c r="TTP93" s="3"/>
      <c r="TTQ93" s="3"/>
      <c r="TTR93" s="3"/>
      <c r="TTS93" s="3"/>
      <c r="TTT93" s="3"/>
      <c r="TTU93" s="3"/>
      <c r="TTV93" s="3"/>
      <c r="TTW93" s="3"/>
      <c r="TTX93" s="3"/>
      <c r="TTY93" s="3"/>
      <c r="TTZ93" s="3"/>
      <c r="TUA93" s="3"/>
      <c r="TUB93" s="3"/>
      <c r="TUC93" s="3"/>
      <c r="TUD93" s="3"/>
      <c r="TUE93" s="3"/>
      <c r="TUF93" s="3"/>
      <c r="TUG93" s="3"/>
      <c r="TUH93" s="3"/>
      <c r="TUI93" s="3"/>
      <c r="TUJ93" s="3"/>
      <c r="TUK93" s="3"/>
      <c r="TUL93" s="3"/>
      <c r="TUM93" s="3"/>
      <c r="TUN93" s="3"/>
      <c r="TUO93" s="3"/>
      <c r="TUP93" s="3"/>
      <c r="TUQ93" s="3"/>
      <c r="TUR93" s="3"/>
      <c r="TUS93" s="3"/>
      <c r="TUT93" s="3"/>
      <c r="TUU93" s="3"/>
      <c r="TUV93" s="3"/>
      <c r="TUW93" s="3"/>
      <c r="TUX93" s="3"/>
      <c r="TUY93" s="3"/>
      <c r="TUZ93" s="3"/>
      <c r="TVA93" s="3"/>
      <c r="TVB93" s="3"/>
      <c r="TVC93" s="3"/>
      <c r="TVD93" s="3"/>
      <c r="TVE93" s="3"/>
      <c r="TVF93" s="3"/>
      <c r="TVG93" s="3"/>
      <c r="TVH93" s="3"/>
      <c r="TVI93" s="3"/>
      <c r="TVJ93" s="3"/>
      <c r="TVK93" s="3"/>
      <c r="TVL93" s="3"/>
      <c r="TVM93" s="3"/>
      <c r="TVN93" s="3"/>
      <c r="TVO93" s="3"/>
      <c r="TVP93" s="3"/>
      <c r="TVQ93" s="3"/>
      <c r="TVR93" s="3"/>
      <c r="TVS93" s="3"/>
      <c r="TVT93" s="3"/>
      <c r="TVU93" s="3"/>
      <c r="TVV93" s="3"/>
      <c r="TVW93" s="3"/>
      <c r="TVX93" s="3"/>
      <c r="TVY93" s="3"/>
      <c r="TVZ93" s="3"/>
      <c r="TWA93" s="3"/>
      <c r="TWB93" s="3"/>
      <c r="TWC93" s="3"/>
      <c r="TWD93" s="3"/>
      <c r="TWE93" s="3"/>
      <c r="TWF93" s="3"/>
      <c r="TWG93" s="3"/>
      <c r="TWH93" s="3"/>
      <c r="TWI93" s="3"/>
      <c r="TWJ93" s="3"/>
      <c r="TWK93" s="3"/>
      <c r="TWL93" s="3"/>
      <c r="TWM93" s="3"/>
      <c r="TWN93" s="3"/>
      <c r="TWO93" s="3"/>
      <c r="TWP93" s="3"/>
      <c r="TWQ93" s="3"/>
      <c r="TWR93" s="3"/>
      <c r="TWS93" s="3"/>
      <c r="TWT93" s="3"/>
      <c r="TWU93" s="3"/>
      <c r="TWV93" s="3"/>
      <c r="TWW93" s="3"/>
      <c r="TWX93" s="3"/>
      <c r="TWY93" s="3"/>
      <c r="TWZ93" s="3"/>
      <c r="TXA93" s="3"/>
      <c r="TXB93" s="3"/>
      <c r="TXC93" s="3"/>
      <c r="TXD93" s="3"/>
      <c r="TXE93" s="3"/>
      <c r="TXF93" s="3"/>
      <c r="TXG93" s="3"/>
      <c r="TXH93" s="3"/>
      <c r="TXI93" s="3"/>
      <c r="TXJ93" s="3"/>
      <c r="TXK93" s="3"/>
      <c r="TXL93" s="3"/>
      <c r="TXM93" s="3"/>
      <c r="TXN93" s="3"/>
      <c r="TXO93" s="3"/>
      <c r="TXP93" s="3"/>
      <c r="TXQ93" s="3"/>
      <c r="TXR93" s="3"/>
      <c r="TXS93" s="3"/>
      <c r="TXT93" s="3"/>
      <c r="TXU93" s="3"/>
      <c r="TXV93" s="3"/>
      <c r="TXW93" s="3"/>
      <c r="TXX93" s="3"/>
      <c r="TXY93" s="3"/>
      <c r="TXZ93" s="3"/>
      <c r="TYA93" s="3"/>
      <c r="TYB93" s="3"/>
      <c r="TYC93" s="3"/>
      <c r="TYD93" s="3"/>
      <c r="TYE93" s="3"/>
      <c r="TYF93" s="3"/>
      <c r="TYG93" s="3"/>
      <c r="TYH93" s="3"/>
      <c r="TYI93" s="3"/>
      <c r="TYJ93" s="3"/>
      <c r="TYK93" s="3"/>
      <c r="TYL93" s="3"/>
      <c r="TYM93" s="3"/>
      <c r="TYN93" s="3"/>
      <c r="TYO93" s="3"/>
      <c r="TYP93" s="3"/>
      <c r="TYQ93" s="3"/>
      <c r="TYR93" s="3"/>
      <c r="TYS93" s="3"/>
      <c r="TYT93" s="3"/>
      <c r="TYU93" s="3"/>
      <c r="TYV93" s="3"/>
      <c r="TYW93" s="3"/>
      <c r="TYX93" s="3"/>
      <c r="TYY93" s="3"/>
      <c r="TYZ93" s="3"/>
      <c r="TZA93" s="3"/>
      <c r="TZB93" s="3"/>
      <c r="TZC93" s="3"/>
      <c r="TZD93" s="3"/>
      <c r="TZE93" s="3"/>
      <c r="TZF93" s="3"/>
      <c r="TZG93" s="3"/>
      <c r="TZH93" s="3"/>
      <c r="TZI93" s="3"/>
      <c r="TZJ93" s="3"/>
      <c r="TZK93" s="3"/>
      <c r="TZL93" s="3"/>
      <c r="TZM93" s="3"/>
      <c r="TZN93" s="3"/>
      <c r="TZO93" s="3"/>
      <c r="TZP93" s="3"/>
      <c r="TZQ93" s="3"/>
      <c r="TZR93" s="3"/>
      <c r="TZS93" s="3"/>
      <c r="TZT93" s="3"/>
      <c r="TZU93" s="3"/>
      <c r="TZV93" s="3"/>
      <c r="TZW93" s="3"/>
      <c r="TZX93" s="3"/>
      <c r="TZY93" s="3"/>
      <c r="TZZ93" s="3"/>
      <c r="UAA93" s="3"/>
      <c r="UAB93" s="3"/>
      <c r="UAC93" s="3"/>
      <c r="UAD93" s="3"/>
      <c r="UAE93" s="3"/>
      <c r="UAF93" s="3"/>
      <c r="UAG93" s="3"/>
      <c r="UAH93" s="3"/>
      <c r="UAI93" s="3"/>
      <c r="UAJ93" s="3"/>
      <c r="UAK93" s="3"/>
      <c r="UAL93" s="3"/>
      <c r="UAM93" s="3"/>
      <c r="UAN93" s="3"/>
      <c r="UAO93" s="3"/>
      <c r="UAP93" s="3"/>
      <c r="UAQ93" s="3"/>
      <c r="UAR93" s="3"/>
      <c r="UAS93" s="3"/>
      <c r="UAT93" s="3"/>
      <c r="UAU93" s="3"/>
      <c r="UAV93" s="3"/>
      <c r="UAW93" s="3"/>
      <c r="UAX93" s="3"/>
      <c r="UAY93" s="3"/>
      <c r="UAZ93" s="3"/>
      <c r="UBA93" s="3"/>
      <c r="UBB93" s="3"/>
      <c r="UBC93" s="3"/>
      <c r="UBD93" s="3"/>
      <c r="UBE93" s="3"/>
      <c r="UBF93" s="3"/>
      <c r="UBG93" s="3"/>
      <c r="UBH93" s="3"/>
      <c r="UBI93" s="3"/>
      <c r="UBJ93" s="3"/>
      <c r="UBK93" s="3"/>
      <c r="UBL93" s="3"/>
      <c r="UBM93" s="3"/>
      <c r="UBN93" s="3"/>
      <c r="UBO93" s="3"/>
      <c r="UBP93" s="3"/>
      <c r="UBQ93" s="3"/>
      <c r="UBR93" s="3"/>
      <c r="UBS93" s="3"/>
      <c r="UBT93" s="3"/>
      <c r="UBU93" s="3"/>
      <c r="UBV93" s="3"/>
      <c r="UBW93" s="3"/>
      <c r="UBX93" s="3"/>
      <c r="UBY93" s="3"/>
      <c r="UBZ93" s="3"/>
      <c r="UCA93" s="3"/>
      <c r="UCB93" s="3"/>
      <c r="UCC93" s="3"/>
      <c r="UCD93" s="3"/>
      <c r="UCE93" s="3"/>
      <c r="UCF93" s="3"/>
      <c r="UCG93" s="3"/>
      <c r="UCH93" s="3"/>
      <c r="UCI93" s="3"/>
      <c r="UCJ93" s="3"/>
      <c r="UCK93" s="3"/>
      <c r="UCL93" s="3"/>
      <c r="UCM93" s="3"/>
      <c r="UCN93" s="3"/>
      <c r="UCO93" s="3"/>
      <c r="UCP93" s="3"/>
      <c r="UCQ93" s="3"/>
      <c r="UCR93" s="3"/>
      <c r="UCS93" s="3"/>
      <c r="UCT93" s="3"/>
      <c r="UCU93" s="3"/>
      <c r="UCV93" s="3"/>
      <c r="UCW93" s="3"/>
      <c r="UCX93" s="3"/>
      <c r="UCY93" s="3"/>
      <c r="UCZ93" s="3"/>
      <c r="UDA93" s="3"/>
      <c r="UDB93" s="3"/>
      <c r="UDC93" s="3"/>
      <c r="UDD93" s="3"/>
      <c r="UDE93" s="3"/>
      <c r="UDF93" s="3"/>
      <c r="UDG93" s="3"/>
      <c r="UDH93" s="3"/>
      <c r="UDI93" s="3"/>
      <c r="UDJ93" s="3"/>
      <c r="UDK93" s="3"/>
      <c r="UDL93" s="3"/>
      <c r="UDM93" s="3"/>
      <c r="UDN93" s="3"/>
      <c r="UDO93" s="3"/>
      <c r="UDP93" s="3"/>
      <c r="UDQ93" s="3"/>
      <c r="UDR93" s="3"/>
      <c r="UDS93" s="3"/>
      <c r="UDT93" s="3"/>
      <c r="UDU93" s="3"/>
      <c r="UDV93" s="3"/>
      <c r="UDW93" s="3"/>
      <c r="UDX93" s="3"/>
      <c r="UDY93" s="3"/>
      <c r="UDZ93" s="3"/>
      <c r="UEA93" s="3"/>
      <c r="UEB93" s="3"/>
      <c r="UEC93" s="3"/>
      <c r="UED93" s="3"/>
      <c r="UEE93" s="3"/>
      <c r="UEF93" s="3"/>
      <c r="UEG93" s="3"/>
      <c r="UEH93" s="3"/>
      <c r="UEI93" s="3"/>
      <c r="UEJ93" s="3"/>
      <c r="UEK93" s="3"/>
      <c r="UEL93" s="3"/>
      <c r="UEM93" s="3"/>
      <c r="UEN93" s="3"/>
      <c r="UEO93" s="3"/>
      <c r="UEP93" s="3"/>
      <c r="UEQ93" s="3"/>
      <c r="UER93" s="3"/>
      <c r="UES93" s="3"/>
      <c r="UET93" s="3"/>
      <c r="UEU93" s="3"/>
      <c r="UEV93" s="3"/>
      <c r="UEW93" s="3"/>
      <c r="UEX93" s="3"/>
      <c r="UEY93" s="3"/>
      <c r="UEZ93" s="3"/>
      <c r="UFA93" s="3"/>
      <c r="UFB93" s="3"/>
      <c r="UFC93" s="3"/>
      <c r="UFD93" s="3"/>
      <c r="UFE93" s="3"/>
      <c r="UFF93" s="3"/>
      <c r="UFG93" s="3"/>
      <c r="UFH93" s="3"/>
      <c r="UFI93" s="3"/>
      <c r="UFJ93" s="3"/>
      <c r="UFK93" s="3"/>
      <c r="UFL93" s="3"/>
      <c r="UFM93" s="3"/>
      <c r="UFN93" s="3"/>
      <c r="UFO93" s="3"/>
      <c r="UFP93" s="3"/>
      <c r="UFQ93" s="3"/>
      <c r="UFR93" s="3"/>
      <c r="UFS93" s="3"/>
      <c r="UFT93" s="3"/>
      <c r="UFU93" s="3"/>
      <c r="UFV93" s="3"/>
      <c r="UFW93" s="3"/>
      <c r="UFX93" s="3"/>
      <c r="UFY93" s="3"/>
      <c r="UFZ93" s="3"/>
      <c r="UGA93" s="3"/>
      <c r="UGB93" s="3"/>
      <c r="UGC93" s="3"/>
      <c r="UGD93" s="3"/>
      <c r="UGE93" s="3"/>
      <c r="UGF93" s="3"/>
      <c r="UGG93" s="3"/>
      <c r="UGH93" s="3"/>
      <c r="UGI93" s="3"/>
      <c r="UGJ93" s="3"/>
      <c r="UGK93" s="3"/>
      <c r="UGL93" s="3"/>
      <c r="UGM93" s="3"/>
      <c r="UGN93" s="3"/>
      <c r="UGO93" s="3"/>
      <c r="UGP93" s="3"/>
      <c r="UGQ93" s="3"/>
      <c r="UGR93" s="3"/>
      <c r="UGS93" s="3"/>
      <c r="UGT93" s="3"/>
      <c r="UGU93" s="3"/>
      <c r="UGV93" s="3"/>
      <c r="UGW93" s="3"/>
      <c r="UGX93" s="3"/>
      <c r="UGY93" s="3"/>
      <c r="UGZ93" s="3"/>
      <c r="UHA93" s="3"/>
      <c r="UHB93" s="3"/>
      <c r="UHC93" s="3"/>
      <c r="UHD93" s="3"/>
      <c r="UHE93" s="3"/>
      <c r="UHF93" s="3"/>
      <c r="UHG93" s="3"/>
      <c r="UHH93" s="3"/>
      <c r="UHI93" s="3"/>
      <c r="UHJ93" s="3"/>
      <c r="UHK93" s="3"/>
      <c r="UHL93" s="3"/>
      <c r="UHM93" s="3"/>
      <c r="UHN93" s="3"/>
      <c r="UHO93" s="3"/>
      <c r="UHP93" s="3"/>
      <c r="UHQ93" s="3"/>
      <c r="UHR93" s="3"/>
      <c r="UHS93" s="3"/>
      <c r="UHT93" s="3"/>
      <c r="UHU93" s="3"/>
      <c r="UHV93" s="3"/>
      <c r="UHW93" s="3"/>
      <c r="UHX93" s="3"/>
      <c r="UHY93" s="3"/>
      <c r="UHZ93" s="3"/>
      <c r="UIA93" s="3"/>
      <c r="UIB93" s="3"/>
      <c r="UIC93" s="3"/>
      <c r="UID93" s="3"/>
      <c r="UIE93" s="3"/>
      <c r="UIF93" s="3"/>
      <c r="UIG93" s="3"/>
      <c r="UIH93" s="3"/>
      <c r="UII93" s="3"/>
      <c r="UIJ93" s="3"/>
      <c r="UIK93" s="3"/>
      <c r="UIL93" s="3"/>
      <c r="UIM93" s="3"/>
      <c r="UIN93" s="3"/>
      <c r="UIO93" s="3"/>
      <c r="UIP93" s="3"/>
      <c r="UIQ93" s="3"/>
      <c r="UIR93" s="3"/>
      <c r="UIS93" s="3"/>
      <c r="UIT93" s="3"/>
      <c r="UIU93" s="3"/>
      <c r="UIV93" s="3"/>
      <c r="UIW93" s="3"/>
      <c r="UIX93" s="3"/>
      <c r="UIY93" s="3"/>
      <c r="UIZ93" s="3"/>
      <c r="UJA93" s="3"/>
      <c r="UJB93" s="3"/>
      <c r="UJC93" s="3"/>
      <c r="UJD93" s="3"/>
      <c r="UJE93" s="3"/>
      <c r="UJF93" s="3"/>
      <c r="UJG93" s="3"/>
      <c r="UJH93" s="3"/>
      <c r="UJI93" s="3"/>
      <c r="UJJ93" s="3"/>
      <c r="UJK93" s="3"/>
      <c r="UJL93" s="3"/>
      <c r="UJM93" s="3"/>
      <c r="UJN93" s="3"/>
      <c r="UJO93" s="3"/>
      <c r="UJP93" s="3"/>
      <c r="UJQ93" s="3"/>
      <c r="UJR93" s="3"/>
      <c r="UJS93" s="3"/>
      <c r="UJT93" s="3"/>
      <c r="UJU93" s="3"/>
      <c r="UJV93" s="3"/>
      <c r="UJW93" s="3"/>
      <c r="UJX93" s="3"/>
      <c r="UJY93" s="3"/>
      <c r="UJZ93" s="3"/>
      <c r="UKA93" s="3"/>
      <c r="UKB93" s="3"/>
      <c r="UKC93" s="3"/>
      <c r="UKD93" s="3"/>
      <c r="UKE93" s="3"/>
      <c r="UKF93" s="3"/>
      <c r="UKG93" s="3"/>
      <c r="UKH93" s="3"/>
      <c r="UKI93" s="3"/>
      <c r="UKJ93" s="3"/>
      <c r="UKK93" s="3"/>
      <c r="UKL93" s="3"/>
      <c r="UKM93" s="3"/>
      <c r="UKN93" s="3"/>
      <c r="UKO93" s="3"/>
      <c r="UKP93" s="3"/>
      <c r="UKQ93" s="3"/>
      <c r="UKR93" s="3"/>
      <c r="UKS93" s="3"/>
      <c r="UKT93" s="3"/>
      <c r="UKU93" s="3"/>
      <c r="UKV93" s="3"/>
      <c r="UKW93" s="3"/>
      <c r="UKX93" s="3"/>
      <c r="UKY93" s="3"/>
      <c r="UKZ93" s="3"/>
      <c r="ULA93" s="3"/>
      <c r="ULB93" s="3"/>
      <c r="ULC93" s="3"/>
      <c r="ULD93" s="3"/>
      <c r="ULE93" s="3"/>
      <c r="ULF93" s="3"/>
      <c r="ULG93" s="3"/>
      <c r="ULH93" s="3"/>
      <c r="ULI93" s="3"/>
      <c r="ULJ93" s="3"/>
      <c r="ULK93" s="3"/>
      <c r="ULL93" s="3"/>
      <c r="ULM93" s="3"/>
      <c r="ULN93" s="3"/>
      <c r="ULO93" s="3"/>
      <c r="ULP93" s="3"/>
      <c r="ULQ93" s="3"/>
      <c r="ULR93" s="3"/>
      <c r="ULS93" s="3"/>
      <c r="ULT93" s="3"/>
      <c r="ULU93" s="3"/>
      <c r="ULV93" s="3"/>
      <c r="ULW93" s="3"/>
      <c r="ULX93" s="3"/>
      <c r="ULY93" s="3"/>
      <c r="ULZ93" s="3"/>
      <c r="UMA93" s="3"/>
      <c r="UMB93" s="3"/>
      <c r="UMC93" s="3"/>
      <c r="UMD93" s="3"/>
      <c r="UME93" s="3"/>
      <c r="UMF93" s="3"/>
      <c r="UMG93" s="3"/>
      <c r="UMH93" s="3"/>
      <c r="UMI93" s="3"/>
      <c r="UMJ93" s="3"/>
      <c r="UMK93" s="3"/>
      <c r="UML93" s="3"/>
      <c r="UMM93" s="3"/>
      <c r="UMN93" s="3"/>
      <c r="UMO93" s="3"/>
      <c r="UMP93" s="3"/>
      <c r="UMQ93" s="3"/>
      <c r="UMR93" s="3"/>
      <c r="UMS93" s="3"/>
      <c r="UMT93" s="3"/>
      <c r="UMU93" s="3"/>
      <c r="UMV93" s="3"/>
      <c r="UMW93" s="3"/>
      <c r="UMX93" s="3"/>
      <c r="UMY93" s="3"/>
      <c r="UMZ93" s="3"/>
      <c r="UNA93" s="3"/>
      <c r="UNB93" s="3"/>
      <c r="UNC93" s="3"/>
      <c r="UND93" s="3"/>
      <c r="UNE93" s="3"/>
      <c r="UNF93" s="3"/>
      <c r="UNG93" s="3"/>
      <c r="UNH93" s="3"/>
      <c r="UNI93" s="3"/>
      <c r="UNJ93" s="3"/>
      <c r="UNK93" s="3"/>
      <c r="UNL93" s="3"/>
      <c r="UNM93" s="3"/>
      <c r="UNN93" s="3"/>
      <c r="UNO93" s="3"/>
      <c r="UNP93" s="3"/>
      <c r="UNQ93" s="3"/>
      <c r="UNR93" s="3"/>
      <c r="UNS93" s="3"/>
      <c r="UNT93" s="3"/>
      <c r="UNU93" s="3"/>
      <c r="UNV93" s="3"/>
      <c r="UNW93" s="3"/>
      <c r="UNX93" s="3"/>
      <c r="UNY93" s="3"/>
      <c r="UNZ93" s="3"/>
      <c r="UOA93" s="3"/>
      <c r="UOB93" s="3"/>
      <c r="UOC93" s="3"/>
      <c r="UOD93" s="3"/>
      <c r="UOE93" s="3"/>
      <c r="UOF93" s="3"/>
      <c r="UOG93" s="3"/>
      <c r="UOH93" s="3"/>
      <c r="UOI93" s="3"/>
      <c r="UOJ93" s="3"/>
      <c r="UOK93" s="3"/>
      <c r="UOL93" s="3"/>
      <c r="UOM93" s="3"/>
      <c r="UON93" s="3"/>
      <c r="UOO93" s="3"/>
      <c r="UOP93" s="3"/>
      <c r="UOQ93" s="3"/>
      <c r="UOR93" s="3"/>
      <c r="UOS93" s="3"/>
      <c r="UOT93" s="3"/>
      <c r="UOU93" s="3"/>
      <c r="UOV93" s="3"/>
      <c r="UOW93" s="3"/>
      <c r="UOX93" s="3"/>
      <c r="UOY93" s="3"/>
      <c r="UOZ93" s="3"/>
      <c r="UPA93" s="3"/>
      <c r="UPB93" s="3"/>
      <c r="UPC93" s="3"/>
      <c r="UPD93" s="3"/>
      <c r="UPE93" s="3"/>
      <c r="UPF93" s="3"/>
      <c r="UPG93" s="3"/>
      <c r="UPH93" s="3"/>
      <c r="UPI93" s="3"/>
      <c r="UPJ93" s="3"/>
      <c r="UPK93" s="3"/>
      <c r="UPL93" s="3"/>
      <c r="UPM93" s="3"/>
      <c r="UPN93" s="3"/>
      <c r="UPO93" s="3"/>
      <c r="UPP93" s="3"/>
      <c r="UPQ93" s="3"/>
      <c r="UPR93" s="3"/>
      <c r="UPS93" s="3"/>
      <c r="UPT93" s="3"/>
      <c r="UPU93" s="3"/>
      <c r="UPV93" s="3"/>
      <c r="UPW93" s="3"/>
      <c r="UPX93" s="3"/>
      <c r="UPY93" s="3"/>
      <c r="UPZ93" s="3"/>
      <c r="UQA93" s="3"/>
      <c r="UQB93" s="3"/>
      <c r="UQC93" s="3"/>
      <c r="UQD93" s="3"/>
      <c r="UQE93" s="3"/>
      <c r="UQF93" s="3"/>
      <c r="UQG93" s="3"/>
      <c r="UQH93" s="3"/>
      <c r="UQI93" s="3"/>
      <c r="UQJ93" s="3"/>
      <c r="UQK93" s="3"/>
      <c r="UQL93" s="3"/>
      <c r="UQM93" s="3"/>
      <c r="UQN93" s="3"/>
      <c r="UQO93" s="3"/>
      <c r="UQP93" s="3"/>
      <c r="UQQ93" s="3"/>
      <c r="UQR93" s="3"/>
      <c r="UQS93" s="3"/>
      <c r="UQT93" s="3"/>
      <c r="UQU93" s="3"/>
      <c r="UQV93" s="3"/>
      <c r="UQW93" s="3"/>
      <c r="UQX93" s="3"/>
      <c r="UQY93" s="3"/>
      <c r="UQZ93" s="3"/>
      <c r="URA93" s="3"/>
      <c r="URB93" s="3"/>
      <c r="URC93" s="3"/>
      <c r="URD93" s="3"/>
      <c r="URE93" s="3"/>
      <c r="URF93" s="3"/>
      <c r="URG93" s="3"/>
      <c r="URH93" s="3"/>
      <c r="URI93" s="3"/>
      <c r="URJ93" s="3"/>
      <c r="URK93" s="3"/>
      <c r="URL93" s="3"/>
      <c r="URM93" s="3"/>
      <c r="URN93" s="3"/>
      <c r="URO93" s="3"/>
      <c r="URP93" s="3"/>
      <c r="URQ93" s="3"/>
      <c r="URR93" s="3"/>
      <c r="URS93" s="3"/>
      <c r="URT93" s="3"/>
      <c r="URU93" s="3"/>
      <c r="URV93" s="3"/>
      <c r="URW93" s="3"/>
      <c r="URX93" s="3"/>
      <c r="URY93" s="3"/>
      <c r="URZ93" s="3"/>
      <c r="USA93" s="3"/>
      <c r="USB93" s="3"/>
      <c r="USC93" s="3"/>
      <c r="USD93" s="3"/>
      <c r="USE93" s="3"/>
      <c r="USF93" s="3"/>
      <c r="USG93" s="3"/>
      <c r="USH93" s="3"/>
      <c r="USI93" s="3"/>
      <c r="USJ93" s="3"/>
      <c r="USK93" s="3"/>
      <c r="USL93" s="3"/>
      <c r="USM93" s="3"/>
      <c r="USN93" s="3"/>
      <c r="USO93" s="3"/>
      <c r="USP93" s="3"/>
      <c r="USQ93" s="3"/>
      <c r="USR93" s="3"/>
      <c r="USS93" s="3"/>
      <c r="UST93" s="3"/>
      <c r="USU93" s="3"/>
      <c r="USV93" s="3"/>
      <c r="USW93" s="3"/>
      <c r="USX93" s="3"/>
      <c r="USY93" s="3"/>
      <c r="USZ93" s="3"/>
      <c r="UTA93" s="3"/>
      <c r="UTB93" s="3"/>
      <c r="UTC93" s="3"/>
      <c r="UTD93" s="3"/>
      <c r="UTE93" s="3"/>
      <c r="UTF93" s="3"/>
      <c r="UTG93" s="3"/>
      <c r="UTH93" s="3"/>
      <c r="UTI93" s="3"/>
      <c r="UTJ93" s="3"/>
      <c r="UTK93" s="3"/>
      <c r="UTL93" s="3"/>
      <c r="UTM93" s="3"/>
      <c r="UTN93" s="3"/>
      <c r="UTO93" s="3"/>
      <c r="UTP93" s="3"/>
      <c r="UTQ93" s="3"/>
      <c r="UTR93" s="3"/>
      <c r="UTS93" s="3"/>
      <c r="UTT93" s="3"/>
      <c r="UTU93" s="3"/>
      <c r="UTV93" s="3"/>
      <c r="UTW93" s="3"/>
      <c r="UTX93" s="3"/>
      <c r="UTY93" s="3"/>
      <c r="UTZ93" s="3"/>
      <c r="UUA93" s="3"/>
      <c r="UUB93" s="3"/>
      <c r="UUC93" s="3"/>
      <c r="UUD93" s="3"/>
      <c r="UUE93" s="3"/>
      <c r="UUF93" s="3"/>
      <c r="UUG93" s="3"/>
      <c r="UUH93" s="3"/>
      <c r="UUI93" s="3"/>
      <c r="UUJ93" s="3"/>
      <c r="UUK93" s="3"/>
      <c r="UUL93" s="3"/>
      <c r="UUM93" s="3"/>
      <c r="UUN93" s="3"/>
      <c r="UUO93" s="3"/>
      <c r="UUP93" s="3"/>
      <c r="UUQ93" s="3"/>
      <c r="UUR93" s="3"/>
      <c r="UUS93" s="3"/>
      <c r="UUT93" s="3"/>
      <c r="UUU93" s="3"/>
      <c r="UUV93" s="3"/>
      <c r="UUW93" s="3"/>
      <c r="UUX93" s="3"/>
      <c r="UUY93" s="3"/>
      <c r="UUZ93" s="3"/>
      <c r="UVA93" s="3"/>
      <c r="UVB93" s="3"/>
      <c r="UVC93" s="3"/>
      <c r="UVD93" s="3"/>
      <c r="UVE93" s="3"/>
      <c r="UVF93" s="3"/>
      <c r="UVG93" s="3"/>
      <c r="UVH93" s="3"/>
      <c r="UVI93" s="3"/>
      <c r="UVJ93" s="3"/>
      <c r="UVK93" s="3"/>
      <c r="UVL93" s="3"/>
      <c r="UVM93" s="3"/>
      <c r="UVN93" s="3"/>
      <c r="UVO93" s="3"/>
      <c r="UVP93" s="3"/>
      <c r="UVQ93" s="3"/>
      <c r="UVR93" s="3"/>
      <c r="UVS93" s="3"/>
      <c r="UVT93" s="3"/>
      <c r="UVU93" s="3"/>
      <c r="UVV93" s="3"/>
      <c r="UVW93" s="3"/>
      <c r="UVX93" s="3"/>
      <c r="UVY93" s="3"/>
      <c r="UVZ93" s="3"/>
      <c r="UWA93" s="3"/>
      <c r="UWB93" s="3"/>
      <c r="UWC93" s="3"/>
      <c r="UWD93" s="3"/>
      <c r="UWE93" s="3"/>
      <c r="UWF93" s="3"/>
      <c r="UWG93" s="3"/>
      <c r="UWH93" s="3"/>
      <c r="UWI93" s="3"/>
      <c r="UWJ93" s="3"/>
      <c r="UWK93" s="3"/>
      <c r="UWL93" s="3"/>
      <c r="UWM93" s="3"/>
      <c r="UWN93" s="3"/>
      <c r="UWO93" s="3"/>
      <c r="UWP93" s="3"/>
      <c r="UWQ93" s="3"/>
      <c r="UWR93" s="3"/>
      <c r="UWS93" s="3"/>
      <c r="UWT93" s="3"/>
      <c r="UWU93" s="3"/>
      <c r="UWV93" s="3"/>
      <c r="UWW93" s="3"/>
      <c r="UWX93" s="3"/>
      <c r="UWY93" s="3"/>
      <c r="UWZ93" s="3"/>
      <c r="UXA93" s="3"/>
      <c r="UXB93" s="3"/>
      <c r="UXC93" s="3"/>
      <c r="UXD93" s="3"/>
      <c r="UXE93" s="3"/>
      <c r="UXF93" s="3"/>
      <c r="UXG93" s="3"/>
      <c r="UXH93" s="3"/>
      <c r="UXI93" s="3"/>
      <c r="UXJ93" s="3"/>
      <c r="UXK93" s="3"/>
      <c r="UXL93" s="3"/>
      <c r="UXM93" s="3"/>
      <c r="UXN93" s="3"/>
      <c r="UXO93" s="3"/>
      <c r="UXP93" s="3"/>
      <c r="UXQ93" s="3"/>
      <c r="UXR93" s="3"/>
      <c r="UXS93" s="3"/>
      <c r="UXT93" s="3"/>
      <c r="UXU93" s="3"/>
      <c r="UXV93" s="3"/>
      <c r="UXW93" s="3"/>
      <c r="UXX93" s="3"/>
      <c r="UXY93" s="3"/>
      <c r="UXZ93" s="3"/>
      <c r="UYA93" s="3"/>
      <c r="UYB93" s="3"/>
      <c r="UYC93" s="3"/>
      <c r="UYD93" s="3"/>
      <c r="UYE93" s="3"/>
      <c r="UYF93" s="3"/>
      <c r="UYG93" s="3"/>
      <c r="UYH93" s="3"/>
      <c r="UYI93" s="3"/>
      <c r="UYJ93" s="3"/>
      <c r="UYK93" s="3"/>
      <c r="UYL93" s="3"/>
      <c r="UYM93" s="3"/>
      <c r="UYN93" s="3"/>
      <c r="UYO93" s="3"/>
      <c r="UYP93" s="3"/>
      <c r="UYQ93" s="3"/>
      <c r="UYR93" s="3"/>
      <c r="UYS93" s="3"/>
      <c r="UYT93" s="3"/>
      <c r="UYU93" s="3"/>
      <c r="UYV93" s="3"/>
      <c r="UYW93" s="3"/>
      <c r="UYX93" s="3"/>
      <c r="UYY93" s="3"/>
      <c r="UYZ93" s="3"/>
      <c r="UZA93" s="3"/>
      <c r="UZB93" s="3"/>
      <c r="UZC93" s="3"/>
      <c r="UZD93" s="3"/>
      <c r="UZE93" s="3"/>
      <c r="UZF93" s="3"/>
      <c r="UZG93" s="3"/>
      <c r="UZH93" s="3"/>
      <c r="UZI93" s="3"/>
      <c r="UZJ93" s="3"/>
      <c r="UZK93" s="3"/>
      <c r="UZL93" s="3"/>
      <c r="UZM93" s="3"/>
      <c r="UZN93" s="3"/>
      <c r="UZO93" s="3"/>
      <c r="UZP93" s="3"/>
      <c r="UZQ93" s="3"/>
      <c r="UZR93" s="3"/>
      <c r="UZS93" s="3"/>
      <c r="UZT93" s="3"/>
      <c r="UZU93" s="3"/>
      <c r="UZV93" s="3"/>
      <c r="UZW93" s="3"/>
      <c r="UZX93" s="3"/>
      <c r="UZY93" s="3"/>
      <c r="UZZ93" s="3"/>
      <c r="VAA93" s="3"/>
      <c r="VAB93" s="3"/>
      <c r="VAC93" s="3"/>
      <c r="VAD93" s="3"/>
      <c r="VAE93" s="3"/>
      <c r="VAF93" s="3"/>
      <c r="VAG93" s="3"/>
      <c r="VAH93" s="3"/>
      <c r="VAI93" s="3"/>
      <c r="VAJ93" s="3"/>
      <c r="VAK93" s="3"/>
      <c r="VAL93" s="3"/>
      <c r="VAM93" s="3"/>
      <c r="VAN93" s="3"/>
      <c r="VAO93" s="3"/>
      <c r="VAP93" s="3"/>
      <c r="VAQ93" s="3"/>
      <c r="VAR93" s="3"/>
      <c r="VAS93" s="3"/>
      <c r="VAT93" s="3"/>
      <c r="VAU93" s="3"/>
      <c r="VAV93" s="3"/>
      <c r="VAW93" s="3"/>
      <c r="VAX93" s="3"/>
      <c r="VAY93" s="3"/>
      <c r="VAZ93" s="3"/>
      <c r="VBA93" s="3"/>
      <c r="VBB93" s="3"/>
      <c r="VBC93" s="3"/>
      <c r="VBD93" s="3"/>
      <c r="VBE93" s="3"/>
      <c r="VBF93" s="3"/>
      <c r="VBG93" s="3"/>
      <c r="VBH93" s="3"/>
      <c r="VBI93" s="3"/>
      <c r="VBJ93" s="3"/>
      <c r="VBK93" s="3"/>
      <c r="VBL93" s="3"/>
      <c r="VBM93" s="3"/>
      <c r="VBN93" s="3"/>
      <c r="VBO93" s="3"/>
      <c r="VBP93" s="3"/>
      <c r="VBQ93" s="3"/>
      <c r="VBR93" s="3"/>
      <c r="VBS93" s="3"/>
      <c r="VBT93" s="3"/>
      <c r="VBU93" s="3"/>
      <c r="VBV93" s="3"/>
      <c r="VBW93" s="3"/>
      <c r="VBX93" s="3"/>
      <c r="VBY93" s="3"/>
      <c r="VBZ93" s="3"/>
      <c r="VCA93" s="3"/>
      <c r="VCB93" s="3"/>
      <c r="VCC93" s="3"/>
      <c r="VCD93" s="3"/>
      <c r="VCE93" s="3"/>
      <c r="VCF93" s="3"/>
      <c r="VCG93" s="3"/>
      <c r="VCH93" s="3"/>
      <c r="VCI93" s="3"/>
      <c r="VCJ93" s="3"/>
      <c r="VCK93" s="3"/>
      <c r="VCL93" s="3"/>
      <c r="VCM93" s="3"/>
      <c r="VCN93" s="3"/>
      <c r="VCO93" s="3"/>
      <c r="VCP93" s="3"/>
      <c r="VCQ93" s="3"/>
      <c r="VCR93" s="3"/>
      <c r="VCS93" s="3"/>
      <c r="VCT93" s="3"/>
      <c r="VCU93" s="3"/>
      <c r="VCV93" s="3"/>
      <c r="VCW93" s="3"/>
      <c r="VCX93" s="3"/>
      <c r="VCY93" s="3"/>
      <c r="VCZ93" s="3"/>
      <c r="VDA93" s="3"/>
      <c r="VDB93" s="3"/>
      <c r="VDC93" s="3"/>
      <c r="VDD93" s="3"/>
      <c r="VDE93" s="3"/>
      <c r="VDF93" s="3"/>
      <c r="VDG93" s="3"/>
      <c r="VDH93" s="3"/>
      <c r="VDI93" s="3"/>
      <c r="VDJ93" s="3"/>
      <c r="VDK93" s="3"/>
      <c r="VDL93" s="3"/>
      <c r="VDM93" s="3"/>
      <c r="VDN93" s="3"/>
      <c r="VDO93" s="3"/>
      <c r="VDP93" s="3"/>
      <c r="VDQ93" s="3"/>
      <c r="VDR93" s="3"/>
      <c r="VDS93" s="3"/>
      <c r="VDT93" s="3"/>
      <c r="VDU93" s="3"/>
      <c r="VDV93" s="3"/>
      <c r="VDW93" s="3"/>
      <c r="VDX93" s="3"/>
      <c r="VDY93" s="3"/>
      <c r="VDZ93" s="3"/>
      <c r="VEA93" s="3"/>
      <c r="VEB93" s="3"/>
      <c r="VEC93" s="3"/>
      <c r="VED93" s="3"/>
      <c r="VEE93" s="3"/>
      <c r="VEF93" s="3"/>
      <c r="VEG93" s="3"/>
      <c r="VEH93" s="3"/>
      <c r="VEI93" s="3"/>
      <c r="VEJ93" s="3"/>
      <c r="VEK93" s="3"/>
      <c r="VEL93" s="3"/>
      <c r="VEM93" s="3"/>
      <c r="VEN93" s="3"/>
      <c r="VEO93" s="3"/>
      <c r="VEP93" s="3"/>
      <c r="VEQ93" s="3"/>
      <c r="VER93" s="3"/>
      <c r="VES93" s="3"/>
      <c r="VET93" s="3"/>
      <c r="VEU93" s="3"/>
      <c r="VEV93" s="3"/>
      <c r="VEW93" s="3"/>
      <c r="VEX93" s="3"/>
      <c r="VEY93" s="3"/>
      <c r="VEZ93" s="3"/>
      <c r="VFA93" s="3"/>
      <c r="VFB93" s="3"/>
      <c r="VFC93" s="3"/>
      <c r="VFD93" s="3"/>
      <c r="VFE93" s="3"/>
      <c r="VFF93" s="3"/>
      <c r="VFG93" s="3"/>
      <c r="VFH93" s="3"/>
      <c r="VFI93" s="3"/>
      <c r="VFJ93" s="3"/>
      <c r="VFK93" s="3"/>
      <c r="VFL93" s="3"/>
      <c r="VFM93" s="3"/>
      <c r="VFN93" s="3"/>
      <c r="VFO93" s="3"/>
      <c r="VFP93" s="3"/>
      <c r="VFQ93" s="3"/>
      <c r="VFR93" s="3"/>
      <c r="VFS93" s="3"/>
      <c r="VFT93" s="3"/>
      <c r="VFU93" s="3"/>
      <c r="VFV93" s="3"/>
      <c r="VFW93" s="3"/>
      <c r="VFX93" s="3"/>
      <c r="VFY93" s="3"/>
      <c r="VFZ93" s="3"/>
      <c r="VGA93" s="3"/>
      <c r="VGB93" s="3"/>
      <c r="VGC93" s="3"/>
      <c r="VGD93" s="3"/>
      <c r="VGE93" s="3"/>
      <c r="VGF93" s="3"/>
      <c r="VGG93" s="3"/>
      <c r="VGH93" s="3"/>
      <c r="VGI93" s="3"/>
      <c r="VGJ93" s="3"/>
      <c r="VGK93" s="3"/>
      <c r="VGL93" s="3"/>
      <c r="VGM93" s="3"/>
      <c r="VGN93" s="3"/>
      <c r="VGO93" s="3"/>
      <c r="VGP93" s="3"/>
      <c r="VGQ93" s="3"/>
      <c r="VGR93" s="3"/>
      <c r="VGS93" s="3"/>
      <c r="VGT93" s="3"/>
      <c r="VGU93" s="3"/>
      <c r="VGV93" s="3"/>
      <c r="VGW93" s="3"/>
      <c r="VGX93" s="3"/>
      <c r="VGY93" s="3"/>
      <c r="VGZ93" s="3"/>
      <c r="VHA93" s="3"/>
      <c r="VHB93" s="3"/>
      <c r="VHC93" s="3"/>
      <c r="VHD93" s="3"/>
      <c r="VHE93" s="3"/>
      <c r="VHF93" s="3"/>
      <c r="VHG93" s="3"/>
      <c r="VHH93" s="3"/>
      <c r="VHI93" s="3"/>
      <c r="VHJ93" s="3"/>
      <c r="VHK93" s="3"/>
      <c r="VHL93" s="3"/>
      <c r="VHM93" s="3"/>
      <c r="VHN93" s="3"/>
      <c r="VHO93" s="3"/>
      <c r="VHP93" s="3"/>
      <c r="VHQ93" s="3"/>
      <c r="VHR93" s="3"/>
      <c r="VHS93" s="3"/>
      <c r="VHT93" s="3"/>
      <c r="VHU93" s="3"/>
      <c r="VHV93" s="3"/>
      <c r="VHW93" s="3"/>
      <c r="VHX93" s="3"/>
      <c r="VHY93" s="3"/>
      <c r="VHZ93" s="3"/>
      <c r="VIA93" s="3"/>
      <c r="VIB93" s="3"/>
      <c r="VIC93" s="3"/>
      <c r="VID93" s="3"/>
      <c r="VIE93" s="3"/>
      <c r="VIF93" s="3"/>
      <c r="VIG93" s="3"/>
      <c r="VIH93" s="3"/>
      <c r="VII93" s="3"/>
      <c r="VIJ93" s="3"/>
      <c r="VIK93" s="3"/>
      <c r="VIL93" s="3"/>
      <c r="VIM93" s="3"/>
      <c r="VIN93" s="3"/>
      <c r="VIO93" s="3"/>
      <c r="VIP93" s="3"/>
      <c r="VIQ93" s="3"/>
      <c r="VIR93" s="3"/>
      <c r="VIS93" s="3"/>
      <c r="VIT93" s="3"/>
      <c r="VIU93" s="3"/>
      <c r="VIV93" s="3"/>
      <c r="VIW93" s="3"/>
      <c r="VIX93" s="3"/>
      <c r="VIY93" s="3"/>
      <c r="VIZ93" s="3"/>
      <c r="VJA93" s="3"/>
      <c r="VJB93" s="3"/>
      <c r="VJC93" s="3"/>
      <c r="VJD93" s="3"/>
      <c r="VJE93" s="3"/>
      <c r="VJF93" s="3"/>
      <c r="VJG93" s="3"/>
      <c r="VJH93" s="3"/>
      <c r="VJI93" s="3"/>
      <c r="VJJ93" s="3"/>
      <c r="VJK93" s="3"/>
      <c r="VJL93" s="3"/>
      <c r="VJM93" s="3"/>
      <c r="VJN93" s="3"/>
      <c r="VJO93" s="3"/>
      <c r="VJP93" s="3"/>
      <c r="VJQ93" s="3"/>
      <c r="VJR93" s="3"/>
      <c r="VJS93" s="3"/>
      <c r="VJT93" s="3"/>
      <c r="VJU93" s="3"/>
      <c r="VJV93" s="3"/>
      <c r="VJW93" s="3"/>
      <c r="VJX93" s="3"/>
      <c r="VJY93" s="3"/>
      <c r="VJZ93" s="3"/>
      <c r="VKA93" s="3"/>
      <c r="VKB93" s="3"/>
      <c r="VKC93" s="3"/>
      <c r="VKD93" s="3"/>
      <c r="VKE93" s="3"/>
      <c r="VKF93" s="3"/>
      <c r="VKG93" s="3"/>
      <c r="VKH93" s="3"/>
      <c r="VKI93" s="3"/>
      <c r="VKJ93" s="3"/>
      <c r="VKK93" s="3"/>
      <c r="VKL93" s="3"/>
      <c r="VKM93" s="3"/>
      <c r="VKN93" s="3"/>
      <c r="VKO93" s="3"/>
      <c r="VKP93" s="3"/>
      <c r="VKQ93" s="3"/>
      <c r="VKR93" s="3"/>
      <c r="VKS93" s="3"/>
      <c r="VKT93" s="3"/>
      <c r="VKU93" s="3"/>
      <c r="VKV93" s="3"/>
      <c r="VKW93" s="3"/>
      <c r="VKX93" s="3"/>
      <c r="VKY93" s="3"/>
      <c r="VKZ93" s="3"/>
      <c r="VLA93" s="3"/>
      <c r="VLB93" s="3"/>
      <c r="VLC93" s="3"/>
      <c r="VLD93" s="3"/>
      <c r="VLE93" s="3"/>
      <c r="VLF93" s="3"/>
      <c r="VLG93" s="3"/>
      <c r="VLH93" s="3"/>
      <c r="VLI93" s="3"/>
      <c r="VLJ93" s="3"/>
      <c r="VLK93" s="3"/>
      <c r="VLL93" s="3"/>
      <c r="VLM93" s="3"/>
      <c r="VLN93" s="3"/>
      <c r="VLO93" s="3"/>
      <c r="VLP93" s="3"/>
      <c r="VLQ93" s="3"/>
      <c r="VLR93" s="3"/>
      <c r="VLS93" s="3"/>
      <c r="VLT93" s="3"/>
      <c r="VLU93" s="3"/>
      <c r="VLV93" s="3"/>
      <c r="VLW93" s="3"/>
      <c r="VLX93" s="3"/>
      <c r="VLY93" s="3"/>
      <c r="VLZ93" s="3"/>
      <c r="VMA93" s="3"/>
      <c r="VMB93" s="3"/>
      <c r="VMC93" s="3"/>
      <c r="VMD93" s="3"/>
      <c r="VME93" s="3"/>
      <c r="VMF93" s="3"/>
      <c r="VMG93" s="3"/>
      <c r="VMH93" s="3"/>
      <c r="VMI93" s="3"/>
      <c r="VMJ93" s="3"/>
      <c r="VMK93" s="3"/>
      <c r="VML93" s="3"/>
      <c r="VMM93" s="3"/>
      <c r="VMN93" s="3"/>
      <c r="VMO93" s="3"/>
      <c r="VMP93" s="3"/>
      <c r="VMQ93" s="3"/>
      <c r="VMR93" s="3"/>
      <c r="VMS93" s="3"/>
      <c r="VMT93" s="3"/>
      <c r="VMU93" s="3"/>
      <c r="VMV93" s="3"/>
      <c r="VMW93" s="3"/>
      <c r="VMX93" s="3"/>
      <c r="VMY93" s="3"/>
      <c r="VMZ93" s="3"/>
      <c r="VNA93" s="3"/>
      <c r="VNB93" s="3"/>
      <c r="VNC93" s="3"/>
      <c r="VND93" s="3"/>
      <c r="VNE93" s="3"/>
      <c r="VNF93" s="3"/>
      <c r="VNG93" s="3"/>
      <c r="VNH93" s="3"/>
      <c r="VNI93" s="3"/>
      <c r="VNJ93" s="3"/>
      <c r="VNK93" s="3"/>
      <c r="VNL93" s="3"/>
      <c r="VNM93" s="3"/>
      <c r="VNN93" s="3"/>
      <c r="VNO93" s="3"/>
      <c r="VNP93" s="3"/>
      <c r="VNQ93" s="3"/>
      <c r="VNR93" s="3"/>
      <c r="VNS93" s="3"/>
      <c r="VNT93" s="3"/>
      <c r="VNU93" s="3"/>
      <c r="VNV93" s="3"/>
      <c r="VNW93" s="3"/>
      <c r="VNX93" s="3"/>
      <c r="VNY93" s="3"/>
      <c r="VNZ93" s="3"/>
      <c r="VOA93" s="3"/>
      <c r="VOB93" s="3"/>
      <c r="VOC93" s="3"/>
      <c r="VOD93" s="3"/>
      <c r="VOE93" s="3"/>
      <c r="VOF93" s="3"/>
      <c r="VOG93" s="3"/>
      <c r="VOH93" s="3"/>
      <c r="VOI93" s="3"/>
      <c r="VOJ93" s="3"/>
      <c r="VOK93" s="3"/>
      <c r="VOL93" s="3"/>
      <c r="VOM93" s="3"/>
      <c r="VON93" s="3"/>
      <c r="VOO93" s="3"/>
      <c r="VOP93" s="3"/>
      <c r="VOQ93" s="3"/>
      <c r="VOR93" s="3"/>
      <c r="VOS93" s="3"/>
      <c r="VOT93" s="3"/>
      <c r="VOU93" s="3"/>
      <c r="VOV93" s="3"/>
      <c r="VOW93" s="3"/>
      <c r="VOX93" s="3"/>
      <c r="VOY93" s="3"/>
      <c r="VOZ93" s="3"/>
      <c r="VPA93" s="3"/>
      <c r="VPB93" s="3"/>
      <c r="VPC93" s="3"/>
      <c r="VPD93" s="3"/>
      <c r="VPE93" s="3"/>
      <c r="VPF93" s="3"/>
      <c r="VPG93" s="3"/>
      <c r="VPH93" s="3"/>
      <c r="VPI93" s="3"/>
      <c r="VPJ93" s="3"/>
      <c r="VPK93" s="3"/>
      <c r="VPL93" s="3"/>
      <c r="VPM93" s="3"/>
      <c r="VPN93" s="3"/>
      <c r="VPO93" s="3"/>
      <c r="VPP93" s="3"/>
      <c r="VPQ93" s="3"/>
      <c r="VPR93" s="3"/>
      <c r="VPS93" s="3"/>
      <c r="VPT93" s="3"/>
      <c r="VPU93" s="3"/>
      <c r="VPV93" s="3"/>
      <c r="VPW93" s="3"/>
      <c r="VPX93" s="3"/>
      <c r="VPY93" s="3"/>
      <c r="VPZ93" s="3"/>
      <c r="VQA93" s="3"/>
      <c r="VQB93" s="3"/>
      <c r="VQC93" s="3"/>
      <c r="VQD93" s="3"/>
      <c r="VQE93" s="3"/>
      <c r="VQF93" s="3"/>
      <c r="VQG93" s="3"/>
      <c r="VQH93" s="3"/>
      <c r="VQI93" s="3"/>
      <c r="VQJ93" s="3"/>
      <c r="VQK93" s="3"/>
      <c r="VQL93" s="3"/>
      <c r="VQM93" s="3"/>
      <c r="VQN93" s="3"/>
      <c r="VQO93" s="3"/>
      <c r="VQP93" s="3"/>
      <c r="VQQ93" s="3"/>
      <c r="VQR93" s="3"/>
      <c r="VQS93" s="3"/>
      <c r="VQT93" s="3"/>
      <c r="VQU93" s="3"/>
      <c r="VQV93" s="3"/>
      <c r="VQW93" s="3"/>
      <c r="VQX93" s="3"/>
      <c r="VQY93" s="3"/>
      <c r="VQZ93" s="3"/>
      <c r="VRA93" s="3"/>
      <c r="VRB93" s="3"/>
      <c r="VRC93" s="3"/>
      <c r="VRD93" s="3"/>
      <c r="VRE93" s="3"/>
      <c r="VRF93" s="3"/>
      <c r="VRG93" s="3"/>
      <c r="VRH93" s="3"/>
      <c r="VRI93" s="3"/>
      <c r="VRJ93" s="3"/>
      <c r="VRK93" s="3"/>
      <c r="VRL93" s="3"/>
      <c r="VRM93" s="3"/>
      <c r="VRN93" s="3"/>
      <c r="VRO93" s="3"/>
      <c r="VRP93" s="3"/>
      <c r="VRQ93" s="3"/>
      <c r="VRR93" s="3"/>
      <c r="VRS93" s="3"/>
      <c r="VRT93" s="3"/>
      <c r="VRU93" s="3"/>
      <c r="VRV93" s="3"/>
      <c r="VRW93" s="3"/>
      <c r="VRX93" s="3"/>
      <c r="VRY93" s="3"/>
      <c r="VRZ93" s="3"/>
      <c r="VSA93" s="3"/>
      <c r="VSB93" s="3"/>
      <c r="VSC93" s="3"/>
      <c r="VSD93" s="3"/>
      <c r="VSE93" s="3"/>
      <c r="VSF93" s="3"/>
      <c r="VSG93" s="3"/>
      <c r="VSH93" s="3"/>
      <c r="VSI93" s="3"/>
      <c r="VSJ93" s="3"/>
      <c r="VSK93" s="3"/>
      <c r="VSL93" s="3"/>
      <c r="VSM93" s="3"/>
      <c r="VSN93" s="3"/>
      <c r="VSO93" s="3"/>
      <c r="VSP93" s="3"/>
      <c r="VSQ93" s="3"/>
      <c r="VSR93" s="3"/>
      <c r="VSS93" s="3"/>
      <c r="VST93" s="3"/>
      <c r="VSU93" s="3"/>
      <c r="VSV93" s="3"/>
      <c r="VSW93" s="3"/>
      <c r="VSX93" s="3"/>
      <c r="VSY93" s="3"/>
      <c r="VSZ93" s="3"/>
      <c r="VTA93" s="3"/>
      <c r="VTB93" s="3"/>
      <c r="VTC93" s="3"/>
      <c r="VTD93" s="3"/>
      <c r="VTE93" s="3"/>
      <c r="VTF93" s="3"/>
      <c r="VTG93" s="3"/>
      <c r="VTH93" s="3"/>
      <c r="VTI93" s="3"/>
      <c r="VTJ93" s="3"/>
      <c r="VTK93" s="3"/>
      <c r="VTL93" s="3"/>
      <c r="VTM93" s="3"/>
      <c r="VTN93" s="3"/>
      <c r="VTO93" s="3"/>
      <c r="VTP93" s="3"/>
      <c r="VTQ93" s="3"/>
      <c r="VTR93" s="3"/>
      <c r="VTS93" s="3"/>
      <c r="VTT93" s="3"/>
      <c r="VTU93" s="3"/>
      <c r="VTV93" s="3"/>
      <c r="VTW93" s="3"/>
      <c r="VTX93" s="3"/>
      <c r="VTY93" s="3"/>
      <c r="VTZ93" s="3"/>
      <c r="VUA93" s="3"/>
      <c r="VUB93" s="3"/>
      <c r="VUC93" s="3"/>
      <c r="VUD93" s="3"/>
      <c r="VUE93" s="3"/>
      <c r="VUF93" s="3"/>
      <c r="VUG93" s="3"/>
      <c r="VUH93" s="3"/>
      <c r="VUI93" s="3"/>
      <c r="VUJ93" s="3"/>
      <c r="VUK93" s="3"/>
      <c r="VUL93" s="3"/>
      <c r="VUM93" s="3"/>
      <c r="VUN93" s="3"/>
      <c r="VUO93" s="3"/>
      <c r="VUP93" s="3"/>
      <c r="VUQ93" s="3"/>
      <c r="VUR93" s="3"/>
      <c r="VUS93"/>
      <c r="VUT93"/>
      <c r="VUU93"/>
      <c r="VUV93"/>
      <c r="VUW93"/>
      <c r="VUX93"/>
      <c r="VUY93"/>
      <c r="VUZ93"/>
      <c r="VVA93"/>
      <c r="VVB93"/>
      <c r="VVC93"/>
      <c r="VVD93"/>
      <c r="VVE93"/>
      <c r="VVF93"/>
      <c r="VVG93"/>
      <c r="VVH93"/>
      <c r="VVI93"/>
      <c r="VVJ93"/>
      <c r="VVK93"/>
      <c r="VVL93"/>
      <c r="VVM93"/>
      <c r="VVN93"/>
      <c r="VVO93"/>
      <c r="VVP93"/>
      <c r="VVQ93"/>
      <c r="VVR93"/>
      <c r="VVS93"/>
      <c r="VVT93"/>
      <c r="VVU93"/>
      <c r="VVV93"/>
      <c r="VVW93"/>
      <c r="VVX93"/>
      <c r="VVY93"/>
      <c r="VVZ93"/>
      <c r="VWA93"/>
      <c r="VWB93"/>
      <c r="VWC93"/>
      <c r="VWD93"/>
      <c r="VWE93"/>
      <c r="VWF93"/>
      <c r="VWG93"/>
      <c r="VWH93"/>
      <c r="VWI93"/>
      <c r="VWJ93"/>
      <c r="VWK93"/>
      <c r="VWL93"/>
      <c r="VWM93"/>
      <c r="VWN93"/>
      <c r="VWO93"/>
      <c r="VWP93"/>
      <c r="VWQ93"/>
      <c r="VWR93"/>
      <c r="VWS93"/>
      <c r="VWT93"/>
      <c r="VWU93"/>
      <c r="VWV93"/>
      <c r="VWW93"/>
      <c r="VWX93"/>
      <c r="VWY93"/>
      <c r="VWZ93"/>
      <c r="VXA93"/>
      <c r="VXB93"/>
      <c r="VXC93"/>
      <c r="VXD93"/>
      <c r="VXE93"/>
      <c r="VXF93"/>
      <c r="VXG93"/>
      <c r="VXH93"/>
      <c r="VXI93"/>
      <c r="VXJ93"/>
      <c r="VXK93"/>
      <c r="VXL93"/>
      <c r="VXM93"/>
      <c r="VXN93"/>
      <c r="VXO93"/>
      <c r="VXP93"/>
      <c r="VXQ93"/>
      <c r="VXR93"/>
      <c r="VXS93"/>
      <c r="VXT93"/>
      <c r="VXU93"/>
      <c r="VXV93"/>
      <c r="VXW93"/>
      <c r="VXX93"/>
      <c r="VXY93"/>
      <c r="VXZ93"/>
      <c r="VYA93"/>
      <c r="VYB93"/>
      <c r="VYC93"/>
      <c r="VYD93"/>
      <c r="VYE93"/>
      <c r="VYF93"/>
      <c r="VYG93"/>
      <c r="VYH93"/>
      <c r="VYI93"/>
      <c r="VYJ93"/>
      <c r="VYK93"/>
      <c r="VYL93"/>
      <c r="VYM93"/>
      <c r="VYN93"/>
      <c r="VYO93"/>
      <c r="VYP93"/>
      <c r="VYQ93"/>
      <c r="VYR93"/>
      <c r="VYS93"/>
      <c r="VYT93"/>
      <c r="VYU93"/>
      <c r="VYV93"/>
      <c r="VYW93"/>
      <c r="VYX93"/>
      <c r="VYY93"/>
      <c r="VYZ93"/>
      <c r="VZA93"/>
      <c r="VZB93"/>
      <c r="VZC93"/>
      <c r="VZD93"/>
      <c r="VZE93"/>
      <c r="VZF93"/>
      <c r="VZG93"/>
      <c r="VZH93"/>
      <c r="VZI93"/>
      <c r="VZJ93"/>
      <c r="VZK93"/>
      <c r="VZL93"/>
      <c r="VZM93"/>
      <c r="VZN93"/>
      <c r="VZO93"/>
      <c r="VZP93"/>
      <c r="VZQ93"/>
      <c r="VZR93"/>
      <c r="VZS93"/>
      <c r="VZT93"/>
      <c r="VZU93"/>
      <c r="VZV93"/>
      <c r="VZW93"/>
      <c r="VZX93"/>
      <c r="VZY93"/>
      <c r="VZZ93"/>
      <c r="WAA93"/>
      <c r="WAB93"/>
      <c r="WAC93"/>
      <c r="WAD93"/>
      <c r="WAE93"/>
      <c r="WAF93"/>
      <c r="WAG93"/>
      <c r="WAH93"/>
      <c r="WAI93"/>
      <c r="WAJ93"/>
      <c r="WAK93"/>
      <c r="WAL93"/>
      <c r="WAM93"/>
      <c r="WAN93"/>
      <c r="WAO93"/>
      <c r="WAP93"/>
      <c r="WAQ93"/>
      <c r="WAR93"/>
      <c r="WAS93"/>
      <c r="WAT93"/>
      <c r="WAU93"/>
      <c r="WAV93"/>
      <c r="WAW93"/>
      <c r="WAX93"/>
      <c r="WAY93"/>
      <c r="WAZ93"/>
      <c r="WBA93"/>
      <c r="WBB93"/>
      <c r="WBC93"/>
      <c r="WBD93"/>
      <c r="WBE93"/>
      <c r="WBF93"/>
      <c r="WBG93"/>
      <c r="WBH93"/>
      <c r="WBI93"/>
      <c r="WBJ93"/>
      <c r="WBK93"/>
      <c r="WBL93"/>
      <c r="WBM93"/>
      <c r="WBN93"/>
      <c r="WBO93"/>
      <c r="WBP93"/>
      <c r="WBQ93"/>
      <c r="WBR93"/>
      <c r="WBS93"/>
      <c r="WBT93"/>
      <c r="WBU93"/>
      <c r="WBV93"/>
      <c r="WBW93"/>
      <c r="WBX93"/>
      <c r="WBY93"/>
      <c r="WBZ93"/>
      <c r="WCA93"/>
      <c r="WCB93"/>
      <c r="WCC93"/>
      <c r="WCD93"/>
      <c r="WCE93"/>
      <c r="WCF93"/>
      <c r="WCG93"/>
      <c r="WCH93"/>
      <c r="WCI93"/>
      <c r="WCJ93"/>
      <c r="WCK93"/>
      <c r="WCL93"/>
      <c r="WCM93"/>
      <c r="WCN93"/>
      <c r="WCO93"/>
      <c r="WCP93"/>
      <c r="WCQ93"/>
      <c r="WCR93"/>
      <c r="WCS93"/>
      <c r="WCT93"/>
      <c r="WCU93"/>
      <c r="WCV93"/>
      <c r="WCW93"/>
      <c r="WCX93"/>
      <c r="WCY93"/>
      <c r="WCZ93"/>
      <c r="WDA93"/>
      <c r="WDB93"/>
      <c r="WDC93"/>
      <c r="WDD93"/>
      <c r="WDE93"/>
      <c r="WDF93"/>
      <c r="WDG93"/>
      <c r="WDH93"/>
      <c r="WDI93"/>
      <c r="WDJ93"/>
      <c r="WDK93"/>
      <c r="WDL93"/>
      <c r="WDM93"/>
      <c r="WDN93"/>
      <c r="WDO93"/>
      <c r="WDP93"/>
      <c r="WDQ93"/>
      <c r="WDR93"/>
      <c r="WDS93"/>
      <c r="WDT93"/>
      <c r="WDU93"/>
      <c r="WDV93"/>
      <c r="WDW93"/>
      <c r="WDX93"/>
      <c r="WDY93"/>
      <c r="WDZ93"/>
      <c r="WEA93"/>
      <c r="WEB93"/>
      <c r="WEC93"/>
      <c r="WED93"/>
      <c r="WEE93"/>
      <c r="WEF93"/>
      <c r="WEG93"/>
      <c r="WEH93"/>
      <c r="WEI93"/>
      <c r="WEJ93"/>
      <c r="WEK93"/>
      <c r="WEL93"/>
      <c r="WEM93"/>
      <c r="WEN93"/>
      <c r="WEO93"/>
      <c r="WEP93"/>
      <c r="WEQ93"/>
      <c r="WER93"/>
      <c r="WES93"/>
      <c r="WET93"/>
      <c r="WEU93"/>
      <c r="WEV93"/>
      <c r="WEW93"/>
      <c r="WEX93"/>
      <c r="WEY93"/>
      <c r="WEZ93"/>
      <c r="WFA93"/>
      <c r="WFB93"/>
      <c r="WFC93"/>
      <c r="WFD93"/>
      <c r="WFE93"/>
      <c r="WFF93"/>
      <c r="WFG93"/>
      <c r="WFH93"/>
      <c r="WFI93"/>
      <c r="WFJ93"/>
      <c r="WFK93"/>
      <c r="WFL93"/>
      <c r="WFM93"/>
      <c r="WFN93"/>
      <c r="WFO93"/>
      <c r="WFP93"/>
      <c r="WFQ93"/>
      <c r="WFR93"/>
      <c r="WFS93"/>
      <c r="WFT93"/>
      <c r="WFU93"/>
      <c r="WFV93"/>
      <c r="WFW93"/>
      <c r="WFX93"/>
      <c r="WFY93"/>
      <c r="WFZ93"/>
      <c r="WGA93"/>
      <c r="WGB93"/>
      <c r="WGC93"/>
      <c r="WGD93"/>
      <c r="WGE93"/>
      <c r="WGF93"/>
      <c r="WGG93"/>
      <c r="WGH93"/>
      <c r="WGI93"/>
      <c r="WGJ93"/>
      <c r="WGK93"/>
      <c r="WGL93"/>
      <c r="WGM93"/>
      <c r="WGN93"/>
      <c r="WGO93"/>
      <c r="WGP93"/>
      <c r="WGQ93"/>
      <c r="WGR93"/>
      <c r="WGS93"/>
      <c r="WGT93"/>
      <c r="WGU93"/>
      <c r="WGV93"/>
      <c r="WGW93"/>
      <c r="WGX93"/>
      <c r="WGY93"/>
      <c r="WGZ93"/>
      <c r="WHA93"/>
      <c r="WHB93"/>
      <c r="WHC93"/>
      <c r="WHD93"/>
      <c r="WHE93"/>
      <c r="WHF93"/>
      <c r="WHG93"/>
      <c r="WHH93"/>
      <c r="WHI93"/>
      <c r="WHJ93"/>
      <c r="WHK93"/>
      <c r="WHL93"/>
      <c r="WHM93"/>
      <c r="WHN93"/>
      <c r="WHO93"/>
      <c r="WHP93"/>
      <c r="WHQ93"/>
      <c r="WHR93"/>
      <c r="WHS93"/>
      <c r="WHT93"/>
      <c r="WHU93"/>
      <c r="WHV93"/>
      <c r="WHW93"/>
      <c r="WHX93"/>
      <c r="WHY93"/>
      <c r="WHZ93"/>
      <c r="WIA93"/>
      <c r="WIB93"/>
      <c r="WIC93"/>
      <c r="WID93"/>
      <c r="WIE93"/>
      <c r="WIF93"/>
      <c r="WIG93"/>
      <c r="WIH93"/>
      <c r="WII93"/>
      <c r="WIJ93"/>
      <c r="WIK93"/>
      <c r="WIL93"/>
      <c r="WIM93"/>
      <c r="WIN93"/>
      <c r="WIO93"/>
      <c r="WIP93"/>
      <c r="WIQ93"/>
      <c r="WIR93"/>
      <c r="WIS93"/>
      <c r="WIT93"/>
      <c r="WIU93"/>
      <c r="WIV93"/>
      <c r="WIW93"/>
      <c r="WIX93"/>
      <c r="WIY93"/>
      <c r="WIZ93"/>
      <c r="WJA93"/>
      <c r="WJB93"/>
      <c r="WJC93"/>
      <c r="WJD93"/>
      <c r="WJE93"/>
      <c r="WJF93"/>
      <c r="WJG93"/>
      <c r="WJH93"/>
      <c r="WJI93"/>
      <c r="WJJ93"/>
      <c r="WJK93"/>
      <c r="WJL93"/>
      <c r="WJM93"/>
      <c r="WJN93"/>
      <c r="WJO93"/>
      <c r="WJP93"/>
      <c r="WJQ93"/>
      <c r="WJR93"/>
      <c r="WJS93"/>
      <c r="WJT93"/>
      <c r="WJU93"/>
    </row>
    <row r="94" spans="1:15829" s="1" customFormat="1" hidden="1">
      <c r="B94" s="76"/>
      <c r="C94" s="260" t="s">
        <v>66</v>
      </c>
      <c r="D94" s="164"/>
      <c r="E94" s="261" t="s">
        <v>10</v>
      </c>
      <c r="F94" s="165">
        <v>0</v>
      </c>
      <c r="G94" s="165">
        <v>0</v>
      </c>
      <c r="H94" s="165">
        <v>0</v>
      </c>
      <c r="I94" s="165">
        <v>0</v>
      </c>
      <c r="J94" s="165">
        <v>0</v>
      </c>
      <c r="K94" s="165">
        <v>0</v>
      </c>
      <c r="L94" s="165">
        <v>0</v>
      </c>
      <c r="M94" s="165">
        <v>0</v>
      </c>
      <c r="N94" s="165">
        <v>0</v>
      </c>
      <c r="O94" s="165">
        <v>0</v>
      </c>
      <c r="P94" s="165">
        <v>0</v>
      </c>
      <c r="Q94" s="165">
        <v>0</v>
      </c>
      <c r="R94" s="165">
        <v>0</v>
      </c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  <c r="AI94" s="165"/>
      <c r="AJ94" s="165"/>
      <c r="AK94" s="186"/>
      <c r="AL94" s="185">
        <f>SUM(AL95:AL96)</f>
        <v>0</v>
      </c>
      <c r="AO94" s="130"/>
    </row>
    <row r="95" spans="1:15829" s="1" customFormat="1" ht="14.25" hidden="1">
      <c r="B95" s="76"/>
      <c r="C95" s="262" t="s">
        <v>67</v>
      </c>
      <c r="D95" s="80"/>
      <c r="E95" s="263" t="s">
        <v>10</v>
      </c>
      <c r="F95" s="93">
        <f t="shared" ref="F95:AJ95" si="51">SUM(F98:F99)*10.86</f>
        <v>0</v>
      </c>
      <c r="G95" s="93">
        <f t="shared" si="51"/>
        <v>0</v>
      </c>
      <c r="H95" s="93">
        <f t="shared" si="51"/>
        <v>0</v>
      </c>
      <c r="I95" s="93">
        <f t="shared" si="51"/>
        <v>0</v>
      </c>
      <c r="J95" s="93">
        <f t="shared" si="51"/>
        <v>0</v>
      </c>
      <c r="K95" s="93">
        <f t="shared" si="51"/>
        <v>0</v>
      </c>
      <c r="L95" s="93">
        <f t="shared" si="51"/>
        <v>0</v>
      </c>
      <c r="M95" s="93">
        <f t="shared" si="51"/>
        <v>0</v>
      </c>
      <c r="N95" s="93">
        <f t="shared" si="51"/>
        <v>0</v>
      </c>
      <c r="O95" s="93">
        <f t="shared" si="51"/>
        <v>0</v>
      </c>
      <c r="P95" s="93">
        <f t="shared" si="51"/>
        <v>0</v>
      </c>
      <c r="Q95" s="93">
        <f t="shared" si="51"/>
        <v>0</v>
      </c>
      <c r="R95" s="93">
        <f t="shared" si="51"/>
        <v>0</v>
      </c>
      <c r="S95" s="93">
        <f t="shared" si="51"/>
        <v>0</v>
      </c>
      <c r="T95" s="93">
        <f t="shared" si="51"/>
        <v>0</v>
      </c>
      <c r="U95" s="93">
        <f t="shared" si="51"/>
        <v>0</v>
      </c>
      <c r="V95" s="93">
        <f t="shared" si="51"/>
        <v>0</v>
      </c>
      <c r="W95" s="93">
        <f t="shared" si="51"/>
        <v>0</v>
      </c>
      <c r="X95" s="93">
        <f t="shared" si="51"/>
        <v>0</v>
      </c>
      <c r="Y95" s="93">
        <f t="shared" si="51"/>
        <v>0</v>
      </c>
      <c r="Z95" s="93">
        <f t="shared" si="51"/>
        <v>0</v>
      </c>
      <c r="AA95" s="93">
        <f t="shared" si="51"/>
        <v>0</v>
      </c>
      <c r="AB95" s="93">
        <f t="shared" si="51"/>
        <v>0</v>
      </c>
      <c r="AC95" s="93">
        <f t="shared" si="51"/>
        <v>0</v>
      </c>
      <c r="AD95" s="93">
        <f t="shared" si="51"/>
        <v>0</v>
      </c>
      <c r="AE95" s="93">
        <f t="shared" si="51"/>
        <v>0</v>
      </c>
      <c r="AF95" s="93">
        <f t="shared" si="51"/>
        <v>0</v>
      </c>
      <c r="AG95" s="93">
        <f t="shared" si="51"/>
        <v>0</v>
      </c>
      <c r="AH95" s="93">
        <f t="shared" si="51"/>
        <v>0</v>
      </c>
      <c r="AI95" s="93">
        <f t="shared" si="51"/>
        <v>0</v>
      </c>
      <c r="AJ95" s="93">
        <f t="shared" si="51"/>
        <v>0</v>
      </c>
      <c r="AK95" s="129"/>
      <c r="AL95" s="131">
        <f>SUM(F95:AJ95)</f>
        <v>0</v>
      </c>
      <c r="AO95" s="130"/>
    </row>
    <row r="96" spans="1:15829" s="1" customFormat="1" ht="14.25" hidden="1">
      <c r="B96" s="76"/>
      <c r="C96" s="262" t="s">
        <v>68</v>
      </c>
      <c r="D96" s="80"/>
      <c r="E96" s="263" t="s">
        <v>10</v>
      </c>
      <c r="F96" s="93">
        <f t="shared" ref="F96:AJ96" si="52">F94-F95</f>
        <v>0</v>
      </c>
      <c r="G96" s="93">
        <f t="shared" si="52"/>
        <v>0</v>
      </c>
      <c r="H96" s="93">
        <f t="shared" si="52"/>
        <v>0</v>
      </c>
      <c r="I96" s="93">
        <f t="shared" si="52"/>
        <v>0</v>
      </c>
      <c r="J96" s="93">
        <f t="shared" si="52"/>
        <v>0</v>
      </c>
      <c r="K96" s="93">
        <f t="shared" si="52"/>
        <v>0</v>
      </c>
      <c r="L96" s="93">
        <f t="shared" si="52"/>
        <v>0</v>
      </c>
      <c r="M96" s="93">
        <f t="shared" si="52"/>
        <v>0</v>
      </c>
      <c r="N96" s="93">
        <f t="shared" si="52"/>
        <v>0</v>
      </c>
      <c r="O96" s="93">
        <f t="shared" si="52"/>
        <v>0</v>
      </c>
      <c r="P96" s="93">
        <f t="shared" si="52"/>
        <v>0</v>
      </c>
      <c r="Q96" s="93">
        <f t="shared" si="52"/>
        <v>0</v>
      </c>
      <c r="R96" s="93">
        <f t="shared" si="52"/>
        <v>0</v>
      </c>
      <c r="S96" s="93">
        <f t="shared" si="52"/>
        <v>0</v>
      </c>
      <c r="T96" s="93">
        <f t="shared" si="52"/>
        <v>0</v>
      </c>
      <c r="U96" s="93">
        <f t="shared" si="52"/>
        <v>0</v>
      </c>
      <c r="V96" s="93">
        <f t="shared" si="52"/>
        <v>0</v>
      </c>
      <c r="W96" s="93">
        <f t="shared" si="52"/>
        <v>0</v>
      </c>
      <c r="X96" s="93">
        <f t="shared" si="52"/>
        <v>0</v>
      </c>
      <c r="Y96" s="93">
        <f t="shared" si="52"/>
        <v>0</v>
      </c>
      <c r="Z96" s="93">
        <f t="shared" si="52"/>
        <v>0</v>
      </c>
      <c r="AA96" s="93">
        <f t="shared" si="52"/>
        <v>0</v>
      </c>
      <c r="AB96" s="93">
        <f t="shared" si="52"/>
        <v>0</v>
      </c>
      <c r="AC96" s="93">
        <f t="shared" si="52"/>
        <v>0</v>
      </c>
      <c r="AD96" s="93">
        <f t="shared" si="52"/>
        <v>0</v>
      </c>
      <c r="AE96" s="93">
        <f t="shared" si="52"/>
        <v>0</v>
      </c>
      <c r="AF96" s="93">
        <f t="shared" si="52"/>
        <v>0</v>
      </c>
      <c r="AG96" s="93">
        <f t="shared" si="52"/>
        <v>0</v>
      </c>
      <c r="AH96" s="93">
        <f t="shared" si="52"/>
        <v>0</v>
      </c>
      <c r="AI96" s="93">
        <f t="shared" si="52"/>
        <v>0</v>
      </c>
      <c r="AJ96" s="93">
        <f t="shared" si="52"/>
        <v>0</v>
      </c>
      <c r="AK96" s="129"/>
      <c r="AL96" s="131">
        <f>SUM(F96:AJ96)</f>
        <v>0</v>
      </c>
      <c r="AO96" s="130"/>
    </row>
    <row r="97" spans="1:15829" s="1" customFormat="1" ht="14.25" hidden="1">
      <c r="B97" s="76"/>
      <c r="C97" s="262" t="s">
        <v>70</v>
      </c>
      <c r="D97" s="80"/>
      <c r="E97" s="76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129"/>
      <c r="AL97" s="188" t="s">
        <v>70</v>
      </c>
      <c r="AO97" s="130"/>
    </row>
    <row r="98" spans="1:15829" s="7" customFormat="1" ht="14.25" hidden="1">
      <c r="B98" s="166"/>
      <c r="C98" s="167" t="s">
        <v>83</v>
      </c>
      <c r="D98" s="46"/>
      <c r="E98" s="265" t="s">
        <v>72</v>
      </c>
      <c r="F98" s="168">
        <v>0</v>
      </c>
      <c r="G98" s="168">
        <v>0</v>
      </c>
      <c r="H98" s="168">
        <v>0</v>
      </c>
      <c r="I98" s="168">
        <v>0</v>
      </c>
      <c r="J98" s="168">
        <v>0</v>
      </c>
      <c r="K98" s="168">
        <v>0</v>
      </c>
      <c r="L98" s="168">
        <v>0</v>
      </c>
      <c r="M98" s="168">
        <v>0</v>
      </c>
      <c r="N98" s="168">
        <v>0</v>
      </c>
      <c r="O98" s="168">
        <v>0</v>
      </c>
      <c r="P98" s="168">
        <v>0</v>
      </c>
      <c r="Q98" s="168">
        <v>0</v>
      </c>
      <c r="R98" s="168">
        <v>0</v>
      </c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89"/>
      <c r="AL98" s="193">
        <f>SUM(F98:AJ98)</f>
        <v>0</v>
      </c>
      <c r="AO98" s="192"/>
    </row>
    <row r="99" spans="1:15829" s="7" customFormat="1" ht="14.25" hidden="1">
      <c r="B99" s="166"/>
      <c r="C99" s="167" t="s">
        <v>84</v>
      </c>
      <c r="D99" s="46"/>
      <c r="E99" s="265" t="s">
        <v>72</v>
      </c>
      <c r="F99" s="168">
        <v>0</v>
      </c>
      <c r="G99" s="168">
        <v>0</v>
      </c>
      <c r="H99" s="168">
        <v>0</v>
      </c>
      <c r="I99" s="168">
        <v>0</v>
      </c>
      <c r="J99" s="168">
        <v>0</v>
      </c>
      <c r="K99" s="168">
        <v>0</v>
      </c>
      <c r="L99" s="168">
        <v>0</v>
      </c>
      <c r="M99" s="168">
        <v>0</v>
      </c>
      <c r="N99" s="168">
        <v>0</v>
      </c>
      <c r="O99" s="168">
        <v>0</v>
      </c>
      <c r="P99" s="168">
        <v>0</v>
      </c>
      <c r="Q99" s="168">
        <v>0</v>
      </c>
      <c r="R99" s="168">
        <v>0</v>
      </c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89"/>
      <c r="AL99" s="193">
        <f>SUM(F99:AJ99)</f>
        <v>0</v>
      </c>
      <c r="AO99" s="192"/>
    </row>
    <row r="100" spans="1:15829" s="1" customFormat="1" ht="14.25" hidden="1">
      <c r="B100" s="76"/>
      <c r="C100" s="262" t="s">
        <v>74</v>
      </c>
      <c r="D100" s="80"/>
      <c r="E100" s="76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129"/>
      <c r="AL100" s="188" t="s">
        <v>74</v>
      </c>
      <c r="AO100" s="130"/>
    </row>
    <row r="101" spans="1:15829" s="1" customFormat="1" ht="14.25" hidden="1">
      <c r="B101" s="76"/>
      <c r="C101" s="167" t="s">
        <v>83</v>
      </c>
      <c r="D101" s="80"/>
      <c r="E101" s="263" t="s">
        <v>74</v>
      </c>
      <c r="F101" s="65">
        <f t="shared" ref="F101:AJ101" si="53">F98*12</f>
        <v>0</v>
      </c>
      <c r="G101" s="65">
        <f t="shared" si="53"/>
        <v>0</v>
      </c>
      <c r="H101" s="65">
        <f t="shared" si="53"/>
        <v>0</v>
      </c>
      <c r="I101" s="65">
        <f t="shared" si="53"/>
        <v>0</v>
      </c>
      <c r="J101" s="65">
        <f t="shared" si="53"/>
        <v>0</v>
      </c>
      <c r="K101" s="65">
        <f t="shared" si="53"/>
        <v>0</v>
      </c>
      <c r="L101" s="65">
        <f t="shared" si="53"/>
        <v>0</v>
      </c>
      <c r="M101" s="65">
        <f t="shared" si="53"/>
        <v>0</v>
      </c>
      <c r="N101" s="65">
        <f t="shared" si="53"/>
        <v>0</v>
      </c>
      <c r="O101" s="65">
        <f t="shared" si="53"/>
        <v>0</v>
      </c>
      <c r="P101" s="65">
        <f t="shared" si="53"/>
        <v>0</v>
      </c>
      <c r="Q101" s="65">
        <f t="shared" si="53"/>
        <v>0</v>
      </c>
      <c r="R101" s="65">
        <f t="shared" si="53"/>
        <v>0</v>
      </c>
      <c r="S101" s="65">
        <f t="shared" si="53"/>
        <v>0</v>
      </c>
      <c r="T101" s="65">
        <f t="shared" si="53"/>
        <v>0</v>
      </c>
      <c r="U101" s="65">
        <f t="shared" si="53"/>
        <v>0</v>
      </c>
      <c r="V101" s="65">
        <f t="shared" si="53"/>
        <v>0</v>
      </c>
      <c r="W101" s="65">
        <f t="shared" si="53"/>
        <v>0</v>
      </c>
      <c r="X101" s="65">
        <f t="shared" si="53"/>
        <v>0</v>
      </c>
      <c r="Y101" s="65">
        <f t="shared" si="53"/>
        <v>0</v>
      </c>
      <c r="Z101" s="65">
        <f t="shared" si="53"/>
        <v>0</v>
      </c>
      <c r="AA101" s="65">
        <f t="shared" si="53"/>
        <v>0</v>
      </c>
      <c r="AB101" s="65">
        <f t="shared" si="53"/>
        <v>0</v>
      </c>
      <c r="AC101" s="65">
        <f t="shared" si="53"/>
        <v>0</v>
      </c>
      <c r="AD101" s="65">
        <f t="shared" si="53"/>
        <v>0</v>
      </c>
      <c r="AE101" s="65">
        <f t="shared" si="53"/>
        <v>0</v>
      </c>
      <c r="AF101" s="65">
        <f t="shared" si="53"/>
        <v>0</v>
      </c>
      <c r="AG101" s="65">
        <f t="shared" si="53"/>
        <v>0</v>
      </c>
      <c r="AH101" s="65">
        <f t="shared" si="53"/>
        <v>0</v>
      </c>
      <c r="AI101" s="65">
        <f t="shared" si="53"/>
        <v>0</v>
      </c>
      <c r="AJ101" s="65">
        <f t="shared" si="53"/>
        <v>0</v>
      </c>
      <c r="AK101" s="129"/>
      <c r="AL101" s="190">
        <f>AL98*12</f>
        <v>0</v>
      </c>
      <c r="AO101" s="130"/>
    </row>
    <row r="102" spans="1:15829" s="1" customFormat="1" ht="14.25" hidden="1">
      <c r="B102" s="76"/>
      <c r="C102" s="167" t="s">
        <v>84</v>
      </c>
      <c r="D102" s="80"/>
      <c r="E102" s="263" t="s">
        <v>74</v>
      </c>
      <c r="F102" s="65">
        <f t="shared" ref="F102:AJ102" si="54">F99*6</f>
        <v>0</v>
      </c>
      <c r="G102" s="65">
        <f t="shared" si="54"/>
        <v>0</v>
      </c>
      <c r="H102" s="65">
        <f t="shared" si="54"/>
        <v>0</v>
      </c>
      <c r="I102" s="65">
        <f t="shared" si="54"/>
        <v>0</v>
      </c>
      <c r="J102" s="65">
        <f t="shared" si="54"/>
        <v>0</v>
      </c>
      <c r="K102" s="65">
        <f t="shared" si="54"/>
        <v>0</v>
      </c>
      <c r="L102" s="65">
        <f t="shared" si="54"/>
        <v>0</v>
      </c>
      <c r="M102" s="65">
        <f t="shared" si="54"/>
        <v>0</v>
      </c>
      <c r="N102" s="65">
        <f t="shared" si="54"/>
        <v>0</v>
      </c>
      <c r="O102" s="65">
        <f t="shared" si="54"/>
        <v>0</v>
      </c>
      <c r="P102" s="65">
        <f t="shared" si="54"/>
        <v>0</v>
      </c>
      <c r="Q102" s="65">
        <f t="shared" si="54"/>
        <v>0</v>
      </c>
      <c r="R102" s="65">
        <f t="shared" si="54"/>
        <v>0</v>
      </c>
      <c r="S102" s="65">
        <f t="shared" si="54"/>
        <v>0</v>
      </c>
      <c r="T102" s="65">
        <f t="shared" si="54"/>
        <v>0</v>
      </c>
      <c r="U102" s="65">
        <f t="shared" si="54"/>
        <v>0</v>
      </c>
      <c r="V102" s="65">
        <f t="shared" si="54"/>
        <v>0</v>
      </c>
      <c r="W102" s="65">
        <f t="shared" si="54"/>
        <v>0</v>
      </c>
      <c r="X102" s="65">
        <f t="shared" si="54"/>
        <v>0</v>
      </c>
      <c r="Y102" s="65">
        <f t="shared" si="54"/>
        <v>0</v>
      </c>
      <c r="Z102" s="65">
        <f t="shared" si="54"/>
        <v>0</v>
      </c>
      <c r="AA102" s="65">
        <f t="shared" si="54"/>
        <v>0</v>
      </c>
      <c r="AB102" s="65">
        <f t="shared" si="54"/>
        <v>0</v>
      </c>
      <c r="AC102" s="65">
        <f t="shared" si="54"/>
        <v>0</v>
      </c>
      <c r="AD102" s="65">
        <f t="shared" si="54"/>
        <v>0</v>
      </c>
      <c r="AE102" s="65">
        <f t="shared" si="54"/>
        <v>0</v>
      </c>
      <c r="AF102" s="65">
        <f t="shared" si="54"/>
        <v>0</v>
      </c>
      <c r="AG102" s="65">
        <f t="shared" si="54"/>
        <v>0</v>
      </c>
      <c r="AH102" s="65">
        <f t="shared" si="54"/>
        <v>0</v>
      </c>
      <c r="AI102" s="65">
        <f t="shared" si="54"/>
        <v>0</v>
      </c>
      <c r="AJ102" s="65">
        <f t="shared" si="54"/>
        <v>0</v>
      </c>
      <c r="AK102" s="129"/>
      <c r="AL102" s="190">
        <f>AL99*6</f>
        <v>0</v>
      </c>
      <c r="AO102" s="130"/>
    </row>
    <row r="103" spans="1:15829" s="1" customFormat="1" ht="14.25" hidden="1">
      <c r="B103" s="76"/>
      <c r="C103" s="262" t="s">
        <v>77</v>
      </c>
      <c r="D103" s="80"/>
      <c r="E103" s="263" t="s">
        <v>78</v>
      </c>
      <c r="F103" s="65">
        <f t="shared" ref="F103:AI103" si="55">SUM(F98:F99)/500</f>
        <v>0</v>
      </c>
      <c r="G103" s="65">
        <f t="shared" si="55"/>
        <v>0</v>
      </c>
      <c r="H103" s="65">
        <f t="shared" si="55"/>
        <v>0</v>
      </c>
      <c r="I103" s="65">
        <f t="shared" si="55"/>
        <v>0</v>
      </c>
      <c r="J103" s="65">
        <f t="shared" si="55"/>
        <v>0</v>
      </c>
      <c r="K103" s="65">
        <f t="shared" si="55"/>
        <v>0</v>
      </c>
      <c r="L103" s="65">
        <f t="shared" si="55"/>
        <v>0</v>
      </c>
      <c r="M103" s="65">
        <f t="shared" si="55"/>
        <v>0</v>
      </c>
      <c r="N103" s="65">
        <f t="shared" si="55"/>
        <v>0</v>
      </c>
      <c r="O103" s="65">
        <f t="shared" si="55"/>
        <v>0</v>
      </c>
      <c r="P103" s="65">
        <f t="shared" si="55"/>
        <v>0</v>
      </c>
      <c r="Q103" s="65">
        <f t="shared" si="55"/>
        <v>0</v>
      </c>
      <c r="R103" s="65">
        <f t="shared" si="55"/>
        <v>0</v>
      </c>
      <c r="S103" s="65">
        <f t="shared" si="55"/>
        <v>0</v>
      </c>
      <c r="T103" s="65">
        <f t="shared" si="55"/>
        <v>0</v>
      </c>
      <c r="U103" s="65">
        <f t="shared" si="55"/>
        <v>0</v>
      </c>
      <c r="V103" s="65">
        <f t="shared" si="55"/>
        <v>0</v>
      </c>
      <c r="W103" s="65">
        <f t="shared" si="55"/>
        <v>0</v>
      </c>
      <c r="X103" s="65">
        <f t="shared" si="55"/>
        <v>0</v>
      </c>
      <c r="Y103" s="65">
        <f t="shared" si="55"/>
        <v>0</v>
      </c>
      <c r="Z103" s="65">
        <f t="shared" si="55"/>
        <v>0</v>
      </c>
      <c r="AA103" s="65">
        <f t="shared" si="55"/>
        <v>0</v>
      </c>
      <c r="AB103" s="65">
        <f t="shared" si="55"/>
        <v>0</v>
      </c>
      <c r="AC103" s="65">
        <f t="shared" si="55"/>
        <v>0</v>
      </c>
      <c r="AD103" s="65">
        <f t="shared" si="55"/>
        <v>0</v>
      </c>
      <c r="AE103" s="65">
        <f t="shared" si="55"/>
        <v>0</v>
      </c>
      <c r="AF103" s="65">
        <f t="shared" si="55"/>
        <v>0</v>
      </c>
      <c r="AG103" s="65">
        <f t="shared" si="55"/>
        <v>0</v>
      </c>
      <c r="AH103" s="65">
        <f t="shared" si="55"/>
        <v>0</v>
      </c>
      <c r="AI103" s="65">
        <f t="shared" si="55"/>
        <v>0</v>
      </c>
      <c r="AJ103" s="168"/>
      <c r="AK103" s="129"/>
      <c r="AL103" s="190">
        <f>SUM(F103:AJ103)</f>
        <v>0</v>
      </c>
      <c r="AO103" s="130"/>
    </row>
    <row r="104" spans="1:15829" s="1" customFormat="1" hidden="1">
      <c r="A104" s="3"/>
      <c r="B104" s="62"/>
      <c r="C104" s="41" t="s">
        <v>79</v>
      </c>
      <c r="D104" s="60"/>
      <c r="E104" s="60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115"/>
      <c r="AD104" s="61"/>
      <c r="AE104" s="61"/>
      <c r="AF104" s="61"/>
      <c r="AG104" s="61"/>
      <c r="AH104" s="61"/>
      <c r="AI104" s="115"/>
      <c r="AJ104" s="115"/>
      <c r="AK104" s="119"/>
      <c r="AL104" s="247" t="s">
        <v>80</v>
      </c>
      <c r="AM104" s="3"/>
      <c r="AN104" s="3"/>
      <c r="AO104" s="3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  <c r="AMG104" s="3"/>
      <c r="AMH104" s="3"/>
      <c r="AMI104" s="3"/>
      <c r="AMJ104" s="3"/>
      <c r="AMK104" s="3"/>
      <c r="AML104" s="3"/>
      <c r="AMM104" s="3"/>
      <c r="AMN104" s="3"/>
      <c r="AMO104" s="3"/>
      <c r="AMP104" s="3"/>
      <c r="AMQ104" s="3"/>
      <c r="AMR104" s="3"/>
      <c r="AMS104" s="3"/>
      <c r="AMT104" s="3"/>
      <c r="AMU104" s="3"/>
      <c r="AMV104" s="3"/>
      <c r="AMW104" s="3"/>
      <c r="AMX104" s="3"/>
      <c r="AMY104" s="3"/>
      <c r="AMZ104" s="3"/>
      <c r="ANA104" s="3"/>
      <c r="ANB104" s="3"/>
      <c r="ANC104" s="3"/>
      <c r="AND104" s="3"/>
      <c r="ANE104" s="3"/>
      <c r="ANF104" s="3"/>
      <c r="ANG104" s="3"/>
      <c r="ANH104" s="3"/>
      <c r="ANI104" s="3"/>
      <c r="ANJ104" s="3"/>
      <c r="ANK104" s="3"/>
      <c r="ANL104" s="3"/>
      <c r="ANM104" s="3"/>
      <c r="ANN104" s="3"/>
      <c r="ANO104" s="3"/>
      <c r="ANP104" s="3"/>
      <c r="ANQ104" s="3"/>
      <c r="ANR104" s="3"/>
      <c r="ANS104" s="3"/>
      <c r="ANT104" s="3"/>
      <c r="ANU104" s="3"/>
      <c r="ANV104" s="3"/>
      <c r="ANW104" s="3"/>
      <c r="ANX104" s="3"/>
      <c r="ANY104" s="3"/>
      <c r="ANZ104" s="3"/>
      <c r="AOA104" s="3"/>
      <c r="AOB104" s="3"/>
      <c r="AOC104" s="3"/>
      <c r="AOD104" s="3"/>
      <c r="AOE104" s="3"/>
      <c r="AOF104" s="3"/>
      <c r="AOG104" s="3"/>
      <c r="AOH104" s="3"/>
      <c r="AOI104" s="3"/>
      <c r="AOJ104" s="3"/>
      <c r="AOK104" s="3"/>
      <c r="AOL104" s="3"/>
      <c r="AOM104" s="3"/>
      <c r="AON104" s="3"/>
      <c r="AOO104" s="3"/>
      <c r="AOP104" s="3"/>
      <c r="AOQ104" s="3"/>
      <c r="AOR104" s="3"/>
      <c r="AOS104" s="3"/>
      <c r="AOT104" s="3"/>
      <c r="AOU104" s="3"/>
      <c r="AOV104" s="3"/>
      <c r="AOW104" s="3"/>
      <c r="AOX104" s="3"/>
      <c r="AOY104" s="3"/>
      <c r="AOZ104" s="3"/>
      <c r="APA104" s="3"/>
      <c r="APB104" s="3"/>
      <c r="APC104" s="3"/>
      <c r="APD104" s="3"/>
      <c r="APE104" s="3"/>
      <c r="APF104" s="3"/>
      <c r="APG104" s="3"/>
      <c r="APH104" s="3"/>
      <c r="API104" s="3"/>
      <c r="APJ104" s="3"/>
      <c r="APK104" s="3"/>
      <c r="APL104" s="3"/>
      <c r="APM104" s="3"/>
      <c r="APN104" s="3"/>
      <c r="APO104" s="3"/>
      <c r="APP104" s="3"/>
      <c r="APQ104" s="3"/>
      <c r="APR104" s="3"/>
      <c r="APS104" s="3"/>
      <c r="APT104" s="3"/>
      <c r="APU104" s="3"/>
      <c r="APV104" s="3"/>
      <c r="APW104" s="3"/>
      <c r="APX104" s="3"/>
      <c r="APY104" s="3"/>
      <c r="APZ104" s="3"/>
      <c r="AQA104" s="3"/>
      <c r="AQB104" s="3"/>
      <c r="AQC104" s="3"/>
      <c r="AQD104" s="3"/>
      <c r="AQE104" s="3"/>
      <c r="AQF104" s="3"/>
      <c r="AQG104" s="3"/>
      <c r="AQH104" s="3"/>
      <c r="AQI104" s="3"/>
      <c r="AQJ104" s="3"/>
      <c r="AQK104" s="3"/>
      <c r="AQL104" s="3"/>
      <c r="AQM104" s="3"/>
      <c r="AQN104" s="3"/>
      <c r="AQO104" s="3"/>
      <c r="AQP104" s="3"/>
      <c r="AQQ104" s="3"/>
      <c r="AQR104" s="3"/>
      <c r="AQS104" s="3"/>
      <c r="AQT104" s="3"/>
      <c r="AQU104" s="3"/>
      <c r="AQV104" s="3"/>
      <c r="AQW104" s="3"/>
      <c r="AQX104" s="3"/>
      <c r="AQY104" s="3"/>
      <c r="AQZ104" s="3"/>
      <c r="ARA104" s="3"/>
      <c r="ARB104" s="3"/>
      <c r="ARC104" s="3"/>
      <c r="ARD104" s="3"/>
      <c r="ARE104" s="3"/>
      <c r="ARF104" s="3"/>
      <c r="ARG104" s="3"/>
      <c r="ARH104" s="3"/>
      <c r="ARI104" s="3"/>
      <c r="ARJ104" s="3"/>
      <c r="ARK104" s="3"/>
      <c r="ARL104" s="3"/>
      <c r="ARM104" s="3"/>
      <c r="ARN104" s="3"/>
      <c r="ARO104" s="3"/>
      <c r="ARP104" s="3"/>
      <c r="ARQ104" s="3"/>
      <c r="ARR104" s="3"/>
      <c r="ARS104" s="3"/>
      <c r="ART104" s="3"/>
      <c r="ARU104" s="3"/>
      <c r="ARV104" s="3"/>
      <c r="ARW104" s="3"/>
      <c r="ARX104" s="3"/>
      <c r="ARY104" s="3"/>
      <c r="ARZ104" s="3"/>
      <c r="ASA104" s="3"/>
      <c r="ASB104" s="3"/>
      <c r="ASC104" s="3"/>
      <c r="ASD104" s="3"/>
      <c r="ASE104" s="3"/>
      <c r="ASF104" s="3"/>
      <c r="ASG104" s="3"/>
      <c r="ASH104" s="3"/>
      <c r="ASI104" s="3"/>
      <c r="ASJ104" s="3"/>
      <c r="ASK104" s="3"/>
      <c r="ASL104" s="3"/>
      <c r="ASM104" s="3"/>
      <c r="ASN104" s="3"/>
      <c r="ASO104" s="3"/>
      <c r="ASP104" s="3"/>
      <c r="ASQ104" s="3"/>
      <c r="ASR104" s="3"/>
      <c r="ASS104" s="3"/>
      <c r="AST104" s="3"/>
      <c r="ASU104" s="3"/>
      <c r="ASV104" s="3"/>
      <c r="ASW104" s="3"/>
      <c r="ASX104" s="3"/>
      <c r="ASY104" s="3"/>
      <c r="ASZ104" s="3"/>
      <c r="ATA104" s="3"/>
      <c r="ATB104" s="3"/>
      <c r="ATC104" s="3"/>
      <c r="ATD104" s="3"/>
      <c r="ATE104" s="3"/>
      <c r="ATF104" s="3"/>
      <c r="ATG104" s="3"/>
      <c r="ATH104" s="3"/>
      <c r="ATI104" s="3"/>
      <c r="ATJ104" s="3"/>
      <c r="ATK104" s="3"/>
      <c r="ATL104" s="3"/>
      <c r="ATM104" s="3"/>
      <c r="ATN104" s="3"/>
      <c r="ATO104" s="3"/>
      <c r="ATP104" s="3"/>
      <c r="ATQ104" s="3"/>
      <c r="ATR104" s="3"/>
      <c r="ATS104" s="3"/>
      <c r="ATT104" s="3"/>
      <c r="ATU104" s="3"/>
      <c r="ATV104" s="3"/>
      <c r="ATW104" s="3"/>
      <c r="ATX104" s="3"/>
      <c r="ATY104" s="3"/>
      <c r="ATZ104" s="3"/>
      <c r="AUA104" s="3"/>
      <c r="AUB104" s="3"/>
      <c r="AUC104" s="3"/>
      <c r="AUD104" s="3"/>
      <c r="AUE104" s="3"/>
      <c r="AUF104" s="3"/>
      <c r="AUG104" s="3"/>
      <c r="AUH104" s="3"/>
      <c r="AUI104" s="3"/>
      <c r="AUJ104" s="3"/>
      <c r="AUK104" s="3"/>
      <c r="AUL104" s="3"/>
      <c r="AUM104" s="3"/>
      <c r="AUN104" s="3"/>
      <c r="AUO104" s="3"/>
      <c r="AUP104" s="3"/>
      <c r="AUQ104" s="3"/>
      <c r="AUR104" s="3"/>
      <c r="AUS104" s="3"/>
      <c r="AUT104" s="3"/>
      <c r="AUU104" s="3"/>
      <c r="AUV104" s="3"/>
      <c r="AUW104" s="3"/>
      <c r="AUX104" s="3"/>
      <c r="AUY104" s="3"/>
      <c r="AUZ104" s="3"/>
      <c r="AVA104" s="3"/>
      <c r="AVB104" s="3"/>
      <c r="AVC104" s="3"/>
      <c r="AVD104" s="3"/>
      <c r="AVE104" s="3"/>
      <c r="AVF104" s="3"/>
      <c r="AVG104" s="3"/>
      <c r="AVH104" s="3"/>
      <c r="AVI104" s="3"/>
      <c r="AVJ104" s="3"/>
      <c r="AVK104" s="3"/>
      <c r="AVL104" s="3"/>
      <c r="AVM104" s="3"/>
      <c r="AVN104" s="3"/>
      <c r="AVO104" s="3"/>
      <c r="AVP104" s="3"/>
      <c r="AVQ104" s="3"/>
      <c r="AVR104" s="3"/>
      <c r="AVS104" s="3"/>
      <c r="AVT104" s="3"/>
      <c r="AVU104" s="3"/>
      <c r="AVV104" s="3"/>
      <c r="AVW104" s="3"/>
      <c r="AVX104" s="3"/>
      <c r="AVY104" s="3"/>
      <c r="AVZ104" s="3"/>
      <c r="AWA104" s="3"/>
      <c r="AWB104" s="3"/>
      <c r="AWC104" s="3"/>
      <c r="AWD104" s="3"/>
      <c r="AWE104" s="3"/>
      <c r="AWF104" s="3"/>
      <c r="AWG104" s="3"/>
      <c r="AWH104" s="3"/>
      <c r="AWI104" s="3"/>
      <c r="AWJ104" s="3"/>
      <c r="AWK104" s="3"/>
      <c r="AWL104" s="3"/>
      <c r="AWM104" s="3"/>
      <c r="AWN104" s="3"/>
      <c r="AWO104" s="3"/>
      <c r="AWP104" s="3"/>
      <c r="AWQ104" s="3"/>
      <c r="AWR104" s="3"/>
      <c r="AWS104" s="3"/>
      <c r="AWT104" s="3"/>
      <c r="AWU104" s="3"/>
      <c r="AWV104" s="3"/>
      <c r="AWW104" s="3"/>
      <c r="AWX104" s="3"/>
      <c r="AWY104" s="3"/>
      <c r="AWZ104" s="3"/>
      <c r="AXA104" s="3"/>
      <c r="AXB104" s="3"/>
      <c r="AXC104" s="3"/>
      <c r="AXD104" s="3"/>
      <c r="AXE104" s="3"/>
      <c r="AXF104" s="3"/>
      <c r="AXG104" s="3"/>
      <c r="AXH104" s="3"/>
      <c r="AXI104" s="3"/>
      <c r="AXJ104" s="3"/>
      <c r="AXK104" s="3"/>
      <c r="AXL104" s="3"/>
      <c r="AXM104" s="3"/>
      <c r="AXN104" s="3"/>
      <c r="AXO104" s="3"/>
      <c r="AXP104" s="3"/>
      <c r="AXQ104" s="3"/>
      <c r="AXR104" s="3"/>
      <c r="AXS104" s="3"/>
      <c r="AXT104" s="3"/>
      <c r="AXU104" s="3"/>
      <c r="AXV104" s="3"/>
      <c r="AXW104" s="3"/>
      <c r="AXX104" s="3"/>
      <c r="AXY104" s="3"/>
      <c r="AXZ104" s="3"/>
      <c r="AYA104" s="3"/>
      <c r="AYB104" s="3"/>
      <c r="AYC104" s="3"/>
      <c r="AYD104" s="3"/>
      <c r="AYE104" s="3"/>
      <c r="AYF104" s="3"/>
      <c r="AYG104" s="3"/>
      <c r="AYH104" s="3"/>
      <c r="AYI104" s="3"/>
      <c r="AYJ104" s="3"/>
      <c r="AYK104" s="3"/>
      <c r="AYL104" s="3"/>
      <c r="AYM104" s="3"/>
      <c r="AYN104" s="3"/>
      <c r="AYO104" s="3"/>
      <c r="AYP104" s="3"/>
      <c r="AYQ104" s="3"/>
      <c r="AYR104" s="3"/>
      <c r="AYS104" s="3"/>
      <c r="AYT104" s="3"/>
      <c r="AYU104" s="3"/>
      <c r="AYV104" s="3"/>
      <c r="AYW104" s="3"/>
      <c r="AYX104" s="3"/>
      <c r="AYY104" s="3"/>
      <c r="AYZ104" s="3"/>
      <c r="AZA104" s="3"/>
      <c r="AZB104" s="3"/>
      <c r="AZC104" s="3"/>
      <c r="AZD104" s="3"/>
      <c r="AZE104" s="3"/>
      <c r="AZF104" s="3"/>
      <c r="AZG104" s="3"/>
      <c r="AZH104" s="3"/>
      <c r="AZI104" s="3"/>
      <c r="AZJ104" s="3"/>
      <c r="AZK104" s="3"/>
      <c r="AZL104" s="3"/>
      <c r="AZM104" s="3"/>
      <c r="AZN104" s="3"/>
      <c r="AZO104" s="3"/>
      <c r="AZP104" s="3"/>
      <c r="AZQ104" s="3"/>
      <c r="AZR104" s="3"/>
      <c r="AZS104" s="3"/>
      <c r="AZT104" s="3"/>
      <c r="AZU104" s="3"/>
      <c r="AZV104" s="3"/>
      <c r="AZW104" s="3"/>
      <c r="AZX104" s="3"/>
      <c r="AZY104" s="3"/>
      <c r="AZZ104" s="3"/>
      <c r="BAA104" s="3"/>
      <c r="BAB104" s="3"/>
      <c r="BAC104" s="3"/>
      <c r="BAD104" s="3"/>
      <c r="BAE104" s="3"/>
      <c r="BAF104" s="3"/>
      <c r="BAG104" s="3"/>
      <c r="BAH104" s="3"/>
      <c r="BAI104" s="3"/>
      <c r="BAJ104" s="3"/>
      <c r="BAK104" s="3"/>
      <c r="BAL104" s="3"/>
      <c r="BAM104" s="3"/>
      <c r="BAN104" s="3"/>
      <c r="BAO104" s="3"/>
      <c r="BAP104" s="3"/>
      <c r="BAQ104" s="3"/>
      <c r="BAR104" s="3"/>
      <c r="BAS104" s="3"/>
      <c r="BAT104" s="3"/>
      <c r="BAU104" s="3"/>
      <c r="BAV104" s="3"/>
      <c r="BAW104" s="3"/>
      <c r="BAX104" s="3"/>
      <c r="BAY104" s="3"/>
      <c r="BAZ104" s="3"/>
      <c r="BBA104" s="3"/>
      <c r="BBB104" s="3"/>
      <c r="BBC104" s="3"/>
      <c r="BBD104" s="3"/>
      <c r="BBE104" s="3"/>
      <c r="BBF104" s="3"/>
      <c r="BBG104" s="3"/>
      <c r="BBH104" s="3"/>
      <c r="BBI104" s="3"/>
      <c r="BBJ104" s="3"/>
      <c r="BBK104" s="3"/>
      <c r="BBL104" s="3"/>
      <c r="BBM104" s="3"/>
      <c r="BBN104" s="3"/>
      <c r="BBO104" s="3"/>
      <c r="BBP104" s="3"/>
      <c r="BBQ104" s="3"/>
      <c r="BBR104" s="3"/>
      <c r="BBS104" s="3"/>
      <c r="BBT104" s="3"/>
      <c r="BBU104" s="3"/>
      <c r="BBV104" s="3"/>
      <c r="BBW104" s="3"/>
      <c r="BBX104" s="3"/>
      <c r="BBY104" s="3"/>
      <c r="BBZ104" s="3"/>
      <c r="BCA104" s="3"/>
      <c r="BCB104" s="3"/>
      <c r="BCC104" s="3"/>
      <c r="BCD104" s="3"/>
      <c r="BCE104" s="3"/>
      <c r="BCF104" s="3"/>
      <c r="BCG104" s="3"/>
      <c r="BCH104" s="3"/>
      <c r="BCI104" s="3"/>
      <c r="BCJ104" s="3"/>
      <c r="BCK104" s="3"/>
      <c r="BCL104" s="3"/>
      <c r="BCM104" s="3"/>
      <c r="BCN104" s="3"/>
      <c r="BCO104" s="3"/>
      <c r="BCP104" s="3"/>
      <c r="BCQ104" s="3"/>
      <c r="BCR104" s="3"/>
      <c r="BCS104" s="3"/>
      <c r="BCT104" s="3"/>
      <c r="BCU104" s="3"/>
      <c r="BCV104" s="3"/>
      <c r="BCW104" s="3"/>
      <c r="BCX104" s="3"/>
      <c r="BCY104" s="3"/>
      <c r="BCZ104" s="3"/>
      <c r="BDA104" s="3"/>
      <c r="BDB104" s="3"/>
      <c r="BDC104" s="3"/>
      <c r="BDD104" s="3"/>
      <c r="BDE104" s="3"/>
      <c r="BDF104" s="3"/>
      <c r="BDG104" s="3"/>
      <c r="BDH104" s="3"/>
      <c r="BDI104" s="3"/>
      <c r="BDJ104" s="3"/>
      <c r="BDK104" s="3"/>
      <c r="BDL104" s="3"/>
      <c r="BDM104" s="3"/>
      <c r="BDN104" s="3"/>
      <c r="BDO104" s="3"/>
      <c r="BDP104" s="3"/>
      <c r="BDQ104" s="3"/>
      <c r="BDR104" s="3"/>
      <c r="BDS104" s="3"/>
      <c r="BDT104" s="3"/>
      <c r="BDU104" s="3"/>
      <c r="BDV104" s="3"/>
      <c r="BDW104" s="3"/>
      <c r="BDX104" s="3"/>
      <c r="BDY104" s="3"/>
      <c r="BDZ104" s="3"/>
      <c r="BEA104" s="3"/>
      <c r="BEB104" s="3"/>
      <c r="BEC104" s="3"/>
      <c r="BED104" s="3"/>
      <c r="BEE104" s="3"/>
      <c r="BEF104" s="3"/>
      <c r="BEG104" s="3"/>
      <c r="BEH104" s="3"/>
      <c r="BEI104" s="3"/>
      <c r="BEJ104" s="3"/>
      <c r="BEK104" s="3"/>
      <c r="BEL104" s="3"/>
      <c r="BEM104" s="3"/>
      <c r="BEN104" s="3"/>
      <c r="BEO104" s="3"/>
      <c r="BEP104" s="3"/>
      <c r="BEQ104" s="3"/>
      <c r="BER104" s="3"/>
      <c r="BES104" s="3"/>
      <c r="BET104" s="3"/>
      <c r="BEU104" s="3"/>
      <c r="BEV104" s="3"/>
      <c r="BEW104" s="3"/>
      <c r="BEX104" s="3"/>
      <c r="BEY104" s="3"/>
      <c r="BEZ104" s="3"/>
      <c r="BFA104" s="3"/>
      <c r="BFB104" s="3"/>
      <c r="BFC104" s="3"/>
      <c r="BFD104" s="3"/>
      <c r="BFE104" s="3"/>
      <c r="BFF104" s="3"/>
      <c r="BFG104" s="3"/>
      <c r="BFH104" s="3"/>
      <c r="BFI104" s="3"/>
      <c r="BFJ104" s="3"/>
      <c r="BFK104" s="3"/>
      <c r="BFL104" s="3"/>
      <c r="BFM104" s="3"/>
      <c r="BFN104" s="3"/>
      <c r="BFO104" s="3"/>
      <c r="BFP104" s="3"/>
      <c r="BFQ104" s="3"/>
      <c r="BFR104" s="3"/>
      <c r="BFS104" s="3"/>
      <c r="BFT104" s="3"/>
      <c r="BFU104" s="3"/>
      <c r="BFV104" s="3"/>
      <c r="BFW104" s="3"/>
      <c r="BFX104" s="3"/>
      <c r="BFY104" s="3"/>
      <c r="BFZ104" s="3"/>
      <c r="BGA104" s="3"/>
      <c r="BGB104" s="3"/>
      <c r="BGC104" s="3"/>
      <c r="BGD104" s="3"/>
      <c r="BGE104" s="3"/>
      <c r="BGF104" s="3"/>
      <c r="BGG104" s="3"/>
      <c r="BGH104" s="3"/>
      <c r="BGI104" s="3"/>
      <c r="BGJ104" s="3"/>
      <c r="BGK104" s="3"/>
      <c r="BGL104" s="3"/>
      <c r="BGM104" s="3"/>
      <c r="BGN104" s="3"/>
      <c r="BGO104" s="3"/>
      <c r="BGP104" s="3"/>
      <c r="BGQ104" s="3"/>
      <c r="BGR104" s="3"/>
      <c r="BGS104" s="3"/>
      <c r="BGT104" s="3"/>
      <c r="BGU104" s="3"/>
      <c r="BGV104" s="3"/>
      <c r="BGW104" s="3"/>
      <c r="BGX104" s="3"/>
      <c r="BGY104" s="3"/>
      <c r="BGZ104" s="3"/>
      <c r="BHA104" s="3"/>
      <c r="BHB104" s="3"/>
      <c r="BHC104" s="3"/>
      <c r="BHD104" s="3"/>
      <c r="BHE104" s="3"/>
      <c r="BHF104" s="3"/>
      <c r="BHG104" s="3"/>
      <c r="BHH104" s="3"/>
      <c r="BHI104" s="3"/>
      <c r="BHJ104" s="3"/>
      <c r="BHK104" s="3"/>
      <c r="BHL104" s="3"/>
      <c r="BHM104" s="3"/>
      <c r="BHN104" s="3"/>
      <c r="BHO104" s="3"/>
      <c r="BHP104" s="3"/>
      <c r="BHQ104" s="3"/>
      <c r="BHR104" s="3"/>
      <c r="BHS104" s="3"/>
      <c r="BHT104" s="3"/>
      <c r="BHU104" s="3"/>
      <c r="BHV104" s="3"/>
      <c r="BHW104" s="3"/>
      <c r="BHX104" s="3"/>
      <c r="BHY104" s="3"/>
      <c r="BHZ104" s="3"/>
      <c r="BIA104" s="3"/>
      <c r="BIB104" s="3"/>
      <c r="BIC104" s="3"/>
      <c r="BID104" s="3"/>
      <c r="BIE104" s="3"/>
      <c r="BIF104" s="3"/>
      <c r="BIG104" s="3"/>
      <c r="BIH104" s="3"/>
      <c r="BII104" s="3"/>
      <c r="BIJ104" s="3"/>
      <c r="BIK104" s="3"/>
      <c r="BIL104" s="3"/>
      <c r="BIM104" s="3"/>
      <c r="BIN104" s="3"/>
      <c r="BIO104" s="3"/>
      <c r="BIP104" s="3"/>
      <c r="BIQ104" s="3"/>
      <c r="BIR104" s="3"/>
      <c r="BIS104" s="3"/>
      <c r="BIT104" s="3"/>
      <c r="BIU104" s="3"/>
      <c r="BIV104" s="3"/>
      <c r="BIW104" s="3"/>
      <c r="BIX104" s="3"/>
      <c r="BIY104" s="3"/>
      <c r="BIZ104" s="3"/>
      <c r="BJA104" s="3"/>
      <c r="BJB104" s="3"/>
      <c r="BJC104" s="3"/>
      <c r="BJD104" s="3"/>
      <c r="BJE104" s="3"/>
      <c r="BJF104" s="3"/>
      <c r="BJG104" s="3"/>
      <c r="BJH104" s="3"/>
      <c r="BJI104" s="3"/>
      <c r="BJJ104" s="3"/>
      <c r="BJK104" s="3"/>
      <c r="BJL104" s="3"/>
      <c r="BJM104" s="3"/>
      <c r="BJN104" s="3"/>
      <c r="BJO104" s="3"/>
      <c r="BJP104" s="3"/>
      <c r="BJQ104" s="3"/>
      <c r="BJR104" s="3"/>
      <c r="BJS104" s="3"/>
      <c r="BJT104" s="3"/>
      <c r="BJU104" s="3"/>
      <c r="BJV104" s="3"/>
      <c r="BJW104" s="3"/>
      <c r="BJX104" s="3"/>
      <c r="BJY104" s="3"/>
      <c r="BJZ104" s="3"/>
      <c r="BKA104" s="3"/>
      <c r="BKB104" s="3"/>
      <c r="BKC104" s="3"/>
      <c r="BKD104" s="3"/>
      <c r="BKE104" s="3"/>
      <c r="BKF104" s="3"/>
      <c r="BKG104" s="3"/>
      <c r="BKH104" s="3"/>
      <c r="BKI104" s="3"/>
      <c r="BKJ104" s="3"/>
      <c r="BKK104" s="3"/>
      <c r="BKL104" s="3"/>
      <c r="BKM104" s="3"/>
      <c r="BKN104" s="3"/>
      <c r="BKO104" s="3"/>
      <c r="BKP104" s="3"/>
      <c r="BKQ104" s="3"/>
      <c r="BKR104" s="3"/>
      <c r="BKS104" s="3"/>
      <c r="BKT104" s="3"/>
      <c r="BKU104" s="3"/>
      <c r="BKV104" s="3"/>
      <c r="BKW104" s="3"/>
      <c r="BKX104" s="3"/>
      <c r="BKY104" s="3"/>
      <c r="BKZ104" s="3"/>
      <c r="BLA104" s="3"/>
      <c r="BLB104" s="3"/>
      <c r="BLC104" s="3"/>
      <c r="BLD104" s="3"/>
      <c r="BLE104" s="3"/>
      <c r="BLF104" s="3"/>
      <c r="BLG104" s="3"/>
      <c r="BLH104" s="3"/>
      <c r="BLI104" s="3"/>
      <c r="BLJ104" s="3"/>
      <c r="BLK104" s="3"/>
      <c r="BLL104" s="3"/>
      <c r="BLM104" s="3"/>
      <c r="BLN104" s="3"/>
      <c r="BLO104" s="3"/>
      <c r="BLP104" s="3"/>
      <c r="BLQ104" s="3"/>
      <c r="BLR104" s="3"/>
      <c r="BLS104" s="3"/>
      <c r="BLT104" s="3"/>
      <c r="BLU104" s="3"/>
      <c r="BLV104" s="3"/>
      <c r="BLW104" s="3"/>
      <c r="BLX104" s="3"/>
      <c r="BLY104" s="3"/>
      <c r="BLZ104" s="3"/>
      <c r="BMA104" s="3"/>
      <c r="BMB104" s="3"/>
      <c r="BMC104" s="3"/>
      <c r="BMD104" s="3"/>
      <c r="BME104" s="3"/>
      <c r="BMF104" s="3"/>
      <c r="BMG104" s="3"/>
      <c r="BMH104" s="3"/>
      <c r="BMI104" s="3"/>
      <c r="BMJ104" s="3"/>
      <c r="BMK104" s="3"/>
      <c r="BML104" s="3"/>
      <c r="BMM104" s="3"/>
      <c r="BMN104" s="3"/>
      <c r="BMO104" s="3"/>
      <c r="BMP104" s="3"/>
      <c r="BMQ104" s="3"/>
      <c r="BMR104" s="3"/>
      <c r="BMS104" s="3"/>
      <c r="BMT104" s="3"/>
      <c r="BMU104" s="3"/>
      <c r="BMV104" s="3"/>
      <c r="BMW104" s="3"/>
      <c r="BMX104" s="3"/>
      <c r="BMY104" s="3"/>
      <c r="BMZ104" s="3"/>
      <c r="BNA104" s="3"/>
      <c r="BNB104" s="3"/>
      <c r="BNC104" s="3"/>
      <c r="BND104" s="3"/>
      <c r="BNE104" s="3"/>
      <c r="BNF104" s="3"/>
      <c r="BNG104" s="3"/>
      <c r="BNH104" s="3"/>
      <c r="BNI104" s="3"/>
      <c r="BNJ104" s="3"/>
      <c r="BNK104" s="3"/>
      <c r="BNL104" s="3"/>
      <c r="BNM104" s="3"/>
      <c r="BNN104" s="3"/>
      <c r="BNO104" s="3"/>
      <c r="BNP104" s="3"/>
      <c r="BNQ104" s="3"/>
      <c r="BNR104" s="3"/>
      <c r="BNS104" s="3"/>
      <c r="BNT104" s="3"/>
      <c r="BNU104" s="3"/>
      <c r="BNV104" s="3"/>
      <c r="BNW104" s="3"/>
      <c r="BNX104" s="3"/>
      <c r="BNY104" s="3"/>
      <c r="BNZ104" s="3"/>
      <c r="BOA104" s="3"/>
      <c r="BOB104" s="3"/>
      <c r="BOC104" s="3"/>
      <c r="BOD104" s="3"/>
      <c r="BOE104" s="3"/>
      <c r="BOF104" s="3"/>
      <c r="BOG104" s="3"/>
      <c r="BOH104" s="3"/>
      <c r="BOI104" s="3"/>
      <c r="BOJ104" s="3"/>
      <c r="BOK104" s="3"/>
      <c r="BOL104" s="3"/>
      <c r="BOM104" s="3"/>
      <c r="BON104" s="3"/>
      <c r="BOO104" s="3"/>
      <c r="BOP104" s="3"/>
      <c r="BOQ104" s="3"/>
      <c r="BOR104" s="3"/>
      <c r="BOS104" s="3"/>
      <c r="BOT104" s="3"/>
      <c r="BOU104" s="3"/>
      <c r="BOV104" s="3"/>
      <c r="BOW104" s="3"/>
      <c r="BOX104" s="3"/>
      <c r="BOY104" s="3"/>
      <c r="BOZ104" s="3"/>
      <c r="BPA104" s="3"/>
      <c r="BPB104" s="3"/>
      <c r="BPC104" s="3"/>
      <c r="BPD104" s="3"/>
      <c r="BPE104" s="3"/>
      <c r="BPF104" s="3"/>
      <c r="BPG104" s="3"/>
      <c r="BPH104" s="3"/>
      <c r="BPI104" s="3"/>
      <c r="BPJ104" s="3"/>
      <c r="BPK104" s="3"/>
      <c r="BPL104" s="3"/>
      <c r="BPM104" s="3"/>
      <c r="BPN104" s="3"/>
      <c r="BPO104" s="3"/>
      <c r="BPP104" s="3"/>
      <c r="BPQ104" s="3"/>
      <c r="BPR104" s="3"/>
      <c r="BPS104" s="3"/>
      <c r="BPT104" s="3"/>
      <c r="BPU104" s="3"/>
      <c r="BPV104" s="3"/>
      <c r="BPW104" s="3"/>
      <c r="BPX104" s="3"/>
      <c r="BPY104" s="3"/>
      <c r="BPZ104" s="3"/>
      <c r="BQA104" s="3"/>
      <c r="BQB104" s="3"/>
      <c r="BQC104" s="3"/>
      <c r="BQD104" s="3"/>
      <c r="BQE104" s="3"/>
      <c r="BQF104" s="3"/>
      <c r="BQG104" s="3"/>
      <c r="BQH104" s="3"/>
      <c r="BQI104" s="3"/>
      <c r="BQJ104" s="3"/>
      <c r="BQK104" s="3"/>
      <c r="BQL104" s="3"/>
      <c r="BQM104" s="3"/>
      <c r="BQN104" s="3"/>
      <c r="BQO104" s="3"/>
      <c r="BQP104" s="3"/>
      <c r="BQQ104" s="3"/>
      <c r="BQR104" s="3"/>
      <c r="BQS104" s="3"/>
      <c r="BQT104" s="3"/>
      <c r="BQU104" s="3"/>
      <c r="BQV104" s="3"/>
      <c r="BQW104" s="3"/>
      <c r="BQX104" s="3"/>
      <c r="BQY104" s="3"/>
      <c r="BQZ104" s="3"/>
      <c r="BRA104" s="3"/>
      <c r="BRB104" s="3"/>
      <c r="BRC104" s="3"/>
      <c r="BRD104" s="3"/>
      <c r="BRE104" s="3"/>
      <c r="BRF104" s="3"/>
      <c r="BRG104" s="3"/>
      <c r="BRH104" s="3"/>
      <c r="BRI104" s="3"/>
      <c r="BRJ104" s="3"/>
      <c r="BRK104" s="3"/>
      <c r="BRL104" s="3"/>
      <c r="BRM104" s="3"/>
      <c r="BRN104" s="3"/>
      <c r="BRO104" s="3"/>
      <c r="BRP104" s="3"/>
      <c r="BRQ104" s="3"/>
      <c r="BRR104" s="3"/>
      <c r="BRS104" s="3"/>
      <c r="BRT104" s="3"/>
      <c r="BRU104" s="3"/>
      <c r="BRV104" s="3"/>
      <c r="BRW104" s="3"/>
      <c r="BRX104" s="3"/>
      <c r="BRY104" s="3"/>
      <c r="BRZ104" s="3"/>
      <c r="BSA104" s="3"/>
      <c r="BSB104" s="3"/>
      <c r="BSC104" s="3"/>
      <c r="BSD104" s="3"/>
      <c r="BSE104" s="3"/>
      <c r="BSF104" s="3"/>
      <c r="BSG104" s="3"/>
      <c r="BSH104" s="3"/>
      <c r="BSI104" s="3"/>
      <c r="BSJ104" s="3"/>
      <c r="BSK104" s="3"/>
      <c r="BSL104" s="3"/>
      <c r="BSM104" s="3"/>
      <c r="BSN104" s="3"/>
      <c r="BSO104" s="3"/>
      <c r="BSP104" s="3"/>
      <c r="BSQ104" s="3"/>
      <c r="BSR104" s="3"/>
      <c r="BSS104" s="3"/>
      <c r="BST104" s="3"/>
      <c r="BSU104" s="3"/>
      <c r="BSV104" s="3"/>
      <c r="BSW104" s="3"/>
      <c r="BSX104" s="3"/>
      <c r="BSY104" s="3"/>
      <c r="BSZ104" s="3"/>
      <c r="BTA104" s="3"/>
      <c r="BTB104" s="3"/>
      <c r="BTC104" s="3"/>
      <c r="BTD104" s="3"/>
      <c r="BTE104" s="3"/>
      <c r="BTF104" s="3"/>
      <c r="BTG104" s="3"/>
      <c r="BTH104" s="3"/>
      <c r="BTI104" s="3"/>
      <c r="BTJ104" s="3"/>
      <c r="BTK104" s="3"/>
      <c r="BTL104" s="3"/>
      <c r="BTM104" s="3"/>
      <c r="BTN104" s="3"/>
      <c r="BTO104" s="3"/>
      <c r="BTP104" s="3"/>
      <c r="BTQ104" s="3"/>
      <c r="BTR104" s="3"/>
      <c r="BTS104" s="3"/>
      <c r="BTT104" s="3"/>
      <c r="BTU104" s="3"/>
      <c r="BTV104" s="3"/>
      <c r="BTW104" s="3"/>
      <c r="BTX104" s="3"/>
      <c r="BTY104" s="3"/>
      <c r="BTZ104" s="3"/>
      <c r="BUA104" s="3"/>
      <c r="BUB104" s="3"/>
      <c r="BUC104" s="3"/>
      <c r="BUD104" s="3"/>
      <c r="BUE104" s="3"/>
      <c r="BUF104" s="3"/>
      <c r="BUG104" s="3"/>
      <c r="BUH104" s="3"/>
      <c r="BUI104" s="3"/>
      <c r="BUJ104" s="3"/>
      <c r="BUK104" s="3"/>
      <c r="BUL104" s="3"/>
      <c r="BUM104" s="3"/>
      <c r="BUN104" s="3"/>
      <c r="BUO104" s="3"/>
      <c r="BUP104" s="3"/>
      <c r="BUQ104" s="3"/>
      <c r="BUR104" s="3"/>
      <c r="BUS104" s="3"/>
      <c r="BUT104" s="3"/>
      <c r="BUU104" s="3"/>
      <c r="BUV104" s="3"/>
      <c r="BUW104" s="3"/>
      <c r="BUX104" s="3"/>
      <c r="BUY104" s="3"/>
      <c r="BUZ104" s="3"/>
      <c r="BVA104" s="3"/>
      <c r="BVB104" s="3"/>
      <c r="BVC104" s="3"/>
      <c r="BVD104" s="3"/>
      <c r="BVE104" s="3"/>
      <c r="BVF104" s="3"/>
      <c r="BVG104" s="3"/>
      <c r="BVH104" s="3"/>
      <c r="BVI104" s="3"/>
      <c r="BVJ104" s="3"/>
      <c r="BVK104" s="3"/>
      <c r="BVL104" s="3"/>
      <c r="BVM104" s="3"/>
      <c r="BVN104" s="3"/>
      <c r="BVO104" s="3"/>
      <c r="BVP104" s="3"/>
      <c r="BVQ104" s="3"/>
      <c r="BVR104" s="3"/>
      <c r="BVS104" s="3"/>
      <c r="BVT104" s="3"/>
      <c r="BVU104" s="3"/>
      <c r="BVV104" s="3"/>
      <c r="BVW104" s="3"/>
      <c r="BVX104" s="3"/>
      <c r="BVY104" s="3"/>
      <c r="BVZ104" s="3"/>
      <c r="BWA104" s="3"/>
      <c r="BWB104" s="3"/>
      <c r="BWC104" s="3"/>
      <c r="BWD104" s="3"/>
      <c r="BWE104" s="3"/>
      <c r="BWF104" s="3"/>
      <c r="BWG104" s="3"/>
      <c r="BWH104" s="3"/>
      <c r="BWI104" s="3"/>
      <c r="BWJ104" s="3"/>
      <c r="BWK104" s="3"/>
      <c r="BWL104" s="3"/>
      <c r="BWM104" s="3"/>
      <c r="BWN104" s="3"/>
      <c r="BWO104" s="3"/>
      <c r="BWP104" s="3"/>
      <c r="BWQ104" s="3"/>
      <c r="BWR104" s="3"/>
      <c r="BWS104" s="3"/>
      <c r="BWT104" s="3"/>
      <c r="BWU104" s="3"/>
      <c r="BWV104" s="3"/>
      <c r="BWW104" s="3"/>
      <c r="BWX104" s="3"/>
      <c r="BWY104" s="3"/>
      <c r="BWZ104" s="3"/>
      <c r="BXA104" s="3"/>
      <c r="BXB104" s="3"/>
      <c r="BXC104" s="3"/>
      <c r="BXD104" s="3"/>
      <c r="BXE104" s="3"/>
      <c r="BXF104" s="3"/>
      <c r="BXG104" s="3"/>
      <c r="BXH104" s="3"/>
      <c r="BXI104" s="3"/>
      <c r="BXJ104" s="3"/>
      <c r="BXK104" s="3"/>
      <c r="BXL104" s="3"/>
      <c r="BXM104" s="3"/>
      <c r="BXN104" s="3"/>
      <c r="BXO104" s="3"/>
      <c r="BXP104" s="3"/>
      <c r="BXQ104" s="3"/>
      <c r="BXR104" s="3"/>
      <c r="BXS104" s="3"/>
      <c r="BXT104" s="3"/>
      <c r="BXU104" s="3"/>
      <c r="BXV104" s="3"/>
      <c r="BXW104" s="3"/>
      <c r="BXX104" s="3"/>
      <c r="BXY104" s="3"/>
      <c r="BXZ104" s="3"/>
      <c r="BYA104" s="3"/>
      <c r="BYB104" s="3"/>
      <c r="BYC104" s="3"/>
      <c r="BYD104" s="3"/>
      <c r="BYE104" s="3"/>
      <c r="BYF104" s="3"/>
      <c r="BYG104" s="3"/>
      <c r="BYH104" s="3"/>
      <c r="BYI104" s="3"/>
      <c r="BYJ104" s="3"/>
      <c r="BYK104" s="3"/>
      <c r="BYL104" s="3"/>
      <c r="BYM104" s="3"/>
      <c r="BYN104" s="3"/>
      <c r="BYO104" s="3"/>
      <c r="BYP104" s="3"/>
      <c r="BYQ104" s="3"/>
      <c r="BYR104" s="3"/>
      <c r="BYS104" s="3"/>
      <c r="BYT104" s="3"/>
      <c r="BYU104" s="3"/>
      <c r="BYV104" s="3"/>
      <c r="BYW104" s="3"/>
      <c r="BYX104" s="3"/>
      <c r="BYY104" s="3"/>
      <c r="BYZ104" s="3"/>
      <c r="BZA104" s="3"/>
      <c r="BZB104" s="3"/>
      <c r="BZC104" s="3"/>
      <c r="BZD104" s="3"/>
      <c r="BZE104" s="3"/>
      <c r="BZF104" s="3"/>
      <c r="BZG104" s="3"/>
      <c r="BZH104" s="3"/>
      <c r="BZI104" s="3"/>
      <c r="BZJ104" s="3"/>
      <c r="BZK104" s="3"/>
      <c r="BZL104" s="3"/>
      <c r="BZM104" s="3"/>
      <c r="BZN104" s="3"/>
      <c r="BZO104" s="3"/>
      <c r="BZP104" s="3"/>
      <c r="BZQ104" s="3"/>
      <c r="BZR104" s="3"/>
      <c r="BZS104" s="3"/>
      <c r="BZT104" s="3"/>
      <c r="BZU104" s="3"/>
      <c r="BZV104" s="3"/>
      <c r="BZW104" s="3"/>
      <c r="BZX104" s="3"/>
      <c r="BZY104" s="3"/>
      <c r="BZZ104" s="3"/>
      <c r="CAA104" s="3"/>
      <c r="CAB104" s="3"/>
      <c r="CAC104" s="3"/>
      <c r="CAD104" s="3"/>
      <c r="CAE104" s="3"/>
      <c r="CAF104" s="3"/>
      <c r="CAG104" s="3"/>
      <c r="CAH104" s="3"/>
      <c r="CAI104" s="3"/>
      <c r="CAJ104" s="3"/>
      <c r="CAK104" s="3"/>
      <c r="CAL104" s="3"/>
      <c r="CAM104" s="3"/>
      <c r="CAN104" s="3"/>
      <c r="CAO104" s="3"/>
      <c r="CAP104" s="3"/>
      <c r="CAQ104" s="3"/>
      <c r="CAR104" s="3"/>
      <c r="CAS104" s="3"/>
      <c r="CAT104" s="3"/>
      <c r="CAU104" s="3"/>
      <c r="CAV104" s="3"/>
      <c r="CAW104" s="3"/>
      <c r="CAX104" s="3"/>
      <c r="CAY104" s="3"/>
      <c r="CAZ104" s="3"/>
      <c r="CBA104" s="3"/>
      <c r="CBB104" s="3"/>
      <c r="CBC104" s="3"/>
      <c r="CBD104" s="3"/>
      <c r="CBE104" s="3"/>
      <c r="CBF104" s="3"/>
      <c r="CBG104" s="3"/>
      <c r="CBH104" s="3"/>
      <c r="CBI104" s="3"/>
      <c r="CBJ104" s="3"/>
      <c r="CBK104" s="3"/>
      <c r="CBL104" s="3"/>
      <c r="CBM104" s="3"/>
      <c r="CBN104" s="3"/>
      <c r="CBO104" s="3"/>
      <c r="CBP104" s="3"/>
      <c r="CBQ104" s="3"/>
      <c r="CBR104" s="3"/>
      <c r="CBS104" s="3"/>
      <c r="CBT104" s="3"/>
      <c r="CBU104" s="3"/>
      <c r="CBV104" s="3"/>
      <c r="CBW104" s="3"/>
      <c r="CBX104" s="3"/>
      <c r="CBY104" s="3"/>
      <c r="CBZ104" s="3"/>
      <c r="CCA104" s="3"/>
      <c r="CCB104" s="3"/>
      <c r="CCC104" s="3"/>
      <c r="CCD104" s="3"/>
      <c r="CCE104" s="3"/>
      <c r="CCF104" s="3"/>
      <c r="CCG104" s="3"/>
      <c r="CCH104" s="3"/>
      <c r="CCI104" s="3"/>
      <c r="CCJ104" s="3"/>
      <c r="CCK104" s="3"/>
      <c r="CCL104" s="3"/>
      <c r="CCM104" s="3"/>
      <c r="CCN104" s="3"/>
      <c r="CCO104" s="3"/>
      <c r="CCP104" s="3"/>
      <c r="CCQ104" s="3"/>
      <c r="CCR104" s="3"/>
      <c r="CCS104" s="3"/>
      <c r="CCT104" s="3"/>
      <c r="CCU104" s="3"/>
      <c r="CCV104" s="3"/>
      <c r="CCW104" s="3"/>
      <c r="CCX104" s="3"/>
      <c r="CCY104" s="3"/>
      <c r="CCZ104" s="3"/>
      <c r="CDA104" s="3"/>
      <c r="CDB104" s="3"/>
      <c r="CDC104" s="3"/>
      <c r="CDD104" s="3"/>
      <c r="CDE104" s="3"/>
      <c r="CDF104" s="3"/>
      <c r="CDG104" s="3"/>
      <c r="CDH104" s="3"/>
      <c r="CDI104" s="3"/>
      <c r="CDJ104" s="3"/>
      <c r="CDK104" s="3"/>
      <c r="CDL104" s="3"/>
      <c r="CDM104" s="3"/>
      <c r="CDN104" s="3"/>
      <c r="CDO104" s="3"/>
      <c r="CDP104" s="3"/>
      <c r="CDQ104" s="3"/>
      <c r="CDR104" s="3"/>
      <c r="CDS104" s="3"/>
      <c r="CDT104" s="3"/>
      <c r="CDU104" s="3"/>
      <c r="CDV104" s="3"/>
      <c r="CDW104" s="3"/>
      <c r="CDX104" s="3"/>
      <c r="CDY104" s="3"/>
      <c r="CDZ104" s="3"/>
      <c r="CEA104" s="3"/>
      <c r="CEB104" s="3"/>
      <c r="CEC104" s="3"/>
      <c r="CED104" s="3"/>
      <c r="CEE104" s="3"/>
      <c r="CEF104" s="3"/>
      <c r="CEG104" s="3"/>
      <c r="CEH104" s="3"/>
      <c r="CEI104" s="3"/>
      <c r="CEJ104" s="3"/>
      <c r="CEK104" s="3"/>
      <c r="CEL104" s="3"/>
      <c r="CEM104" s="3"/>
      <c r="CEN104" s="3"/>
      <c r="CEO104" s="3"/>
      <c r="CEP104" s="3"/>
      <c r="CEQ104" s="3"/>
      <c r="CER104" s="3"/>
      <c r="CES104" s="3"/>
      <c r="CET104" s="3"/>
      <c r="CEU104" s="3"/>
      <c r="CEV104" s="3"/>
      <c r="CEW104" s="3"/>
      <c r="CEX104" s="3"/>
      <c r="CEY104" s="3"/>
      <c r="CEZ104" s="3"/>
      <c r="CFA104" s="3"/>
      <c r="CFB104" s="3"/>
      <c r="CFC104" s="3"/>
      <c r="CFD104" s="3"/>
      <c r="CFE104" s="3"/>
      <c r="CFF104" s="3"/>
      <c r="CFG104" s="3"/>
      <c r="CFH104" s="3"/>
      <c r="CFI104" s="3"/>
      <c r="CFJ104" s="3"/>
      <c r="CFK104" s="3"/>
      <c r="CFL104" s="3"/>
      <c r="CFM104" s="3"/>
      <c r="CFN104" s="3"/>
      <c r="CFO104" s="3"/>
      <c r="CFP104" s="3"/>
      <c r="CFQ104" s="3"/>
      <c r="CFR104" s="3"/>
      <c r="CFS104" s="3"/>
      <c r="CFT104" s="3"/>
      <c r="CFU104" s="3"/>
      <c r="CFV104" s="3"/>
      <c r="CFW104" s="3"/>
      <c r="CFX104" s="3"/>
      <c r="CFY104" s="3"/>
      <c r="CFZ104" s="3"/>
      <c r="CGA104" s="3"/>
      <c r="CGB104" s="3"/>
      <c r="CGC104" s="3"/>
      <c r="CGD104" s="3"/>
      <c r="CGE104" s="3"/>
      <c r="CGF104" s="3"/>
      <c r="CGG104" s="3"/>
      <c r="CGH104" s="3"/>
      <c r="CGI104" s="3"/>
      <c r="CGJ104" s="3"/>
      <c r="CGK104" s="3"/>
      <c r="CGL104" s="3"/>
      <c r="CGM104" s="3"/>
      <c r="CGN104" s="3"/>
      <c r="CGO104" s="3"/>
      <c r="CGP104" s="3"/>
      <c r="CGQ104" s="3"/>
      <c r="CGR104" s="3"/>
      <c r="CGS104" s="3"/>
      <c r="CGT104" s="3"/>
      <c r="CGU104" s="3"/>
      <c r="CGV104" s="3"/>
      <c r="CGW104" s="3"/>
      <c r="CGX104" s="3"/>
      <c r="CGY104" s="3"/>
      <c r="CGZ104" s="3"/>
      <c r="CHA104" s="3"/>
      <c r="CHB104" s="3"/>
      <c r="CHC104" s="3"/>
      <c r="CHD104" s="3"/>
      <c r="CHE104" s="3"/>
      <c r="CHF104" s="3"/>
      <c r="CHG104" s="3"/>
      <c r="CHH104" s="3"/>
      <c r="CHI104" s="3"/>
      <c r="CHJ104" s="3"/>
      <c r="CHK104" s="3"/>
      <c r="CHL104" s="3"/>
      <c r="CHM104" s="3"/>
      <c r="CHN104" s="3"/>
      <c r="CHO104" s="3"/>
      <c r="CHP104" s="3"/>
      <c r="CHQ104" s="3"/>
      <c r="CHR104" s="3"/>
      <c r="CHS104" s="3"/>
      <c r="CHT104" s="3"/>
      <c r="CHU104" s="3"/>
      <c r="CHV104" s="3"/>
      <c r="CHW104" s="3"/>
      <c r="CHX104" s="3"/>
      <c r="CHY104" s="3"/>
      <c r="CHZ104" s="3"/>
      <c r="CIA104" s="3"/>
      <c r="CIB104" s="3"/>
      <c r="CIC104" s="3"/>
      <c r="CID104" s="3"/>
      <c r="CIE104" s="3"/>
      <c r="CIF104" s="3"/>
      <c r="CIG104" s="3"/>
      <c r="CIH104" s="3"/>
      <c r="CII104" s="3"/>
      <c r="CIJ104" s="3"/>
      <c r="CIK104" s="3"/>
      <c r="CIL104" s="3"/>
      <c r="CIM104" s="3"/>
      <c r="CIN104" s="3"/>
      <c r="CIO104" s="3"/>
      <c r="CIP104" s="3"/>
      <c r="CIQ104" s="3"/>
      <c r="CIR104" s="3"/>
      <c r="CIS104" s="3"/>
      <c r="CIT104" s="3"/>
      <c r="CIU104" s="3"/>
      <c r="CIV104" s="3"/>
      <c r="CIW104" s="3"/>
      <c r="CIX104" s="3"/>
      <c r="CIY104" s="3"/>
      <c r="CIZ104" s="3"/>
      <c r="CJA104" s="3"/>
      <c r="CJB104" s="3"/>
      <c r="CJC104" s="3"/>
      <c r="CJD104" s="3"/>
      <c r="CJE104" s="3"/>
      <c r="CJF104" s="3"/>
      <c r="CJG104" s="3"/>
      <c r="CJH104" s="3"/>
      <c r="CJI104" s="3"/>
      <c r="CJJ104" s="3"/>
      <c r="CJK104" s="3"/>
      <c r="CJL104" s="3"/>
      <c r="CJM104" s="3"/>
      <c r="CJN104" s="3"/>
      <c r="CJO104" s="3"/>
      <c r="CJP104" s="3"/>
      <c r="CJQ104" s="3"/>
      <c r="CJR104" s="3"/>
      <c r="CJS104" s="3"/>
      <c r="CJT104" s="3"/>
      <c r="CJU104" s="3"/>
      <c r="CJV104" s="3"/>
      <c r="CJW104" s="3"/>
      <c r="CJX104" s="3"/>
      <c r="CJY104" s="3"/>
      <c r="CJZ104" s="3"/>
      <c r="CKA104" s="3"/>
      <c r="CKB104" s="3"/>
      <c r="CKC104" s="3"/>
      <c r="CKD104" s="3"/>
      <c r="CKE104" s="3"/>
      <c r="CKF104" s="3"/>
      <c r="CKG104" s="3"/>
      <c r="CKH104" s="3"/>
      <c r="CKI104" s="3"/>
      <c r="CKJ104" s="3"/>
      <c r="CKK104" s="3"/>
      <c r="CKL104" s="3"/>
      <c r="CKM104" s="3"/>
      <c r="CKN104" s="3"/>
      <c r="CKO104" s="3"/>
      <c r="CKP104" s="3"/>
      <c r="CKQ104" s="3"/>
      <c r="CKR104" s="3"/>
      <c r="CKS104" s="3"/>
      <c r="CKT104" s="3"/>
      <c r="CKU104" s="3"/>
      <c r="CKV104" s="3"/>
      <c r="CKW104" s="3"/>
      <c r="CKX104" s="3"/>
      <c r="CKY104" s="3"/>
      <c r="CKZ104" s="3"/>
      <c r="CLA104" s="3"/>
      <c r="CLB104" s="3"/>
      <c r="CLC104" s="3"/>
      <c r="CLD104" s="3"/>
      <c r="CLE104" s="3"/>
      <c r="CLF104" s="3"/>
      <c r="CLG104" s="3"/>
      <c r="CLH104" s="3"/>
      <c r="CLI104" s="3"/>
      <c r="CLJ104" s="3"/>
      <c r="CLK104" s="3"/>
      <c r="CLL104" s="3"/>
      <c r="CLM104" s="3"/>
      <c r="CLN104" s="3"/>
      <c r="CLO104" s="3"/>
      <c r="CLP104" s="3"/>
      <c r="CLQ104" s="3"/>
      <c r="CLR104" s="3"/>
      <c r="CLS104" s="3"/>
      <c r="CLT104" s="3"/>
      <c r="CLU104" s="3"/>
      <c r="CLV104" s="3"/>
      <c r="CLW104" s="3"/>
      <c r="CLX104" s="3"/>
      <c r="CLY104" s="3"/>
      <c r="CLZ104" s="3"/>
      <c r="CMA104" s="3"/>
      <c r="CMB104" s="3"/>
      <c r="CMC104" s="3"/>
      <c r="CMD104" s="3"/>
      <c r="CME104" s="3"/>
      <c r="CMF104" s="3"/>
      <c r="CMG104" s="3"/>
      <c r="CMH104" s="3"/>
      <c r="CMI104" s="3"/>
      <c r="CMJ104" s="3"/>
      <c r="CMK104" s="3"/>
      <c r="CML104" s="3"/>
      <c r="CMM104" s="3"/>
      <c r="CMN104" s="3"/>
      <c r="CMO104" s="3"/>
      <c r="CMP104" s="3"/>
      <c r="CMQ104" s="3"/>
      <c r="CMR104" s="3"/>
      <c r="CMS104" s="3"/>
      <c r="CMT104" s="3"/>
      <c r="CMU104" s="3"/>
      <c r="CMV104" s="3"/>
      <c r="CMW104" s="3"/>
      <c r="CMX104" s="3"/>
      <c r="CMY104" s="3"/>
      <c r="CMZ104" s="3"/>
      <c r="CNA104" s="3"/>
      <c r="CNB104" s="3"/>
      <c r="CNC104" s="3"/>
      <c r="CND104" s="3"/>
      <c r="CNE104" s="3"/>
      <c r="CNF104" s="3"/>
      <c r="CNG104" s="3"/>
      <c r="CNH104" s="3"/>
      <c r="CNI104" s="3"/>
      <c r="CNJ104" s="3"/>
      <c r="CNK104" s="3"/>
      <c r="CNL104" s="3"/>
      <c r="CNM104" s="3"/>
      <c r="CNN104" s="3"/>
      <c r="CNO104" s="3"/>
      <c r="CNP104" s="3"/>
      <c r="CNQ104" s="3"/>
      <c r="CNR104" s="3"/>
      <c r="CNS104" s="3"/>
      <c r="CNT104" s="3"/>
      <c r="CNU104" s="3"/>
      <c r="CNV104" s="3"/>
      <c r="CNW104" s="3"/>
      <c r="CNX104" s="3"/>
      <c r="CNY104" s="3"/>
      <c r="CNZ104" s="3"/>
      <c r="COA104" s="3"/>
      <c r="COB104" s="3"/>
      <c r="COC104" s="3"/>
      <c r="COD104" s="3"/>
      <c r="COE104" s="3"/>
      <c r="COF104" s="3"/>
      <c r="COG104" s="3"/>
      <c r="COH104" s="3"/>
      <c r="COI104" s="3"/>
      <c r="COJ104" s="3"/>
      <c r="COK104" s="3"/>
      <c r="COL104" s="3"/>
      <c r="COM104" s="3"/>
      <c r="CON104" s="3"/>
      <c r="COO104" s="3"/>
      <c r="COP104" s="3"/>
      <c r="COQ104" s="3"/>
      <c r="COR104" s="3"/>
      <c r="COS104" s="3"/>
      <c r="COT104" s="3"/>
      <c r="COU104" s="3"/>
      <c r="COV104" s="3"/>
      <c r="COW104" s="3"/>
      <c r="COX104" s="3"/>
      <c r="COY104" s="3"/>
      <c r="COZ104" s="3"/>
      <c r="CPA104" s="3"/>
      <c r="CPB104" s="3"/>
      <c r="CPC104" s="3"/>
      <c r="CPD104" s="3"/>
      <c r="CPE104" s="3"/>
      <c r="CPF104" s="3"/>
      <c r="CPG104" s="3"/>
      <c r="CPH104" s="3"/>
      <c r="CPI104" s="3"/>
      <c r="CPJ104" s="3"/>
      <c r="CPK104" s="3"/>
      <c r="CPL104" s="3"/>
      <c r="CPM104" s="3"/>
      <c r="CPN104" s="3"/>
      <c r="CPO104" s="3"/>
      <c r="CPP104" s="3"/>
      <c r="CPQ104" s="3"/>
      <c r="CPR104" s="3"/>
      <c r="CPS104" s="3"/>
      <c r="CPT104" s="3"/>
      <c r="CPU104" s="3"/>
      <c r="CPV104" s="3"/>
      <c r="CPW104" s="3"/>
      <c r="CPX104" s="3"/>
      <c r="CPY104" s="3"/>
      <c r="CPZ104" s="3"/>
      <c r="CQA104" s="3"/>
      <c r="CQB104" s="3"/>
      <c r="CQC104" s="3"/>
      <c r="CQD104" s="3"/>
      <c r="CQE104" s="3"/>
      <c r="CQF104" s="3"/>
      <c r="CQG104" s="3"/>
      <c r="CQH104" s="3"/>
      <c r="CQI104" s="3"/>
      <c r="CQJ104" s="3"/>
      <c r="CQK104" s="3"/>
      <c r="CQL104" s="3"/>
      <c r="CQM104" s="3"/>
      <c r="CQN104" s="3"/>
      <c r="CQO104" s="3"/>
      <c r="CQP104" s="3"/>
      <c r="CQQ104" s="3"/>
      <c r="CQR104" s="3"/>
      <c r="CQS104" s="3"/>
      <c r="CQT104" s="3"/>
      <c r="CQU104" s="3"/>
      <c r="CQV104" s="3"/>
      <c r="CQW104" s="3"/>
      <c r="CQX104" s="3"/>
      <c r="CQY104" s="3"/>
      <c r="CQZ104" s="3"/>
      <c r="CRA104" s="3"/>
      <c r="CRB104" s="3"/>
      <c r="CRC104" s="3"/>
      <c r="CRD104" s="3"/>
      <c r="CRE104" s="3"/>
      <c r="CRF104" s="3"/>
      <c r="CRG104" s="3"/>
      <c r="CRH104" s="3"/>
      <c r="CRI104" s="3"/>
      <c r="CRJ104" s="3"/>
      <c r="CRK104" s="3"/>
      <c r="CRL104" s="3"/>
      <c r="CRM104" s="3"/>
      <c r="CRN104" s="3"/>
      <c r="CRO104" s="3"/>
      <c r="CRP104" s="3"/>
      <c r="CRQ104" s="3"/>
      <c r="CRR104" s="3"/>
      <c r="CRS104" s="3"/>
      <c r="CRT104" s="3"/>
      <c r="CRU104" s="3"/>
      <c r="CRV104" s="3"/>
      <c r="CRW104" s="3"/>
      <c r="CRX104" s="3"/>
      <c r="CRY104" s="3"/>
      <c r="CRZ104" s="3"/>
      <c r="CSA104" s="3"/>
      <c r="CSB104" s="3"/>
      <c r="CSC104" s="3"/>
      <c r="CSD104" s="3"/>
      <c r="CSE104" s="3"/>
      <c r="CSF104" s="3"/>
      <c r="CSG104" s="3"/>
      <c r="CSH104" s="3"/>
      <c r="CSI104" s="3"/>
      <c r="CSJ104" s="3"/>
      <c r="CSK104" s="3"/>
      <c r="CSL104" s="3"/>
      <c r="CSM104" s="3"/>
      <c r="CSN104" s="3"/>
      <c r="CSO104" s="3"/>
      <c r="CSP104" s="3"/>
      <c r="CSQ104" s="3"/>
      <c r="CSR104" s="3"/>
      <c r="CSS104" s="3"/>
      <c r="CST104" s="3"/>
      <c r="CSU104" s="3"/>
      <c r="CSV104" s="3"/>
      <c r="CSW104" s="3"/>
      <c r="CSX104" s="3"/>
      <c r="CSY104" s="3"/>
      <c r="CSZ104" s="3"/>
      <c r="CTA104" s="3"/>
      <c r="CTB104" s="3"/>
      <c r="CTC104" s="3"/>
      <c r="CTD104" s="3"/>
      <c r="CTE104" s="3"/>
      <c r="CTF104" s="3"/>
      <c r="CTG104" s="3"/>
      <c r="CTH104" s="3"/>
      <c r="CTI104" s="3"/>
      <c r="CTJ104" s="3"/>
      <c r="CTK104" s="3"/>
      <c r="CTL104" s="3"/>
      <c r="CTM104" s="3"/>
      <c r="CTN104" s="3"/>
      <c r="CTO104" s="3"/>
      <c r="CTP104" s="3"/>
      <c r="CTQ104" s="3"/>
      <c r="CTR104" s="3"/>
      <c r="CTS104" s="3"/>
      <c r="CTT104" s="3"/>
      <c r="CTU104" s="3"/>
      <c r="CTV104" s="3"/>
      <c r="CTW104" s="3"/>
      <c r="CTX104" s="3"/>
      <c r="CTY104" s="3"/>
      <c r="CTZ104" s="3"/>
      <c r="CUA104" s="3"/>
      <c r="CUB104" s="3"/>
      <c r="CUC104" s="3"/>
      <c r="CUD104" s="3"/>
      <c r="CUE104" s="3"/>
      <c r="CUF104" s="3"/>
      <c r="CUG104" s="3"/>
      <c r="CUH104" s="3"/>
      <c r="CUI104" s="3"/>
      <c r="CUJ104" s="3"/>
      <c r="CUK104" s="3"/>
      <c r="CUL104" s="3"/>
      <c r="CUM104" s="3"/>
      <c r="CUN104" s="3"/>
      <c r="CUO104" s="3"/>
      <c r="CUP104" s="3"/>
      <c r="CUQ104" s="3"/>
      <c r="CUR104" s="3"/>
      <c r="CUS104" s="3"/>
      <c r="CUT104" s="3"/>
      <c r="CUU104" s="3"/>
      <c r="CUV104" s="3"/>
      <c r="CUW104" s="3"/>
      <c r="CUX104" s="3"/>
      <c r="CUY104" s="3"/>
      <c r="CUZ104" s="3"/>
      <c r="CVA104" s="3"/>
      <c r="CVB104" s="3"/>
      <c r="CVC104" s="3"/>
      <c r="CVD104" s="3"/>
      <c r="CVE104" s="3"/>
      <c r="CVF104" s="3"/>
      <c r="CVG104" s="3"/>
      <c r="CVH104" s="3"/>
      <c r="CVI104" s="3"/>
      <c r="CVJ104" s="3"/>
      <c r="CVK104" s="3"/>
      <c r="CVL104" s="3"/>
      <c r="CVM104" s="3"/>
      <c r="CVN104" s="3"/>
      <c r="CVO104" s="3"/>
      <c r="CVP104" s="3"/>
      <c r="CVQ104" s="3"/>
      <c r="CVR104" s="3"/>
      <c r="CVS104" s="3"/>
      <c r="CVT104" s="3"/>
      <c r="CVU104" s="3"/>
      <c r="CVV104" s="3"/>
      <c r="CVW104" s="3"/>
      <c r="CVX104" s="3"/>
      <c r="CVY104" s="3"/>
      <c r="CVZ104" s="3"/>
      <c r="CWA104" s="3"/>
      <c r="CWB104" s="3"/>
      <c r="CWC104" s="3"/>
      <c r="CWD104" s="3"/>
      <c r="CWE104" s="3"/>
      <c r="CWF104" s="3"/>
      <c r="CWG104" s="3"/>
      <c r="CWH104" s="3"/>
      <c r="CWI104" s="3"/>
      <c r="CWJ104" s="3"/>
      <c r="CWK104" s="3"/>
      <c r="CWL104" s="3"/>
      <c r="CWM104" s="3"/>
      <c r="CWN104" s="3"/>
      <c r="CWO104" s="3"/>
      <c r="CWP104" s="3"/>
      <c r="CWQ104" s="3"/>
      <c r="CWR104" s="3"/>
      <c r="CWS104" s="3"/>
      <c r="CWT104" s="3"/>
      <c r="CWU104" s="3"/>
      <c r="CWV104" s="3"/>
      <c r="CWW104" s="3"/>
      <c r="CWX104" s="3"/>
      <c r="CWY104" s="3"/>
      <c r="CWZ104" s="3"/>
      <c r="CXA104" s="3"/>
      <c r="CXB104" s="3"/>
      <c r="CXC104" s="3"/>
      <c r="CXD104" s="3"/>
      <c r="CXE104" s="3"/>
      <c r="CXF104" s="3"/>
      <c r="CXG104" s="3"/>
      <c r="CXH104" s="3"/>
      <c r="CXI104" s="3"/>
      <c r="CXJ104" s="3"/>
      <c r="CXK104" s="3"/>
      <c r="CXL104" s="3"/>
      <c r="CXM104" s="3"/>
      <c r="CXN104" s="3"/>
      <c r="CXO104" s="3"/>
      <c r="CXP104" s="3"/>
      <c r="CXQ104" s="3"/>
      <c r="CXR104" s="3"/>
      <c r="CXS104" s="3"/>
      <c r="CXT104" s="3"/>
      <c r="CXU104" s="3"/>
      <c r="CXV104" s="3"/>
      <c r="CXW104" s="3"/>
      <c r="CXX104" s="3"/>
      <c r="CXY104" s="3"/>
      <c r="CXZ104" s="3"/>
      <c r="CYA104" s="3"/>
      <c r="CYB104" s="3"/>
      <c r="CYC104" s="3"/>
      <c r="CYD104" s="3"/>
      <c r="CYE104" s="3"/>
      <c r="CYF104" s="3"/>
      <c r="CYG104" s="3"/>
      <c r="CYH104" s="3"/>
      <c r="CYI104" s="3"/>
      <c r="CYJ104" s="3"/>
      <c r="CYK104" s="3"/>
      <c r="CYL104" s="3"/>
      <c r="CYM104" s="3"/>
      <c r="CYN104" s="3"/>
      <c r="CYO104" s="3"/>
      <c r="CYP104" s="3"/>
      <c r="CYQ104" s="3"/>
      <c r="CYR104" s="3"/>
      <c r="CYS104" s="3"/>
      <c r="CYT104" s="3"/>
      <c r="CYU104" s="3"/>
      <c r="CYV104" s="3"/>
      <c r="CYW104" s="3"/>
      <c r="CYX104" s="3"/>
      <c r="CYY104" s="3"/>
      <c r="CYZ104" s="3"/>
      <c r="CZA104" s="3"/>
      <c r="CZB104" s="3"/>
      <c r="CZC104" s="3"/>
      <c r="CZD104" s="3"/>
      <c r="CZE104" s="3"/>
      <c r="CZF104" s="3"/>
      <c r="CZG104" s="3"/>
      <c r="CZH104" s="3"/>
      <c r="CZI104" s="3"/>
      <c r="CZJ104" s="3"/>
      <c r="CZK104" s="3"/>
      <c r="CZL104" s="3"/>
      <c r="CZM104" s="3"/>
      <c r="CZN104" s="3"/>
      <c r="CZO104" s="3"/>
      <c r="CZP104" s="3"/>
      <c r="CZQ104" s="3"/>
      <c r="CZR104" s="3"/>
      <c r="CZS104" s="3"/>
      <c r="CZT104" s="3"/>
      <c r="CZU104" s="3"/>
      <c r="CZV104" s="3"/>
      <c r="CZW104" s="3"/>
      <c r="CZX104" s="3"/>
      <c r="CZY104" s="3"/>
      <c r="CZZ104" s="3"/>
      <c r="DAA104" s="3"/>
      <c r="DAB104" s="3"/>
      <c r="DAC104" s="3"/>
      <c r="DAD104" s="3"/>
      <c r="DAE104" s="3"/>
      <c r="DAF104" s="3"/>
      <c r="DAG104" s="3"/>
      <c r="DAH104" s="3"/>
      <c r="DAI104" s="3"/>
      <c r="DAJ104" s="3"/>
      <c r="DAK104" s="3"/>
      <c r="DAL104" s="3"/>
      <c r="DAM104" s="3"/>
      <c r="DAN104" s="3"/>
      <c r="DAO104" s="3"/>
      <c r="DAP104" s="3"/>
      <c r="DAQ104" s="3"/>
      <c r="DAR104" s="3"/>
      <c r="DAS104" s="3"/>
      <c r="DAT104" s="3"/>
      <c r="DAU104" s="3"/>
      <c r="DAV104" s="3"/>
      <c r="DAW104" s="3"/>
      <c r="DAX104" s="3"/>
      <c r="DAY104" s="3"/>
      <c r="DAZ104" s="3"/>
      <c r="DBA104" s="3"/>
      <c r="DBB104" s="3"/>
      <c r="DBC104" s="3"/>
      <c r="DBD104" s="3"/>
      <c r="DBE104" s="3"/>
      <c r="DBF104" s="3"/>
      <c r="DBG104" s="3"/>
      <c r="DBH104" s="3"/>
      <c r="DBI104" s="3"/>
      <c r="DBJ104" s="3"/>
      <c r="DBK104" s="3"/>
      <c r="DBL104" s="3"/>
      <c r="DBM104" s="3"/>
      <c r="DBN104" s="3"/>
      <c r="DBO104" s="3"/>
      <c r="DBP104" s="3"/>
      <c r="DBQ104" s="3"/>
      <c r="DBR104" s="3"/>
      <c r="DBS104" s="3"/>
      <c r="DBT104" s="3"/>
      <c r="DBU104" s="3"/>
      <c r="DBV104" s="3"/>
      <c r="DBW104" s="3"/>
      <c r="DBX104" s="3"/>
      <c r="DBY104" s="3"/>
      <c r="DBZ104" s="3"/>
      <c r="DCA104" s="3"/>
      <c r="DCB104" s="3"/>
      <c r="DCC104" s="3"/>
      <c r="DCD104" s="3"/>
      <c r="DCE104" s="3"/>
      <c r="DCF104" s="3"/>
      <c r="DCG104" s="3"/>
      <c r="DCH104" s="3"/>
      <c r="DCI104" s="3"/>
      <c r="DCJ104" s="3"/>
      <c r="DCK104" s="3"/>
      <c r="DCL104" s="3"/>
      <c r="DCM104" s="3"/>
      <c r="DCN104" s="3"/>
      <c r="DCO104" s="3"/>
      <c r="DCP104" s="3"/>
      <c r="DCQ104" s="3"/>
      <c r="DCR104" s="3"/>
      <c r="DCS104" s="3"/>
      <c r="DCT104" s="3"/>
      <c r="DCU104" s="3"/>
      <c r="DCV104" s="3"/>
      <c r="DCW104" s="3"/>
      <c r="DCX104" s="3"/>
      <c r="DCY104" s="3"/>
      <c r="DCZ104" s="3"/>
      <c r="DDA104" s="3"/>
      <c r="DDB104" s="3"/>
      <c r="DDC104" s="3"/>
      <c r="DDD104" s="3"/>
      <c r="DDE104" s="3"/>
      <c r="DDF104" s="3"/>
      <c r="DDG104" s="3"/>
      <c r="DDH104" s="3"/>
      <c r="DDI104" s="3"/>
      <c r="DDJ104" s="3"/>
      <c r="DDK104" s="3"/>
      <c r="DDL104" s="3"/>
      <c r="DDM104" s="3"/>
      <c r="DDN104" s="3"/>
      <c r="DDO104" s="3"/>
      <c r="DDP104" s="3"/>
      <c r="DDQ104" s="3"/>
      <c r="DDR104" s="3"/>
      <c r="DDS104" s="3"/>
      <c r="DDT104" s="3"/>
      <c r="DDU104" s="3"/>
      <c r="DDV104" s="3"/>
      <c r="DDW104" s="3"/>
      <c r="DDX104" s="3"/>
      <c r="DDY104" s="3"/>
      <c r="DDZ104" s="3"/>
      <c r="DEA104" s="3"/>
      <c r="DEB104" s="3"/>
      <c r="DEC104" s="3"/>
      <c r="DED104" s="3"/>
      <c r="DEE104" s="3"/>
      <c r="DEF104" s="3"/>
      <c r="DEG104" s="3"/>
      <c r="DEH104" s="3"/>
      <c r="DEI104" s="3"/>
      <c r="DEJ104" s="3"/>
      <c r="DEK104" s="3"/>
      <c r="DEL104" s="3"/>
      <c r="DEM104" s="3"/>
      <c r="DEN104" s="3"/>
      <c r="DEO104" s="3"/>
      <c r="DEP104" s="3"/>
      <c r="DEQ104" s="3"/>
      <c r="DER104" s="3"/>
      <c r="DES104" s="3"/>
      <c r="DET104" s="3"/>
      <c r="DEU104" s="3"/>
      <c r="DEV104" s="3"/>
      <c r="DEW104" s="3"/>
      <c r="DEX104" s="3"/>
      <c r="DEY104" s="3"/>
      <c r="DEZ104" s="3"/>
      <c r="DFA104" s="3"/>
      <c r="DFB104" s="3"/>
      <c r="DFC104" s="3"/>
      <c r="DFD104" s="3"/>
      <c r="DFE104" s="3"/>
      <c r="DFF104" s="3"/>
      <c r="DFG104" s="3"/>
      <c r="DFH104" s="3"/>
      <c r="DFI104" s="3"/>
      <c r="DFJ104" s="3"/>
      <c r="DFK104" s="3"/>
      <c r="DFL104" s="3"/>
      <c r="DFM104" s="3"/>
      <c r="DFN104" s="3"/>
      <c r="DFO104" s="3"/>
      <c r="DFP104" s="3"/>
      <c r="DFQ104" s="3"/>
      <c r="DFR104" s="3"/>
      <c r="DFS104" s="3"/>
      <c r="DFT104" s="3"/>
      <c r="DFU104" s="3"/>
      <c r="DFV104" s="3"/>
      <c r="DFW104" s="3"/>
      <c r="DFX104" s="3"/>
      <c r="DFY104" s="3"/>
      <c r="DFZ104" s="3"/>
      <c r="DGA104" s="3"/>
      <c r="DGB104" s="3"/>
      <c r="DGC104" s="3"/>
      <c r="DGD104" s="3"/>
      <c r="DGE104" s="3"/>
      <c r="DGF104" s="3"/>
      <c r="DGG104" s="3"/>
      <c r="DGH104" s="3"/>
      <c r="DGI104" s="3"/>
      <c r="DGJ104" s="3"/>
      <c r="DGK104" s="3"/>
      <c r="DGL104" s="3"/>
      <c r="DGM104" s="3"/>
      <c r="DGN104" s="3"/>
      <c r="DGO104" s="3"/>
      <c r="DGP104" s="3"/>
      <c r="DGQ104" s="3"/>
      <c r="DGR104" s="3"/>
      <c r="DGS104" s="3"/>
      <c r="DGT104" s="3"/>
      <c r="DGU104" s="3"/>
      <c r="DGV104" s="3"/>
      <c r="DGW104" s="3"/>
      <c r="DGX104" s="3"/>
      <c r="DGY104" s="3"/>
      <c r="DGZ104" s="3"/>
      <c r="DHA104" s="3"/>
      <c r="DHB104" s="3"/>
      <c r="DHC104" s="3"/>
      <c r="DHD104" s="3"/>
      <c r="DHE104" s="3"/>
      <c r="DHF104" s="3"/>
      <c r="DHG104" s="3"/>
      <c r="DHH104" s="3"/>
      <c r="DHI104" s="3"/>
      <c r="DHJ104" s="3"/>
      <c r="DHK104" s="3"/>
      <c r="DHL104" s="3"/>
      <c r="DHM104" s="3"/>
      <c r="DHN104" s="3"/>
      <c r="DHO104" s="3"/>
      <c r="DHP104" s="3"/>
      <c r="DHQ104" s="3"/>
      <c r="DHR104" s="3"/>
      <c r="DHS104" s="3"/>
      <c r="DHT104" s="3"/>
      <c r="DHU104" s="3"/>
      <c r="DHV104" s="3"/>
      <c r="DHW104" s="3"/>
      <c r="DHX104" s="3"/>
      <c r="DHY104" s="3"/>
      <c r="DHZ104" s="3"/>
      <c r="DIA104" s="3"/>
      <c r="DIB104" s="3"/>
      <c r="DIC104" s="3"/>
      <c r="DID104" s="3"/>
      <c r="DIE104" s="3"/>
      <c r="DIF104" s="3"/>
      <c r="DIG104" s="3"/>
      <c r="DIH104" s="3"/>
      <c r="DII104" s="3"/>
      <c r="DIJ104" s="3"/>
      <c r="DIK104" s="3"/>
      <c r="DIL104" s="3"/>
      <c r="DIM104" s="3"/>
      <c r="DIN104" s="3"/>
      <c r="DIO104" s="3"/>
      <c r="DIP104" s="3"/>
      <c r="DIQ104" s="3"/>
      <c r="DIR104" s="3"/>
      <c r="DIS104" s="3"/>
      <c r="DIT104" s="3"/>
      <c r="DIU104" s="3"/>
      <c r="DIV104" s="3"/>
      <c r="DIW104" s="3"/>
      <c r="DIX104" s="3"/>
      <c r="DIY104" s="3"/>
      <c r="DIZ104" s="3"/>
      <c r="DJA104" s="3"/>
      <c r="DJB104" s="3"/>
      <c r="DJC104" s="3"/>
      <c r="DJD104" s="3"/>
      <c r="DJE104" s="3"/>
      <c r="DJF104" s="3"/>
      <c r="DJG104" s="3"/>
      <c r="DJH104" s="3"/>
      <c r="DJI104" s="3"/>
      <c r="DJJ104" s="3"/>
      <c r="DJK104" s="3"/>
      <c r="DJL104" s="3"/>
      <c r="DJM104" s="3"/>
      <c r="DJN104" s="3"/>
      <c r="DJO104" s="3"/>
      <c r="DJP104" s="3"/>
      <c r="DJQ104" s="3"/>
      <c r="DJR104" s="3"/>
      <c r="DJS104" s="3"/>
      <c r="DJT104" s="3"/>
      <c r="DJU104" s="3"/>
      <c r="DJV104" s="3"/>
      <c r="DJW104" s="3"/>
      <c r="DJX104" s="3"/>
      <c r="DJY104" s="3"/>
      <c r="DJZ104" s="3"/>
      <c r="DKA104" s="3"/>
      <c r="DKB104" s="3"/>
      <c r="DKC104" s="3"/>
      <c r="DKD104" s="3"/>
      <c r="DKE104" s="3"/>
      <c r="DKF104" s="3"/>
      <c r="DKG104" s="3"/>
      <c r="DKH104" s="3"/>
      <c r="DKI104" s="3"/>
      <c r="DKJ104" s="3"/>
      <c r="DKK104" s="3"/>
      <c r="DKL104" s="3"/>
      <c r="DKM104" s="3"/>
      <c r="DKN104" s="3"/>
      <c r="DKO104" s="3"/>
      <c r="DKP104" s="3"/>
      <c r="DKQ104" s="3"/>
      <c r="DKR104" s="3"/>
      <c r="DKS104" s="3"/>
      <c r="DKT104" s="3"/>
      <c r="DKU104" s="3"/>
      <c r="DKV104" s="3"/>
      <c r="DKW104" s="3"/>
      <c r="DKX104" s="3"/>
      <c r="DKY104" s="3"/>
      <c r="DKZ104" s="3"/>
      <c r="DLA104" s="3"/>
      <c r="DLB104" s="3"/>
      <c r="DLC104" s="3"/>
      <c r="DLD104" s="3"/>
      <c r="DLE104" s="3"/>
      <c r="DLF104" s="3"/>
      <c r="DLG104" s="3"/>
      <c r="DLH104" s="3"/>
      <c r="DLI104" s="3"/>
      <c r="DLJ104" s="3"/>
      <c r="DLK104" s="3"/>
      <c r="DLL104" s="3"/>
      <c r="DLM104" s="3"/>
      <c r="DLN104" s="3"/>
      <c r="DLO104" s="3"/>
      <c r="DLP104" s="3"/>
      <c r="DLQ104" s="3"/>
      <c r="DLR104" s="3"/>
      <c r="DLS104" s="3"/>
      <c r="DLT104" s="3"/>
      <c r="DLU104" s="3"/>
      <c r="DLV104" s="3"/>
      <c r="DLW104" s="3"/>
      <c r="DLX104" s="3"/>
      <c r="DLY104" s="3"/>
      <c r="DLZ104" s="3"/>
      <c r="DMA104" s="3"/>
      <c r="DMB104" s="3"/>
      <c r="DMC104" s="3"/>
      <c r="DMD104" s="3"/>
      <c r="DME104" s="3"/>
      <c r="DMF104" s="3"/>
      <c r="DMG104" s="3"/>
      <c r="DMH104" s="3"/>
      <c r="DMI104" s="3"/>
      <c r="DMJ104" s="3"/>
      <c r="DMK104" s="3"/>
      <c r="DML104" s="3"/>
      <c r="DMM104" s="3"/>
      <c r="DMN104" s="3"/>
      <c r="DMO104" s="3"/>
      <c r="DMP104" s="3"/>
      <c r="DMQ104" s="3"/>
      <c r="DMR104" s="3"/>
      <c r="DMS104" s="3"/>
      <c r="DMT104" s="3"/>
      <c r="DMU104" s="3"/>
      <c r="DMV104" s="3"/>
      <c r="DMW104" s="3"/>
      <c r="DMX104" s="3"/>
      <c r="DMY104" s="3"/>
      <c r="DMZ104" s="3"/>
      <c r="DNA104" s="3"/>
      <c r="DNB104" s="3"/>
      <c r="DNC104" s="3"/>
      <c r="DND104" s="3"/>
      <c r="DNE104" s="3"/>
      <c r="DNF104" s="3"/>
      <c r="DNG104" s="3"/>
      <c r="DNH104" s="3"/>
      <c r="DNI104" s="3"/>
      <c r="DNJ104" s="3"/>
      <c r="DNK104" s="3"/>
      <c r="DNL104" s="3"/>
      <c r="DNM104" s="3"/>
      <c r="DNN104" s="3"/>
      <c r="DNO104" s="3"/>
      <c r="DNP104" s="3"/>
      <c r="DNQ104" s="3"/>
      <c r="DNR104" s="3"/>
      <c r="DNS104" s="3"/>
      <c r="DNT104" s="3"/>
      <c r="DNU104" s="3"/>
      <c r="DNV104" s="3"/>
      <c r="DNW104" s="3"/>
      <c r="DNX104" s="3"/>
      <c r="DNY104" s="3"/>
      <c r="DNZ104" s="3"/>
      <c r="DOA104" s="3"/>
      <c r="DOB104" s="3"/>
      <c r="DOC104" s="3"/>
      <c r="DOD104" s="3"/>
      <c r="DOE104" s="3"/>
      <c r="DOF104" s="3"/>
      <c r="DOG104" s="3"/>
      <c r="DOH104" s="3"/>
      <c r="DOI104" s="3"/>
      <c r="DOJ104" s="3"/>
      <c r="DOK104" s="3"/>
      <c r="DOL104" s="3"/>
      <c r="DOM104" s="3"/>
      <c r="DON104" s="3"/>
      <c r="DOO104" s="3"/>
      <c r="DOP104" s="3"/>
      <c r="DOQ104" s="3"/>
      <c r="DOR104" s="3"/>
      <c r="DOS104" s="3"/>
      <c r="DOT104" s="3"/>
      <c r="DOU104" s="3"/>
      <c r="DOV104" s="3"/>
      <c r="DOW104" s="3"/>
      <c r="DOX104" s="3"/>
      <c r="DOY104" s="3"/>
      <c r="DOZ104" s="3"/>
      <c r="DPA104" s="3"/>
      <c r="DPB104" s="3"/>
      <c r="DPC104" s="3"/>
      <c r="DPD104" s="3"/>
      <c r="DPE104" s="3"/>
      <c r="DPF104" s="3"/>
      <c r="DPG104" s="3"/>
      <c r="DPH104" s="3"/>
      <c r="DPI104" s="3"/>
      <c r="DPJ104" s="3"/>
      <c r="DPK104" s="3"/>
      <c r="DPL104" s="3"/>
      <c r="DPM104" s="3"/>
      <c r="DPN104" s="3"/>
      <c r="DPO104" s="3"/>
      <c r="DPP104" s="3"/>
      <c r="DPQ104" s="3"/>
      <c r="DPR104" s="3"/>
      <c r="DPS104" s="3"/>
      <c r="DPT104" s="3"/>
      <c r="DPU104" s="3"/>
      <c r="DPV104" s="3"/>
      <c r="DPW104" s="3"/>
      <c r="DPX104" s="3"/>
      <c r="DPY104" s="3"/>
      <c r="DPZ104" s="3"/>
      <c r="DQA104" s="3"/>
      <c r="DQB104" s="3"/>
      <c r="DQC104" s="3"/>
      <c r="DQD104" s="3"/>
      <c r="DQE104" s="3"/>
      <c r="DQF104" s="3"/>
      <c r="DQG104" s="3"/>
      <c r="DQH104" s="3"/>
      <c r="DQI104" s="3"/>
      <c r="DQJ104" s="3"/>
      <c r="DQK104" s="3"/>
      <c r="DQL104" s="3"/>
      <c r="DQM104" s="3"/>
      <c r="DQN104" s="3"/>
      <c r="DQO104" s="3"/>
      <c r="DQP104" s="3"/>
      <c r="DQQ104" s="3"/>
      <c r="DQR104" s="3"/>
      <c r="DQS104" s="3"/>
      <c r="DQT104" s="3"/>
      <c r="DQU104" s="3"/>
      <c r="DQV104" s="3"/>
      <c r="DQW104" s="3"/>
      <c r="DQX104" s="3"/>
      <c r="DQY104" s="3"/>
      <c r="DQZ104" s="3"/>
      <c r="DRA104" s="3"/>
      <c r="DRB104" s="3"/>
      <c r="DRC104" s="3"/>
      <c r="DRD104" s="3"/>
      <c r="DRE104" s="3"/>
      <c r="DRF104" s="3"/>
      <c r="DRG104" s="3"/>
      <c r="DRH104" s="3"/>
      <c r="DRI104" s="3"/>
      <c r="DRJ104" s="3"/>
      <c r="DRK104" s="3"/>
      <c r="DRL104" s="3"/>
      <c r="DRM104" s="3"/>
      <c r="DRN104" s="3"/>
      <c r="DRO104" s="3"/>
      <c r="DRP104" s="3"/>
      <c r="DRQ104" s="3"/>
      <c r="DRR104" s="3"/>
      <c r="DRS104" s="3"/>
      <c r="DRT104" s="3"/>
      <c r="DRU104" s="3"/>
      <c r="DRV104" s="3"/>
      <c r="DRW104" s="3"/>
      <c r="DRX104" s="3"/>
      <c r="DRY104" s="3"/>
      <c r="DRZ104" s="3"/>
      <c r="DSA104" s="3"/>
      <c r="DSB104" s="3"/>
      <c r="DSC104" s="3"/>
      <c r="DSD104" s="3"/>
      <c r="DSE104" s="3"/>
      <c r="DSF104" s="3"/>
      <c r="DSG104" s="3"/>
      <c r="DSH104" s="3"/>
      <c r="DSI104" s="3"/>
      <c r="DSJ104" s="3"/>
      <c r="DSK104" s="3"/>
      <c r="DSL104" s="3"/>
      <c r="DSM104" s="3"/>
      <c r="DSN104" s="3"/>
      <c r="DSO104" s="3"/>
      <c r="DSP104" s="3"/>
      <c r="DSQ104" s="3"/>
      <c r="DSR104" s="3"/>
      <c r="DSS104" s="3"/>
      <c r="DST104" s="3"/>
      <c r="DSU104" s="3"/>
      <c r="DSV104" s="3"/>
      <c r="DSW104" s="3"/>
      <c r="DSX104" s="3"/>
      <c r="DSY104" s="3"/>
      <c r="DSZ104" s="3"/>
      <c r="DTA104" s="3"/>
      <c r="DTB104" s="3"/>
      <c r="DTC104" s="3"/>
      <c r="DTD104" s="3"/>
      <c r="DTE104" s="3"/>
      <c r="DTF104" s="3"/>
      <c r="DTG104" s="3"/>
      <c r="DTH104" s="3"/>
      <c r="DTI104" s="3"/>
      <c r="DTJ104" s="3"/>
      <c r="DTK104" s="3"/>
      <c r="DTL104" s="3"/>
      <c r="DTM104" s="3"/>
      <c r="DTN104" s="3"/>
      <c r="DTO104" s="3"/>
      <c r="DTP104" s="3"/>
      <c r="DTQ104" s="3"/>
      <c r="DTR104" s="3"/>
      <c r="DTS104" s="3"/>
      <c r="DTT104" s="3"/>
      <c r="DTU104" s="3"/>
      <c r="DTV104" s="3"/>
      <c r="DTW104" s="3"/>
      <c r="DTX104" s="3"/>
      <c r="DTY104" s="3"/>
      <c r="DTZ104" s="3"/>
      <c r="DUA104" s="3"/>
      <c r="DUB104" s="3"/>
      <c r="DUC104" s="3"/>
      <c r="DUD104" s="3"/>
      <c r="DUE104" s="3"/>
      <c r="DUF104" s="3"/>
      <c r="DUG104" s="3"/>
      <c r="DUH104" s="3"/>
      <c r="DUI104" s="3"/>
      <c r="DUJ104" s="3"/>
      <c r="DUK104" s="3"/>
      <c r="DUL104" s="3"/>
      <c r="DUM104" s="3"/>
      <c r="DUN104" s="3"/>
      <c r="DUO104" s="3"/>
      <c r="DUP104" s="3"/>
      <c r="DUQ104" s="3"/>
      <c r="DUR104" s="3"/>
      <c r="DUS104" s="3"/>
      <c r="DUT104" s="3"/>
      <c r="DUU104" s="3"/>
      <c r="DUV104" s="3"/>
      <c r="DUW104" s="3"/>
      <c r="DUX104" s="3"/>
      <c r="DUY104" s="3"/>
      <c r="DUZ104" s="3"/>
      <c r="DVA104" s="3"/>
      <c r="DVB104" s="3"/>
      <c r="DVC104" s="3"/>
      <c r="DVD104" s="3"/>
      <c r="DVE104" s="3"/>
      <c r="DVF104" s="3"/>
      <c r="DVG104" s="3"/>
      <c r="DVH104" s="3"/>
      <c r="DVI104" s="3"/>
      <c r="DVJ104" s="3"/>
      <c r="DVK104" s="3"/>
      <c r="DVL104" s="3"/>
      <c r="DVM104" s="3"/>
      <c r="DVN104" s="3"/>
      <c r="DVO104" s="3"/>
      <c r="DVP104" s="3"/>
      <c r="DVQ104" s="3"/>
      <c r="DVR104" s="3"/>
      <c r="DVS104" s="3"/>
      <c r="DVT104" s="3"/>
      <c r="DVU104" s="3"/>
      <c r="DVV104" s="3"/>
      <c r="DVW104" s="3"/>
      <c r="DVX104" s="3"/>
      <c r="DVY104" s="3"/>
      <c r="DVZ104" s="3"/>
      <c r="DWA104" s="3"/>
      <c r="DWB104" s="3"/>
      <c r="DWC104" s="3"/>
      <c r="DWD104" s="3"/>
      <c r="DWE104" s="3"/>
      <c r="DWF104" s="3"/>
      <c r="DWG104" s="3"/>
      <c r="DWH104" s="3"/>
      <c r="DWI104" s="3"/>
      <c r="DWJ104" s="3"/>
      <c r="DWK104" s="3"/>
      <c r="DWL104" s="3"/>
      <c r="DWM104" s="3"/>
      <c r="DWN104" s="3"/>
      <c r="DWO104" s="3"/>
      <c r="DWP104" s="3"/>
      <c r="DWQ104" s="3"/>
      <c r="DWR104" s="3"/>
      <c r="DWS104" s="3"/>
      <c r="DWT104" s="3"/>
      <c r="DWU104" s="3"/>
      <c r="DWV104" s="3"/>
      <c r="DWW104" s="3"/>
      <c r="DWX104" s="3"/>
      <c r="DWY104" s="3"/>
      <c r="DWZ104" s="3"/>
      <c r="DXA104" s="3"/>
      <c r="DXB104" s="3"/>
      <c r="DXC104" s="3"/>
      <c r="DXD104" s="3"/>
      <c r="DXE104" s="3"/>
      <c r="DXF104" s="3"/>
      <c r="DXG104" s="3"/>
      <c r="DXH104" s="3"/>
      <c r="DXI104" s="3"/>
      <c r="DXJ104" s="3"/>
      <c r="DXK104" s="3"/>
      <c r="DXL104" s="3"/>
      <c r="DXM104" s="3"/>
      <c r="DXN104" s="3"/>
      <c r="DXO104" s="3"/>
      <c r="DXP104" s="3"/>
      <c r="DXQ104" s="3"/>
      <c r="DXR104" s="3"/>
      <c r="DXS104" s="3"/>
      <c r="DXT104" s="3"/>
      <c r="DXU104" s="3"/>
      <c r="DXV104" s="3"/>
      <c r="DXW104" s="3"/>
      <c r="DXX104" s="3"/>
      <c r="DXY104" s="3"/>
      <c r="DXZ104" s="3"/>
      <c r="DYA104" s="3"/>
      <c r="DYB104" s="3"/>
      <c r="DYC104" s="3"/>
      <c r="DYD104" s="3"/>
      <c r="DYE104" s="3"/>
      <c r="DYF104" s="3"/>
      <c r="DYG104" s="3"/>
      <c r="DYH104" s="3"/>
      <c r="DYI104" s="3"/>
      <c r="DYJ104" s="3"/>
      <c r="DYK104" s="3"/>
      <c r="DYL104" s="3"/>
      <c r="DYM104" s="3"/>
      <c r="DYN104" s="3"/>
      <c r="DYO104" s="3"/>
      <c r="DYP104" s="3"/>
      <c r="DYQ104" s="3"/>
      <c r="DYR104" s="3"/>
      <c r="DYS104" s="3"/>
      <c r="DYT104" s="3"/>
      <c r="DYU104" s="3"/>
      <c r="DYV104" s="3"/>
      <c r="DYW104" s="3"/>
      <c r="DYX104" s="3"/>
      <c r="DYY104" s="3"/>
      <c r="DYZ104" s="3"/>
      <c r="DZA104" s="3"/>
      <c r="DZB104" s="3"/>
      <c r="DZC104" s="3"/>
      <c r="DZD104" s="3"/>
      <c r="DZE104" s="3"/>
      <c r="DZF104" s="3"/>
      <c r="DZG104" s="3"/>
      <c r="DZH104" s="3"/>
      <c r="DZI104" s="3"/>
      <c r="DZJ104" s="3"/>
      <c r="DZK104" s="3"/>
      <c r="DZL104" s="3"/>
      <c r="DZM104" s="3"/>
      <c r="DZN104" s="3"/>
      <c r="DZO104" s="3"/>
      <c r="DZP104" s="3"/>
      <c r="DZQ104" s="3"/>
      <c r="DZR104" s="3"/>
      <c r="DZS104" s="3"/>
      <c r="DZT104" s="3"/>
      <c r="DZU104" s="3"/>
      <c r="DZV104" s="3"/>
      <c r="DZW104" s="3"/>
      <c r="DZX104" s="3"/>
      <c r="DZY104" s="3"/>
      <c r="DZZ104" s="3"/>
      <c r="EAA104" s="3"/>
      <c r="EAB104" s="3"/>
      <c r="EAC104" s="3"/>
      <c r="EAD104" s="3"/>
      <c r="EAE104" s="3"/>
      <c r="EAF104" s="3"/>
      <c r="EAG104" s="3"/>
      <c r="EAH104" s="3"/>
      <c r="EAI104" s="3"/>
      <c r="EAJ104" s="3"/>
      <c r="EAK104" s="3"/>
      <c r="EAL104" s="3"/>
      <c r="EAM104" s="3"/>
      <c r="EAN104" s="3"/>
      <c r="EAO104" s="3"/>
      <c r="EAP104" s="3"/>
      <c r="EAQ104" s="3"/>
      <c r="EAR104" s="3"/>
      <c r="EAS104" s="3"/>
      <c r="EAT104" s="3"/>
      <c r="EAU104" s="3"/>
      <c r="EAV104" s="3"/>
      <c r="EAW104" s="3"/>
      <c r="EAX104" s="3"/>
      <c r="EAY104" s="3"/>
      <c r="EAZ104" s="3"/>
      <c r="EBA104" s="3"/>
      <c r="EBB104" s="3"/>
      <c r="EBC104" s="3"/>
      <c r="EBD104" s="3"/>
      <c r="EBE104" s="3"/>
      <c r="EBF104" s="3"/>
      <c r="EBG104" s="3"/>
      <c r="EBH104" s="3"/>
      <c r="EBI104" s="3"/>
      <c r="EBJ104" s="3"/>
      <c r="EBK104" s="3"/>
      <c r="EBL104" s="3"/>
      <c r="EBM104" s="3"/>
      <c r="EBN104" s="3"/>
      <c r="EBO104" s="3"/>
      <c r="EBP104" s="3"/>
      <c r="EBQ104" s="3"/>
      <c r="EBR104" s="3"/>
      <c r="EBS104" s="3"/>
      <c r="EBT104" s="3"/>
      <c r="EBU104" s="3"/>
      <c r="EBV104" s="3"/>
      <c r="EBW104" s="3"/>
      <c r="EBX104" s="3"/>
      <c r="EBY104" s="3"/>
      <c r="EBZ104" s="3"/>
      <c r="ECA104" s="3"/>
      <c r="ECB104" s="3"/>
      <c r="ECC104" s="3"/>
      <c r="ECD104" s="3"/>
      <c r="ECE104" s="3"/>
      <c r="ECF104" s="3"/>
      <c r="ECG104" s="3"/>
      <c r="ECH104" s="3"/>
      <c r="ECI104" s="3"/>
      <c r="ECJ104" s="3"/>
      <c r="ECK104" s="3"/>
      <c r="ECL104" s="3"/>
      <c r="ECM104" s="3"/>
      <c r="ECN104" s="3"/>
      <c r="ECO104" s="3"/>
      <c r="ECP104" s="3"/>
      <c r="ECQ104" s="3"/>
      <c r="ECR104" s="3"/>
      <c r="ECS104" s="3"/>
      <c r="ECT104" s="3"/>
      <c r="ECU104" s="3"/>
      <c r="ECV104" s="3"/>
      <c r="ECW104" s="3"/>
      <c r="ECX104" s="3"/>
      <c r="ECY104" s="3"/>
      <c r="ECZ104" s="3"/>
      <c r="EDA104" s="3"/>
      <c r="EDB104" s="3"/>
      <c r="EDC104" s="3"/>
      <c r="EDD104" s="3"/>
      <c r="EDE104" s="3"/>
      <c r="EDF104" s="3"/>
      <c r="EDG104" s="3"/>
      <c r="EDH104" s="3"/>
      <c r="EDI104" s="3"/>
      <c r="EDJ104" s="3"/>
      <c r="EDK104" s="3"/>
      <c r="EDL104" s="3"/>
      <c r="EDM104" s="3"/>
      <c r="EDN104" s="3"/>
      <c r="EDO104" s="3"/>
      <c r="EDP104" s="3"/>
      <c r="EDQ104" s="3"/>
      <c r="EDR104" s="3"/>
      <c r="EDS104" s="3"/>
      <c r="EDT104" s="3"/>
      <c r="EDU104" s="3"/>
      <c r="EDV104" s="3"/>
      <c r="EDW104" s="3"/>
      <c r="EDX104" s="3"/>
      <c r="EDY104" s="3"/>
      <c r="EDZ104" s="3"/>
      <c r="EEA104" s="3"/>
      <c r="EEB104" s="3"/>
      <c r="EEC104" s="3"/>
      <c r="EED104" s="3"/>
      <c r="EEE104" s="3"/>
      <c r="EEF104" s="3"/>
      <c r="EEG104" s="3"/>
      <c r="EEH104" s="3"/>
      <c r="EEI104" s="3"/>
      <c r="EEJ104" s="3"/>
      <c r="EEK104" s="3"/>
      <c r="EEL104" s="3"/>
      <c r="EEM104" s="3"/>
      <c r="EEN104" s="3"/>
      <c r="EEO104" s="3"/>
      <c r="EEP104" s="3"/>
      <c r="EEQ104" s="3"/>
      <c r="EER104" s="3"/>
      <c r="EES104" s="3"/>
      <c r="EET104" s="3"/>
      <c r="EEU104" s="3"/>
      <c r="EEV104" s="3"/>
      <c r="EEW104" s="3"/>
      <c r="EEX104" s="3"/>
      <c r="EEY104" s="3"/>
      <c r="EEZ104" s="3"/>
      <c r="EFA104" s="3"/>
      <c r="EFB104" s="3"/>
      <c r="EFC104" s="3"/>
      <c r="EFD104" s="3"/>
      <c r="EFE104" s="3"/>
      <c r="EFF104" s="3"/>
      <c r="EFG104" s="3"/>
      <c r="EFH104" s="3"/>
      <c r="EFI104" s="3"/>
      <c r="EFJ104" s="3"/>
      <c r="EFK104" s="3"/>
      <c r="EFL104" s="3"/>
      <c r="EFM104" s="3"/>
      <c r="EFN104" s="3"/>
      <c r="EFO104" s="3"/>
      <c r="EFP104" s="3"/>
      <c r="EFQ104" s="3"/>
      <c r="EFR104" s="3"/>
      <c r="EFS104" s="3"/>
      <c r="EFT104" s="3"/>
      <c r="EFU104" s="3"/>
      <c r="EFV104" s="3"/>
      <c r="EFW104" s="3"/>
      <c r="EFX104" s="3"/>
      <c r="EFY104" s="3"/>
      <c r="EFZ104" s="3"/>
      <c r="EGA104" s="3"/>
      <c r="EGB104" s="3"/>
      <c r="EGC104" s="3"/>
      <c r="EGD104" s="3"/>
      <c r="EGE104" s="3"/>
      <c r="EGF104" s="3"/>
      <c r="EGG104" s="3"/>
      <c r="EGH104" s="3"/>
      <c r="EGI104" s="3"/>
      <c r="EGJ104" s="3"/>
      <c r="EGK104" s="3"/>
      <c r="EGL104" s="3"/>
      <c r="EGM104" s="3"/>
      <c r="EGN104" s="3"/>
      <c r="EGO104" s="3"/>
      <c r="EGP104" s="3"/>
      <c r="EGQ104" s="3"/>
      <c r="EGR104" s="3"/>
      <c r="EGS104" s="3"/>
      <c r="EGT104" s="3"/>
      <c r="EGU104" s="3"/>
      <c r="EGV104" s="3"/>
      <c r="EGW104" s="3"/>
      <c r="EGX104" s="3"/>
      <c r="EGY104" s="3"/>
      <c r="EGZ104" s="3"/>
      <c r="EHA104" s="3"/>
      <c r="EHB104" s="3"/>
      <c r="EHC104" s="3"/>
      <c r="EHD104" s="3"/>
      <c r="EHE104" s="3"/>
      <c r="EHF104" s="3"/>
      <c r="EHG104" s="3"/>
      <c r="EHH104" s="3"/>
      <c r="EHI104" s="3"/>
      <c r="EHJ104" s="3"/>
      <c r="EHK104" s="3"/>
      <c r="EHL104" s="3"/>
      <c r="EHM104" s="3"/>
      <c r="EHN104" s="3"/>
      <c r="EHO104" s="3"/>
      <c r="EHP104" s="3"/>
      <c r="EHQ104" s="3"/>
      <c r="EHR104" s="3"/>
      <c r="EHS104" s="3"/>
      <c r="EHT104" s="3"/>
      <c r="EHU104" s="3"/>
      <c r="EHV104" s="3"/>
      <c r="EHW104" s="3"/>
      <c r="EHX104" s="3"/>
      <c r="EHY104" s="3"/>
      <c r="EHZ104" s="3"/>
      <c r="EIA104" s="3"/>
      <c r="EIB104" s="3"/>
      <c r="EIC104" s="3"/>
      <c r="EID104" s="3"/>
      <c r="EIE104" s="3"/>
      <c r="EIF104" s="3"/>
      <c r="EIG104" s="3"/>
      <c r="EIH104" s="3"/>
      <c r="EII104" s="3"/>
      <c r="EIJ104" s="3"/>
      <c r="EIK104" s="3"/>
      <c r="EIL104" s="3"/>
      <c r="EIM104" s="3"/>
      <c r="EIN104" s="3"/>
      <c r="EIO104" s="3"/>
      <c r="EIP104" s="3"/>
      <c r="EIQ104" s="3"/>
      <c r="EIR104" s="3"/>
      <c r="EIS104" s="3"/>
      <c r="EIT104" s="3"/>
      <c r="EIU104" s="3"/>
      <c r="EIV104" s="3"/>
      <c r="EIW104" s="3"/>
      <c r="EIX104" s="3"/>
      <c r="EIY104" s="3"/>
      <c r="EIZ104" s="3"/>
      <c r="EJA104" s="3"/>
      <c r="EJB104" s="3"/>
      <c r="EJC104" s="3"/>
      <c r="EJD104" s="3"/>
      <c r="EJE104" s="3"/>
      <c r="EJF104" s="3"/>
      <c r="EJG104" s="3"/>
      <c r="EJH104" s="3"/>
      <c r="EJI104" s="3"/>
      <c r="EJJ104" s="3"/>
      <c r="EJK104" s="3"/>
      <c r="EJL104" s="3"/>
      <c r="EJM104" s="3"/>
      <c r="EJN104" s="3"/>
      <c r="EJO104" s="3"/>
      <c r="EJP104" s="3"/>
      <c r="EJQ104" s="3"/>
      <c r="EJR104" s="3"/>
      <c r="EJS104" s="3"/>
      <c r="EJT104" s="3"/>
      <c r="EJU104" s="3"/>
      <c r="EJV104" s="3"/>
      <c r="EJW104" s="3"/>
      <c r="EJX104" s="3"/>
      <c r="EJY104" s="3"/>
      <c r="EJZ104" s="3"/>
      <c r="EKA104" s="3"/>
      <c r="EKB104" s="3"/>
      <c r="EKC104" s="3"/>
      <c r="EKD104" s="3"/>
      <c r="EKE104" s="3"/>
      <c r="EKF104" s="3"/>
      <c r="EKG104" s="3"/>
      <c r="EKH104" s="3"/>
      <c r="EKI104" s="3"/>
      <c r="EKJ104" s="3"/>
      <c r="EKK104" s="3"/>
      <c r="EKL104" s="3"/>
      <c r="EKM104" s="3"/>
      <c r="EKN104" s="3"/>
      <c r="EKO104" s="3"/>
      <c r="EKP104" s="3"/>
      <c r="EKQ104" s="3"/>
      <c r="EKR104" s="3"/>
      <c r="EKS104" s="3"/>
      <c r="EKT104" s="3"/>
      <c r="EKU104" s="3"/>
      <c r="EKV104" s="3"/>
      <c r="EKW104" s="3"/>
      <c r="EKX104" s="3"/>
      <c r="EKY104" s="3"/>
      <c r="EKZ104" s="3"/>
      <c r="ELA104" s="3"/>
      <c r="ELB104" s="3"/>
      <c r="ELC104" s="3"/>
      <c r="ELD104" s="3"/>
      <c r="ELE104" s="3"/>
      <c r="ELF104" s="3"/>
      <c r="ELG104" s="3"/>
      <c r="ELH104" s="3"/>
      <c r="ELI104" s="3"/>
      <c r="ELJ104" s="3"/>
      <c r="ELK104" s="3"/>
      <c r="ELL104" s="3"/>
      <c r="ELM104" s="3"/>
      <c r="ELN104" s="3"/>
      <c r="ELO104" s="3"/>
      <c r="ELP104" s="3"/>
      <c r="ELQ104" s="3"/>
      <c r="ELR104" s="3"/>
      <c r="ELS104" s="3"/>
      <c r="ELT104" s="3"/>
      <c r="ELU104" s="3"/>
      <c r="ELV104" s="3"/>
      <c r="ELW104" s="3"/>
      <c r="ELX104" s="3"/>
      <c r="ELY104" s="3"/>
      <c r="ELZ104" s="3"/>
      <c r="EMA104" s="3"/>
      <c r="EMB104" s="3"/>
      <c r="EMC104" s="3"/>
      <c r="EMD104" s="3"/>
      <c r="EME104" s="3"/>
      <c r="EMF104" s="3"/>
      <c r="EMG104" s="3"/>
      <c r="EMH104" s="3"/>
      <c r="EMI104" s="3"/>
      <c r="EMJ104" s="3"/>
      <c r="EMK104" s="3"/>
      <c r="EML104" s="3"/>
      <c r="EMM104" s="3"/>
      <c r="EMN104" s="3"/>
      <c r="EMO104" s="3"/>
      <c r="EMP104" s="3"/>
      <c r="EMQ104" s="3"/>
      <c r="EMR104" s="3"/>
      <c r="EMS104" s="3"/>
      <c r="EMT104" s="3"/>
      <c r="EMU104" s="3"/>
      <c r="EMV104" s="3"/>
      <c r="EMW104" s="3"/>
      <c r="EMX104" s="3"/>
      <c r="EMY104" s="3"/>
      <c r="EMZ104" s="3"/>
      <c r="ENA104" s="3"/>
      <c r="ENB104" s="3"/>
      <c r="ENC104" s="3"/>
      <c r="END104" s="3"/>
      <c r="ENE104" s="3"/>
      <c r="ENF104" s="3"/>
      <c r="ENG104" s="3"/>
      <c r="ENH104" s="3"/>
      <c r="ENI104" s="3"/>
      <c r="ENJ104" s="3"/>
      <c r="ENK104" s="3"/>
      <c r="ENL104" s="3"/>
      <c r="ENM104" s="3"/>
      <c r="ENN104" s="3"/>
      <c r="ENO104" s="3"/>
      <c r="ENP104" s="3"/>
      <c r="ENQ104" s="3"/>
      <c r="ENR104" s="3"/>
      <c r="ENS104" s="3"/>
      <c r="ENT104" s="3"/>
      <c r="ENU104" s="3"/>
      <c r="ENV104" s="3"/>
      <c r="ENW104" s="3"/>
      <c r="ENX104" s="3"/>
      <c r="ENY104" s="3"/>
      <c r="ENZ104" s="3"/>
      <c r="EOA104" s="3"/>
      <c r="EOB104" s="3"/>
      <c r="EOC104" s="3"/>
      <c r="EOD104" s="3"/>
      <c r="EOE104" s="3"/>
      <c r="EOF104" s="3"/>
      <c r="EOG104" s="3"/>
      <c r="EOH104" s="3"/>
      <c r="EOI104" s="3"/>
      <c r="EOJ104" s="3"/>
      <c r="EOK104" s="3"/>
      <c r="EOL104" s="3"/>
      <c r="EOM104" s="3"/>
      <c r="EON104" s="3"/>
      <c r="EOO104" s="3"/>
      <c r="EOP104" s="3"/>
      <c r="EOQ104" s="3"/>
      <c r="EOR104" s="3"/>
      <c r="EOS104" s="3"/>
      <c r="EOT104" s="3"/>
      <c r="EOU104" s="3"/>
      <c r="EOV104" s="3"/>
      <c r="EOW104" s="3"/>
      <c r="EOX104" s="3"/>
      <c r="EOY104" s="3"/>
      <c r="EOZ104" s="3"/>
      <c r="EPA104" s="3"/>
      <c r="EPB104" s="3"/>
      <c r="EPC104" s="3"/>
      <c r="EPD104" s="3"/>
      <c r="EPE104" s="3"/>
      <c r="EPF104" s="3"/>
      <c r="EPG104" s="3"/>
      <c r="EPH104" s="3"/>
      <c r="EPI104" s="3"/>
      <c r="EPJ104" s="3"/>
      <c r="EPK104" s="3"/>
      <c r="EPL104" s="3"/>
      <c r="EPM104" s="3"/>
      <c r="EPN104" s="3"/>
      <c r="EPO104" s="3"/>
      <c r="EPP104" s="3"/>
      <c r="EPQ104" s="3"/>
      <c r="EPR104" s="3"/>
      <c r="EPS104" s="3"/>
      <c r="EPT104" s="3"/>
      <c r="EPU104" s="3"/>
      <c r="EPV104" s="3"/>
      <c r="EPW104" s="3"/>
      <c r="EPX104" s="3"/>
      <c r="EPY104" s="3"/>
      <c r="EPZ104" s="3"/>
      <c r="EQA104" s="3"/>
      <c r="EQB104" s="3"/>
      <c r="EQC104" s="3"/>
      <c r="EQD104" s="3"/>
      <c r="EQE104" s="3"/>
      <c r="EQF104" s="3"/>
      <c r="EQG104" s="3"/>
      <c r="EQH104" s="3"/>
      <c r="EQI104" s="3"/>
      <c r="EQJ104" s="3"/>
      <c r="EQK104" s="3"/>
      <c r="EQL104" s="3"/>
      <c r="EQM104" s="3"/>
      <c r="EQN104" s="3"/>
      <c r="EQO104" s="3"/>
      <c r="EQP104" s="3"/>
      <c r="EQQ104" s="3"/>
      <c r="EQR104" s="3"/>
      <c r="EQS104" s="3"/>
      <c r="EQT104" s="3"/>
      <c r="EQU104" s="3"/>
      <c r="EQV104" s="3"/>
      <c r="EQW104" s="3"/>
      <c r="EQX104" s="3"/>
      <c r="EQY104" s="3"/>
      <c r="EQZ104" s="3"/>
      <c r="ERA104" s="3"/>
      <c r="ERB104" s="3"/>
      <c r="ERC104" s="3"/>
      <c r="ERD104" s="3"/>
      <c r="ERE104" s="3"/>
      <c r="ERF104" s="3"/>
      <c r="ERG104" s="3"/>
      <c r="ERH104" s="3"/>
      <c r="ERI104" s="3"/>
      <c r="ERJ104" s="3"/>
      <c r="ERK104" s="3"/>
      <c r="ERL104" s="3"/>
      <c r="ERM104" s="3"/>
      <c r="ERN104" s="3"/>
      <c r="ERO104" s="3"/>
      <c r="ERP104" s="3"/>
      <c r="ERQ104" s="3"/>
      <c r="ERR104" s="3"/>
      <c r="ERS104" s="3"/>
      <c r="ERT104" s="3"/>
      <c r="ERU104" s="3"/>
      <c r="ERV104" s="3"/>
      <c r="ERW104" s="3"/>
      <c r="ERX104" s="3"/>
      <c r="ERY104" s="3"/>
      <c r="ERZ104" s="3"/>
      <c r="ESA104" s="3"/>
      <c r="ESB104" s="3"/>
      <c r="ESC104" s="3"/>
      <c r="ESD104" s="3"/>
      <c r="ESE104" s="3"/>
      <c r="ESF104" s="3"/>
      <c r="ESG104" s="3"/>
      <c r="ESH104" s="3"/>
      <c r="ESI104" s="3"/>
      <c r="ESJ104" s="3"/>
      <c r="ESK104" s="3"/>
      <c r="ESL104" s="3"/>
      <c r="ESM104" s="3"/>
      <c r="ESN104" s="3"/>
      <c r="ESO104" s="3"/>
      <c r="ESP104" s="3"/>
      <c r="ESQ104" s="3"/>
      <c r="ESR104" s="3"/>
      <c r="ESS104" s="3"/>
      <c r="EST104" s="3"/>
      <c r="ESU104" s="3"/>
      <c r="ESV104" s="3"/>
      <c r="ESW104" s="3"/>
      <c r="ESX104" s="3"/>
      <c r="ESY104" s="3"/>
      <c r="ESZ104" s="3"/>
      <c r="ETA104" s="3"/>
      <c r="ETB104" s="3"/>
      <c r="ETC104" s="3"/>
      <c r="ETD104" s="3"/>
      <c r="ETE104" s="3"/>
      <c r="ETF104" s="3"/>
      <c r="ETG104" s="3"/>
      <c r="ETH104" s="3"/>
      <c r="ETI104" s="3"/>
      <c r="ETJ104" s="3"/>
      <c r="ETK104" s="3"/>
      <c r="ETL104" s="3"/>
      <c r="ETM104" s="3"/>
      <c r="ETN104" s="3"/>
      <c r="ETO104" s="3"/>
      <c r="ETP104" s="3"/>
      <c r="ETQ104" s="3"/>
      <c r="ETR104" s="3"/>
      <c r="ETS104" s="3"/>
      <c r="ETT104" s="3"/>
      <c r="ETU104" s="3"/>
      <c r="ETV104" s="3"/>
      <c r="ETW104" s="3"/>
      <c r="ETX104" s="3"/>
      <c r="ETY104" s="3"/>
      <c r="ETZ104" s="3"/>
      <c r="EUA104" s="3"/>
      <c r="EUB104" s="3"/>
      <c r="EUC104" s="3"/>
      <c r="EUD104" s="3"/>
      <c r="EUE104" s="3"/>
      <c r="EUF104" s="3"/>
      <c r="EUG104" s="3"/>
      <c r="EUH104" s="3"/>
      <c r="EUI104" s="3"/>
      <c r="EUJ104" s="3"/>
      <c r="EUK104" s="3"/>
      <c r="EUL104" s="3"/>
      <c r="EUM104" s="3"/>
      <c r="EUN104" s="3"/>
      <c r="EUO104" s="3"/>
      <c r="EUP104" s="3"/>
      <c r="EUQ104" s="3"/>
      <c r="EUR104" s="3"/>
      <c r="EUS104" s="3"/>
      <c r="EUT104" s="3"/>
      <c r="EUU104" s="3"/>
      <c r="EUV104" s="3"/>
      <c r="EUW104" s="3"/>
      <c r="EUX104" s="3"/>
      <c r="EUY104" s="3"/>
      <c r="EUZ104" s="3"/>
      <c r="EVA104" s="3"/>
      <c r="EVB104" s="3"/>
      <c r="EVC104" s="3"/>
      <c r="EVD104" s="3"/>
      <c r="EVE104" s="3"/>
      <c r="EVF104" s="3"/>
      <c r="EVG104" s="3"/>
      <c r="EVH104" s="3"/>
      <c r="EVI104" s="3"/>
      <c r="EVJ104" s="3"/>
      <c r="EVK104" s="3"/>
      <c r="EVL104" s="3"/>
      <c r="EVM104" s="3"/>
      <c r="EVN104" s="3"/>
      <c r="EVO104" s="3"/>
      <c r="EVP104" s="3"/>
      <c r="EVQ104" s="3"/>
      <c r="EVR104" s="3"/>
      <c r="EVS104" s="3"/>
      <c r="EVT104" s="3"/>
      <c r="EVU104" s="3"/>
      <c r="EVV104" s="3"/>
      <c r="EVW104" s="3"/>
      <c r="EVX104" s="3"/>
      <c r="EVY104" s="3"/>
      <c r="EVZ104" s="3"/>
      <c r="EWA104" s="3"/>
      <c r="EWB104" s="3"/>
      <c r="EWC104" s="3"/>
      <c r="EWD104" s="3"/>
      <c r="EWE104" s="3"/>
      <c r="EWF104" s="3"/>
      <c r="EWG104" s="3"/>
      <c r="EWH104" s="3"/>
      <c r="EWI104" s="3"/>
      <c r="EWJ104" s="3"/>
      <c r="EWK104" s="3"/>
      <c r="EWL104" s="3"/>
      <c r="EWM104" s="3"/>
      <c r="EWN104" s="3"/>
      <c r="EWO104" s="3"/>
      <c r="EWP104" s="3"/>
      <c r="EWQ104" s="3"/>
      <c r="EWR104" s="3"/>
      <c r="EWS104" s="3"/>
      <c r="EWT104" s="3"/>
      <c r="EWU104" s="3"/>
      <c r="EWV104" s="3"/>
      <c r="EWW104" s="3"/>
      <c r="EWX104" s="3"/>
      <c r="EWY104" s="3"/>
      <c r="EWZ104" s="3"/>
      <c r="EXA104" s="3"/>
      <c r="EXB104" s="3"/>
      <c r="EXC104" s="3"/>
      <c r="EXD104" s="3"/>
      <c r="EXE104" s="3"/>
      <c r="EXF104" s="3"/>
      <c r="EXG104" s="3"/>
      <c r="EXH104" s="3"/>
      <c r="EXI104" s="3"/>
      <c r="EXJ104" s="3"/>
      <c r="EXK104" s="3"/>
      <c r="EXL104" s="3"/>
      <c r="EXM104" s="3"/>
      <c r="EXN104" s="3"/>
      <c r="EXO104" s="3"/>
      <c r="EXP104" s="3"/>
      <c r="EXQ104" s="3"/>
      <c r="EXR104" s="3"/>
      <c r="EXS104" s="3"/>
      <c r="EXT104" s="3"/>
      <c r="EXU104" s="3"/>
      <c r="EXV104" s="3"/>
      <c r="EXW104" s="3"/>
      <c r="EXX104" s="3"/>
      <c r="EXY104" s="3"/>
      <c r="EXZ104" s="3"/>
      <c r="EYA104" s="3"/>
      <c r="EYB104" s="3"/>
      <c r="EYC104" s="3"/>
      <c r="EYD104" s="3"/>
      <c r="EYE104" s="3"/>
      <c r="EYF104" s="3"/>
      <c r="EYG104" s="3"/>
      <c r="EYH104" s="3"/>
      <c r="EYI104" s="3"/>
      <c r="EYJ104" s="3"/>
      <c r="EYK104" s="3"/>
      <c r="EYL104" s="3"/>
      <c r="EYM104" s="3"/>
      <c r="EYN104" s="3"/>
      <c r="EYO104" s="3"/>
      <c r="EYP104" s="3"/>
      <c r="EYQ104" s="3"/>
      <c r="EYR104" s="3"/>
      <c r="EYS104" s="3"/>
      <c r="EYT104" s="3"/>
      <c r="EYU104" s="3"/>
      <c r="EYV104" s="3"/>
      <c r="EYW104" s="3"/>
      <c r="EYX104" s="3"/>
      <c r="EYY104" s="3"/>
      <c r="EYZ104" s="3"/>
      <c r="EZA104" s="3"/>
      <c r="EZB104" s="3"/>
      <c r="EZC104" s="3"/>
      <c r="EZD104" s="3"/>
      <c r="EZE104" s="3"/>
      <c r="EZF104" s="3"/>
      <c r="EZG104" s="3"/>
      <c r="EZH104" s="3"/>
      <c r="EZI104" s="3"/>
      <c r="EZJ104" s="3"/>
      <c r="EZK104" s="3"/>
      <c r="EZL104" s="3"/>
      <c r="EZM104" s="3"/>
      <c r="EZN104" s="3"/>
      <c r="EZO104" s="3"/>
      <c r="EZP104" s="3"/>
      <c r="EZQ104" s="3"/>
      <c r="EZR104" s="3"/>
      <c r="EZS104" s="3"/>
      <c r="EZT104" s="3"/>
      <c r="EZU104" s="3"/>
      <c r="EZV104" s="3"/>
      <c r="EZW104" s="3"/>
      <c r="EZX104" s="3"/>
      <c r="EZY104" s="3"/>
      <c r="EZZ104" s="3"/>
      <c r="FAA104" s="3"/>
      <c r="FAB104" s="3"/>
      <c r="FAC104" s="3"/>
      <c r="FAD104" s="3"/>
      <c r="FAE104" s="3"/>
      <c r="FAF104" s="3"/>
      <c r="FAG104" s="3"/>
      <c r="FAH104" s="3"/>
      <c r="FAI104" s="3"/>
      <c r="FAJ104" s="3"/>
      <c r="FAK104" s="3"/>
      <c r="FAL104" s="3"/>
      <c r="FAM104" s="3"/>
      <c r="FAN104" s="3"/>
      <c r="FAO104" s="3"/>
      <c r="FAP104" s="3"/>
      <c r="FAQ104" s="3"/>
      <c r="FAR104" s="3"/>
      <c r="FAS104" s="3"/>
      <c r="FAT104" s="3"/>
      <c r="FAU104" s="3"/>
      <c r="FAV104" s="3"/>
      <c r="FAW104" s="3"/>
      <c r="FAX104" s="3"/>
      <c r="FAY104" s="3"/>
      <c r="FAZ104" s="3"/>
      <c r="FBA104" s="3"/>
      <c r="FBB104" s="3"/>
      <c r="FBC104" s="3"/>
      <c r="FBD104" s="3"/>
      <c r="FBE104" s="3"/>
      <c r="FBF104" s="3"/>
      <c r="FBG104" s="3"/>
      <c r="FBH104" s="3"/>
      <c r="FBI104" s="3"/>
      <c r="FBJ104" s="3"/>
      <c r="FBK104" s="3"/>
      <c r="FBL104" s="3"/>
      <c r="FBM104" s="3"/>
      <c r="FBN104" s="3"/>
      <c r="FBO104" s="3"/>
      <c r="FBP104" s="3"/>
      <c r="FBQ104" s="3"/>
      <c r="FBR104" s="3"/>
      <c r="FBS104" s="3"/>
      <c r="FBT104" s="3"/>
      <c r="FBU104" s="3"/>
      <c r="FBV104" s="3"/>
      <c r="FBW104" s="3"/>
      <c r="FBX104" s="3"/>
      <c r="FBY104" s="3"/>
      <c r="FBZ104" s="3"/>
      <c r="FCA104" s="3"/>
      <c r="FCB104" s="3"/>
      <c r="FCC104" s="3"/>
      <c r="FCD104" s="3"/>
      <c r="FCE104" s="3"/>
      <c r="FCF104" s="3"/>
      <c r="FCG104" s="3"/>
      <c r="FCH104" s="3"/>
      <c r="FCI104" s="3"/>
      <c r="FCJ104" s="3"/>
      <c r="FCK104" s="3"/>
      <c r="FCL104" s="3"/>
      <c r="FCM104" s="3"/>
      <c r="FCN104" s="3"/>
      <c r="FCO104" s="3"/>
      <c r="FCP104" s="3"/>
      <c r="FCQ104" s="3"/>
      <c r="FCR104" s="3"/>
      <c r="FCS104" s="3"/>
      <c r="FCT104" s="3"/>
      <c r="FCU104" s="3"/>
      <c r="FCV104" s="3"/>
      <c r="FCW104" s="3"/>
      <c r="FCX104" s="3"/>
      <c r="FCY104" s="3"/>
      <c r="FCZ104" s="3"/>
      <c r="FDA104" s="3"/>
      <c r="FDB104" s="3"/>
      <c r="FDC104" s="3"/>
      <c r="FDD104" s="3"/>
      <c r="FDE104" s="3"/>
      <c r="FDF104" s="3"/>
      <c r="FDG104" s="3"/>
      <c r="FDH104" s="3"/>
      <c r="FDI104" s="3"/>
      <c r="FDJ104" s="3"/>
      <c r="FDK104" s="3"/>
      <c r="FDL104" s="3"/>
      <c r="FDM104" s="3"/>
      <c r="FDN104" s="3"/>
      <c r="FDO104" s="3"/>
      <c r="FDP104" s="3"/>
      <c r="FDQ104" s="3"/>
      <c r="FDR104" s="3"/>
      <c r="FDS104" s="3"/>
      <c r="FDT104" s="3"/>
      <c r="FDU104" s="3"/>
      <c r="FDV104" s="3"/>
      <c r="FDW104" s="3"/>
      <c r="FDX104" s="3"/>
      <c r="FDY104" s="3"/>
      <c r="FDZ104" s="3"/>
      <c r="FEA104" s="3"/>
      <c r="FEB104" s="3"/>
      <c r="FEC104" s="3"/>
      <c r="FED104" s="3"/>
      <c r="FEE104" s="3"/>
      <c r="FEF104" s="3"/>
      <c r="FEG104" s="3"/>
      <c r="FEH104" s="3"/>
      <c r="FEI104" s="3"/>
      <c r="FEJ104" s="3"/>
      <c r="FEK104" s="3"/>
      <c r="FEL104" s="3"/>
      <c r="FEM104" s="3"/>
      <c r="FEN104" s="3"/>
      <c r="FEO104" s="3"/>
      <c r="FEP104" s="3"/>
      <c r="FEQ104" s="3"/>
      <c r="FER104" s="3"/>
      <c r="FES104" s="3"/>
      <c r="FET104" s="3"/>
      <c r="FEU104" s="3"/>
      <c r="FEV104" s="3"/>
      <c r="FEW104" s="3"/>
      <c r="FEX104" s="3"/>
      <c r="FEY104" s="3"/>
      <c r="FEZ104" s="3"/>
      <c r="FFA104" s="3"/>
      <c r="FFB104" s="3"/>
      <c r="FFC104" s="3"/>
      <c r="FFD104" s="3"/>
      <c r="FFE104" s="3"/>
      <c r="FFF104" s="3"/>
      <c r="FFG104" s="3"/>
      <c r="FFH104" s="3"/>
      <c r="FFI104" s="3"/>
      <c r="FFJ104" s="3"/>
      <c r="FFK104" s="3"/>
      <c r="FFL104" s="3"/>
      <c r="FFM104" s="3"/>
      <c r="FFN104" s="3"/>
      <c r="FFO104" s="3"/>
      <c r="FFP104" s="3"/>
      <c r="FFQ104" s="3"/>
      <c r="FFR104" s="3"/>
      <c r="FFS104" s="3"/>
      <c r="FFT104" s="3"/>
      <c r="FFU104" s="3"/>
      <c r="FFV104" s="3"/>
      <c r="FFW104" s="3"/>
      <c r="FFX104" s="3"/>
      <c r="FFY104" s="3"/>
      <c r="FFZ104" s="3"/>
      <c r="FGA104" s="3"/>
      <c r="FGB104" s="3"/>
      <c r="FGC104" s="3"/>
      <c r="FGD104" s="3"/>
      <c r="FGE104" s="3"/>
      <c r="FGF104" s="3"/>
      <c r="FGG104" s="3"/>
      <c r="FGH104" s="3"/>
      <c r="FGI104" s="3"/>
      <c r="FGJ104" s="3"/>
      <c r="FGK104" s="3"/>
      <c r="FGL104" s="3"/>
      <c r="FGM104" s="3"/>
      <c r="FGN104" s="3"/>
      <c r="FGO104" s="3"/>
      <c r="FGP104" s="3"/>
      <c r="FGQ104" s="3"/>
      <c r="FGR104" s="3"/>
      <c r="FGS104" s="3"/>
      <c r="FGT104" s="3"/>
      <c r="FGU104" s="3"/>
      <c r="FGV104" s="3"/>
      <c r="FGW104" s="3"/>
      <c r="FGX104" s="3"/>
      <c r="FGY104" s="3"/>
      <c r="FGZ104" s="3"/>
      <c r="FHA104" s="3"/>
      <c r="FHB104" s="3"/>
      <c r="FHC104" s="3"/>
      <c r="FHD104" s="3"/>
      <c r="FHE104" s="3"/>
      <c r="FHF104" s="3"/>
      <c r="FHG104" s="3"/>
      <c r="FHH104" s="3"/>
      <c r="FHI104" s="3"/>
      <c r="FHJ104" s="3"/>
      <c r="FHK104" s="3"/>
      <c r="FHL104" s="3"/>
      <c r="FHM104" s="3"/>
      <c r="FHN104" s="3"/>
      <c r="FHO104" s="3"/>
      <c r="FHP104" s="3"/>
      <c r="FHQ104" s="3"/>
      <c r="FHR104" s="3"/>
      <c r="FHS104" s="3"/>
      <c r="FHT104" s="3"/>
      <c r="FHU104" s="3"/>
      <c r="FHV104" s="3"/>
      <c r="FHW104" s="3"/>
      <c r="FHX104" s="3"/>
      <c r="FHY104" s="3"/>
      <c r="FHZ104" s="3"/>
      <c r="FIA104" s="3"/>
      <c r="FIB104" s="3"/>
      <c r="FIC104" s="3"/>
      <c r="FID104" s="3"/>
      <c r="FIE104" s="3"/>
      <c r="FIF104" s="3"/>
      <c r="FIG104" s="3"/>
      <c r="FIH104" s="3"/>
      <c r="FII104" s="3"/>
      <c r="FIJ104" s="3"/>
      <c r="FIK104" s="3"/>
      <c r="FIL104" s="3"/>
      <c r="FIM104" s="3"/>
      <c r="FIN104" s="3"/>
      <c r="FIO104" s="3"/>
      <c r="FIP104" s="3"/>
      <c r="FIQ104" s="3"/>
      <c r="FIR104" s="3"/>
      <c r="FIS104" s="3"/>
      <c r="FIT104" s="3"/>
      <c r="FIU104" s="3"/>
      <c r="FIV104" s="3"/>
      <c r="FIW104" s="3"/>
      <c r="FIX104" s="3"/>
      <c r="FIY104" s="3"/>
      <c r="FIZ104" s="3"/>
      <c r="FJA104" s="3"/>
      <c r="FJB104" s="3"/>
      <c r="FJC104" s="3"/>
      <c r="FJD104" s="3"/>
      <c r="FJE104" s="3"/>
      <c r="FJF104" s="3"/>
      <c r="FJG104" s="3"/>
      <c r="FJH104" s="3"/>
      <c r="FJI104" s="3"/>
      <c r="FJJ104" s="3"/>
      <c r="FJK104" s="3"/>
      <c r="FJL104" s="3"/>
      <c r="FJM104" s="3"/>
      <c r="FJN104" s="3"/>
      <c r="FJO104" s="3"/>
      <c r="FJP104" s="3"/>
      <c r="FJQ104" s="3"/>
      <c r="FJR104" s="3"/>
      <c r="FJS104" s="3"/>
      <c r="FJT104" s="3"/>
      <c r="FJU104" s="3"/>
      <c r="FJV104" s="3"/>
      <c r="FJW104" s="3"/>
      <c r="FJX104" s="3"/>
      <c r="FJY104" s="3"/>
      <c r="FJZ104" s="3"/>
      <c r="FKA104" s="3"/>
      <c r="FKB104" s="3"/>
      <c r="FKC104" s="3"/>
      <c r="FKD104" s="3"/>
      <c r="FKE104" s="3"/>
      <c r="FKF104" s="3"/>
      <c r="FKG104" s="3"/>
      <c r="FKH104" s="3"/>
      <c r="FKI104" s="3"/>
      <c r="FKJ104" s="3"/>
      <c r="FKK104" s="3"/>
      <c r="FKL104" s="3"/>
      <c r="FKM104" s="3"/>
      <c r="FKN104" s="3"/>
      <c r="FKO104" s="3"/>
      <c r="FKP104" s="3"/>
      <c r="FKQ104" s="3"/>
      <c r="FKR104" s="3"/>
      <c r="FKS104" s="3"/>
      <c r="FKT104" s="3"/>
      <c r="FKU104" s="3"/>
      <c r="FKV104" s="3"/>
      <c r="FKW104" s="3"/>
      <c r="FKX104" s="3"/>
      <c r="FKY104" s="3"/>
      <c r="FKZ104" s="3"/>
      <c r="FLA104" s="3"/>
      <c r="FLB104" s="3"/>
      <c r="FLC104" s="3"/>
      <c r="FLD104" s="3"/>
      <c r="FLE104" s="3"/>
      <c r="FLF104" s="3"/>
      <c r="FLG104" s="3"/>
      <c r="FLH104" s="3"/>
      <c r="FLI104" s="3"/>
      <c r="FLJ104" s="3"/>
      <c r="FLK104" s="3"/>
      <c r="FLL104" s="3"/>
      <c r="FLM104" s="3"/>
      <c r="FLN104" s="3"/>
      <c r="FLO104" s="3"/>
      <c r="FLP104" s="3"/>
      <c r="FLQ104" s="3"/>
      <c r="FLR104" s="3"/>
      <c r="FLS104" s="3"/>
      <c r="FLT104" s="3"/>
      <c r="FLU104" s="3"/>
      <c r="FLV104" s="3"/>
      <c r="FLW104" s="3"/>
      <c r="FLX104" s="3"/>
      <c r="FLY104" s="3"/>
      <c r="FLZ104" s="3"/>
      <c r="FMA104" s="3"/>
      <c r="FMB104" s="3"/>
      <c r="FMC104" s="3"/>
      <c r="FMD104" s="3"/>
      <c r="FME104" s="3"/>
      <c r="FMF104" s="3"/>
      <c r="FMG104" s="3"/>
      <c r="FMH104" s="3"/>
      <c r="FMI104" s="3"/>
      <c r="FMJ104" s="3"/>
      <c r="FMK104" s="3"/>
      <c r="FML104" s="3"/>
      <c r="FMM104" s="3"/>
      <c r="FMN104" s="3"/>
      <c r="FMO104" s="3"/>
      <c r="FMP104" s="3"/>
      <c r="FMQ104" s="3"/>
      <c r="FMR104" s="3"/>
      <c r="FMS104" s="3"/>
      <c r="FMT104" s="3"/>
      <c r="FMU104" s="3"/>
      <c r="FMV104" s="3"/>
      <c r="FMW104" s="3"/>
      <c r="FMX104" s="3"/>
      <c r="FMY104" s="3"/>
      <c r="FMZ104" s="3"/>
      <c r="FNA104" s="3"/>
      <c r="FNB104" s="3"/>
      <c r="FNC104" s="3"/>
      <c r="FND104" s="3"/>
      <c r="FNE104" s="3"/>
      <c r="FNF104" s="3"/>
      <c r="FNG104" s="3"/>
      <c r="FNH104" s="3"/>
      <c r="FNI104" s="3"/>
      <c r="FNJ104" s="3"/>
      <c r="FNK104" s="3"/>
      <c r="FNL104" s="3"/>
      <c r="FNM104" s="3"/>
      <c r="FNN104" s="3"/>
      <c r="FNO104" s="3"/>
      <c r="FNP104" s="3"/>
      <c r="FNQ104" s="3"/>
      <c r="FNR104" s="3"/>
      <c r="FNS104" s="3"/>
      <c r="FNT104" s="3"/>
      <c r="FNU104" s="3"/>
      <c r="FNV104" s="3"/>
      <c r="FNW104" s="3"/>
      <c r="FNX104" s="3"/>
      <c r="FNY104" s="3"/>
      <c r="FNZ104" s="3"/>
      <c r="FOA104" s="3"/>
      <c r="FOB104" s="3"/>
      <c r="FOC104" s="3"/>
      <c r="FOD104" s="3"/>
      <c r="FOE104" s="3"/>
      <c r="FOF104" s="3"/>
      <c r="FOG104" s="3"/>
      <c r="FOH104" s="3"/>
      <c r="FOI104" s="3"/>
      <c r="FOJ104" s="3"/>
      <c r="FOK104" s="3"/>
      <c r="FOL104" s="3"/>
      <c r="FOM104" s="3"/>
      <c r="FON104" s="3"/>
      <c r="FOO104" s="3"/>
      <c r="FOP104" s="3"/>
      <c r="FOQ104" s="3"/>
      <c r="FOR104" s="3"/>
      <c r="FOS104" s="3"/>
      <c r="FOT104" s="3"/>
      <c r="FOU104" s="3"/>
      <c r="FOV104" s="3"/>
      <c r="FOW104" s="3"/>
      <c r="FOX104" s="3"/>
      <c r="FOY104" s="3"/>
      <c r="FOZ104" s="3"/>
      <c r="FPA104" s="3"/>
      <c r="FPB104" s="3"/>
      <c r="FPC104" s="3"/>
      <c r="FPD104" s="3"/>
      <c r="FPE104" s="3"/>
      <c r="FPF104" s="3"/>
      <c r="FPG104" s="3"/>
      <c r="FPH104" s="3"/>
      <c r="FPI104" s="3"/>
      <c r="FPJ104" s="3"/>
      <c r="FPK104" s="3"/>
      <c r="FPL104" s="3"/>
      <c r="FPM104" s="3"/>
      <c r="FPN104" s="3"/>
      <c r="FPO104" s="3"/>
      <c r="FPP104" s="3"/>
      <c r="FPQ104" s="3"/>
      <c r="FPR104" s="3"/>
      <c r="FPS104" s="3"/>
      <c r="FPT104" s="3"/>
      <c r="FPU104" s="3"/>
      <c r="FPV104" s="3"/>
      <c r="FPW104" s="3"/>
      <c r="FPX104" s="3"/>
      <c r="FPY104" s="3"/>
      <c r="FPZ104" s="3"/>
      <c r="FQA104" s="3"/>
      <c r="FQB104" s="3"/>
      <c r="FQC104" s="3"/>
      <c r="FQD104" s="3"/>
      <c r="FQE104" s="3"/>
      <c r="FQF104" s="3"/>
      <c r="FQG104" s="3"/>
      <c r="FQH104" s="3"/>
      <c r="FQI104" s="3"/>
      <c r="FQJ104" s="3"/>
      <c r="FQK104" s="3"/>
      <c r="FQL104" s="3"/>
      <c r="FQM104" s="3"/>
      <c r="FQN104" s="3"/>
      <c r="FQO104" s="3"/>
      <c r="FQP104" s="3"/>
      <c r="FQQ104" s="3"/>
      <c r="FQR104" s="3"/>
      <c r="FQS104" s="3"/>
      <c r="FQT104" s="3"/>
      <c r="FQU104" s="3"/>
      <c r="FQV104" s="3"/>
      <c r="FQW104" s="3"/>
      <c r="FQX104" s="3"/>
      <c r="FQY104" s="3"/>
      <c r="FQZ104" s="3"/>
      <c r="FRA104" s="3"/>
      <c r="FRB104" s="3"/>
      <c r="FRC104" s="3"/>
      <c r="FRD104" s="3"/>
      <c r="FRE104" s="3"/>
      <c r="FRF104" s="3"/>
      <c r="FRG104" s="3"/>
      <c r="FRH104" s="3"/>
      <c r="FRI104" s="3"/>
      <c r="FRJ104" s="3"/>
      <c r="FRK104" s="3"/>
      <c r="FRL104" s="3"/>
      <c r="FRM104" s="3"/>
      <c r="FRN104" s="3"/>
      <c r="FRO104" s="3"/>
      <c r="FRP104" s="3"/>
      <c r="FRQ104" s="3"/>
      <c r="FRR104" s="3"/>
      <c r="FRS104" s="3"/>
      <c r="FRT104" s="3"/>
      <c r="FRU104" s="3"/>
      <c r="FRV104" s="3"/>
      <c r="FRW104" s="3"/>
      <c r="FRX104" s="3"/>
      <c r="FRY104" s="3"/>
      <c r="FRZ104" s="3"/>
      <c r="FSA104" s="3"/>
      <c r="FSB104" s="3"/>
      <c r="FSC104" s="3"/>
      <c r="FSD104" s="3"/>
      <c r="FSE104" s="3"/>
      <c r="FSF104" s="3"/>
      <c r="FSG104" s="3"/>
      <c r="FSH104" s="3"/>
      <c r="FSI104" s="3"/>
      <c r="FSJ104" s="3"/>
      <c r="FSK104" s="3"/>
      <c r="FSL104" s="3"/>
      <c r="FSM104" s="3"/>
      <c r="FSN104" s="3"/>
      <c r="FSO104" s="3"/>
      <c r="FSP104" s="3"/>
      <c r="FSQ104" s="3"/>
      <c r="FSR104" s="3"/>
      <c r="FSS104" s="3"/>
      <c r="FST104" s="3"/>
      <c r="FSU104" s="3"/>
      <c r="FSV104" s="3"/>
      <c r="FSW104" s="3"/>
      <c r="FSX104" s="3"/>
      <c r="FSY104" s="3"/>
      <c r="FSZ104" s="3"/>
      <c r="FTA104" s="3"/>
      <c r="FTB104" s="3"/>
      <c r="FTC104" s="3"/>
      <c r="FTD104" s="3"/>
      <c r="FTE104" s="3"/>
      <c r="FTF104" s="3"/>
      <c r="FTG104" s="3"/>
      <c r="FTH104" s="3"/>
      <c r="FTI104" s="3"/>
      <c r="FTJ104" s="3"/>
      <c r="FTK104" s="3"/>
      <c r="FTL104" s="3"/>
      <c r="FTM104" s="3"/>
      <c r="FTN104" s="3"/>
      <c r="FTO104" s="3"/>
      <c r="FTP104" s="3"/>
      <c r="FTQ104" s="3"/>
      <c r="FTR104" s="3"/>
      <c r="FTS104" s="3"/>
      <c r="FTT104" s="3"/>
      <c r="FTU104" s="3"/>
      <c r="FTV104" s="3"/>
      <c r="FTW104" s="3"/>
      <c r="FTX104" s="3"/>
      <c r="FTY104" s="3"/>
      <c r="FTZ104" s="3"/>
      <c r="FUA104" s="3"/>
      <c r="FUB104" s="3"/>
      <c r="FUC104" s="3"/>
      <c r="FUD104" s="3"/>
      <c r="FUE104" s="3"/>
      <c r="FUF104" s="3"/>
      <c r="FUG104" s="3"/>
      <c r="FUH104" s="3"/>
      <c r="FUI104" s="3"/>
      <c r="FUJ104" s="3"/>
      <c r="FUK104" s="3"/>
      <c r="FUL104" s="3"/>
      <c r="FUM104" s="3"/>
      <c r="FUN104" s="3"/>
      <c r="FUO104" s="3"/>
      <c r="FUP104" s="3"/>
      <c r="FUQ104" s="3"/>
      <c r="FUR104" s="3"/>
      <c r="FUS104" s="3"/>
      <c r="FUT104" s="3"/>
      <c r="FUU104" s="3"/>
      <c r="FUV104" s="3"/>
      <c r="FUW104" s="3"/>
      <c r="FUX104" s="3"/>
      <c r="FUY104" s="3"/>
      <c r="FUZ104" s="3"/>
      <c r="FVA104" s="3"/>
      <c r="FVB104" s="3"/>
      <c r="FVC104" s="3"/>
      <c r="FVD104" s="3"/>
      <c r="FVE104" s="3"/>
      <c r="FVF104" s="3"/>
      <c r="FVG104" s="3"/>
      <c r="FVH104" s="3"/>
      <c r="FVI104" s="3"/>
      <c r="FVJ104" s="3"/>
      <c r="FVK104" s="3"/>
      <c r="FVL104" s="3"/>
      <c r="FVM104" s="3"/>
      <c r="FVN104" s="3"/>
      <c r="FVO104" s="3"/>
      <c r="FVP104" s="3"/>
      <c r="FVQ104" s="3"/>
      <c r="FVR104" s="3"/>
      <c r="FVS104" s="3"/>
      <c r="FVT104" s="3"/>
      <c r="FVU104" s="3"/>
      <c r="FVV104" s="3"/>
      <c r="FVW104" s="3"/>
      <c r="FVX104" s="3"/>
      <c r="FVY104" s="3"/>
      <c r="FVZ104" s="3"/>
      <c r="FWA104" s="3"/>
      <c r="FWB104" s="3"/>
      <c r="FWC104" s="3"/>
      <c r="FWD104" s="3"/>
      <c r="FWE104" s="3"/>
      <c r="FWF104" s="3"/>
      <c r="FWG104" s="3"/>
      <c r="FWH104" s="3"/>
      <c r="FWI104" s="3"/>
      <c r="FWJ104" s="3"/>
      <c r="FWK104" s="3"/>
      <c r="FWL104" s="3"/>
      <c r="FWM104" s="3"/>
      <c r="FWN104" s="3"/>
      <c r="FWO104" s="3"/>
      <c r="FWP104" s="3"/>
      <c r="FWQ104" s="3"/>
      <c r="FWR104" s="3"/>
      <c r="FWS104" s="3"/>
      <c r="FWT104" s="3"/>
      <c r="FWU104" s="3"/>
      <c r="FWV104" s="3"/>
      <c r="FWW104" s="3"/>
      <c r="FWX104" s="3"/>
      <c r="FWY104" s="3"/>
      <c r="FWZ104" s="3"/>
      <c r="FXA104" s="3"/>
      <c r="FXB104" s="3"/>
      <c r="FXC104" s="3"/>
      <c r="FXD104" s="3"/>
      <c r="FXE104" s="3"/>
      <c r="FXF104" s="3"/>
      <c r="FXG104" s="3"/>
      <c r="FXH104" s="3"/>
      <c r="FXI104" s="3"/>
      <c r="FXJ104" s="3"/>
      <c r="FXK104" s="3"/>
      <c r="FXL104" s="3"/>
      <c r="FXM104" s="3"/>
      <c r="FXN104" s="3"/>
      <c r="FXO104" s="3"/>
      <c r="FXP104" s="3"/>
      <c r="FXQ104" s="3"/>
      <c r="FXR104" s="3"/>
      <c r="FXS104" s="3"/>
      <c r="FXT104" s="3"/>
      <c r="FXU104" s="3"/>
      <c r="FXV104" s="3"/>
      <c r="FXW104" s="3"/>
      <c r="FXX104" s="3"/>
      <c r="FXY104" s="3"/>
      <c r="FXZ104" s="3"/>
      <c r="FYA104" s="3"/>
      <c r="FYB104" s="3"/>
      <c r="FYC104" s="3"/>
      <c r="FYD104" s="3"/>
      <c r="FYE104" s="3"/>
      <c r="FYF104" s="3"/>
      <c r="FYG104" s="3"/>
      <c r="FYH104" s="3"/>
      <c r="FYI104" s="3"/>
      <c r="FYJ104" s="3"/>
      <c r="FYK104" s="3"/>
      <c r="FYL104" s="3"/>
      <c r="FYM104" s="3"/>
      <c r="FYN104" s="3"/>
      <c r="FYO104" s="3"/>
      <c r="FYP104" s="3"/>
      <c r="FYQ104" s="3"/>
      <c r="FYR104" s="3"/>
      <c r="FYS104" s="3"/>
      <c r="FYT104" s="3"/>
      <c r="FYU104" s="3"/>
      <c r="FYV104" s="3"/>
      <c r="FYW104" s="3"/>
      <c r="FYX104" s="3"/>
      <c r="FYY104" s="3"/>
      <c r="FYZ104" s="3"/>
      <c r="FZA104" s="3"/>
      <c r="FZB104" s="3"/>
      <c r="FZC104" s="3"/>
      <c r="FZD104" s="3"/>
      <c r="FZE104" s="3"/>
      <c r="FZF104" s="3"/>
      <c r="FZG104" s="3"/>
      <c r="FZH104" s="3"/>
      <c r="FZI104" s="3"/>
      <c r="FZJ104" s="3"/>
      <c r="FZK104" s="3"/>
      <c r="FZL104" s="3"/>
      <c r="FZM104" s="3"/>
      <c r="FZN104" s="3"/>
      <c r="FZO104" s="3"/>
      <c r="FZP104" s="3"/>
      <c r="FZQ104" s="3"/>
      <c r="FZR104" s="3"/>
      <c r="FZS104" s="3"/>
      <c r="FZT104" s="3"/>
      <c r="FZU104" s="3"/>
      <c r="FZV104" s="3"/>
      <c r="FZW104" s="3"/>
      <c r="FZX104" s="3"/>
      <c r="FZY104" s="3"/>
      <c r="FZZ104" s="3"/>
      <c r="GAA104" s="3"/>
      <c r="GAB104" s="3"/>
      <c r="GAC104" s="3"/>
      <c r="GAD104" s="3"/>
      <c r="GAE104" s="3"/>
      <c r="GAF104" s="3"/>
      <c r="GAG104" s="3"/>
      <c r="GAH104" s="3"/>
      <c r="GAI104" s="3"/>
      <c r="GAJ104" s="3"/>
      <c r="GAK104" s="3"/>
      <c r="GAL104" s="3"/>
      <c r="GAM104" s="3"/>
      <c r="GAN104" s="3"/>
      <c r="GAO104" s="3"/>
      <c r="GAP104" s="3"/>
      <c r="GAQ104" s="3"/>
      <c r="GAR104" s="3"/>
      <c r="GAS104" s="3"/>
      <c r="GAT104" s="3"/>
      <c r="GAU104" s="3"/>
      <c r="GAV104" s="3"/>
      <c r="GAW104" s="3"/>
      <c r="GAX104" s="3"/>
      <c r="GAY104" s="3"/>
      <c r="GAZ104" s="3"/>
      <c r="GBA104" s="3"/>
      <c r="GBB104" s="3"/>
      <c r="GBC104" s="3"/>
      <c r="GBD104" s="3"/>
      <c r="GBE104" s="3"/>
      <c r="GBF104" s="3"/>
      <c r="GBG104" s="3"/>
      <c r="GBH104" s="3"/>
      <c r="GBI104" s="3"/>
      <c r="GBJ104" s="3"/>
      <c r="GBK104" s="3"/>
      <c r="GBL104" s="3"/>
      <c r="GBM104" s="3"/>
      <c r="GBN104" s="3"/>
      <c r="GBO104" s="3"/>
      <c r="GBP104" s="3"/>
      <c r="GBQ104" s="3"/>
      <c r="GBR104" s="3"/>
      <c r="GBS104" s="3"/>
      <c r="GBT104" s="3"/>
      <c r="GBU104" s="3"/>
      <c r="GBV104" s="3"/>
      <c r="GBW104" s="3"/>
      <c r="GBX104" s="3"/>
      <c r="GBY104" s="3"/>
      <c r="GBZ104" s="3"/>
      <c r="GCA104" s="3"/>
      <c r="GCB104" s="3"/>
      <c r="GCC104" s="3"/>
      <c r="GCD104" s="3"/>
      <c r="GCE104" s="3"/>
      <c r="GCF104" s="3"/>
      <c r="GCG104" s="3"/>
      <c r="GCH104" s="3"/>
      <c r="GCI104" s="3"/>
      <c r="GCJ104" s="3"/>
      <c r="GCK104" s="3"/>
      <c r="GCL104" s="3"/>
      <c r="GCM104" s="3"/>
      <c r="GCN104" s="3"/>
      <c r="GCO104" s="3"/>
      <c r="GCP104" s="3"/>
      <c r="GCQ104" s="3"/>
      <c r="GCR104" s="3"/>
      <c r="GCS104" s="3"/>
      <c r="GCT104" s="3"/>
      <c r="GCU104" s="3"/>
      <c r="GCV104" s="3"/>
      <c r="GCW104" s="3"/>
      <c r="GCX104" s="3"/>
      <c r="GCY104" s="3"/>
      <c r="GCZ104" s="3"/>
      <c r="GDA104" s="3"/>
      <c r="GDB104" s="3"/>
      <c r="GDC104" s="3"/>
      <c r="GDD104" s="3"/>
      <c r="GDE104" s="3"/>
      <c r="GDF104" s="3"/>
      <c r="GDG104" s="3"/>
      <c r="GDH104" s="3"/>
      <c r="GDI104" s="3"/>
      <c r="GDJ104" s="3"/>
      <c r="GDK104" s="3"/>
      <c r="GDL104" s="3"/>
      <c r="GDM104" s="3"/>
      <c r="GDN104" s="3"/>
      <c r="GDO104" s="3"/>
      <c r="GDP104" s="3"/>
      <c r="GDQ104" s="3"/>
      <c r="GDR104" s="3"/>
      <c r="GDS104" s="3"/>
      <c r="GDT104" s="3"/>
      <c r="GDU104" s="3"/>
      <c r="GDV104" s="3"/>
      <c r="GDW104" s="3"/>
      <c r="GDX104" s="3"/>
      <c r="GDY104" s="3"/>
      <c r="GDZ104" s="3"/>
      <c r="GEA104" s="3"/>
      <c r="GEB104" s="3"/>
      <c r="GEC104" s="3"/>
      <c r="GED104" s="3"/>
      <c r="GEE104" s="3"/>
      <c r="GEF104" s="3"/>
      <c r="GEG104" s="3"/>
      <c r="GEH104" s="3"/>
      <c r="GEI104" s="3"/>
      <c r="GEJ104" s="3"/>
      <c r="GEK104" s="3"/>
      <c r="GEL104" s="3"/>
      <c r="GEM104" s="3"/>
      <c r="GEN104" s="3"/>
      <c r="GEO104" s="3"/>
      <c r="GEP104" s="3"/>
      <c r="GEQ104" s="3"/>
      <c r="GER104" s="3"/>
      <c r="GES104" s="3"/>
      <c r="GET104" s="3"/>
      <c r="GEU104" s="3"/>
      <c r="GEV104" s="3"/>
      <c r="GEW104" s="3"/>
      <c r="GEX104" s="3"/>
      <c r="GEY104" s="3"/>
      <c r="GEZ104" s="3"/>
      <c r="GFA104" s="3"/>
      <c r="GFB104" s="3"/>
      <c r="GFC104" s="3"/>
      <c r="GFD104" s="3"/>
      <c r="GFE104" s="3"/>
      <c r="GFF104" s="3"/>
      <c r="GFG104" s="3"/>
      <c r="GFH104" s="3"/>
      <c r="GFI104" s="3"/>
      <c r="GFJ104" s="3"/>
      <c r="GFK104" s="3"/>
      <c r="GFL104" s="3"/>
      <c r="GFM104" s="3"/>
      <c r="GFN104" s="3"/>
      <c r="GFO104" s="3"/>
      <c r="GFP104" s="3"/>
      <c r="GFQ104" s="3"/>
      <c r="GFR104" s="3"/>
      <c r="GFS104" s="3"/>
      <c r="GFT104" s="3"/>
      <c r="GFU104" s="3"/>
      <c r="GFV104" s="3"/>
      <c r="GFW104" s="3"/>
      <c r="GFX104" s="3"/>
      <c r="GFY104" s="3"/>
      <c r="GFZ104" s="3"/>
      <c r="GGA104" s="3"/>
      <c r="GGB104" s="3"/>
      <c r="GGC104" s="3"/>
      <c r="GGD104" s="3"/>
      <c r="GGE104" s="3"/>
      <c r="GGF104" s="3"/>
      <c r="GGG104" s="3"/>
      <c r="GGH104" s="3"/>
      <c r="GGI104" s="3"/>
      <c r="GGJ104" s="3"/>
      <c r="GGK104" s="3"/>
      <c r="GGL104" s="3"/>
      <c r="GGM104" s="3"/>
      <c r="GGN104" s="3"/>
      <c r="GGO104" s="3"/>
      <c r="GGP104" s="3"/>
      <c r="GGQ104" s="3"/>
      <c r="GGR104" s="3"/>
      <c r="GGS104" s="3"/>
      <c r="GGT104" s="3"/>
      <c r="GGU104" s="3"/>
      <c r="GGV104" s="3"/>
      <c r="GGW104" s="3"/>
      <c r="GGX104" s="3"/>
      <c r="GGY104" s="3"/>
      <c r="GGZ104" s="3"/>
      <c r="GHA104" s="3"/>
      <c r="GHB104" s="3"/>
      <c r="GHC104" s="3"/>
      <c r="GHD104" s="3"/>
      <c r="GHE104" s="3"/>
      <c r="GHF104" s="3"/>
      <c r="GHG104" s="3"/>
      <c r="GHH104" s="3"/>
      <c r="GHI104" s="3"/>
      <c r="GHJ104" s="3"/>
      <c r="GHK104" s="3"/>
      <c r="GHL104" s="3"/>
      <c r="GHM104" s="3"/>
      <c r="GHN104" s="3"/>
      <c r="GHO104" s="3"/>
      <c r="GHP104" s="3"/>
      <c r="GHQ104" s="3"/>
      <c r="GHR104" s="3"/>
      <c r="GHS104" s="3"/>
      <c r="GHT104" s="3"/>
      <c r="GHU104" s="3"/>
      <c r="GHV104" s="3"/>
      <c r="GHW104" s="3"/>
      <c r="GHX104" s="3"/>
      <c r="GHY104" s="3"/>
      <c r="GHZ104" s="3"/>
      <c r="GIA104" s="3"/>
      <c r="GIB104" s="3"/>
      <c r="GIC104" s="3"/>
      <c r="GID104" s="3"/>
      <c r="GIE104" s="3"/>
      <c r="GIF104" s="3"/>
      <c r="GIG104" s="3"/>
      <c r="GIH104" s="3"/>
      <c r="GII104" s="3"/>
      <c r="GIJ104" s="3"/>
      <c r="GIK104" s="3"/>
      <c r="GIL104" s="3"/>
      <c r="GIM104" s="3"/>
      <c r="GIN104" s="3"/>
      <c r="GIO104" s="3"/>
      <c r="GIP104" s="3"/>
      <c r="GIQ104" s="3"/>
      <c r="GIR104" s="3"/>
      <c r="GIS104" s="3"/>
      <c r="GIT104" s="3"/>
      <c r="GIU104" s="3"/>
      <c r="GIV104" s="3"/>
      <c r="GIW104" s="3"/>
      <c r="GIX104" s="3"/>
      <c r="GIY104" s="3"/>
      <c r="GIZ104" s="3"/>
      <c r="GJA104" s="3"/>
      <c r="GJB104" s="3"/>
      <c r="GJC104" s="3"/>
      <c r="GJD104" s="3"/>
      <c r="GJE104" s="3"/>
      <c r="GJF104" s="3"/>
      <c r="GJG104" s="3"/>
      <c r="GJH104" s="3"/>
      <c r="GJI104" s="3"/>
      <c r="GJJ104" s="3"/>
      <c r="GJK104" s="3"/>
      <c r="GJL104" s="3"/>
      <c r="GJM104" s="3"/>
      <c r="GJN104" s="3"/>
      <c r="GJO104" s="3"/>
      <c r="GJP104" s="3"/>
      <c r="GJQ104" s="3"/>
      <c r="GJR104" s="3"/>
      <c r="GJS104" s="3"/>
      <c r="GJT104" s="3"/>
      <c r="GJU104" s="3"/>
      <c r="GJV104" s="3"/>
      <c r="GJW104" s="3"/>
      <c r="GJX104" s="3"/>
      <c r="GJY104" s="3"/>
      <c r="GJZ104" s="3"/>
      <c r="GKA104" s="3"/>
      <c r="GKB104" s="3"/>
      <c r="GKC104" s="3"/>
      <c r="GKD104" s="3"/>
      <c r="GKE104" s="3"/>
      <c r="GKF104" s="3"/>
      <c r="GKG104" s="3"/>
      <c r="GKH104" s="3"/>
      <c r="GKI104" s="3"/>
      <c r="GKJ104" s="3"/>
      <c r="GKK104" s="3"/>
      <c r="GKL104" s="3"/>
      <c r="GKM104" s="3"/>
      <c r="GKN104" s="3"/>
      <c r="GKO104" s="3"/>
      <c r="GKP104" s="3"/>
      <c r="GKQ104" s="3"/>
      <c r="GKR104" s="3"/>
      <c r="GKS104" s="3"/>
      <c r="GKT104" s="3"/>
      <c r="GKU104" s="3"/>
      <c r="GKV104" s="3"/>
      <c r="GKW104" s="3"/>
      <c r="GKX104" s="3"/>
      <c r="GKY104" s="3"/>
      <c r="GKZ104" s="3"/>
      <c r="GLA104" s="3"/>
      <c r="GLB104" s="3"/>
      <c r="GLC104" s="3"/>
      <c r="GLD104" s="3"/>
      <c r="GLE104" s="3"/>
      <c r="GLF104" s="3"/>
      <c r="GLG104" s="3"/>
      <c r="GLH104" s="3"/>
      <c r="GLI104" s="3"/>
      <c r="GLJ104" s="3"/>
      <c r="GLK104" s="3"/>
      <c r="GLL104" s="3"/>
      <c r="GLM104" s="3"/>
      <c r="GLN104" s="3"/>
      <c r="GLO104" s="3"/>
      <c r="GLP104" s="3"/>
      <c r="GLQ104" s="3"/>
      <c r="GLR104" s="3"/>
      <c r="GLS104" s="3"/>
      <c r="GLT104" s="3"/>
      <c r="GLU104" s="3"/>
      <c r="GLV104" s="3"/>
      <c r="GLW104" s="3"/>
      <c r="GLX104" s="3"/>
      <c r="GLY104" s="3"/>
      <c r="GLZ104" s="3"/>
      <c r="GMA104" s="3"/>
      <c r="GMB104" s="3"/>
      <c r="GMC104" s="3"/>
      <c r="GMD104" s="3"/>
      <c r="GME104" s="3"/>
      <c r="GMF104" s="3"/>
      <c r="GMG104" s="3"/>
      <c r="GMH104" s="3"/>
      <c r="GMI104" s="3"/>
      <c r="GMJ104" s="3"/>
      <c r="GMK104" s="3"/>
      <c r="GML104" s="3"/>
      <c r="GMM104" s="3"/>
      <c r="GMN104" s="3"/>
      <c r="GMO104" s="3"/>
      <c r="GMP104" s="3"/>
      <c r="GMQ104" s="3"/>
      <c r="GMR104" s="3"/>
      <c r="GMS104" s="3"/>
      <c r="GMT104" s="3"/>
      <c r="GMU104" s="3"/>
      <c r="GMV104" s="3"/>
      <c r="GMW104" s="3"/>
      <c r="GMX104" s="3"/>
      <c r="GMY104" s="3"/>
      <c r="GMZ104" s="3"/>
      <c r="GNA104" s="3"/>
      <c r="GNB104" s="3"/>
      <c r="GNC104" s="3"/>
      <c r="GND104" s="3"/>
      <c r="GNE104" s="3"/>
      <c r="GNF104" s="3"/>
      <c r="GNG104" s="3"/>
      <c r="GNH104" s="3"/>
      <c r="GNI104" s="3"/>
      <c r="GNJ104" s="3"/>
      <c r="GNK104" s="3"/>
      <c r="GNL104" s="3"/>
      <c r="GNM104" s="3"/>
      <c r="GNN104" s="3"/>
      <c r="GNO104" s="3"/>
      <c r="GNP104" s="3"/>
      <c r="GNQ104" s="3"/>
      <c r="GNR104" s="3"/>
      <c r="GNS104" s="3"/>
      <c r="GNT104" s="3"/>
      <c r="GNU104" s="3"/>
      <c r="GNV104" s="3"/>
      <c r="GNW104" s="3"/>
      <c r="GNX104" s="3"/>
      <c r="GNY104" s="3"/>
      <c r="GNZ104" s="3"/>
      <c r="GOA104" s="3"/>
      <c r="GOB104" s="3"/>
      <c r="GOC104" s="3"/>
      <c r="GOD104" s="3"/>
      <c r="GOE104" s="3"/>
      <c r="GOF104" s="3"/>
      <c r="GOG104" s="3"/>
      <c r="GOH104" s="3"/>
      <c r="GOI104" s="3"/>
      <c r="GOJ104" s="3"/>
      <c r="GOK104" s="3"/>
      <c r="GOL104" s="3"/>
      <c r="GOM104" s="3"/>
      <c r="GON104" s="3"/>
      <c r="GOO104" s="3"/>
      <c r="GOP104" s="3"/>
      <c r="GOQ104" s="3"/>
      <c r="GOR104" s="3"/>
      <c r="GOS104" s="3"/>
      <c r="GOT104" s="3"/>
      <c r="GOU104" s="3"/>
      <c r="GOV104" s="3"/>
      <c r="GOW104" s="3"/>
      <c r="GOX104" s="3"/>
      <c r="GOY104" s="3"/>
      <c r="GOZ104" s="3"/>
      <c r="GPA104" s="3"/>
      <c r="GPB104" s="3"/>
      <c r="GPC104" s="3"/>
      <c r="GPD104" s="3"/>
      <c r="GPE104" s="3"/>
      <c r="GPF104" s="3"/>
      <c r="GPG104" s="3"/>
      <c r="GPH104" s="3"/>
      <c r="GPI104" s="3"/>
      <c r="GPJ104" s="3"/>
      <c r="GPK104" s="3"/>
      <c r="GPL104" s="3"/>
      <c r="GPM104" s="3"/>
      <c r="GPN104" s="3"/>
      <c r="GPO104" s="3"/>
      <c r="GPP104" s="3"/>
      <c r="GPQ104" s="3"/>
      <c r="GPR104" s="3"/>
      <c r="GPS104" s="3"/>
      <c r="GPT104" s="3"/>
      <c r="GPU104" s="3"/>
      <c r="GPV104" s="3"/>
      <c r="GPW104" s="3"/>
      <c r="GPX104" s="3"/>
      <c r="GPY104" s="3"/>
      <c r="GPZ104" s="3"/>
      <c r="GQA104" s="3"/>
      <c r="GQB104" s="3"/>
      <c r="GQC104" s="3"/>
      <c r="GQD104" s="3"/>
      <c r="GQE104" s="3"/>
      <c r="GQF104" s="3"/>
      <c r="GQG104" s="3"/>
      <c r="GQH104" s="3"/>
      <c r="GQI104" s="3"/>
      <c r="GQJ104" s="3"/>
      <c r="GQK104" s="3"/>
      <c r="GQL104" s="3"/>
      <c r="GQM104" s="3"/>
      <c r="GQN104" s="3"/>
      <c r="GQO104" s="3"/>
      <c r="GQP104" s="3"/>
      <c r="GQQ104" s="3"/>
      <c r="GQR104" s="3"/>
      <c r="GQS104" s="3"/>
      <c r="GQT104" s="3"/>
      <c r="GQU104" s="3"/>
      <c r="GQV104" s="3"/>
      <c r="GQW104" s="3"/>
      <c r="GQX104" s="3"/>
      <c r="GQY104" s="3"/>
      <c r="GQZ104" s="3"/>
      <c r="GRA104" s="3"/>
      <c r="GRB104" s="3"/>
      <c r="GRC104" s="3"/>
      <c r="GRD104" s="3"/>
      <c r="GRE104" s="3"/>
      <c r="GRF104" s="3"/>
      <c r="GRG104" s="3"/>
      <c r="GRH104" s="3"/>
      <c r="GRI104" s="3"/>
      <c r="GRJ104" s="3"/>
      <c r="GRK104" s="3"/>
      <c r="GRL104" s="3"/>
      <c r="GRM104" s="3"/>
      <c r="GRN104" s="3"/>
      <c r="GRO104" s="3"/>
      <c r="GRP104" s="3"/>
      <c r="GRQ104" s="3"/>
      <c r="GRR104" s="3"/>
      <c r="GRS104" s="3"/>
      <c r="GRT104" s="3"/>
      <c r="GRU104" s="3"/>
      <c r="GRV104" s="3"/>
      <c r="GRW104" s="3"/>
      <c r="GRX104" s="3"/>
      <c r="GRY104" s="3"/>
      <c r="GRZ104" s="3"/>
      <c r="GSA104" s="3"/>
      <c r="GSB104" s="3"/>
      <c r="GSC104" s="3"/>
      <c r="GSD104" s="3"/>
      <c r="GSE104" s="3"/>
      <c r="GSF104" s="3"/>
      <c r="GSG104" s="3"/>
      <c r="GSH104" s="3"/>
      <c r="GSI104" s="3"/>
      <c r="GSJ104" s="3"/>
      <c r="GSK104" s="3"/>
      <c r="GSL104" s="3"/>
      <c r="GSM104" s="3"/>
      <c r="GSN104" s="3"/>
      <c r="GSO104" s="3"/>
      <c r="GSP104" s="3"/>
      <c r="GSQ104" s="3"/>
      <c r="GSR104" s="3"/>
      <c r="GSS104" s="3"/>
      <c r="GST104" s="3"/>
      <c r="GSU104" s="3"/>
      <c r="GSV104" s="3"/>
      <c r="GSW104" s="3"/>
      <c r="GSX104" s="3"/>
      <c r="GSY104" s="3"/>
      <c r="GSZ104" s="3"/>
      <c r="GTA104" s="3"/>
      <c r="GTB104" s="3"/>
      <c r="GTC104" s="3"/>
      <c r="GTD104" s="3"/>
      <c r="GTE104" s="3"/>
      <c r="GTF104" s="3"/>
      <c r="GTG104" s="3"/>
      <c r="GTH104" s="3"/>
      <c r="GTI104" s="3"/>
      <c r="GTJ104" s="3"/>
      <c r="GTK104" s="3"/>
      <c r="GTL104" s="3"/>
      <c r="GTM104" s="3"/>
      <c r="GTN104" s="3"/>
      <c r="GTO104" s="3"/>
      <c r="GTP104" s="3"/>
      <c r="GTQ104" s="3"/>
      <c r="GTR104" s="3"/>
      <c r="GTS104" s="3"/>
      <c r="GTT104" s="3"/>
      <c r="GTU104" s="3"/>
      <c r="GTV104" s="3"/>
      <c r="GTW104" s="3"/>
      <c r="GTX104" s="3"/>
      <c r="GTY104" s="3"/>
      <c r="GTZ104" s="3"/>
      <c r="GUA104" s="3"/>
      <c r="GUB104" s="3"/>
      <c r="GUC104" s="3"/>
      <c r="GUD104" s="3"/>
      <c r="GUE104" s="3"/>
      <c r="GUF104" s="3"/>
      <c r="GUG104" s="3"/>
      <c r="GUH104" s="3"/>
      <c r="GUI104" s="3"/>
      <c r="GUJ104" s="3"/>
      <c r="GUK104" s="3"/>
      <c r="GUL104" s="3"/>
      <c r="GUM104" s="3"/>
      <c r="GUN104" s="3"/>
      <c r="GUO104" s="3"/>
      <c r="GUP104" s="3"/>
      <c r="GUQ104" s="3"/>
      <c r="GUR104" s="3"/>
      <c r="GUS104" s="3"/>
      <c r="GUT104" s="3"/>
      <c r="GUU104" s="3"/>
      <c r="GUV104" s="3"/>
      <c r="GUW104" s="3"/>
      <c r="GUX104" s="3"/>
      <c r="GUY104" s="3"/>
      <c r="GUZ104" s="3"/>
      <c r="GVA104" s="3"/>
      <c r="GVB104" s="3"/>
      <c r="GVC104" s="3"/>
      <c r="GVD104" s="3"/>
      <c r="GVE104" s="3"/>
      <c r="GVF104" s="3"/>
      <c r="GVG104" s="3"/>
      <c r="GVH104" s="3"/>
      <c r="GVI104" s="3"/>
      <c r="GVJ104" s="3"/>
      <c r="GVK104" s="3"/>
      <c r="GVL104" s="3"/>
      <c r="GVM104" s="3"/>
      <c r="GVN104" s="3"/>
      <c r="GVO104" s="3"/>
      <c r="GVP104" s="3"/>
      <c r="GVQ104" s="3"/>
      <c r="GVR104" s="3"/>
      <c r="GVS104" s="3"/>
      <c r="GVT104" s="3"/>
      <c r="GVU104" s="3"/>
      <c r="GVV104" s="3"/>
      <c r="GVW104" s="3"/>
      <c r="GVX104" s="3"/>
      <c r="GVY104" s="3"/>
      <c r="GVZ104" s="3"/>
      <c r="GWA104" s="3"/>
      <c r="GWB104" s="3"/>
      <c r="GWC104" s="3"/>
      <c r="GWD104" s="3"/>
      <c r="GWE104" s="3"/>
      <c r="GWF104" s="3"/>
      <c r="GWG104" s="3"/>
      <c r="GWH104" s="3"/>
      <c r="GWI104" s="3"/>
      <c r="GWJ104" s="3"/>
      <c r="GWK104" s="3"/>
      <c r="GWL104" s="3"/>
      <c r="GWM104" s="3"/>
      <c r="GWN104" s="3"/>
      <c r="GWO104" s="3"/>
      <c r="GWP104" s="3"/>
      <c r="GWQ104" s="3"/>
      <c r="GWR104" s="3"/>
      <c r="GWS104" s="3"/>
      <c r="GWT104" s="3"/>
      <c r="GWU104" s="3"/>
      <c r="GWV104" s="3"/>
      <c r="GWW104" s="3"/>
      <c r="GWX104" s="3"/>
      <c r="GWY104" s="3"/>
      <c r="GWZ104" s="3"/>
      <c r="GXA104" s="3"/>
      <c r="GXB104" s="3"/>
      <c r="GXC104" s="3"/>
      <c r="GXD104" s="3"/>
      <c r="GXE104" s="3"/>
      <c r="GXF104" s="3"/>
      <c r="GXG104" s="3"/>
      <c r="GXH104" s="3"/>
      <c r="GXI104" s="3"/>
      <c r="GXJ104" s="3"/>
      <c r="GXK104" s="3"/>
      <c r="GXL104" s="3"/>
      <c r="GXM104" s="3"/>
      <c r="GXN104" s="3"/>
      <c r="GXO104" s="3"/>
      <c r="GXP104" s="3"/>
      <c r="GXQ104" s="3"/>
      <c r="GXR104" s="3"/>
      <c r="GXS104" s="3"/>
      <c r="GXT104" s="3"/>
      <c r="GXU104" s="3"/>
      <c r="GXV104" s="3"/>
      <c r="GXW104" s="3"/>
      <c r="GXX104" s="3"/>
      <c r="GXY104" s="3"/>
      <c r="GXZ104" s="3"/>
      <c r="GYA104" s="3"/>
      <c r="GYB104" s="3"/>
      <c r="GYC104" s="3"/>
      <c r="GYD104" s="3"/>
      <c r="GYE104" s="3"/>
      <c r="GYF104" s="3"/>
      <c r="GYG104" s="3"/>
      <c r="GYH104" s="3"/>
      <c r="GYI104" s="3"/>
      <c r="GYJ104" s="3"/>
      <c r="GYK104" s="3"/>
      <c r="GYL104" s="3"/>
      <c r="GYM104" s="3"/>
      <c r="GYN104" s="3"/>
      <c r="GYO104" s="3"/>
      <c r="GYP104" s="3"/>
      <c r="GYQ104" s="3"/>
      <c r="GYR104" s="3"/>
      <c r="GYS104" s="3"/>
      <c r="GYT104" s="3"/>
      <c r="GYU104" s="3"/>
      <c r="GYV104" s="3"/>
      <c r="GYW104" s="3"/>
      <c r="GYX104" s="3"/>
      <c r="GYY104" s="3"/>
      <c r="GYZ104" s="3"/>
      <c r="GZA104" s="3"/>
      <c r="GZB104" s="3"/>
      <c r="GZC104" s="3"/>
      <c r="GZD104" s="3"/>
      <c r="GZE104" s="3"/>
      <c r="GZF104" s="3"/>
      <c r="GZG104" s="3"/>
      <c r="GZH104" s="3"/>
      <c r="GZI104" s="3"/>
      <c r="GZJ104" s="3"/>
      <c r="GZK104" s="3"/>
      <c r="GZL104" s="3"/>
      <c r="GZM104" s="3"/>
      <c r="GZN104" s="3"/>
      <c r="GZO104" s="3"/>
      <c r="GZP104" s="3"/>
      <c r="GZQ104" s="3"/>
      <c r="GZR104" s="3"/>
      <c r="GZS104" s="3"/>
      <c r="GZT104" s="3"/>
      <c r="GZU104" s="3"/>
      <c r="GZV104" s="3"/>
      <c r="GZW104" s="3"/>
      <c r="GZX104" s="3"/>
      <c r="GZY104" s="3"/>
      <c r="GZZ104" s="3"/>
      <c r="HAA104" s="3"/>
      <c r="HAB104" s="3"/>
      <c r="HAC104" s="3"/>
      <c r="HAD104" s="3"/>
      <c r="HAE104" s="3"/>
      <c r="HAF104" s="3"/>
      <c r="HAG104" s="3"/>
      <c r="HAH104" s="3"/>
      <c r="HAI104" s="3"/>
      <c r="HAJ104" s="3"/>
      <c r="HAK104" s="3"/>
      <c r="HAL104" s="3"/>
      <c r="HAM104" s="3"/>
      <c r="HAN104" s="3"/>
      <c r="HAO104" s="3"/>
      <c r="HAP104" s="3"/>
      <c r="HAQ104" s="3"/>
      <c r="HAR104" s="3"/>
      <c r="HAS104" s="3"/>
      <c r="HAT104" s="3"/>
      <c r="HAU104" s="3"/>
      <c r="HAV104" s="3"/>
      <c r="HAW104" s="3"/>
      <c r="HAX104" s="3"/>
      <c r="HAY104" s="3"/>
      <c r="HAZ104" s="3"/>
      <c r="HBA104" s="3"/>
      <c r="HBB104" s="3"/>
      <c r="HBC104" s="3"/>
      <c r="HBD104" s="3"/>
      <c r="HBE104" s="3"/>
      <c r="HBF104" s="3"/>
      <c r="HBG104" s="3"/>
      <c r="HBH104" s="3"/>
      <c r="HBI104" s="3"/>
      <c r="HBJ104" s="3"/>
      <c r="HBK104" s="3"/>
      <c r="HBL104" s="3"/>
      <c r="HBM104" s="3"/>
      <c r="HBN104" s="3"/>
      <c r="HBO104" s="3"/>
      <c r="HBP104" s="3"/>
      <c r="HBQ104" s="3"/>
      <c r="HBR104" s="3"/>
      <c r="HBS104" s="3"/>
      <c r="HBT104" s="3"/>
      <c r="HBU104" s="3"/>
      <c r="HBV104" s="3"/>
      <c r="HBW104" s="3"/>
      <c r="HBX104" s="3"/>
      <c r="HBY104" s="3"/>
      <c r="HBZ104" s="3"/>
      <c r="HCA104" s="3"/>
      <c r="HCB104" s="3"/>
      <c r="HCC104" s="3"/>
      <c r="HCD104" s="3"/>
      <c r="HCE104" s="3"/>
      <c r="HCF104" s="3"/>
      <c r="HCG104" s="3"/>
      <c r="HCH104" s="3"/>
      <c r="HCI104" s="3"/>
      <c r="HCJ104" s="3"/>
      <c r="HCK104" s="3"/>
      <c r="HCL104" s="3"/>
      <c r="HCM104" s="3"/>
      <c r="HCN104" s="3"/>
      <c r="HCO104" s="3"/>
      <c r="HCP104" s="3"/>
      <c r="HCQ104" s="3"/>
      <c r="HCR104" s="3"/>
      <c r="HCS104" s="3"/>
      <c r="HCT104" s="3"/>
      <c r="HCU104" s="3"/>
      <c r="HCV104" s="3"/>
      <c r="HCW104" s="3"/>
      <c r="HCX104" s="3"/>
      <c r="HCY104" s="3"/>
      <c r="HCZ104" s="3"/>
      <c r="HDA104" s="3"/>
      <c r="HDB104" s="3"/>
      <c r="HDC104" s="3"/>
      <c r="HDD104" s="3"/>
      <c r="HDE104" s="3"/>
      <c r="HDF104" s="3"/>
      <c r="HDG104" s="3"/>
      <c r="HDH104" s="3"/>
      <c r="HDI104" s="3"/>
      <c r="HDJ104" s="3"/>
      <c r="HDK104" s="3"/>
      <c r="HDL104" s="3"/>
      <c r="HDM104" s="3"/>
      <c r="HDN104" s="3"/>
      <c r="HDO104" s="3"/>
      <c r="HDP104" s="3"/>
      <c r="HDQ104" s="3"/>
      <c r="HDR104" s="3"/>
      <c r="HDS104" s="3"/>
      <c r="HDT104" s="3"/>
      <c r="HDU104" s="3"/>
      <c r="HDV104" s="3"/>
      <c r="HDW104" s="3"/>
      <c r="HDX104" s="3"/>
      <c r="HDY104" s="3"/>
      <c r="HDZ104" s="3"/>
      <c r="HEA104" s="3"/>
      <c r="HEB104" s="3"/>
      <c r="HEC104" s="3"/>
      <c r="HED104" s="3"/>
      <c r="HEE104" s="3"/>
      <c r="HEF104" s="3"/>
      <c r="HEG104" s="3"/>
      <c r="HEH104" s="3"/>
      <c r="HEI104" s="3"/>
      <c r="HEJ104" s="3"/>
      <c r="HEK104" s="3"/>
      <c r="HEL104" s="3"/>
      <c r="HEM104" s="3"/>
      <c r="HEN104" s="3"/>
      <c r="HEO104" s="3"/>
      <c r="HEP104" s="3"/>
      <c r="HEQ104" s="3"/>
      <c r="HER104" s="3"/>
      <c r="HES104" s="3"/>
      <c r="HET104" s="3"/>
      <c r="HEU104" s="3"/>
      <c r="HEV104" s="3"/>
      <c r="HEW104" s="3"/>
      <c r="HEX104" s="3"/>
      <c r="HEY104" s="3"/>
      <c r="HEZ104" s="3"/>
      <c r="HFA104" s="3"/>
      <c r="HFB104" s="3"/>
      <c r="HFC104" s="3"/>
      <c r="HFD104" s="3"/>
      <c r="HFE104" s="3"/>
      <c r="HFF104" s="3"/>
      <c r="HFG104" s="3"/>
      <c r="HFH104" s="3"/>
      <c r="HFI104" s="3"/>
      <c r="HFJ104" s="3"/>
      <c r="HFK104" s="3"/>
      <c r="HFL104" s="3"/>
      <c r="HFM104" s="3"/>
      <c r="HFN104" s="3"/>
      <c r="HFO104" s="3"/>
      <c r="HFP104" s="3"/>
      <c r="HFQ104" s="3"/>
      <c r="HFR104" s="3"/>
      <c r="HFS104" s="3"/>
      <c r="HFT104" s="3"/>
      <c r="HFU104" s="3"/>
      <c r="HFV104" s="3"/>
      <c r="HFW104" s="3"/>
      <c r="HFX104" s="3"/>
      <c r="HFY104" s="3"/>
      <c r="HFZ104" s="3"/>
      <c r="HGA104" s="3"/>
      <c r="HGB104" s="3"/>
      <c r="HGC104" s="3"/>
      <c r="HGD104" s="3"/>
      <c r="HGE104" s="3"/>
      <c r="HGF104" s="3"/>
      <c r="HGG104" s="3"/>
      <c r="HGH104" s="3"/>
      <c r="HGI104" s="3"/>
      <c r="HGJ104" s="3"/>
      <c r="HGK104" s="3"/>
      <c r="HGL104" s="3"/>
      <c r="HGM104" s="3"/>
      <c r="HGN104" s="3"/>
      <c r="HGO104" s="3"/>
      <c r="HGP104" s="3"/>
      <c r="HGQ104" s="3"/>
      <c r="HGR104" s="3"/>
      <c r="HGS104" s="3"/>
      <c r="HGT104" s="3"/>
      <c r="HGU104" s="3"/>
      <c r="HGV104" s="3"/>
      <c r="HGW104" s="3"/>
      <c r="HGX104" s="3"/>
      <c r="HGY104" s="3"/>
      <c r="HGZ104" s="3"/>
      <c r="HHA104" s="3"/>
      <c r="HHB104" s="3"/>
      <c r="HHC104" s="3"/>
      <c r="HHD104" s="3"/>
      <c r="HHE104" s="3"/>
      <c r="HHF104" s="3"/>
      <c r="HHG104" s="3"/>
      <c r="HHH104" s="3"/>
      <c r="HHI104" s="3"/>
      <c r="HHJ104" s="3"/>
      <c r="HHK104" s="3"/>
      <c r="HHL104" s="3"/>
      <c r="HHM104" s="3"/>
      <c r="HHN104" s="3"/>
      <c r="HHO104" s="3"/>
      <c r="HHP104" s="3"/>
      <c r="HHQ104" s="3"/>
      <c r="HHR104" s="3"/>
      <c r="HHS104" s="3"/>
      <c r="HHT104" s="3"/>
      <c r="HHU104" s="3"/>
      <c r="HHV104" s="3"/>
      <c r="HHW104" s="3"/>
      <c r="HHX104" s="3"/>
      <c r="HHY104" s="3"/>
      <c r="HHZ104" s="3"/>
      <c r="HIA104" s="3"/>
      <c r="HIB104" s="3"/>
      <c r="HIC104" s="3"/>
      <c r="HID104" s="3"/>
      <c r="HIE104" s="3"/>
      <c r="HIF104" s="3"/>
      <c r="HIG104" s="3"/>
      <c r="HIH104" s="3"/>
      <c r="HII104" s="3"/>
      <c r="HIJ104" s="3"/>
      <c r="HIK104" s="3"/>
      <c r="HIL104" s="3"/>
      <c r="HIM104" s="3"/>
      <c r="HIN104" s="3"/>
      <c r="HIO104" s="3"/>
      <c r="HIP104" s="3"/>
      <c r="HIQ104" s="3"/>
      <c r="HIR104" s="3"/>
      <c r="HIS104" s="3"/>
      <c r="HIT104" s="3"/>
      <c r="HIU104" s="3"/>
      <c r="HIV104" s="3"/>
      <c r="HIW104" s="3"/>
      <c r="HIX104" s="3"/>
      <c r="HIY104" s="3"/>
      <c r="HIZ104" s="3"/>
      <c r="HJA104" s="3"/>
      <c r="HJB104" s="3"/>
      <c r="HJC104" s="3"/>
      <c r="HJD104" s="3"/>
      <c r="HJE104" s="3"/>
      <c r="HJF104" s="3"/>
      <c r="HJG104" s="3"/>
      <c r="HJH104" s="3"/>
      <c r="HJI104" s="3"/>
      <c r="HJJ104" s="3"/>
      <c r="HJK104" s="3"/>
      <c r="HJL104" s="3"/>
      <c r="HJM104" s="3"/>
      <c r="HJN104" s="3"/>
      <c r="HJO104" s="3"/>
      <c r="HJP104" s="3"/>
      <c r="HJQ104" s="3"/>
      <c r="HJR104" s="3"/>
      <c r="HJS104" s="3"/>
      <c r="HJT104" s="3"/>
      <c r="HJU104" s="3"/>
      <c r="HJV104" s="3"/>
      <c r="HJW104" s="3"/>
      <c r="HJX104" s="3"/>
      <c r="HJY104" s="3"/>
      <c r="HJZ104" s="3"/>
      <c r="HKA104" s="3"/>
      <c r="HKB104" s="3"/>
      <c r="HKC104" s="3"/>
      <c r="HKD104" s="3"/>
      <c r="HKE104" s="3"/>
      <c r="HKF104" s="3"/>
      <c r="HKG104" s="3"/>
      <c r="HKH104" s="3"/>
      <c r="HKI104" s="3"/>
      <c r="HKJ104" s="3"/>
      <c r="HKK104" s="3"/>
      <c r="HKL104" s="3"/>
      <c r="HKM104" s="3"/>
      <c r="HKN104" s="3"/>
      <c r="HKO104" s="3"/>
      <c r="HKP104" s="3"/>
      <c r="HKQ104" s="3"/>
      <c r="HKR104" s="3"/>
      <c r="HKS104" s="3"/>
      <c r="HKT104" s="3"/>
      <c r="HKU104" s="3"/>
      <c r="HKV104" s="3"/>
      <c r="HKW104" s="3"/>
      <c r="HKX104" s="3"/>
      <c r="HKY104" s="3"/>
      <c r="HKZ104" s="3"/>
      <c r="HLA104" s="3"/>
      <c r="HLB104" s="3"/>
      <c r="HLC104" s="3"/>
      <c r="HLD104" s="3"/>
      <c r="HLE104" s="3"/>
      <c r="HLF104" s="3"/>
      <c r="HLG104" s="3"/>
      <c r="HLH104" s="3"/>
      <c r="HLI104" s="3"/>
      <c r="HLJ104" s="3"/>
      <c r="HLK104" s="3"/>
      <c r="HLL104" s="3"/>
      <c r="HLM104" s="3"/>
      <c r="HLN104" s="3"/>
      <c r="HLO104" s="3"/>
      <c r="HLP104" s="3"/>
      <c r="HLQ104" s="3"/>
      <c r="HLR104" s="3"/>
      <c r="HLS104" s="3"/>
      <c r="HLT104" s="3"/>
      <c r="HLU104" s="3"/>
      <c r="HLV104" s="3"/>
      <c r="HLW104" s="3"/>
      <c r="HLX104" s="3"/>
      <c r="HLY104" s="3"/>
      <c r="HLZ104" s="3"/>
      <c r="HMA104" s="3"/>
      <c r="HMB104" s="3"/>
      <c r="HMC104" s="3"/>
      <c r="HMD104" s="3"/>
      <c r="HME104" s="3"/>
      <c r="HMF104" s="3"/>
      <c r="HMG104" s="3"/>
      <c r="HMH104" s="3"/>
      <c r="HMI104" s="3"/>
      <c r="HMJ104" s="3"/>
      <c r="HMK104" s="3"/>
      <c r="HML104" s="3"/>
      <c r="HMM104" s="3"/>
      <c r="HMN104" s="3"/>
      <c r="HMO104" s="3"/>
      <c r="HMP104" s="3"/>
      <c r="HMQ104" s="3"/>
      <c r="HMR104" s="3"/>
      <c r="HMS104" s="3"/>
      <c r="HMT104" s="3"/>
      <c r="HMU104" s="3"/>
      <c r="HMV104" s="3"/>
      <c r="HMW104" s="3"/>
      <c r="HMX104" s="3"/>
      <c r="HMY104" s="3"/>
      <c r="HMZ104" s="3"/>
      <c r="HNA104" s="3"/>
      <c r="HNB104" s="3"/>
      <c r="HNC104" s="3"/>
      <c r="HND104" s="3"/>
      <c r="HNE104" s="3"/>
      <c r="HNF104" s="3"/>
      <c r="HNG104" s="3"/>
      <c r="HNH104" s="3"/>
      <c r="HNI104" s="3"/>
      <c r="HNJ104" s="3"/>
      <c r="HNK104" s="3"/>
      <c r="HNL104" s="3"/>
      <c r="HNM104" s="3"/>
      <c r="HNN104" s="3"/>
      <c r="HNO104" s="3"/>
      <c r="HNP104" s="3"/>
      <c r="HNQ104" s="3"/>
      <c r="HNR104" s="3"/>
      <c r="HNS104" s="3"/>
      <c r="HNT104" s="3"/>
      <c r="HNU104" s="3"/>
      <c r="HNV104" s="3"/>
      <c r="HNW104" s="3"/>
      <c r="HNX104" s="3"/>
      <c r="HNY104" s="3"/>
      <c r="HNZ104" s="3"/>
      <c r="HOA104" s="3"/>
      <c r="HOB104" s="3"/>
      <c r="HOC104" s="3"/>
      <c r="HOD104" s="3"/>
      <c r="HOE104" s="3"/>
      <c r="HOF104" s="3"/>
      <c r="HOG104" s="3"/>
      <c r="HOH104" s="3"/>
      <c r="HOI104" s="3"/>
      <c r="HOJ104" s="3"/>
      <c r="HOK104" s="3"/>
      <c r="HOL104" s="3"/>
      <c r="HOM104" s="3"/>
      <c r="HON104" s="3"/>
      <c r="HOO104" s="3"/>
      <c r="HOP104" s="3"/>
      <c r="HOQ104" s="3"/>
      <c r="HOR104" s="3"/>
      <c r="HOS104" s="3"/>
      <c r="HOT104" s="3"/>
      <c r="HOU104" s="3"/>
      <c r="HOV104" s="3"/>
      <c r="HOW104" s="3"/>
      <c r="HOX104" s="3"/>
      <c r="HOY104" s="3"/>
      <c r="HOZ104" s="3"/>
      <c r="HPA104" s="3"/>
      <c r="HPB104" s="3"/>
      <c r="HPC104" s="3"/>
      <c r="HPD104" s="3"/>
      <c r="HPE104" s="3"/>
      <c r="HPF104" s="3"/>
      <c r="HPG104" s="3"/>
      <c r="HPH104" s="3"/>
      <c r="HPI104" s="3"/>
      <c r="HPJ104" s="3"/>
      <c r="HPK104" s="3"/>
      <c r="HPL104" s="3"/>
      <c r="HPM104" s="3"/>
      <c r="HPN104" s="3"/>
      <c r="HPO104" s="3"/>
      <c r="HPP104" s="3"/>
      <c r="HPQ104" s="3"/>
      <c r="HPR104" s="3"/>
      <c r="HPS104" s="3"/>
      <c r="HPT104" s="3"/>
      <c r="HPU104" s="3"/>
      <c r="HPV104" s="3"/>
      <c r="HPW104" s="3"/>
      <c r="HPX104" s="3"/>
      <c r="HPY104" s="3"/>
      <c r="HPZ104" s="3"/>
      <c r="HQA104" s="3"/>
      <c r="HQB104" s="3"/>
      <c r="HQC104" s="3"/>
      <c r="HQD104" s="3"/>
      <c r="HQE104" s="3"/>
      <c r="HQF104" s="3"/>
      <c r="HQG104" s="3"/>
      <c r="HQH104" s="3"/>
      <c r="HQI104" s="3"/>
      <c r="HQJ104" s="3"/>
      <c r="HQK104" s="3"/>
      <c r="HQL104" s="3"/>
      <c r="HQM104" s="3"/>
      <c r="HQN104" s="3"/>
      <c r="HQO104" s="3"/>
      <c r="HQP104" s="3"/>
      <c r="HQQ104" s="3"/>
      <c r="HQR104" s="3"/>
      <c r="HQS104" s="3"/>
      <c r="HQT104" s="3"/>
      <c r="HQU104" s="3"/>
      <c r="HQV104" s="3"/>
      <c r="HQW104" s="3"/>
      <c r="HQX104" s="3"/>
      <c r="HQY104" s="3"/>
      <c r="HQZ104" s="3"/>
      <c r="HRA104" s="3"/>
      <c r="HRB104" s="3"/>
      <c r="HRC104" s="3"/>
      <c r="HRD104" s="3"/>
      <c r="HRE104" s="3"/>
      <c r="HRF104" s="3"/>
      <c r="HRG104" s="3"/>
      <c r="HRH104" s="3"/>
      <c r="HRI104" s="3"/>
      <c r="HRJ104" s="3"/>
      <c r="HRK104" s="3"/>
      <c r="HRL104" s="3"/>
      <c r="HRM104" s="3"/>
      <c r="HRN104" s="3"/>
      <c r="HRO104" s="3"/>
      <c r="HRP104" s="3"/>
      <c r="HRQ104" s="3"/>
      <c r="HRR104" s="3"/>
      <c r="HRS104" s="3"/>
      <c r="HRT104" s="3"/>
      <c r="HRU104" s="3"/>
      <c r="HRV104" s="3"/>
      <c r="HRW104" s="3"/>
      <c r="HRX104" s="3"/>
      <c r="HRY104" s="3"/>
      <c r="HRZ104" s="3"/>
      <c r="HSA104" s="3"/>
      <c r="HSB104" s="3"/>
      <c r="HSC104" s="3"/>
      <c r="HSD104" s="3"/>
      <c r="HSE104" s="3"/>
      <c r="HSF104" s="3"/>
      <c r="HSG104" s="3"/>
      <c r="HSH104" s="3"/>
      <c r="HSI104" s="3"/>
      <c r="HSJ104" s="3"/>
      <c r="HSK104" s="3"/>
      <c r="HSL104" s="3"/>
      <c r="HSM104" s="3"/>
      <c r="HSN104" s="3"/>
      <c r="HSO104" s="3"/>
      <c r="HSP104" s="3"/>
      <c r="HSQ104" s="3"/>
      <c r="HSR104" s="3"/>
      <c r="HSS104" s="3"/>
      <c r="HST104" s="3"/>
      <c r="HSU104" s="3"/>
      <c r="HSV104" s="3"/>
      <c r="HSW104" s="3"/>
      <c r="HSX104" s="3"/>
      <c r="HSY104" s="3"/>
      <c r="HSZ104" s="3"/>
      <c r="HTA104" s="3"/>
      <c r="HTB104" s="3"/>
      <c r="HTC104" s="3"/>
      <c r="HTD104" s="3"/>
      <c r="HTE104" s="3"/>
      <c r="HTF104" s="3"/>
      <c r="HTG104" s="3"/>
      <c r="HTH104" s="3"/>
      <c r="HTI104" s="3"/>
      <c r="HTJ104" s="3"/>
      <c r="HTK104" s="3"/>
      <c r="HTL104" s="3"/>
      <c r="HTM104" s="3"/>
      <c r="HTN104" s="3"/>
      <c r="HTO104" s="3"/>
      <c r="HTP104" s="3"/>
      <c r="HTQ104" s="3"/>
      <c r="HTR104" s="3"/>
      <c r="HTS104" s="3"/>
      <c r="HTT104" s="3"/>
      <c r="HTU104" s="3"/>
      <c r="HTV104" s="3"/>
      <c r="HTW104" s="3"/>
      <c r="HTX104" s="3"/>
      <c r="HTY104" s="3"/>
      <c r="HTZ104" s="3"/>
      <c r="HUA104" s="3"/>
      <c r="HUB104" s="3"/>
      <c r="HUC104" s="3"/>
      <c r="HUD104" s="3"/>
      <c r="HUE104" s="3"/>
      <c r="HUF104" s="3"/>
      <c r="HUG104" s="3"/>
      <c r="HUH104" s="3"/>
      <c r="HUI104" s="3"/>
      <c r="HUJ104" s="3"/>
      <c r="HUK104" s="3"/>
      <c r="HUL104" s="3"/>
      <c r="HUM104" s="3"/>
      <c r="HUN104" s="3"/>
      <c r="HUO104" s="3"/>
      <c r="HUP104" s="3"/>
      <c r="HUQ104" s="3"/>
      <c r="HUR104" s="3"/>
      <c r="HUS104" s="3"/>
      <c r="HUT104" s="3"/>
      <c r="HUU104" s="3"/>
      <c r="HUV104" s="3"/>
      <c r="HUW104" s="3"/>
      <c r="HUX104" s="3"/>
      <c r="HUY104" s="3"/>
      <c r="HUZ104" s="3"/>
      <c r="HVA104" s="3"/>
      <c r="HVB104" s="3"/>
      <c r="HVC104" s="3"/>
      <c r="HVD104" s="3"/>
      <c r="HVE104" s="3"/>
      <c r="HVF104" s="3"/>
      <c r="HVG104" s="3"/>
      <c r="HVH104" s="3"/>
      <c r="HVI104" s="3"/>
      <c r="HVJ104" s="3"/>
      <c r="HVK104" s="3"/>
      <c r="HVL104" s="3"/>
      <c r="HVM104" s="3"/>
      <c r="HVN104" s="3"/>
      <c r="HVO104" s="3"/>
      <c r="HVP104" s="3"/>
      <c r="HVQ104" s="3"/>
      <c r="HVR104" s="3"/>
      <c r="HVS104" s="3"/>
      <c r="HVT104" s="3"/>
      <c r="HVU104" s="3"/>
      <c r="HVV104" s="3"/>
      <c r="HVW104" s="3"/>
      <c r="HVX104" s="3"/>
      <c r="HVY104" s="3"/>
      <c r="HVZ104" s="3"/>
      <c r="HWA104" s="3"/>
      <c r="HWB104" s="3"/>
      <c r="HWC104" s="3"/>
      <c r="HWD104" s="3"/>
      <c r="HWE104" s="3"/>
      <c r="HWF104" s="3"/>
      <c r="HWG104" s="3"/>
      <c r="HWH104" s="3"/>
      <c r="HWI104" s="3"/>
      <c r="HWJ104" s="3"/>
      <c r="HWK104" s="3"/>
      <c r="HWL104" s="3"/>
      <c r="HWM104" s="3"/>
      <c r="HWN104" s="3"/>
      <c r="HWO104" s="3"/>
      <c r="HWP104" s="3"/>
      <c r="HWQ104" s="3"/>
      <c r="HWR104" s="3"/>
      <c r="HWS104" s="3"/>
      <c r="HWT104" s="3"/>
      <c r="HWU104" s="3"/>
      <c r="HWV104" s="3"/>
      <c r="HWW104" s="3"/>
      <c r="HWX104" s="3"/>
      <c r="HWY104" s="3"/>
      <c r="HWZ104" s="3"/>
      <c r="HXA104" s="3"/>
      <c r="HXB104" s="3"/>
      <c r="HXC104" s="3"/>
      <c r="HXD104" s="3"/>
      <c r="HXE104" s="3"/>
      <c r="HXF104" s="3"/>
      <c r="HXG104" s="3"/>
      <c r="HXH104" s="3"/>
      <c r="HXI104" s="3"/>
      <c r="HXJ104" s="3"/>
      <c r="HXK104" s="3"/>
      <c r="HXL104" s="3"/>
      <c r="HXM104" s="3"/>
      <c r="HXN104" s="3"/>
      <c r="HXO104" s="3"/>
      <c r="HXP104" s="3"/>
      <c r="HXQ104" s="3"/>
      <c r="HXR104" s="3"/>
      <c r="HXS104" s="3"/>
      <c r="HXT104" s="3"/>
      <c r="HXU104" s="3"/>
      <c r="HXV104" s="3"/>
      <c r="HXW104" s="3"/>
      <c r="HXX104" s="3"/>
      <c r="HXY104" s="3"/>
      <c r="HXZ104" s="3"/>
      <c r="HYA104" s="3"/>
      <c r="HYB104" s="3"/>
      <c r="HYC104" s="3"/>
      <c r="HYD104" s="3"/>
      <c r="HYE104" s="3"/>
      <c r="HYF104" s="3"/>
      <c r="HYG104" s="3"/>
      <c r="HYH104" s="3"/>
      <c r="HYI104" s="3"/>
      <c r="HYJ104" s="3"/>
      <c r="HYK104" s="3"/>
      <c r="HYL104" s="3"/>
      <c r="HYM104" s="3"/>
      <c r="HYN104" s="3"/>
      <c r="HYO104" s="3"/>
      <c r="HYP104" s="3"/>
      <c r="HYQ104" s="3"/>
      <c r="HYR104" s="3"/>
      <c r="HYS104" s="3"/>
      <c r="HYT104" s="3"/>
      <c r="HYU104" s="3"/>
      <c r="HYV104" s="3"/>
      <c r="HYW104" s="3"/>
      <c r="HYX104" s="3"/>
      <c r="HYY104" s="3"/>
      <c r="HYZ104" s="3"/>
      <c r="HZA104" s="3"/>
      <c r="HZB104" s="3"/>
      <c r="HZC104" s="3"/>
      <c r="HZD104" s="3"/>
      <c r="HZE104" s="3"/>
      <c r="HZF104" s="3"/>
      <c r="HZG104" s="3"/>
      <c r="HZH104" s="3"/>
      <c r="HZI104" s="3"/>
      <c r="HZJ104" s="3"/>
      <c r="HZK104" s="3"/>
      <c r="HZL104" s="3"/>
      <c r="HZM104" s="3"/>
      <c r="HZN104" s="3"/>
      <c r="HZO104" s="3"/>
      <c r="HZP104" s="3"/>
      <c r="HZQ104" s="3"/>
      <c r="HZR104" s="3"/>
      <c r="HZS104" s="3"/>
      <c r="HZT104" s="3"/>
      <c r="HZU104" s="3"/>
      <c r="HZV104" s="3"/>
      <c r="HZW104" s="3"/>
      <c r="HZX104" s="3"/>
      <c r="HZY104" s="3"/>
      <c r="HZZ104" s="3"/>
      <c r="IAA104" s="3"/>
      <c r="IAB104" s="3"/>
      <c r="IAC104" s="3"/>
      <c r="IAD104" s="3"/>
      <c r="IAE104" s="3"/>
      <c r="IAF104" s="3"/>
      <c r="IAG104" s="3"/>
      <c r="IAH104" s="3"/>
      <c r="IAI104" s="3"/>
      <c r="IAJ104" s="3"/>
      <c r="IAK104" s="3"/>
      <c r="IAL104" s="3"/>
      <c r="IAM104" s="3"/>
      <c r="IAN104" s="3"/>
      <c r="IAO104" s="3"/>
      <c r="IAP104" s="3"/>
      <c r="IAQ104" s="3"/>
      <c r="IAR104" s="3"/>
      <c r="IAS104" s="3"/>
      <c r="IAT104" s="3"/>
      <c r="IAU104" s="3"/>
      <c r="IAV104" s="3"/>
      <c r="IAW104" s="3"/>
      <c r="IAX104" s="3"/>
      <c r="IAY104" s="3"/>
      <c r="IAZ104" s="3"/>
      <c r="IBA104" s="3"/>
      <c r="IBB104" s="3"/>
      <c r="IBC104" s="3"/>
      <c r="IBD104" s="3"/>
      <c r="IBE104" s="3"/>
      <c r="IBF104" s="3"/>
      <c r="IBG104" s="3"/>
      <c r="IBH104" s="3"/>
      <c r="IBI104" s="3"/>
      <c r="IBJ104" s="3"/>
      <c r="IBK104" s="3"/>
      <c r="IBL104" s="3"/>
      <c r="IBM104" s="3"/>
      <c r="IBN104" s="3"/>
      <c r="IBO104" s="3"/>
      <c r="IBP104" s="3"/>
      <c r="IBQ104" s="3"/>
      <c r="IBR104" s="3"/>
      <c r="IBS104" s="3"/>
      <c r="IBT104" s="3"/>
      <c r="IBU104" s="3"/>
      <c r="IBV104" s="3"/>
      <c r="IBW104" s="3"/>
      <c r="IBX104" s="3"/>
      <c r="IBY104" s="3"/>
      <c r="IBZ104" s="3"/>
      <c r="ICA104" s="3"/>
      <c r="ICB104" s="3"/>
      <c r="ICC104" s="3"/>
      <c r="ICD104" s="3"/>
      <c r="ICE104" s="3"/>
      <c r="ICF104" s="3"/>
      <c r="ICG104" s="3"/>
      <c r="ICH104" s="3"/>
      <c r="ICI104" s="3"/>
      <c r="ICJ104" s="3"/>
      <c r="ICK104" s="3"/>
      <c r="ICL104" s="3"/>
      <c r="ICM104" s="3"/>
      <c r="ICN104" s="3"/>
      <c r="ICO104" s="3"/>
      <c r="ICP104" s="3"/>
      <c r="ICQ104" s="3"/>
      <c r="ICR104" s="3"/>
      <c r="ICS104" s="3"/>
      <c r="ICT104" s="3"/>
      <c r="ICU104" s="3"/>
      <c r="ICV104" s="3"/>
      <c r="ICW104" s="3"/>
      <c r="ICX104" s="3"/>
      <c r="ICY104" s="3"/>
      <c r="ICZ104" s="3"/>
      <c r="IDA104" s="3"/>
      <c r="IDB104" s="3"/>
      <c r="IDC104" s="3"/>
      <c r="IDD104" s="3"/>
      <c r="IDE104" s="3"/>
      <c r="IDF104" s="3"/>
      <c r="IDG104" s="3"/>
      <c r="IDH104" s="3"/>
      <c r="IDI104" s="3"/>
      <c r="IDJ104" s="3"/>
      <c r="IDK104" s="3"/>
      <c r="IDL104" s="3"/>
      <c r="IDM104" s="3"/>
      <c r="IDN104" s="3"/>
      <c r="IDO104" s="3"/>
      <c r="IDP104" s="3"/>
      <c r="IDQ104" s="3"/>
      <c r="IDR104" s="3"/>
      <c r="IDS104" s="3"/>
      <c r="IDT104" s="3"/>
      <c r="IDU104" s="3"/>
      <c r="IDV104" s="3"/>
      <c r="IDW104" s="3"/>
      <c r="IDX104" s="3"/>
      <c r="IDY104" s="3"/>
      <c r="IDZ104" s="3"/>
      <c r="IEA104" s="3"/>
      <c r="IEB104" s="3"/>
      <c r="IEC104" s="3"/>
      <c r="IED104" s="3"/>
      <c r="IEE104" s="3"/>
      <c r="IEF104" s="3"/>
      <c r="IEG104" s="3"/>
      <c r="IEH104" s="3"/>
      <c r="IEI104" s="3"/>
      <c r="IEJ104" s="3"/>
      <c r="IEK104" s="3"/>
      <c r="IEL104" s="3"/>
      <c r="IEM104" s="3"/>
      <c r="IEN104" s="3"/>
      <c r="IEO104" s="3"/>
      <c r="IEP104" s="3"/>
      <c r="IEQ104" s="3"/>
      <c r="IER104" s="3"/>
      <c r="IES104" s="3"/>
      <c r="IET104" s="3"/>
      <c r="IEU104" s="3"/>
      <c r="IEV104" s="3"/>
      <c r="IEW104" s="3"/>
      <c r="IEX104" s="3"/>
      <c r="IEY104" s="3"/>
      <c r="IEZ104" s="3"/>
      <c r="IFA104" s="3"/>
      <c r="IFB104" s="3"/>
      <c r="IFC104" s="3"/>
      <c r="IFD104" s="3"/>
      <c r="IFE104" s="3"/>
      <c r="IFF104" s="3"/>
      <c r="IFG104" s="3"/>
      <c r="IFH104" s="3"/>
      <c r="IFI104" s="3"/>
      <c r="IFJ104" s="3"/>
      <c r="IFK104" s="3"/>
      <c r="IFL104" s="3"/>
      <c r="IFM104" s="3"/>
      <c r="IFN104" s="3"/>
      <c r="IFO104" s="3"/>
      <c r="IFP104" s="3"/>
      <c r="IFQ104" s="3"/>
      <c r="IFR104" s="3"/>
      <c r="IFS104" s="3"/>
      <c r="IFT104" s="3"/>
      <c r="IFU104" s="3"/>
      <c r="IFV104" s="3"/>
      <c r="IFW104" s="3"/>
      <c r="IFX104" s="3"/>
      <c r="IFY104" s="3"/>
      <c r="IFZ104" s="3"/>
      <c r="IGA104" s="3"/>
      <c r="IGB104" s="3"/>
      <c r="IGC104" s="3"/>
      <c r="IGD104" s="3"/>
      <c r="IGE104" s="3"/>
      <c r="IGF104" s="3"/>
      <c r="IGG104" s="3"/>
      <c r="IGH104" s="3"/>
      <c r="IGI104" s="3"/>
      <c r="IGJ104" s="3"/>
      <c r="IGK104" s="3"/>
      <c r="IGL104" s="3"/>
      <c r="IGM104" s="3"/>
      <c r="IGN104" s="3"/>
      <c r="IGO104" s="3"/>
      <c r="IGP104" s="3"/>
      <c r="IGQ104" s="3"/>
      <c r="IGR104" s="3"/>
      <c r="IGS104" s="3"/>
      <c r="IGT104" s="3"/>
      <c r="IGU104" s="3"/>
      <c r="IGV104" s="3"/>
      <c r="IGW104" s="3"/>
      <c r="IGX104" s="3"/>
      <c r="IGY104" s="3"/>
      <c r="IGZ104" s="3"/>
      <c r="IHA104" s="3"/>
      <c r="IHB104" s="3"/>
      <c r="IHC104" s="3"/>
      <c r="IHD104" s="3"/>
      <c r="IHE104" s="3"/>
      <c r="IHF104" s="3"/>
      <c r="IHG104" s="3"/>
      <c r="IHH104" s="3"/>
      <c r="IHI104" s="3"/>
      <c r="IHJ104" s="3"/>
      <c r="IHK104" s="3"/>
      <c r="IHL104" s="3"/>
      <c r="IHM104" s="3"/>
      <c r="IHN104" s="3"/>
      <c r="IHO104" s="3"/>
      <c r="IHP104" s="3"/>
      <c r="IHQ104" s="3"/>
      <c r="IHR104" s="3"/>
      <c r="IHS104" s="3"/>
      <c r="IHT104" s="3"/>
      <c r="IHU104" s="3"/>
      <c r="IHV104" s="3"/>
      <c r="IHW104" s="3"/>
      <c r="IHX104" s="3"/>
      <c r="IHY104" s="3"/>
      <c r="IHZ104" s="3"/>
      <c r="IIA104" s="3"/>
      <c r="IIB104" s="3"/>
      <c r="IIC104" s="3"/>
      <c r="IID104" s="3"/>
      <c r="IIE104" s="3"/>
      <c r="IIF104" s="3"/>
      <c r="IIG104" s="3"/>
      <c r="IIH104" s="3"/>
      <c r="III104" s="3"/>
      <c r="IIJ104" s="3"/>
      <c r="IIK104" s="3"/>
      <c r="IIL104" s="3"/>
      <c r="IIM104" s="3"/>
      <c r="IIN104" s="3"/>
      <c r="IIO104" s="3"/>
      <c r="IIP104" s="3"/>
      <c r="IIQ104" s="3"/>
      <c r="IIR104" s="3"/>
      <c r="IIS104" s="3"/>
      <c r="IIT104" s="3"/>
      <c r="IIU104" s="3"/>
      <c r="IIV104" s="3"/>
      <c r="IIW104" s="3"/>
      <c r="IIX104" s="3"/>
      <c r="IIY104" s="3"/>
      <c r="IIZ104" s="3"/>
      <c r="IJA104" s="3"/>
      <c r="IJB104" s="3"/>
      <c r="IJC104" s="3"/>
      <c r="IJD104" s="3"/>
      <c r="IJE104" s="3"/>
      <c r="IJF104" s="3"/>
      <c r="IJG104" s="3"/>
      <c r="IJH104" s="3"/>
      <c r="IJI104" s="3"/>
      <c r="IJJ104" s="3"/>
      <c r="IJK104" s="3"/>
      <c r="IJL104" s="3"/>
      <c r="IJM104" s="3"/>
      <c r="IJN104" s="3"/>
      <c r="IJO104" s="3"/>
      <c r="IJP104" s="3"/>
      <c r="IJQ104" s="3"/>
      <c r="IJR104" s="3"/>
      <c r="IJS104" s="3"/>
      <c r="IJT104" s="3"/>
      <c r="IJU104" s="3"/>
      <c r="IJV104" s="3"/>
      <c r="IJW104" s="3"/>
      <c r="IJX104" s="3"/>
      <c r="IJY104" s="3"/>
      <c r="IJZ104" s="3"/>
      <c r="IKA104" s="3"/>
      <c r="IKB104" s="3"/>
      <c r="IKC104" s="3"/>
      <c r="IKD104" s="3"/>
      <c r="IKE104" s="3"/>
      <c r="IKF104" s="3"/>
      <c r="IKG104" s="3"/>
      <c r="IKH104" s="3"/>
      <c r="IKI104" s="3"/>
      <c r="IKJ104" s="3"/>
      <c r="IKK104" s="3"/>
      <c r="IKL104" s="3"/>
      <c r="IKM104" s="3"/>
      <c r="IKN104" s="3"/>
      <c r="IKO104" s="3"/>
      <c r="IKP104" s="3"/>
      <c r="IKQ104" s="3"/>
      <c r="IKR104" s="3"/>
      <c r="IKS104" s="3"/>
      <c r="IKT104" s="3"/>
      <c r="IKU104" s="3"/>
      <c r="IKV104" s="3"/>
      <c r="IKW104" s="3"/>
      <c r="IKX104" s="3"/>
      <c r="IKY104" s="3"/>
      <c r="IKZ104" s="3"/>
      <c r="ILA104" s="3"/>
      <c r="ILB104" s="3"/>
      <c r="ILC104" s="3"/>
      <c r="ILD104" s="3"/>
      <c r="ILE104" s="3"/>
      <c r="ILF104" s="3"/>
      <c r="ILG104" s="3"/>
      <c r="ILH104" s="3"/>
      <c r="ILI104" s="3"/>
      <c r="ILJ104" s="3"/>
      <c r="ILK104" s="3"/>
      <c r="ILL104" s="3"/>
      <c r="ILM104" s="3"/>
      <c r="ILN104" s="3"/>
      <c r="ILO104" s="3"/>
      <c r="ILP104" s="3"/>
      <c r="ILQ104" s="3"/>
      <c r="ILR104" s="3"/>
      <c r="ILS104" s="3"/>
      <c r="ILT104" s="3"/>
      <c r="ILU104" s="3"/>
      <c r="ILV104" s="3"/>
      <c r="ILW104" s="3"/>
      <c r="ILX104" s="3"/>
      <c r="ILY104" s="3"/>
      <c r="ILZ104" s="3"/>
      <c r="IMA104" s="3"/>
      <c r="IMB104" s="3"/>
      <c r="IMC104" s="3"/>
      <c r="IMD104" s="3"/>
      <c r="IME104" s="3"/>
      <c r="IMF104" s="3"/>
      <c r="IMG104" s="3"/>
      <c r="IMH104" s="3"/>
      <c r="IMI104" s="3"/>
      <c r="IMJ104" s="3"/>
      <c r="IMK104" s="3"/>
      <c r="IML104" s="3"/>
      <c r="IMM104" s="3"/>
      <c r="IMN104" s="3"/>
      <c r="IMO104" s="3"/>
      <c r="IMP104" s="3"/>
      <c r="IMQ104" s="3"/>
      <c r="IMR104" s="3"/>
      <c r="IMS104" s="3"/>
      <c r="IMT104" s="3"/>
      <c r="IMU104" s="3"/>
      <c r="IMV104" s="3"/>
      <c r="IMW104" s="3"/>
      <c r="IMX104" s="3"/>
      <c r="IMY104" s="3"/>
      <c r="IMZ104" s="3"/>
      <c r="INA104" s="3"/>
      <c r="INB104" s="3"/>
      <c r="INC104" s="3"/>
      <c r="IND104" s="3"/>
      <c r="INE104" s="3"/>
      <c r="INF104" s="3"/>
      <c r="ING104" s="3"/>
      <c r="INH104" s="3"/>
      <c r="INI104" s="3"/>
      <c r="INJ104" s="3"/>
      <c r="INK104" s="3"/>
      <c r="INL104" s="3"/>
      <c r="INM104" s="3"/>
      <c r="INN104" s="3"/>
      <c r="INO104" s="3"/>
      <c r="INP104" s="3"/>
      <c r="INQ104" s="3"/>
      <c r="INR104" s="3"/>
      <c r="INS104" s="3"/>
      <c r="INT104" s="3"/>
      <c r="INU104" s="3"/>
      <c r="INV104" s="3"/>
      <c r="INW104" s="3"/>
      <c r="INX104" s="3"/>
      <c r="INY104" s="3"/>
      <c r="INZ104" s="3"/>
      <c r="IOA104" s="3"/>
      <c r="IOB104" s="3"/>
      <c r="IOC104" s="3"/>
      <c r="IOD104" s="3"/>
      <c r="IOE104" s="3"/>
      <c r="IOF104" s="3"/>
      <c r="IOG104" s="3"/>
      <c r="IOH104" s="3"/>
      <c r="IOI104" s="3"/>
      <c r="IOJ104" s="3"/>
      <c r="IOK104" s="3"/>
      <c r="IOL104" s="3"/>
      <c r="IOM104" s="3"/>
      <c r="ION104" s="3"/>
      <c r="IOO104" s="3"/>
      <c r="IOP104" s="3"/>
      <c r="IOQ104" s="3"/>
      <c r="IOR104" s="3"/>
      <c r="IOS104" s="3"/>
      <c r="IOT104" s="3"/>
      <c r="IOU104" s="3"/>
      <c r="IOV104" s="3"/>
      <c r="IOW104" s="3"/>
      <c r="IOX104" s="3"/>
      <c r="IOY104" s="3"/>
      <c r="IOZ104" s="3"/>
      <c r="IPA104" s="3"/>
      <c r="IPB104" s="3"/>
      <c r="IPC104" s="3"/>
      <c r="IPD104" s="3"/>
      <c r="IPE104" s="3"/>
      <c r="IPF104" s="3"/>
      <c r="IPG104" s="3"/>
      <c r="IPH104" s="3"/>
      <c r="IPI104" s="3"/>
      <c r="IPJ104" s="3"/>
      <c r="IPK104" s="3"/>
      <c r="IPL104" s="3"/>
      <c r="IPM104" s="3"/>
      <c r="IPN104" s="3"/>
      <c r="IPO104" s="3"/>
      <c r="IPP104" s="3"/>
      <c r="IPQ104" s="3"/>
      <c r="IPR104" s="3"/>
      <c r="IPS104" s="3"/>
      <c r="IPT104" s="3"/>
      <c r="IPU104" s="3"/>
      <c r="IPV104" s="3"/>
      <c r="IPW104" s="3"/>
      <c r="IPX104" s="3"/>
      <c r="IPY104" s="3"/>
      <c r="IPZ104" s="3"/>
      <c r="IQA104" s="3"/>
      <c r="IQB104" s="3"/>
      <c r="IQC104" s="3"/>
      <c r="IQD104" s="3"/>
      <c r="IQE104" s="3"/>
      <c r="IQF104" s="3"/>
      <c r="IQG104" s="3"/>
      <c r="IQH104" s="3"/>
      <c r="IQI104" s="3"/>
      <c r="IQJ104" s="3"/>
      <c r="IQK104" s="3"/>
      <c r="IQL104" s="3"/>
      <c r="IQM104" s="3"/>
      <c r="IQN104" s="3"/>
      <c r="IQO104" s="3"/>
      <c r="IQP104" s="3"/>
      <c r="IQQ104" s="3"/>
      <c r="IQR104" s="3"/>
      <c r="IQS104" s="3"/>
      <c r="IQT104" s="3"/>
      <c r="IQU104" s="3"/>
      <c r="IQV104" s="3"/>
      <c r="IQW104" s="3"/>
      <c r="IQX104" s="3"/>
      <c r="IQY104" s="3"/>
      <c r="IQZ104" s="3"/>
      <c r="IRA104" s="3"/>
      <c r="IRB104" s="3"/>
      <c r="IRC104" s="3"/>
      <c r="IRD104" s="3"/>
      <c r="IRE104" s="3"/>
      <c r="IRF104" s="3"/>
      <c r="IRG104" s="3"/>
      <c r="IRH104" s="3"/>
      <c r="IRI104" s="3"/>
      <c r="IRJ104" s="3"/>
      <c r="IRK104" s="3"/>
      <c r="IRL104" s="3"/>
      <c r="IRM104" s="3"/>
      <c r="IRN104" s="3"/>
      <c r="IRO104" s="3"/>
      <c r="IRP104" s="3"/>
      <c r="IRQ104" s="3"/>
      <c r="IRR104" s="3"/>
      <c r="IRS104" s="3"/>
      <c r="IRT104" s="3"/>
      <c r="IRU104" s="3"/>
      <c r="IRV104" s="3"/>
      <c r="IRW104" s="3"/>
      <c r="IRX104" s="3"/>
      <c r="IRY104" s="3"/>
      <c r="IRZ104" s="3"/>
      <c r="ISA104" s="3"/>
      <c r="ISB104" s="3"/>
      <c r="ISC104" s="3"/>
      <c r="ISD104" s="3"/>
      <c r="ISE104" s="3"/>
      <c r="ISF104" s="3"/>
      <c r="ISG104" s="3"/>
      <c r="ISH104" s="3"/>
      <c r="ISI104" s="3"/>
      <c r="ISJ104" s="3"/>
      <c r="ISK104" s="3"/>
      <c r="ISL104" s="3"/>
      <c r="ISM104" s="3"/>
      <c r="ISN104" s="3"/>
      <c r="ISO104" s="3"/>
      <c r="ISP104" s="3"/>
      <c r="ISQ104" s="3"/>
      <c r="ISR104" s="3"/>
      <c r="ISS104" s="3"/>
      <c r="IST104" s="3"/>
      <c r="ISU104" s="3"/>
      <c r="ISV104" s="3"/>
      <c r="ISW104" s="3"/>
      <c r="ISX104" s="3"/>
      <c r="ISY104" s="3"/>
      <c r="ISZ104" s="3"/>
      <c r="ITA104" s="3"/>
      <c r="ITB104" s="3"/>
      <c r="ITC104" s="3"/>
      <c r="ITD104" s="3"/>
      <c r="ITE104" s="3"/>
      <c r="ITF104" s="3"/>
      <c r="ITG104" s="3"/>
      <c r="ITH104" s="3"/>
      <c r="ITI104" s="3"/>
      <c r="ITJ104" s="3"/>
      <c r="ITK104" s="3"/>
      <c r="ITL104" s="3"/>
      <c r="ITM104" s="3"/>
      <c r="ITN104" s="3"/>
      <c r="ITO104" s="3"/>
      <c r="ITP104" s="3"/>
      <c r="ITQ104" s="3"/>
      <c r="ITR104" s="3"/>
      <c r="ITS104" s="3"/>
      <c r="ITT104" s="3"/>
      <c r="ITU104" s="3"/>
      <c r="ITV104" s="3"/>
      <c r="ITW104" s="3"/>
      <c r="ITX104" s="3"/>
      <c r="ITY104" s="3"/>
      <c r="ITZ104" s="3"/>
      <c r="IUA104" s="3"/>
      <c r="IUB104" s="3"/>
      <c r="IUC104" s="3"/>
      <c r="IUD104" s="3"/>
      <c r="IUE104" s="3"/>
      <c r="IUF104" s="3"/>
      <c r="IUG104" s="3"/>
      <c r="IUH104" s="3"/>
      <c r="IUI104" s="3"/>
      <c r="IUJ104" s="3"/>
      <c r="IUK104" s="3"/>
      <c r="IUL104" s="3"/>
      <c r="IUM104" s="3"/>
      <c r="IUN104" s="3"/>
      <c r="IUO104" s="3"/>
      <c r="IUP104" s="3"/>
      <c r="IUQ104" s="3"/>
      <c r="IUR104" s="3"/>
      <c r="IUS104" s="3"/>
      <c r="IUT104" s="3"/>
      <c r="IUU104" s="3"/>
      <c r="IUV104" s="3"/>
      <c r="IUW104" s="3"/>
      <c r="IUX104" s="3"/>
      <c r="IUY104" s="3"/>
      <c r="IUZ104" s="3"/>
      <c r="IVA104" s="3"/>
      <c r="IVB104" s="3"/>
      <c r="IVC104" s="3"/>
      <c r="IVD104" s="3"/>
      <c r="IVE104" s="3"/>
      <c r="IVF104" s="3"/>
      <c r="IVG104" s="3"/>
      <c r="IVH104" s="3"/>
      <c r="IVI104" s="3"/>
      <c r="IVJ104" s="3"/>
      <c r="IVK104" s="3"/>
      <c r="IVL104" s="3"/>
      <c r="IVM104" s="3"/>
      <c r="IVN104" s="3"/>
      <c r="IVO104" s="3"/>
      <c r="IVP104" s="3"/>
      <c r="IVQ104" s="3"/>
      <c r="IVR104" s="3"/>
      <c r="IVS104" s="3"/>
      <c r="IVT104" s="3"/>
      <c r="IVU104" s="3"/>
      <c r="IVV104" s="3"/>
      <c r="IVW104" s="3"/>
      <c r="IVX104" s="3"/>
      <c r="IVY104" s="3"/>
      <c r="IVZ104" s="3"/>
      <c r="IWA104" s="3"/>
      <c r="IWB104" s="3"/>
      <c r="IWC104" s="3"/>
      <c r="IWD104" s="3"/>
      <c r="IWE104" s="3"/>
      <c r="IWF104" s="3"/>
      <c r="IWG104" s="3"/>
      <c r="IWH104" s="3"/>
      <c r="IWI104" s="3"/>
      <c r="IWJ104" s="3"/>
      <c r="IWK104" s="3"/>
      <c r="IWL104" s="3"/>
      <c r="IWM104" s="3"/>
      <c r="IWN104" s="3"/>
      <c r="IWO104" s="3"/>
      <c r="IWP104" s="3"/>
      <c r="IWQ104" s="3"/>
      <c r="IWR104" s="3"/>
      <c r="IWS104" s="3"/>
      <c r="IWT104" s="3"/>
      <c r="IWU104" s="3"/>
      <c r="IWV104" s="3"/>
      <c r="IWW104" s="3"/>
      <c r="IWX104" s="3"/>
      <c r="IWY104" s="3"/>
      <c r="IWZ104" s="3"/>
      <c r="IXA104" s="3"/>
      <c r="IXB104" s="3"/>
      <c r="IXC104" s="3"/>
      <c r="IXD104" s="3"/>
      <c r="IXE104" s="3"/>
      <c r="IXF104" s="3"/>
      <c r="IXG104" s="3"/>
      <c r="IXH104" s="3"/>
      <c r="IXI104" s="3"/>
      <c r="IXJ104" s="3"/>
      <c r="IXK104" s="3"/>
      <c r="IXL104" s="3"/>
      <c r="IXM104" s="3"/>
      <c r="IXN104" s="3"/>
      <c r="IXO104" s="3"/>
      <c r="IXP104" s="3"/>
      <c r="IXQ104" s="3"/>
      <c r="IXR104" s="3"/>
      <c r="IXS104" s="3"/>
      <c r="IXT104" s="3"/>
      <c r="IXU104" s="3"/>
      <c r="IXV104" s="3"/>
      <c r="IXW104" s="3"/>
      <c r="IXX104" s="3"/>
      <c r="IXY104" s="3"/>
      <c r="IXZ104" s="3"/>
      <c r="IYA104" s="3"/>
      <c r="IYB104" s="3"/>
      <c r="IYC104" s="3"/>
      <c r="IYD104" s="3"/>
      <c r="IYE104" s="3"/>
      <c r="IYF104" s="3"/>
      <c r="IYG104" s="3"/>
      <c r="IYH104" s="3"/>
      <c r="IYI104" s="3"/>
      <c r="IYJ104" s="3"/>
      <c r="IYK104" s="3"/>
      <c r="IYL104" s="3"/>
      <c r="IYM104" s="3"/>
      <c r="IYN104" s="3"/>
      <c r="IYO104" s="3"/>
      <c r="IYP104" s="3"/>
      <c r="IYQ104" s="3"/>
      <c r="IYR104" s="3"/>
      <c r="IYS104" s="3"/>
      <c r="IYT104" s="3"/>
      <c r="IYU104" s="3"/>
      <c r="IYV104" s="3"/>
      <c r="IYW104" s="3"/>
      <c r="IYX104" s="3"/>
      <c r="IYY104" s="3"/>
      <c r="IYZ104" s="3"/>
      <c r="IZA104" s="3"/>
      <c r="IZB104" s="3"/>
      <c r="IZC104" s="3"/>
      <c r="IZD104" s="3"/>
      <c r="IZE104" s="3"/>
      <c r="IZF104" s="3"/>
      <c r="IZG104" s="3"/>
      <c r="IZH104" s="3"/>
      <c r="IZI104" s="3"/>
      <c r="IZJ104" s="3"/>
      <c r="IZK104" s="3"/>
      <c r="IZL104" s="3"/>
      <c r="IZM104" s="3"/>
      <c r="IZN104" s="3"/>
      <c r="IZO104" s="3"/>
      <c r="IZP104" s="3"/>
      <c r="IZQ104" s="3"/>
      <c r="IZR104" s="3"/>
      <c r="IZS104" s="3"/>
      <c r="IZT104" s="3"/>
      <c r="IZU104" s="3"/>
      <c r="IZV104" s="3"/>
      <c r="IZW104" s="3"/>
      <c r="IZX104" s="3"/>
      <c r="IZY104" s="3"/>
      <c r="IZZ104" s="3"/>
      <c r="JAA104" s="3"/>
      <c r="JAB104" s="3"/>
      <c r="JAC104" s="3"/>
      <c r="JAD104" s="3"/>
      <c r="JAE104" s="3"/>
      <c r="JAF104" s="3"/>
      <c r="JAG104" s="3"/>
      <c r="JAH104" s="3"/>
      <c r="JAI104" s="3"/>
      <c r="JAJ104" s="3"/>
      <c r="JAK104" s="3"/>
      <c r="JAL104" s="3"/>
      <c r="JAM104" s="3"/>
      <c r="JAN104" s="3"/>
      <c r="JAO104" s="3"/>
      <c r="JAP104" s="3"/>
      <c r="JAQ104" s="3"/>
      <c r="JAR104" s="3"/>
      <c r="JAS104" s="3"/>
      <c r="JAT104" s="3"/>
      <c r="JAU104" s="3"/>
      <c r="JAV104" s="3"/>
      <c r="JAW104" s="3"/>
      <c r="JAX104" s="3"/>
      <c r="JAY104" s="3"/>
      <c r="JAZ104" s="3"/>
      <c r="JBA104" s="3"/>
      <c r="JBB104" s="3"/>
      <c r="JBC104" s="3"/>
      <c r="JBD104" s="3"/>
      <c r="JBE104" s="3"/>
      <c r="JBF104" s="3"/>
      <c r="JBG104" s="3"/>
      <c r="JBH104" s="3"/>
      <c r="JBI104" s="3"/>
      <c r="JBJ104" s="3"/>
      <c r="JBK104" s="3"/>
      <c r="JBL104" s="3"/>
      <c r="JBM104" s="3"/>
      <c r="JBN104" s="3"/>
      <c r="JBO104" s="3"/>
      <c r="JBP104" s="3"/>
      <c r="JBQ104" s="3"/>
      <c r="JBR104" s="3"/>
      <c r="JBS104" s="3"/>
      <c r="JBT104" s="3"/>
      <c r="JBU104" s="3"/>
      <c r="JBV104" s="3"/>
      <c r="JBW104" s="3"/>
      <c r="JBX104" s="3"/>
      <c r="JBY104" s="3"/>
      <c r="JBZ104" s="3"/>
      <c r="JCA104" s="3"/>
      <c r="JCB104" s="3"/>
      <c r="JCC104" s="3"/>
      <c r="JCD104" s="3"/>
      <c r="JCE104" s="3"/>
      <c r="JCF104" s="3"/>
      <c r="JCG104" s="3"/>
      <c r="JCH104" s="3"/>
      <c r="JCI104" s="3"/>
      <c r="JCJ104" s="3"/>
      <c r="JCK104" s="3"/>
      <c r="JCL104" s="3"/>
      <c r="JCM104" s="3"/>
      <c r="JCN104" s="3"/>
      <c r="JCO104" s="3"/>
      <c r="JCP104" s="3"/>
      <c r="JCQ104" s="3"/>
      <c r="JCR104" s="3"/>
      <c r="JCS104" s="3"/>
      <c r="JCT104" s="3"/>
      <c r="JCU104" s="3"/>
      <c r="JCV104" s="3"/>
      <c r="JCW104" s="3"/>
      <c r="JCX104" s="3"/>
      <c r="JCY104" s="3"/>
      <c r="JCZ104" s="3"/>
      <c r="JDA104" s="3"/>
      <c r="JDB104" s="3"/>
      <c r="JDC104" s="3"/>
      <c r="JDD104" s="3"/>
      <c r="JDE104" s="3"/>
      <c r="JDF104" s="3"/>
      <c r="JDG104" s="3"/>
      <c r="JDH104" s="3"/>
      <c r="JDI104" s="3"/>
      <c r="JDJ104" s="3"/>
      <c r="JDK104" s="3"/>
      <c r="JDL104" s="3"/>
      <c r="JDM104" s="3"/>
      <c r="JDN104" s="3"/>
      <c r="JDO104" s="3"/>
      <c r="JDP104" s="3"/>
      <c r="JDQ104" s="3"/>
      <c r="JDR104" s="3"/>
      <c r="JDS104" s="3"/>
      <c r="JDT104" s="3"/>
      <c r="JDU104" s="3"/>
      <c r="JDV104" s="3"/>
      <c r="JDW104" s="3"/>
      <c r="JDX104" s="3"/>
      <c r="JDY104" s="3"/>
      <c r="JDZ104" s="3"/>
      <c r="JEA104" s="3"/>
      <c r="JEB104" s="3"/>
      <c r="JEC104" s="3"/>
      <c r="JED104" s="3"/>
      <c r="JEE104" s="3"/>
      <c r="JEF104" s="3"/>
      <c r="JEG104" s="3"/>
      <c r="JEH104" s="3"/>
      <c r="JEI104" s="3"/>
      <c r="JEJ104" s="3"/>
      <c r="JEK104" s="3"/>
      <c r="JEL104" s="3"/>
      <c r="JEM104" s="3"/>
      <c r="JEN104" s="3"/>
      <c r="JEO104" s="3"/>
      <c r="JEP104" s="3"/>
      <c r="JEQ104" s="3"/>
      <c r="JER104" s="3"/>
      <c r="JES104" s="3"/>
      <c r="JET104" s="3"/>
      <c r="JEU104" s="3"/>
      <c r="JEV104" s="3"/>
      <c r="JEW104" s="3"/>
      <c r="JEX104" s="3"/>
      <c r="JEY104" s="3"/>
      <c r="JEZ104" s="3"/>
      <c r="JFA104" s="3"/>
      <c r="JFB104" s="3"/>
      <c r="JFC104" s="3"/>
      <c r="JFD104" s="3"/>
      <c r="JFE104" s="3"/>
      <c r="JFF104" s="3"/>
      <c r="JFG104" s="3"/>
      <c r="JFH104" s="3"/>
      <c r="JFI104" s="3"/>
      <c r="JFJ104" s="3"/>
      <c r="JFK104" s="3"/>
      <c r="JFL104" s="3"/>
      <c r="JFM104" s="3"/>
      <c r="JFN104" s="3"/>
      <c r="JFO104" s="3"/>
      <c r="JFP104" s="3"/>
      <c r="JFQ104" s="3"/>
      <c r="JFR104" s="3"/>
      <c r="JFS104" s="3"/>
      <c r="JFT104" s="3"/>
      <c r="JFU104" s="3"/>
      <c r="JFV104" s="3"/>
      <c r="JFW104" s="3"/>
      <c r="JFX104" s="3"/>
      <c r="JFY104" s="3"/>
      <c r="JFZ104" s="3"/>
      <c r="JGA104" s="3"/>
      <c r="JGB104" s="3"/>
      <c r="JGC104" s="3"/>
      <c r="JGD104" s="3"/>
      <c r="JGE104" s="3"/>
      <c r="JGF104" s="3"/>
      <c r="JGG104" s="3"/>
      <c r="JGH104" s="3"/>
      <c r="JGI104" s="3"/>
      <c r="JGJ104" s="3"/>
      <c r="JGK104" s="3"/>
      <c r="JGL104" s="3"/>
      <c r="JGM104" s="3"/>
      <c r="JGN104" s="3"/>
      <c r="JGO104" s="3"/>
      <c r="JGP104" s="3"/>
      <c r="JGQ104" s="3"/>
      <c r="JGR104" s="3"/>
      <c r="JGS104" s="3"/>
      <c r="JGT104" s="3"/>
      <c r="JGU104" s="3"/>
      <c r="JGV104" s="3"/>
      <c r="JGW104" s="3"/>
      <c r="JGX104" s="3"/>
      <c r="JGY104" s="3"/>
      <c r="JGZ104" s="3"/>
      <c r="JHA104" s="3"/>
      <c r="JHB104" s="3"/>
      <c r="JHC104" s="3"/>
      <c r="JHD104" s="3"/>
      <c r="JHE104" s="3"/>
      <c r="JHF104" s="3"/>
      <c r="JHG104" s="3"/>
      <c r="JHH104" s="3"/>
      <c r="JHI104" s="3"/>
      <c r="JHJ104" s="3"/>
      <c r="JHK104" s="3"/>
      <c r="JHL104" s="3"/>
      <c r="JHM104" s="3"/>
      <c r="JHN104" s="3"/>
      <c r="JHO104" s="3"/>
      <c r="JHP104" s="3"/>
      <c r="JHQ104" s="3"/>
      <c r="JHR104" s="3"/>
      <c r="JHS104" s="3"/>
      <c r="JHT104" s="3"/>
      <c r="JHU104" s="3"/>
      <c r="JHV104" s="3"/>
      <c r="JHW104" s="3"/>
      <c r="JHX104" s="3"/>
      <c r="JHY104" s="3"/>
      <c r="JHZ104" s="3"/>
      <c r="JIA104" s="3"/>
      <c r="JIB104" s="3"/>
      <c r="JIC104" s="3"/>
      <c r="JID104" s="3"/>
      <c r="JIE104" s="3"/>
      <c r="JIF104" s="3"/>
      <c r="JIG104" s="3"/>
      <c r="JIH104" s="3"/>
      <c r="JII104" s="3"/>
      <c r="JIJ104" s="3"/>
      <c r="JIK104" s="3"/>
      <c r="JIL104" s="3"/>
      <c r="JIM104" s="3"/>
      <c r="JIN104" s="3"/>
      <c r="JIO104" s="3"/>
      <c r="JIP104" s="3"/>
      <c r="JIQ104" s="3"/>
      <c r="JIR104" s="3"/>
      <c r="JIS104" s="3"/>
      <c r="JIT104" s="3"/>
      <c r="JIU104" s="3"/>
      <c r="JIV104" s="3"/>
      <c r="JIW104" s="3"/>
      <c r="JIX104" s="3"/>
      <c r="JIY104" s="3"/>
      <c r="JIZ104" s="3"/>
      <c r="JJA104" s="3"/>
      <c r="JJB104" s="3"/>
      <c r="JJC104" s="3"/>
      <c r="JJD104" s="3"/>
      <c r="JJE104" s="3"/>
      <c r="JJF104" s="3"/>
      <c r="JJG104" s="3"/>
      <c r="JJH104" s="3"/>
      <c r="JJI104" s="3"/>
      <c r="JJJ104" s="3"/>
      <c r="JJK104" s="3"/>
      <c r="JJL104" s="3"/>
      <c r="JJM104" s="3"/>
      <c r="JJN104" s="3"/>
      <c r="JJO104" s="3"/>
      <c r="JJP104" s="3"/>
      <c r="JJQ104" s="3"/>
      <c r="JJR104" s="3"/>
      <c r="JJS104" s="3"/>
      <c r="JJT104" s="3"/>
      <c r="JJU104" s="3"/>
      <c r="JJV104" s="3"/>
      <c r="JJW104" s="3"/>
      <c r="JJX104" s="3"/>
      <c r="JJY104" s="3"/>
      <c r="JJZ104" s="3"/>
      <c r="JKA104" s="3"/>
      <c r="JKB104" s="3"/>
      <c r="JKC104" s="3"/>
      <c r="JKD104" s="3"/>
      <c r="JKE104" s="3"/>
      <c r="JKF104" s="3"/>
      <c r="JKG104" s="3"/>
      <c r="JKH104" s="3"/>
      <c r="JKI104" s="3"/>
      <c r="JKJ104" s="3"/>
      <c r="JKK104" s="3"/>
      <c r="JKL104" s="3"/>
      <c r="JKM104" s="3"/>
      <c r="JKN104" s="3"/>
      <c r="JKO104" s="3"/>
      <c r="JKP104" s="3"/>
      <c r="JKQ104" s="3"/>
      <c r="JKR104" s="3"/>
      <c r="JKS104" s="3"/>
      <c r="JKT104" s="3"/>
      <c r="JKU104" s="3"/>
      <c r="JKV104" s="3"/>
      <c r="JKW104" s="3"/>
      <c r="JKX104" s="3"/>
      <c r="JKY104" s="3"/>
      <c r="JKZ104" s="3"/>
      <c r="JLA104" s="3"/>
      <c r="JLB104" s="3"/>
      <c r="JLC104" s="3"/>
      <c r="JLD104" s="3"/>
      <c r="JLE104" s="3"/>
      <c r="JLF104" s="3"/>
      <c r="JLG104" s="3"/>
      <c r="JLH104" s="3"/>
      <c r="JLI104" s="3"/>
      <c r="JLJ104" s="3"/>
      <c r="JLK104" s="3"/>
      <c r="JLL104" s="3"/>
      <c r="JLM104" s="3"/>
      <c r="JLN104" s="3"/>
      <c r="JLO104" s="3"/>
      <c r="JLP104" s="3"/>
      <c r="JLQ104" s="3"/>
      <c r="JLR104" s="3"/>
      <c r="JLS104" s="3"/>
      <c r="JLT104" s="3"/>
      <c r="JLU104" s="3"/>
      <c r="JLV104" s="3"/>
      <c r="JLW104" s="3"/>
      <c r="JLX104" s="3"/>
      <c r="JLY104" s="3"/>
      <c r="JLZ104" s="3"/>
      <c r="JMA104" s="3"/>
      <c r="JMB104" s="3"/>
      <c r="JMC104" s="3"/>
      <c r="JMD104" s="3"/>
      <c r="JME104" s="3"/>
      <c r="JMF104" s="3"/>
      <c r="JMG104" s="3"/>
      <c r="JMH104" s="3"/>
      <c r="JMI104" s="3"/>
      <c r="JMJ104" s="3"/>
      <c r="JMK104" s="3"/>
      <c r="JML104" s="3"/>
      <c r="JMM104" s="3"/>
      <c r="JMN104" s="3"/>
      <c r="JMO104" s="3"/>
      <c r="JMP104" s="3"/>
      <c r="JMQ104" s="3"/>
      <c r="JMR104" s="3"/>
      <c r="JMS104" s="3"/>
      <c r="JMT104" s="3"/>
      <c r="JMU104" s="3"/>
      <c r="JMV104" s="3"/>
      <c r="JMW104" s="3"/>
      <c r="JMX104" s="3"/>
      <c r="JMY104" s="3"/>
      <c r="JMZ104" s="3"/>
      <c r="JNA104" s="3"/>
      <c r="JNB104" s="3"/>
      <c r="JNC104" s="3"/>
      <c r="JND104" s="3"/>
      <c r="JNE104" s="3"/>
      <c r="JNF104" s="3"/>
      <c r="JNG104" s="3"/>
      <c r="JNH104" s="3"/>
      <c r="JNI104" s="3"/>
      <c r="JNJ104" s="3"/>
      <c r="JNK104" s="3"/>
      <c r="JNL104" s="3"/>
      <c r="JNM104" s="3"/>
      <c r="JNN104" s="3"/>
      <c r="JNO104" s="3"/>
      <c r="JNP104" s="3"/>
      <c r="JNQ104" s="3"/>
      <c r="JNR104" s="3"/>
      <c r="JNS104" s="3"/>
      <c r="JNT104" s="3"/>
      <c r="JNU104" s="3"/>
      <c r="JNV104" s="3"/>
      <c r="JNW104" s="3"/>
      <c r="JNX104" s="3"/>
      <c r="JNY104" s="3"/>
      <c r="JNZ104" s="3"/>
      <c r="JOA104" s="3"/>
      <c r="JOB104" s="3"/>
      <c r="JOC104" s="3"/>
      <c r="JOD104" s="3"/>
      <c r="JOE104" s="3"/>
      <c r="JOF104" s="3"/>
      <c r="JOG104" s="3"/>
      <c r="JOH104" s="3"/>
      <c r="JOI104" s="3"/>
      <c r="JOJ104" s="3"/>
      <c r="JOK104" s="3"/>
      <c r="JOL104" s="3"/>
      <c r="JOM104" s="3"/>
      <c r="JON104" s="3"/>
      <c r="JOO104" s="3"/>
      <c r="JOP104" s="3"/>
      <c r="JOQ104" s="3"/>
      <c r="JOR104" s="3"/>
      <c r="JOS104" s="3"/>
      <c r="JOT104" s="3"/>
      <c r="JOU104" s="3"/>
      <c r="JOV104" s="3"/>
      <c r="JOW104" s="3"/>
      <c r="JOX104" s="3"/>
      <c r="JOY104" s="3"/>
      <c r="JOZ104" s="3"/>
      <c r="JPA104" s="3"/>
      <c r="JPB104" s="3"/>
      <c r="JPC104" s="3"/>
      <c r="JPD104" s="3"/>
      <c r="JPE104" s="3"/>
      <c r="JPF104" s="3"/>
      <c r="JPG104" s="3"/>
      <c r="JPH104" s="3"/>
      <c r="JPI104" s="3"/>
      <c r="JPJ104" s="3"/>
      <c r="JPK104" s="3"/>
      <c r="JPL104" s="3"/>
      <c r="JPM104" s="3"/>
      <c r="JPN104" s="3"/>
      <c r="JPO104" s="3"/>
      <c r="JPP104" s="3"/>
      <c r="JPQ104" s="3"/>
      <c r="JPR104" s="3"/>
      <c r="JPS104" s="3"/>
      <c r="JPT104" s="3"/>
      <c r="JPU104" s="3"/>
      <c r="JPV104" s="3"/>
      <c r="JPW104" s="3"/>
      <c r="JPX104" s="3"/>
      <c r="JPY104" s="3"/>
      <c r="JPZ104" s="3"/>
      <c r="JQA104" s="3"/>
      <c r="JQB104" s="3"/>
      <c r="JQC104" s="3"/>
      <c r="JQD104" s="3"/>
      <c r="JQE104" s="3"/>
      <c r="JQF104" s="3"/>
      <c r="JQG104" s="3"/>
      <c r="JQH104" s="3"/>
      <c r="JQI104" s="3"/>
      <c r="JQJ104" s="3"/>
      <c r="JQK104" s="3"/>
      <c r="JQL104" s="3"/>
      <c r="JQM104" s="3"/>
      <c r="JQN104" s="3"/>
      <c r="JQO104" s="3"/>
      <c r="JQP104" s="3"/>
      <c r="JQQ104" s="3"/>
      <c r="JQR104" s="3"/>
      <c r="JQS104" s="3"/>
      <c r="JQT104" s="3"/>
      <c r="JQU104" s="3"/>
      <c r="JQV104" s="3"/>
      <c r="JQW104" s="3"/>
      <c r="JQX104" s="3"/>
      <c r="JQY104" s="3"/>
      <c r="JQZ104" s="3"/>
      <c r="JRA104" s="3"/>
      <c r="JRB104" s="3"/>
      <c r="JRC104" s="3"/>
      <c r="JRD104" s="3"/>
      <c r="JRE104" s="3"/>
      <c r="JRF104" s="3"/>
      <c r="JRG104" s="3"/>
      <c r="JRH104" s="3"/>
      <c r="JRI104" s="3"/>
      <c r="JRJ104" s="3"/>
      <c r="JRK104" s="3"/>
      <c r="JRL104" s="3"/>
      <c r="JRM104" s="3"/>
      <c r="JRN104" s="3"/>
      <c r="JRO104" s="3"/>
      <c r="JRP104" s="3"/>
      <c r="JRQ104" s="3"/>
      <c r="JRR104" s="3"/>
      <c r="JRS104" s="3"/>
      <c r="JRT104" s="3"/>
      <c r="JRU104" s="3"/>
      <c r="JRV104" s="3"/>
      <c r="JRW104" s="3"/>
      <c r="JRX104" s="3"/>
      <c r="JRY104" s="3"/>
      <c r="JRZ104" s="3"/>
      <c r="JSA104" s="3"/>
      <c r="JSB104" s="3"/>
      <c r="JSC104" s="3"/>
      <c r="JSD104" s="3"/>
      <c r="JSE104" s="3"/>
      <c r="JSF104" s="3"/>
      <c r="JSG104" s="3"/>
      <c r="JSH104" s="3"/>
      <c r="JSI104" s="3"/>
      <c r="JSJ104" s="3"/>
      <c r="JSK104" s="3"/>
      <c r="JSL104" s="3"/>
      <c r="JSM104" s="3"/>
      <c r="JSN104" s="3"/>
      <c r="JSO104" s="3"/>
      <c r="JSP104" s="3"/>
      <c r="JSQ104" s="3"/>
      <c r="JSR104" s="3"/>
      <c r="JSS104" s="3"/>
      <c r="JST104" s="3"/>
      <c r="JSU104" s="3"/>
      <c r="JSV104" s="3"/>
      <c r="JSW104" s="3"/>
      <c r="JSX104" s="3"/>
      <c r="JSY104" s="3"/>
      <c r="JSZ104" s="3"/>
      <c r="JTA104" s="3"/>
      <c r="JTB104" s="3"/>
      <c r="JTC104" s="3"/>
      <c r="JTD104" s="3"/>
      <c r="JTE104" s="3"/>
      <c r="JTF104" s="3"/>
      <c r="JTG104" s="3"/>
      <c r="JTH104" s="3"/>
      <c r="JTI104" s="3"/>
      <c r="JTJ104" s="3"/>
      <c r="JTK104" s="3"/>
      <c r="JTL104" s="3"/>
      <c r="JTM104" s="3"/>
      <c r="JTN104" s="3"/>
      <c r="JTO104" s="3"/>
      <c r="JTP104" s="3"/>
      <c r="JTQ104" s="3"/>
      <c r="JTR104" s="3"/>
      <c r="JTS104" s="3"/>
      <c r="JTT104" s="3"/>
      <c r="JTU104" s="3"/>
      <c r="JTV104" s="3"/>
      <c r="JTW104" s="3"/>
      <c r="JTX104" s="3"/>
      <c r="JTY104" s="3"/>
      <c r="JTZ104" s="3"/>
      <c r="JUA104" s="3"/>
      <c r="JUB104" s="3"/>
      <c r="JUC104" s="3"/>
      <c r="JUD104" s="3"/>
      <c r="JUE104" s="3"/>
      <c r="JUF104" s="3"/>
      <c r="JUG104" s="3"/>
      <c r="JUH104" s="3"/>
      <c r="JUI104" s="3"/>
      <c r="JUJ104" s="3"/>
      <c r="JUK104" s="3"/>
      <c r="JUL104" s="3"/>
      <c r="JUM104" s="3"/>
      <c r="JUN104" s="3"/>
      <c r="JUO104" s="3"/>
      <c r="JUP104" s="3"/>
      <c r="JUQ104" s="3"/>
      <c r="JUR104" s="3"/>
      <c r="JUS104" s="3"/>
      <c r="JUT104" s="3"/>
      <c r="JUU104" s="3"/>
      <c r="JUV104" s="3"/>
      <c r="JUW104" s="3"/>
      <c r="JUX104" s="3"/>
      <c r="JUY104" s="3"/>
      <c r="JUZ104" s="3"/>
      <c r="JVA104" s="3"/>
      <c r="JVB104" s="3"/>
      <c r="JVC104" s="3"/>
      <c r="JVD104" s="3"/>
      <c r="JVE104" s="3"/>
      <c r="JVF104" s="3"/>
      <c r="JVG104" s="3"/>
      <c r="JVH104" s="3"/>
      <c r="JVI104" s="3"/>
      <c r="JVJ104" s="3"/>
      <c r="JVK104" s="3"/>
      <c r="JVL104" s="3"/>
      <c r="JVM104" s="3"/>
      <c r="JVN104" s="3"/>
      <c r="JVO104" s="3"/>
      <c r="JVP104" s="3"/>
      <c r="JVQ104" s="3"/>
      <c r="JVR104" s="3"/>
      <c r="JVS104" s="3"/>
      <c r="JVT104" s="3"/>
      <c r="JVU104" s="3"/>
      <c r="JVV104" s="3"/>
      <c r="JVW104" s="3"/>
      <c r="JVX104" s="3"/>
      <c r="JVY104" s="3"/>
      <c r="JVZ104" s="3"/>
      <c r="JWA104" s="3"/>
      <c r="JWB104" s="3"/>
      <c r="JWC104" s="3"/>
      <c r="JWD104" s="3"/>
      <c r="JWE104" s="3"/>
      <c r="JWF104" s="3"/>
      <c r="JWG104" s="3"/>
      <c r="JWH104" s="3"/>
      <c r="JWI104" s="3"/>
      <c r="JWJ104" s="3"/>
      <c r="JWK104" s="3"/>
      <c r="JWL104" s="3"/>
      <c r="JWM104" s="3"/>
      <c r="JWN104" s="3"/>
      <c r="JWO104" s="3"/>
      <c r="JWP104" s="3"/>
      <c r="JWQ104" s="3"/>
      <c r="JWR104" s="3"/>
      <c r="JWS104" s="3"/>
      <c r="JWT104" s="3"/>
      <c r="JWU104" s="3"/>
      <c r="JWV104" s="3"/>
      <c r="JWW104" s="3"/>
      <c r="JWX104" s="3"/>
      <c r="JWY104" s="3"/>
      <c r="JWZ104" s="3"/>
      <c r="JXA104" s="3"/>
      <c r="JXB104" s="3"/>
      <c r="JXC104" s="3"/>
      <c r="JXD104" s="3"/>
      <c r="JXE104" s="3"/>
      <c r="JXF104" s="3"/>
      <c r="JXG104" s="3"/>
      <c r="JXH104" s="3"/>
      <c r="JXI104" s="3"/>
      <c r="JXJ104" s="3"/>
      <c r="JXK104" s="3"/>
      <c r="JXL104" s="3"/>
      <c r="JXM104" s="3"/>
      <c r="JXN104" s="3"/>
      <c r="JXO104" s="3"/>
      <c r="JXP104" s="3"/>
      <c r="JXQ104" s="3"/>
      <c r="JXR104" s="3"/>
      <c r="JXS104" s="3"/>
      <c r="JXT104" s="3"/>
      <c r="JXU104" s="3"/>
      <c r="JXV104" s="3"/>
      <c r="JXW104" s="3"/>
      <c r="JXX104" s="3"/>
      <c r="JXY104" s="3"/>
      <c r="JXZ104" s="3"/>
      <c r="JYA104" s="3"/>
      <c r="JYB104" s="3"/>
      <c r="JYC104" s="3"/>
      <c r="JYD104" s="3"/>
      <c r="JYE104" s="3"/>
      <c r="JYF104" s="3"/>
      <c r="JYG104" s="3"/>
      <c r="JYH104" s="3"/>
      <c r="JYI104" s="3"/>
      <c r="JYJ104" s="3"/>
      <c r="JYK104" s="3"/>
      <c r="JYL104" s="3"/>
      <c r="JYM104" s="3"/>
      <c r="JYN104" s="3"/>
      <c r="JYO104" s="3"/>
      <c r="JYP104" s="3"/>
      <c r="JYQ104" s="3"/>
      <c r="JYR104" s="3"/>
      <c r="JYS104" s="3"/>
      <c r="JYT104" s="3"/>
      <c r="JYU104" s="3"/>
      <c r="JYV104" s="3"/>
      <c r="JYW104" s="3"/>
      <c r="JYX104" s="3"/>
      <c r="JYY104" s="3"/>
      <c r="JYZ104" s="3"/>
      <c r="JZA104" s="3"/>
      <c r="JZB104" s="3"/>
      <c r="JZC104" s="3"/>
      <c r="JZD104" s="3"/>
      <c r="JZE104" s="3"/>
      <c r="JZF104" s="3"/>
      <c r="JZG104" s="3"/>
      <c r="JZH104" s="3"/>
      <c r="JZI104" s="3"/>
      <c r="JZJ104" s="3"/>
      <c r="JZK104" s="3"/>
      <c r="JZL104" s="3"/>
      <c r="JZM104" s="3"/>
      <c r="JZN104" s="3"/>
      <c r="JZO104" s="3"/>
      <c r="JZP104" s="3"/>
      <c r="JZQ104" s="3"/>
      <c r="JZR104" s="3"/>
      <c r="JZS104" s="3"/>
      <c r="JZT104" s="3"/>
      <c r="JZU104" s="3"/>
      <c r="JZV104" s="3"/>
      <c r="JZW104" s="3"/>
      <c r="JZX104" s="3"/>
      <c r="JZY104" s="3"/>
      <c r="JZZ104" s="3"/>
      <c r="KAA104" s="3"/>
      <c r="KAB104" s="3"/>
      <c r="KAC104" s="3"/>
      <c r="KAD104" s="3"/>
      <c r="KAE104" s="3"/>
      <c r="KAF104" s="3"/>
      <c r="KAG104" s="3"/>
      <c r="KAH104" s="3"/>
      <c r="KAI104" s="3"/>
      <c r="KAJ104" s="3"/>
      <c r="KAK104" s="3"/>
      <c r="KAL104" s="3"/>
      <c r="KAM104" s="3"/>
      <c r="KAN104" s="3"/>
      <c r="KAO104" s="3"/>
      <c r="KAP104" s="3"/>
      <c r="KAQ104" s="3"/>
      <c r="KAR104" s="3"/>
      <c r="KAS104" s="3"/>
      <c r="KAT104" s="3"/>
      <c r="KAU104" s="3"/>
      <c r="KAV104" s="3"/>
      <c r="KAW104" s="3"/>
      <c r="KAX104" s="3"/>
      <c r="KAY104" s="3"/>
      <c r="KAZ104" s="3"/>
      <c r="KBA104" s="3"/>
      <c r="KBB104" s="3"/>
      <c r="KBC104" s="3"/>
      <c r="KBD104" s="3"/>
      <c r="KBE104" s="3"/>
      <c r="KBF104" s="3"/>
      <c r="KBG104" s="3"/>
      <c r="KBH104" s="3"/>
      <c r="KBI104" s="3"/>
      <c r="KBJ104" s="3"/>
      <c r="KBK104" s="3"/>
      <c r="KBL104" s="3"/>
      <c r="KBM104" s="3"/>
      <c r="KBN104" s="3"/>
      <c r="KBO104" s="3"/>
      <c r="KBP104" s="3"/>
      <c r="KBQ104" s="3"/>
      <c r="KBR104" s="3"/>
      <c r="KBS104" s="3"/>
      <c r="KBT104" s="3"/>
      <c r="KBU104" s="3"/>
      <c r="KBV104" s="3"/>
      <c r="KBW104" s="3"/>
      <c r="KBX104" s="3"/>
      <c r="KBY104" s="3"/>
      <c r="KBZ104" s="3"/>
      <c r="KCA104" s="3"/>
      <c r="KCB104" s="3"/>
      <c r="KCC104" s="3"/>
      <c r="KCD104" s="3"/>
      <c r="KCE104" s="3"/>
      <c r="KCF104" s="3"/>
      <c r="KCG104" s="3"/>
      <c r="KCH104" s="3"/>
      <c r="KCI104" s="3"/>
      <c r="KCJ104" s="3"/>
      <c r="KCK104" s="3"/>
      <c r="KCL104" s="3"/>
      <c r="KCM104" s="3"/>
      <c r="KCN104" s="3"/>
      <c r="KCO104" s="3"/>
      <c r="KCP104" s="3"/>
      <c r="KCQ104" s="3"/>
      <c r="KCR104" s="3"/>
      <c r="KCS104" s="3"/>
      <c r="KCT104" s="3"/>
      <c r="KCU104" s="3"/>
      <c r="KCV104" s="3"/>
      <c r="KCW104" s="3"/>
      <c r="KCX104" s="3"/>
      <c r="KCY104" s="3"/>
      <c r="KCZ104" s="3"/>
      <c r="KDA104" s="3"/>
      <c r="KDB104" s="3"/>
      <c r="KDC104" s="3"/>
      <c r="KDD104" s="3"/>
      <c r="KDE104" s="3"/>
      <c r="KDF104" s="3"/>
      <c r="KDG104" s="3"/>
      <c r="KDH104" s="3"/>
      <c r="KDI104" s="3"/>
      <c r="KDJ104" s="3"/>
      <c r="KDK104" s="3"/>
      <c r="KDL104" s="3"/>
      <c r="KDM104" s="3"/>
      <c r="KDN104" s="3"/>
      <c r="KDO104" s="3"/>
      <c r="KDP104" s="3"/>
      <c r="KDQ104" s="3"/>
      <c r="KDR104" s="3"/>
      <c r="KDS104" s="3"/>
      <c r="KDT104" s="3"/>
      <c r="KDU104" s="3"/>
      <c r="KDV104" s="3"/>
      <c r="KDW104" s="3"/>
      <c r="KDX104" s="3"/>
      <c r="KDY104" s="3"/>
      <c r="KDZ104" s="3"/>
      <c r="KEA104" s="3"/>
      <c r="KEB104" s="3"/>
      <c r="KEC104" s="3"/>
      <c r="KED104" s="3"/>
      <c r="KEE104" s="3"/>
      <c r="KEF104" s="3"/>
      <c r="KEG104" s="3"/>
      <c r="KEH104" s="3"/>
      <c r="KEI104" s="3"/>
      <c r="KEJ104" s="3"/>
      <c r="KEK104" s="3"/>
      <c r="KEL104" s="3"/>
      <c r="KEM104" s="3"/>
      <c r="KEN104" s="3"/>
      <c r="KEO104" s="3"/>
      <c r="KEP104" s="3"/>
      <c r="KEQ104" s="3"/>
      <c r="KER104" s="3"/>
      <c r="KES104" s="3"/>
      <c r="KET104" s="3"/>
      <c r="KEU104" s="3"/>
      <c r="KEV104" s="3"/>
      <c r="KEW104" s="3"/>
      <c r="KEX104" s="3"/>
      <c r="KEY104" s="3"/>
      <c r="KEZ104" s="3"/>
      <c r="KFA104" s="3"/>
      <c r="KFB104" s="3"/>
      <c r="KFC104" s="3"/>
      <c r="KFD104" s="3"/>
      <c r="KFE104" s="3"/>
      <c r="KFF104" s="3"/>
      <c r="KFG104" s="3"/>
      <c r="KFH104" s="3"/>
      <c r="KFI104" s="3"/>
      <c r="KFJ104" s="3"/>
      <c r="KFK104" s="3"/>
      <c r="KFL104" s="3"/>
      <c r="KFM104" s="3"/>
      <c r="KFN104" s="3"/>
      <c r="KFO104" s="3"/>
      <c r="KFP104" s="3"/>
      <c r="KFQ104" s="3"/>
      <c r="KFR104" s="3"/>
      <c r="KFS104" s="3"/>
      <c r="KFT104" s="3"/>
      <c r="KFU104" s="3"/>
      <c r="KFV104" s="3"/>
      <c r="KFW104" s="3"/>
      <c r="KFX104" s="3"/>
      <c r="KFY104" s="3"/>
      <c r="KFZ104" s="3"/>
      <c r="KGA104" s="3"/>
      <c r="KGB104" s="3"/>
      <c r="KGC104" s="3"/>
      <c r="KGD104" s="3"/>
      <c r="KGE104" s="3"/>
      <c r="KGF104" s="3"/>
      <c r="KGG104" s="3"/>
      <c r="KGH104" s="3"/>
      <c r="KGI104" s="3"/>
      <c r="KGJ104" s="3"/>
      <c r="KGK104" s="3"/>
      <c r="KGL104" s="3"/>
      <c r="KGM104" s="3"/>
      <c r="KGN104" s="3"/>
      <c r="KGO104" s="3"/>
      <c r="KGP104" s="3"/>
      <c r="KGQ104" s="3"/>
      <c r="KGR104" s="3"/>
      <c r="KGS104" s="3"/>
      <c r="KGT104" s="3"/>
      <c r="KGU104" s="3"/>
      <c r="KGV104" s="3"/>
      <c r="KGW104" s="3"/>
      <c r="KGX104" s="3"/>
      <c r="KGY104" s="3"/>
      <c r="KGZ104" s="3"/>
      <c r="KHA104" s="3"/>
      <c r="KHB104" s="3"/>
      <c r="KHC104" s="3"/>
      <c r="KHD104" s="3"/>
      <c r="KHE104" s="3"/>
      <c r="KHF104" s="3"/>
      <c r="KHG104" s="3"/>
      <c r="KHH104" s="3"/>
      <c r="KHI104" s="3"/>
      <c r="KHJ104" s="3"/>
      <c r="KHK104" s="3"/>
      <c r="KHL104" s="3"/>
      <c r="KHM104" s="3"/>
      <c r="KHN104" s="3"/>
      <c r="KHO104" s="3"/>
      <c r="KHP104" s="3"/>
      <c r="KHQ104" s="3"/>
      <c r="KHR104" s="3"/>
      <c r="KHS104" s="3"/>
      <c r="KHT104" s="3"/>
      <c r="KHU104" s="3"/>
      <c r="KHV104" s="3"/>
      <c r="KHW104" s="3"/>
      <c r="KHX104" s="3"/>
      <c r="KHY104" s="3"/>
      <c r="KHZ104" s="3"/>
      <c r="KIA104" s="3"/>
      <c r="KIB104" s="3"/>
      <c r="KIC104" s="3"/>
      <c r="KID104" s="3"/>
      <c r="KIE104" s="3"/>
      <c r="KIF104" s="3"/>
      <c r="KIG104" s="3"/>
      <c r="KIH104" s="3"/>
      <c r="KII104" s="3"/>
      <c r="KIJ104" s="3"/>
      <c r="KIK104" s="3"/>
      <c r="KIL104" s="3"/>
      <c r="KIM104" s="3"/>
      <c r="KIN104" s="3"/>
      <c r="KIO104" s="3"/>
      <c r="KIP104" s="3"/>
      <c r="KIQ104" s="3"/>
      <c r="KIR104" s="3"/>
      <c r="KIS104" s="3"/>
      <c r="KIT104" s="3"/>
      <c r="KIU104" s="3"/>
      <c r="KIV104" s="3"/>
      <c r="KIW104" s="3"/>
      <c r="KIX104" s="3"/>
      <c r="KIY104" s="3"/>
      <c r="KIZ104" s="3"/>
      <c r="KJA104" s="3"/>
      <c r="KJB104" s="3"/>
      <c r="KJC104" s="3"/>
      <c r="KJD104" s="3"/>
      <c r="KJE104" s="3"/>
      <c r="KJF104" s="3"/>
      <c r="KJG104" s="3"/>
      <c r="KJH104" s="3"/>
      <c r="KJI104" s="3"/>
      <c r="KJJ104" s="3"/>
      <c r="KJK104" s="3"/>
      <c r="KJL104" s="3"/>
      <c r="KJM104" s="3"/>
      <c r="KJN104" s="3"/>
      <c r="KJO104" s="3"/>
      <c r="KJP104" s="3"/>
      <c r="KJQ104" s="3"/>
      <c r="KJR104" s="3"/>
      <c r="KJS104" s="3"/>
      <c r="KJT104" s="3"/>
      <c r="KJU104" s="3"/>
      <c r="KJV104" s="3"/>
      <c r="KJW104" s="3"/>
      <c r="KJX104" s="3"/>
      <c r="KJY104" s="3"/>
      <c r="KJZ104" s="3"/>
      <c r="KKA104" s="3"/>
      <c r="KKB104" s="3"/>
      <c r="KKC104" s="3"/>
      <c r="KKD104" s="3"/>
      <c r="KKE104" s="3"/>
      <c r="KKF104" s="3"/>
      <c r="KKG104" s="3"/>
      <c r="KKH104" s="3"/>
      <c r="KKI104" s="3"/>
      <c r="KKJ104" s="3"/>
      <c r="KKK104" s="3"/>
      <c r="KKL104" s="3"/>
      <c r="KKM104" s="3"/>
      <c r="KKN104" s="3"/>
      <c r="KKO104" s="3"/>
      <c r="KKP104" s="3"/>
      <c r="KKQ104" s="3"/>
      <c r="KKR104" s="3"/>
      <c r="KKS104" s="3"/>
      <c r="KKT104" s="3"/>
      <c r="KKU104" s="3"/>
      <c r="KKV104" s="3"/>
      <c r="KKW104" s="3"/>
      <c r="KKX104" s="3"/>
      <c r="KKY104" s="3"/>
      <c r="KKZ104" s="3"/>
      <c r="KLA104" s="3"/>
      <c r="KLB104" s="3"/>
      <c r="KLC104" s="3"/>
      <c r="KLD104" s="3"/>
      <c r="KLE104" s="3"/>
      <c r="KLF104" s="3"/>
      <c r="KLG104" s="3"/>
      <c r="KLH104" s="3"/>
      <c r="KLI104" s="3"/>
      <c r="KLJ104" s="3"/>
      <c r="KLK104" s="3"/>
      <c r="KLL104" s="3"/>
      <c r="KLM104" s="3"/>
      <c r="KLN104" s="3"/>
      <c r="KLO104" s="3"/>
      <c r="KLP104" s="3"/>
      <c r="KLQ104" s="3"/>
      <c r="KLR104" s="3"/>
      <c r="KLS104" s="3"/>
      <c r="KLT104" s="3"/>
      <c r="KLU104" s="3"/>
      <c r="KLV104" s="3"/>
      <c r="KLW104" s="3"/>
      <c r="KLX104" s="3"/>
      <c r="KLY104" s="3"/>
      <c r="KLZ104" s="3"/>
      <c r="KMA104" s="3"/>
      <c r="KMB104" s="3"/>
      <c r="KMC104" s="3"/>
      <c r="KMD104" s="3"/>
      <c r="KME104" s="3"/>
      <c r="KMF104" s="3"/>
      <c r="KMG104" s="3"/>
      <c r="KMH104" s="3"/>
      <c r="KMI104" s="3"/>
      <c r="KMJ104" s="3"/>
      <c r="KMK104" s="3"/>
      <c r="KML104" s="3"/>
      <c r="KMM104" s="3"/>
      <c r="KMN104" s="3"/>
      <c r="KMO104" s="3"/>
      <c r="KMP104" s="3"/>
      <c r="KMQ104" s="3"/>
      <c r="KMR104" s="3"/>
      <c r="KMS104" s="3"/>
      <c r="KMT104" s="3"/>
      <c r="KMU104" s="3"/>
      <c r="KMV104" s="3"/>
      <c r="KMW104" s="3"/>
      <c r="KMX104" s="3"/>
      <c r="KMY104" s="3"/>
      <c r="KMZ104" s="3"/>
      <c r="KNA104" s="3"/>
      <c r="KNB104" s="3"/>
      <c r="KNC104" s="3"/>
      <c r="KND104" s="3"/>
      <c r="KNE104" s="3"/>
      <c r="KNF104" s="3"/>
      <c r="KNG104" s="3"/>
      <c r="KNH104" s="3"/>
      <c r="KNI104" s="3"/>
      <c r="KNJ104" s="3"/>
      <c r="KNK104" s="3"/>
      <c r="KNL104" s="3"/>
      <c r="KNM104" s="3"/>
      <c r="KNN104" s="3"/>
      <c r="KNO104" s="3"/>
      <c r="KNP104" s="3"/>
      <c r="KNQ104" s="3"/>
      <c r="KNR104" s="3"/>
      <c r="KNS104" s="3"/>
      <c r="KNT104" s="3"/>
      <c r="KNU104" s="3"/>
      <c r="KNV104" s="3"/>
      <c r="KNW104" s="3"/>
      <c r="KNX104" s="3"/>
      <c r="KNY104" s="3"/>
      <c r="KNZ104" s="3"/>
      <c r="KOA104" s="3"/>
      <c r="KOB104" s="3"/>
      <c r="KOC104" s="3"/>
      <c r="KOD104" s="3"/>
      <c r="KOE104" s="3"/>
      <c r="KOF104" s="3"/>
      <c r="KOG104" s="3"/>
      <c r="KOH104" s="3"/>
      <c r="KOI104" s="3"/>
      <c r="KOJ104" s="3"/>
      <c r="KOK104" s="3"/>
      <c r="KOL104" s="3"/>
      <c r="KOM104" s="3"/>
      <c r="KON104" s="3"/>
      <c r="KOO104" s="3"/>
      <c r="KOP104" s="3"/>
      <c r="KOQ104" s="3"/>
      <c r="KOR104" s="3"/>
      <c r="KOS104" s="3"/>
      <c r="KOT104" s="3"/>
      <c r="KOU104" s="3"/>
      <c r="KOV104" s="3"/>
      <c r="KOW104" s="3"/>
      <c r="KOX104" s="3"/>
      <c r="KOY104" s="3"/>
      <c r="KOZ104" s="3"/>
      <c r="KPA104" s="3"/>
      <c r="KPB104" s="3"/>
      <c r="KPC104" s="3"/>
      <c r="KPD104" s="3"/>
      <c r="KPE104" s="3"/>
      <c r="KPF104" s="3"/>
      <c r="KPG104" s="3"/>
      <c r="KPH104" s="3"/>
      <c r="KPI104" s="3"/>
      <c r="KPJ104" s="3"/>
      <c r="KPK104" s="3"/>
      <c r="KPL104" s="3"/>
      <c r="KPM104" s="3"/>
      <c r="KPN104" s="3"/>
      <c r="KPO104" s="3"/>
      <c r="KPP104" s="3"/>
      <c r="KPQ104" s="3"/>
      <c r="KPR104" s="3"/>
      <c r="KPS104" s="3"/>
      <c r="KPT104" s="3"/>
      <c r="KPU104" s="3"/>
      <c r="KPV104" s="3"/>
      <c r="KPW104" s="3"/>
      <c r="KPX104" s="3"/>
      <c r="KPY104" s="3"/>
      <c r="KPZ104" s="3"/>
      <c r="KQA104" s="3"/>
      <c r="KQB104" s="3"/>
      <c r="KQC104" s="3"/>
      <c r="KQD104" s="3"/>
      <c r="KQE104" s="3"/>
      <c r="KQF104" s="3"/>
      <c r="KQG104" s="3"/>
      <c r="KQH104" s="3"/>
      <c r="KQI104" s="3"/>
      <c r="KQJ104" s="3"/>
      <c r="KQK104" s="3"/>
      <c r="KQL104" s="3"/>
      <c r="KQM104" s="3"/>
      <c r="KQN104" s="3"/>
      <c r="KQO104" s="3"/>
      <c r="KQP104" s="3"/>
      <c r="KQQ104" s="3"/>
      <c r="KQR104" s="3"/>
      <c r="KQS104" s="3"/>
      <c r="KQT104" s="3"/>
      <c r="KQU104" s="3"/>
      <c r="KQV104" s="3"/>
      <c r="KQW104" s="3"/>
      <c r="KQX104" s="3"/>
      <c r="KQY104" s="3"/>
      <c r="KQZ104" s="3"/>
      <c r="KRA104" s="3"/>
      <c r="KRB104" s="3"/>
      <c r="KRC104" s="3"/>
      <c r="KRD104" s="3"/>
      <c r="KRE104" s="3"/>
      <c r="KRF104" s="3"/>
      <c r="KRG104" s="3"/>
      <c r="KRH104" s="3"/>
      <c r="KRI104" s="3"/>
      <c r="KRJ104" s="3"/>
      <c r="KRK104" s="3"/>
      <c r="KRL104" s="3"/>
      <c r="KRM104" s="3"/>
      <c r="KRN104" s="3"/>
      <c r="KRO104" s="3"/>
      <c r="KRP104" s="3"/>
      <c r="KRQ104" s="3"/>
      <c r="KRR104" s="3"/>
      <c r="KRS104" s="3"/>
      <c r="KRT104" s="3"/>
      <c r="KRU104" s="3"/>
      <c r="KRV104" s="3"/>
      <c r="KRW104" s="3"/>
      <c r="KRX104" s="3"/>
      <c r="KRY104" s="3"/>
      <c r="KRZ104" s="3"/>
      <c r="KSA104" s="3"/>
      <c r="KSB104" s="3"/>
      <c r="KSC104" s="3"/>
      <c r="KSD104" s="3"/>
      <c r="KSE104" s="3"/>
      <c r="KSF104" s="3"/>
      <c r="KSG104" s="3"/>
      <c r="KSH104" s="3"/>
      <c r="KSI104" s="3"/>
      <c r="KSJ104" s="3"/>
      <c r="KSK104" s="3"/>
      <c r="KSL104" s="3"/>
      <c r="KSM104" s="3"/>
      <c r="KSN104" s="3"/>
      <c r="KSO104" s="3"/>
      <c r="KSP104" s="3"/>
      <c r="KSQ104" s="3"/>
      <c r="KSR104" s="3"/>
      <c r="KSS104" s="3"/>
      <c r="KST104" s="3"/>
      <c r="KSU104" s="3"/>
      <c r="KSV104" s="3"/>
      <c r="KSW104" s="3"/>
      <c r="KSX104" s="3"/>
      <c r="KSY104" s="3"/>
      <c r="KSZ104" s="3"/>
      <c r="KTA104" s="3"/>
      <c r="KTB104" s="3"/>
      <c r="KTC104" s="3"/>
      <c r="KTD104" s="3"/>
      <c r="KTE104" s="3"/>
      <c r="KTF104" s="3"/>
      <c r="KTG104" s="3"/>
      <c r="KTH104" s="3"/>
      <c r="KTI104" s="3"/>
      <c r="KTJ104" s="3"/>
      <c r="KTK104" s="3"/>
      <c r="KTL104" s="3"/>
      <c r="KTM104" s="3"/>
      <c r="KTN104" s="3"/>
      <c r="KTO104" s="3"/>
      <c r="KTP104" s="3"/>
      <c r="KTQ104" s="3"/>
      <c r="KTR104" s="3"/>
      <c r="KTS104" s="3"/>
      <c r="KTT104" s="3"/>
      <c r="KTU104" s="3"/>
      <c r="KTV104" s="3"/>
      <c r="KTW104" s="3"/>
      <c r="KTX104" s="3"/>
      <c r="KTY104" s="3"/>
      <c r="KTZ104" s="3"/>
      <c r="KUA104" s="3"/>
      <c r="KUB104" s="3"/>
      <c r="KUC104" s="3"/>
      <c r="KUD104" s="3"/>
      <c r="KUE104" s="3"/>
      <c r="KUF104" s="3"/>
      <c r="KUG104" s="3"/>
      <c r="KUH104" s="3"/>
      <c r="KUI104" s="3"/>
      <c r="KUJ104" s="3"/>
      <c r="KUK104" s="3"/>
      <c r="KUL104" s="3"/>
      <c r="KUM104" s="3"/>
      <c r="KUN104" s="3"/>
      <c r="KUO104" s="3"/>
      <c r="KUP104" s="3"/>
      <c r="KUQ104" s="3"/>
      <c r="KUR104" s="3"/>
      <c r="KUS104" s="3"/>
      <c r="KUT104" s="3"/>
      <c r="KUU104" s="3"/>
      <c r="KUV104" s="3"/>
      <c r="KUW104" s="3"/>
      <c r="KUX104" s="3"/>
      <c r="KUY104" s="3"/>
      <c r="KUZ104" s="3"/>
      <c r="KVA104" s="3"/>
      <c r="KVB104" s="3"/>
      <c r="KVC104" s="3"/>
      <c r="KVD104" s="3"/>
      <c r="KVE104" s="3"/>
      <c r="KVF104" s="3"/>
      <c r="KVG104" s="3"/>
      <c r="KVH104" s="3"/>
      <c r="KVI104" s="3"/>
      <c r="KVJ104" s="3"/>
      <c r="KVK104" s="3"/>
      <c r="KVL104" s="3"/>
      <c r="KVM104" s="3"/>
      <c r="KVN104" s="3"/>
      <c r="KVO104" s="3"/>
      <c r="KVP104" s="3"/>
      <c r="KVQ104" s="3"/>
      <c r="KVR104" s="3"/>
      <c r="KVS104" s="3"/>
      <c r="KVT104" s="3"/>
      <c r="KVU104" s="3"/>
      <c r="KVV104" s="3"/>
      <c r="KVW104" s="3"/>
      <c r="KVX104" s="3"/>
      <c r="KVY104" s="3"/>
      <c r="KVZ104" s="3"/>
      <c r="KWA104" s="3"/>
      <c r="KWB104" s="3"/>
      <c r="KWC104" s="3"/>
      <c r="KWD104" s="3"/>
      <c r="KWE104" s="3"/>
      <c r="KWF104" s="3"/>
      <c r="KWG104" s="3"/>
      <c r="KWH104" s="3"/>
      <c r="KWI104" s="3"/>
      <c r="KWJ104" s="3"/>
      <c r="KWK104" s="3"/>
      <c r="KWL104" s="3"/>
      <c r="KWM104" s="3"/>
      <c r="KWN104" s="3"/>
      <c r="KWO104" s="3"/>
      <c r="KWP104" s="3"/>
      <c r="KWQ104" s="3"/>
      <c r="KWR104" s="3"/>
      <c r="KWS104" s="3"/>
      <c r="KWT104" s="3"/>
      <c r="KWU104" s="3"/>
      <c r="KWV104" s="3"/>
      <c r="KWW104" s="3"/>
      <c r="KWX104" s="3"/>
      <c r="KWY104" s="3"/>
      <c r="KWZ104" s="3"/>
      <c r="KXA104" s="3"/>
      <c r="KXB104" s="3"/>
      <c r="KXC104" s="3"/>
      <c r="KXD104" s="3"/>
      <c r="KXE104" s="3"/>
      <c r="KXF104" s="3"/>
      <c r="KXG104" s="3"/>
      <c r="KXH104" s="3"/>
      <c r="KXI104" s="3"/>
      <c r="KXJ104" s="3"/>
      <c r="KXK104" s="3"/>
      <c r="KXL104" s="3"/>
      <c r="KXM104" s="3"/>
      <c r="KXN104" s="3"/>
      <c r="KXO104" s="3"/>
      <c r="KXP104" s="3"/>
      <c r="KXQ104" s="3"/>
      <c r="KXR104" s="3"/>
      <c r="KXS104" s="3"/>
      <c r="KXT104" s="3"/>
      <c r="KXU104" s="3"/>
      <c r="KXV104" s="3"/>
      <c r="KXW104" s="3"/>
      <c r="KXX104" s="3"/>
      <c r="KXY104" s="3"/>
      <c r="KXZ104" s="3"/>
      <c r="KYA104" s="3"/>
      <c r="KYB104" s="3"/>
      <c r="KYC104" s="3"/>
      <c r="KYD104" s="3"/>
      <c r="KYE104" s="3"/>
      <c r="KYF104" s="3"/>
      <c r="KYG104" s="3"/>
      <c r="KYH104" s="3"/>
      <c r="KYI104" s="3"/>
      <c r="KYJ104" s="3"/>
      <c r="KYK104" s="3"/>
      <c r="KYL104" s="3"/>
      <c r="KYM104" s="3"/>
      <c r="KYN104" s="3"/>
      <c r="KYO104" s="3"/>
      <c r="KYP104" s="3"/>
      <c r="KYQ104" s="3"/>
      <c r="KYR104" s="3"/>
      <c r="KYS104" s="3"/>
      <c r="KYT104" s="3"/>
      <c r="KYU104" s="3"/>
      <c r="KYV104" s="3"/>
      <c r="KYW104" s="3"/>
      <c r="KYX104" s="3"/>
      <c r="KYY104" s="3"/>
      <c r="KYZ104" s="3"/>
      <c r="KZA104" s="3"/>
      <c r="KZB104" s="3"/>
      <c r="KZC104" s="3"/>
      <c r="KZD104" s="3"/>
      <c r="KZE104" s="3"/>
      <c r="KZF104" s="3"/>
      <c r="KZG104" s="3"/>
      <c r="KZH104" s="3"/>
      <c r="KZI104" s="3"/>
      <c r="KZJ104" s="3"/>
      <c r="KZK104" s="3"/>
      <c r="KZL104" s="3"/>
      <c r="KZM104" s="3"/>
      <c r="KZN104" s="3"/>
      <c r="KZO104" s="3"/>
      <c r="KZP104" s="3"/>
      <c r="KZQ104" s="3"/>
      <c r="KZR104" s="3"/>
      <c r="KZS104" s="3"/>
      <c r="KZT104" s="3"/>
      <c r="KZU104" s="3"/>
      <c r="KZV104" s="3"/>
      <c r="KZW104" s="3"/>
      <c r="KZX104" s="3"/>
      <c r="KZY104" s="3"/>
      <c r="KZZ104" s="3"/>
      <c r="LAA104" s="3"/>
      <c r="LAB104" s="3"/>
      <c r="LAC104" s="3"/>
      <c r="LAD104" s="3"/>
      <c r="LAE104" s="3"/>
      <c r="LAF104" s="3"/>
      <c r="LAG104" s="3"/>
      <c r="LAH104" s="3"/>
      <c r="LAI104" s="3"/>
      <c r="LAJ104" s="3"/>
      <c r="LAK104" s="3"/>
      <c r="LAL104" s="3"/>
      <c r="LAM104" s="3"/>
      <c r="LAN104" s="3"/>
      <c r="LAO104" s="3"/>
      <c r="LAP104" s="3"/>
      <c r="LAQ104" s="3"/>
      <c r="LAR104" s="3"/>
      <c r="LAS104" s="3"/>
      <c r="LAT104" s="3"/>
      <c r="LAU104" s="3"/>
      <c r="LAV104" s="3"/>
      <c r="LAW104" s="3"/>
      <c r="LAX104" s="3"/>
      <c r="LAY104" s="3"/>
      <c r="LAZ104" s="3"/>
      <c r="LBA104" s="3"/>
      <c r="LBB104" s="3"/>
      <c r="LBC104" s="3"/>
      <c r="LBD104" s="3"/>
      <c r="LBE104" s="3"/>
      <c r="LBF104" s="3"/>
      <c r="LBG104" s="3"/>
      <c r="LBH104" s="3"/>
      <c r="LBI104" s="3"/>
      <c r="LBJ104" s="3"/>
      <c r="LBK104" s="3"/>
      <c r="LBL104" s="3"/>
      <c r="LBM104" s="3"/>
      <c r="LBN104" s="3"/>
      <c r="LBO104" s="3"/>
      <c r="LBP104" s="3"/>
      <c r="LBQ104" s="3"/>
      <c r="LBR104" s="3"/>
      <c r="LBS104" s="3"/>
      <c r="LBT104" s="3"/>
      <c r="LBU104" s="3"/>
      <c r="LBV104" s="3"/>
      <c r="LBW104" s="3"/>
      <c r="LBX104" s="3"/>
      <c r="LBY104" s="3"/>
      <c r="LBZ104" s="3"/>
      <c r="LCA104" s="3"/>
      <c r="LCB104" s="3"/>
      <c r="LCC104" s="3"/>
      <c r="LCD104" s="3"/>
      <c r="LCE104" s="3"/>
      <c r="LCF104" s="3"/>
      <c r="LCG104" s="3"/>
      <c r="LCH104" s="3"/>
      <c r="LCI104" s="3"/>
      <c r="LCJ104" s="3"/>
      <c r="LCK104" s="3"/>
      <c r="LCL104" s="3"/>
      <c r="LCM104" s="3"/>
      <c r="LCN104" s="3"/>
      <c r="LCO104" s="3"/>
      <c r="LCP104" s="3"/>
      <c r="LCQ104" s="3"/>
      <c r="LCR104" s="3"/>
      <c r="LCS104" s="3"/>
      <c r="LCT104" s="3"/>
      <c r="LCU104" s="3"/>
      <c r="LCV104" s="3"/>
      <c r="LCW104" s="3"/>
      <c r="LCX104" s="3"/>
      <c r="LCY104" s="3"/>
      <c r="LCZ104" s="3"/>
      <c r="LDA104" s="3"/>
      <c r="LDB104" s="3"/>
      <c r="LDC104" s="3"/>
      <c r="LDD104" s="3"/>
      <c r="LDE104" s="3"/>
      <c r="LDF104" s="3"/>
      <c r="LDG104" s="3"/>
      <c r="LDH104" s="3"/>
      <c r="LDI104" s="3"/>
      <c r="LDJ104" s="3"/>
      <c r="LDK104" s="3"/>
      <c r="LDL104" s="3"/>
      <c r="LDM104" s="3"/>
      <c r="LDN104" s="3"/>
      <c r="LDO104" s="3"/>
      <c r="LDP104" s="3"/>
      <c r="LDQ104" s="3"/>
      <c r="LDR104" s="3"/>
      <c r="LDS104" s="3"/>
      <c r="LDT104" s="3"/>
      <c r="LDU104" s="3"/>
      <c r="LDV104" s="3"/>
      <c r="LDW104" s="3"/>
      <c r="LDX104" s="3"/>
      <c r="LDY104" s="3"/>
      <c r="LDZ104" s="3"/>
      <c r="LEA104" s="3"/>
      <c r="LEB104" s="3"/>
      <c r="LEC104" s="3"/>
      <c r="LED104" s="3"/>
      <c r="LEE104" s="3"/>
      <c r="LEF104" s="3"/>
      <c r="LEG104" s="3"/>
      <c r="LEH104" s="3"/>
      <c r="LEI104" s="3"/>
      <c r="LEJ104" s="3"/>
      <c r="LEK104" s="3"/>
      <c r="LEL104" s="3"/>
      <c r="LEM104" s="3"/>
      <c r="LEN104" s="3"/>
      <c r="LEO104" s="3"/>
      <c r="LEP104" s="3"/>
      <c r="LEQ104" s="3"/>
      <c r="LER104" s="3"/>
      <c r="LES104" s="3"/>
      <c r="LET104" s="3"/>
      <c r="LEU104" s="3"/>
      <c r="LEV104" s="3"/>
      <c r="LEW104" s="3"/>
      <c r="LEX104" s="3"/>
      <c r="LEY104" s="3"/>
      <c r="LEZ104" s="3"/>
      <c r="LFA104" s="3"/>
      <c r="LFB104" s="3"/>
      <c r="LFC104" s="3"/>
      <c r="LFD104" s="3"/>
      <c r="LFE104" s="3"/>
      <c r="LFF104" s="3"/>
      <c r="LFG104" s="3"/>
      <c r="LFH104" s="3"/>
      <c r="LFI104" s="3"/>
      <c r="LFJ104" s="3"/>
      <c r="LFK104" s="3"/>
      <c r="LFL104" s="3"/>
      <c r="LFM104" s="3"/>
      <c r="LFN104" s="3"/>
      <c r="LFO104" s="3"/>
      <c r="LFP104" s="3"/>
      <c r="LFQ104" s="3"/>
      <c r="LFR104" s="3"/>
      <c r="LFS104" s="3"/>
      <c r="LFT104" s="3"/>
      <c r="LFU104" s="3"/>
      <c r="LFV104" s="3"/>
      <c r="LFW104" s="3"/>
      <c r="LFX104" s="3"/>
      <c r="LFY104" s="3"/>
      <c r="LFZ104" s="3"/>
      <c r="LGA104" s="3"/>
      <c r="LGB104" s="3"/>
      <c r="LGC104" s="3"/>
      <c r="LGD104" s="3"/>
      <c r="LGE104" s="3"/>
      <c r="LGF104" s="3"/>
      <c r="LGG104" s="3"/>
      <c r="LGH104" s="3"/>
      <c r="LGI104" s="3"/>
      <c r="LGJ104" s="3"/>
      <c r="LGK104" s="3"/>
      <c r="LGL104" s="3"/>
      <c r="LGM104" s="3"/>
      <c r="LGN104" s="3"/>
      <c r="LGO104" s="3"/>
      <c r="LGP104" s="3"/>
      <c r="LGQ104" s="3"/>
      <c r="LGR104" s="3"/>
      <c r="LGS104" s="3"/>
      <c r="LGT104" s="3"/>
      <c r="LGU104" s="3"/>
      <c r="LGV104" s="3"/>
      <c r="LGW104" s="3"/>
      <c r="LGX104" s="3"/>
      <c r="LGY104" s="3"/>
      <c r="LGZ104" s="3"/>
      <c r="LHA104" s="3"/>
      <c r="LHB104" s="3"/>
      <c r="LHC104" s="3"/>
      <c r="LHD104" s="3"/>
      <c r="LHE104" s="3"/>
      <c r="LHF104" s="3"/>
      <c r="LHG104" s="3"/>
      <c r="LHH104" s="3"/>
      <c r="LHI104" s="3"/>
      <c r="LHJ104" s="3"/>
      <c r="LHK104" s="3"/>
      <c r="LHL104" s="3"/>
      <c r="LHM104" s="3"/>
      <c r="LHN104" s="3"/>
      <c r="LHO104" s="3"/>
      <c r="LHP104" s="3"/>
      <c r="LHQ104" s="3"/>
      <c r="LHR104" s="3"/>
      <c r="LHS104" s="3"/>
      <c r="LHT104" s="3"/>
      <c r="LHU104" s="3"/>
      <c r="LHV104" s="3"/>
      <c r="LHW104" s="3"/>
      <c r="LHX104" s="3"/>
      <c r="LHY104" s="3"/>
      <c r="LHZ104" s="3"/>
      <c r="LIA104" s="3"/>
      <c r="LIB104" s="3"/>
      <c r="LIC104" s="3"/>
      <c r="LID104" s="3"/>
      <c r="LIE104" s="3"/>
      <c r="LIF104" s="3"/>
      <c r="LIG104" s="3"/>
      <c r="LIH104" s="3"/>
      <c r="LII104" s="3"/>
      <c r="LIJ104" s="3"/>
      <c r="LIK104" s="3"/>
      <c r="LIL104" s="3"/>
      <c r="LIM104" s="3"/>
      <c r="LIN104" s="3"/>
      <c r="LIO104" s="3"/>
      <c r="LIP104" s="3"/>
      <c r="LIQ104" s="3"/>
      <c r="LIR104" s="3"/>
      <c r="LIS104" s="3"/>
      <c r="LIT104" s="3"/>
      <c r="LIU104" s="3"/>
      <c r="LIV104" s="3"/>
      <c r="LIW104" s="3"/>
      <c r="LIX104" s="3"/>
      <c r="LIY104" s="3"/>
      <c r="LIZ104" s="3"/>
      <c r="LJA104" s="3"/>
      <c r="LJB104" s="3"/>
      <c r="LJC104" s="3"/>
      <c r="LJD104" s="3"/>
      <c r="LJE104" s="3"/>
      <c r="LJF104" s="3"/>
      <c r="LJG104" s="3"/>
      <c r="LJH104" s="3"/>
      <c r="LJI104" s="3"/>
      <c r="LJJ104" s="3"/>
      <c r="LJK104" s="3"/>
      <c r="LJL104" s="3"/>
      <c r="LJM104" s="3"/>
      <c r="LJN104" s="3"/>
      <c r="LJO104" s="3"/>
      <c r="LJP104" s="3"/>
      <c r="LJQ104" s="3"/>
      <c r="LJR104" s="3"/>
      <c r="LJS104" s="3"/>
      <c r="LJT104" s="3"/>
      <c r="LJU104" s="3"/>
      <c r="LJV104" s="3"/>
      <c r="LJW104" s="3"/>
      <c r="LJX104" s="3"/>
      <c r="LJY104" s="3"/>
      <c r="LJZ104" s="3"/>
      <c r="LKA104" s="3"/>
      <c r="LKB104" s="3"/>
      <c r="LKC104" s="3"/>
      <c r="LKD104" s="3"/>
      <c r="LKE104" s="3"/>
      <c r="LKF104" s="3"/>
      <c r="LKG104" s="3"/>
      <c r="LKH104" s="3"/>
      <c r="LKI104" s="3"/>
      <c r="LKJ104" s="3"/>
      <c r="LKK104" s="3"/>
      <c r="LKL104" s="3"/>
      <c r="LKM104" s="3"/>
      <c r="LKN104" s="3"/>
      <c r="LKO104" s="3"/>
      <c r="LKP104" s="3"/>
      <c r="LKQ104" s="3"/>
      <c r="LKR104" s="3"/>
      <c r="LKS104" s="3"/>
      <c r="LKT104" s="3"/>
      <c r="LKU104" s="3"/>
      <c r="LKV104" s="3"/>
      <c r="LKW104" s="3"/>
      <c r="LKX104" s="3"/>
      <c r="LKY104" s="3"/>
      <c r="LKZ104" s="3"/>
      <c r="LLA104" s="3"/>
      <c r="LLB104" s="3"/>
      <c r="LLC104" s="3"/>
      <c r="LLD104" s="3"/>
      <c r="LLE104" s="3"/>
      <c r="LLF104" s="3"/>
      <c r="LLG104" s="3"/>
      <c r="LLH104" s="3"/>
      <c r="LLI104" s="3"/>
      <c r="LLJ104" s="3"/>
      <c r="LLK104" s="3"/>
      <c r="LLL104" s="3"/>
      <c r="LLM104" s="3"/>
      <c r="LLN104" s="3"/>
      <c r="LLO104" s="3"/>
      <c r="LLP104" s="3"/>
      <c r="LLQ104" s="3"/>
      <c r="LLR104" s="3"/>
      <c r="LLS104" s="3"/>
      <c r="LLT104" s="3"/>
      <c r="LLU104" s="3"/>
      <c r="LLV104" s="3"/>
      <c r="LLW104" s="3"/>
      <c r="LLX104" s="3"/>
      <c r="LLY104" s="3"/>
      <c r="LLZ104" s="3"/>
      <c r="LMA104" s="3"/>
      <c r="LMB104" s="3"/>
      <c r="LMC104" s="3"/>
      <c r="LMD104" s="3"/>
      <c r="LME104" s="3"/>
      <c r="LMF104" s="3"/>
      <c r="LMG104" s="3"/>
      <c r="LMH104" s="3"/>
      <c r="LMI104" s="3"/>
      <c r="LMJ104" s="3"/>
      <c r="LMK104" s="3"/>
      <c r="LML104" s="3"/>
      <c r="LMM104" s="3"/>
      <c r="LMN104" s="3"/>
      <c r="LMO104" s="3"/>
      <c r="LMP104" s="3"/>
      <c r="LMQ104" s="3"/>
      <c r="LMR104" s="3"/>
      <c r="LMS104" s="3"/>
      <c r="LMT104" s="3"/>
      <c r="LMU104" s="3"/>
      <c r="LMV104" s="3"/>
      <c r="LMW104" s="3"/>
      <c r="LMX104" s="3"/>
      <c r="LMY104" s="3"/>
      <c r="LMZ104" s="3"/>
      <c r="LNA104" s="3"/>
      <c r="LNB104" s="3"/>
      <c r="LNC104" s="3"/>
      <c r="LND104" s="3"/>
      <c r="LNE104" s="3"/>
      <c r="LNF104" s="3"/>
      <c r="LNG104" s="3"/>
      <c r="LNH104" s="3"/>
      <c r="LNI104" s="3"/>
      <c r="LNJ104" s="3"/>
      <c r="LNK104" s="3"/>
      <c r="LNL104" s="3"/>
      <c r="LNM104" s="3"/>
      <c r="LNN104" s="3"/>
      <c r="LNO104" s="3"/>
      <c r="LNP104" s="3"/>
      <c r="LNQ104" s="3"/>
      <c r="LNR104" s="3"/>
      <c r="LNS104" s="3"/>
      <c r="LNT104" s="3"/>
      <c r="LNU104" s="3"/>
      <c r="LNV104" s="3"/>
      <c r="LNW104" s="3"/>
      <c r="LNX104" s="3"/>
      <c r="LNY104" s="3"/>
      <c r="LNZ104" s="3"/>
      <c r="LOA104" s="3"/>
      <c r="LOB104" s="3"/>
      <c r="LOC104" s="3"/>
      <c r="LOD104" s="3"/>
      <c r="LOE104" s="3"/>
      <c r="LOF104" s="3"/>
      <c r="LOG104" s="3"/>
      <c r="LOH104" s="3"/>
      <c r="LOI104" s="3"/>
      <c r="LOJ104" s="3"/>
      <c r="LOK104" s="3"/>
      <c r="LOL104" s="3"/>
      <c r="LOM104" s="3"/>
      <c r="LON104" s="3"/>
      <c r="LOO104" s="3"/>
      <c r="LOP104" s="3"/>
      <c r="LOQ104" s="3"/>
      <c r="LOR104" s="3"/>
      <c r="LOS104" s="3"/>
      <c r="LOT104" s="3"/>
      <c r="LOU104" s="3"/>
      <c r="LOV104" s="3"/>
      <c r="LOW104" s="3"/>
      <c r="LOX104" s="3"/>
      <c r="LOY104" s="3"/>
      <c r="LOZ104" s="3"/>
      <c r="LPA104" s="3"/>
      <c r="LPB104" s="3"/>
      <c r="LPC104" s="3"/>
      <c r="LPD104" s="3"/>
      <c r="LPE104" s="3"/>
      <c r="LPF104" s="3"/>
      <c r="LPG104" s="3"/>
      <c r="LPH104" s="3"/>
      <c r="LPI104" s="3"/>
      <c r="LPJ104" s="3"/>
      <c r="LPK104" s="3"/>
      <c r="LPL104" s="3"/>
      <c r="LPM104" s="3"/>
      <c r="LPN104" s="3"/>
      <c r="LPO104" s="3"/>
      <c r="LPP104" s="3"/>
      <c r="LPQ104" s="3"/>
      <c r="LPR104" s="3"/>
      <c r="LPS104" s="3"/>
      <c r="LPT104" s="3"/>
      <c r="LPU104" s="3"/>
      <c r="LPV104" s="3"/>
      <c r="LPW104" s="3"/>
      <c r="LPX104" s="3"/>
      <c r="LPY104" s="3"/>
      <c r="LPZ104" s="3"/>
      <c r="LQA104" s="3"/>
      <c r="LQB104" s="3"/>
      <c r="LQC104" s="3"/>
      <c r="LQD104" s="3"/>
      <c r="LQE104" s="3"/>
      <c r="LQF104" s="3"/>
      <c r="LQG104" s="3"/>
      <c r="LQH104" s="3"/>
      <c r="LQI104" s="3"/>
      <c r="LQJ104" s="3"/>
      <c r="LQK104" s="3"/>
      <c r="LQL104" s="3"/>
      <c r="LQM104" s="3"/>
      <c r="LQN104" s="3"/>
      <c r="LQO104" s="3"/>
      <c r="LQP104" s="3"/>
      <c r="LQQ104" s="3"/>
      <c r="LQR104" s="3"/>
      <c r="LQS104" s="3"/>
      <c r="LQT104" s="3"/>
      <c r="LQU104" s="3"/>
      <c r="LQV104" s="3"/>
      <c r="LQW104" s="3"/>
      <c r="LQX104" s="3"/>
      <c r="LQY104" s="3"/>
      <c r="LQZ104" s="3"/>
      <c r="LRA104" s="3"/>
      <c r="LRB104" s="3"/>
      <c r="LRC104" s="3"/>
      <c r="LRD104" s="3"/>
      <c r="LRE104" s="3"/>
      <c r="LRF104" s="3"/>
      <c r="LRG104" s="3"/>
      <c r="LRH104" s="3"/>
      <c r="LRI104" s="3"/>
      <c r="LRJ104" s="3"/>
      <c r="LRK104" s="3"/>
      <c r="LRL104" s="3"/>
      <c r="LRM104" s="3"/>
      <c r="LRN104" s="3"/>
      <c r="LRO104" s="3"/>
      <c r="LRP104" s="3"/>
      <c r="LRQ104" s="3"/>
      <c r="LRR104" s="3"/>
      <c r="LRS104" s="3"/>
      <c r="LRT104" s="3"/>
      <c r="LRU104" s="3"/>
      <c r="LRV104" s="3"/>
      <c r="LRW104" s="3"/>
      <c r="LRX104" s="3"/>
      <c r="LRY104" s="3"/>
      <c r="LRZ104" s="3"/>
      <c r="LSA104" s="3"/>
      <c r="LSB104" s="3"/>
      <c r="LSC104" s="3"/>
      <c r="LSD104" s="3"/>
      <c r="LSE104" s="3"/>
      <c r="LSF104" s="3"/>
      <c r="LSG104" s="3"/>
      <c r="LSH104" s="3"/>
      <c r="LSI104" s="3"/>
      <c r="LSJ104" s="3"/>
      <c r="LSK104" s="3"/>
      <c r="LSL104" s="3"/>
      <c r="LSM104" s="3"/>
      <c r="LSN104" s="3"/>
      <c r="LSO104" s="3"/>
      <c r="LSP104" s="3"/>
      <c r="LSQ104" s="3"/>
      <c r="LSR104" s="3"/>
      <c r="LSS104" s="3"/>
      <c r="LST104" s="3"/>
      <c r="LSU104" s="3"/>
      <c r="LSV104" s="3"/>
      <c r="LSW104" s="3"/>
      <c r="LSX104" s="3"/>
      <c r="LSY104" s="3"/>
      <c r="LSZ104" s="3"/>
      <c r="LTA104" s="3"/>
      <c r="LTB104" s="3"/>
      <c r="LTC104" s="3"/>
      <c r="LTD104" s="3"/>
      <c r="LTE104" s="3"/>
      <c r="LTF104" s="3"/>
      <c r="LTG104" s="3"/>
      <c r="LTH104" s="3"/>
      <c r="LTI104" s="3"/>
      <c r="LTJ104" s="3"/>
      <c r="LTK104" s="3"/>
      <c r="LTL104" s="3"/>
      <c r="LTM104" s="3"/>
      <c r="LTN104" s="3"/>
      <c r="LTO104" s="3"/>
      <c r="LTP104" s="3"/>
      <c r="LTQ104" s="3"/>
      <c r="LTR104" s="3"/>
      <c r="LTS104" s="3"/>
      <c r="LTT104" s="3"/>
      <c r="LTU104" s="3"/>
      <c r="LTV104" s="3"/>
      <c r="LTW104" s="3"/>
      <c r="LTX104" s="3"/>
      <c r="LTY104" s="3"/>
      <c r="LTZ104" s="3"/>
      <c r="LUA104" s="3"/>
      <c r="LUB104" s="3"/>
      <c r="LUC104" s="3"/>
      <c r="LUD104" s="3"/>
      <c r="LUE104" s="3"/>
      <c r="LUF104" s="3"/>
      <c r="LUG104" s="3"/>
      <c r="LUH104" s="3"/>
      <c r="LUI104" s="3"/>
      <c r="LUJ104" s="3"/>
      <c r="LUK104" s="3"/>
      <c r="LUL104" s="3"/>
      <c r="LUM104" s="3"/>
      <c r="LUN104" s="3"/>
      <c r="LUO104" s="3"/>
      <c r="LUP104" s="3"/>
      <c r="LUQ104" s="3"/>
      <c r="LUR104" s="3"/>
      <c r="LUS104" s="3"/>
      <c r="LUT104" s="3"/>
      <c r="LUU104" s="3"/>
      <c r="LUV104" s="3"/>
      <c r="LUW104" s="3"/>
      <c r="LUX104" s="3"/>
      <c r="LUY104" s="3"/>
      <c r="LUZ104" s="3"/>
      <c r="LVA104" s="3"/>
      <c r="LVB104" s="3"/>
      <c r="LVC104" s="3"/>
      <c r="LVD104" s="3"/>
      <c r="LVE104" s="3"/>
      <c r="LVF104" s="3"/>
      <c r="LVG104" s="3"/>
      <c r="LVH104" s="3"/>
      <c r="LVI104" s="3"/>
      <c r="LVJ104" s="3"/>
      <c r="LVK104" s="3"/>
      <c r="LVL104" s="3"/>
      <c r="LVM104" s="3"/>
      <c r="LVN104" s="3"/>
      <c r="LVO104" s="3"/>
      <c r="LVP104" s="3"/>
      <c r="LVQ104" s="3"/>
      <c r="LVR104" s="3"/>
      <c r="LVS104" s="3"/>
      <c r="LVT104" s="3"/>
      <c r="LVU104" s="3"/>
      <c r="LVV104" s="3"/>
      <c r="LVW104" s="3"/>
      <c r="LVX104" s="3"/>
      <c r="LVY104" s="3"/>
      <c r="LVZ104" s="3"/>
      <c r="LWA104" s="3"/>
      <c r="LWB104" s="3"/>
      <c r="LWC104" s="3"/>
      <c r="LWD104" s="3"/>
      <c r="LWE104" s="3"/>
      <c r="LWF104" s="3"/>
      <c r="LWG104" s="3"/>
      <c r="LWH104" s="3"/>
      <c r="LWI104" s="3"/>
      <c r="LWJ104" s="3"/>
      <c r="LWK104" s="3"/>
      <c r="LWL104" s="3"/>
      <c r="LWM104" s="3"/>
      <c r="LWN104" s="3"/>
      <c r="LWO104" s="3"/>
      <c r="LWP104" s="3"/>
      <c r="LWQ104" s="3"/>
      <c r="LWR104" s="3"/>
      <c r="LWS104" s="3"/>
      <c r="LWT104" s="3"/>
      <c r="LWU104" s="3"/>
      <c r="LWV104" s="3"/>
      <c r="LWW104" s="3"/>
      <c r="LWX104" s="3"/>
      <c r="LWY104" s="3"/>
      <c r="LWZ104" s="3"/>
      <c r="LXA104" s="3"/>
      <c r="LXB104" s="3"/>
      <c r="LXC104" s="3"/>
      <c r="LXD104" s="3"/>
      <c r="LXE104" s="3"/>
      <c r="LXF104" s="3"/>
      <c r="LXG104" s="3"/>
      <c r="LXH104" s="3"/>
      <c r="LXI104" s="3"/>
      <c r="LXJ104" s="3"/>
      <c r="LXK104" s="3"/>
      <c r="LXL104" s="3"/>
      <c r="LXM104" s="3"/>
      <c r="LXN104" s="3"/>
      <c r="LXO104" s="3"/>
      <c r="LXP104" s="3"/>
      <c r="LXQ104" s="3"/>
      <c r="LXR104" s="3"/>
      <c r="LXS104" s="3"/>
      <c r="LXT104" s="3"/>
      <c r="LXU104" s="3"/>
      <c r="LXV104" s="3"/>
      <c r="LXW104" s="3"/>
      <c r="LXX104" s="3"/>
      <c r="LXY104" s="3"/>
      <c r="LXZ104" s="3"/>
      <c r="LYA104" s="3"/>
      <c r="LYB104" s="3"/>
      <c r="LYC104" s="3"/>
      <c r="LYD104" s="3"/>
      <c r="LYE104" s="3"/>
      <c r="LYF104" s="3"/>
      <c r="LYG104" s="3"/>
      <c r="LYH104" s="3"/>
      <c r="LYI104" s="3"/>
      <c r="LYJ104" s="3"/>
      <c r="LYK104" s="3"/>
      <c r="LYL104" s="3"/>
      <c r="LYM104" s="3"/>
      <c r="LYN104" s="3"/>
      <c r="LYO104" s="3"/>
      <c r="LYP104" s="3"/>
      <c r="LYQ104" s="3"/>
      <c r="LYR104" s="3"/>
      <c r="LYS104" s="3"/>
      <c r="LYT104" s="3"/>
      <c r="LYU104" s="3"/>
      <c r="LYV104" s="3"/>
      <c r="LYW104" s="3"/>
      <c r="LYX104" s="3"/>
      <c r="LYY104" s="3"/>
      <c r="LYZ104" s="3"/>
      <c r="LZA104" s="3"/>
      <c r="LZB104" s="3"/>
      <c r="LZC104" s="3"/>
      <c r="LZD104" s="3"/>
      <c r="LZE104" s="3"/>
      <c r="LZF104" s="3"/>
      <c r="LZG104" s="3"/>
      <c r="LZH104" s="3"/>
      <c r="LZI104" s="3"/>
      <c r="LZJ104" s="3"/>
      <c r="LZK104" s="3"/>
      <c r="LZL104" s="3"/>
      <c r="LZM104" s="3"/>
      <c r="LZN104" s="3"/>
      <c r="LZO104" s="3"/>
      <c r="LZP104" s="3"/>
      <c r="LZQ104" s="3"/>
      <c r="LZR104" s="3"/>
      <c r="LZS104" s="3"/>
      <c r="LZT104" s="3"/>
      <c r="LZU104" s="3"/>
      <c r="LZV104" s="3"/>
      <c r="LZW104" s="3"/>
      <c r="LZX104" s="3"/>
      <c r="LZY104" s="3"/>
      <c r="LZZ104" s="3"/>
      <c r="MAA104" s="3"/>
      <c r="MAB104" s="3"/>
      <c r="MAC104" s="3"/>
      <c r="MAD104" s="3"/>
      <c r="MAE104" s="3"/>
      <c r="MAF104" s="3"/>
      <c r="MAG104" s="3"/>
      <c r="MAH104" s="3"/>
      <c r="MAI104" s="3"/>
      <c r="MAJ104" s="3"/>
      <c r="MAK104" s="3"/>
      <c r="MAL104" s="3"/>
      <c r="MAM104" s="3"/>
      <c r="MAN104" s="3"/>
      <c r="MAO104" s="3"/>
      <c r="MAP104" s="3"/>
      <c r="MAQ104" s="3"/>
      <c r="MAR104" s="3"/>
      <c r="MAS104" s="3"/>
      <c r="MAT104" s="3"/>
      <c r="MAU104" s="3"/>
      <c r="MAV104" s="3"/>
      <c r="MAW104" s="3"/>
      <c r="MAX104" s="3"/>
      <c r="MAY104" s="3"/>
      <c r="MAZ104" s="3"/>
      <c r="MBA104" s="3"/>
      <c r="MBB104" s="3"/>
      <c r="MBC104" s="3"/>
      <c r="MBD104" s="3"/>
      <c r="MBE104" s="3"/>
      <c r="MBF104" s="3"/>
      <c r="MBG104" s="3"/>
      <c r="MBH104" s="3"/>
      <c r="MBI104" s="3"/>
      <c r="MBJ104" s="3"/>
      <c r="MBK104" s="3"/>
      <c r="MBL104" s="3"/>
      <c r="MBM104" s="3"/>
      <c r="MBN104" s="3"/>
      <c r="MBO104" s="3"/>
      <c r="MBP104" s="3"/>
      <c r="MBQ104" s="3"/>
      <c r="MBR104" s="3"/>
      <c r="MBS104" s="3"/>
      <c r="MBT104" s="3"/>
      <c r="MBU104" s="3"/>
      <c r="MBV104" s="3"/>
      <c r="MBW104" s="3"/>
      <c r="MBX104" s="3"/>
      <c r="MBY104" s="3"/>
      <c r="MBZ104" s="3"/>
      <c r="MCA104" s="3"/>
      <c r="MCB104" s="3"/>
      <c r="MCC104" s="3"/>
      <c r="MCD104" s="3"/>
      <c r="MCE104" s="3"/>
      <c r="MCF104" s="3"/>
      <c r="MCG104" s="3"/>
      <c r="MCH104" s="3"/>
      <c r="MCI104" s="3"/>
      <c r="MCJ104" s="3"/>
      <c r="MCK104" s="3"/>
      <c r="MCL104" s="3"/>
      <c r="MCM104" s="3"/>
      <c r="MCN104" s="3"/>
      <c r="MCO104" s="3"/>
      <c r="MCP104" s="3"/>
      <c r="MCQ104" s="3"/>
      <c r="MCR104" s="3"/>
      <c r="MCS104" s="3"/>
      <c r="MCT104" s="3"/>
      <c r="MCU104" s="3"/>
      <c r="MCV104" s="3"/>
      <c r="MCW104" s="3"/>
      <c r="MCX104" s="3"/>
      <c r="MCY104" s="3"/>
      <c r="MCZ104" s="3"/>
      <c r="MDA104" s="3"/>
      <c r="MDB104" s="3"/>
      <c r="MDC104" s="3"/>
      <c r="MDD104" s="3"/>
      <c r="MDE104" s="3"/>
      <c r="MDF104" s="3"/>
      <c r="MDG104" s="3"/>
      <c r="MDH104" s="3"/>
      <c r="MDI104" s="3"/>
      <c r="MDJ104" s="3"/>
      <c r="MDK104" s="3"/>
      <c r="MDL104" s="3"/>
      <c r="MDM104" s="3"/>
      <c r="MDN104" s="3"/>
      <c r="MDO104" s="3"/>
      <c r="MDP104" s="3"/>
      <c r="MDQ104" s="3"/>
      <c r="MDR104" s="3"/>
      <c r="MDS104" s="3"/>
      <c r="MDT104" s="3"/>
      <c r="MDU104" s="3"/>
      <c r="MDV104" s="3"/>
      <c r="MDW104" s="3"/>
      <c r="MDX104" s="3"/>
      <c r="MDY104" s="3"/>
      <c r="MDZ104" s="3"/>
      <c r="MEA104" s="3"/>
      <c r="MEB104" s="3"/>
      <c r="MEC104" s="3"/>
      <c r="MED104" s="3"/>
      <c r="MEE104" s="3"/>
      <c r="MEF104" s="3"/>
      <c r="MEG104" s="3"/>
      <c r="MEH104" s="3"/>
      <c r="MEI104" s="3"/>
      <c r="MEJ104" s="3"/>
      <c r="MEK104" s="3"/>
      <c r="MEL104" s="3"/>
      <c r="MEM104" s="3"/>
      <c r="MEN104" s="3"/>
      <c r="MEO104" s="3"/>
      <c r="MEP104" s="3"/>
      <c r="MEQ104" s="3"/>
      <c r="MER104" s="3"/>
      <c r="MES104" s="3"/>
      <c r="MET104" s="3"/>
      <c r="MEU104" s="3"/>
      <c r="MEV104" s="3"/>
      <c r="MEW104" s="3"/>
      <c r="MEX104" s="3"/>
      <c r="MEY104" s="3"/>
      <c r="MEZ104" s="3"/>
      <c r="MFA104" s="3"/>
      <c r="MFB104" s="3"/>
      <c r="MFC104" s="3"/>
      <c r="MFD104" s="3"/>
      <c r="MFE104" s="3"/>
      <c r="MFF104" s="3"/>
      <c r="MFG104" s="3"/>
      <c r="MFH104" s="3"/>
      <c r="MFI104" s="3"/>
      <c r="MFJ104" s="3"/>
      <c r="MFK104" s="3"/>
      <c r="MFL104" s="3"/>
      <c r="MFM104" s="3"/>
      <c r="MFN104" s="3"/>
      <c r="MFO104" s="3"/>
      <c r="MFP104" s="3"/>
      <c r="MFQ104" s="3"/>
      <c r="MFR104" s="3"/>
      <c r="MFS104" s="3"/>
      <c r="MFT104" s="3"/>
      <c r="MFU104" s="3"/>
      <c r="MFV104" s="3"/>
      <c r="MFW104" s="3"/>
      <c r="MFX104" s="3"/>
      <c r="MFY104" s="3"/>
      <c r="MFZ104" s="3"/>
      <c r="MGA104" s="3"/>
      <c r="MGB104" s="3"/>
      <c r="MGC104" s="3"/>
      <c r="MGD104" s="3"/>
      <c r="MGE104" s="3"/>
      <c r="MGF104" s="3"/>
      <c r="MGG104" s="3"/>
      <c r="MGH104" s="3"/>
      <c r="MGI104" s="3"/>
      <c r="MGJ104" s="3"/>
      <c r="MGK104" s="3"/>
      <c r="MGL104" s="3"/>
      <c r="MGM104" s="3"/>
      <c r="MGN104" s="3"/>
      <c r="MGO104" s="3"/>
      <c r="MGP104" s="3"/>
      <c r="MGQ104" s="3"/>
      <c r="MGR104" s="3"/>
      <c r="MGS104" s="3"/>
      <c r="MGT104" s="3"/>
      <c r="MGU104" s="3"/>
      <c r="MGV104" s="3"/>
      <c r="MGW104" s="3"/>
      <c r="MGX104" s="3"/>
      <c r="MGY104" s="3"/>
      <c r="MGZ104" s="3"/>
      <c r="MHA104" s="3"/>
      <c r="MHB104" s="3"/>
      <c r="MHC104" s="3"/>
      <c r="MHD104" s="3"/>
      <c r="MHE104" s="3"/>
      <c r="MHF104" s="3"/>
      <c r="MHG104" s="3"/>
      <c r="MHH104" s="3"/>
      <c r="MHI104" s="3"/>
      <c r="MHJ104" s="3"/>
      <c r="MHK104" s="3"/>
      <c r="MHL104" s="3"/>
      <c r="MHM104" s="3"/>
      <c r="MHN104" s="3"/>
      <c r="MHO104" s="3"/>
      <c r="MHP104" s="3"/>
      <c r="MHQ104" s="3"/>
      <c r="MHR104" s="3"/>
      <c r="MHS104" s="3"/>
      <c r="MHT104" s="3"/>
      <c r="MHU104" s="3"/>
      <c r="MHV104" s="3"/>
      <c r="MHW104" s="3"/>
      <c r="MHX104" s="3"/>
      <c r="MHY104" s="3"/>
      <c r="MHZ104" s="3"/>
      <c r="MIA104" s="3"/>
      <c r="MIB104" s="3"/>
      <c r="MIC104" s="3"/>
      <c r="MID104" s="3"/>
      <c r="MIE104" s="3"/>
      <c r="MIF104" s="3"/>
      <c r="MIG104" s="3"/>
      <c r="MIH104" s="3"/>
      <c r="MII104" s="3"/>
      <c r="MIJ104" s="3"/>
      <c r="MIK104" s="3"/>
      <c r="MIL104" s="3"/>
      <c r="MIM104" s="3"/>
      <c r="MIN104" s="3"/>
      <c r="MIO104" s="3"/>
      <c r="MIP104" s="3"/>
      <c r="MIQ104" s="3"/>
      <c r="MIR104" s="3"/>
      <c r="MIS104" s="3"/>
      <c r="MIT104" s="3"/>
      <c r="MIU104" s="3"/>
      <c r="MIV104" s="3"/>
      <c r="MIW104" s="3"/>
      <c r="MIX104" s="3"/>
      <c r="MIY104" s="3"/>
      <c r="MIZ104" s="3"/>
      <c r="MJA104" s="3"/>
      <c r="MJB104" s="3"/>
      <c r="MJC104" s="3"/>
      <c r="MJD104" s="3"/>
      <c r="MJE104" s="3"/>
      <c r="MJF104" s="3"/>
      <c r="MJG104" s="3"/>
      <c r="MJH104" s="3"/>
      <c r="MJI104" s="3"/>
      <c r="MJJ104" s="3"/>
      <c r="MJK104" s="3"/>
      <c r="MJL104" s="3"/>
      <c r="MJM104" s="3"/>
      <c r="MJN104" s="3"/>
      <c r="MJO104" s="3"/>
      <c r="MJP104" s="3"/>
      <c r="MJQ104" s="3"/>
      <c r="MJR104" s="3"/>
      <c r="MJS104" s="3"/>
      <c r="MJT104" s="3"/>
      <c r="MJU104" s="3"/>
      <c r="MJV104" s="3"/>
      <c r="MJW104" s="3"/>
      <c r="MJX104" s="3"/>
      <c r="MJY104" s="3"/>
      <c r="MJZ104" s="3"/>
      <c r="MKA104" s="3"/>
      <c r="MKB104" s="3"/>
      <c r="MKC104" s="3"/>
      <c r="MKD104" s="3"/>
      <c r="MKE104" s="3"/>
      <c r="MKF104" s="3"/>
      <c r="MKG104" s="3"/>
      <c r="MKH104" s="3"/>
      <c r="MKI104" s="3"/>
      <c r="MKJ104" s="3"/>
      <c r="MKK104" s="3"/>
      <c r="MKL104" s="3"/>
      <c r="MKM104" s="3"/>
      <c r="MKN104" s="3"/>
      <c r="MKO104" s="3"/>
      <c r="MKP104" s="3"/>
      <c r="MKQ104" s="3"/>
      <c r="MKR104" s="3"/>
      <c r="MKS104" s="3"/>
      <c r="MKT104" s="3"/>
      <c r="MKU104" s="3"/>
      <c r="MKV104" s="3"/>
      <c r="MKW104" s="3"/>
      <c r="MKX104" s="3"/>
      <c r="MKY104" s="3"/>
      <c r="MKZ104" s="3"/>
      <c r="MLA104" s="3"/>
      <c r="MLB104" s="3"/>
      <c r="MLC104" s="3"/>
      <c r="MLD104" s="3"/>
      <c r="MLE104" s="3"/>
      <c r="MLF104" s="3"/>
      <c r="MLG104" s="3"/>
      <c r="MLH104" s="3"/>
      <c r="MLI104" s="3"/>
      <c r="MLJ104" s="3"/>
      <c r="MLK104" s="3"/>
      <c r="MLL104" s="3"/>
      <c r="MLM104" s="3"/>
      <c r="MLN104" s="3"/>
      <c r="MLO104" s="3"/>
      <c r="MLP104" s="3"/>
      <c r="MLQ104" s="3"/>
      <c r="MLR104" s="3"/>
      <c r="MLS104" s="3"/>
      <c r="MLT104" s="3"/>
      <c r="MLU104" s="3"/>
      <c r="MLV104" s="3"/>
      <c r="MLW104" s="3"/>
      <c r="MLX104" s="3"/>
      <c r="MLY104" s="3"/>
      <c r="MLZ104" s="3"/>
      <c r="MMA104" s="3"/>
      <c r="MMB104" s="3"/>
      <c r="MMC104" s="3"/>
      <c r="MMD104" s="3"/>
      <c r="MME104" s="3"/>
      <c r="MMF104" s="3"/>
      <c r="MMG104" s="3"/>
      <c r="MMH104" s="3"/>
      <c r="MMI104" s="3"/>
      <c r="MMJ104" s="3"/>
      <c r="MMK104" s="3"/>
      <c r="MML104" s="3"/>
      <c r="MMM104" s="3"/>
      <c r="MMN104" s="3"/>
      <c r="MMO104" s="3"/>
      <c r="MMP104" s="3"/>
      <c r="MMQ104" s="3"/>
      <c r="MMR104" s="3"/>
      <c r="MMS104" s="3"/>
      <c r="MMT104" s="3"/>
      <c r="MMU104" s="3"/>
      <c r="MMV104" s="3"/>
      <c r="MMW104" s="3"/>
      <c r="MMX104" s="3"/>
      <c r="MMY104" s="3"/>
      <c r="MMZ104" s="3"/>
      <c r="MNA104" s="3"/>
      <c r="MNB104" s="3"/>
      <c r="MNC104" s="3"/>
      <c r="MND104" s="3"/>
      <c r="MNE104" s="3"/>
      <c r="MNF104" s="3"/>
      <c r="MNG104" s="3"/>
      <c r="MNH104" s="3"/>
      <c r="MNI104" s="3"/>
      <c r="MNJ104" s="3"/>
      <c r="MNK104" s="3"/>
      <c r="MNL104" s="3"/>
      <c r="MNM104" s="3"/>
      <c r="MNN104" s="3"/>
      <c r="MNO104" s="3"/>
      <c r="MNP104" s="3"/>
      <c r="MNQ104" s="3"/>
      <c r="MNR104" s="3"/>
      <c r="MNS104" s="3"/>
      <c r="MNT104" s="3"/>
      <c r="MNU104" s="3"/>
      <c r="MNV104" s="3"/>
      <c r="MNW104" s="3"/>
      <c r="MNX104" s="3"/>
      <c r="MNY104" s="3"/>
      <c r="MNZ104" s="3"/>
      <c r="MOA104" s="3"/>
      <c r="MOB104" s="3"/>
      <c r="MOC104" s="3"/>
      <c r="MOD104" s="3"/>
      <c r="MOE104" s="3"/>
      <c r="MOF104" s="3"/>
      <c r="MOG104" s="3"/>
      <c r="MOH104" s="3"/>
      <c r="MOI104" s="3"/>
      <c r="MOJ104" s="3"/>
      <c r="MOK104" s="3"/>
      <c r="MOL104" s="3"/>
      <c r="MOM104" s="3"/>
      <c r="MON104" s="3"/>
      <c r="MOO104" s="3"/>
      <c r="MOP104" s="3"/>
      <c r="MOQ104" s="3"/>
      <c r="MOR104" s="3"/>
      <c r="MOS104" s="3"/>
      <c r="MOT104" s="3"/>
      <c r="MOU104" s="3"/>
      <c r="MOV104" s="3"/>
      <c r="MOW104" s="3"/>
      <c r="MOX104" s="3"/>
      <c r="MOY104" s="3"/>
      <c r="MOZ104" s="3"/>
      <c r="MPA104" s="3"/>
      <c r="MPB104" s="3"/>
      <c r="MPC104" s="3"/>
      <c r="MPD104" s="3"/>
      <c r="MPE104" s="3"/>
      <c r="MPF104" s="3"/>
      <c r="MPG104" s="3"/>
      <c r="MPH104" s="3"/>
      <c r="MPI104" s="3"/>
      <c r="MPJ104" s="3"/>
      <c r="MPK104" s="3"/>
      <c r="MPL104" s="3"/>
      <c r="MPM104" s="3"/>
      <c r="MPN104" s="3"/>
      <c r="MPO104" s="3"/>
      <c r="MPP104" s="3"/>
      <c r="MPQ104" s="3"/>
      <c r="MPR104" s="3"/>
      <c r="MPS104" s="3"/>
      <c r="MPT104" s="3"/>
      <c r="MPU104" s="3"/>
      <c r="MPV104" s="3"/>
      <c r="MPW104" s="3"/>
      <c r="MPX104" s="3"/>
      <c r="MPY104" s="3"/>
      <c r="MPZ104" s="3"/>
      <c r="MQA104" s="3"/>
      <c r="MQB104" s="3"/>
      <c r="MQC104" s="3"/>
      <c r="MQD104" s="3"/>
      <c r="MQE104" s="3"/>
      <c r="MQF104" s="3"/>
      <c r="MQG104" s="3"/>
      <c r="MQH104" s="3"/>
      <c r="MQI104" s="3"/>
      <c r="MQJ104" s="3"/>
      <c r="MQK104" s="3"/>
      <c r="MQL104" s="3"/>
      <c r="MQM104" s="3"/>
      <c r="MQN104" s="3"/>
      <c r="MQO104" s="3"/>
      <c r="MQP104" s="3"/>
      <c r="MQQ104" s="3"/>
      <c r="MQR104" s="3"/>
      <c r="MQS104" s="3"/>
      <c r="MQT104" s="3"/>
      <c r="MQU104" s="3"/>
      <c r="MQV104" s="3"/>
      <c r="MQW104" s="3"/>
      <c r="MQX104" s="3"/>
      <c r="MQY104" s="3"/>
      <c r="MQZ104" s="3"/>
      <c r="MRA104" s="3"/>
      <c r="MRB104" s="3"/>
      <c r="MRC104" s="3"/>
      <c r="MRD104" s="3"/>
      <c r="MRE104" s="3"/>
      <c r="MRF104" s="3"/>
      <c r="MRG104" s="3"/>
      <c r="MRH104" s="3"/>
      <c r="MRI104" s="3"/>
      <c r="MRJ104" s="3"/>
      <c r="MRK104" s="3"/>
      <c r="MRL104" s="3"/>
      <c r="MRM104" s="3"/>
      <c r="MRN104" s="3"/>
      <c r="MRO104" s="3"/>
      <c r="MRP104" s="3"/>
      <c r="MRQ104" s="3"/>
      <c r="MRR104" s="3"/>
      <c r="MRS104" s="3"/>
      <c r="MRT104" s="3"/>
      <c r="MRU104" s="3"/>
      <c r="MRV104" s="3"/>
      <c r="MRW104" s="3"/>
      <c r="MRX104" s="3"/>
      <c r="MRY104" s="3"/>
      <c r="MRZ104" s="3"/>
      <c r="MSA104" s="3"/>
      <c r="MSB104" s="3"/>
      <c r="MSC104" s="3"/>
      <c r="MSD104" s="3"/>
      <c r="MSE104" s="3"/>
      <c r="MSF104" s="3"/>
      <c r="MSG104" s="3"/>
      <c r="MSH104" s="3"/>
      <c r="MSI104" s="3"/>
      <c r="MSJ104" s="3"/>
      <c r="MSK104" s="3"/>
      <c r="MSL104" s="3"/>
      <c r="MSM104" s="3"/>
      <c r="MSN104" s="3"/>
      <c r="MSO104" s="3"/>
      <c r="MSP104" s="3"/>
      <c r="MSQ104" s="3"/>
      <c r="MSR104" s="3"/>
      <c r="MSS104" s="3"/>
      <c r="MST104" s="3"/>
      <c r="MSU104" s="3"/>
      <c r="MSV104" s="3"/>
      <c r="MSW104" s="3"/>
      <c r="MSX104" s="3"/>
      <c r="MSY104" s="3"/>
      <c r="MSZ104" s="3"/>
      <c r="MTA104" s="3"/>
      <c r="MTB104" s="3"/>
      <c r="MTC104" s="3"/>
      <c r="MTD104" s="3"/>
      <c r="MTE104" s="3"/>
      <c r="MTF104" s="3"/>
      <c r="MTG104" s="3"/>
      <c r="MTH104" s="3"/>
      <c r="MTI104" s="3"/>
      <c r="MTJ104" s="3"/>
      <c r="MTK104" s="3"/>
      <c r="MTL104" s="3"/>
      <c r="MTM104" s="3"/>
      <c r="MTN104" s="3"/>
      <c r="MTO104" s="3"/>
      <c r="MTP104" s="3"/>
      <c r="MTQ104" s="3"/>
      <c r="MTR104" s="3"/>
      <c r="MTS104" s="3"/>
      <c r="MTT104" s="3"/>
      <c r="MTU104" s="3"/>
      <c r="MTV104" s="3"/>
      <c r="MTW104" s="3"/>
      <c r="MTX104" s="3"/>
      <c r="MTY104" s="3"/>
      <c r="MTZ104" s="3"/>
      <c r="MUA104" s="3"/>
      <c r="MUB104" s="3"/>
      <c r="MUC104" s="3"/>
      <c r="MUD104" s="3"/>
      <c r="MUE104" s="3"/>
      <c r="MUF104" s="3"/>
      <c r="MUG104" s="3"/>
      <c r="MUH104" s="3"/>
      <c r="MUI104" s="3"/>
      <c r="MUJ104" s="3"/>
      <c r="MUK104" s="3"/>
      <c r="MUL104" s="3"/>
      <c r="MUM104" s="3"/>
      <c r="MUN104" s="3"/>
      <c r="MUO104" s="3"/>
      <c r="MUP104" s="3"/>
      <c r="MUQ104" s="3"/>
      <c r="MUR104" s="3"/>
      <c r="MUS104" s="3"/>
      <c r="MUT104" s="3"/>
      <c r="MUU104" s="3"/>
      <c r="MUV104" s="3"/>
      <c r="MUW104" s="3"/>
      <c r="MUX104" s="3"/>
      <c r="MUY104" s="3"/>
      <c r="MUZ104" s="3"/>
      <c r="MVA104" s="3"/>
      <c r="MVB104" s="3"/>
      <c r="MVC104" s="3"/>
      <c r="MVD104" s="3"/>
      <c r="MVE104" s="3"/>
      <c r="MVF104" s="3"/>
      <c r="MVG104" s="3"/>
      <c r="MVH104" s="3"/>
      <c r="MVI104" s="3"/>
      <c r="MVJ104" s="3"/>
      <c r="MVK104" s="3"/>
      <c r="MVL104" s="3"/>
      <c r="MVM104" s="3"/>
      <c r="MVN104" s="3"/>
      <c r="MVO104" s="3"/>
      <c r="MVP104" s="3"/>
      <c r="MVQ104" s="3"/>
      <c r="MVR104" s="3"/>
      <c r="MVS104" s="3"/>
      <c r="MVT104" s="3"/>
      <c r="MVU104" s="3"/>
      <c r="MVV104" s="3"/>
      <c r="MVW104" s="3"/>
      <c r="MVX104" s="3"/>
      <c r="MVY104" s="3"/>
      <c r="MVZ104" s="3"/>
      <c r="MWA104" s="3"/>
      <c r="MWB104" s="3"/>
      <c r="MWC104" s="3"/>
      <c r="MWD104" s="3"/>
      <c r="MWE104" s="3"/>
      <c r="MWF104" s="3"/>
      <c r="MWG104" s="3"/>
      <c r="MWH104" s="3"/>
      <c r="MWI104" s="3"/>
      <c r="MWJ104" s="3"/>
      <c r="MWK104" s="3"/>
      <c r="MWL104" s="3"/>
      <c r="MWM104" s="3"/>
      <c r="MWN104" s="3"/>
      <c r="MWO104" s="3"/>
      <c r="MWP104" s="3"/>
      <c r="MWQ104" s="3"/>
      <c r="MWR104" s="3"/>
      <c r="MWS104" s="3"/>
      <c r="MWT104" s="3"/>
      <c r="MWU104" s="3"/>
      <c r="MWV104" s="3"/>
      <c r="MWW104" s="3"/>
      <c r="MWX104" s="3"/>
      <c r="MWY104" s="3"/>
      <c r="MWZ104" s="3"/>
      <c r="MXA104" s="3"/>
      <c r="MXB104" s="3"/>
      <c r="MXC104" s="3"/>
      <c r="MXD104" s="3"/>
      <c r="MXE104" s="3"/>
      <c r="MXF104" s="3"/>
      <c r="MXG104" s="3"/>
      <c r="MXH104" s="3"/>
      <c r="MXI104" s="3"/>
      <c r="MXJ104" s="3"/>
      <c r="MXK104" s="3"/>
      <c r="MXL104" s="3"/>
      <c r="MXM104" s="3"/>
      <c r="MXN104" s="3"/>
      <c r="MXO104" s="3"/>
      <c r="MXP104" s="3"/>
      <c r="MXQ104" s="3"/>
      <c r="MXR104" s="3"/>
      <c r="MXS104" s="3"/>
      <c r="MXT104" s="3"/>
      <c r="MXU104" s="3"/>
      <c r="MXV104" s="3"/>
      <c r="MXW104" s="3"/>
      <c r="MXX104" s="3"/>
      <c r="MXY104" s="3"/>
      <c r="MXZ104" s="3"/>
      <c r="MYA104" s="3"/>
      <c r="MYB104" s="3"/>
      <c r="MYC104" s="3"/>
      <c r="MYD104" s="3"/>
      <c r="MYE104" s="3"/>
      <c r="MYF104" s="3"/>
      <c r="MYG104" s="3"/>
      <c r="MYH104" s="3"/>
      <c r="MYI104" s="3"/>
      <c r="MYJ104" s="3"/>
      <c r="MYK104" s="3"/>
      <c r="MYL104" s="3"/>
      <c r="MYM104" s="3"/>
      <c r="MYN104" s="3"/>
      <c r="MYO104" s="3"/>
      <c r="MYP104" s="3"/>
      <c r="MYQ104" s="3"/>
      <c r="MYR104" s="3"/>
      <c r="MYS104" s="3"/>
      <c r="MYT104" s="3"/>
      <c r="MYU104" s="3"/>
      <c r="MYV104" s="3"/>
      <c r="MYW104" s="3"/>
      <c r="MYX104" s="3"/>
      <c r="MYY104" s="3"/>
      <c r="MYZ104" s="3"/>
      <c r="MZA104" s="3"/>
      <c r="MZB104" s="3"/>
      <c r="MZC104" s="3"/>
      <c r="MZD104" s="3"/>
      <c r="MZE104" s="3"/>
      <c r="MZF104" s="3"/>
      <c r="MZG104" s="3"/>
      <c r="MZH104" s="3"/>
      <c r="MZI104" s="3"/>
      <c r="MZJ104" s="3"/>
      <c r="MZK104" s="3"/>
      <c r="MZL104" s="3"/>
      <c r="MZM104" s="3"/>
      <c r="MZN104" s="3"/>
      <c r="MZO104" s="3"/>
      <c r="MZP104" s="3"/>
      <c r="MZQ104" s="3"/>
      <c r="MZR104" s="3"/>
      <c r="MZS104" s="3"/>
      <c r="MZT104" s="3"/>
      <c r="MZU104" s="3"/>
      <c r="MZV104" s="3"/>
      <c r="MZW104" s="3"/>
      <c r="MZX104" s="3"/>
      <c r="MZY104" s="3"/>
      <c r="MZZ104" s="3"/>
      <c r="NAA104" s="3"/>
      <c r="NAB104" s="3"/>
      <c r="NAC104" s="3"/>
      <c r="NAD104" s="3"/>
      <c r="NAE104" s="3"/>
      <c r="NAF104" s="3"/>
      <c r="NAG104" s="3"/>
      <c r="NAH104" s="3"/>
      <c r="NAI104" s="3"/>
      <c r="NAJ104" s="3"/>
      <c r="NAK104" s="3"/>
      <c r="NAL104" s="3"/>
      <c r="NAM104" s="3"/>
      <c r="NAN104" s="3"/>
      <c r="NAO104" s="3"/>
      <c r="NAP104" s="3"/>
      <c r="NAQ104" s="3"/>
      <c r="NAR104" s="3"/>
      <c r="NAS104" s="3"/>
      <c r="NAT104" s="3"/>
      <c r="NAU104" s="3"/>
      <c r="NAV104" s="3"/>
      <c r="NAW104" s="3"/>
      <c r="NAX104" s="3"/>
      <c r="NAY104" s="3"/>
      <c r="NAZ104" s="3"/>
      <c r="NBA104" s="3"/>
      <c r="NBB104" s="3"/>
      <c r="NBC104" s="3"/>
      <c r="NBD104" s="3"/>
      <c r="NBE104" s="3"/>
      <c r="NBF104" s="3"/>
      <c r="NBG104" s="3"/>
      <c r="NBH104" s="3"/>
      <c r="NBI104" s="3"/>
      <c r="NBJ104" s="3"/>
      <c r="NBK104" s="3"/>
      <c r="NBL104" s="3"/>
      <c r="NBM104" s="3"/>
      <c r="NBN104" s="3"/>
      <c r="NBO104" s="3"/>
      <c r="NBP104" s="3"/>
      <c r="NBQ104" s="3"/>
      <c r="NBR104" s="3"/>
      <c r="NBS104" s="3"/>
      <c r="NBT104" s="3"/>
      <c r="NBU104" s="3"/>
      <c r="NBV104" s="3"/>
      <c r="NBW104" s="3"/>
      <c r="NBX104" s="3"/>
      <c r="NBY104" s="3"/>
      <c r="NBZ104" s="3"/>
      <c r="NCA104" s="3"/>
      <c r="NCB104" s="3"/>
      <c r="NCC104" s="3"/>
      <c r="NCD104" s="3"/>
      <c r="NCE104" s="3"/>
      <c r="NCF104" s="3"/>
      <c r="NCG104" s="3"/>
      <c r="NCH104" s="3"/>
      <c r="NCI104" s="3"/>
      <c r="NCJ104" s="3"/>
      <c r="NCK104" s="3"/>
      <c r="NCL104" s="3"/>
      <c r="NCM104" s="3"/>
      <c r="NCN104" s="3"/>
      <c r="NCO104" s="3"/>
      <c r="NCP104" s="3"/>
      <c r="NCQ104" s="3"/>
      <c r="NCR104" s="3"/>
      <c r="NCS104" s="3"/>
      <c r="NCT104" s="3"/>
      <c r="NCU104" s="3"/>
      <c r="NCV104" s="3"/>
      <c r="NCW104" s="3"/>
      <c r="NCX104" s="3"/>
      <c r="NCY104" s="3"/>
      <c r="NCZ104" s="3"/>
      <c r="NDA104" s="3"/>
      <c r="NDB104" s="3"/>
      <c r="NDC104" s="3"/>
      <c r="NDD104" s="3"/>
      <c r="NDE104" s="3"/>
      <c r="NDF104" s="3"/>
      <c r="NDG104" s="3"/>
      <c r="NDH104" s="3"/>
      <c r="NDI104" s="3"/>
      <c r="NDJ104" s="3"/>
      <c r="NDK104" s="3"/>
      <c r="NDL104" s="3"/>
      <c r="NDM104" s="3"/>
      <c r="NDN104" s="3"/>
      <c r="NDO104" s="3"/>
      <c r="NDP104" s="3"/>
      <c r="NDQ104" s="3"/>
      <c r="NDR104" s="3"/>
      <c r="NDS104" s="3"/>
      <c r="NDT104" s="3"/>
      <c r="NDU104" s="3"/>
      <c r="NDV104" s="3"/>
      <c r="NDW104" s="3"/>
      <c r="NDX104" s="3"/>
      <c r="NDY104" s="3"/>
      <c r="NDZ104" s="3"/>
      <c r="NEA104" s="3"/>
      <c r="NEB104" s="3"/>
      <c r="NEC104" s="3"/>
      <c r="NED104" s="3"/>
      <c r="NEE104" s="3"/>
      <c r="NEF104" s="3"/>
      <c r="NEG104" s="3"/>
      <c r="NEH104" s="3"/>
      <c r="NEI104" s="3"/>
      <c r="NEJ104" s="3"/>
      <c r="NEK104" s="3"/>
      <c r="NEL104" s="3"/>
      <c r="NEM104" s="3"/>
      <c r="NEN104" s="3"/>
      <c r="NEO104" s="3"/>
      <c r="NEP104" s="3"/>
      <c r="NEQ104" s="3"/>
      <c r="NER104" s="3"/>
      <c r="NES104" s="3"/>
      <c r="NET104" s="3"/>
      <c r="NEU104" s="3"/>
      <c r="NEV104" s="3"/>
      <c r="NEW104" s="3"/>
      <c r="NEX104" s="3"/>
      <c r="NEY104" s="3"/>
      <c r="NEZ104" s="3"/>
      <c r="NFA104" s="3"/>
      <c r="NFB104" s="3"/>
      <c r="NFC104" s="3"/>
      <c r="NFD104" s="3"/>
      <c r="NFE104" s="3"/>
      <c r="NFF104" s="3"/>
      <c r="NFG104" s="3"/>
      <c r="NFH104" s="3"/>
      <c r="NFI104" s="3"/>
      <c r="NFJ104" s="3"/>
      <c r="NFK104" s="3"/>
      <c r="NFL104" s="3"/>
      <c r="NFM104" s="3"/>
      <c r="NFN104" s="3"/>
      <c r="NFO104" s="3"/>
      <c r="NFP104" s="3"/>
      <c r="NFQ104" s="3"/>
      <c r="NFR104" s="3"/>
      <c r="NFS104" s="3"/>
      <c r="NFT104" s="3"/>
      <c r="NFU104" s="3"/>
      <c r="NFV104" s="3"/>
      <c r="NFW104" s="3"/>
      <c r="NFX104" s="3"/>
      <c r="NFY104" s="3"/>
      <c r="NFZ104" s="3"/>
      <c r="NGA104" s="3"/>
      <c r="NGB104" s="3"/>
      <c r="NGC104" s="3"/>
      <c r="NGD104" s="3"/>
      <c r="NGE104" s="3"/>
      <c r="NGF104" s="3"/>
      <c r="NGG104" s="3"/>
      <c r="NGH104" s="3"/>
      <c r="NGI104" s="3"/>
      <c r="NGJ104" s="3"/>
      <c r="NGK104" s="3"/>
      <c r="NGL104" s="3"/>
      <c r="NGM104" s="3"/>
      <c r="NGN104" s="3"/>
      <c r="NGO104" s="3"/>
      <c r="NGP104" s="3"/>
      <c r="NGQ104" s="3"/>
      <c r="NGR104" s="3"/>
      <c r="NGS104" s="3"/>
      <c r="NGT104" s="3"/>
      <c r="NGU104" s="3"/>
      <c r="NGV104" s="3"/>
      <c r="NGW104" s="3"/>
      <c r="NGX104" s="3"/>
      <c r="NGY104" s="3"/>
      <c r="NGZ104" s="3"/>
      <c r="NHA104" s="3"/>
      <c r="NHB104" s="3"/>
      <c r="NHC104" s="3"/>
      <c r="NHD104" s="3"/>
      <c r="NHE104" s="3"/>
      <c r="NHF104" s="3"/>
      <c r="NHG104" s="3"/>
      <c r="NHH104" s="3"/>
      <c r="NHI104" s="3"/>
      <c r="NHJ104" s="3"/>
      <c r="NHK104" s="3"/>
      <c r="NHL104" s="3"/>
      <c r="NHM104" s="3"/>
      <c r="NHN104" s="3"/>
      <c r="NHO104" s="3"/>
      <c r="NHP104" s="3"/>
      <c r="NHQ104" s="3"/>
      <c r="NHR104" s="3"/>
      <c r="NHS104" s="3"/>
      <c r="NHT104" s="3"/>
      <c r="NHU104" s="3"/>
      <c r="NHV104" s="3"/>
      <c r="NHW104" s="3"/>
      <c r="NHX104" s="3"/>
      <c r="NHY104" s="3"/>
      <c r="NHZ104" s="3"/>
      <c r="NIA104" s="3"/>
      <c r="NIB104" s="3"/>
      <c r="NIC104" s="3"/>
      <c r="NID104" s="3"/>
      <c r="NIE104" s="3"/>
      <c r="NIF104" s="3"/>
      <c r="NIG104" s="3"/>
      <c r="NIH104" s="3"/>
      <c r="NII104" s="3"/>
      <c r="NIJ104" s="3"/>
      <c r="NIK104" s="3"/>
      <c r="NIL104" s="3"/>
      <c r="NIM104" s="3"/>
      <c r="NIN104" s="3"/>
      <c r="NIO104" s="3"/>
      <c r="NIP104" s="3"/>
      <c r="NIQ104" s="3"/>
      <c r="NIR104" s="3"/>
      <c r="NIS104" s="3"/>
      <c r="NIT104" s="3"/>
      <c r="NIU104" s="3"/>
      <c r="NIV104" s="3"/>
      <c r="NIW104" s="3"/>
      <c r="NIX104" s="3"/>
      <c r="NIY104" s="3"/>
      <c r="NIZ104" s="3"/>
      <c r="NJA104" s="3"/>
      <c r="NJB104" s="3"/>
      <c r="NJC104" s="3"/>
      <c r="NJD104" s="3"/>
      <c r="NJE104" s="3"/>
      <c r="NJF104" s="3"/>
      <c r="NJG104" s="3"/>
      <c r="NJH104" s="3"/>
      <c r="NJI104" s="3"/>
      <c r="NJJ104" s="3"/>
      <c r="NJK104" s="3"/>
      <c r="NJL104" s="3"/>
      <c r="NJM104" s="3"/>
      <c r="NJN104" s="3"/>
      <c r="NJO104" s="3"/>
      <c r="NJP104" s="3"/>
      <c r="NJQ104" s="3"/>
      <c r="NJR104" s="3"/>
      <c r="NJS104" s="3"/>
      <c r="NJT104" s="3"/>
      <c r="NJU104" s="3"/>
      <c r="NJV104" s="3"/>
      <c r="NJW104" s="3"/>
      <c r="NJX104" s="3"/>
      <c r="NJY104" s="3"/>
      <c r="NJZ104" s="3"/>
      <c r="NKA104" s="3"/>
      <c r="NKB104" s="3"/>
      <c r="NKC104" s="3"/>
      <c r="NKD104" s="3"/>
      <c r="NKE104" s="3"/>
      <c r="NKF104" s="3"/>
      <c r="NKG104" s="3"/>
      <c r="NKH104" s="3"/>
      <c r="NKI104" s="3"/>
      <c r="NKJ104" s="3"/>
      <c r="NKK104" s="3"/>
      <c r="NKL104" s="3"/>
      <c r="NKM104" s="3"/>
      <c r="NKN104" s="3"/>
      <c r="NKO104" s="3"/>
      <c r="NKP104" s="3"/>
      <c r="NKQ104" s="3"/>
      <c r="NKR104" s="3"/>
      <c r="NKS104" s="3"/>
      <c r="NKT104" s="3"/>
      <c r="NKU104" s="3"/>
      <c r="NKV104" s="3"/>
      <c r="NKW104" s="3"/>
      <c r="NKX104" s="3"/>
      <c r="NKY104" s="3"/>
      <c r="NKZ104" s="3"/>
      <c r="NLA104" s="3"/>
      <c r="NLB104" s="3"/>
      <c r="NLC104" s="3"/>
      <c r="NLD104" s="3"/>
      <c r="NLE104" s="3"/>
      <c r="NLF104" s="3"/>
      <c r="NLG104" s="3"/>
      <c r="NLH104" s="3"/>
      <c r="NLI104" s="3"/>
      <c r="NLJ104" s="3"/>
      <c r="NLK104" s="3"/>
      <c r="NLL104" s="3"/>
      <c r="NLM104" s="3"/>
      <c r="NLN104" s="3"/>
      <c r="NLO104" s="3"/>
      <c r="NLP104" s="3"/>
      <c r="NLQ104" s="3"/>
      <c r="NLR104" s="3"/>
      <c r="NLS104" s="3"/>
      <c r="NLT104" s="3"/>
      <c r="NLU104" s="3"/>
      <c r="NLV104" s="3"/>
      <c r="NLW104" s="3"/>
      <c r="NLX104" s="3"/>
      <c r="NLY104" s="3"/>
      <c r="NLZ104" s="3"/>
      <c r="NMA104" s="3"/>
      <c r="NMB104" s="3"/>
      <c r="NMC104" s="3"/>
      <c r="NMD104" s="3"/>
      <c r="NME104" s="3"/>
      <c r="NMF104" s="3"/>
      <c r="NMG104" s="3"/>
      <c r="NMH104" s="3"/>
      <c r="NMI104" s="3"/>
      <c r="NMJ104" s="3"/>
      <c r="NMK104" s="3"/>
      <c r="NML104" s="3"/>
      <c r="NMM104" s="3"/>
      <c r="NMN104" s="3"/>
      <c r="NMO104" s="3"/>
      <c r="NMP104" s="3"/>
      <c r="NMQ104" s="3"/>
      <c r="NMR104" s="3"/>
      <c r="NMS104" s="3"/>
      <c r="NMT104" s="3"/>
      <c r="NMU104" s="3"/>
      <c r="NMV104" s="3"/>
      <c r="NMW104" s="3"/>
      <c r="NMX104" s="3"/>
      <c r="NMY104" s="3"/>
      <c r="NMZ104" s="3"/>
      <c r="NNA104" s="3"/>
      <c r="NNB104" s="3"/>
      <c r="NNC104" s="3"/>
      <c r="NND104" s="3"/>
      <c r="NNE104" s="3"/>
      <c r="NNF104" s="3"/>
      <c r="NNG104" s="3"/>
      <c r="NNH104" s="3"/>
      <c r="NNI104" s="3"/>
      <c r="NNJ104" s="3"/>
      <c r="NNK104" s="3"/>
      <c r="NNL104" s="3"/>
      <c r="NNM104" s="3"/>
      <c r="NNN104" s="3"/>
      <c r="NNO104" s="3"/>
      <c r="NNP104" s="3"/>
      <c r="NNQ104" s="3"/>
      <c r="NNR104" s="3"/>
      <c r="NNS104" s="3"/>
      <c r="NNT104" s="3"/>
      <c r="NNU104" s="3"/>
      <c r="NNV104" s="3"/>
      <c r="NNW104" s="3"/>
      <c r="NNX104" s="3"/>
      <c r="NNY104" s="3"/>
      <c r="NNZ104" s="3"/>
      <c r="NOA104" s="3"/>
      <c r="NOB104" s="3"/>
      <c r="NOC104" s="3"/>
      <c r="NOD104" s="3"/>
      <c r="NOE104" s="3"/>
      <c r="NOF104" s="3"/>
      <c r="NOG104" s="3"/>
      <c r="NOH104" s="3"/>
      <c r="NOI104" s="3"/>
      <c r="NOJ104" s="3"/>
      <c r="NOK104" s="3"/>
      <c r="NOL104" s="3"/>
      <c r="NOM104" s="3"/>
      <c r="NON104" s="3"/>
      <c r="NOO104" s="3"/>
      <c r="NOP104" s="3"/>
      <c r="NOQ104" s="3"/>
      <c r="NOR104" s="3"/>
      <c r="NOS104" s="3"/>
      <c r="NOT104" s="3"/>
      <c r="NOU104" s="3"/>
      <c r="NOV104" s="3"/>
      <c r="NOW104" s="3"/>
      <c r="NOX104" s="3"/>
      <c r="NOY104" s="3"/>
      <c r="NOZ104" s="3"/>
      <c r="NPA104" s="3"/>
      <c r="NPB104" s="3"/>
      <c r="NPC104" s="3"/>
      <c r="NPD104" s="3"/>
      <c r="NPE104" s="3"/>
      <c r="NPF104" s="3"/>
      <c r="NPG104" s="3"/>
      <c r="NPH104" s="3"/>
      <c r="NPI104" s="3"/>
      <c r="NPJ104" s="3"/>
      <c r="NPK104" s="3"/>
      <c r="NPL104" s="3"/>
      <c r="NPM104" s="3"/>
      <c r="NPN104" s="3"/>
      <c r="NPO104" s="3"/>
      <c r="NPP104" s="3"/>
      <c r="NPQ104" s="3"/>
      <c r="NPR104" s="3"/>
      <c r="NPS104" s="3"/>
      <c r="NPT104" s="3"/>
      <c r="NPU104" s="3"/>
      <c r="NPV104" s="3"/>
      <c r="NPW104" s="3"/>
      <c r="NPX104" s="3"/>
      <c r="NPY104" s="3"/>
      <c r="NPZ104" s="3"/>
      <c r="NQA104" s="3"/>
      <c r="NQB104" s="3"/>
      <c r="NQC104" s="3"/>
      <c r="NQD104" s="3"/>
      <c r="NQE104" s="3"/>
      <c r="NQF104" s="3"/>
      <c r="NQG104" s="3"/>
      <c r="NQH104" s="3"/>
      <c r="NQI104" s="3"/>
      <c r="NQJ104" s="3"/>
      <c r="NQK104" s="3"/>
      <c r="NQL104" s="3"/>
      <c r="NQM104" s="3"/>
      <c r="NQN104" s="3"/>
      <c r="NQO104" s="3"/>
      <c r="NQP104" s="3"/>
      <c r="NQQ104" s="3"/>
      <c r="NQR104" s="3"/>
      <c r="NQS104" s="3"/>
      <c r="NQT104" s="3"/>
      <c r="NQU104" s="3"/>
      <c r="NQV104" s="3"/>
      <c r="NQW104" s="3"/>
      <c r="NQX104" s="3"/>
      <c r="NQY104" s="3"/>
      <c r="NQZ104" s="3"/>
      <c r="NRA104" s="3"/>
      <c r="NRB104" s="3"/>
      <c r="NRC104" s="3"/>
      <c r="NRD104" s="3"/>
      <c r="NRE104" s="3"/>
      <c r="NRF104" s="3"/>
      <c r="NRG104" s="3"/>
      <c r="NRH104" s="3"/>
      <c r="NRI104" s="3"/>
      <c r="NRJ104" s="3"/>
      <c r="NRK104" s="3"/>
      <c r="NRL104" s="3"/>
      <c r="NRM104" s="3"/>
      <c r="NRN104" s="3"/>
      <c r="NRO104" s="3"/>
      <c r="NRP104" s="3"/>
      <c r="NRQ104" s="3"/>
      <c r="NRR104" s="3"/>
      <c r="NRS104" s="3"/>
      <c r="NRT104" s="3"/>
      <c r="NRU104" s="3"/>
      <c r="NRV104" s="3"/>
      <c r="NRW104" s="3"/>
      <c r="NRX104" s="3"/>
      <c r="NRY104" s="3"/>
      <c r="NRZ104" s="3"/>
      <c r="NSA104" s="3"/>
      <c r="NSB104" s="3"/>
      <c r="NSC104" s="3"/>
      <c r="NSD104" s="3"/>
      <c r="NSE104" s="3"/>
      <c r="NSF104" s="3"/>
      <c r="NSG104" s="3"/>
      <c r="NSH104" s="3"/>
      <c r="NSI104" s="3"/>
      <c r="NSJ104" s="3"/>
      <c r="NSK104" s="3"/>
      <c r="NSL104" s="3"/>
      <c r="NSM104" s="3"/>
      <c r="NSN104" s="3"/>
      <c r="NSO104" s="3"/>
      <c r="NSP104" s="3"/>
      <c r="NSQ104" s="3"/>
      <c r="NSR104" s="3"/>
      <c r="NSS104" s="3"/>
      <c r="NST104" s="3"/>
      <c r="NSU104" s="3"/>
      <c r="NSV104" s="3"/>
      <c r="NSW104" s="3"/>
      <c r="NSX104" s="3"/>
      <c r="NSY104" s="3"/>
      <c r="NSZ104" s="3"/>
      <c r="NTA104" s="3"/>
      <c r="NTB104" s="3"/>
      <c r="NTC104" s="3"/>
      <c r="NTD104" s="3"/>
      <c r="NTE104" s="3"/>
      <c r="NTF104" s="3"/>
      <c r="NTG104" s="3"/>
      <c r="NTH104" s="3"/>
      <c r="NTI104" s="3"/>
      <c r="NTJ104" s="3"/>
      <c r="NTK104" s="3"/>
      <c r="NTL104" s="3"/>
      <c r="NTM104" s="3"/>
      <c r="NTN104" s="3"/>
      <c r="NTO104" s="3"/>
      <c r="NTP104" s="3"/>
      <c r="NTQ104" s="3"/>
      <c r="NTR104" s="3"/>
      <c r="NTS104" s="3"/>
      <c r="NTT104" s="3"/>
      <c r="NTU104" s="3"/>
      <c r="NTV104" s="3"/>
      <c r="NTW104" s="3"/>
      <c r="NTX104" s="3"/>
      <c r="NTY104" s="3"/>
      <c r="NTZ104" s="3"/>
      <c r="NUA104" s="3"/>
      <c r="NUB104" s="3"/>
      <c r="NUC104" s="3"/>
      <c r="NUD104" s="3"/>
      <c r="NUE104" s="3"/>
      <c r="NUF104" s="3"/>
      <c r="NUG104" s="3"/>
      <c r="NUH104" s="3"/>
      <c r="NUI104" s="3"/>
      <c r="NUJ104" s="3"/>
      <c r="NUK104" s="3"/>
      <c r="NUL104" s="3"/>
      <c r="NUM104" s="3"/>
      <c r="NUN104" s="3"/>
      <c r="NUO104" s="3"/>
      <c r="NUP104" s="3"/>
      <c r="NUQ104" s="3"/>
      <c r="NUR104" s="3"/>
      <c r="NUS104" s="3"/>
      <c r="NUT104" s="3"/>
      <c r="NUU104" s="3"/>
      <c r="NUV104" s="3"/>
      <c r="NUW104" s="3"/>
      <c r="NUX104" s="3"/>
      <c r="NUY104" s="3"/>
      <c r="NUZ104" s="3"/>
      <c r="NVA104" s="3"/>
      <c r="NVB104" s="3"/>
      <c r="NVC104" s="3"/>
      <c r="NVD104" s="3"/>
      <c r="NVE104" s="3"/>
      <c r="NVF104" s="3"/>
      <c r="NVG104" s="3"/>
      <c r="NVH104" s="3"/>
      <c r="NVI104" s="3"/>
      <c r="NVJ104" s="3"/>
      <c r="NVK104" s="3"/>
      <c r="NVL104" s="3"/>
      <c r="NVM104" s="3"/>
      <c r="NVN104" s="3"/>
      <c r="NVO104" s="3"/>
      <c r="NVP104" s="3"/>
      <c r="NVQ104" s="3"/>
      <c r="NVR104" s="3"/>
      <c r="NVS104" s="3"/>
      <c r="NVT104" s="3"/>
      <c r="NVU104" s="3"/>
      <c r="NVV104" s="3"/>
      <c r="NVW104" s="3"/>
      <c r="NVX104" s="3"/>
      <c r="NVY104" s="3"/>
      <c r="NVZ104" s="3"/>
      <c r="NWA104" s="3"/>
      <c r="NWB104" s="3"/>
      <c r="NWC104" s="3"/>
      <c r="NWD104" s="3"/>
      <c r="NWE104" s="3"/>
      <c r="NWF104" s="3"/>
      <c r="NWG104" s="3"/>
      <c r="NWH104" s="3"/>
      <c r="NWI104" s="3"/>
      <c r="NWJ104" s="3"/>
      <c r="NWK104" s="3"/>
      <c r="NWL104" s="3"/>
      <c r="NWM104" s="3"/>
      <c r="NWN104" s="3"/>
      <c r="NWO104" s="3"/>
      <c r="NWP104" s="3"/>
      <c r="NWQ104" s="3"/>
      <c r="NWR104" s="3"/>
      <c r="NWS104" s="3"/>
      <c r="NWT104" s="3"/>
      <c r="NWU104" s="3"/>
      <c r="NWV104" s="3"/>
      <c r="NWW104" s="3"/>
      <c r="NWX104" s="3"/>
      <c r="NWY104" s="3"/>
      <c r="NWZ104" s="3"/>
      <c r="NXA104" s="3"/>
      <c r="NXB104" s="3"/>
      <c r="NXC104" s="3"/>
      <c r="NXD104" s="3"/>
      <c r="NXE104" s="3"/>
      <c r="NXF104" s="3"/>
      <c r="NXG104" s="3"/>
      <c r="NXH104" s="3"/>
      <c r="NXI104" s="3"/>
      <c r="NXJ104" s="3"/>
      <c r="NXK104" s="3"/>
      <c r="NXL104" s="3"/>
      <c r="NXM104" s="3"/>
      <c r="NXN104" s="3"/>
      <c r="NXO104" s="3"/>
      <c r="NXP104" s="3"/>
      <c r="NXQ104" s="3"/>
      <c r="NXR104" s="3"/>
      <c r="NXS104" s="3"/>
      <c r="NXT104" s="3"/>
      <c r="NXU104" s="3"/>
      <c r="NXV104" s="3"/>
      <c r="NXW104" s="3"/>
      <c r="NXX104" s="3"/>
      <c r="NXY104" s="3"/>
      <c r="NXZ104" s="3"/>
      <c r="NYA104" s="3"/>
      <c r="NYB104" s="3"/>
      <c r="NYC104" s="3"/>
      <c r="NYD104" s="3"/>
      <c r="NYE104" s="3"/>
      <c r="NYF104" s="3"/>
      <c r="NYG104" s="3"/>
      <c r="NYH104" s="3"/>
      <c r="NYI104" s="3"/>
      <c r="NYJ104" s="3"/>
      <c r="NYK104" s="3"/>
      <c r="NYL104" s="3"/>
      <c r="NYM104" s="3"/>
      <c r="NYN104" s="3"/>
      <c r="NYO104" s="3"/>
      <c r="NYP104" s="3"/>
      <c r="NYQ104" s="3"/>
      <c r="NYR104" s="3"/>
      <c r="NYS104" s="3"/>
      <c r="NYT104" s="3"/>
      <c r="NYU104" s="3"/>
      <c r="NYV104" s="3"/>
      <c r="NYW104" s="3"/>
      <c r="NYX104" s="3"/>
      <c r="NYY104" s="3"/>
      <c r="NYZ104" s="3"/>
      <c r="NZA104" s="3"/>
      <c r="NZB104" s="3"/>
      <c r="NZC104" s="3"/>
      <c r="NZD104" s="3"/>
      <c r="NZE104" s="3"/>
      <c r="NZF104" s="3"/>
      <c r="NZG104" s="3"/>
      <c r="NZH104" s="3"/>
      <c r="NZI104" s="3"/>
      <c r="NZJ104" s="3"/>
      <c r="NZK104" s="3"/>
      <c r="NZL104" s="3"/>
      <c r="NZM104" s="3"/>
      <c r="NZN104" s="3"/>
      <c r="NZO104" s="3"/>
      <c r="NZP104" s="3"/>
      <c r="NZQ104" s="3"/>
      <c r="NZR104" s="3"/>
      <c r="NZS104" s="3"/>
      <c r="NZT104" s="3"/>
      <c r="NZU104" s="3"/>
      <c r="NZV104" s="3"/>
      <c r="NZW104" s="3"/>
      <c r="NZX104" s="3"/>
      <c r="NZY104" s="3"/>
      <c r="NZZ104" s="3"/>
      <c r="OAA104" s="3"/>
      <c r="OAB104" s="3"/>
      <c r="OAC104" s="3"/>
      <c r="OAD104" s="3"/>
      <c r="OAE104" s="3"/>
      <c r="OAF104" s="3"/>
      <c r="OAG104" s="3"/>
      <c r="OAH104" s="3"/>
      <c r="OAI104" s="3"/>
      <c r="OAJ104" s="3"/>
      <c r="OAK104" s="3"/>
      <c r="OAL104" s="3"/>
      <c r="OAM104" s="3"/>
      <c r="OAN104" s="3"/>
      <c r="OAO104" s="3"/>
      <c r="OAP104" s="3"/>
      <c r="OAQ104" s="3"/>
      <c r="OAR104" s="3"/>
      <c r="OAS104" s="3"/>
      <c r="OAT104" s="3"/>
      <c r="OAU104" s="3"/>
      <c r="OAV104" s="3"/>
      <c r="OAW104" s="3"/>
      <c r="OAX104" s="3"/>
      <c r="OAY104" s="3"/>
      <c r="OAZ104" s="3"/>
      <c r="OBA104" s="3"/>
      <c r="OBB104" s="3"/>
      <c r="OBC104" s="3"/>
      <c r="OBD104" s="3"/>
      <c r="OBE104" s="3"/>
      <c r="OBF104" s="3"/>
      <c r="OBG104" s="3"/>
      <c r="OBH104" s="3"/>
      <c r="OBI104" s="3"/>
      <c r="OBJ104" s="3"/>
      <c r="OBK104" s="3"/>
      <c r="OBL104" s="3"/>
      <c r="OBM104" s="3"/>
      <c r="OBN104" s="3"/>
      <c r="OBO104" s="3"/>
      <c r="OBP104" s="3"/>
      <c r="OBQ104" s="3"/>
      <c r="OBR104" s="3"/>
      <c r="OBS104" s="3"/>
      <c r="OBT104" s="3"/>
      <c r="OBU104" s="3"/>
      <c r="OBV104" s="3"/>
      <c r="OBW104" s="3"/>
      <c r="OBX104" s="3"/>
      <c r="OBY104" s="3"/>
      <c r="OBZ104" s="3"/>
      <c r="OCA104" s="3"/>
      <c r="OCB104" s="3"/>
      <c r="OCC104" s="3"/>
      <c r="OCD104" s="3"/>
      <c r="OCE104" s="3"/>
      <c r="OCF104" s="3"/>
      <c r="OCG104" s="3"/>
      <c r="OCH104" s="3"/>
      <c r="OCI104" s="3"/>
      <c r="OCJ104" s="3"/>
      <c r="OCK104" s="3"/>
      <c r="OCL104" s="3"/>
      <c r="OCM104" s="3"/>
      <c r="OCN104" s="3"/>
      <c r="OCO104" s="3"/>
      <c r="OCP104" s="3"/>
      <c r="OCQ104" s="3"/>
      <c r="OCR104" s="3"/>
      <c r="OCS104" s="3"/>
      <c r="OCT104" s="3"/>
      <c r="OCU104" s="3"/>
      <c r="OCV104" s="3"/>
      <c r="OCW104" s="3"/>
      <c r="OCX104" s="3"/>
      <c r="OCY104" s="3"/>
      <c r="OCZ104" s="3"/>
      <c r="ODA104" s="3"/>
      <c r="ODB104" s="3"/>
      <c r="ODC104" s="3"/>
      <c r="ODD104" s="3"/>
      <c r="ODE104" s="3"/>
      <c r="ODF104" s="3"/>
      <c r="ODG104" s="3"/>
      <c r="ODH104" s="3"/>
      <c r="ODI104" s="3"/>
      <c r="ODJ104" s="3"/>
      <c r="ODK104" s="3"/>
      <c r="ODL104" s="3"/>
      <c r="ODM104" s="3"/>
      <c r="ODN104" s="3"/>
      <c r="ODO104" s="3"/>
      <c r="ODP104" s="3"/>
      <c r="ODQ104" s="3"/>
      <c r="ODR104" s="3"/>
      <c r="ODS104" s="3"/>
      <c r="ODT104" s="3"/>
      <c r="ODU104" s="3"/>
      <c r="ODV104" s="3"/>
      <c r="ODW104" s="3"/>
      <c r="ODX104" s="3"/>
      <c r="ODY104" s="3"/>
      <c r="ODZ104" s="3"/>
      <c r="OEA104" s="3"/>
      <c r="OEB104" s="3"/>
      <c r="OEC104" s="3"/>
      <c r="OED104" s="3"/>
      <c r="OEE104" s="3"/>
      <c r="OEF104" s="3"/>
      <c r="OEG104" s="3"/>
      <c r="OEH104" s="3"/>
      <c r="OEI104" s="3"/>
      <c r="OEJ104" s="3"/>
      <c r="OEK104" s="3"/>
      <c r="OEL104" s="3"/>
      <c r="OEM104" s="3"/>
      <c r="OEN104" s="3"/>
      <c r="OEO104" s="3"/>
      <c r="OEP104" s="3"/>
      <c r="OEQ104" s="3"/>
      <c r="OER104" s="3"/>
      <c r="OES104" s="3"/>
      <c r="OET104" s="3"/>
      <c r="OEU104" s="3"/>
      <c r="OEV104" s="3"/>
      <c r="OEW104" s="3"/>
      <c r="OEX104" s="3"/>
      <c r="OEY104" s="3"/>
      <c r="OEZ104" s="3"/>
      <c r="OFA104" s="3"/>
      <c r="OFB104" s="3"/>
      <c r="OFC104" s="3"/>
      <c r="OFD104" s="3"/>
      <c r="OFE104" s="3"/>
      <c r="OFF104" s="3"/>
      <c r="OFG104" s="3"/>
      <c r="OFH104" s="3"/>
      <c r="OFI104" s="3"/>
      <c r="OFJ104" s="3"/>
      <c r="OFK104" s="3"/>
      <c r="OFL104" s="3"/>
      <c r="OFM104" s="3"/>
      <c r="OFN104" s="3"/>
      <c r="OFO104" s="3"/>
      <c r="OFP104" s="3"/>
      <c r="OFQ104" s="3"/>
      <c r="OFR104" s="3"/>
      <c r="OFS104" s="3"/>
      <c r="OFT104" s="3"/>
      <c r="OFU104" s="3"/>
      <c r="OFV104" s="3"/>
      <c r="OFW104" s="3"/>
      <c r="OFX104" s="3"/>
      <c r="OFY104" s="3"/>
      <c r="OFZ104" s="3"/>
      <c r="OGA104" s="3"/>
      <c r="OGB104" s="3"/>
      <c r="OGC104" s="3"/>
      <c r="OGD104" s="3"/>
      <c r="OGE104" s="3"/>
      <c r="OGF104" s="3"/>
      <c r="OGG104" s="3"/>
      <c r="OGH104" s="3"/>
      <c r="OGI104" s="3"/>
      <c r="OGJ104" s="3"/>
      <c r="OGK104" s="3"/>
      <c r="OGL104" s="3"/>
      <c r="OGM104" s="3"/>
      <c r="OGN104" s="3"/>
      <c r="OGO104" s="3"/>
      <c r="OGP104" s="3"/>
      <c r="OGQ104" s="3"/>
      <c r="OGR104" s="3"/>
      <c r="OGS104" s="3"/>
      <c r="OGT104" s="3"/>
      <c r="OGU104" s="3"/>
      <c r="OGV104" s="3"/>
      <c r="OGW104" s="3"/>
      <c r="OGX104" s="3"/>
      <c r="OGY104" s="3"/>
      <c r="OGZ104" s="3"/>
      <c r="OHA104" s="3"/>
      <c r="OHB104" s="3"/>
      <c r="OHC104" s="3"/>
      <c r="OHD104" s="3"/>
      <c r="OHE104" s="3"/>
      <c r="OHF104" s="3"/>
      <c r="OHG104" s="3"/>
      <c r="OHH104" s="3"/>
      <c r="OHI104" s="3"/>
      <c r="OHJ104" s="3"/>
      <c r="OHK104" s="3"/>
      <c r="OHL104" s="3"/>
      <c r="OHM104" s="3"/>
      <c r="OHN104" s="3"/>
      <c r="OHO104" s="3"/>
      <c r="OHP104" s="3"/>
      <c r="OHQ104" s="3"/>
      <c r="OHR104" s="3"/>
      <c r="OHS104" s="3"/>
      <c r="OHT104" s="3"/>
      <c r="OHU104" s="3"/>
      <c r="OHV104" s="3"/>
      <c r="OHW104" s="3"/>
      <c r="OHX104" s="3"/>
      <c r="OHY104" s="3"/>
      <c r="OHZ104" s="3"/>
      <c r="OIA104" s="3"/>
      <c r="OIB104" s="3"/>
      <c r="OIC104" s="3"/>
      <c r="OID104" s="3"/>
      <c r="OIE104" s="3"/>
      <c r="OIF104" s="3"/>
      <c r="OIG104" s="3"/>
      <c r="OIH104" s="3"/>
      <c r="OII104" s="3"/>
      <c r="OIJ104" s="3"/>
      <c r="OIK104" s="3"/>
      <c r="OIL104" s="3"/>
      <c r="OIM104" s="3"/>
      <c r="OIN104" s="3"/>
      <c r="OIO104" s="3"/>
      <c r="OIP104" s="3"/>
      <c r="OIQ104" s="3"/>
      <c r="OIR104" s="3"/>
      <c r="OIS104" s="3"/>
      <c r="OIT104" s="3"/>
      <c r="OIU104" s="3"/>
      <c r="OIV104" s="3"/>
      <c r="OIW104" s="3"/>
      <c r="OIX104" s="3"/>
      <c r="OIY104" s="3"/>
      <c r="OIZ104" s="3"/>
      <c r="OJA104" s="3"/>
      <c r="OJB104" s="3"/>
      <c r="OJC104" s="3"/>
      <c r="OJD104" s="3"/>
      <c r="OJE104" s="3"/>
      <c r="OJF104" s="3"/>
      <c r="OJG104" s="3"/>
      <c r="OJH104" s="3"/>
      <c r="OJI104" s="3"/>
      <c r="OJJ104" s="3"/>
      <c r="OJK104" s="3"/>
      <c r="OJL104" s="3"/>
      <c r="OJM104" s="3"/>
      <c r="OJN104" s="3"/>
      <c r="OJO104" s="3"/>
      <c r="OJP104" s="3"/>
      <c r="OJQ104" s="3"/>
      <c r="OJR104" s="3"/>
      <c r="OJS104" s="3"/>
      <c r="OJT104" s="3"/>
      <c r="OJU104" s="3"/>
      <c r="OJV104" s="3"/>
      <c r="OJW104" s="3"/>
      <c r="OJX104" s="3"/>
      <c r="OJY104" s="3"/>
      <c r="OJZ104" s="3"/>
      <c r="OKA104" s="3"/>
      <c r="OKB104" s="3"/>
      <c r="OKC104" s="3"/>
      <c r="OKD104" s="3"/>
      <c r="OKE104" s="3"/>
      <c r="OKF104" s="3"/>
      <c r="OKG104" s="3"/>
      <c r="OKH104" s="3"/>
      <c r="OKI104" s="3"/>
      <c r="OKJ104" s="3"/>
      <c r="OKK104" s="3"/>
      <c r="OKL104" s="3"/>
      <c r="OKM104" s="3"/>
      <c r="OKN104" s="3"/>
      <c r="OKO104" s="3"/>
      <c r="OKP104" s="3"/>
      <c r="OKQ104" s="3"/>
      <c r="OKR104" s="3"/>
      <c r="OKS104" s="3"/>
      <c r="OKT104" s="3"/>
      <c r="OKU104" s="3"/>
      <c r="OKV104" s="3"/>
      <c r="OKW104" s="3"/>
      <c r="OKX104" s="3"/>
      <c r="OKY104" s="3"/>
      <c r="OKZ104" s="3"/>
      <c r="OLA104" s="3"/>
      <c r="OLB104" s="3"/>
      <c r="OLC104" s="3"/>
      <c r="OLD104" s="3"/>
      <c r="OLE104" s="3"/>
      <c r="OLF104" s="3"/>
      <c r="OLG104" s="3"/>
      <c r="OLH104" s="3"/>
      <c r="OLI104" s="3"/>
      <c r="OLJ104" s="3"/>
      <c r="OLK104" s="3"/>
      <c r="OLL104" s="3"/>
      <c r="OLM104" s="3"/>
      <c r="OLN104" s="3"/>
      <c r="OLO104" s="3"/>
      <c r="OLP104" s="3"/>
      <c r="OLQ104" s="3"/>
      <c r="OLR104" s="3"/>
      <c r="OLS104" s="3"/>
      <c r="OLT104" s="3"/>
      <c r="OLU104" s="3"/>
      <c r="OLV104" s="3"/>
      <c r="OLW104" s="3"/>
      <c r="OLX104" s="3"/>
      <c r="OLY104" s="3"/>
      <c r="OLZ104" s="3"/>
      <c r="OMA104" s="3"/>
      <c r="OMB104" s="3"/>
      <c r="OMC104" s="3"/>
      <c r="OMD104" s="3"/>
      <c r="OME104" s="3"/>
      <c r="OMF104" s="3"/>
      <c r="OMG104" s="3"/>
      <c r="OMH104" s="3"/>
      <c r="OMI104" s="3"/>
      <c r="OMJ104" s="3"/>
      <c r="OMK104" s="3"/>
      <c r="OML104" s="3"/>
      <c r="OMM104" s="3"/>
      <c r="OMN104" s="3"/>
      <c r="OMO104" s="3"/>
      <c r="OMP104" s="3"/>
      <c r="OMQ104" s="3"/>
      <c r="OMR104" s="3"/>
      <c r="OMS104" s="3"/>
      <c r="OMT104" s="3"/>
      <c r="OMU104" s="3"/>
      <c r="OMV104" s="3"/>
      <c r="OMW104" s="3"/>
      <c r="OMX104" s="3"/>
      <c r="OMY104" s="3"/>
      <c r="OMZ104" s="3"/>
      <c r="ONA104" s="3"/>
      <c r="ONB104" s="3"/>
      <c r="ONC104" s="3"/>
      <c r="OND104" s="3"/>
      <c r="ONE104" s="3"/>
      <c r="ONF104" s="3"/>
      <c r="ONG104" s="3"/>
      <c r="ONH104" s="3"/>
      <c r="ONI104" s="3"/>
      <c r="ONJ104" s="3"/>
      <c r="ONK104" s="3"/>
      <c r="ONL104" s="3"/>
      <c r="ONM104" s="3"/>
      <c r="ONN104" s="3"/>
      <c r="ONO104" s="3"/>
      <c r="ONP104" s="3"/>
      <c r="ONQ104" s="3"/>
      <c r="ONR104" s="3"/>
      <c r="ONS104" s="3"/>
      <c r="ONT104" s="3"/>
      <c r="ONU104" s="3"/>
      <c r="ONV104" s="3"/>
      <c r="ONW104" s="3"/>
      <c r="ONX104" s="3"/>
      <c r="ONY104" s="3"/>
      <c r="ONZ104" s="3"/>
      <c r="OOA104" s="3"/>
      <c r="OOB104" s="3"/>
      <c r="OOC104" s="3"/>
      <c r="OOD104" s="3"/>
      <c r="OOE104" s="3"/>
      <c r="OOF104" s="3"/>
      <c r="OOG104" s="3"/>
      <c r="OOH104" s="3"/>
      <c r="OOI104" s="3"/>
      <c r="OOJ104" s="3"/>
      <c r="OOK104" s="3"/>
      <c r="OOL104" s="3"/>
      <c r="OOM104" s="3"/>
      <c r="OON104" s="3"/>
      <c r="OOO104" s="3"/>
      <c r="OOP104" s="3"/>
      <c r="OOQ104" s="3"/>
      <c r="OOR104" s="3"/>
      <c r="OOS104" s="3"/>
      <c r="OOT104" s="3"/>
      <c r="OOU104" s="3"/>
      <c r="OOV104" s="3"/>
      <c r="OOW104" s="3"/>
      <c r="OOX104" s="3"/>
      <c r="OOY104" s="3"/>
      <c r="OOZ104" s="3"/>
      <c r="OPA104" s="3"/>
      <c r="OPB104" s="3"/>
      <c r="OPC104" s="3"/>
      <c r="OPD104" s="3"/>
      <c r="OPE104" s="3"/>
      <c r="OPF104" s="3"/>
      <c r="OPG104" s="3"/>
      <c r="OPH104" s="3"/>
      <c r="OPI104" s="3"/>
      <c r="OPJ104" s="3"/>
      <c r="OPK104" s="3"/>
      <c r="OPL104" s="3"/>
      <c r="OPM104" s="3"/>
      <c r="OPN104" s="3"/>
      <c r="OPO104" s="3"/>
      <c r="OPP104" s="3"/>
      <c r="OPQ104" s="3"/>
      <c r="OPR104" s="3"/>
      <c r="OPS104" s="3"/>
      <c r="OPT104" s="3"/>
      <c r="OPU104" s="3"/>
      <c r="OPV104" s="3"/>
      <c r="OPW104" s="3"/>
      <c r="OPX104" s="3"/>
      <c r="OPY104" s="3"/>
      <c r="OPZ104" s="3"/>
      <c r="OQA104" s="3"/>
      <c r="OQB104" s="3"/>
      <c r="OQC104" s="3"/>
      <c r="OQD104" s="3"/>
      <c r="OQE104" s="3"/>
      <c r="OQF104" s="3"/>
      <c r="OQG104" s="3"/>
      <c r="OQH104" s="3"/>
      <c r="OQI104" s="3"/>
      <c r="OQJ104" s="3"/>
      <c r="OQK104" s="3"/>
      <c r="OQL104" s="3"/>
      <c r="OQM104" s="3"/>
      <c r="OQN104" s="3"/>
      <c r="OQO104" s="3"/>
      <c r="OQP104" s="3"/>
      <c r="OQQ104" s="3"/>
      <c r="OQR104" s="3"/>
      <c r="OQS104" s="3"/>
      <c r="OQT104" s="3"/>
      <c r="OQU104" s="3"/>
      <c r="OQV104" s="3"/>
      <c r="OQW104" s="3"/>
      <c r="OQX104" s="3"/>
      <c r="OQY104" s="3"/>
      <c r="OQZ104" s="3"/>
      <c r="ORA104" s="3"/>
      <c r="ORB104" s="3"/>
      <c r="ORC104" s="3"/>
      <c r="ORD104" s="3"/>
      <c r="ORE104" s="3"/>
      <c r="ORF104" s="3"/>
      <c r="ORG104" s="3"/>
      <c r="ORH104" s="3"/>
      <c r="ORI104" s="3"/>
      <c r="ORJ104" s="3"/>
      <c r="ORK104" s="3"/>
      <c r="ORL104" s="3"/>
      <c r="ORM104" s="3"/>
      <c r="ORN104" s="3"/>
      <c r="ORO104" s="3"/>
      <c r="ORP104" s="3"/>
      <c r="ORQ104" s="3"/>
      <c r="ORR104" s="3"/>
      <c r="ORS104" s="3"/>
      <c r="ORT104" s="3"/>
      <c r="ORU104" s="3"/>
      <c r="ORV104" s="3"/>
      <c r="ORW104" s="3"/>
      <c r="ORX104" s="3"/>
      <c r="ORY104" s="3"/>
      <c r="ORZ104" s="3"/>
      <c r="OSA104" s="3"/>
      <c r="OSB104" s="3"/>
      <c r="OSC104" s="3"/>
      <c r="OSD104" s="3"/>
      <c r="OSE104" s="3"/>
      <c r="OSF104" s="3"/>
      <c r="OSG104" s="3"/>
      <c r="OSH104" s="3"/>
      <c r="OSI104" s="3"/>
      <c r="OSJ104" s="3"/>
      <c r="OSK104" s="3"/>
      <c r="OSL104" s="3"/>
      <c r="OSM104" s="3"/>
      <c r="OSN104" s="3"/>
      <c r="OSO104" s="3"/>
      <c r="OSP104" s="3"/>
      <c r="OSQ104" s="3"/>
      <c r="OSR104" s="3"/>
      <c r="OSS104" s="3"/>
      <c r="OST104" s="3"/>
      <c r="OSU104" s="3"/>
      <c r="OSV104" s="3"/>
      <c r="OSW104" s="3"/>
      <c r="OSX104" s="3"/>
      <c r="OSY104" s="3"/>
      <c r="OSZ104" s="3"/>
      <c r="OTA104" s="3"/>
      <c r="OTB104" s="3"/>
      <c r="OTC104" s="3"/>
      <c r="OTD104" s="3"/>
      <c r="OTE104" s="3"/>
      <c r="OTF104" s="3"/>
      <c r="OTG104" s="3"/>
      <c r="OTH104" s="3"/>
      <c r="OTI104" s="3"/>
      <c r="OTJ104" s="3"/>
      <c r="OTK104" s="3"/>
      <c r="OTL104" s="3"/>
      <c r="OTM104" s="3"/>
      <c r="OTN104" s="3"/>
      <c r="OTO104" s="3"/>
      <c r="OTP104" s="3"/>
      <c r="OTQ104" s="3"/>
      <c r="OTR104" s="3"/>
      <c r="OTS104" s="3"/>
      <c r="OTT104" s="3"/>
      <c r="OTU104" s="3"/>
      <c r="OTV104" s="3"/>
      <c r="OTW104" s="3"/>
      <c r="OTX104" s="3"/>
      <c r="OTY104" s="3"/>
      <c r="OTZ104" s="3"/>
      <c r="OUA104" s="3"/>
      <c r="OUB104" s="3"/>
      <c r="OUC104" s="3"/>
      <c r="OUD104" s="3"/>
      <c r="OUE104" s="3"/>
      <c r="OUF104" s="3"/>
      <c r="OUG104" s="3"/>
      <c r="OUH104" s="3"/>
      <c r="OUI104" s="3"/>
      <c r="OUJ104" s="3"/>
      <c r="OUK104" s="3"/>
      <c r="OUL104" s="3"/>
      <c r="OUM104" s="3"/>
      <c r="OUN104" s="3"/>
      <c r="OUO104" s="3"/>
      <c r="OUP104" s="3"/>
      <c r="OUQ104" s="3"/>
      <c r="OUR104" s="3"/>
      <c r="OUS104" s="3"/>
      <c r="OUT104" s="3"/>
      <c r="OUU104" s="3"/>
      <c r="OUV104" s="3"/>
      <c r="OUW104" s="3"/>
      <c r="OUX104" s="3"/>
      <c r="OUY104" s="3"/>
      <c r="OUZ104" s="3"/>
      <c r="OVA104" s="3"/>
      <c r="OVB104" s="3"/>
      <c r="OVC104" s="3"/>
      <c r="OVD104" s="3"/>
      <c r="OVE104" s="3"/>
      <c r="OVF104" s="3"/>
      <c r="OVG104" s="3"/>
      <c r="OVH104" s="3"/>
      <c r="OVI104" s="3"/>
      <c r="OVJ104" s="3"/>
      <c r="OVK104" s="3"/>
      <c r="OVL104" s="3"/>
      <c r="OVM104" s="3"/>
      <c r="OVN104" s="3"/>
      <c r="OVO104" s="3"/>
      <c r="OVP104" s="3"/>
      <c r="OVQ104" s="3"/>
      <c r="OVR104" s="3"/>
      <c r="OVS104" s="3"/>
      <c r="OVT104" s="3"/>
      <c r="OVU104" s="3"/>
      <c r="OVV104" s="3"/>
      <c r="OVW104" s="3"/>
      <c r="OVX104" s="3"/>
      <c r="OVY104" s="3"/>
      <c r="OVZ104" s="3"/>
      <c r="OWA104" s="3"/>
      <c r="OWB104" s="3"/>
      <c r="OWC104" s="3"/>
      <c r="OWD104" s="3"/>
      <c r="OWE104" s="3"/>
      <c r="OWF104" s="3"/>
      <c r="OWG104" s="3"/>
      <c r="OWH104" s="3"/>
      <c r="OWI104" s="3"/>
      <c r="OWJ104" s="3"/>
      <c r="OWK104" s="3"/>
      <c r="OWL104" s="3"/>
      <c r="OWM104" s="3"/>
      <c r="OWN104" s="3"/>
      <c r="OWO104" s="3"/>
      <c r="OWP104" s="3"/>
      <c r="OWQ104" s="3"/>
      <c r="OWR104" s="3"/>
      <c r="OWS104" s="3"/>
      <c r="OWT104" s="3"/>
      <c r="OWU104" s="3"/>
      <c r="OWV104" s="3"/>
      <c r="OWW104" s="3"/>
      <c r="OWX104" s="3"/>
      <c r="OWY104" s="3"/>
      <c r="OWZ104" s="3"/>
      <c r="OXA104" s="3"/>
      <c r="OXB104" s="3"/>
      <c r="OXC104" s="3"/>
      <c r="OXD104" s="3"/>
      <c r="OXE104" s="3"/>
      <c r="OXF104" s="3"/>
      <c r="OXG104" s="3"/>
      <c r="OXH104" s="3"/>
      <c r="OXI104" s="3"/>
      <c r="OXJ104" s="3"/>
      <c r="OXK104" s="3"/>
      <c r="OXL104" s="3"/>
      <c r="OXM104" s="3"/>
      <c r="OXN104" s="3"/>
      <c r="OXO104" s="3"/>
      <c r="OXP104" s="3"/>
      <c r="OXQ104" s="3"/>
      <c r="OXR104" s="3"/>
      <c r="OXS104" s="3"/>
      <c r="OXT104" s="3"/>
      <c r="OXU104" s="3"/>
      <c r="OXV104" s="3"/>
      <c r="OXW104" s="3"/>
      <c r="OXX104" s="3"/>
      <c r="OXY104" s="3"/>
      <c r="OXZ104" s="3"/>
      <c r="OYA104" s="3"/>
      <c r="OYB104" s="3"/>
      <c r="OYC104" s="3"/>
      <c r="OYD104" s="3"/>
      <c r="OYE104" s="3"/>
      <c r="OYF104" s="3"/>
      <c r="OYG104" s="3"/>
      <c r="OYH104" s="3"/>
      <c r="OYI104" s="3"/>
      <c r="OYJ104" s="3"/>
      <c r="OYK104" s="3"/>
      <c r="OYL104" s="3"/>
      <c r="OYM104" s="3"/>
      <c r="OYN104" s="3"/>
      <c r="OYO104" s="3"/>
      <c r="OYP104" s="3"/>
      <c r="OYQ104" s="3"/>
      <c r="OYR104" s="3"/>
      <c r="OYS104" s="3"/>
      <c r="OYT104" s="3"/>
      <c r="OYU104" s="3"/>
      <c r="OYV104" s="3"/>
      <c r="OYW104" s="3"/>
      <c r="OYX104" s="3"/>
      <c r="OYY104" s="3"/>
      <c r="OYZ104" s="3"/>
      <c r="OZA104" s="3"/>
      <c r="OZB104" s="3"/>
      <c r="OZC104" s="3"/>
      <c r="OZD104" s="3"/>
      <c r="OZE104" s="3"/>
      <c r="OZF104" s="3"/>
      <c r="OZG104" s="3"/>
      <c r="OZH104" s="3"/>
      <c r="OZI104" s="3"/>
      <c r="OZJ104" s="3"/>
      <c r="OZK104" s="3"/>
      <c r="OZL104" s="3"/>
      <c r="OZM104" s="3"/>
      <c r="OZN104" s="3"/>
      <c r="OZO104" s="3"/>
      <c r="OZP104" s="3"/>
      <c r="OZQ104" s="3"/>
      <c r="OZR104" s="3"/>
      <c r="OZS104" s="3"/>
      <c r="OZT104" s="3"/>
      <c r="OZU104" s="3"/>
      <c r="OZV104" s="3"/>
      <c r="OZW104" s="3"/>
      <c r="OZX104" s="3"/>
      <c r="OZY104" s="3"/>
      <c r="OZZ104" s="3"/>
      <c r="PAA104" s="3"/>
      <c r="PAB104" s="3"/>
      <c r="PAC104" s="3"/>
      <c r="PAD104" s="3"/>
      <c r="PAE104" s="3"/>
      <c r="PAF104" s="3"/>
      <c r="PAG104" s="3"/>
      <c r="PAH104" s="3"/>
      <c r="PAI104" s="3"/>
      <c r="PAJ104" s="3"/>
      <c r="PAK104" s="3"/>
      <c r="PAL104" s="3"/>
      <c r="PAM104" s="3"/>
      <c r="PAN104" s="3"/>
      <c r="PAO104" s="3"/>
      <c r="PAP104" s="3"/>
      <c r="PAQ104" s="3"/>
      <c r="PAR104" s="3"/>
      <c r="PAS104" s="3"/>
      <c r="PAT104" s="3"/>
      <c r="PAU104" s="3"/>
      <c r="PAV104" s="3"/>
      <c r="PAW104" s="3"/>
      <c r="PAX104" s="3"/>
      <c r="PAY104" s="3"/>
      <c r="PAZ104" s="3"/>
      <c r="PBA104" s="3"/>
      <c r="PBB104" s="3"/>
      <c r="PBC104" s="3"/>
      <c r="PBD104" s="3"/>
      <c r="PBE104" s="3"/>
      <c r="PBF104" s="3"/>
      <c r="PBG104" s="3"/>
      <c r="PBH104" s="3"/>
      <c r="PBI104" s="3"/>
      <c r="PBJ104" s="3"/>
      <c r="PBK104" s="3"/>
      <c r="PBL104" s="3"/>
      <c r="PBM104" s="3"/>
      <c r="PBN104" s="3"/>
      <c r="PBO104" s="3"/>
      <c r="PBP104" s="3"/>
      <c r="PBQ104" s="3"/>
      <c r="PBR104" s="3"/>
      <c r="PBS104" s="3"/>
      <c r="PBT104" s="3"/>
      <c r="PBU104" s="3"/>
      <c r="PBV104" s="3"/>
      <c r="PBW104" s="3"/>
      <c r="PBX104" s="3"/>
      <c r="PBY104" s="3"/>
      <c r="PBZ104" s="3"/>
      <c r="PCA104" s="3"/>
      <c r="PCB104" s="3"/>
      <c r="PCC104" s="3"/>
      <c r="PCD104" s="3"/>
      <c r="PCE104" s="3"/>
      <c r="PCF104" s="3"/>
      <c r="PCG104" s="3"/>
      <c r="PCH104" s="3"/>
      <c r="PCI104" s="3"/>
      <c r="PCJ104" s="3"/>
      <c r="PCK104" s="3"/>
      <c r="PCL104" s="3"/>
      <c r="PCM104" s="3"/>
      <c r="PCN104" s="3"/>
      <c r="PCO104" s="3"/>
      <c r="PCP104" s="3"/>
      <c r="PCQ104" s="3"/>
      <c r="PCR104" s="3"/>
      <c r="PCS104" s="3"/>
      <c r="PCT104" s="3"/>
      <c r="PCU104" s="3"/>
      <c r="PCV104" s="3"/>
      <c r="PCW104" s="3"/>
      <c r="PCX104" s="3"/>
      <c r="PCY104" s="3"/>
      <c r="PCZ104" s="3"/>
      <c r="PDA104" s="3"/>
      <c r="PDB104" s="3"/>
      <c r="PDC104" s="3"/>
      <c r="PDD104" s="3"/>
      <c r="PDE104" s="3"/>
      <c r="PDF104" s="3"/>
      <c r="PDG104" s="3"/>
      <c r="PDH104" s="3"/>
      <c r="PDI104" s="3"/>
      <c r="PDJ104" s="3"/>
      <c r="PDK104" s="3"/>
      <c r="PDL104" s="3"/>
      <c r="PDM104" s="3"/>
      <c r="PDN104" s="3"/>
      <c r="PDO104" s="3"/>
      <c r="PDP104" s="3"/>
      <c r="PDQ104" s="3"/>
      <c r="PDR104" s="3"/>
      <c r="PDS104" s="3"/>
      <c r="PDT104" s="3"/>
      <c r="PDU104" s="3"/>
      <c r="PDV104" s="3"/>
      <c r="PDW104" s="3"/>
      <c r="PDX104" s="3"/>
      <c r="PDY104" s="3"/>
      <c r="PDZ104" s="3"/>
      <c r="PEA104" s="3"/>
      <c r="PEB104" s="3"/>
      <c r="PEC104" s="3"/>
      <c r="PED104" s="3"/>
      <c r="PEE104" s="3"/>
      <c r="PEF104" s="3"/>
      <c r="PEG104" s="3"/>
      <c r="PEH104" s="3"/>
      <c r="PEI104" s="3"/>
      <c r="PEJ104" s="3"/>
      <c r="PEK104" s="3"/>
      <c r="PEL104" s="3"/>
      <c r="PEM104" s="3"/>
      <c r="PEN104" s="3"/>
      <c r="PEO104" s="3"/>
      <c r="PEP104" s="3"/>
      <c r="PEQ104" s="3"/>
      <c r="PER104" s="3"/>
      <c r="PES104" s="3"/>
      <c r="PET104" s="3"/>
      <c r="PEU104" s="3"/>
      <c r="PEV104" s="3"/>
      <c r="PEW104" s="3"/>
      <c r="PEX104" s="3"/>
      <c r="PEY104" s="3"/>
      <c r="PEZ104" s="3"/>
      <c r="PFA104" s="3"/>
      <c r="PFB104" s="3"/>
      <c r="PFC104" s="3"/>
      <c r="PFD104" s="3"/>
      <c r="PFE104" s="3"/>
      <c r="PFF104" s="3"/>
      <c r="PFG104" s="3"/>
      <c r="PFH104" s="3"/>
      <c r="PFI104" s="3"/>
      <c r="PFJ104" s="3"/>
      <c r="PFK104" s="3"/>
      <c r="PFL104" s="3"/>
      <c r="PFM104" s="3"/>
      <c r="PFN104" s="3"/>
      <c r="PFO104" s="3"/>
      <c r="PFP104" s="3"/>
      <c r="PFQ104" s="3"/>
      <c r="PFR104" s="3"/>
      <c r="PFS104" s="3"/>
      <c r="PFT104" s="3"/>
      <c r="PFU104" s="3"/>
      <c r="PFV104" s="3"/>
      <c r="PFW104" s="3"/>
      <c r="PFX104" s="3"/>
      <c r="PFY104" s="3"/>
      <c r="PFZ104" s="3"/>
      <c r="PGA104" s="3"/>
      <c r="PGB104" s="3"/>
      <c r="PGC104" s="3"/>
      <c r="PGD104" s="3"/>
      <c r="PGE104" s="3"/>
      <c r="PGF104" s="3"/>
      <c r="PGG104" s="3"/>
      <c r="PGH104" s="3"/>
      <c r="PGI104" s="3"/>
      <c r="PGJ104" s="3"/>
      <c r="PGK104" s="3"/>
      <c r="PGL104" s="3"/>
      <c r="PGM104" s="3"/>
      <c r="PGN104" s="3"/>
      <c r="PGO104" s="3"/>
      <c r="PGP104" s="3"/>
      <c r="PGQ104" s="3"/>
      <c r="PGR104" s="3"/>
      <c r="PGS104" s="3"/>
      <c r="PGT104" s="3"/>
      <c r="PGU104" s="3"/>
      <c r="PGV104" s="3"/>
      <c r="PGW104" s="3"/>
      <c r="PGX104" s="3"/>
      <c r="PGY104" s="3"/>
      <c r="PGZ104" s="3"/>
      <c r="PHA104" s="3"/>
      <c r="PHB104" s="3"/>
      <c r="PHC104" s="3"/>
      <c r="PHD104" s="3"/>
      <c r="PHE104" s="3"/>
      <c r="PHF104" s="3"/>
      <c r="PHG104" s="3"/>
      <c r="PHH104" s="3"/>
      <c r="PHI104" s="3"/>
      <c r="PHJ104" s="3"/>
      <c r="PHK104" s="3"/>
      <c r="PHL104" s="3"/>
      <c r="PHM104" s="3"/>
      <c r="PHN104" s="3"/>
      <c r="PHO104" s="3"/>
      <c r="PHP104" s="3"/>
      <c r="PHQ104" s="3"/>
      <c r="PHR104" s="3"/>
      <c r="PHS104" s="3"/>
      <c r="PHT104" s="3"/>
      <c r="PHU104" s="3"/>
      <c r="PHV104" s="3"/>
      <c r="PHW104" s="3"/>
      <c r="PHX104" s="3"/>
      <c r="PHY104" s="3"/>
      <c r="PHZ104" s="3"/>
      <c r="PIA104" s="3"/>
      <c r="PIB104" s="3"/>
      <c r="PIC104" s="3"/>
      <c r="PID104" s="3"/>
      <c r="PIE104" s="3"/>
      <c r="PIF104" s="3"/>
      <c r="PIG104" s="3"/>
      <c r="PIH104" s="3"/>
      <c r="PII104" s="3"/>
      <c r="PIJ104" s="3"/>
      <c r="PIK104" s="3"/>
      <c r="PIL104" s="3"/>
      <c r="PIM104" s="3"/>
      <c r="PIN104" s="3"/>
      <c r="PIO104" s="3"/>
      <c r="PIP104" s="3"/>
      <c r="PIQ104" s="3"/>
      <c r="PIR104" s="3"/>
      <c r="PIS104" s="3"/>
      <c r="PIT104" s="3"/>
      <c r="PIU104" s="3"/>
      <c r="PIV104" s="3"/>
      <c r="PIW104" s="3"/>
      <c r="PIX104" s="3"/>
      <c r="PIY104" s="3"/>
      <c r="PIZ104" s="3"/>
      <c r="PJA104" s="3"/>
      <c r="PJB104" s="3"/>
      <c r="PJC104" s="3"/>
      <c r="PJD104" s="3"/>
      <c r="PJE104" s="3"/>
      <c r="PJF104" s="3"/>
      <c r="PJG104" s="3"/>
      <c r="PJH104" s="3"/>
      <c r="PJI104" s="3"/>
      <c r="PJJ104" s="3"/>
      <c r="PJK104" s="3"/>
      <c r="PJL104" s="3"/>
      <c r="PJM104" s="3"/>
      <c r="PJN104" s="3"/>
      <c r="PJO104" s="3"/>
      <c r="PJP104" s="3"/>
      <c r="PJQ104" s="3"/>
      <c r="PJR104" s="3"/>
      <c r="PJS104" s="3"/>
      <c r="PJT104" s="3"/>
      <c r="PJU104" s="3"/>
      <c r="PJV104" s="3"/>
      <c r="PJW104" s="3"/>
      <c r="PJX104" s="3"/>
      <c r="PJY104" s="3"/>
      <c r="PJZ104" s="3"/>
      <c r="PKA104" s="3"/>
      <c r="PKB104" s="3"/>
      <c r="PKC104" s="3"/>
      <c r="PKD104" s="3"/>
      <c r="PKE104" s="3"/>
      <c r="PKF104" s="3"/>
      <c r="PKG104" s="3"/>
      <c r="PKH104" s="3"/>
      <c r="PKI104" s="3"/>
      <c r="PKJ104" s="3"/>
      <c r="PKK104" s="3"/>
      <c r="PKL104" s="3"/>
      <c r="PKM104" s="3"/>
      <c r="PKN104" s="3"/>
      <c r="PKO104" s="3"/>
      <c r="PKP104" s="3"/>
      <c r="PKQ104" s="3"/>
      <c r="PKR104" s="3"/>
      <c r="PKS104" s="3"/>
      <c r="PKT104" s="3"/>
      <c r="PKU104" s="3"/>
      <c r="PKV104" s="3"/>
      <c r="PKW104" s="3"/>
      <c r="PKX104" s="3"/>
      <c r="PKY104" s="3"/>
      <c r="PKZ104" s="3"/>
      <c r="PLA104" s="3"/>
      <c r="PLB104" s="3"/>
      <c r="PLC104" s="3"/>
      <c r="PLD104" s="3"/>
      <c r="PLE104" s="3"/>
      <c r="PLF104" s="3"/>
      <c r="PLG104" s="3"/>
      <c r="PLH104" s="3"/>
      <c r="PLI104" s="3"/>
      <c r="PLJ104" s="3"/>
      <c r="PLK104" s="3"/>
      <c r="PLL104" s="3"/>
      <c r="PLM104" s="3"/>
      <c r="PLN104" s="3"/>
      <c r="PLO104" s="3"/>
      <c r="PLP104" s="3"/>
      <c r="PLQ104" s="3"/>
      <c r="PLR104" s="3"/>
      <c r="PLS104" s="3"/>
      <c r="PLT104" s="3"/>
      <c r="PLU104" s="3"/>
      <c r="PLV104" s="3"/>
      <c r="PLW104" s="3"/>
      <c r="PLX104" s="3"/>
      <c r="PLY104" s="3"/>
      <c r="PLZ104" s="3"/>
      <c r="PMA104" s="3"/>
      <c r="PMB104" s="3"/>
      <c r="PMC104" s="3"/>
      <c r="PMD104" s="3"/>
      <c r="PME104" s="3"/>
      <c r="PMF104" s="3"/>
      <c r="PMG104" s="3"/>
      <c r="PMH104" s="3"/>
      <c r="PMI104" s="3"/>
      <c r="PMJ104" s="3"/>
      <c r="PMK104" s="3"/>
      <c r="PML104" s="3"/>
      <c r="PMM104" s="3"/>
      <c r="PMN104" s="3"/>
      <c r="PMO104" s="3"/>
      <c r="PMP104" s="3"/>
      <c r="PMQ104" s="3"/>
      <c r="PMR104" s="3"/>
      <c r="PMS104" s="3"/>
      <c r="PMT104" s="3"/>
      <c r="PMU104" s="3"/>
      <c r="PMV104" s="3"/>
      <c r="PMW104" s="3"/>
      <c r="PMX104" s="3"/>
      <c r="PMY104" s="3"/>
      <c r="PMZ104" s="3"/>
      <c r="PNA104" s="3"/>
      <c r="PNB104" s="3"/>
      <c r="PNC104" s="3"/>
      <c r="PND104" s="3"/>
      <c r="PNE104" s="3"/>
      <c r="PNF104" s="3"/>
      <c r="PNG104" s="3"/>
      <c r="PNH104" s="3"/>
      <c r="PNI104" s="3"/>
      <c r="PNJ104" s="3"/>
      <c r="PNK104" s="3"/>
      <c r="PNL104" s="3"/>
      <c r="PNM104" s="3"/>
      <c r="PNN104" s="3"/>
      <c r="PNO104" s="3"/>
      <c r="PNP104" s="3"/>
      <c r="PNQ104" s="3"/>
      <c r="PNR104" s="3"/>
      <c r="PNS104" s="3"/>
      <c r="PNT104" s="3"/>
      <c r="PNU104" s="3"/>
      <c r="PNV104" s="3"/>
      <c r="PNW104" s="3"/>
      <c r="PNX104" s="3"/>
      <c r="PNY104" s="3"/>
      <c r="PNZ104" s="3"/>
      <c r="POA104" s="3"/>
      <c r="POB104" s="3"/>
      <c r="POC104" s="3"/>
      <c r="POD104" s="3"/>
      <c r="POE104" s="3"/>
      <c r="POF104" s="3"/>
      <c r="POG104" s="3"/>
      <c r="POH104" s="3"/>
      <c r="POI104" s="3"/>
      <c r="POJ104" s="3"/>
      <c r="POK104" s="3"/>
      <c r="POL104" s="3"/>
      <c r="POM104" s="3"/>
      <c r="PON104" s="3"/>
      <c r="POO104" s="3"/>
      <c r="POP104" s="3"/>
      <c r="POQ104" s="3"/>
      <c r="POR104" s="3"/>
      <c r="POS104" s="3"/>
      <c r="POT104" s="3"/>
      <c r="POU104" s="3"/>
      <c r="POV104" s="3"/>
      <c r="POW104" s="3"/>
      <c r="POX104" s="3"/>
      <c r="POY104" s="3"/>
      <c r="POZ104" s="3"/>
      <c r="PPA104" s="3"/>
      <c r="PPB104" s="3"/>
      <c r="PPC104" s="3"/>
      <c r="PPD104" s="3"/>
      <c r="PPE104" s="3"/>
      <c r="PPF104" s="3"/>
      <c r="PPG104" s="3"/>
      <c r="PPH104" s="3"/>
      <c r="PPI104" s="3"/>
      <c r="PPJ104" s="3"/>
      <c r="PPK104" s="3"/>
      <c r="PPL104" s="3"/>
      <c r="PPM104" s="3"/>
      <c r="PPN104" s="3"/>
      <c r="PPO104" s="3"/>
      <c r="PPP104" s="3"/>
      <c r="PPQ104" s="3"/>
      <c r="PPR104" s="3"/>
      <c r="PPS104" s="3"/>
      <c r="PPT104" s="3"/>
      <c r="PPU104" s="3"/>
      <c r="PPV104" s="3"/>
      <c r="PPW104" s="3"/>
      <c r="PPX104" s="3"/>
      <c r="PPY104" s="3"/>
      <c r="PPZ104" s="3"/>
      <c r="PQA104" s="3"/>
      <c r="PQB104" s="3"/>
      <c r="PQC104" s="3"/>
      <c r="PQD104" s="3"/>
      <c r="PQE104" s="3"/>
      <c r="PQF104" s="3"/>
      <c r="PQG104" s="3"/>
      <c r="PQH104" s="3"/>
      <c r="PQI104" s="3"/>
      <c r="PQJ104" s="3"/>
      <c r="PQK104" s="3"/>
      <c r="PQL104" s="3"/>
      <c r="PQM104" s="3"/>
      <c r="PQN104" s="3"/>
      <c r="PQO104" s="3"/>
      <c r="PQP104" s="3"/>
      <c r="PQQ104" s="3"/>
      <c r="PQR104" s="3"/>
      <c r="PQS104" s="3"/>
      <c r="PQT104" s="3"/>
      <c r="PQU104" s="3"/>
      <c r="PQV104" s="3"/>
      <c r="PQW104" s="3"/>
      <c r="PQX104" s="3"/>
      <c r="PQY104" s="3"/>
      <c r="PQZ104" s="3"/>
      <c r="PRA104" s="3"/>
      <c r="PRB104" s="3"/>
      <c r="PRC104" s="3"/>
      <c r="PRD104" s="3"/>
      <c r="PRE104" s="3"/>
      <c r="PRF104" s="3"/>
      <c r="PRG104" s="3"/>
      <c r="PRH104" s="3"/>
      <c r="PRI104" s="3"/>
      <c r="PRJ104" s="3"/>
      <c r="PRK104" s="3"/>
      <c r="PRL104" s="3"/>
      <c r="PRM104" s="3"/>
      <c r="PRN104" s="3"/>
      <c r="PRO104" s="3"/>
      <c r="PRP104" s="3"/>
      <c r="PRQ104" s="3"/>
      <c r="PRR104" s="3"/>
      <c r="PRS104" s="3"/>
      <c r="PRT104" s="3"/>
      <c r="PRU104" s="3"/>
      <c r="PRV104" s="3"/>
      <c r="PRW104" s="3"/>
      <c r="PRX104" s="3"/>
      <c r="PRY104" s="3"/>
      <c r="PRZ104" s="3"/>
      <c r="PSA104" s="3"/>
      <c r="PSB104" s="3"/>
      <c r="PSC104" s="3"/>
      <c r="PSD104" s="3"/>
      <c r="PSE104" s="3"/>
      <c r="PSF104" s="3"/>
      <c r="PSG104" s="3"/>
      <c r="PSH104" s="3"/>
      <c r="PSI104" s="3"/>
      <c r="PSJ104" s="3"/>
      <c r="PSK104" s="3"/>
      <c r="PSL104" s="3"/>
      <c r="PSM104" s="3"/>
      <c r="PSN104" s="3"/>
      <c r="PSO104" s="3"/>
      <c r="PSP104" s="3"/>
      <c r="PSQ104" s="3"/>
      <c r="PSR104" s="3"/>
      <c r="PSS104" s="3"/>
      <c r="PST104" s="3"/>
      <c r="PSU104" s="3"/>
      <c r="PSV104" s="3"/>
      <c r="PSW104" s="3"/>
      <c r="PSX104" s="3"/>
      <c r="PSY104" s="3"/>
      <c r="PSZ104" s="3"/>
      <c r="PTA104" s="3"/>
      <c r="PTB104" s="3"/>
      <c r="PTC104" s="3"/>
      <c r="PTD104" s="3"/>
      <c r="PTE104" s="3"/>
      <c r="PTF104" s="3"/>
      <c r="PTG104" s="3"/>
      <c r="PTH104" s="3"/>
      <c r="PTI104" s="3"/>
      <c r="PTJ104" s="3"/>
      <c r="PTK104" s="3"/>
      <c r="PTL104" s="3"/>
      <c r="PTM104" s="3"/>
      <c r="PTN104" s="3"/>
      <c r="PTO104" s="3"/>
      <c r="PTP104" s="3"/>
      <c r="PTQ104" s="3"/>
      <c r="PTR104" s="3"/>
      <c r="PTS104" s="3"/>
      <c r="PTT104" s="3"/>
      <c r="PTU104" s="3"/>
      <c r="PTV104" s="3"/>
      <c r="PTW104" s="3"/>
      <c r="PTX104" s="3"/>
      <c r="PTY104" s="3"/>
      <c r="PTZ104" s="3"/>
      <c r="PUA104" s="3"/>
      <c r="PUB104" s="3"/>
      <c r="PUC104" s="3"/>
      <c r="PUD104" s="3"/>
      <c r="PUE104" s="3"/>
      <c r="PUF104" s="3"/>
      <c r="PUG104" s="3"/>
      <c r="PUH104" s="3"/>
      <c r="PUI104" s="3"/>
      <c r="PUJ104" s="3"/>
      <c r="PUK104" s="3"/>
      <c r="PUL104" s="3"/>
      <c r="PUM104" s="3"/>
      <c r="PUN104" s="3"/>
      <c r="PUO104" s="3"/>
      <c r="PUP104" s="3"/>
      <c r="PUQ104" s="3"/>
      <c r="PUR104" s="3"/>
      <c r="PUS104" s="3"/>
      <c r="PUT104" s="3"/>
      <c r="PUU104" s="3"/>
      <c r="PUV104" s="3"/>
      <c r="PUW104" s="3"/>
      <c r="PUX104" s="3"/>
      <c r="PUY104" s="3"/>
      <c r="PUZ104" s="3"/>
      <c r="PVA104" s="3"/>
      <c r="PVB104" s="3"/>
      <c r="PVC104" s="3"/>
      <c r="PVD104" s="3"/>
      <c r="PVE104" s="3"/>
      <c r="PVF104" s="3"/>
      <c r="PVG104" s="3"/>
      <c r="PVH104" s="3"/>
      <c r="PVI104" s="3"/>
      <c r="PVJ104" s="3"/>
      <c r="PVK104" s="3"/>
      <c r="PVL104" s="3"/>
      <c r="PVM104" s="3"/>
      <c r="PVN104" s="3"/>
      <c r="PVO104" s="3"/>
      <c r="PVP104" s="3"/>
      <c r="PVQ104" s="3"/>
      <c r="PVR104" s="3"/>
      <c r="PVS104" s="3"/>
      <c r="PVT104" s="3"/>
      <c r="PVU104" s="3"/>
      <c r="PVV104" s="3"/>
      <c r="PVW104" s="3"/>
      <c r="PVX104" s="3"/>
      <c r="PVY104" s="3"/>
      <c r="PVZ104" s="3"/>
      <c r="PWA104" s="3"/>
      <c r="PWB104" s="3"/>
      <c r="PWC104" s="3"/>
      <c r="PWD104" s="3"/>
      <c r="PWE104" s="3"/>
      <c r="PWF104" s="3"/>
      <c r="PWG104" s="3"/>
      <c r="PWH104" s="3"/>
      <c r="PWI104" s="3"/>
      <c r="PWJ104" s="3"/>
      <c r="PWK104" s="3"/>
      <c r="PWL104" s="3"/>
      <c r="PWM104" s="3"/>
      <c r="PWN104" s="3"/>
      <c r="PWO104" s="3"/>
      <c r="PWP104" s="3"/>
      <c r="PWQ104" s="3"/>
      <c r="PWR104" s="3"/>
      <c r="PWS104" s="3"/>
      <c r="PWT104" s="3"/>
      <c r="PWU104" s="3"/>
      <c r="PWV104" s="3"/>
      <c r="PWW104" s="3"/>
      <c r="PWX104" s="3"/>
      <c r="PWY104" s="3"/>
      <c r="PWZ104" s="3"/>
      <c r="PXA104" s="3"/>
      <c r="PXB104" s="3"/>
      <c r="PXC104" s="3"/>
      <c r="PXD104" s="3"/>
      <c r="PXE104" s="3"/>
      <c r="PXF104" s="3"/>
      <c r="PXG104" s="3"/>
      <c r="PXH104" s="3"/>
      <c r="PXI104" s="3"/>
      <c r="PXJ104" s="3"/>
      <c r="PXK104" s="3"/>
      <c r="PXL104" s="3"/>
      <c r="PXM104" s="3"/>
      <c r="PXN104" s="3"/>
      <c r="PXO104" s="3"/>
      <c r="PXP104" s="3"/>
      <c r="PXQ104" s="3"/>
      <c r="PXR104" s="3"/>
      <c r="PXS104" s="3"/>
      <c r="PXT104" s="3"/>
      <c r="PXU104" s="3"/>
      <c r="PXV104" s="3"/>
      <c r="PXW104" s="3"/>
      <c r="PXX104" s="3"/>
      <c r="PXY104" s="3"/>
      <c r="PXZ104" s="3"/>
      <c r="PYA104" s="3"/>
      <c r="PYB104" s="3"/>
      <c r="PYC104" s="3"/>
      <c r="PYD104" s="3"/>
      <c r="PYE104" s="3"/>
      <c r="PYF104" s="3"/>
      <c r="PYG104" s="3"/>
      <c r="PYH104" s="3"/>
      <c r="PYI104" s="3"/>
      <c r="PYJ104" s="3"/>
      <c r="PYK104" s="3"/>
      <c r="PYL104" s="3"/>
      <c r="PYM104" s="3"/>
      <c r="PYN104" s="3"/>
      <c r="PYO104" s="3"/>
      <c r="PYP104" s="3"/>
      <c r="PYQ104" s="3"/>
      <c r="PYR104" s="3"/>
      <c r="PYS104" s="3"/>
      <c r="PYT104" s="3"/>
      <c r="PYU104" s="3"/>
      <c r="PYV104" s="3"/>
      <c r="PYW104" s="3"/>
      <c r="PYX104" s="3"/>
      <c r="PYY104" s="3"/>
      <c r="PYZ104" s="3"/>
      <c r="PZA104" s="3"/>
      <c r="PZB104" s="3"/>
      <c r="PZC104" s="3"/>
      <c r="PZD104" s="3"/>
      <c r="PZE104" s="3"/>
      <c r="PZF104" s="3"/>
      <c r="PZG104" s="3"/>
      <c r="PZH104" s="3"/>
      <c r="PZI104" s="3"/>
      <c r="PZJ104" s="3"/>
      <c r="PZK104" s="3"/>
      <c r="PZL104" s="3"/>
      <c r="PZM104" s="3"/>
      <c r="PZN104" s="3"/>
      <c r="PZO104" s="3"/>
      <c r="PZP104" s="3"/>
      <c r="PZQ104" s="3"/>
      <c r="PZR104" s="3"/>
      <c r="PZS104" s="3"/>
      <c r="PZT104" s="3"/>
      <c r="PZU104" s="3"/>
      <c r="PZV104" s="3"/>
      <c r="PZW104" s="3"/>
      <c r="PZX104" s="3"/>
      <c r="PZY104" s="3"/>
      <c r="PZZ104" s="3"/>
      <c r="QAA104" s="3"/>
      <c r="QAB104" s="3"/>
      <c r="QAC104" s="3"/>
      <c r="QAD104" s="3"/>
      <c r="QAE104" s="3"/>
      <c r="QAF104" s="3"/>
      <c r="QAG104" s="3"/>
      <c r="QAH104" s="3"/>
      <c r="QAI104" s="3"/>
      <c r="QAJ104" s="3"/>
      <c r="QAK104" s="3"/>
      <c r="QAL104" s="3"/>
      <c r="QAM104" s="3"/>
      <c r="QAN104" s="3"/>
      <c r="QAO104" s="3"/>
      <c r="QAP104" s="3"/>
      <c r="QAQ104" s="3"/>
      <c r="QAR104" s="3"/>
      <c r="QAS104" s="3"/>
      <c r="QAT104" s="3"/>
      <c r="QAU104" s="3"/>
      <c r="QAV104" s="3"/>
      <c r="QAW104" s="3"/>
      <c r="QAX104" s="3"/>
      <c r="QAY104" s="3"/>
      <c r="QAZ104" s="3"/>
      <c r="QBA104" s="3"/>
      <c r="QBB104" s="3"/>
      <c r="QBC104" s="3"/>
      <c r="QBD104" s="3"/>
      <c r="QBE104" s="3"/>
      <c r="QBF104" s="3"/>
      <c r="QBG104" s="3"/>
      <c r="QBH104" s="3"/>
      <c r="QBI104" s="3"/>
      <c r="QBJ104" s="3"/>
      <c r="QBK104" s="3"/>
      <c r="QBL104" s="3"/>
      <c r="QBM104" s="3"/>
      <c r="QBN104" s="3"/>
      <c r="QBO104" s="3"/>
      <c r="QBP104" s="3"/>
      <c r="QBQ104" s="3"/>
      <c r="QBR104" s="3"/>
      <c r="QBS104" s="3"/>
      <c r="QBT104" s="3"/>
      <c r="QBU104" s="3"/>
      <c r="QBV104" s="3"/>
      <c r="QBW104" s="3"/>
      <c r="QBX104" s="3"/>
      <c r="QBY104" s="3"/>
      <c r="QBZ104" s="3"/>
      <c r="QCA104" s="3"/>
      <c r="QCB104" s="3"/>
      <c r="QCC104" s="3"/>
      <c r="QCD104" s="3"/>
      <c r="QCE104" s="3"/>
      <c r="QCF104" s="3"/>
      <c r="QCG104" s="3"/>
      <c r="QCH104" s="3"/>
      <c r="QCI104" s="3"/>
      <c r="QCJ104" s="3"/>
      <c r="QCK104" s="3"/>
      <c r="QCL104" s="3"/>
      <c r="QCM104" s="3"/>
      <c r="QCN104" s="3"/>
      <c r="QCO104" s="3"/>
      <c r="QCP104" s="3"/>
      <c r="QCQ104" s="3"/>
      <c r="QCR104" s="3"/>
      <c r="QCS104" s="3"/>
      <c r="QCT104" s="3"/>
      <c r="QCU104" s="3"/>
      <c r="QCV104" s="3"/>
      <c r="QCW104" s="3"/>
      <c r="QCX104" s="3"/>
      <c r="QCY104" s="3"/>
      <c r="QCZ104" s="3"/>
      <c r="QDA104" s="3"/>
      <c r="QDB104" s="3"/>
      <c r="QDC104" s="3"/>
      <c r="QDD104" s="3"/>
      <c r="QDE104" s="3"/>
      <c r="QDF104" s="3"/>
      <c r="QDG104" s="3"/>
      <c r="QDH104" s="3"/>
      <c r="QDI104" s="3"/>
      <c r="QDJ104" s="3"/>
      <c r="QDK104" s="3"/>
      <c r="QDL104" s="3"/>
      <c r="QDM104" s="3"/>
      <c r="QDN104" s="3"/>
      <c r="QDO104" s="3"/>
      <c r="QDP104" s="3"/>
      <c r="QDQ104" s="3"/>
      <c r="QDR104" s="3"/>
      <c r="QDS104" s="3"/>
      <c r="QDT104" s="3"/>
      <c r="QDU104" s="3"/>
      <c r="QDV104" s="3"/>
      <c r="QDW104" s="3"/>
      <c r="QDX104" s="3"/>
      <c r="QDY104" s="3"/>
      <c r="QDZ104" s="3"/>
      <c r="QEA104" s="3"/>
      <c r="QEB104" s="3"/>
      <c r="QEC104" s="3"/>
      <c r="QED104" s="3"/>
      <c r="QEE104" s="3"/>
      <c r="QEF104" s="3"/>
      <c r="QEG104" s="3"/>
      <c r="QEH104" s="3"/>
      <c r="QEI104" s="3"/>
      <c r="QEJ104" s="3"/>
      <c r="QEK104" s="3"/>
      <c r="QEL104" s="3"/>
      <c r="QEM104" s="3"/>
      <c r="QEN104" s="3"/>
      <c r="QEO104" s="3"/>
      <c r="QEP104" s="3"/>
      <c r="QEQ104" s="3"/>
      <c r="QER104" s="3"/>
      <c r="QES104" s="3"/>
      <c r="QET104" s="3"/>
      <c r="QEU104" s="3"/>
      <c r="QEV104" s="3"/>
      <c r="QEW104" s="3"/>
      <c r="QEX104" s="3"/>
      <c r="QEY104" s="3"/>
      <c r="QEZ104" s="3"/>
      <c r="QFA104" s="3"/>
      <c r="QFB104" s="3"/>
      <c r="QFC104" s="3"/>
      <c r="QFD104" s="3"/>
      <c r="QFE104" s="3"/>
      <c r="QFF104" s="3"/>
      <c r="QFG104" s="3"/>
      <c r="QFH104" s="3"/>
      <c r="QFI104" s="3"/>
      <c r="QFJ104" s="3"/>
      <c r="QFK104" s="3"/>
      <c r="QFL104" s="3"/>
      <c r="QFM104" s="3"/>
      <c r="QFN104" s="3"/>
      <c r="QFO104" s="3"/>
      <c r="QFP104" s="3"/>
      <c r="QFQ104" s="3"/>
      <c r="QFR104" s="3"/>
      <c r="QFS104" s="3"/>
      <c r="QFT104" s="3"/>
      <c r="QFU104" s="3"/>
      <c r="QFV104" s="3"/>
      <c r="QFW104" s="3"/>
      <c r="QFX104" s="3"/>
      <c r="QFY104" s="3"/>
      <c r="QFZ104" s="3"/>
      <c r="QGA104" s="3"/>
      <c r="QGB104" s="3"/>
      <c r="QGC104" s="3"/>
      <c r="QGD104" s="3"/>
      <c r="QGE104" s="3"/>
      <c r="QGF104" s="3"/>
      <c r="QGG104" s="3"/>
      <c r="QGH104" s="3"/>
      <c r="QGI104" s="3"/>
      <c r="QGJ104" s="3"/>
      <c r="QGK104" s="3"/>
      <c r="QGL104" s="3"/>
      <c r="QGM104" s="3"/>
      <c r="QGN104" s="3"/>
      <c r="QGO104" s="3"/>
      <c r="QGP104" s="3"/>
      <c r="QGQ104" s="3"/>
      <c r="QGR104" s="3"/>
      <c r="QGS104" s="3"/>
      <c r="QGT104" s="3"/>
      <c r="QGU104" s="3"/>
      <c r="QGV104" s="3"/>
      <c r="QGW104" s="3"/>
      <c r="QGX104" s="3"/>
      <c r="QGY104" s="3"/>
      <c r="QGZ104" s="3"/>
      <c r="QHA104" s="3"/>
      <c r="QHB104" s="3"/>
      <c r="QHC104" s="3"/>
      <c r="QHD104" s="3"/>
      <c r="QHE104" s="3"/>
      <c r="QHF104" s="3"/>
      <c r="QHG104" s="3"/>
      <c r="QHH104" s="3"/>
      <c r="QHI104" s="3"/>
      <c r="QHJ104" s="3"/>
      <c r="QHK104" s="3"/>
      <c r="QHL104" s="3"/>
      <c r="QHM104" s="3"/>
      <c r="QHN104" s="3"/>
      <c r="QHO104" s="3"/>
      <c r="QHP104" s="3"/>
      <c r="QHQ104" s="3"/>
      <c r="QHR104" s="3"/>
      <c r="QHS104" s="3"/>
      <c r="QHT104" s="3"/>
      <c r="QHU104" s="3"/>
      <c r="QHV104" s="3"/>
      <c r="QHW104" s="3"/>
      <c r="QHX104" s="3"/>
      <c r="QHY104" s="3"/>
      <c r="QHZ104" s="3"/>
      <c r="QIA104" s="3"/>
      <c r="QIB104" s="3"/>
      <c r="QIC104" s="3"/>
      <c r="QID104" s="3"/>
      <c r="QIE104" s="3"/>
      <c r="QIF104" s="3"/>
      <c r="QIG104" s="3"/>
      <c r="QIH104" s="3"/>
      <c r="QII104" s="3"/>
      <c r="QIJ104" s="3"/>
      <c r="QIK104" s="3"/>
      <c r="QIL104" s="3"/>
      <c r="QIM104" s="3"/>
      <c r="QIN104" s="3"/>
      <c r="QIO104" s="3"/>
      <c r="QIP104" s="3"/>
      <c r="QIQ104" s="3"/>
      <c r="QIR104" s="3"/>
      <c r="QIS104" s="3"/>
      <c r="QIT104" s="3"/>
      <c r="QIU104" s="3"/>
      <c r="QIV104" s="3"/>
      <c r="QIW104" s="3"/>
      <c r="QIX104" s="3"/>
      <c r="QIY104" s="3"/>
      <c r="QIZ104" s="3"/>
      <c r="QJA104" s="3"/>
      <c r="QJB104" s="3"/>
      <c r="QJC104" s="3"/>
      <c r="QJD104" s="3"/>
      <c r="QJE104" s="3"/>
      <c r="QJF104" s="3"/>
      <c r="QJG104" s="3"/>
      <c r="QJH104" s="3"/>
      <c r="QJI104" s="3"/>
      <c r="QJJ104" s="3"/>
      <c r="QJK104" s="3"/>
      <c r="QJL104" s="3"/>
      <c r="QJM104" s="3"/>
      <c r="QJN104" s="3"/>
      <c r="QJO104" s="3"/>
      <c r="QJP104" s="3"/>
      <c r="QJQ104" s="3"/>
      <c r="QJR104" s="3"/>
      <c r="QJS104" s="3"/>
      <c r="QJT104" s="3"/>
      <c r="QJU104" s="3"/>
      <c r="QJV104" s="3"/>
      <c r="QJW104" s="3"/>
      <c r="QJX104" s="3"/>
      <c r="QJY104" s="3"/>
      <c r="QJZ104" s="3"/>
      <c r="QKA104" s="3"/>
      <c r="QKB104" s="3"/>
      <c r="QKC104" s="3"/>
      <c r="QKD104" s="3"/>
      <c r="QKE104" s="3"/>
      <c r="QKF104" s="3"/>
      <c r="QKG104" s="3"/>
      <c r="QKH104" s="3"/>
      <c r="QKI104" s="3"/>
      <c r="QKJ104" s="3"/>
      <c r="QKK104" s="3"/>
      <c r="QKL104" s="3"/>
      <c r="QKM104" s="3"/>
      <c r="QKN104" s="3"/>
      <c r="QKO104" s="3"/>
      <c r="QKP104" s="3"/>
      <c r="QKQ104" s="3"/>
      <c r="QKR104" s="3"/>
      <c r="QKS104" s="3"/>
      <c r="QKT104" s="3"/>
      <c r="QKU104" s="3"/>
      <c r="QKV104" s="3"/>
      <c r="QKW104" s="3"/>
      <c r="QKX104" s="3"/>
      <c r="QKY104" s="3"/>
      <c r="QKZ104" s="3"/>
      <c r="QLA104" s="3"/>
      <c r="QLB104" s="3"/>
      <c r="QLC104" s="3"/>
      <c r="QLD104" s="3"/>
      <c r="QLE104" s="3"/>
      <c r="QLF104" s="3"/>
      <c r="QLG104" s="3"/>
      <c r="QLH104" s="3"/>
      <c r="QLI104" s="3"/>
      <c r="QLJ104" s="3"/>
      <c r="QLK104" s="3"/>
      <c r="QLL104" s="3"/>
      <c r="QLM104" s="3"/>
      <c r="QLN104" s="3"/>
      <c r="QLO104" s="3"/>
      <c r="QLP104" s="3"/>
      <c r="QLQ104" s="3"/>
      <c r="QLR104" s="3"/>
      <c r="QLS104" s="3"/>
      <c r="QLT104" s="3"/>
      <c r="QLU104" s="3"/>
      <c r="QLV104" s="3"/>
      <c r="QLW104" s="3"/>
      <c r="QLX104" s="3"/>
      <c r="QLY104" s="3"/>
      <c r="QLZ104" s="3"/>
      <c r="QMA104" s="3"/>
      <c r="QMB104" s="3"/>
      <c r="QMC104" s="3"/>
      <c r="QMD104" s="3"/>
      <c r="QME104" s="3"/>
      <c r="QMF104" s="3"/>
      <c r="QMG104" s="3"/>
      <c r="QMH104" s="3"/>
      <c r="QMI104" s="3"/>
      <c r="QMJ104" s="3"/>
      <c r="QMK104" s="3"/>
      <c r="QML104" s="3"/>
      <c r="QMM104" s="3"/>
      <c r="QMN104" s="3"/>
      <c r="QMO104" s="3"/>
      <c r="QMP104" s="3"/>
      <c r="QMQ104" s="3"/>
      <c r="QMR104" s="3"/>
      <c r="QMS104" s="3"/>
      <c r="QMT104" s="3"/>
      <c r="QMU104" s="3"/>
      <c r="QMV104" s="3"/>
      <c r="QMW104" s="3"/>
      <c r="QMX104" s="3"/>
      <c r="QMY104" s="3"/>
      <c r="QMZ104" s="3"/>
      <c r="QNA104" s="3"/>
      <c r="QNB104" s="3"/>
      <c r="QNC104" s="3"/>
      <c r="QND104" s="3"/>
      <c r="QNE104" s="3"/>
      <c r="QNF104" s="3"/>
      <c r="QNG104" s="3"/>
      <c r="QNH104" s="3"/>
      <c r="QNI104" s="3"/>
      <c r="QNJ104" s="3"/>
      <c r="QNK104" s="3"/>
      <c r="QNL104" s="3"/>
      <c r="QNM104" s="3"/>
      <c r="QNN104" s="3"/>
      <c r="QNO104" s="3"/>
      <c r="QNP104" s="3"/>
      <c r="QNQ104" s="3"/>
      <c r="QNR104" s="3"/>
      <c r="QNS104" s="3"/>
      <c r="QNT104" s="3"/>
      <c r="QNU104" s="3"/>
      <c r="QNV104" s="3"/>
      <c r="QNW104" s="3"/>
      <c r="QNX104" s="3"/>
      <c r="QNY104" s="3"/>
      <c r="QNZ104" s="3"/>
      <c r="QOA104" s="3"/>
      <c r="QOB104" s="3"/>
      <c r="QOC104" s="3"/>
      <c r="QOD104" s="3"/>
      <c r="QOE104" s="3"/>
      <c r="QOF104" s="3"/>
      <c r="QOG104" s="3"/>
      <c r="QOH104" s="3"/>
      <c r="QOI104" s="3"/>
      <c r="QOJ104" s="3"/>
      <c r="QOK104" s="3"/>
      <c r="QOL104" s="3"/>
      <c r="QOM104" s="3"/>
      <c r="QON104" s="3"/>
      <c r="QOO104" s="3"/>
      <c r="QOP104" s="3"/>
      <c r="QOQ104" s="3"/>
      <c r="QOR104" s="3"/>
      <c r="QOS104" s="3"/>
      <c r="QOT104" s="3"/>
      <c r="QOU104" s="3"/>
      <c r="QOV104" s="3"/>
      <c r="QOW104" s="3"/>
      <c r="QOX104" s="3"/>
      <c r="QOY104" s="3"/>
      <c r="QOZ104" s="3"/>
      <c r="QPA104" s="3"/>
      <c r="QPB104" s="3"/>
      <c r="QPC104" s="3"/>
      <c r="QPD104" s="3"/>
      <c r="QPE104" s="3"/>
      <c r="QPF104" s="3"/>
      <c r="QPG104" s="3"/>
      <c r="QPH104" s="3"/>
      <c r="QPI104" s="3"/>
      <c r="QPJ104" s="3"/>
      <c r="QPK104" s="3"/>
      <c r="QPL104" s="3"/>
      <c r="QPM104" s="3"/>
      <c r="QPN104" s="3"/>
      <c r="QPO104" s="3"/>
      <c r="QPP104" s="3"/>
      <c r="QPQ104" s="3"/>
      <c r="QPR104" s="3"/>
      <c r="QPS104" s="3"/>
      <c r="QPT104" s="3"/>
      <c r="QPU104" s="3"/>
      <c r="QPV104" s="3"/>
      <c r="QPW104" s="3"/>
      <c r="QPX104" s="3"/>
      <c r="QPY104" s="3"/>
      <c r="QPZ104" s="3"/>
      <c r="QQA104" s="3"/>
      <c r="QQB104" s="3"/>
      <c r="QQC104" s="3"/>
      <c r="QQD104" s="3"/>
      <c r="QQE104" s="3"/>
      <c r="QQF104" s="3"/>
      <c r="QQG104" s="3"/>
      <c r="QQH104" s="3"/>
      <c r="QQI104" s="3"/>
      <c r="QQJ104" s="3"/>
      <c r="QQK104" s="3"/>
      <c r="QQL104" s="3"/>
      <c r="QQM104" s="3"/>
      <c r="QQN104" s="3"/>
      <c r="QQO104" s="3"/>
      <c r="QQP104" s="3"/>
      <c r="QQQ104" s="3"/>
      <c r="QQR104" s="3"/>
      <c r="QQS104" s="3"/>
      <c r="QQT104" s="3"/>
      <c r="QQU104" s="3"/>
      <c r="QQV104" s="3"/>
      <c r="QQW104" s="3"/>
      <c r="QQX104" s="3"/>
      <c r="QQY104" s="3"/>
      <c r="QQZ104" s="3"/>
      <c r="QRA104" s="3"/>
      <c r="QRB104" s="3"/>
      <c r="QRC104" s="3"/>
      <c r="QRD104" s="3"/>
      <c r="QRE104" s="3"/>
      <c r="QRF104" s="3"/>
      <c r="QRG104" s="3"/>
      <c r="QRH104" s="3"/>
      <c r="QRI104" s="3"/>
      <c r="QRJ104" s="3"/>
      <c r="QRK104" s="3"/>
      <c r="QRL104" s="3"/>
      <c r="QRM104" s="3"/>
      <c r="QRN104" s="3"/>
      <c r="QRO104" s="3"/>
      <c r="QRP104" s="3"/>
      <c r="QRQ104" s="3"/>
      <c r="QRR104" s="3"/>
      <c r="QRS104" s="3"/>
      <c r="QRT104" s="3"/>
      <c r="QRU104" s="3"/>
      <c r="QRV104" s="3"/>
      <c r="QRW104" s="3"/>
      <c r="QRX104" s="3"/>
      <c r="QRY104" s="3"/>
      <c r="QRZ104" s="3"/>
      <c r="QSA104" s="3"/>
      <c r="QSB104" s="3"/>
      <c r="QSC104" s="3"/>
      <c r="QSD104" s="3"/>
      <c r="QSE104" s="3"/>
      <c r="QSF104" s="3"/>
      <c r="QSG104" s="3"/>
      <c r="QSH104" s="3"/>
      <c r="QSI104" s="3"/>
      <c r="QSJ104" s="3"/>
      <c r="QSK104" s="3"/>
      <c r="QSL104" s="3"/>
      <c r="QSM104" s="3"/>
      <c r="QSN104" s="3"/>
      <c r="QSO104" s="3"/>
      <c r="QSP104" s="3"/>
      <c r="QSQ104" s="3"/>
      <c r="QSR104" s="3"/>
      <c r="QSS104" s="3"/>
      <c r="QST104" s="3"/>
      <c r="QSU104" s="3"/>
      <c r="QSV104" s="3"/>
      <c r="QSW104" s="3"/>
      <c r="QSX104" s="3"/>
      <c r="QSY104" s="3"/>
      <c r="QSZ104" s="3"/>
      <c r="QTA104" s="3"/>
      <c r="QTB104" s="3"/>
      <c r="QTC104" s="3"/>
      <c r="QTD104" s="3"/>
      <c r="QTE104" s="3"/>
      <c r="QTF104" s="3"/>
      <c r="QTG104" s="3"/>
      <c r="QTH104" s="3"/>
      <c r="QTI104" s="3"/>
      <c r="QTJ104" s="3"/>
      <c r="QTK104" s="3"/>
      <c r="QTL104" s="3"/>
      <c r="QTM104" s="3"/>
      <c r="QTN104" s="3"/>
      <c r="QTO104" s="3"/>
      <c r="QTP104" s="3"/>
      <c r="QTQ104" s="3"/>
      <c r="QTR104" s="3"/>
      <c r="QTS104" s="3"/>
      <c r="QTT104" s="3"/>
      <c r="QTU104" s="3"/>
      <c r="QTV104" s="3"/>
      <c r="QTW104" s="3"/>
      <c r="QTX104" s="3"/>
      <c r="QTY104" s="3"/>
      <c r="QTZ104" s="3"/>
      <c r="QUA104" s="3"/>
      <c r="QUB104" s="3"/>
      <c r="QUC104" s="3"/>
      <c r="QUD104" s="3"/>
      <c r="QUE104" s="3"/>
      <c r="QUF104" s="3"/>
      <c r="QUG104" s="3"/>
      <c r="QUH104" s="3"/>
      <c r="QUI104" s="3"/>
      <c r="QUJ104" s="3"/>
      <c r="QUK104" s="3"/>
      <c r="QUL104" s="3"/>
      <c r="QUM104" s="3"/>
      <c r="QUN104" s="3"/>
      <c r="QUO104" s="3"/>
      <c r="QUP104" s="3"/>
      <c r="QUQ104" s="3"/>
      <c r="QUR104" s="3"/>
      <c r="QUS104" s="3"/>
      <c r="QUT104" s="3"/>
      <c r="QUU104" s="3"/>
      <c r="QUV104" s="3"/>
      <c r="QUW104" s="3"/>
      <c r="QUX104" s="3"/>
      <c r="QUY104" s="3"/>
      <c r="QUZ104" s="3"/>
      <c r="QVA104" s="3"/>
      <c r="QVB104" s="3"/>
      <c r="QVC104" s="3"/>
      <c r="QVD104" s="3"/>
      <c r="QVE104" s="3"/>
      <c r="QVF104" s="3"/>
      <c r="QVG104" s="3"/>
      <c r="QVH104" s="3"/>
      <c r="QVI104" s="3"/>
      <c r="QVJ104" s="3"/>
      <c r="QVK104" s="3"/>
      <c r="QVL104" s="3"/>
      <c r="QVM104" s="3"/>
      <c r="QVN104" s="3"/>
      <c r="QVO104" s="3"/>
      <c r="QVP104" s="3"/>
      <c r="QVQ104" s="3"/>
      <c r="QVR104" s="3"/>
      <c r="QVS104" s="3"/>
      <c r="QVT104" s="3"/>
      <c r="QVU104" s="3"/>
      <c r="QVV104" s="3"/>
      <c r="QVW104" s="3"/>
      <c r="QVX104" s="3"/>
      <c r="QVY104" s="3"/>
      <c r="QVZ104" s="3"/>
      <c r="QWA104" s="3"/>
      <c r="QWB104" s="3"/>
      <c r="QWC104" s="3"/>
      <c r="QWD104" s="3"/>
      <c r="QWE104" s="3"/>
      <c r="QWF104" s="3"/>
      <c r="QWG104" s="3"/>
      <c r="QWH104" s="3"/>
      <c r="QWI104" s="3"/>
      <c r="QWJ104" s="3"/>
      <c r="QWK104" s="3"/>
      <c r="QWL104" s="3"/>
      <c r="QWM104" s="3"/>
      <c r="QWN104" s="3"/>
      <c r="QWO104" s="3"/>
      <c r="QWP104" s="3"/>
      <c r="QWQ104" s="3"/>
      <c r="QWR104" s="3"/>
      <c r="QWS104" s="3"/>
      <c r="QWT104" s="3"/>
      <c r="QWU104" s="3"/>
      <c r="QWV104" s="3"/>
      <c r="QWW104" s="3"/>
      <c r="QWX104" s="3"/>
      <c r="QWY104" s="3"/>
      <c r="QWZ104" s="3"/>
      <c r="QXA104" s="3"/>
      <c r="QXB104" s="3"/>
      <c r="QXC104" s="3"/>
      <c r="QXD104" s="3"/>
      <c r="QXE104" s="3"/>
      <c r="QXF104" s="3"/>
      <c r="QXG104" s="3"/>
      <c r="QXH104" s="3"/>
      <c r="QXI104" s="3"/>
      <c r="QXJ104" s="3"/>
      <c r="QXK104" s="3"/>
      <c r="QXL104" s="3"/>
      <c r="QXM104" s="3"/>
      <c r="QXN104" s="3"/>
      <c r="QXO104" s="3"/>
      <c r="QXP104" s="3"/>
      <c r="QXQ104" s="3"/>
      <c r="QXR104" s="3"/>
      <c r="QXS104" s="3"/>
      <c r="QXT104" s="3"/>
      <c r="QXU104" s="3"/>
      <c r="QXV104" s="3"/>
      <c r="QXW104" s="3"/>
      <c r="QXX104" s="3"/>
      <c r="QXY104" s="3"/>
      <c r="QXZ104" s="3"/>
      <c r="QYA104" s="3"/>
      <c r="QYB104" s="3"/>
      <c r="QYC104" s="3"/>
      <c r="QYD104" s="3"/>
      <c r="QYE104" s="3"/>
      <c r="QYF104" s="3"/>
      <c r="QYG104" s="3"/>
      <c r="QYH104" s="3"/>
      <c r="QYI104" s="3"/>
      <c r="QYJ104" s="3"/>
      <c r="QYK104" s="3"/>
      <c r="QYL104" s="3"/>
      <c r="QYM104" s="3"/>
      <c r="QYN104" s="3"/>
      <c r="QYO104" s="3"/>
      <c r="QYP104" s="3"/>
      <c r="QYQ104" s="3"/>
      <c r="QYR104" s="3"/>
      <c r="QYS104" s="3"/>
      <c r="QYT104" s="3"/>
      <c r="QYU104" s="3"/>
      <c r="QYV104" s="3"/>
      <c r="QYW104" s="3"/>
      <c r="QYX104" s="3"/>
      <c r="QYY104" s="3"/>
      <c r="QYZ104" s="3"/>
      <c r="QZA104" s="3"/>
      <c r="QZB104" s="3"/>
      <c r="QZC104" s="3"/>
      <c r="QZD104" s="3"/>
      <c r="QZE104" s="3"/>
      <c r="QZF104" s="3"/>
      <c r="QZG104" s="3"/>
      <c r="QZH104" s="3"/>
      <c r="QZI104" s="3"/>
      <c r="QZJ104" s="3"/>
      <c r="QZK104" s="3"/>
      <c r="QZL104" s="3"/>
      <c r="QZM104" s="3"/>
      <c r="QZN104" s="3"/>
      <c r="QZO104" s="3"/>
      <c r="QZP104" s="3"/>
      <c r="QZQ104" s="3"/>
      <c r="QZR104" s="3"/>
      <c r="QZS104" s="3"/>
      <c r="QZT104" s="3"/>
      <c r="QZU104" s="3"/>
      <c r="QZV104" s="3"/>
      <c r="QZW104" s="3"/>
      <c r="QZX104" s="3"/>
      <c r="QZY104" s="3"/>
      <c r="QZZ104" s="3"/>
      <c r="RAA104" s="3"/>
      <c r="RAB104" s="3"/>
      <c r="RAC104" s="3"/>
      <c r="RAD104" s="3"/>
      <c r="RAE104" s="3"/>
      <c r="RAF104" s="3"/>
      <c r="RAG104" s="3"/>
      <c r="RAH104" s="3"/>
      <c r="RAI104" s="3"/>
      <c r="RAJ104" s="3"/>
      <c r="RAK104" s="3"/>
      <c r="RAL104" s="3"/>
      <c r="RAM104" s="3"/>
      <c r="RAN104" s="3"/>
      <c r="RAO104" s="3"/>
      <c r="RAP104" s="3"/>
      <c r="RAQ104" s="3"/>
      <c r="RAR104" s="3"/>
      <c r="RAS104" s="3"/>
      <c r="RAT104" s="3"/>
      <c r="RAU104" s="3"/>
      <c r="RAV104" s="3"/>
      <c r="RAW104" s="3"/>
      <c r="RAX104" s="3"/>
      <c r="RAY104" s="3"/>
      <c r="RAZ104" s="3"/>
      <c r="RBA104" s="3"/>
      <c r="RBB104" s="3"/>
      <c r="RBC104" s="3"/>
      <c r="RBD104" s="3"/>
      <c r="RBE104" s="3"/>
      <c r="RBF104" s="3"/>
      <c r="RBG104" s="3"/>
      <c r="RBH104" s="3"/>
      <c r="RBI104" s="3"/>
      <c r="RBJ104" s="3"/>
      <c r="RBK104" s="3"/>
      <c r="RBL104" s="3"/>
      <c r="RBM104" s="3"/>
      <c r="RBN104" s="3"/>
      <c r="RBO104" s="3"/>
      <c r="RBP104" s="3"/>
      <c r="RBQ104" s="3"/>
      <c r="RBR104" s="3"/>
      <c r="RBS104" s="3"/>
      <c r="RBT104" s="3"/>
      <c r="RBU104" s="3"/>
      <c r="RBV104" s="3"/>
      <c r="RBW104" s="3"/>
      <c r="RBX104" s="3"/>
      <c r="RBY104" s="3"/>
      <c r="RBZ104" s="3"/>
      <c r="RCA104" s="3"/>
      <c r="RCB104" s="3"/>
      <c r="RCC104" s="3"/>
      <c r="RCD104" s="3"/>
      <c r="RCE104" s="3"/>
      <c r="RCF104" s="3"/>
      <c r="RCG104" s="3"/>
      <c r="RCH104" s="3"/>
      <c r="RCI104" s="3"/>
      <c r="RCJ104" s="3"/>
      <c r="RCK104" s="3"/>
      <c r="RCL104" s="3"/>
      <c r="RCM104" s="3"/>
      <c r="RCN104" s="3"/>
      <c r="RCO104" s="3"/>
      <c r="RCP104" s="3"/>
      <c r="RCQ104" s="3"/>
      <c r="RCR104" s="3"/>
      <c r="RCS104" s="3"/>
      <c r="RCT104" s="3"/>
      <c r="RCU104" s="3"/>
      <c r="RCV104" s="3"/>
      <c r="RCW104" s="3"/>
      <c r="RCX104" s="3"/>
      <c r="RCY104" s="3"/>
      <c r="RCZ104" s="3"/>
      <c r="RDA104" s="3"/>
      <c r="RDB104" s="3"/>
      <c r="RDC104" s="3"/>
      <c r="RDD104" s="3"/>
      <c r="RDE104" s="3"/>
      <c r="RDF104" s="3"/>
      <c r="RDG104" s="3"/>
      <c r="RDH104" s="3"/>
      <c r="RDI104" s="3"/>
      <c r="RDJ104" s="3"/>
      <c r="RDK104" s="3"/>
      <c r="RDL104" s="3"/>
      <c r="RDM104" s="3"/>
      <c r="RDN104" s="3"/>
      <c r="RDO104" s="3"/>
      <c r="RDP104" s="3"/>
      <c r="RDQ104" s="3"/>
      <c r="RDR104" s="3"/>
      <c r="RDS104" s="3"/>
      <c r="RDT104" s="3"/>
      <c r="RDU104" s="3"/>
      <c r="RDV104" s="3"/>
      <c r="RDW104" s="3"/>
      <c r="RDX104" s="3"/>
      <c r="RDY104" s="3"/>
      <c r="RDZ104" s="3"/>
      <c r="REA104" s="3"/>
      <c r="REB104" s="3"/>
      <c r="REC104" s="3"/>
      <c r="RED104" s="3"/>
      <c r="REE104" s="3"/>
      <c r="REF104" s="3"/>
      <c r="REG104" s="3"/>
      <c r="REH104" s="3"/>
      <c r="REI104" s="3"/>
      <c r="REJ104" s="3"/>
      <c r="REK104" s="3"/>
      <c r="REL104" s="3"/>
      <c r="REM104" s="3"/>
      <c r="REN104" s="3"/>
      <c r="REO104" s="3"/>
      <c r="REP104" s="3"/>
      <c r="REQ104" s="3"/>
      <c r="RER104" s="3"/>
      <c r="RES104" s="3"/>
      <c r="RET104" s="3"/>
      <c r="REU104" s="3"/>
      <c r="REV104" s="3"/>
      <c r="REW104" s="3"/>
      <c r="REX104" s="3"/>
      <c r="REY104" s="3"/>
      <c r="REZ104" s="3"/>
      <c r="RFA104" s="3"/>
      <c r="RFB104" s="3"/>
      <c r="RFC104" s="3"/>
      <c r="RFD104" s="3"/>
      <c r="RFE104" s="3"/>
      <c r="RFF104" s="3"/>
      <c r="RFG104" s="3"/>
      <c r="RFH104" s="3"/>
      <c r="RFI104" s="3"/>
      <c r="RFJ104" s="3"/>
      <c r="RFK104" s="3"/>
      <c r="RFL104" s="3"/>
      <c r="RFM104" s="3"/>
      <c r="RFN104" s="3"/>
      <c r="RFO104" s="3"/>
      <c r="RFP104" s="3"/>
      <c r="RFQ104" s="3"/>
      <c r="RFR104" s="3"/>
      <c r="RFS104" s="3"/>
      <c r="RFT104" s="3"/>
      <c r="RFU104" s="3"/>
      <c r="RFV104" s="3"/>
      <c r="RFW104" s="3"/>
      <c r="RFX104" s="3"/>
      <c r="RFY104" s="3"/>
      <c r="RFZ104" s="3"/>
      <c r="RGA104" s="3"/>
      <c r="RGB104" s="3"/>
      <c r="RGC104" s="3"/>
      <c r="RGD104" s="3"/>
      <c r="RGE104" s="3"/>
      <c r="RGF104" s="3"/>
      <c r="RGG104" s="3"/>
      <c r="RGH104" s="3"/>
      <c r="RGI104" s="3"/>
      <c r="RGJ104" s="3"/>
      <c r="RGK104" s="3"/>
      <c r="RGL104" s="3"/>
      <c r="RGM104" s="3"/>
      <c r="RGN104" s="3"/>
      <c r="RGO104" s="3"/>
      <c r="RGP104" s="3"/>
      <c r="RGQ104" s="3"/>
      <c r="RGR104" s="3"/>
      <c r="RGS104" s="3"/>
      <c r="RGT104" s="3"/>
      <c r="RGU104" s="3"/>
      <c r="RGV104" s="3"/>
      <c r="RGW104" s="3"/>
      <c r="RGX104" s="3"/>
      <c r="RGY104" s="3"/>
      <c r="RGZ104" s="3"/>
      <c r="RHA104" s="3"/>
      <c r="RHB104" s="3"/>
      <c r="RHC104" s="3"/>
      <c r="RHD104" s="3"/>
      <c r="RHE104" s="3"/>
      <c r="RHF104" s="3"/>
      <c r="RHG104" s="3"/>
      <c r="RHH104" s="3"/>
      <c r="RHI104" s="3"/>
      <c r="RHJ104" s="3"/>
      <c r="RHK104" s="3"/>
      <c r="RHL104" s="3"/>
      <c r="RHM104" s="3"/>
      <c r="RHN104" s="3"/>
      <c r="RHO104" s="3"/>
      <c r="RHP104" s="3"/>
      <c r="RHQ104" s="3"/>
      <c r="RHR104" s="3"/>
      <c r="RHS104" s="3"/>
      <c r="RHT104" s="3"/>
      <c r="RHU104" s="3"/>
      <c r="RHV104" s="3"/>
      <c r="RHW104" s="3"/>
      <c r="RHX104" s="3"/>
      <c r="RHY104" s="3"/>
      <c r="RHZ104" s="3"/>
      <c r="RIA104" s="3"/>
      <c r="RIB104" s="3"/>
      <c r="RIC104" s="3"/>
      <c r="RID104" s="3"/>
      <c r="RIE104" s="3"/>
      <c r="RIF104" s="3"/>
      <c r="RIG104" s="3"/>
      <c r="RIH104" s="3"/>
      <c r="RII104" s="3"/>
      <c r="RIJ104" s="3"/>
      <c r="RIK104" s="3"/>
      <c r="RIL104" s="3"/>
      <c r="RIM104" s="3"/>
      <c r="RIN104" s="3"/>
      <c r="RIO104" s="3"/>
      <c r="RIP104" s="3"/>
      <c r="RIQ104" s="3"/>
      <c r="RIR104" s="3"/>
      <c r="RIS104" s="3"/>
      <c r="RIT104" s="3"/>
      <c r="RIU104" s="3"/>
      <c r="RIV104" s="3"/>
      <c r="RIW104" s="3"/>
      <c r="RIX104" s="3"/>
      <c r="RIY104" s="3"/>
      <c r="RIZ104" s="3"/>
      <c r="RJA104" s="3"/>
      <c r="RJB104" s="3"/>
      <c r="RJC104" s="3"/>
      <c r="RJD104" s="3"/>
      <c r="RJE104" s="3"/>
      <c r="RJF104" s="3"/>
      <c r="RJG104" s="3"/>
      <c r="RJH104" s="3"/>
      <c r="RJI104" s="3"/>
      <c r="RJJ104" s="3"/>
      <c r="RJK104" s="3"/>
      <c r="RJL104" s="3"/>
      <c r="RJM104" s="3"/>
      <c r="RJN104" s="3"/>
      <c r="RJO104" s="3"/>
      <c r="RJP104" s="3"/>
      <c r="RJQ104" s="3"/>
      <c r="RJR104" s="3"/>
      <c r="RJS104" s="3"/>
      <c r="RJT104" s="3"/>
      <c r="RJU104" s="3"/>
      <c r="RJV104" s="3"/>
      <c r="RJW104" s="3"/>
      <c r="RJX104" s="3"/>
      <c r="RJY104" s="3"/>
      <c r="RJZ104" s="3"/>
      <c r="RKA104" s="3"/>
      <c r="RKB104" s="3"/>
      <c r="RKC104" s="3"/>
      <c r="RKD104" s="3"/>
      <c r="RKE104" s="3"/>
      <c r="RKF104" s="3"/>
      <c r="RKG104" s="3"/>
      <c r="RKH104" s="3"/>
      <c r="RKI104" s="3"/>
      <c r="RKJ104" s="3"/>
      <c r="RKK104" s="3"/>
      <c r="RKL104" s="3"/>
      <c r="RKM104" s="3"/>
      <c r="RKN104" s="3"/>
      <c r="RKO104" s="3"/>
      <c r="RKP104" s="3"/>
      <c r="RKQ104" s="3"/>
      <c r="RKR104" s="3"/>
      <c r="RKS104" s="3"/>
      <c r="RKT104" s="3"/>
      <c r="RKU104" s="3"/>
      <c r="RKV104" s="3"/>
      <c r="RKW104" s="3"/>
      <c r="RKX104" s="3"/>
      <c r="RKY104" s="3"/>
      <c r="RKZ104" s="3"/>
      <c r="RLA104" s="3"/>
      <c r="RLB104" s="3"/>
      <c r="RLC104" s="3"/>
      <c r="RLD104" s="3"/>
      <c r="RLE104" s="3"/>
      <c r="RLF104" s="3"/>
      <c r="RLG104" s="3"/>
      <c r="RLH104" s="3"/>
      <c r="RLI104" s="3"/>
      <c r="RLJ104" s="3"/>
      <c r="RLK104" s="3"/>
      <c r="RLL104" s="3"/>
      <c r="RLM104" s="3"/>
      <c r="RLN104" s="3"/>
      <c r="RLO104" s="3"/>
      <c r="RLP104" s="3"/>
      <c r="RLQ104" s="3"/>
      <c r="RLR104" s="3"/>
      <c r="RLS104" s="3"/>
      <c r="RLT104" s="3"/>
      <c r="RLU104" s="3"/>
      <c r="RLV104" s="3"/>
      <c r="RLW104" s="3"/>
      <c r="RLX104" s="3"/>
      <c r="RLY104" s="3"/>
      <c r="RLZ104" s="3"/>
      <c r="RMA104" s="3"/>
      <c r="RMB104" s="3"/>
      <c r="RMC104" s="3"/>
      <c r="RMD104" s="3"/>
      <c r="RME104" s="3"/>
      <c r="RMF104" s="3"/>
      <c r="RMG104" s="3"/>
      <c r="RMH104" s="3"/>
      <c r="RMI104" s="3"/>
      <c r="RMJ104" s="3"/>
      <c r="RMK104" s="3"/>
      <c r="RML104" s="3"/>
      <c r="RMM104" s="3"/>
      <c r="RMN104" s="3"/>
      <c r="RMO104" s="3"/>
      <c r="RMP104" s="3"/>
      <c r="RMQ104" s="3"/>
      <c r="RMR104" s="3"/>
      <c r="RMS104" s="3"/>
      <c r="RMT104" s="3"/>
      <c r="RMU104" s="3"/>
      <c r="RMV104" s="3"/>
      <c r="RMW104" s="3"/>
      <c r="RMX104" s="3"/>
      <c r="RMY104" s="3"/>
      <c r="RMZ104" s="3"/>
      <c r="RNA104" s="3"/>
      <c r="RNB104" s="3"/>
      <c r="RNC104" s="3"/>
      <c r="RND104" s="3"/>
      <c r="RNE104" s="3"/>
      <c r="RNF104" s="3"/>
      <c r="RNG104" s="3"/>
      <c r="RNH104" s="3"/>
      <c r="RNI104" s="3"/>
      <c r="RNJ104" s="3"/>
      <c r="RNK104" s="3"/>
      <c r="RNL104" s="3"/>
      <c r="RNM104" s="3"/>
      <c r="RNN104" s="3"/>
      <c r="RNO104" s="3"/>
      <c r="RNP104" s="3"/>
      <c r="RNQ104" s="3"/>
      <c r="RNR104" s="3"/>
      <c r="RNS104" s="3"/>
      <c r="RNT104" s="3"/>
      <c r="RNU104" s="3"/>
      <c r="RNV104" s="3"/>
      <c r="RNW104" s="3"/>
      <c r="RNX104" s="3"/>
      <c r="RNY104" s="3"/>
      <c r="RNZ104" s="3"/>
      <c r="ROA104" s="3"/>
      <c r="ROB104" s="3"/>
      <c r="ROC104" s="3"/>
      <c r="ROD104" s="3"/>
      <c r="ROE104" s="3"/>
      <c r="ROF104" s="3"/>
      <c r="ROG104" s="3"/>
      <c r="ROH104" s="3"/>
      <c r="ROI104" s="3"/>
      <c r="ROJ104" s="3"/>
      <c r="ROK104" s="3"/>
      <c r="ROL104" s="3"/>
      <c r="ROM104" s="3"/>
      <c r="RON104" s="3"/>
      <c r="ROO104" s="3"/>
      <c r="ROP104" s="3"/>
      <c r="ROQ104" s="3"/>
      <c r="ROR104" s="3"/>
      <c r="ROS104" s="3"/>
      <c r="ROT104" s="3"/>
      <c r="ROU104" s="3"/>
      <c r="ROV104" s="3"/>
      <c r="ROW104" s="3"/>
      <c r="ROX104" s="3"/>
      <c r="ROY104" s="3"/>
      <c r="ROZ104" s="3"/>
      <c r="RPA104" s="3"/>
      <c r="RPB104" s="3"/>
      <c r="RPC104" s="3"/>
      <c r="RPD104" s="3"/>
      <c r="RPE104" s="3"/>
      <c r="RPF104" s="3"/>
      <c r="RPG104" s="3"/>
      <c r="RPH104" s="3"/>
      <c r="RPI104" s="3"/>
      <c r="RPJ104" s="3"/>
      <c r="RPK104" s="3"/>
      <c r="RPL104" s="3"/>
      <c r="RPM104" s="3"/>
      <c r="RPN104" s="3"/>
      <c r="RPO104" s="3"/>
      <c r="RPP104" s="3"/>
      <c r="RPQ104" s="3"/>
      <c r="RPR104" s="3"/>
      <c r="RPS104" s="3"/>
      <c r="RPT104" s="3"/>
      <c r="RPU104" s="3"/>
      <c r="RPV104" s="3"/>
      <c r="RPW104" s="3"/>
      <c r="RPX104" s="3"/>
      <c r="RPY104" s="3"/>
      <c r="RPZ104" s="3"/>
      <c r="RQA104" s="3"/>
      <c r="RQB104" s="3"/>
      <c r="RQC104" s="3"/>
      <c r="RQD104" s="3"/>
      <c r="RQE104" s="3"/>
      <c r="RQF104" s="3"/>
      <c r="RQG104" s="3"/>
      <c r="RQH104" s="3"/>
      <c r="RQI104" s="3"/>
      <c r="RQJ104" s="3"/>
      <c r="RQK104" s="3"/>
      <c r="RQL104" s="3"/>
      <c r="RQM104" s="3"/>
      <c r="RQN104" s="3"/>
      <c r="RQO104" s="3"/>
      <c r="RQP104" s="3"/>
      <c r="RQQ104" s="3"/>
      <c r="RQR104" s="3"/>
      <c r="RQS104" s="3"/>
      <c r="RQT104" s="3"/>
      <c r="RQU104" s="3"/>
      <c r="RQV104" s="3"/>
      <c r="RQW104" s="3"/>
      <c r="RQX104" s="3"/>
      <c r="RQY104" s="3"/>
      <c r="RQZ104" s="3"/>
      <c r="RRA104" s="3"/>
      <c r="RRB104" s="3"/>
      <c r="RRC104" s="3"/>
      <c r="RRD104" s="3"/>
      <c r="RRE104" s="3"/>
      <c r="RRF104" s="3"/>
      <c r="RRG104" s="3"/>
      <c r="RRH104" s="3"/>
      <c r="RRI104" s="3"/>
      <c r="RRJ104" s="3"/>
      <c r="RRK104" s="3"/>
      <c r="RRL104" s="3"/>
      <c r="RRM104" s="3"/>
      <c r="RRN104" s="3"/>
      <c r="RRO104" s="3"/>
      <c r="RRP104" s="3"/>
      <c r="RRQ104" s="3"/>
      <c r="RRR104" s="3"/>
      <c r="RRS104" s="3"/>
      <c r="RRT104" s="3"/>
      <c r="RRU104" s="3"/>
      <c r="RRV104" s="3"/>
      <c r="RRW104" s="3"/>
      <c r="RRX104" s="3"/>
      <c r="RRY104" s="3"/>
      <c r="RRZ104" s="3"/>
      <c r="RSA104" s="3"/>
      <c r="RSB104" s="3"/>
      <c r="RSC104" s="3"/>
      <c r="RSD104" s="3"/>
      <c r="RSE104" s="3"/>
      <c r="RSF104" s="3"/>
      <c r="RSG104" s="3"/>
      <c r="RSH104" s="3"/>
      <c r="RSI104" s="3"/>
      <c r="RSJ104" s="3"/>
      <c r="RSK104" s="3"/>
      <c r="RSL104" s="3"/>
      <c r="RSM104" s="3"/>
      <c r="RSN104" s="3"/>
      <c r="RSO104" s="3"/>
      <c r="RSP104" s="3"/>
      <c r="RSQ104" s="3"/>
      <c r="RSR104" s="3"/>
      <c r="RSS104" s="3"/>
      <c r="RST104" s="3"/>
      <c r="RSU104" s="3"/>
      <c r="RSV104" s="3"/>
      <c r="RSW104" s="3"/>
      <c r="RSX104" s="3"/>
      <c r="RSY104" s="3"/>
      <c r="RSZ104" s="3"/>
      <c r="RTA104" s="3"/>
      <c r="RTB104" s="3"/>
      <c r="RTC104" s="3"/>
      <c r="RTD104" s="3"/>
      <c r="RTE104" s="3"/>
      <c r="RTF104" s="3"/>
      <c r="RTG104" s="3"/>
      <c r="RTH104" s="3"/>
      <c r="RTI104" s="3"/>
      <c r="RTJ104" s="3"/>
      <c r="RTK104" s="3"/>
      <c r="RTL104" s="3"/>
      <c r="RTM104" s="3"/>
      <c r="RTN104" s="3"/>
      <c r="RTO104" s="3"/>
      <c r="RTP104" s="3"/>
      <c r="RTQ104" s="3"/>
      <c r="RTR104" s="3"/>
      <c r="RTS104" s="3"/>
      <c r="RTT104" s="3"/>
      <c r="RTU104" s="3"/>
      <c r="RTV104" s="3"/>
      <c r="RTW104" s="3"/>
      <c r="RTX104" s="3"/>
      <c r="RTY104" s="3"/>
      <c r="RTZ104" s="3"/>
      <c r="RUA104" s="3"/>
      <c r="RUB104" s="3"/>
      <c r="RUC104" s="3"/>
      <c r="RUD104" s="3"/>
      <c r="RUE104" s="3"/>
      <c r="RUF104" s="3"/>
      <c r="RUG104" s="3"/>
      <c r="RUH104" s="3"/>
      <c r="RUI104" s="3"/>
      <c r="RUJ104" s="3"/>
      <c r="RUK104" s="3"/>
      <c r="RUL104" s="3"/>
      <c r="RUM104" s="3"/>
      <c r="RUN104" s="3"/>
      <c r="RUO104" s="3"/>
      <c r="RUP104" s="3"/>
      <c r="RUQ104" s="3"/>
      <c r="RUR104" s="3"/>
      <c r="RUS104" s="3"/>
      <c r="RUT104" s="3"/>
      <c r="RUU104" s="3"/>
      <c r="RUV104" s="3"/>
      <c r="RUW104" s="3"/>
      <c r="RUX104" s="3"/>
      <c r="RUY104" s="3"/>
      <c r="RUZ104" s="3"/>
      <c r="RVA104" s="3"/>
      <c r="RVB104" s="3"/>
      <c r="RVC104" s="3"/>
      <c r="RVD104" s="3"/>
      <c r="RVE104" s="3"/>
      <c r="RVF104" s="3"/>
      <c r="RVG104" s="3"/>
      <c r="RVH104" s="3"/>
      <c r="RVI104" s="3"/>
      <c r="RVJ104" s="3"/>
      <c r="RVK104" s="3"/>
      <c r="RVL104" s="3"/>
      <c r="RVM104" s="3"/>
      <c r="RVN104" s="3"/>
      <c r="RVO104" s="3"/>
      <c r="RVP104" s="3"/>
      <c r="RVQ104" s="3"/>
      <c r="RVR104" s="3"/>
      <c r="RVS104" s="3"/>
      <c r="RVT104" s="3"/>
      <c r="RVU104" s="3"/>
      <c r="RVV104" s="3"/>
      <c r="RVW104" s="3"/>
      <c r="RVX104" s="3"/>
      <c r="RVY104" s="3"/>
      <c r="RVZ104" s="3"/>
      <c r="RWA104" s="3"/>
      <c r="RWB104" s="3"/>
      <c r="RWC104" s="3"/>
      <c r="RWD104" s="3"/>
      <c r="RWE104" s="3"/>
      <c r="RWF104" s="3"/>
      <c r="RWG104" s="3"/>
      <c r="RWH104" s="3"/>
      <c r="RWI104" s="3"/>
      <c r="RWJ104" s="3"/>
      <c r="RWK104" s="3"/>
      <c r="RWL104" s="3"/>
      <c r="RWM104" s="3"/>
      <c r="RWN104" s="3"/>
      <c r="RWO104" s="3"/>
      <c r="RWP104" s="3"/>
      <c r="RWQ104" s="3"/>
      <c r="RWR104" s="3"/>
      <c r="RWS104" s="3"/>
      <c r="RWT104" s="3"/>
      <c r="RWU104" s="3"/>
      <c r="RWV104" s="3"/>
      <c r="RWW104" s="3"/>
      <c r="RWX104" s="3"/>
      <c r="RWY104" s="3"/>
      <c r="RWZ104" s="3"/>
      <c r="RXA104" s="3"/>
      <c r="RXB104" s="3"/>
      <c r="RXC104" s="3"/>
      <c r="RXD104" s="3"/>
      <c r="RXE104" s="3"/>
      <c r="RXF104" s="3"/>
      <c r="RXG104" s="3"/>
      <c r="RXH104" s="3"/>
      <c r="RXI104" s="3"/>
      <c r="RXJ104" s="3"/>
      <c r="RXK104" s="3"/>
      <c r="RXL104" s="3"/>
      <c r="RXM104" s="3"/>
      <c r="RXN104" s="3"/>
      <c r="RXO104" s="3"/>
      <c r="RXP104" s="3"/>
      <c r="RXQ104" s="3"/>
      <c r="RXR104" s="3"/>
      <c r="RXS104" s="3"/>
      <c r="RXT104" s="3"/>
      <c r="RXU104" s="3"/>
      <c r="RXV104" s="3"/>
      <c r="RXW104" s="3"/>
      <c r="RXX104" s="3"/>
      <c r="RXY104" s="3"/>
      <c r="RXZ104" s="3"/>
      <c r="RYA104" s="3"/>
      <c r="RYB104" s="3"/>
      <c r="RYC104" s="3"/>
      <c r="RYD104" s="3"/>
      <c r="RYE104" s="3"/>
      <c r="RYF104" s="3"/>
      <c r="RYG104" s="3"/>
      <c r="RYH104" s="3"/>
      <c r="RYI104" s="3"/>
      <c r="RYJ104" s="3"/>
      <c r="RYK104" s="3"/>
      <c r="RYL104" s="3"/>
      <c r="RYM104" s="3"/>
      <c r="RYN104" s="3"/>
      <c r="RYO104" s="3"/>
      <c r="RYP104" s="3"/>
      <c r="RYQ104" s="3"/>
      <c r="RYR104" s="3"/>
      <c r="RYS104" s="3"/>
      <c r="RYT104" s="3"/>
      <c r="RYU104" s="3"/>
      <c r="RYV104" s="3"/>
      <c r="RYW104" s="3"/>
      <c r="RYX104" s="3"/>
      <c r="RYY104" s="3"/>
      <c r="RYZ104" s="3"/>
      <c r="RZA104" s="3"/>
      <c r="RZB104" s="3"/>
      <c r="RZC104" s="3"/>
      <c r="RZD104" s="3"/>
      <c r="RZE104" s="3"/>
      <c r="RZF104" s="3"/>
      <c r="RZG104" s="3"/>
      <c r="RZH104" s="3"/>
      <c r="RZI104" s="3"/>
      <c r="RZJ104" s="3"/>
      <c r="RZK104" s="3"/>
      <c r="RZL104" s="3"/>
      <c r="RZM104" s="3"/>
      <c r="RZN104" s="3"/>
      <c r="RZO104" s="3"/>
      <c r="RZP104" s="3"/>
      <c r="RZQ104" s="3"/>
      <c r="RZR104" s="3"/>
      <c r="RZS104" s="3"/>
      <c r="RZT104" s="3"/>
      <c r="RZU104" s="3"/>
      <c r="RZV104" s="3"/>
      <c r="RZW104" s="3"/>
      <c r="RZX104" s="3"/>
      <c r="RZY104" s="3"/>
      <c r="RZZ104" s="3"/>
      <c r="SAA104" s="3"/>
      <c r="SAB104" s="3"/>
      <c r="SAC104" s="3"/>
      <c r="SAD104" s="3"/>
      <c r="SAE104" s="3"/>
      <c r="SAF104" s="3"/>
      <c r="SAG104" s="3"/>
      <c r="SAH104" s="3"/>
      <c r="SAI104" s="3"/>
      <c r="SAJ104" s="3"/>
      <c r="SAK104" s="3"/>
      <c r="SAL104" s="3"/>
      <c r="SAM104" s="3"/>
      <c r="SAN104" s="3"/>
      <c r="SAO104" s="3"/>
      <c r="SAP104" s="3"/>
      <c r="SAQ104" s="3"/>
      <c r="SAR104" s="3"/>
      <c r="SAS104" s="3"/>
      <c r="SAT104" s="3"/>
      <c r="SAU104" s="3"/>
      <c r="SAV104" s="3"/>
      <c r="SAW104" s="3"/>
      <c r="SAX104" s="3"/>
      <c r="SAY104" s="3"/>
      <c r="SAZ104" s="3"/>
      <c r="SBA104" s="3"/>
      <c r="SBB104" s="3"/>
      <c r="SBC104" s="3"/>
      <c r="SBD104" s="3"/>
      <c r="SBE104" s="3"/>
      <c r="SBF104" s="3"/>
      <c r="SBG104" s="3"/>
      <c r="SBH104" s="3"/>
      <c r="SBI104" s="3"/>
      <c r="SBJ104" s="3"/>
      <c r="SBK104" s="3"/>
      <c r="SBL104" s="3"/>
      <c r="SBM104" s="3"/>
      <c r="SBN104" s="3"/>
      <c r="SBO104" s="3"/>
      <c r="SBP104" s="3"/>
      <c r="SBQ104" s="3"/>
      <c r="SBR104" s="3"/>
      <c r="SBS104" s="3"/>
      <c r="SBT104" s="3"/>
      <c r="SBU104" s="3"/>
      <c r="SBV104" s="3"/>
      <c r="SBW104" s="3"/>
      <c r="SBX104" s="3"/>
      <c r="SBY104" s="3"/>
      <c r="SBZ104" s="3"/>
      <c r="SCA104" s="3"/>
      <c r="SCB104" s="3"/>
      <c r="SCC104" s="3"/>
      <c r="SCD104" s="3"/>
      <c r="SCE104" s="3"/>
      <c r="SCF104" s="3"/>
      <c r="SCG104" s="3"/>
      <c r="SCH104" s="3"/>
      <c r="SCI104" s="3"/>
      <c r="SCJ104" s="3"/>
      <c r="SCK104" s="3"/>
      <c r="SCL104" s="3"/>
      <c r="SCM104" s="3"/>
      <c r="SCN104" s="3"/>
      <c r="SCO104" s="3"/>
      <c r="SCP104" s="3"/>
      <c r="SCQ104" s="3"/>
      <c r="SCR104" s="3"/>
      <c r="SCS104" s="3"/>
      <c r="SCT104" s="3"/>
      <c r="SCU104" s="3"/>
      <c r="SCV104" s="3"/>
      <c r="SCW104" s="3"/>
      <c r="SCX104" s="3"/>
      <c r="SCY104" s="3"/>
      <c r="SCZ104" s="3"/>
      <c r="SDA104" s="3"/>
      <c r="SDB104" s="3"/>
      <c r="SDC104" s="3"/>
      <c r="SDD104" s="3"/>
      <c r="SDE104" s="3"/>
      <c r="SDF104" s="3"/>
      <c r="SDG104" s="3"/>
      <c r="SDH104" s="3"/>
      <c r="SDI104" s="3"/>
      <c r="SDJ104" s="3"/>
      <c r="SDK104" s="3"/>
      <c r="SDL104" s="3"/>
      <c r="SDM104" s="3"/>
      <c r="SDN104" s="3"/>
      <c r="SDO104" s="3"/>
      <c r="SDP104" s="3"/>
      <c r="SDQ104" s="3"/>
      <c r="SDR104" s="3"/>
      <c r="SDS104" s="3"/>
      <c r="SDT104" s="3"/>
      <c r="SDU104" s="3"/>
      <c r="SDV104" s="3"/>
      <c r="SDW104" s="3"/>
      <c r="SDX104" s="3"/>
      <c r="SDY104" s="3"/>
      <c r="SDZ104" s="3"/>
      <c r="SEA104" s="3"/>
      <c r="SEB104" s="3"/>
      <c r="SEC104" s="3"/>
      <c r="SED104" s="3"/>
      <c r="SEE104" s="3"/>
      <c r="SEF104" s="3"/>
      <c r="SEG104" s="3"/>
      <c r="SEH104" s="3"/>
      <c r="SEI104" s="3"/>
      <c r="SEJ104" s="3"/>
      <c r="SEK104" s="3"/>
      <c r="SEL104" s="3"/>
      <c r="SEM104" s="3"/>
      <c r="SEN104" s="3"/>
      <c r="SEO104" s="3"/>
      <c r="SEP104" s="3"/>
      <c r="SEQ104" s="3"/>
      <c r="SER104" s="3"/>
      <c r="SES104" s="3"/>
      <c r="SET104" s="3"/>
      <c r="SEU104" s="3"/>
      <c r="SEV104" s="3"/>
      <c r="SEW104" s="3"/>
      <c r="SEX104" s="3"/>
      <c r="SEY104" s="3"/>
      <c r="SEZ104" s="3"/>
      <c r="SFA104" s="3"/>
      <c r="SFB104" s="3"/>
      <c r="SFC104" s="3"/>
      <c r="SFD104" s="3"/>
      <c r="SFE104" s="3"/>
      <c r="SFF104" s="3"/>
      <c r="SFG104" s="3"/>
      <c r="SFH104" s="3"/>
      <c r="SFI104" s="3"/>
      <c r="SFJ104" s="3"/>
      <c r="SFK104" s="3"/>
      <c r="SFL104" s="3"/>
      <c r="SFM104" s="3"/>
      <c r="SFN104" s="3"/>
      <c r="SFO104" s="3"/>
      <c r="SFP104" s="3"/>
      <c r="SFQ104" s="3"/>
      <c r="SFR104" s="3"/>
      <c r="SFS104" s="3"/>
      <c r="SFT104" s="3"/>
      <c r="SFU104" s="3"/>
      <c r="SFV104" s="3"/>
      <c r="SFW104" s="3"/>
      <c r="SFX104" s="3"/>
      <c r="SFY104" s="3"/>
      <c r="SFZ104" s="3"/>
      <c r="SGA104" s="3"/>
      <c r="SGB104" s="3"/>
      <c r="SGC104" s="3"/>
      <c r="SGD104" s="3"/>
      <c r="SGE104" s="3"/>
      <c r="SGF104" s="3"/>
      <c r="SGG104" s="3"/>
      <c r="SGH104" s="3"/>
      <c r="SGI104" s="3"/>
      <c r="SGJ104" s="3"/>
      <c r="SGK104" s="3"/>
      <c r="SGL104" s="3"/>
      <c r="SGM104" s="3"/>
      <c r="SGN104" s="3"/>
      <c r="SGO104" s="3"/>
      <c r="SGP104" s="3"/>
      <c r="SGQ104" s="3"/>
      <c r="SGR104" s="3"/>
      <c r="SGS104" s="3"/>
      <c r="SGT104" s="3"/>
      <c r="SGU104" s="3"/>
      <c r="SGV104" s="3"/>
      <c r="SGW104" s="3"/>
      <c r="SGX104" s="3"/>
      <c r="SGY104" s="3"/>
      <c r="SGZ104" s="3"/>
      <c r="SHA104" s="3"/>
      <c r="SHB104" s="3"/>
      <c r="SHC104" s="3"/>
      <c r="SHD104" s="3"/>
      <c r="SHE104" s="3"/>
      <c r="SHF104" s="3"/>
      <c r="SHG104" s="3"/>
      <c r="SHH104" s="3"/>
      <c r="SHI104" s="3"/>
      <c r="SHJ104" s="3"/>
      <c r="SHK104" s="3"/>
      <c r="SHL104" s="3"/>
      <c r="SHM104" s="3"/>
      <c r="SHN104" s="3"/>
      <c r="SHO104" s="3"/>
      <c r="SHP104" s="3"/>
      <c r="SHQ104" s="3"/>
      <c r="SHR104" s="3"/>
      <c r="SHS104" s="3"/>
      <c r="SHT104" s="3"/>
      <c r="SHU104" s="3"/>
      <c r="SHV104" s="3"/>
      <c r="SHW104" s="3"/>
      <c r="SHX104" s="3"/>
      <c r="SHY104" s="3"/>
      <c r="SHZ104" s="3"/>
      <c r="SIA104" s="3"/>
      <c r="SIB104" s="3"/>
      <c r="SIC104" s="3"/>
      <c r="SID104" s="3"/>
      <c r="SIE104" s="3"/>
      <c r="SIF104" s="3"/>
      <c r="SIG104" s="3"/>
      <c r="SIH104" s="3"/>
      <c r="SII104" s="3"/>
      <c r="SIJ104" s="3"/>
      <c r="SIK104" s="3"/>
      <c r="SIL104" s="3"/>
      <c r="SIM104" s="3"/>
      <c r="SIN104" s="3"/>
      <c r="SIO104" s="3"/>
      <c r="SIP104" s="3"/>
      <c r="SIQ104" s="3"/>
      <c r="SIR104" s="3"/>
      <c r="SIS104" s="3"/>
      <c r="SIT104" s="3"/>
      <c r="SIU104" s="3"/>
      <c r="SIV104" s="3"/>
      <c r="SIW104" s="3"/>
      <c r="SIX104" s="3"/>
      <c r="SIY104" s="3"/>
      <c r="SIZ104" s="3"/>
      <c r="SJA104" s="3"/>
      <c r="SJB104" s="3"/>
      <c r="SJC104" s="3"/>
      <c r="SJD104" s="3"/>
      <c r="SJE104" s="3"/>
      <c r="SJF104" s="3"/>
      <c r="SJG104" s="3"/>
      <c r="SJH104" s="3"/>
      <c r="SJI104" s="3"/>
      <c r="SJJ104" s="3"/>
      <c r="SJK104" s="3"/>
      <c r="SJL104" s="3"/>
      <c r="SJM104" s="3"/>
      <c r="SJN104" s="3"/>
      <c r="SJO104" s="3"/>
      <c r="SJP104" s="3"/>
      <c r="SJQ104" s="3"/>
      <c r="SJR104" s="3"/>
      <c r="SJS104" s="3"/>
      <c r="SJT104" s="3"/>
      <c r="SJU104" s="3"/>
      <c r="SJV104" s="3"/>
      <c r="SJW104" s="3"/>
      <c r="SJX104" s="3"/>
      <c r="SJY104" s="3"/>
      <c r="SJZ104" s="3"/>
      <c r="SKA104" s="3"/>
      <c r="SKB104" s="3"/>
      <c r="SKC104" s="3"/>
      <c r="SKD104" s="3"/>
      <c r="SKE104" s="3"/>
      <c r="SKF104" s="3"/>
      <c r="SKG104" s="3"/>
      <c r="SKH104" s="3"/>
      <c r="SKI104" s="3"/>
      <c r="SKJ104" s="3"/>
      <c r="SKK104" s="3"/>
      <c r="SKL104" s="3"/>
      <c r="SKM104" s="3"/>
      <c r="SKN104" s="3"/>
      <c r="SKO104" s="3"/>
      <c r="SKP104" s="3"/>
      <c r="SKQ104" s="3"/>
      <c r="SKR104" s="3"/>
      <c r="SKS104" s="3"/>
      <c r="SKT104" s="3"/>
      <c r="SKU104" s="3"/>
      <c r="SKV104" s="3"/>
      <c r="SKW104" s="3"/>
      <c r="SKX104" s="3"/>
      <c r="SKY104" s="3"/>
      <c r="SKZ104" s="3"/>
      <c r="SLA104" s="3"/>
      <c r="SLB104" s="3"/>
      <c r="SLC104" s="3"/>
      <c r="SLD104" s="3"/>
      <c r="SLE104" s="3"/>
      <c r="SLF104" s="3"/>
      <c r="SLG104" s="3"/>
      <c r="SLH104" s="3"/>
      <c r="SLI104" s="3"/>
      <c r="SLJ104" s="3"/>
      <c r="SLK104" s="3"/>
      <c r="SLL104" s="3"/>
      <c r="SLM104" s="3"/>
      <c r="SLN104" s="3"/>
      <c r="SLO104" s="3"/>
      <c r="SLP104" s="3"/>
      <c r="SLQ104" s="3"/>
      <c r="SLR104" s="3"/>
      <c r="SLS104" s="3"/>
      <c r="SLT104" s="3"/>
      <c r="SLU104" s="3"/>
      <c r="SLV104" s="3"/>
      <c r="SLW104" s="3"/>
      <c r="SLX104" s="3"/>
      <c r="SLY104" s="3"/>
      <c r="SLZ104" s="3"/>
      <c r="SMA104" s="3"/>
      <c r="SMB104" s="3"/>
      <c r="SMC104" s="3"/>
      <c r="SMD104" s="3"/>
      <c r="SME104" s="3"/>
      <c r="SMF104" s="3"/>
      <c r="SMG104" s="3"/>
      <c r="SMH104" s="3"/>
      <c r="SMI104" s="3"/>
      <c r="SMJ104" s="3"/>
      <c r="SMK104" s="3"/>
      <c r="SML104" s="3"/>
      <c r="SMM104" s="3"/>
      <c r="SMN104" s="3"/>
      <c r="SMO104" s="3"/>
      <c r="SMP104" s="3"/>
      <c r="SMQ104" s="3"/>
      <c r="SMR104" s="3"/>
      <c r="SMS104" s="3"/>
      <c r="SMT104" s="3"/>
      <c r="SMU104" s="3"/>
      <c r="SMV104" s="3"/>
      <c r="SMW104" s="3"/>
      <c r="SMX104" s="3"/>
      <c r="SMY104" s="3"/>
      <c r="SMZ104" s="3"/>
      <c r="SNA104" s="3"/>
      <c r="SNB104" s="3"/>
      <c r="SNC104" s="3"/>
      <c r="SND104" s="3"/>
      <c r="SNE104" s="3"/>
      <c r="SNF104" s="3"/>
      <c r="SNG104" s="3"/>
      <c r="SNH104" s="3"/>
      <c r="SNI104" s="3"/>
      <c r="SNJ104" s="3"/>
      <c r="SNK104" s="3"/>
      <c r="SNL104" s="3"/>
      <c r="SNM104" s="3"/>
      <c r="SNN104" s="3"/>
      <c r="SNO104" s="3"/>
      <c r="SNP104" s="3"/>
      <c r="SNQ104" s="3"/>
      <c r="SNR104" s="3"/>
      <c r="SNS104" s="3"/>
      <c r="SNT104" s="3"/>
      <c r="SNU104" s="3"/>
      <c r="SNV104" s="3"/>
      <c r="SNW104" s="3"/>
      <c r="SNX104" s="3"/>
      <c r="SNY104" s="3"/>
      <c r="SNZ104" s="3"/>
      <c r="SOA104" s="3"/>
      <c r="SOB104" s="3"/>
      <c r="SOC104" s="3"/>
      <c r="SOD104" s="3"/>
      <c r="SOE104" s="3"/>
      <c r="SOF104" s="3"/>
      <c r="SOG104" s="3"/>
      <c r="SOH104" s="3"/>
      <c r="SOI104" s="3"/>
      <c r="SOJ104" s="3"/>
      <c r="SOK104" s="3"/>
      <c r="SOL104" s="3"/>
      <c r="SOM104" s="3"/>
      <c r="SON104" s="3"/>
      <c r="SOO104" s="3"/>
      <c r="SOP104" s="3"/>
      <c r="SOQ104" s="3"/>
      <c r="SOR104" s="3"/>
      <c r="SOS104" s="3"/>
      <c r="SOT104" s="3"/>
      <c r="SOU104" s="3"/>
      <c r="SOV104" s="3"/>
      <c r="SOW104" s="3"/>
      <c r="SOX104" s="3"/>
      <c r="SOY104" s="3"/>
      <c r="SOZ104" s="3"/>
      <c r="SPA104" s="3"/>
      <c r="SPB104" s="3"/>
      <c r="SPC104" s="3"/>
      <c r="SPD104" s="3"/>
      <c r="SPE104" s="3"/>
      <c r="SPF104" s="3"/>
      <c r="SPG104" s="3"/>
      <c r="SPH104" s="3"/>
      <c r="SPI104" s="3"/>
      <c r="SPJ104" s="3"/>
      <c r="SPK104" s="3"/>
      <c r="SPL104" s="3"/>
      <c r="SPM104" s="3"/>
      <c r="SPN104" s="3"/>
      <c r="SPO104" s="3"/>
      <c r="SPP104" s="3"/>
      <c r="SPQ104" s="3"/>
      <c r="SPR104" s="3"/>
      <c r="SPS104" s="3"/>
      <c r="SPT104" s="3"/>
      <c r="SPU104" s="3"/>
      <c r="SPV104" s="3"/>
      <c r="SPW104" s="3"/>
      <c r="SPX104" s="3"/>
      <c r="SPY104" s="3"/>
      <c r="SPZ104" s="3"/>
      <c r="SQA104" s="3"/>
      <c r="SQB104" s="3"/>
      <c r="SQC104" s="3"/>
      <c r="SQD104" s="3"/>
      <c r="SQE104" s="3"/>
      <c r="SQF104" s="3"/>
      <c r="SQG104" s="3"/>
      <c r="SQH104" s="3"/>
      <c r="SQI104" s="3"/>
      <c r="SQJ104" s="3"/>
      <c r="SQK104" s="3"/>
      <c r="SQL104" s="3"/>
      <c r="SQM104" s="3"/>
      <c r="SQN104" s="3"/>
      <c r="SQO104" s="3"/>
      <c r="SQP104" s="3"/>
      <c r="SQQ104" s="3"/>
      <c r="SQR104" s="3"/>
      <c r="SQS104" s="3"/>
      <c r="SQT104" s="3"/>
      <c r="SQU104" s="3"/>
      <c r="SQV104" s="3"/>
      <c r="SQW104" s="3"/>
      <c r="SQX104" s="3"/>
      <c r="SQY104" s="3"/>
      <c r="SQZ104" s="3"/>
      <c r="SRA104" s="3"/>
      <c r="SRB104" s="3"/>
      <c r="SRC104" s="3"/>
      <c r="SRD104" s="3"/>
      <c r="SRE104" s="3"/>
      <c r="SRF104" s="3"/>
      <c r="SRG104" s="3"/>
      <c r="SRH104" s="3"/>
      <c r="SRI104" s="3"/>
      <c r="SRJ104" s="3"/>
      <c r="SRK104" s="3"/>
      <c r="SRL104" s="3"/>
      <c r="SRM104" s="3"/>
      <c r="SRN104" s="3"/>
      <c r="SRO104" s="3"/>
      <c r="SRP104" s="3"/>
      <c r="SRQ104" s="3"/>
      <c r="SRR104" s="3"/>
      <c r="SRS104" s="3"/>
      <c r="SRT104" s="3"/>
      <c r="SRU104" s="3"/>
      <c r="SRV104" s="3"/>
      <c r="SRW104" s="3"/>
      <c r="SRX104" s="3"/>
      <c r="SRY104" s="3"/>
      <c r="SRZ104" s="3"/>
      <c r="SSA104" s="3"/>
      <c r="SSB104" s="3"/>
      <c r="SSC104" s="3"/>
      <c r="SSD104" s="3"/>
      <c r="SSE104" s="3"/>
      <c r="SSF104" s="3"/>
      <c r="SSG104" s="3"/>
      <c r="SSH104" s="3"/>
      <c r="SSI104" s="3"/>
      <c r="SSJ104" s="3"/>
      <c r="SSK104" s="3"/>
      <c r="SSL104" s="3"/>
      <c r="SSM104" s="3"/>
      <c r="SSN104" s="3"/>
      <c r="SSO104" s="3"/>
      <c r="SSP104" s="3"/>
      <c r="SSQ104" s="3"/>
      <c r="SSR104" s="3"/>
      <c r="SSS104" s="3"/>
      <c r="SST104" s="3"/>
      <c r="SSU104" s="3"/>
      <c r="SSV104" s="3"/>
      <c r="SSW104" s="3"/>
      <c r="SSX104" s="3"/>
      <c r="SSY104" s="3"/>
      <c r="SSZ104" s="3"/>
      <c r="STA104" s="3"/>
      <c r="STB104" s="3"/>
      <c r="STC104" s="3"/>
      <c r="STD104" s="3"/>
      <c r="STE104" s="3"/>
      <c r="STF104" s="3"/>
      <c r="STG104" s="3"/>
      <c r="STH104" s="3"/>
      <c r="STI104" s="3"/>
      <c r="STJ104" s="3"/>
      <c r="STK104" s="3"/>
      <c r="STL104" s="3"/>
      <c r="STM104" s="3"/>
      <c r="STN104" s="3"/>
      <c r="STO104" s="3"/>
      <c r="STP104" s="3"/>
      <c r="STQ104" s="3"/>
      <c r="STR104" s="3"/>
      <c r="STS104" s="3"/>
      <c r="STT104" s="3"/>
      <c r="STU104" s="3"/>
      <c r="STV104" s="3"/>
      <c r="STW104" s="3"/>
      <c r="STX104" s="3"/>
      <c r="STY104" s="3"/>
      <c r="STZ104" s="3"/>
      <c r="SUA104" s="3"/>
      <c r="SUB104" s="3"/>
      <c r="SUC104" s="3"/>
      <c r="SUD104" s="3"/>
      <c r="SUE104" s="3"/>
      <c r="SUF104" s="3"/>
      <c r="SUG104" s="3"/>
      <c r="SUH104" s="3"/>
      <c r="SUI104" s="3"/>
      <c r="SUJ104" s="3"/>
      <c r="SUK104" s="3"/>
      <c r="SUL104" s="3"/>
      <c r="SUM104" s="3"/>
      <c r="SUN104" s="3"/>
      <c r="SUO104" s="3"/>
      <c r="SUP104" s="3"/>
      <c r="SUQ104" s="3"/>
      <c r="SUR104" s="3"/>
      <c r="SUS104" s="3"/>
      <c r="SUT104" s="3"/>
      <c r="SUU104" s="3"/>
      <c r="SUV104" s="3"/>
      <c r="SUW104" s="3"/>
      <c r="SUX104" s="3"/>
      <c r="SUY104" s="3"/>
      <c r="SUZ104" s="3"/>
      <c r="SVA104" s="3"/>
      <c r="SVB104" s="3"/>
      <c r="SVC104" s="3"/>
      <c r="SVD104" s="3"/>
      <c r="SVE104" s="3"/>
      <c r="SVF104" s="3"/>
      <c r="SVG104" s="3"/>
      <c r="SVH104" s="3"/>
      <c r="SVI104" s="3"/>
      <c r="SVJ104" s="3"/>
      <c r="SVK104" s="3"/>
      <c r="SVL104" s="3"/>
      <c r="SVM104" s="3"/>
      <c r="SVN104" s="3"/>
      <c r="SVO104" s="3"/>
      <c r="SVP104" s="3"/>
      <c r="SVQ104" s="3"/>
      <c r="SVR104" s="3"/>
      <c r="SVS104" s="3"/>
      <c r="SVT104" s="3"/>
      <c r="SVU104" s="3"/>
      <c r="SVV104" s="3"/>
      <c r="SVW104" s="3"/>
      <c r="SVX104" s="3"/>
      <c r="SVY104" s="3"/>
      <c r="SVZ104" s="3"/>
      <c r="SWA104" s="3"/>
      <c r="SWB104" s="3"/>
      <c r="SWC104" s="3"/>
      <c r="SWD104" s="3"/>
      <c r="SWE104" s="3"/>
      <c r="SWF104" s="3"/>
      <c r="SWG104" s="3"/>
      <c r="SWH104" s="3"/>
      <c r="SWI104" s="3"/>
      <c r="SWJ104" s="3"/>
      <c r="SWK104" s="3"/>
      <c r="SWL104" s="3"/>
      <c r="SWM104" s="3"/>
      <c r="SWN104" s="3"/>
      <c r="SWO104" s="3"/>
      <c r="SWP104" s="3"/>
      <c r="SWQ104" s="3"/>
      <c r="SWR104" s="3"/>
      <c r="SWS104" s="3"/>
      <c r="SWT104" s="3"/>
      <c r="SWU104" s="3"/>
      <c r="SWV104" s="3"/>
      <c r="SWW104" s="3"/>
      <c r="SWX104" s="3"/>
      <c r="SWY104" s="3"/>
      <c r="SWZ104" s="3"/>
      <c r="SXA104" s="3"/>
      <c r="SXB104" s="3"/>
      <c r="SXC104" s="3"/>
      <c r="SXD104" s="3"/>
      <c r="SXE104" s="3"/>
      <c r="SXF104" s="3"/>
      <c r="SXG104" s="3"/>
      <c r="SXH104" s="3"/>
      <c r="SXI104" s="3"/>
      <c r="SXJ104" s="3"/>
      <c r="SXK104" s="3"/>
      <c r="SXL104" s="3"/>
      <c r="SXM104" s="3"/>
      <c r="SXN104" s="3"/>
      <c r="SXO104" s="3"/>
      <c r="SXP104" s="3"/>
      <c r="SXQ104" s="3"/>
      <c r="SXR104" s="3"/>
      <c r="SXS104" s="3"/>
      <c r="SXT104" s="3"/>
      <c r="SXU104" s="3"/>
      <c r="SXV104" s="3"/>
      <c r="SXW104" s="3"/>
      <c r="SXX104" s="3"/>
      <c r="SXY104" s="3"/>
      <c r="SXZ104" s="3"/>
      <c r="SYA104" s="3"/>
      <c r="SYB104" s="3"/>
      <c r="SYC104" s="3"/>
      <c r="SYD104" s="3"/>
      <c r="SYE104" s="3"/>
      <c r="SYF104" s="3"/>
      <c r="SYG104" s="3"/>
      <c r="SYH104" s="3"/>
      <c r="SYI104" s="3"/>
      <c r="SYJ104" s="3"/>
      <c r="SYK104" s="3"/>
      <c r="SYL104" s="3"/>
      <c r="SYM104" s="3"/>
      <c r="SYN104" s="3"/>
      <c r="SYO104" s="3"/>
      <c r="SYP104" s="3"/>
      <c r="SYQ104" s="3"/>
      <c r="SYR104" s="3"/>
      <c r="SYS104" s="3"/>
      <c r="SYT104" s="3"/>
      <c r="SYU104" s="3"/>
      <c r="SYV104" s="3"/>
      <c r="SYW104" s="3"/>
      <c r="SYX104" s="3"/>
      <c r="SYY104" s="3"/>
      <c r="SYZ104" s="3"/>
      <c r="SZA104" s="3"/>
      <c r="SZB104" s="3"/>
      <c r="SZC104" s="3"/>
      <c r="SZD104" s="3"/>
      <c r="SZE104" s="3"/>
      <c r="SZF104" s="3"/>
      <c r="SZG104" s="3"/>
      <c r="SZH104" s="3"/>
      <c r="SZI104" s="3"/>
      <c r="SZJ104" s="3"/>
      <c r="SZK104" s="3"/>
      <c r="SZL104" s="3"/>
      <c r="SZM104" s="3"/>
      <c r="SZN104" s="3"/>
      <c r="SZO104" s="3"/>
      <c r="SZP104" s="3"/>
      <c r="SZQ104" s="3"/>
      <c r="SZR104" s="3"/>
      <c r="SZS104" s="3"/>
      <c r="SZT104" s="3"/>
      <c r="SZU104" s="3"/>
      <c r="SZV104" s="3"/>
      <c r="SZW104" s="3"/>
      <c r="SZX104" s="3"/>
      <c r="SZY104" s="3"/>
      <c r="SZZ104" s="3"/>
      <c r="TAA104" s="3"/>
      <c r="TAB104" s="3"/>
      <c r="TAC104" s="3"/>
      <c r="TAD104" s="3"/>
      <c r="TAE104" s="3"/>
      <c r="TAF104" s="3"/>
      <c r="TAG104" s="3"/>
      <c r="TAH104" s="3"/>
      <c r="TAI104" s="3"/>
      <c r="TAJ104" s="3"/>
      <c r="TAK104" s="3"/>
      <c r="TAL104" s="3"/>
      <c r="TAM104" s="3"/>
      <c r="TAN104" s="3"/>
      <c r="TAO104" s="3"/>
      <c r="TAP104" s="3"/>
      <c r="TAQ104" s="3"/>
      <c r="TAR104" s="3"/>
      <c r="TAS104" s="3"/>
      <c r="TAT104" s="3"/>
      <c r="TAU104" s="3"/>
      <c r="TAV104" s="3"/>
      <c r="TAW104" s="3"/>
      <c r="TAX104" s="3"/>
      <c r="TAY104" s="3"/>
      <c r="TAZ104" s="3"/>
      <c r="TBA104" s="3"/>
      <c r="TBB104" s="3"/>
      <c r="TBC104" s="3"/>
      <c r="TBD104" s="3"/>
      <c r="TBE104" s="3"/>
      <c r="TBF104" s="3"/>
      <c r="TBG104" s="3"/>
      <c r="TBH104" s="3"/>
      <c r="TBI104" s="3"/>
      <c r="TBJ104" s="3"/>
      <c r="TBK104" s="3"/>
      <c r="TBL104" s="3"/>
      <c r="TBM104" s="3"/>
      <c r="TBN104" s="3"/>
      <c r="TBO104" s="3"/>
      <c r="TBP104" s="3"/>
      <c r="TBQ104" s="3"/>
      <c r="TBR104" s="3"/>
      <c r="TBS104" s="3"/>
      <c r="TBT104" s="3"/>
      <c r="TBU104" s="3"/>
      <c r="TBV104" s="3"/>
      <c r="TBW104" s="3"/>
      <c r="TBX104" s="3"/>
      <c r="TBY104" s="3"/>
      <c r="TBZ104" s="3"/>
      <c r="TCA104" s="3"/>
      <c r="TCB104" s="3"/>
      <c r="TCC104" s="3"/>
      <c r="TCD104" s="3"/>
      <c r="TCE104" s="3"/>
      <c r="TCF104" s="3"/>
      <c r="TCG104" s="3"/>
      <c r="TCH104" s="3"/>
      <c r="TCI104" s="3"/>
      <c r="TCJ104" s="3"/>
      <c r="TCK104" s="3"/>
      <c r="TCL104" s="3"/>
      <c r="TCM104" s="3"/>
      <c r="TCN104" s="3"/>
      <c r="TCO104" s="3"/>
      <c r="TCP104" s="3"/>
      <c r="TCQ104" s="3"/>
      <c r="TCR104" s="3"/>
      <c r="TCS104" s="3"/>
      <c r="TCT104" s="3"/>
      <c r="TCU104" s="3"/>
      <c r="TCV104" s="3"/>
      <c r="TCW104" s="3"/>
      <c r="TCX104" s="3"/>
      <c r="TCY104" s="3"/>
      <c r="TCZ104" s="3"/>
      <c r="TDA104" s="3"/>
      <c r="TDB104" s="3"/>
      <c r="TDC104" s="3"/>
      <c r="TDD104" s="3"/>
      <c r="TDE104" s="3"/>
      <c r="TDF104" s="3"/>
      <c r="TDG104" s="3"/>
      <c r="TDH104" s="3"/>
      <c r="TDI104" s="3"/>
      <c r="TDJ104" s="3"/>
      <c r="TDK104" s="3"/>
      <c r="TDL104" s="3"/>
      <c r="TDM104" s="3"/>
      <c r="TDN104" s="3"/>
      <c r="TDO104" s="3"/>
      <c r="TDP104" s="3"/>
      <c r="TDQ104" s="3"/>
      <c r="TDR104" s="3"/>
      <c r="TDS104" s="3"/>
      <c r="TDT104" s="3"/>
      <c r="TDU104" s="3"/>
      <c r="TDV104" s="3"/>
      <c r="TDW104" s="3"/>
      <c r="TDX104" s="3"/>
      <c r="TDY104" s="3"/>
      <c r="TDZ104" s="3"/>
      <c r="TEA104" s="3"/>
      <c r="TEB104" s="3"/>
      <c r="TEC104" s="3"/>
      <c r="TED104" s="3"/>
      <c r="TEE104" s="3"/>
      <c r="TEF104" s="3"/>
      <c r="TEG104" s="3"/>
      <c r="TEH104" s="3"/>
      <c r="TEI104" s="3"/>
      <c r="TEJ104" s="3"/>
      <c r="TEK104" s="3"/>
      <c r="TEL104" s="3"/>
      <c r="TEM104" s="3"/>
      <c r="TEN104" s="3"/>
      <c r="TEO104" s="3"/>
      <c r="TEP104" s="3"/>
      <c r="TEQ104" s="3"/>
      <c r="TER104" s="3"/>
      <c r="TES104" s="3"/>
      <c r="TET104" s="3"/>
      <c r="TEU104" s="3"/>
      <c r="TEV104" s="3"/>
      <c r="TEW104" s="3"/>
      <c r="TEX104" s="3"/>
      <c r="TEY104" s="3"/>
      <c r="TEZ104" s="3"/>
      <c r="TFA104" s="3"/>
      <c r="TFB104" s="3"/>
      <c r="TFC104" s="3"/>
      <c r="TFD104" s="3"/>
      <c r="TFE104" s="3"/>
      <c r="TFF104" s="3"/>
      <c r="TFG104" s="3"/>
      <c r="TFH104" s="3"/>
      <c r="TFI104" s="3"/>
      <c r="TFJ104" s="3"/>
      <c r="TFK104" s="3"/>
      <c r="TFL104" s="3"/>
      <c r="TFM104" s="3"/>
      <c r="TFN104" s="3"/>
      <c r="TFO104" s="3"/>
      <c r="TFP104" s="3"/>
      <c r="TFQ104" s="3"/>
      <c r="TFR104" s="3"/>
      <c r="TFS104" s="3"/>
      <c r="TFT104" s="3"/>
      <c r="TFU104" s="3"/>
      <c r="TFV104" s="3"/>
      <c r="TFW104" s="3"/>
      <c r="TFX104" s="3"/>
      <c r="TFY104" s="3"/>
      <c r="TFZ104" s="3"/>
      <c r="TGA104" s="3"/>
      <c r="TGB104" s="3"/>
      <c r="TGC104" s="3"/>
      <c r="TGD104" s="3"/>
      <c r="TGE104" s="3"/>
      <c r="TGF104" s="3"/>
      <c r="TGG104" s="3"/>
      <c r="TGH104" s="3"/>
      <c r="TGI104" s="3"/>
      <c r="TGJ104" s="3"/>
      <c r="TGK104" s="3"/>
      <c r="TGL104" s="3"/>
      <c r="TGM104" s="3"/>
      <c r="TGN104" s="3"/>
      <c r="TGO104" s="3"/>
      <c r="TGP104" s="3"/>
      <c r="TGQ104" s="3"/>
      <c r="TGR104" s="3"/>
      <c r="TGS104" s="3"/>
      <c r="TGT104" s="3"/>
      <c r="TGU104" s="3"/>
      <c r="TGV104" s="3"/>
      <c r="TGW104" s="3"/>
      <c r="TGX104" s="3"/>
      <c r="TGY104" s="3"/>
      <c r="TGZ104" s="3"/>
      <c r="THA104" s="3"/>
      <c r="THB104" s="3"/>
      <c r="THC104" s="3"/>
      <c r="THD104" s="3"/>
      <c r="THE104" s="3"/>
      <c r="THF104" s="3"/>
      <c r="THG104" s="3"/>
      <c r="THH104" s="3"/>
      <c r="THI104" s="3"/>
      <c r="THJ104" s="3"/>
      <c r="THK104" s="3"/>
      <c r="THL104" s="3"/>
      <c r="THM104" s="3"/>
      <c r="THN104" s="3"/>
      <c r="THO104" s="3"/>
      <c r="THP104" s="3"/>
      <c r="THQ104" s="3"/>
      <c r="THR104" s="3"/>
      <c r="THS104" s="3"/>
      <c r="THT104" s="3"/>
      <c r="THU104" s="3"/>
      <c r="THV104" s="3"/>
      <c r="THW104" s="3"/>
      <c r="THX104" s="3"/>
      <c r="THY104" s="3"/>
      <c r="THZ104" s="3"/>
      <c r="TIA104" s="3"/>
      <c r="TIB104" s="3"/>
      <c r="TIC104" s="3"/>
      <c r="TID104" s="3"/>
      <c r="TIE104" s="3"/>
      <c r="TIF104" s="3"/>
      <c r="TIG104" s="3"/>
      <c r="TIH104" s="3"/>
      <c r="TII104" s="3"/>
      <c r="TIJ104" s="3"/>
      <c r="TIK104" s="3"/>
      <c r="TIL104" s="3"/>
      <c r="TIM104" s="3"/>
      <c r="TIN104" s="3"/>
      <c r="TIO104" s="3"/>
      <c r="TIP104" s="3"/>
      <c r="TIQ104" s="3"/>
      <c r="TIR104" s="3"/>
      <c r="TIS104" s="3"/>
      <c r="TIT104" s="3"/>
      <c r="TIU104" s="3"/>
      <c r="TIV104" s="3"/>
      <c r="TIW104" s="3"/>
      <c r="TIX104" s="3"/>
      <c r="TIY104" s="3"/>
      <c r="TIZ104" s="3"/>
      <c r="TJA104" s="3"/>
      <c r="TJB104" s="3"/>
      <c r="TJC104" s="3"/>
      <c r="TJD104" s="3"/>
      <c r="TJE104" s="3"/>
      <c r="TJF104" s="3"/>
      <c r="TJG104" s="3"/>
      <c r="TJH104" s="3"/>
      <c r="TJI104" s="3"/>
      <c r="TJJ104" s="3"/>
      <c r="TJK104" s="3"/>
      <c r="TJL104" s="3"/>
      <c r="TJM104" s="3"/>
      <c r="TJN104" s="3"/>
      <c r="TJO104" s="3"/>
      <c r="TJP104" s="3"/>
      <c r="TJQ104" s="3"/>
      <c r="TJR104" s="3"/>
      <c r="TJS104" s="3"/>
      <c r="TJT104" s="3"/>
      <c r="TJU104" s="3"/>
      <c r="TJV104" s="3"/>
      <c r="TJW104" s="3"/>
      <c r="TJX104" s="3"/>
      <c r="TJY104" s="3"/>
      <c r="TJZ104" s="3"/>
      <c r="TKA104" s="3"/>
      <c r="TKB104" s="3"/>
      <c r="TKC104" s="3"/>
      <c r="TKD104" s="3"/>
      <c r="TKE104" s="3"/>
      <c r="TKF104" s="3"/>
      <c r="TKG104" s="3"/>
      <c r="TKH104" s="3"/>
      <c r="TKI104" s="3"/>
      <c r="TKJ104" s="3"/>
      <c r="TKK104" s="3"/>
      <c r="TKL104" s="3"/>
      <c r="TKM104" s="3"/>
      <c r="TKN104" s="3"/>
      <c r="TKO104" s="3"/>
      <c r="TKP104" s="3"/>
      <c r="TKQ104" s="3"/>
      <c r="TKR104" s="3"/>
      <c r="TKS104" s="3"/>
      <c r="TKT104" s="3"/>
      <c r="TKU104" s="3"/>
      <c r="TKV104" s="3"/>
      <c r="TKW104" s="3"/>
      <c r="TKX104" s="3"/>
      <c r="TKY104" s="3"/>
      <c r="TKZ104" s="3"/>
      <c r="TLA104" s="3"/>
      <c r="TLB104" s="3"/>
      <c r="TLC104" s="3"/>
      <c r="TLD104" s="3"/>
      <c r="TLE104" s="3"/>
      <c r="TLF104" s="3"/>
      <c r="TLG104" s="3"/>
      <c r="TLH104" s="3"/>
      <c r="TLI104" s="3"/>
      <c r="TLJ104" s="3"/>
      <c r="TLK104" s="3"/>
      <c r="TLL104" s="3"/>
      <c r="TLM104" s="3"/>
      <c r="TLN104" s="3"/>
      <c r="TLO104" s="3"/>
      <c r="TLP104" s="3"/>
      <c r="TLQ104" s="3"/>
      <c r="TLR104" s="3"/>
      <c r="TLS104" s="3"/>
      <c r="TLT104" s="3"/>
      <c r="TLU104" s="3"/>
      <c r="TLV104" s="3"/>
      <c r="TLW104" s="3"/>
      <c r="TLX104" s="3"/>
      <c r="TLY104" s="3"/>
      <c r="TLZ104" s="3"/>
      <c r="TMA104" s="3"/>
      <c r="TMB104" s="3"/>
      <c r="TMC104" s="3"/>
      <c r="TMD104" s="3"/>
      <c r="TME104" s="3"/>
      <c r="TMF104" s="3"/>
      <c r="TMG104" s="3"/>
      <c r="TMH104" s="3"/>
      <c r="TMI104" s="3"/>
      <c r="TMJ104" s="3"/>
      <c r="TMK104" s="3"/>
      <c r="TML104" s="3"/>
      <c r="TMM104" s="3"/>
      <c r="TMN104" s="3"/>
      <c r="TMO104" s="3"/>
      <c r="TMP104" s="3"/>
      <c r="TMQ104" s="3"/>
      <c r="TMR104" s="3"/>
      <c r="TMS104" s="3"/>
      <c r="TMT104" s="3"/>
      <c r="TMU104" s="3"/>
      <c r="TMV104" s="3"/>
      <c r="TMW104" s="3"/>
      <c r="TMX104" s="3"/>
      <c r="TMY104" s="3"/>
      <c r="TMZ104" s="3"/>
      <c r="TNA104" s="3"/>
      <c r="TNB104" s="3"/>
      <c r="TNC104" s="3"/>
      <c r="TND104" s="3"/>
      <c r="TNE104" s="3"/>
      <c r="TNF104" s="3"/>
      <c r="TNG104" s="3"/>
      <c r="TNH104" s="3"/>
      <c r="TNI104" s="3"/>
      <c r="TNJ104" s="3"/>
      <c r="TNK104" s="3"/>
      <c r="TNL104" s="3"/>
      <c r="TNM104" s="3"/>
      <c r="TNN104" s="3"/>
      <c r="TNO104" s="3"/>
      <c r="TNP104" s="3"/>
      <c r="TNQ104" s="3"/>
      <c r="TNR104" s="3"/>
      <c r="TNS104" s="3"/>
      <c r="TNT104" s="3"/>
      <c r="TNU104" s="3"/>
      <c r="TNV104" s="3"/>
      <c r="TNW104" s="3"/>
      <c r="TNX104" s="3"/>
      <c r="TNY104" s="3"/>
      <c r="TNZ104" s="3"/>
      <c r="TOA104" s="3"/>
      <c r="TOB104" s="3"/>
      <c r="TOC104" s="3"/>
      <c r="TOD104" s="3"/>
      <c r="TOE104" s="3"/>
      <c r="TOF104" s="3"/>
      <c r="TOG104" s="3"/>
      <c r="TOH104" s="3"/>
      <c r="TOI104" s="3"/>
      <c r="TOJ104" s="3"/>
      <c r="TOK104" s="3"/>
      <c r="TOL104" s="3"/>
      <c r="TOM104" s="3"/>
      <c r="TON104" s="3"/>
      <c r="TOO104" s="3"/>
      <c r="TOP104" s="3"/>
      <c r="TOQ104" s="3"/>
      <c r="TOR104" s="3"/>
      <c r="TOS104" s="3"/>
      <c r="TOT104" s="3"/>
      <c r="TOU104" s="3"/>
      <c r="TOV104" s="3"/>
      <c r="TOW104" s="3"/>
      <c r="TOX104" s="3"/>
      <c r="TOY104" s="3"/>
      <c r="TOZ104" s="3"/>
      <c r="TPA104" s="3"/>
      <c r="TPB104" s="3"/>
      <c r="TPC104" s="3"/>
      <c r="TPD104" s="3"/>
      <c r="TPE104" s="3"/>
      <c r="TPF104" s="3"/>
      <c r="TPG104" s="3"/>
      <c r="TPH104" s="3"/>
      <c r="TPI104" s="3"/>
      <c r="TPJ104" s="3"/>
      <c r="TPK104" s="3"/>
      <c r="TPL104" s="3"/>
      <c r="TPM104" s="3"/>
      <c r="TPN104" s="3"/>
      <c r="TPO104" s="3"/>
      <c r="TPP104" s="3"/>
      <c r="TPQ104" s="3"/>
      <c r="TPR104" s="3"/>
      <c r="TPS104" s="3"/>
      <c r="TPT104" s="3"/>
      <c r="TPU104" s="3"/>
      <c r="TPV104" s="3"/>
      <c r="TPW104" s="3"/>
      <c r="TPX104" s="3"/>
      <c r="TPY104" s="3"/>
      <c r="TPZ104" s="3"/>
      <c r="TQA104" s="3"/>
      <c r="TQB104" s="3"/>
      <c r="TQC104" s="3"/>
      <c r="TQD104" s="3"/>
      <c r="TQE104" s="3"/>
      <c r="TQF104" s="3"/>
      <c r="TQG104" s="3"/>
      <c r="TQH104" s="3"/>
      <c r="TQI104" s="3"/>
      <c r="TQJ104" s="3"/>
      <c r="TQK104" s="3"/>
      <c r="TQL104" s="3"/>
      <c r="TQM104" s="3"/>
      <c r="TQN104" s="3"/>
      <c r="TQO104" s="3"/>
      <c r="TQP104" s="3"/>
      <c r="TQQ104" s="3"/>
      <c r="TQR104" s="3"/>
      <c r="TQS104" s="3"/>
      <c r="TQT104" s="3"/>
      <c r="TQU104" s="3"/>
      <c r="TQV104" s="3"/>
      <c r="TQW104" s="3"/>
      <c r="TQX104" s="3"/>
      <c r="TQY104" s="3"/>
      <c r="TQZ104" s="3"/>
      <c r="TRA104" s="3"/>
      <c r="TRB104" s="3"/>
      <c r="TRC104" s="3"/>
      <c r="TRD104" s="3"/>
      <c r="TRE104" s="3"/>
      <c r="TRF104" s="3"/>
      <c r="TRG104" s="3"/>
      <c r="TRH104" s="3"/>
      <c r="TRI104" s="3"/>
      <c r="TRJ104" s="3"/>
      <c r="TRK104" s="3"/>
      <c r="TRL104" s="3"/>
      <c r="TRM104" s="3"/>
      <c r="TRN104" s="3"/>
      <c r="TRO104" s="3"/>
      <c r="TRP104" s="3"/>
      <c r="TRQ104" s="3"/>
      <c r="TRR104" s="3"/>
      <c r="TRS104" s="3"/>
      <c r="TRT104" s="3"/>
      <c r="TRU104" s="3"/>
      <c r="TRV104" s="3"/>
      <c r="TRW104" s="3"/>
      <c r="TRX104" s="3"/>
      <c r="TRY104" s="3"/>
      <c r="TRZ104" s="3"/>
      <c r="TSA104" s="3"/>
      <c r="TSB104" s="3"/>
      <c r="TSC104" s="3"/>
      <c r="TSD104" s="3"/>
      <c r="TSE104" s="3"/>
      <c r="TSF104" s="3"/>
      <c r="TSG104" s="3"/>
      <c r="TSH104" s="3"/>
      <c r="TSI104" s="3"/>
      <c r="TSJ104" s="3"/>
      <c r="TSK104" s="3"/>
      <c r="TSL104" s="3"/>
      <c r="TSM104" s="3"/>
      <c r="TSN104" s="3"/>
      <c r="TSO104" s="3"/>
      <c r="TSP104" s="3"/>
      <c r="TSQ104" s="3"/>
      <c r="TSR104" s="3"/>
      <c r="TSS104" s="3"/>
      <c r="TST104" s="3"/>
      <c r="TSU104" s="3"/>
      <c r="TSV104" s="3"/>
      <c r="TSW104" s="3"/>
      <c r="TSX104" s="3"/>
      <c r="TSY104" s="3"/>
      <c r="TSZ104" s="3"/>
      <c r="TTA104" s="3"/>
      <c r="TTB104" s="3"/>
      <c r="TTC104" s="3"/>
      <c r="TTD104" s="3"/>
      <c r="TTE104" s="3"/>
      <c r="TTF104" s="3"/>
      <c r="TTG104" s="3"/>
      <c r="TTH104" s="3"/>
      <c r="TTI104" s="3"/>
      <c r="TTJ104" s="3"/>
      <c r="TTK104" s="3"/>
      <c r="TTL104" s="3"/>
      <c r="TTM104" s="3"/>
      <c r="TTN104" s="3"/>
      <c r="TTO104" s="3"/>
      <c r="TTP104" s="3"/>
      <c r="TTQ104" s="3"/>
      <c r="TTR104" s="3"/>
      <c r="TTS104" s="3"/>
      <c r="TTT104" s="3"/>
      <c r="TTU104" s="3"/>
      <c r="TTV104" s="3"/>
      <c r="TTW104" s="3"/>
      <c r="TTX104" s="3"/>
      <c r="TTY104" s="3"/>
      <c r="TTZ104" s="3"/>
      <c r="TUA104" s="3"/>
      <c r="TUB104" s="3"/>
      <c r="TUC104" s="3"/>
      <c r="TUD104" s="3"/>
      <c r="TUE104" s="3"/>
      <c r="TUF104" s="3"/>
      <c r="TUG104" s="3"/>
      <c r="TUH104" s="3"/>
      <c r="TUI104" s="3"/>
      <c r="TUJ104" s="3"/>
      <c r="TUK104" s="3"/>
      <c r="TUL104" s="3"/>
      <c r="TUM104" s="3"/>
      <c r="TUN104" s="3"/>
      <c r="TUO104" s="3"/>
      <c r="TUP104" s="3"/>
      <c r="TUQ104" s="3"/>
      <c r="TUR104" s="3"/>
      <c r="TUS104" s="3"/>
      <c r="TUT104" s="3"/>
      <c r="TUU104" s="3"/>
      <c r="TUV104" s="3"/>
      <c r="TUW104" s="3"/>
      <c r="TUX104" s="3"/>
      <c r="TUY104" s="3"/>
      <c r="TUZ104" s="3"/>
      <c r="TVA104" s="3"/>
      <c r="TVB104" s="3"/>
      <c r="TVC104" s="3"/>
      <c r="TVD104" s="3"/>
      <c r="TVE104" s="3"/>
      <c r="TVF104" s="3"/>
      <c r="TVG104" s="3"/>
      <c r="TVH104" s="3"/>
      <c r="TVI104" s="3"/>
      <c r="TVJ104" s="3"/>
      <c r="TVK104" s="3"/>
      <c r="TVL104" s="3"/>
      <c r="TVM104" s="3"/>
      <c r="TVN104" s="3"/>
      <c r="TVO104" s="3"/>
      <c r="TVP104" s="3"/>
      <c r="TVQ104" s="3"/>
      <c r="TVR104" s="3"/>
      <c r="TVS104" s="3"/>
      <c r="TVT104" s="3"/>
      <c r="TVU104" s="3"/>
      <c r="TVV104" s="3"/>
      <c r="TVW104" s="3"/>
      <c r="TVX104" s="3"/>
      <c r="TVY104" s="3"/>
      <c r="TVZ104" s="3"/>
      <c r="TWA104" s="3"/>
      <c r="TWB104" s="3"/>
      <c r="TWC104" s="3"/>
      <c r="TWD104" s="3"/>
      <c r="TWE104" s="3"/>
      <c r="TWF104" s="3"/>
      <c r="TWG104" s="3"/>
      <c r="TWH104" s="3"/>
      <c r="TWI104" s="3"/>
      <c r="TWJ104" s="3"/>
      <c r="TWK104" s="3"/>
      <c r="TWL104" s="3"/>
      <c r="TWM104" s="3"/>
      <c r="TWN104" s="3"/>
      <c r="TWO104" s="3"/>
      <c r="TWP104" s="3"/>
      <c r="TWQ104" s="3"/>
      <c r="TWR104" s="3"/>
      <c r="TWS104" s="3"/>
      <c r="TWT104" s="3"/>
      <c r="TWU104" s="3"/>
      <c r="TWV104" s="3"/>
      <c r="TWW104" s="3"/>
      <c r="TWX104" s="3"/>
      <c r="TWY104" s="3"/>
      <c r="TWZ104" s="3"/>
      <c r="TXA104" s="3"/>
      <c r="TXB104" s="3"/>
      <c r="TXC104" s="3"/>
      <c r="TXD104" s="3"/>
      <c r="TXE104" s="3"/>
      <c r="TXF104" s="3"/>
      <c r="TXG104" s="3"/>
      <c r="TXH104" s="3"/>
      <c r="TXI104" s="3"/>
      <c r="TXJ104" s="3"/>
      <c r="TXK104" s="3"/>
      <c r="TXL104" s="3"/>
      <c r="TXM104" s="3"/>
      <c r="TXN104" s="3"/>
      <c r="TXO104" s="3"/>
      <c r="TXP104" s="3"/>
      <c r="TXQ104" s="3"/>
      <c r="TXR104" s="3"/>
      <c r="TXS104" s="3"/>
      <c r="TXT104" s="3"/>
      <c r="TXU104" s="3"/>
      <c r="TXV104" s="3"/>
      <c r="TXW104" s="3"/>
      <c r="TXX104" s="3"/>
      <c r="TXY104" s="3"/>
      <c r="TXZ104" s="3"/>
      <c r="TYA104" s="3"/>
      <c r="TYB104" s="3"/>
      <c r="TYC104" s="3"/>
      <c r="TYD104" s="3"/>
      <c r="TYE104" s="3"/>
      <c r="TYF104" s="3"/>
      <c r="TYG104" s="3"/>
      <c r="TYH104" s="3"/>
      <c r="TYI104" s="3"/>
      <c r="TYJ104" s="3"/>
      <c r="TYK104" s="3"/>
      <c r="TYL104" s="3"/>
      <c r="TYM104" s="3"/>
      <c r="TYN104" s="3"/>
      <c r="TYO104" s="3"/>
      <c r="TYP104" s="3"/>
      <c r="TYQ104" s="3"/>
      <c r="TYR104" s="3"/>
      <c r="TYS104" s="3"/>
      <c r="TYT104" s="3"/>
      <c r="TYU104" s="3"/>
      <c r="TYV104" s="3"/>
      <c r="TYW104" s="3"/>
      <c r="TYX104" s="3"/>
      <c r="TYY104" s="3"/>
      <c r="TYZ104" s="3"/>
      <c r="TZA104" s="3"/>
      <c r="TZB104" s="3"/>
      <c r="TZC104" s="3"/>
      <c r="TZD104" s="3"/>
      <c r="TZE104" s="3"/>
      <c r="TZF104" s="3"/>
      <c r="TZG104" s="3"/>
      <c r="TZH104" s="3"/>
      <c r="TZI104" s="3"/>
      <c r="TZJ104" s="3"/>
      <c r="TZK104" s="3"/>
      <c r="TZL104" s="3"/>
      <c r="TZM104" s="3"/>
      <c r="TZN104" s="3"/>
      <c r="TZO104" s="3"/>
      <c r="TZP104" s="3"/>
      <c r="TZQ104" s="3"/>
      <c r="TZR104" s="3"/>
      <c r="TZS104" s="3"/>
      <c r="TZT104" s="3"/>
      <c r="TZU104" s="3"/>
      <c r="TZV104" s="3"/>
      <c r="TZW104" s="3"/>
      <c r="TZX104" s="3"/>
      <c r="TZY104" s="3"/>
      <c r="TZZ104" s="3"/>
      <c r="UAA104" s="3"/>
      <c r="UAB104" s="3"/>
      <c r="UAC104" s="3"/>
      <c r="UAD104" s="3"/>
      <c r="UAE104" s="3"/>
      <c r="UAF104" s="3"/>
      <c r="UAG104" s="3"/>
      <c r="UAH104" s="3"/>
      <c r="UAI104" s="3"/>
      <c r="UAJ104" s="3"/>
      <c r="UAK104" s="3"/>
      <c r="UAL104" s="3"/>
      <c r="UAM104" s="3"/>
      <c r="UAN104" s="3"/>
      <c r="UAO104" s="3"/>
      <c r="UAP104" s="3"/>
      <c r="UAQ104" s="3"/>
      <c r="UAR104" s="3"/>
      <c r="UAS104" s="3"/>
      <c r="UAT104" s="3"/>
      <c r="UAU104" s="3"/>
      <c r="UAV104" s="3"/>
      <c r="UAW104" s="3"/>
      <c r="UAX104" s="3"/>
      <c r="UAY104" s="3"/>
      <c r="UAZ104" s="3"/>
      <c r="UBA104" s="3"/>
      <c r="UBB104" s="3"/>
      <c r="UBC104" s="3"/>
      <c r="UBD104" s="3"/>
      <c r="UBE104" s="3"/>
      <c r="UBF104" s="3"/>
      <c r="UBG104" s="3"/>
      <c r="UBH104" s="3"/>
      <c r="UBI104" s="3"/>
      <c r="UBJ104" s="3"/>
      <c r="UBK104" s="3"/>
      <c r="UBL104" s="3"/>
      <c r="UBM104" s="3"/>
      <c r="UBN104" s="3"/>
      <c r="UBO104" s="3"/>
      <c r="UBP104" s="3"/>
      <c r="UBQ104" s="3"/>
      <c r="UBR104" s="3"/>
      <c r="UBS104" s="3"/>
      <c r="UBT104" s="3"/>
      <c r="UBU104" s="3"/>
      <c r="UBV104" s="3"/>
      <c r="UBW104" s="3"/>
      <c r="UBX104" s="3"/>
      <c r="UBY104" s="3"/>
      <c r="UBZ104" s="3"/>
      <c r="UCA104" s="3"/>
      <c r="UCB104" s="3"/>
      <c r="UCC104" s="3"/>
      <c r="UCD104" s="3"/>
      <c r="UCE104" s="3"/>
      <c r="UCF104" s="3"/>
      <c r="UCG104" s="3"/>
      <c r="UCH104" s="3"/>
      <c r="UCI104" s="3"/>
      <c r="UCJ104" s="3"/>
      <c r="UCK104" s="3"/>
      <c r="UCL104" s="3"/>
      <c r="UCM104" s="3"/>
      <c r="UCN104" s="3"/>
      <c r="UCO104" s="3"/>
      <c r="UCP104" s="3"/>
      <c r="UCQ104" s="3"/>
      <c r="UCR104" s="3"/>
      <c r="UCS104" s="3"/>
      <c r="UCT104" s="3"/>
      <c r="UCU104" s="3"/>
      <c r="UCV104" s="3"/>
      <c r="UCW104" s="3"/>
      <c r="UCX104" s="3"/>
      <c r="UCY104" s="3"/>
      <c r="UCZ104" s="3"/>
      <c r="UDA104" s="3"/>
      <c r="UDB104" s="3"/>
      <c r="UDC104" s="3"/>
      <c r="UDD104" s="3"/>
      <c r="UDE104" s="3"/>
      <c r="UDF104" s="3"/>
      <c r="UDG104" s="3"/>
      <c r="UDH104" s="3"/>
      <c r="UDI104" s="3"/>
      <c r="UDJ104" s="3"/>
      <c r="UDK104" s="3"/>
      <c r="UDL104" s="3"/>
      <c r="UDM104" s="3"/>
      <c r="UDN104" s="3"/>
      <c r="UDO104" s="3"/>
      <c r="UDP104" s="3"/>
      <c r="UDQ104" s="3"/>
      <c r="UDR104" s="3"/>
      <c r="UDS104" s="3"/>
      <c r="UDT104" s="3"/>
      <c r="UDU104" s="3"/>
      <c r="UDV104" s="3"/>
      <c r="UDW104" s="3"/>
      <c r="UDX104" s="3"/>
      <c r="UDY104" s="3"/>
      <c r="UDZ104" s="3"/>
      <c r="UEA104" s="3"/>
      <c r="UEB104" s="3"/>
      <c r="UEC104" s="3"/>
      <c r="UED104" s="3"/>
      <c r="UEE104" s="3"/>
      <c r="UEF104" s="3"/>
      <c r="UEG104" s="3"/>
      <c r="UEH104" s="3"/>
      <c r="UEI104" s="3"/>
      <c r="UEJ104" s="3"/>
      <c r="UEK104" s="3"/>
      <c r="UEL104" s="3"/>
      <c r="UEM104" s="3"/>
      <c r="UEN104" s="3"/>
      <c r="UEO104" s="3"/>
      <c r="UEP104" s="3"/>
      <c r="UEQ104" s="3"/>
      <c r="UER104" s="3"/>
      <c r="UES104" s="3"/>
      <c r="UET104" s="3"/>
      <c r="UEU104" s="3"/>
      <c r="UEV104" s="3"/>
      <c r="UEW104" s="3"/>
      <c r="UEX104" s="3"/>
      <c r="UEY104" s="3"/>
      <c r="UEZ104" s="3"/>
      <c r="UFA104" s="3"/>
      <c r="UFB104" s="3"/>
      <c r="UFC104" s="3"/>
      <c r="UFD104" s="3"/>
      <c r="UFE104" s="3"/>
      <c r="UFF104" s="3"/>
      <c r="UFG104" s="3"/>
      <c r="UFH104" s="3"/>
      <c r="UFI104" s="3"/>
      <c r="UFJ104" s="3"/>
      <c r="UFK104" s="3"/>
      <c r="UFL104" s="3"/>
      <c r="UFM104" s="3"/>
      <c r="UFN104" s="3"/>
      <c r="UFO104" s="3"/>
      <c r="UFP104" s="3"/>
      <c r="UFQ104" s="3"/>
      <c r="UFR104" s="3"/>
      <c r="UFS104" s="3"/>
      <c r="UFT104" s="3"/>
      <c r="UFU104" s="3"/>
      <c r="UFV104" s="3"/>
      <c r="UFW104" s="3"/>
      <c r="UFX104" s="3"/>
      <c r="UFY104" s="3"/>
      <c r="UFZ104" s="3"/>
      <c r="UGA104" s="3"/>
      <c r="UGB104" s="3"/>
      <c r="UGC104" s="3"/>
      <c r="UGD104" s="3"/>
      <c r="UGE104" s="3"/>
      <c r="UGF104" s="3"/>
      <c r="UGG104" s="3"/>
      <c r="UGH104" s="3"/>
      <c r="UGI104" s="3"/>
      <c r="UGJ104" s="3"/>
      <c r="UGK104" s="3"/>
      <c r="UGL104" s="3"/>
      <c r="UGM104" s="3"/>
      <c r="UGN104" s="3"/>
      <c r="UGO104" s="3"/>
      <c r="UGP104" s="3"/>
      <c r="UGQ104" s="3"/>
      <c r="UGR104" s="3"/>
      <c r="UGS104" s="3"/>
      <c r="UGT104" s="3"/>
      <c r="UGU104" s="3"/>
      <c r="UGV104" s="3"/>
      <c r="UGW104" s="3"/>
      <c r="UGX104" s="3"/>
      <c r="UGY104" s="3"/>
      <c r="UGZ104" s="3"/>
      <c r="UHA104" s="3"/>
      <c r="UHB104" s="3"/>
      <c r="UHC104" s="3"/>
      <c r="UHD104" s="3"/>
      <c r="UHE104" s="3"/>
      <c r="UHF104" s="3"/>
      <c r="UHG104" s="3"/>
      <c r="UHH104" s="3"/>
      <c r="UHI104" s="3"/>
      <c r="UHJ104" s="3"/>
      <c r="UHK104" s="3"/>
      <c r="UHL104" s="3"/>
      <c r="UHM104" s="3"/>
      <c r="UHN104" s="3"/>
      <c r="UHO104" s="3"/>
      <c r="UHP104" s="3"/>
      <c r="UHQ104" s="3"/>
      <c r="UHR104" s="3"/>
      <c r="UHS104" s="3"/>
      <c r="UHT104" s="3"/>
      <c r="UHU104" s="3"/>
      <c r="UHV104" s="3"/>
      <c r="UHW104" s="3"/>
      <c r="UHX104" s="3"/>
      <c r="UHY104" s="3"/>
      <c r="UHZ104" s="3"/>
      <c r="UIA104" s="3"/>
      <c r="UIB104" s="3"/>
      <c r="UIC104" s="3"/>
      <c r="UID104" s="3"/>
      <c r="UIE104" s="3"/>
      <c r="UIF104" s="3"/>
      <c r="UIG104" s="3"/>
      <c r="UIH104" s="3"/>
      <c r="UII104" s="3"/>
      <c r="UIJ104" s="3"/>
      <c r="UIK104" s="3"/>
      <c r="UIL104" s="3"/>
      <c r="UIM104" s="3"/>
      <c r="UIN104" s="3"/>
      <c r="UIO104" s="3"/>
      <c r="UIP104" s="3"/>
      <c r="UIQ104" s="3"/>
      <c r="UIR104" s="3"/>
      <c r="UIS104" s="3"/>
      <c r="UIT104" s="3"/>
      <c r="UIU104" s="3"/>
      <c r="UIV104" s="3"/>
      <c r="UIW104" s="3"/>
      <c r="UIX104" s="3"/>
      <c r="UIY104" s="3"/>
      <c r="UIZ104" s="3"/>
      <c r="UJA104" s="3"/>
      <c r="UJB104" s="3"/>
      <c r="UJC104" s="3"/>
      <c r="UJD104" s="3"/>
      <c r="UJE104" s="3"/>
      <c r="UJF104" s="3"/>
      <c r="UJG104" s="3"/>
      <c r="UJH104" s="3"/>
      <c r="UJI104" s="3"/>
      <c r="UJJ104" s="3"/>
      <c r="UJK104" s="3"/>
      <c r="UJL104" s="3"/>
      <c r="UJM104" s="3"/>
      <c r="UJN104" s="3"/>
      <c r="UJO104" s="3"/>
      <c r="UJP104" s="3"/>
      <c r="UJQ104" s="3"/>
      <c r="UJR104" s="3"/>
      <c r="UJS104" s="3"/>
      <c r="UJT104" s="3"/>
      <c r="UJU104" s="3"/>
      <c r="UJV104" s="3"/>
      <c r="UJW104" s="3"/>
      <c r="UJX104" s="3"/>
      <c r="UJY104" s="3"/>
      <c r="UJZ104" s="3"/>
      <c r="UKA104" s="3"/>
      <c r="UKB104" s="3"/>
      <c r="UKC104" s="3"/>
      <c r="UKD104" s="3"/>
      <c r="UKE104" s="3"/>
      <c r="UKF104" s="3"/>
      <c r="UKG104" s="3"/>
      <c r="UKH104" s="3"/>
      <c r="UKI104" s="3"/>
      <c r="UKJ104" s="3"/>
      <c r="UKK104" s="3"/>
      <c r="UKL104" s="3"/>
      <c r="UKM104" s="3"/>
      <c r="UKN104" s="3"/>
      <c r="UKO104" s="3"/>
      <c r="UKP104" s="3"/>
      <c r="UKQ104" s="3"/>
      <c r="UKR104" s="3"/>
      <c r="UKS104" s="3"/>
      <c r="UKT104" s="3"/>
      <c r="UKU104" s="3"/>
      <c r="UKV104" s="3"/>
      <c r="UKW104" s="3"/>
      <c r="UKX104" s="3"/>
      <c r="UKY104" s="3"/>
      <c r="UKZ104" s="3"/>
      <c r="ULA104" s="3"/>
      <c r="ULB104" s="3"/>
      <c r="ULC104" s="3"/>
      <c r="ULD104" s="3"/>
      <c r="ULE104" s="3"/>
      <c r="ULF104" s="3"/>
      <c r="ULG104" s="3"/>
      <c r="ULH104" s="3"/>
      <c r="ULI104" s="3"/>
      <c r="ULJ104" s="3"/>
      <c r="ULK104" s="3"/>
      <c r="ULL104" s="3"/>
      <c r="ULM104" s="3"/>
      <c r="ULN104" s="3"/>
      <c r="ULO104" s="3"/>
      <c r="ULP104" s="3"/>
      <c r="ULQ104" s="3"/>
      <c r="ULR104" s="3"/>
      <c r="ULS104" s="3"/>
      <c r="ULT104" s="3"/>
      <c r="ULU104" s="3"/>
      <c r="ULV104" s="3"/>
      <c r="ULW104" s="3"/>
      <c r="ULX104" s="3"/>
      <c r="ULY104" s="3"/>
      <c r="ULZ104" s="3"/>
      <c r="UMA104" s="3"/>
      <c r="UMB104" s="3"/>
      <c r="UMC104" s="3"/>
      <c r="UMD104" s="3"/>
      <c r="UME104" s="3"/>
      <c r="UMF104" s="3"/>
      <c r="UMG104" s="3"/>
      <c r="UMH104" s="3"/>
      <c r="UMI104" s="3"/>
      <c r="UMJ104" s="3"/>
      <c r="UMK104" s="3"/>
      <c r="UML104" s="3"/>
      <c r="UMM104" s="3"/>
      <c r="UMN104" s="3"/>
      <c r="UMO104" s="3"/>
      <c r="UMP104" s="3"/>
      <c r="UMQ104" s="3"/>
      <c r="UMR104" s="3"/>
      <c r="UMS104" s="3"/>
      <c r="UMT104" s="3"/>
      <c r="UMU104" s="3"/>
      <c r="UMV104" s="3"/>
      <c r="UMW104" s="3"/>
      <c r="UMX104" s="3"/>
      <c r="UMY104" s="3"/>
      <c r="UMZ104" s="3"/>
      <c r="UNA104" s="3"/>
      <c r="UNB104" s="3"/>
      <c r="UNC104" s="3"/>
      <c r="UND104" s="3"/>
      <c r="UNE104" s="3"/>
      <c r="UNF104" s="3"/>
      <c r="UNG104" s="3"/>
      <c r="UNH104" s="3"/>
      <c r="UNI104" s="3"/>
      <c r="UNJ104" s="3"/>
      <c r="UNK104" s="3"/>
      <c r="UNL104" s="3"/>
      <c r="UNM104" s="3"/>
      <c r="UNN104" s="3"/>
      <c r="UNO104" s="3"/>
      <c r="UNP104" s="3"/>
      <c r="UNQ104" s="3"/>
      <c r="UNR104" s="3"/>
      <c r="UNS104" s="3"/>
      <c r="UNT104" s="3"/>
      <c r="UNU104" s="3"/>
      <c r="UNV104" s="3"/>
      <c r="UNW104" s="3"/>
      <c r="UNX104" s="3"/>
      <c r="UNY104" s="3"/>
      <c r="UNZ104" s="3"/>
      <c r="UOA104" s="3"/>
      <c r="UOB104" s="3"/>
      <c r="UOC104" s="3"/>
      <c r="UOD104" s="3"/>
      <c r="UOE104" s="3"/>
      <c r="UOF104" s="3"/>
      <c r="UOG104" s="3"/>
      <c r="UOH104" s="3"/>
      <c r="UOI104" s="3"/>
      <c r="UOJ104" s="3"/>
      <c r="UOK104" s="3"/>
      <c r="UOL104" s="3"/>
      <c r="UOM104" s="3"/>
      <c r="UON104" s="3"/>
      <c r="UOO104" s="3"/>
      <c r="UOP104" s="3"/>
      <c r="UOQ104" s="3"/>
      <c r="UOR104" s="3"/>
      <c r="UOS104" s="3"/>
      <c r="UOT104" s="3"/>
      <c r="UOU104" s="3"/>
      <c r="UOV104" s="3"/>
      <c r="UOW104" s="3"/>
      <c r="UOX104" s="3"/>
      <c r="UOY104" s="3"/>
      <c r="UOZ104" s="3"/>
      <c r="UPA104" s="3"/>
      <c r="UPB104" s="3"/>
      <c r="UPC104" s="3"/>
      <c r="UPD104" s="3"/>
      <c r="UPE104" s="3"/>
      <c r="UPF104" s="3"/>
      <c r="UPG104" s="3"/>
      <c r="UPH104" s="3"/>
      <c r="UPI104" s="3"/>
      <c r="UPJ104" s="3"/>
      <c r="UPK104" s="3"/>
      <c r="UPL104" s="3"/>
      <c r="UPM104" s="3"/>
      <c r="UPN104" s="3"/>
      <c r="UPO104" s="3"/>
      <c r="UPP104" s="3"/>
      <c r="UPQ104" s="3"/>
      <c r="UPR104" s="3"/>
      <c r="UPS104" s="3"/>
      <c r="UPT104" s="3"/>
      <c r="UPU104" s="3"/>
      <c r="UPV104" s="3"/>
      <c r="UPW104" s="3"/>
      <c r="UPX104" s="3"/>
      <c r="UPY104" s="3"/>
      <c r="UPZ104" s="3"/>
      <c r="UQA104" s="3"/>
      <c r="UQB104" s="3"/>
      <c r="UQC104" s="3"/>
      <c r="UQD104" s="3"/>
      <c r="UQE104" s="3"/>
      <c r="UQF104" s="3"/>
      <c r="UQG104" s="3"/>
      <c r="UQH104" s="3"/>
      <c r="UQI104" s="3"/>
      <c r="UQJ104" s="3"/>
      <c r="UQK104" s="3"/>
      <c r="UQL104" s="3"/>
      <c r="UQM104" s="3"/>
      <c r="UQN104" s="3"/>
      <c r="UQO104" s="3"/>
      <c r="UQP104" s="3"/>
      <c r="UQQ104" s="3"/>
      <c r="UQR104" s="3"/>
      <c r="UQS104" s="3"/>
      <c r="UQT104" s="3"/>
      <c r="UQU104" s="3"/>
      <c r="UQV104" s="3"/>
      <c r="UQW104" s="3"/>
      <c r="UQX104" s="3"/>
      <c r="UQY104" s="3"/>
      <c r="UQZ104" s="3"/>
      <c r="URA104" s="3"/>
      <c r="URB104" s="3"/>
      <c r="URC104" s="3"/>
      <c r="URD104" s="3"/>
      <c r="URE104" s="3"/>
      <c r="URF104" s="3"/>
      <c r="URG104" s="3"/>
      <c r="URH104" s="3"/>
      <c r="URI104" s="3"/>
      <c r="URJ104" s="3"/>
      <c r="URK104" s="3"/>
      <c r="URL104" s="3"/>
      <c r="URM104" s="3"/>
      <c r="URN104" s="3"/>
      <c r="URO104" s="3"/>
      <c r="URP104" s="3"/>
      <c r="URQ104" s="3"/>
      <c r="URR104" s="3"/>
      <c r="URS104" s="3"/>
      <c r="URT104" s="3"/>
      <c r="URU104" s="3"/>
      <c r="URV104" s="3"/>
      <c r="URW104" s="3"/>
      <c r="URX104" s="3"/>
      <c r="URY104" s="3"/>
      <c r="URZ104" s="3"/>
      <c r="USA104" s="3"/>
      <c r="USB104" s="3"/>
      <c r="USC104" s="3"/>
      <c r="USD104" s="3"/>
      <c r="USE104" s="3"/>
      <c r="USF104" s="3"/>
      <c r="USG104" s="3"/>
      <c r="USH104" s="3"/>
      <c r="USI104" s="3"/>
      <c r="USJ104" s="3"/>
      <c r="USK104" s="3"/>
      <c r="USL104" s="3"/>
      <c r="USM104" s="3"/>
      <c r="USN104" s="3"/>
      <c r="USO104" s="3"/>
      <c r="USP104" s="3"/>
      <c r="USQ104" s="3"/>
      <c r="USR104" s="3"/>
      <c r="USS104" s="3"/>
      <c r="UST104" s="3"/>
      <c r="USU104" s="3"/>
      <c r="USV104" s="3"/>
      <c r="USW104" s="3"/>
      <c r="USX104" s="3"/>
      <c r="USY104" s="3"/>
      <c r="USZ104" s="3"/>
      <c r="UTA104" s="3"/>
      <c r="UTB104" s="3"/>
      <c r="UTC104" s="3"/>
      <c r="UTD104" s="3"/>
      <c r="UTE104" s="3"/>
      <c r="UTF104" s="3"/>
      <c r="UTG104" s="3"/>
      <c r="UTH104" s="3"/>
      <c r="UTI104" s="3"/>
      <c r="UTJ104" s="3"/>
      <c r="UTK104" s="3"/>
      <c r="UTL104" s="3"/>
      <c r="UTM104" s="3"/>
      <c r="UTN104" s="3"/>
      <c r="UTO104" s="3"/>
      <c r="UTP104" s="3"/>
      <c r="UTQ104" s="3"/>
      <c r="UTR104" s="3"/>
      <c r="UTS104" s="3"/>
      <c r="UTT104" s="3"/>
      <c r="UTU104" s="3"/>
      <c r="UTV104" s="3"/>
      <c r="UTW104" s="3"/>
      <c r="UTX104" s="3"/>
      <c r="UTY104" s="3"/>
      <c r="UTZ104" s="3"/>
      <c r="UUA104" s="3"/>
      <c r="UUB104" s="3"/>
      <c r="UUC104" s="3"/>
      <c r="UUD104" s="3"/>
      <c r="UUE104" s="3"/>
      <c r="UUF104" s="3"/>
      <c r="UUG104" s="3"/>
      <c r="UUH104" s="3"/>
      <c r="UUI104" s="3"/>
      <c r="UUJ104" s="3"/>
      <c r="UUK104" s="3"/>
      <c r="UUL104" s="3"/>
      <c r="UUM104" s="3"/>
      <c r="UUN104" s="3"/>
      <c r="UUO104" s="3"/>
      <c r="UUP104" s="3"/>
      <c r="UUQ104" s="3"/>
      <c r="UUR104" s="3"/>
      <c r="UUS104" s="3"/>
      <c r="UUT104" s="3"/>
      <c r="UUU104" s="3"/>
      <c r="UUV104" s="3"/>
      <c r="UUW104" s="3"/>
      <c r="UUX104" s="3"/>
      <c r="UUY104" s="3"/>
      <c r="UUZ104" s="3"/>
      <c r="UVA104" s="3"/>
      <c r="UVB104" s="3"/>
      <c r="UVC104" s="3"/>
      <c r="UVD104" s="3"/>
      <c r="UVE104" s="3"/>
      <c r="UVF104" s="3"/>
      <c r="UVG104" s="3"/>
      <c r="UVH104" s="3"/>
      <c r="UVI104" s="3"/>
      <c r="UVJ104" s="3"/>
      <c r="UVK104" s="3"/>
      <c r="UVL104" s="3"/>
      <c r="UVM104" s="3"/>
      <c r="UVN104" s="3"/>
      <c r="UVO104" s="3"/>
      <c r="UVP104" s="3"/>
      <c r="UVQ104" s="3"/>
      <c r="UVR104" s="3"/>
      <c r="UVS104" s="3"/>
      <c r="UVT104" s="3"/>
      <c r="UVU104" s="3"/>
      <c r="UVV104" s="3"/>
      <c r="UVW104" s="3"/>
      <c r="UVX104" s="3"/>
      <c r="UVY104" s="3"/>
      <c r="UVZ104" s="3"/>
      <c r="UWA104" s="3"/>
      <c r="UWB104" s="3"/>
      <c r="UWC104" s="3"/>
      <c r="UWD104" s="3"/>
      <c r="UWE104" s="3"/>
      <c r="UWF104" s="3"/>
      <c r="UWG104" s="3"/>
      <c r="UWH104" s="3"/>
      <c r="UWI104" s="3"/>
      <c r="UWJ104" s="3"/>
      <c r="UWK104" s="3"/>
      <c r="UWL104" s="3"/>
      <c r="UWM104" s="3"/>
      <c r="UWN104" s="3"/>
      <c r="UWO104" s="3"/>
      <c r="UWP104" s="3"/>
      <c r="UWQ104" s="3"/>
      <c r="UWR104" s="3"/>
      <c r="UWS104" s="3"/>
      <c r="UWT104" s="3"/>
      <c r="UWU104" s="3"/>
      <c r="UWV104" s="3"/>
      <c r="UWW104" s="3"/>
      <c r="UWX104" s="3"/>
      <c r="UWY104" s="3"/>
      <c r="UWZ104" s="3"/>
      <c r="UXA104" s="3"/>
      <c r="UXB104" s="3"/>
      <c r="UXC104" s="3"/>
      <c r="UXD104" s="3"/>
      <c r="UXE104" s="3"/>
      <c r="UXF104" s="3"/>
      <c r="UXG104" s="3"/>
      <c r="UXH104" s="3"/>
      <c r="UXI104" s="3"/>
      <c r="UXJ104" s="3"/>
      <c r="UXK104" s="3"/>
      <c r="UXL104" s="3"/>
      <c r="UXM104" s="3"/>
      <c r="UXN104" s="3"/>
      <c r="UXO104" s="3"/>
      <c r="UXP104" s="3"/>
      <c r="UXQ104" s="3"/>
      <c r="UXR104" s="3"/>
      <c r="UXS104" s="3"/>
      <c r="UXT104" s="3"/>
      <c r="UXU104" s="3"/>
      <c r="UXV104" s="3"/>
      <c r="UXW104" s="3"/>
      <c r="UXX104" s="3"/>
      <c r="UXY104" s="3"/>
      <c r="UXZ104" s="3"/>
      <c r="UYA104" s="3"/>
      <c r="UYB104" s="3"/>
      <c r="UYC104" s="3"/>
      <c r="UYD104" s="3"/>
      <c r="UYE104" s="3"/>
      <c r="UYF104" s="3"/>
      <c r="UYG104" s="3"/>
      <c r="UYH104" s="3"/>
      <c r="UYI104" s="3"/>
      <c r="UYJ104" s="3"/>
      <c r="UYK104" s="3"/>
      <c r="UYL104" s="3"/>
      <c r="UYM104" s="3"/>
      <c r="UYN104" s="3"/>
      <c r="UYO104" s="3"/>
      <c r="UYP104" s="3"/>
      <c r="UYQ104" s="3"/>
      <c r="UYR104" s="3"/>
      <c r="UYS104" s="3"/>
      <c r="UYT104" s="3"/>
      <c r="UYU104" s="3"/>
      <c r="UYV104" s="3"/>
      <c r="UYW104" s="3"/>
      <c r="UYX104" s="3"/>
      <c r="UYY104" s="3"/>
      <c r="UYZ104" s="3"/>
      <c r="UZA104" s="3"/>
      <c r="UZB104" s="3"/>
      <c r="UZC104" s="3"/>
      <c r="UZD104" s="3"/>
      <c r="UZE104" s="3"/>
      <c r="UZF104" s="3"/>
      <c r="UZG104" s="3"/>
      <c r="UZH104" s="3"/>
      <c r="UZI104" s="3"/>
      <c r="UZJ104" s="3"/>
      <c r="UZK104" s="3"/>
      <c r="UZL104" s="3"/>
      <c r="UZM104" s="3"/>
      <c r="UZN104" s="3"/>
      <c r="UZO104" s="3"/>
      <c r="UZP104" s="3"/>
      <c r="UZQ104" s="3"/>
      <c r="UZR104" s="3"/>
      <c r="UZS104" s="3"/>
      <c r="UZT104" s="3"/>
      <c r="UZU104" s="3"/>
      <c r="UZV104" s="3"/>
      <c r="UZW104" s="3"/>
      <c r="UZX104" s="3"/>
      <c r="UZY104" s="3"/>
      <c r="UZZ104" s="3"/>
      <c r="VAA104" s="3"/>
      <c r="VAB104" s="3"/>
      <c r="VAC104" s="3"/>
      <c r="VAD104" s="3"/>
      <c r="VAE104" s="3"/>
      <c r="VAF104" s="3"/>
      <c r="VAG104" s="3"/>
      <c r="VAH104" s="3"/>
      <c r="VAI104" s="3"/>
      <c r="VAJ104" s="3"/>
      <c r="VAK104" s="3"/>
      <c r="VAL104" s="3"/>
      <c r="VAM104" s="3"/>
      <c r="VAN104" s="3"/>
      <c r="VAO104" s="3"/>
      <c r="VAP104" s="3"/>
      <c r="VAQ104" s="3"/>
      <c r="VAR104" s="3"/>
      <c r="VAS104" s="3"/>
      <c r="VAT104" s="3"/>
      <c r="VAU104" s="3"/>
      <c r="VAV104" s="3"/>
      <c r="VAW104" s="3"/>
      <c r="VAX104" s="3"/>
      <c r="VAY104" s="3"/>
      <c r="VAZ104" s="3"/>
      <c r="VBA104" s="3"/>
      <c r="VBB104" s="3"/>
      <c r="VBC104" s="3"/>
      <c r="VBD104" s="3"/>
      <c r="VBE104" s="3"/>
      <c r="VBF104" s="3"/>
      <c r="VBG104" s="3"/>
      <c r="VBH104" s="3"/>
      <c r="VBI104" s="3"/>
      <c r="VBJ104" s="3"/>
      <c r="VBK104" s="3"/>
      <c r="VBL104" s="3"/>
      <c r="VBM104" s="3"/>
      <c r="VBN104" s="3"/>
      <c r="VBO104" s="3"/>
      <c r="VBP104" s="3"/>
      <c r="VBQ104" s="3"/>
      <c r="VBR104" s="3"/>
      <c r="VBS104" s="3"/>
      <c r="VBT104" s="3"/>
      <c r="VBU104" s="3"/>
      <c r="VBV104" s="3"/>
      <c r="VBW104" s="3"/>
      <c r="VBX104" s="3"/>
      <c r="VBY104" s="3"/>
      <c r="VBZ104" s="3"/>
      <c r="VCA104" s="3"/>
      <c r="VCB104" s="3"/>
      <c r="VCC104" s="3"/>
      <c r="VCD104" s="3"/>
      <c r="VCE104" s="3"/>
      <c r="VCF104" s="3"/>
      <c r="VCG104" s="3"/>
      <c r="VCH104" s="3"/>
      <c r="VCI104" s="3"/>
      <c r="VCJ104" s="3"/>
      <c r="VCK104" s="3"/>
      <c r="VCL104" s="3"/>
      <c r="VCM104" s="3"/>
      <c r="VCN104" s="3"/>
      <c r="VCO104" s="3"/>
      <c r="VCP104" s="3"/>
      <c r="VCQ104" s="3"/>
      <c r="VCR104" s="3"/>
      <c r="VCS104" s="3"/>
      <c r="VCT104" s="3"/>
      <c r="VCU104" s="3"/>
      <c r="VCV104" s="3"/>
      <c r="VCW104" s="3"/>
      <c r="VCX104" s="3"/>
      <c r="VCY104" s="3"/>
      <c r="VCZ104" s="3"/>
      <c r="VDA104" s="3"/>
      <c r="VDB104" s="3"/>
      <c r="VDC104" s="3"/>
      <c r="VDD104" s="3"/>
      <c r="VDE104" s="3"/>
      <c r="VDF104" s="3"/>
      <c r="VDG104" s="3"/>
      <c r="VDH104" s="3"/>
      <c r="VDI104" s="3"/>
      <c r="VDJ104" s="3"/>
      <c r="VDK104" s="3"/>
      <c r="VDL104" s="3"/>
      <c r="VDM104" s="3"/>
      <c r="VDN104" s="3"/>
      <c r="VDO104" s="3"/>
      <c r="VDP104" s="3"/>
      <c r="VDQ104" s="3"/>
      <c r="VDR104" s="3"/>
      <c r="VDS104" s="3"/>
      <c r="VDT104" s="3"/>
      <c r="VDU104" s="3"/>
      <c r="VDV104" s="3"/>
      <c r="VDW104" s="3"/>
      <c r="VDX104" s="3"/>
      <c r="VDY104" s="3"/>
      <c r="VDZ104" s="3"/>
      <c r="VEA104" s="3"/>
      <c r="VEB104" s="3"/>
      <c r="VEC104" s="3"/>
      <c r="VED104" s="3"/>
      <c r="VEE104" s="3"/>
      <c r="VEF104" s="3"/>
      <c r="VEG104" s="3"/>
      <c r="VEH104" s="3"/>
      <c r="VEI104" s="3"/>
      <c r="VEJ104" s="3"/>
      <c r="VEK104" s="3"/>
      <c r="VEL104" s="3"/>
      <c r="VEM104" s="3"/>
      <c r="VEN104" s="3"/>
      <c r="VEO104" s="3"/>
      <c r="VEP104" s="3"/>
      <c r="VEQ104" s="3"/>
      <c r="VER104" s="3"/>
      <c r="VES104" s="3"/>
      <c r="VET104" s="3"/>
      <c r="VEU104" s="3"/>
      <c r="VEV104" s="3"/>
      <c r="VEW104" s="3"/>
      <c r="VEX104" s="3"/>
      <c r="VEY104" s="3"/>
      <c r="VEZ104" s="3"/>
      <c r="VFA104" s="3"/>
      <c r="VFB104" s="3"/>
      <c r="VFC104" s="3"/>
      <c r="VFD104" s="3"/>
      <c r="VFE104" s="3"/>
      <c r="VFF104" s="3"/>
      <c r="VFG104" s="3"/>
      <c r="VFH104" s="3"/>
      <c r="VFI104" s="3"/>
      <c r="VFJ104" s="3"/>
      <c r="VFK104" s="3"/>
      <c r="VFL104" s="3"/>
      <c r="VFM104" s="3"/>
      <c r="VFN104" s="3"/>
      <c r="VFO104" s="3"/>
      <c r="VFP104" s="3"/>
      <c r="VFQ104" s="3"/>
      <c r="VFR104" s="3"/>
      <c r="VFS104" s="3"/>
      <c r="VFT104" s="3"/>
      <c r="VFU104" s="3"/>
      <c r="VFV104" s="3"/>
      <c r="VFW104" s="3"/>
      <c r="VFX104" s="3"/>
      <c r="VFY104" s="3"/>
      <c r="VFZ104" s="3"/>
      <c r="VGA104" s="3"/>
      <c r="VGB104" s="3"/>
      <c r="VGC104" s="3"/>
      <c r="VGD104" s="3"/>
      <c r="VGE104" s="3"/>
      <c r="VGF104" s="3"/>
      <c r="VGG104" s="3"/>
      <c r="VGH104" s="3"/>
      <c r="VGI104" s="3"/>
      <c r="VGJ104" s="3"/>
      <c r="VGK104" s="3"/>
      <c r="VGL104" s="3"/>
      <c r="VGM104" s="3"/>
      <c r="VGN104" s="3"/>
      <c r="VGO104" s="3"/>
      <c r="VGP104" s="3"/>
      <c r="VGQ104" s="3"/>
      <c r="VGR104" s="3"/>
      <c r="VGS104" s="3"/>
      <c r="VGT104" s="3"/>
      <c r="VGU104" s="3"/>
      <c r="VGV104" s="3"/>
      <c r="VGW104" s="3"/>
      <c r="VGX104" s="3"/>
      <c r="VGY104" s="3"/>
      <c r="VGZ104" s="3"/>
      <c r="VHA104" s="3"/>
      <c r="VHB104" s="3"/>
      <c r="VHC104" s="3"/>
      <c r="VHD104" s="3"/>
      <c r="VHE104" s="3"/>
      <c r="VHF104" s="3"/>
      <c r="VHG104" s="3"/>
      <c r="VHH104" s="3"/>
      <c r="VHI104" s="3"/>
      <c r="VHJ104" s="3"/>
      <c r="VHK104" s="3"/>
      <c r="VHL104" s="3"/>
      <c r="VHM104" s="3"/>
      <c r="VHN104" s="3"/>
      <c r="VHO104" s="3"/>
      <c r="VHP104" s="3"/>
      <c r="VHQ104" s="3"/>
      <c r="VHR104" s="3"/>
      <c r="VHS104" s="3"/>
      <c r="VHT104" s="3"/>
      <c r="VHU104" s="3"/>
      <c r="VHV104" s="3"/>
      <c r="VHW104" s="3"/>
      <c r="VHX104" s="3"/>
      <c r="VHY104" s="3"/>
      <c r="VHZ104" s="3"/>
      <c r="VIA104" s="3"/>
      <c r="VIB104" s="3"/>
      <c r="VIC104" s="3"/>
      <c r="VID104" s="3"/>
      <c r="VIE104" s="3"/>
      <c r="VIF104" s="3"/>
      <c r="VIG104" s="3"/>
      <c r="VIH104" s="3"/>
      <c r="VII104" s="3"/>
      <c r="VIJ104" s="3"/>
      <c r="VIK104" s="3"/>
      <c r="VIL104" s="3"/>
      <c r="VIM104" s="3"/>
      <c r="VIN104" s="3"/>
      <c r="VIO104" s="3"/>
      <c r="VIP104" s="3"/>
      <c r="VIQ104" s="3"/>
      <c r="VIR104" s="3"/>
      <c r="VIS104" s="3"/>
      <c r="VIT104" s="3"/>
      <c r="VIU104" s="3"/>
      <c r="VIV104" s="3"/>
      <c r="VIW104" s="3"/>
      <c r="VIX104" s="3"/>
      <c r="VIY104" s="3"/>
      <c r="VIZ104" s="3"/>
      <c r="VJA104" s="3"/>
      <c r="VJB104" s="3"/>
      <c r="VJC104" s="3"/>
      <c r="VJD104" s="3"/>
      <c r="VJE104" s="3"/>
      <c r="VJF104" s="3"/>
      <c r="VJG104" s="3"/>
      <c r="VJH104" s="3"/>
      <c r="VJI104" s="3"/>
      <c r="VJJ104" s="3"/>
      <c r="VJK104" s="3"/>
      <c r="VJL104" s="3"/>
      <c r="VJM104" s="3"/>
      <c r="VJN104" s="3"/>
      <c r="VJO104" s="3"/>
      <c r="VJP104" s="3"/>
      <c r="VJQ104" s="3"/>
      <c r="VJR104" s="3"/>
      <c r="VJS104" s="3"/>
      <c r="VJT104" s="3"/>
      <c r="VJU104" s="3"/>
      <c r="VJV104" s="3"/>
      <c r="VJW104" s="3"/>
      <c r="VJX104" s="3"/>
      <c r="VJY104" s="3"/>
      <c r="VJZ104" s="3"/>
      <c r="VKA104" s="3"/>
      <c r="VKB104" s="3"/>
      <c r="VKC104" s="3"/>
      <c r="VKD104" s="3"/>
      <c r="VKE104" s="3"/>
      <c r="VKF104" s="3"/>
      <c r="VKG104" s="3"/>
      <c r="VKH104" s="3"/>
      <c r="VKI104" s="3"/>
      <c r="VKJ104" s="3"/>
      <c r="VKK104" s="3"/>
      <c r="VKL104" s="3"/>
      <c r="VKM104" s="3"/>
      <c r="VKN104" s="3"/>
      <c r="VKO104" s="3"/>
      <c r="VKP104" s="3"/>
      <c r="VKQ104" s="3"/>
      <c r="VKR104" s="3"/>
      <c r="VKS104" s="3"/>
      <c r="VKT104" s="3"/>
      <c r="VKU104" s="3"/>
      <c r="VKV104" s="3"/>
      <c r="VKW104" s="3"/>
      <c r="VKX104" s="3"/>
      <c r="VKY104" s="3"/>
      <c r="VKZ104" s="3"/>
      <c r="VLA104" s="3"/>
      <c r="VLB104" s="3"/>
      <c r="VLC104" s="3"/>
      <c r="VLD104" s="3"/>
      <c r="VLE104" s="3"/>
      <c r="VLF104" s="3"/>
      <c r="VLG104" s="3"/>
      <c r="VLH104" s="3"/>
      <c r="VLI104" s="3"/>
      <c r="VLJ104" s="3"/>
      <c r="VLK104" s="3"/>
      <c r="VLL104" s="3"/>
      <c r="VLM104" s="3"/>
      <c r="VLN104" s="3"/>
      <c r="VLO104" s="3"/>
      <c r="VLP104" s="3"/>
      <c r="VLQ104" s="3"/>
      <c r="VLR104" s="3"/>
      <c r="VLS104" s="3"/>
      <c r="VLT104" s="3"/>
      <c r="VLU104" s="3"/>
      <c r="VLV104" s="3"/>
      <c r="VLW104" s="3"/>
      <c r="VLX104" s="3"/>
      <c r="VLY104" s="3"/>
      <c r="VLZ104" s="3"/>
      <c r="VMA104" s="3"/>
      <c r="VMB104" s="3"/>
      <c r="VMC104" s="3"/>
      <c r="VMD104" s="3"/>
      <c r="VME104" s="3"/>
      <c r="VMF104" s="3"/>
      <c r="VMG104" s="3"/>
      <c r="VMH104" s="3"/>
      <c r="VMI104" s="3"/>
      <c r="VMJ104" s="3"/>
      <c r="VMK104" s="3"/>
      <c r="VML104" s="3"/>
      <c r="VMM104" s="3"/>
      <c r="VMN104" s="3"/>
      <c r="VMO104" s="3"/>
      <c r="VMP104" s="3"/>
      <c r="VMQ104" s="3"/>
      <c r="VMR104" s="3"/>
      <c r="VMS104" s="3"/>
      <c r="VMT104" s="3"/>
      <c r="VMU104" s="3"/>
      <c r="VMV104" s="3"/>
      <c r="VMW104" s="3"/>
      <c r="VMX104" s="3"/>
      <c r="VMY104" s="3"/>
      <c r="VMZ104" s="3"/>
      <c r="VNA104" s="3"/>
      <c r="VNB104" s="3"/>
      <c r="VNC104" s="3"/>
      <c r="VND104" s="3"/>
      <c r="VNE104" s="3"/>
      <c r="VNF104" s="3"/>
      <c r="VNG104" s="3"/>
      <c r="VNH104" s="3"/>
      <c r="VNI104" s="3"/>
      <c r="VNJ104" s="3"/>
      <c r="VNK104" s="3"/>
      <c r="VNL104" s="3"/>
      <c r="VNM104" s="3"/>
      <c r="VNN104" s="3"/>
      <c r="VNO104" s="3"/>
      <c r="VNP104" s="3"/>
      <c r="VNQ104" s="3"/>
      <c r="VNR104" s="3"/>
      <c r="VNS104" s="3"/>
      <c r="VNT104" s="3"/>
      <c r="VNU104" s="3"/>
      <c r="VNV104" s="3"/>
      <c r="VNW104" s="3"/>
      <c r="VNX104" s="3"/>
      <c r="VNY104" s="3"/>
      <c r="VNZ104" s="3"/>
      <c r="VOA104" s="3"/>
      <c r="VOB104" s="3"/>
      <c r="VOC104" s="3"/>
      <c r="VOD104" s="3"/>
      <c r="VOE104" s="3"/>
      <c r="VOF104" s="3"/>
      <c r="VOG104" s="3"/>
      <c r="VOH104" s="3"/>
      <c r="VOI104" s="3"/>
      <c r="VOJ104" s="3"/>
      <c r="VOK104" s="3"/>
      <c r="VOL104" s="3"/>
      <c r="VOM104" s="3"/>
      <c r="VON104" s="3"/>
      <c r="VOO104" s="3"/>
      <c r="VOP104" s="3"/>
      <c r="VOQ104" s="3"/>
      <c r="VOR104" s="3"/>
      <c r="VOS104" s="3"/>
      <c r="VOT104" s="3"/>
      <c r="VOU104" s="3"/>
      <c r="VOV104" s="3"/>
      <c r="VOW104" s="3"/>
      <c r="VOX104" s="3"/>
      <c r="VOY104" s="3"/>
      <c r="VOZ104" s="3"/>
      <c r="VPA104" s="3"/>
      <c r="VPB104" s="3"/>
      <c r="VPC104" s="3"/>
      <c r="VPD104" s="3"/>
      <c r="VPE104" s="3"/>
      <c r="VPF104" s="3"/>
      <c r="VPG104" s="3"/>
      <c r="VPH104" s="3"/>
      <c r="VPI104" s="3"/>
      <c r="VPJ104" s="3"/>
      <c r="VPK104" s="3"/>
      <c r="VPL104" s="3"/>
      <c r="VPM104" s="3"/>
      <c r="VPN104" s="3"/>
      <c r="VPO104" s="3"/>
      <c r="VPP104" s="3"/>
      <c r="VPQ104" s="3"/>
      <c r="VPR104" s="3"/>
      <c r="VPS104" s="3"/>
      <c r="VPT104" s="3"/>
      <c r="VPU104" s="3"/>
      <c r="VPV104" s="3"/>
      <c r="VPW104" s="3"/>
      <c r="VPX104" s="3"/>
      <c r="VPY104" s="3"/>
      <c r="VPZ104" s="3"/>
      <c r="VQA104" s="3"/>
      <c r="VQB104" s="3"/>
      <c r="VQC104" s="3"/>
      <c r="VQD104" s="3"/>
      <c r="VQE104" s="3"/>
      <c r="VQF104" s="3"/>
      <c r="VQG104" s="3"/>
      <c r="VQH104" s="3"/>
      <c r="VQI104" s="3"/>
      <c r="VQJ104" s="3"/>
      <c r="VQK104" s="3"/>
      <c r="VQL104" s="3"/>
      <c r="VQM104" s="3"/>
      <c r="VQN104" s="3"/>
      <c r="VQO104" s="3"/>
      <c r="VQP104" s="3"/>
      <c r="VQQ104" s="3"/>
      <c r="VQR104" s="3"/>
      <c r="VQS104" s="3"/>
      <c r="VQT104" s="3"/>
      <c r="VQU104" s="3"/>
      <c r="VQV104" s="3"/>
      <c r="VQW104" s="3"/>
      <c r="VQX104" s="3"/>
      <c r="VQY104" s="3"/>
      <c r="VQZ104" s="3"/>
      <c r="VRA104" s="3"/>
      <c r="VRB104" s="3"/>
      <c r="VRC104" s="3"/>
      <c r="VRD104" s="3"/>
      <c r="VRE104" s="3"/>
      <c r="VRF104" s="3"/>
      <c r="VRG104" s="3"/>
      <c r="VRH104" s="3"/>
      <c r="VRI104" s="3"/>
      <c r="VRJ104" s="3"/>
      <c r="VRK104" s="3"/>
      <c r="VRL104" s="3"/>
      <c r="VRM104" s="3"/>
      <c r="VRN104" s="3"/>
      <c r="VRO104" s="3"/>
      <c r="VRP104" s="3"/>
      <c r="VRQ104" s="3"/>
      <c r="VRR104" s="3"/>
      <c r="VRS104" s="3"/>
      <c r="VRT104" s="3"/>
      <c r="VRU104" s="3"/>
      <c r="VRV104" s="3"/>
      <c r="VRW104" s="3"/>
      <c r="VRX104" s="3"/>
      <c r="VRY104" s="3"/>
      <c r="VRZ104" s="3"/>
      <c r="VSA104" s="3"/>
      <c r="VSB104" s="3"/>
      <c r="VSC104" s="3"/>
      <c r="VSD104" s="3"/>
      <c r="VSE104" s="3"/>
      <c r="VSF104" s="3"/>
      <c r="VSG104" s="3"/>
      <c r="VSH104" s="3"/>
      <c r="VSI104" s="3"/>
      <c r="VSJ104" s="3"/>
      <c r="VSK104" s="3"/>
      <c r="VSL104" s="3"/>
      <c r="VSM104" s="3"/>
      <c r="VSN104" s="3"/>
      <c r="VSO104" s="3"/>
      <c r="VSP104" s="3"/>
      <c r="VSQ104" s="3"/>
      <c r="VSR104" s="3"/>
      <c r="VSS104" s="3"/>
      <c r="VST104" s="3"/>
      <c r="VSU104" s="3"/>
      <c r="VSV104" s="3"/>
      <c r="VSW104" s="3"/>
      <c r="VSX104" s="3"/>
      <c r="VSY104" s="3"/>
      <c r="VSZ104" s="3"/>
      <c r="VTA104" s="3"/>
      <c r="VTB104" s="3"/>
      <c r="VTC104" s="3"/>
      <c r="VTD104" s="3"/>
      <c r="VTE104" s="3"/>
      <c r="VTF104" s="3"/>
      <c r="VTG104" s="3"/>
      <c r="VTH104" s="3"/>
      <c r="VTI104" s="3"/>
      <c r="VTJ104" s="3"/>
      <c r="VTK104" s="3"/>
      <c r="VTL104" s="3"/>
      <c r="VTM104" s="3"/>
      <c r="VTN104" s="3"/>
      <c r="VTO104" s="3"/>
      <c r="VTP104" s="3"/>
      <c r="VTQ104" s="3"/>
      <c r="VTR104" s="3"/>
      <c r="VTS104" s="3"/>
      <c r="VTT104" s="3"/>
      <c r="VTU104" s="3"/>
      <c r="VTV104" s="3"/>
      <c r="VTW104" s="3"/>
      <c r="VTX104" s="3"/>
      <c r="VTY104" s="3"/>
      <c r="VTZ104" s="3"/>
      <c r="VUA104" s="3"/>
      <c r="VUB104" s="3"/>
      <c r="VUC104" s="3"/>
      <c r="VUD104" s="3"/>
      <c r="VUE104" s="3"/>
      <c r="VUF104" s="3"/>
      <c r="VUG104" s="3"/>
      <c r="VUH104" s="3"/>
      <c r="VUI104" s="3"/>
      <c r="VUJ104" s="3"/>
      <c r="VUK104" s="3"/>
      <c r="VUL104" s="3"/>
      <c r="VUM104" s="3"/>
      <c r="VUN104" s="3"/>
      <c r="VUO104" s="3"/>
      <c r="VUP104" s="3"/>
      <c r="VUQ104" s="3"/>
      <c r="VUR104" s="3"/>
      <c r="VUS104"/>
      <c r="VUT104"/>
      <c r="VUU104"/>
      <c r="VUV104"/>
      <c r="VUW104"/>
      <c r="VUX104"/>
      <c r="VUY104"/>
      <c r="VUZ104"/>
      <c r="VVA104"/>
      <c r="VVB104"/>
      <c r="VVC104"/>
      <c r="VVD104"/>
      <c r="VVE104"/>
      <c r="VVF104"/>
      <c r="VVG104"/>
      <c r="VVH104"/>
      <c r="VVI104"/>
      <c r="VVJ104"/>
      <c r="VVK104"/>
      <c r="VVL104"/>
      <c r="VVM104"/>
      <c r="VVN104"/>
      <c r="VVO104"/>
      <c r="VVP104"/>
      <c r="VVQ104"/>
      <c r="VVR104"/>
      <c r="VVS104"/>
      <c r="VVT104"/>
      <c r="VVU104"/>
      <c r="VVV104"/>
      <c r="VVW104"/>
      <c r="VVX104"/>
      <c r="VVY104"/>
      <c r="VVZ104"/>
      <c r="VWA104"/>
      <c r="VWB104"/>
      <c r="VWC104"/>
      <c r="VWD104"/>
      <c r="VWE104"/>
      <c r="VWF104"/>
      <c r="VWG104"/>
      <c r="VWH104"/>
      <c r="VWI104"/>
      <c r="VWJ104"/>
      <c r="VWK104"/>
      <c r="VWL104"/>
      <c r="VWM104"/>
      <c r="VWN104"/>
      <c r="VWO104"/>
      <c r="VWP104"/>
      <c r="VWQ104"/>
      <c r="VWR104"/>
      <c r="VWS104"/>
      <c r="VWT104"/>
      <c r="VWU104"/>
      <c r="VWV104"/>
      <c r="VWW104"/>
      <c r="VWX104"/>
      <c r="VWY104"/>
      <c r="VWZ104"/>
      <c r="VXA104"/>
      <c r="VXB104"/>
      <c r="VXC104"/>
      <c r="VXD104"/>
      <c r="VXE104"/>
      <c r="VXF104"/>
      <c r="VXG104"/>
      <c r="VXH104"/>
      <c r="VXI104"/>
      <c r="VXJ104"/>
      <c r="VXK104"/>
      <c r="VXL104"/>
      <c r="VXM104"/>
      <c r="VXN104"/>
      <c r="VXO104"/>
      <c r="VXP104"/>
      <c r="VXQ104"/>
      <c r="VXR104"/>
      <c r="VXS104"/>
      <c r="VXT104"/>
      <c r="VXU104"/>
      <c r="VXV104"/>
      <c r="VXW104"/>
      <c r="VXX104"/>
      <c r="VXY104"/>
      <c r="VXZ104"/>
      <c r="VYA104"/>
      <c r="VYB104"/>
      <c r="VYC104"/>
      <c r="VYD104"/>
      <c r="VYE104"/>
      <c r="VYF104"/>
      <c r="VYG104"/>
      <c r="VYH104"/>
      <c r="VYI104"/>
      <c r="VYJ104"/>
      <c r="VYK104"/>
      <c r="VYL104"/>
      <c r="VYM104"/>
      <c r="VYN104"/>
      <c r="VYO104"/>
      <c r="VYP104"/>
      <c r="VYQ104"/>
      <c r="VYR104"/>
      <c r="VYS104"/>
      <c r="VYT104"/>
      <c r="VYU104"/>
      <c r="VYV104"/>
      <c r="VYW104"/>
      <c r="VYX104"/>
      <c r="VYY104"/>
      <c r="VYZ104"/>
      <c r="VZA104"/>
      <c r="VZB104"/>
      <c r="VZC104"/>
      <c r="VZD104"/>
      <c r="VZE104"/>
      <c r="VZF104"/>
      <c r="VZG104"/>
      <c r="VZH104"/>
      <c r="VZI104"/>
      <c r="VZJ104"/>
      <c r="VZK104"/>
      <c r="VZL104"/>
      <c r="VZM104"/>
      <c r="VZN104"/>
      <c r="VZO104"/>
      <c r="VZP104"/>
      <c r="VZQ104"/>
      <c r="VZR104"/>
      <c r="VZS104"/>
      <c r="VZT104"/>
      <c r="VZU104"/>
      <c r="VZV104"/>
      <c r="VZW104"/>
      <c r="VZX104"/>
      <c r="VZY104"/>
      <c r="VZZ104"/>
      <c r="WAA104"/>
      <c r="WAB104"/>
      <c r="WAC104"/>
      <c r="WAD104"/>
      <c r="WAE104"/>
      <c r="WAF104"/>
      <c r="WAG104"/>
      <c r="WAH104"/>
      <c r="WAI104"/>
      <c r="WAJ104"/>
      <c r="WAK104"/>
      <c r="WAL104"/>
      <c r="WAM104"/>
      <c r="WAN104"/>
      <c r="WAO104"/>
      <c r="WAP104"/>
      <c r="WAQ104"/>
      <c r="WAR104"/>
      <c r="WAS104"/>
      <c r="WAT104"/>
      <c r="WAU104"/>
      <c r="WAV104"/>
      <c r="WAW104"/>
      <c r="WAX104"/>
      <c r="WAY104"/>
      <c r="WAZ104"/>
      <c r="WBA104"/>
      <c r="WBB104"/>
      <c r="WBC104"/>
      <c r="WBD104"/>
      <c r="WBE104"/>
      <c r="WBF104"/>
      <c r="WBG104"/>
      <c r="WBH104"/>
      <c r="WBI104"/>
      <c r="WBJ104"/>
      <c r="WBK104"/>
      <c r="WBL104"/>
      <c r="WBM104"/>
      <c r="WBN104"/>
      <c r="WBO104"/>
      <c r="WBP104"/>
      <c r="WBQ104"/>
      <c r="WBR104"/>
      <c r="WBS104"/>
      <c r="WBT104"/>
      <c r="WBU104"/>
      <c r="WBV104"/>
      <c r="WBW104"/>
      <c r="WBX104"/>
      <c r="WBY104"/>
      <c r="WBZ104"/>
      <c r="WCA104"/>
      <c r="WCB104"/>
      <c r="WCC104"/>
      <c r="WCD104"/>
      <c r="WCE104"/>
      <c r="WCF104"/>
      <c r="WCG104"/>
      <c r="WCH104"/>
      <c r="WCI104"/>
      <c r="WCJ104"/>
      <c r="WCK104"/>
      <c r="WCL104"/>
      <c r="WCM104"/>
      <c r="WCN104"/>
      <c r="WCO104"/>
      <c r="WCP104"/>
      <c r="WCQ104"/>
      <c r="WCR104"/>
      <c r="WCS104"/>
      <c r="WCT104"/>
      <c r="WCU104"/>
      <c r="WCV104"/>
      <c r="WCW104"/>
      <c r="WCX104"/>
      <c r="WCY104"/>
      <c r="WCZ104"/>
      <c r="WDA104"/>
      <c r="WDB104"/>
      <c r="WDC104"/>
      <c r="WDD104"/>
      <c r="WDE104"/>
      <c r="WDF104"/>
      <c r="WDG104"/>
      <c r="WDH104"/>
      <c r="WDI104"/>
      <c r="WDJ104"/>
      <c r="WDK104"/>
      <c r="WDL104"/>
      <c r="WDM104"/>
      <c r="WDN104"/>
      <c r="WDO104"/>
      <c r="WDP104"/>
      <c r="WDQ104"/>
      <c r="WDR104"/>
      <c r="WDS104"/>
      <c r="WDT104"/>
      <c r="WDU104"/>
      <c r="WDV104"/>
      <c r="WDW104"/>
      <c r="WDX104"/>
      <c r="WDY104"/>
      <c r="WDZ104"/>
      <c r="WEA104"/>
      <c r="WEB104"/>
      <c r="WEC104"/>
      <c r="WED104"/>
      <c r="WEE104"/>
      <c r="WEF104"/>
      <c r="WEG104"/>
      <c r="WEH104"/>
      <c r="WEI104"/>
      <c r="WEJ104"/>
      <c r="WEK104"/>
      <c r="WEL104"/>
      <c r="WEM104"/>
      <c r="WEN104"/>
      <c r="WEO104"/>
      <c r="WEP104"/>
      <c r="WEQ104"/>
      <c r="WER104"/>
      <c r="WES104"/>
      <c r="WET104"/>
      <c r="WEU104"/>
      <c r="WEV104"/>
      <c r="WEW104"/>
      <c r="WEX104"/>
      <c r="WEY104"/>
      <c r="WEZ104"/>
      <c r="WFA104"/>
      <c r="WFB104"/>
      <c r="WFC104"/>
      <c r="WFD104"/>
      <c r="WFE104"/>
      <c r="WFF104"/>
      <c r="WFG104"/>
      <c r="WFH104"/>
      <c r="WFI104"/>
      <c r="WFJ104"/>
      <c r="WFK104"/>
      <c r="WFL104"/>
      <c r="WFM104"/>
      <c r="WFN104"/>
      <c r="WFO104"/>
      <c r="WFP104"/>
      <c r="WFQ104"/>
      <c r="WFR104"/>
      <c r="WFS104"/>
      <c r="WFT104"/>
      <c r="WFU104"/>
      <c r="WFV104"/>
      <c r="WFW104"/>
      <c r="WFX104"/>
      <c r="WFY104"/>
      <c r="WFZ104"/>
      <c r="WGA104"/>
      <c r="WGB104"/>
      <c r="WGC104"/>
      <c r="WGD104"/>
      <c r="WGE104"/>
      <c r="WGF104"/>
      <c r="WGG104"/>
      <c r="WGH104"/>
      <c r="WGI104"/>
      <c r="WGJ104"/>
      <c r="WGK104"/>
      <c r="WGL104"/>
      <c r="WGM104"/>
      <c r="WGN104"/>
      <c r="WGO104"/>
      <c r="WGP104"/>
      <c r="WGQ104"/>
      <c r="WGR104"/>
      <c r="WGS104"/>
      <c r="WGT104"/>
      <c r="WGU104"/>
      <c r="WGV104"/>
      <c r="WGW104"/>
      <c r="WGX104"/>
      <c r="WGY104"/>
      <c r="WGZ104"/>
      <c r="WHA104"/>
      <c r="WHB104"/>
      <c r="WHC104"/>
      <c r="WHD104"/>
      <c r="WHE104"/>
      <c r="WHF104"/>
      <c r="WHG104"/>
      <c r="WHH104"/>
      <c r="WHI104"/>
      <c r="WHJ104"/>
      <c r="WHK104"/>
      <c r="WHL104"/>
      <c r="WHM104"/>
      <c r="WHN104"/>
      <c r="WHO104"/>
      <c r="WHP104"/>
      <c r="WHQ104"/>
      <c r="WHR104"/>
      <c r="WHS104"/>
      <c r="WHT104"/>
      <c r="WHU104"/>
      <c r="WHV104"/>
      <c r="WHW104"/>
      <c r="WHX104"/>
      <c r="WHY104"/>
      <c r="WHZ104"/>
      <c r="WIA104"/>
      <c r="WIB104"/>
      <c r="WIC104"/>
      <c r="WID104"/>
      <c r="WIE104"/>
      <c r="WIF104"/>
      <c r="WIG104"/>
      <c r="WIH104"/>
      <c r="WII104"/>
      <c r="WIJ104"/>
      <c r="WIK104"/>
      <c r="WIL104"/>
      <c r="WIM104"/>
      <c r="WIN104"/>
      <c r="WIO104"/>
      <c r="WIP104"/>
      <c r="WIQ104"/>
      <c r="WIR104"/>
      <c r="WIS104"/>
      <c r="WIT104"/>
      <c r="WIU104"/>
      <c r="WIV104"/>
      <c r="WIW104"/>
      <c r="WIX104"/>
      <c r="WIY104"/>
      <c r="WIZ104"/>
      <c r="WJA104"/>
      <c r="WJB104"/>
      <c r="WJC104"/>
      <c r="WJD104"/>
      <c r="WJE104"/>
      <c r="WJF104"/>
      <c r="WJG104"/>
      <c r="WJH104"/>
      <c r="WJI104"/>
      <c r="WJJ104"/>
      <c r="WJK104"/>
      <c r="WJL104"/>
      <c r="WJM104"/>
      <c r="WJN104"/>
      <c r="WJO104"/>
      <c r="WJP104"/>
      <c r="WJQ104"/>
      <c r="WJR104"/>
      <c r="WJS104"/>
      <c r="WJT104"/>
      <c r="WJU104"/>
    </row>
    <row r="105" spans="1:15829" s="1" customFormat="1" ht="14.25" hidden="1">
      <c r="B105" s="76"/>
      <c r="C105" s="262" t="s">
        <v>70</v>
      </c>
      <c r="D105" s="80"/>
      <c r="E105" s="76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129"/>
      <c r="AL105" s="188" t="s">
        <v>70</v>
      </c>
      <c r="AO105" s="130"/>
    </row>
    <row r="106" spans="1:15829" s="1" customFormat="1" ht="14.25" hidden="1">
      <c r="B106" s="76"/>
      <c r="C106" s="167" t="s">
        <v>83</v>
      </c>
      <c r="D106" s="80"/>
      <c r="E106" s="263" t="s">
        <v>72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129"/>
      <c r="AL106" s="190">
        <f t="shared" ref="AL106:AL110" si="56">SUM(F106:AI106)</f>
        <v>0</v>
      </c>
      <c r="AO106" s="130"/>
    </row>
    <row r="107" spans="1:15829" s="1" customFormat="1" ht="14.25" hidden="1">
      <c r="B107" s="76"/>
      <c r="C107" s="167" t="s">
        <v>84</v>
      </c>
      <c r="D107" s="80"/>
      <c r="E107" s="263" t="s">
        <v>72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129"/>
      <c r="AL107" s="190">
        <f t="shared" si="56"/>
        <v>0</v>
      </c>
      <c r="AO107" s="130"/>
    </row>
    <row r="108" spans="1:15829" s="1" customFormat="1" ht="14.25" hidden="1">
      <c r="B108" s="76"/>
      <c r="C108" s="262" t="s">
        <v>74</v>
      </c>
      <c r="D108" s="80"/>
      <c r="E108" s="76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129"/>
      <c r="AL108" s="188" t="s">
        <v>74</v>
      </c>
      <c r="AO108" s="130"/>
    </row>
    <row r="109" spans="1:15829" s="1" customFormat="1" ht="14.25" hidden="1">
      <c r="B109" s="76"/>
      <c r="C109" s="167" t="s">
        <v>83</v>
      </c>
      <c r="D109" s="80"/>
      <c r="E109" s="263" t="s">
        <v>74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129"/>
      <c r="AL109" s="190">
        <f t="shared" si="56"/>
        <v>0</v>
      </c>
      <c r="AO109" s="130"/>
    </row>
    <row r="110" spans="1:15829" s="1" customFormat="1" ht="14.25" hidden="1">
      <c r="B110" s="76"/>
      <c r="C110" s="167" t="s">
        <v>84</v>
      </c>
      <c r="D110" s="80"/>
      <c r="E110" s="263" t="s">
        <v>74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129"/>
      <c r="AL110" s="190">
        <f t="shared" si="56"/>
        <v>0</v>
      </c>
      <c r="AO110" s="130"/>
    </row>
    <row r="111" spans="1:15829" s="1" customFormat="1" hidden="1">
      <c r="A111" s="3"/>
      <c r="B111" s="62"/>
      <c r="C111" s="41" t="s">
        <v>81</v>
      </c>
      <c r="D111" s="60"/>
      <c r="E111" s="60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115"/>
      <c r="AD111" s="61"/>
      <c r="AE111" s="61"/>
      <c r="AF111" s="61"/>
      <c r="AG111" s="61"/>
      <c r="AH111" s="115"/>
      <c r="AI111" s="115"/>
      <c r="AJ111" s="115"/>
      <c r="AK111" s="119"/>
      <c r="AL111" s="247" t="s">
        <v>80</v>
      </c>
      <c r="AM111" s="3"/>
      <c r="AN111" s="3"/>
      <c r="AO111" s="3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  <c r="AAA111" s="3"/>
      <c r="AAB111" s="3"/>
      <c r="AAC111" s="3"/>
      <c r="AAD111" s="3"/>
      <c r="AAE111" s="3"/>
      <c r="AAF111" s="3"/>
      <c r="AAG111" s="3"/>
      <c r="AAH111" s="3"/>
      <c r="AAI111" s="3"/>
      <c r="AAJ111" s="3"/>
      <c r="AAK111" s="3"/>
      <c r="AAL111" s="3"/>
      <c r="AAM111" s="3"/>
      <c r="AAN111" s="3"/>
      <c r="AAO111" s="3"/>
      <c r="AAP111" s="3"/>
      <c r="AAQ111" s="3"/>
      <c r="AAR111" s="3"/>
      <c r="AAS111" s="3"/>
      <c r="AAT111" s="3"/>
      <c r="AAU111" s="3"/>
      <c r="AAV111" s="3"/>
      <c r="AAW111" s="3"/>
      <c r="AAX111" s="3"/>
      <c r="AAY111" s="3"/>
      <c r="AAZ111" s="3"/>
      <c r="ABA111" s="3"/>
      <c r="ABB111" s="3"/>
      <c r="ABC111" s="3"/>
      <c r="ABD111" s="3"/>
      <c r="ABE111" s="3"/>
      <c r="ABF111" s="3"/>
      <c r="ABG111" s="3"/>
      <c r="ABH111" s="3"/>
      <c r="ABI111" s="3"/>
      <c r="ABJ111" s="3"/>
      <c r="ABK111" s="3"/>
      <c r="ABL111" s="3"/>
      <c r="ABM111" s="3"/>
      <c r="ABN111" s="3"/>
      <c r="ABO111" s="3"/>
      <c r="ABP111" s="3"/>
      <c r="ABQ111" s="3"/>
      <c r="ABR111" s="3"/>
      <c r="ABS111" s="3"/>
      <c r="ABT111" s="3"/>
      <c r="ABU111" s="3"/>
      <c r="ABV111" s="3"/>
      <c r="ABW111" s="3"/>
      <c r="ABX111" s="3"/>
      <c r="ABY111" s="3"/>
      <c r="ABZ111" s="3"/>
      <c r="ACA111" s="3"/>
      <c r="ACB111" s="3"/>
      <c r="ACC111" s="3"/>
      <c r="ACD111" s="3"/>
      <c r="ACE111" s="3"/>
      <c r="ACF111" s="3"/>
      <c r="ACG111" s="3"/>
      <c r="ACH111" s="3"/>
      <c r="ACI111" s="3"/>
      <c r="ACJ111" s="3"/>
      <c r="ACK111" s="3"/>
      <c r="ACL111" s="3"/>
      <c r="ACM111" s="3"/>
      <c r="ACN111" s="3"/>
      <c r="ACO111" s="3"/>
      <c r="ACP111" s="3"/>
      <c r="ACQ111" s="3"/>
      <c r="ACR111" s="3"/>
      <c r="ACS111" s="3"/>
      <c r="ACT111" s="3"/>
      <c r="ACU111" s="3"/>
      <c r="ACV111" s="3"/>
      <c r="ACW111" s="3"/>
      <c r="ACX111" s="3"/>
      <c r="ACY111" s="3"/>
      <c r="ACZ111" s="3"/>
      <c r="ADA111" s="3"/>
      <c r="ADB111" s="3"/>
      <c r="ADC111" s="3"/>
      <c r="ADD111" s="3"/>
      <c r="ADE111" s="3"/>
      <c r="ADF111" s="3"/>
      <c r="ADG111" s="3"/>
      <c r="ADH111" s="3"/>
      <c r="ADI111" s="3"/>
      <c r="ADJ111" s="3"/>
      <c r="ADK111" s="3"/>
      <c r="ADL111" s="3"/>
      <c r="ADM111" s="3"/>
      <c r="ADN111" s="3"/>
      <c r="ADO111" s="3"/>
      <c r="ADP111" s="3"/>
      <c r="ADQ111" s="3"/>
      <c r="ADR111" s="3"/>
      <c r="ADS111" s="3"/>
      <c r="ADT111" s="3"/>
      <c r="ADU111" s="3"/>
      <c r="ADV111" s="3"/>
      <c r="ADW111" s="3"/>
      <c r="ADX111" s="3"/>
      <c r="ADY111" s="3"/>
      <c r="ADZ111" s="3"/>
      <c r="AEA111" s="3"/>
      <c r="AEB111" s="3"/>
      <c r="AEC111" s="3"/>
      <c r="AED111" s="3"/>
      <c r="AEE111" s="3"/>
      <c r="AEF111" s="3"/>
      <c r="AEG111" s="3"/>
      <c r="AEH111" s="3"/>
      <c r="AEI111" s="3"/>
      <c r="AEJ111" s="3"/>
      <c r="AEK111" s="3"/>
      <c r="AEL111" s="3"/>
      <c r="AEM111" s="3"/>
      <c r="AEN111" s="3"/>
      <c r="AEO111" s="3"/>
      <c r="AEP111" s="3"/>
      <c r="AEQ111" s="3"/>
      <c r="AER111" s="3"/>
      <c r="AES111" s="3"/>
      <c r="AET111" s="3"/>
      <c r="AEU111" s="3"/>
      <c r="AEV111" s="3"/>
      <c r="AEW111" s="3"/>
      <c r="AEX111" s="3"/>
      <c r="AEY111" s="3"/>
      <c r="AEZ111" s="3"/>
      <c r="AFA111" s="3"/>
      <c r="AFB111" s="3"/>
      <c r="AFC111" s="3"/>
      <c r="AFD111" s="3"/>
      <c r="AFE111" s="3"/>
      <c r="AFF111" s="3"/>
      <c r="AFG111" s="3"/>
      <c r="AFH111" s="3"/>
      <c r="AFI111" s="3"/>
      <c r="AFJ111" s="3"/>
      <c r="AFK111" s="3"/>
      <c r="AFL111" s="3"/>
      <c r="AFM111" s="3"/>
      <c r="AFN111" s="3"/>
      <c r="AFO111" s="3"/>
      <c r="AFP111" s="3"/>
      <c r="AFQ111" s="3"/>
      <c r="AFR111" s="3"/>
      <c r="AFS111" s="3"/>
      <c r="AFT111" s="3"/>
      <c r="AFU111" s="3"/>
      <c r="AFV111" s="3"/>
      <c r="AFW111" s="3"/>
      <c r="AFX111" s="3"/>
      <c r="AFY111" s="3"/>
      <c r="AFZ111" s="3"/>
      <c r="AGA111" s="3"/>
      <c r="AGB111" s="3"/>
      <c r="AGC111" s="3"/>
      <c r="AGD111" s="3"/>
      <c r="AGE111" s="3"/>
      <c r="AGF111" s="3"/>
      <c r="AGG111" s="3"/>
      <c r="AGH111" s="3"/>
      <c r="AGI111" s="3"/>
      <c r="AGJ111" s="3"/>
      <c r="AGK111" s="3"/>
      <c r="AGL111" s="3"/>
      <c r="AGM111" s="3"/>
      <c r="AGN111" s="3"/>
      <c r="AGO111" s="3"/>
      <c r="AGP111" s="3"/>
      <c r="AGQ111" s="3"/>
      <c r="AGR111" s="3"/>
      <c r="AGS111" s="3"/>
      <c r="AGT111" s="3"/>
      <c r="AGU111" s="3"/>
      <c r="AGV111" s="3"/>
      <c r="AGW111" s="3"/>
      <c r="AGX111" s="3"/>
      <c r="AGY111" s="3"/>
      <c r="AGZ111" s="3"/>
      <c r="AHA111" s="3"/>
      <c r="AHB111" s="3"/>
      <c r="AHC111" s="3"/>
      <c r="AHD111" s="3"/>
      <c r="AHE111" s="3"/>
      <c r="AHF111" s="3"/>
      <c r="AHG111" s="3"/>
      <c r="AHH111" s="3"/>
      <c r="AHI111" s="3"/>
      <c r="AHJ111" s="3"/>
      <c r="AHK111" s="3"/>
      <c r="AHL111" s="3"/>
      <c r="AHM111" s="3"/>
      <c r="AHN111" s="3"/>
      <c r="AHO111" s="3"/>
      <c r="AHP111" s="3"/>
      <c r="AHQ111" s="3"/>
      <c r="AHR111" s="3"/>
      <c r="AHS111" s="3"/>
      <c r="AHT111" s="3"/>
      <c r="AHU111" s="3"/>
      <c r="AHV111" s="3"/>
      <c r="AHW111" s="3"/>
      <c r="AHX111" s="3"/>
      <c r="AHY111" s="3"/>
      <c r="AHZ111" s="3"/>
      <c r="AIA111" s="3"/>
      <c r="AIB111" s="3"/>
      <c r="AIC111" s="3"/>
      <c r="AID111" s="3"/>
      <c r="AIE111" s="3"/>
      <c r="AIF111" s="3"/>
      <c r="AIG111" s="3"/>
      <c r="AIH111" s="3"/>
      <c r="AII111" s="3"/>
      <c r="AIJ111" s="3"/>
      <c r="AIK111" s="3"/>
      <c r="AIL111" s="3"/>
      <c r="AIM111" s="3"/>
      <c r="AIN111" s="3"/>
      <c r="AIO111" s="3"/>
      <c r="AIP111" s="3"/>
      <c r="AIQ111" s="3"/>
      <c r="AIR111" s="3"/>
      <c r="AIS111" s="3"/>
      <c r="AIT111" s="3"/>
      <c r="AIU111" s="3"/>
      <c r="AIV111" s="3"/>
      <c r="AIW111" s="3"/>
      <c r="AIX111" s="3"/>
      <c r="AIY111" s="3"/>
      <c r="AIZ111" s="3"/>
      <c r="AJA111" s="3"/>
      <c r="AJB111" s="3"/>
      <c r="AJC111" s="3"/>
      <c r="AJD111" s="3"/>
      <c r="AJE111" s="3"/>
      <c r="AJF111" s="3"/>
      <c r="AJG111" s="3"/>
      <c r="AJH111" s="3"/>
      <c r="AJI111" s="3"/>
      <c r="AJJ111" s="3"/>
      <c r="AJK111" s="3"/>
      <c r="AJL111" s="3"/>
      <c r="AJM111" s="3"/>
      <c r="AJN111" s="3"/>
      <c r="AJO111" s="3"/>
      <c r="AJP111" s="3"/>
      <c r="AJQ111" s="3"/>
      <c r="AJR111" s="3"/>
      <c r="AJS111" s="3"/>
      <c r="AJT111" s="3"/>
      <c r="AJU111" s="3"/>
      <c r="AJV111" s="3"/>
      <c r="AJW111" s="3"/>
      <c r="AJX111" s="3"/>
      <c r="AJY111" s="3"/>
      <c r="AJZ111" s="3"/>
      <c r="AKA111" s="3"/>
      <c r="AKB111" s="3"/>
      <c r="AKC111" s="3"/>
      <c r="AKD111" s="3"/>
      <c r="AKE111" s="3"/>
      <c r="AKF111" s="3"/>
      <c r="AKG111" s="3"/>
      <c r="AKH111" s="3"/>
      <c r="AKI111" s="3"/>
      <c r="AKJ111" s="3"/>
      <c r="AKK111" s="3"/>
      <c r="AKL111" s="3"/>
      <c r="AKM111" s="3"/>
      <c r="AKN111" s="3"/>
      <c r="AKO111" s="3"/>
      <c r="AKP111" s="3"/>
      <c r="AKQ111" s="3"/>
      <c r="AKR111" s="3"/>
      <c r="AKS111" s="3"/>
      <c r="AKT111" s="3"/>
      <c r="AKU111" s="3"/>
      <c r="AKV111" s="3"/>
      <c r="AKW111" s="3"/>
      <c r="AKX111" s="3"/>
      <c r="AKY111" s="3"/>
      <c r="AKZ111" s="3"/>
      <c r="ALA111" s="3"/>
      <c r="ALB111" s="3"/>
      <c r="ALC111" s="3"/>
      <c r="ALD111" s="3"/>
      <c r="ALE111" s="3"/>
      <c r="ALF111" s="3"/>
      <c r="ALG111" s="3"/>
      <c r="ALH111" s="3"/>
      <c r="ALI111" s="3"/>
      <c r="ALJ111" s="3"/>
      <c r="ALK111" s="3"/>
      <c r="ALL111" s="3"/>
      <c r="ALM111" s="3"/>
      <c r="ALN111" s="3"/>
      <c r="ALO111" s="3"/>
      <c r="ALP111" s="3"/>
      <c r="ALQ111" s="3"/>
      <c r="ALR111" s="3"/>
      <c r="ALS111" s="3"/>
      <c r="ALT111" s="3"/>
      <c r="ALU111" s="3"/>
      <c r="ALV111" s="3"/>
      <c r="ALW111" s="3"/>
      <c r="ALX111" s="3"/>
      <c r="ALY111" s="3"/>
      <c r="ALZ111" s="3"/>
      <c r="AMA111" s="3"/>
      <c r="AMB111" s="3"/>
      <c r="AMC111" s="3"/>
      <c r="AMD111" s="3"/>
      <c r="AME111" s="3"/>
      <c r="AMF111" s="3"/>
      <c r="AMG111" s="3"/>
      <c r="AMH111" s="3"/>
      <c r="AMI111" s="3"/>
      <c r="AMJ111" s="3"/>
      <c r="AMK111" s="3"/>
      <c r="AML111" s="3"/>
      <c r="AMM111" s="3"/>
      <c r="AMN111" s="3"/>
      <c r="AMO111" s="3"/>
      <c r="AMP111" s="3"/>
      <c r="AMQ111" s="3"/>
      <c r="AMR111" s="3"/>
      <c r="AMS111" s="3"/>
      <c r="AMT111" s="3"/>
      <c r="AMU111" s="3"/>
      <c r="AMV111" s="3"/>
      <c r="AMW111" s="3"/>
      <c r="AMX111" s="3"/>
      <c r="AMY111" s="3"/>
      <c r="AMZ111" s="3"/>
      <c r="ANA111" s="3"/>
      <c r="ANB111" s="3"/>
      <c r="ANC111" s="3"/>
      <c r="AND111" s="3"/>
      <c r="ANE111" s="3"/>
      <c r="ANF111" s="3"/>
      <c r="ANG111" s="3"/>
      <c r="ANH111" s="3"/>
      <c r="ANI111" s="3"/>
      <c r="ANJ111" s="3"/>
      <c r="ANK111" s="3"/>
      <c r="ANL111" s="3"/>
      <c r="ANM111" s="3"/>
      <c r="ANN111" s="3"/>
      <c r="ANO111" s="3"/>
      <c r="ANP111" s="3"/>
      <c r="ANQ111" s="3"/>
      <c r="ANR111" s="3"/>
      <c r="ANS111" s="3"/>
      <c r="ANT111" s="3"/>
      <c r="ANU111" s="3"/>
      <c r="ANV111" s="3"/>
      <c r="ANW111" s="3"/>
      <c r="ANX111" s="3"/>
      <c r="ANY111" s="3"/>
      <c r="ANZ111" s="3"/>
      <c r="AOA111" s="3"/>
      <c r="AOB111" s="3"/>
      <c r="AOC111" s="3"/>
      <c r="AOD111" s="3"/>
      <c r="AOE111" s="3"/>
      <c r="AOF111" s="3"/>
      <c r="AOG111" s="3"/>
      <c r="AOH111" s="3"/>
      <c r="AOI111" s="3"/>
      <c r="AOJ111" s="3"/>
      <c r="AOK111" s="3"/>
      <c r="AOL111" s="3"/>
      <c r="AOM111" s="3"/>
      <c r="AON111" s="3"/>
      <c r="AOO111" s="3"/>
      <c r="AOP111" s="3"/>
      <c r="AOQ111" s="3"/>
      <c r="AOR111" s="3"/>
      <c r="AOS111" s="3"/>
      <c r="AOT111" s="3"/>
      <c r="AOU111" s="3"/>
      <c r="AOV111" s="3"/>
      <c r="AOW111" s="3"/>
      <c r="AOX111" s="3"/>
      <c r="AOY111" s="3"/>
      <c r="AOZ111" s="3"/>
      <c r="APA111" s="3"/>
      <c r="APB111" s="3"/>
      <c r="APC111" s="3"/>
      <c r="APD111" s="3"/>
      <c r="APE111" s="3"/>
      <c r="APF111" s="3"/>
      <c r="APG111" s="3"/>
      <c r="APH111" s="3"/>
      <c r="API111" s="3"/>
      <c r="APJ111" s="3"/>
      <c r="APK111" s="3"/>
      <c r="APL111" s="3"/>
      <c r="APM111" s="3"/>
      <c r="APN111" s="3"/>
      <c r="APO111" s="3"/>
      <c r="APP111" s="3"/>
      <c r="APQ111" s="3"/>
      <c r="APR111" s="3"/>
      <c r="APS111" s="3"/>
      <c r="APT111" s="3"/>
      <c r="APU111" s="3"/>
      <c r="APV111" s="3"/>
      <c r="APW111" s="3"/>
      <c r="APX111" s="3"/>
      <c r="APY111" s="3"/>
      <c r="APZ111" s="3"/>
      <c r="AQA111" s="3"/>
      <c r="AQB111" s="3"/>
      <c r="AQC111" s="3"/>
      <c r="AQD111" s="3"/>
      <c r="AQE111" s="3"/>
      <c r="AQF111" s="3"/>
      <c r="AQG111" s="3"/>
      <c r="AQH111" s="3"/>
      <c r="AQI111" s="3"/>
      <c r="AQJ111" s="3"/>
      <c r="AQK111" s="3"/>
      <c r="AQL111" s="3"/>
      <c r="AQM111" s="3"/>
      <c r="AQN111" s="3"/>
      <c r="AQO111" s="3"/>
      <c r="AQP111" s="3"/>
      <c r="AQQ111" s="3"/>
      <c r="AQR111" s="3"/>
      <c r="AQS111" s="3"/>
      <c r="AQT111" s="3"/>
      <c r="AQU111" s="3"/>
      <c r="AQV111" s="3"/>
      <c r="AQW111" s="3"/>
      <c r="AQX111" s="3"/>
      <c r="AQY111" s="3"/>
      <c r="AQZ111" s="3"/>
      <c r="ARA111" s="3"/>
      <c r="ARB111" s="3"/>
      <c r="ARC111" s="3"/>
      <c r="ARD111" s="3"/>
      <c r="ARE111" s="3"/>
      <c r="ARF111" s="3"/>
      <c r="ARG111" s="3"/>
      <c r="ARH111" s="3"/>
      <c r="ARI111" s="3"/>
      <c r="ARJ111" s="3"/>
      <c r="ARK111" s="3"/>
      <c r="ARL111" s="3"/>
      <c r="ARM111" s="3"/>
      <c r="ARN111" s="3"/>
      <c r="ARO111" s="3"/>
      <c r="ARP111" s="3"/>
      <c r="ARQ111" s="3"/>
      <c r="ARR111" s="3"/>
      <c r="ARS111" s="3"/>
      <c r="ART111" s="3"/>
      <c r="ARU111" s="3"/>
      <c r="ARV111" s="3"/>
      <c r="ARW111" s="3"/>
      <c r="ARX111" s="3"/>
      <c r="ARY111" s="3"/>
      <c r="ARZ111" s="3"/>
      <c r="ASA111" s="3"/>
      <c r="ASB111" s="3"/>
      <c r="ASC111" s="3"/>
      <c r="ASD111" s="3"/>
      <c r="ASE111" s="3"/>
      <c r="ASF111" s="3"/>
      <c r="ASG111" s="3"/>
      <c r="ASH111" s="3"/>
      <c r="ASI111" s="3"/>
      <c r="ASJ111" s="3"/>
      <c r="ASK111" s="3"/>
      <c r="ASL111" s="3"/>
      <c r="ASM111" s="3"/>
      <c r="ASN111" s="3"/>
      <c r="ASO111" s="3"/>
      <c r="ASP111" s="3"/>
      <c r="ASQ111" s="3"/>
      <c r="ASR111" s="3"/>
      <c r="ASS111" s="3"/>
      <c r="AST111" s="3"/>
      <c r="ASU111" s="3"/>
      <c r="ASV111" s="3"/>
      <c r="ASW111" s="3"/>
      <c r="ASX111" s="3"/>
      <c r="ASY111" s="3"/>
      <c r="ASZ111" s="3"/>
      <c r="ATA111" s="3"/>
      <c r="ATB111" s="3"/>
      <c r="ATC111" s="3"/>
      <c r="ATD111" s="3"/>
      <c r="ATE111" s="3"/>
      <c r="ATF111" s="3"/>
      <c r="ATG111" s="3"/>
      <c r="ATH111" s="3"/>
      <c r="ATI111" s="3"/>
      <c r="ATJ111" s="3"/>
      <c r="ATK111" s="3"/>
      <c r="ATL111" s="3"/>
      <c r="ATM111" s="3"/>
      <c r="ATN111" s="3"/>
      <c r="ATO111" s="3"/>
      <c r="ATP111" s="3"/>
      <c r="ATQ111" s="3"/>
      <c r="ATR111" s="3"/>
      <c r="ATS111" s="3"/>
      <c r="ATT111" s="3"/>
      <c r="ATU111" s="3"/>
      <c r="ATV111" s="3"/>
      <c r="ATW111" s="3"/>
      <c r="ATX111" s="3"/>
      <c r="ATY111" s="3"/>
      <c r="ATZ111" s="3"/>
      <c r="AUA111" s="3"/>
      <c r="AUB111" s="3"/>
      <c r="AUC111" s="3"/>
      <c r="AUD111" s="3"/>
      <c r="AUE111" s="3"/>
      <c r="AUF111" s="3"/>
      <c r="AUG111" s="3"/>
      <c r="AUH111" s="3"/>
      <c r="AUI111" s="3"/>
      <c r="AUJ111" s="3"/>
      <c r="AUK111" s="3"/>
      <c r="AUL111" s="3"/>
      <c r="AUM111" s="3"/>
      <c r="AUN111" s="3"/>
      <c r="AUO111" s="3"/>
      <c r="AUP111" s="3"/>
      <c r="AUQ111" s="3"/>
      <c r="AUR111" s="3"/>
      <c r="AUS111" s="3"/>
      <c r="AUT111" s="3"/>
      <c r="AUU111" s="3"/>
      <c r="AUV111" s="3"/>
      <c r="AUW111" s="3"/>
      <c r="AUX111" s="3"/>
      <c r="AUY111" s="3"/>
      <c r="AUZ111" s="3"/>
      <c r="AVA111" s="3"/>
      <c r="AVB111" s="3"/>
      <c r="AVC111" s="3"/>
      <c r="AVD111" s="3"/>
      <c r="AVE111" s="3"/>
      <c r="AVF111" s="3"/>
      <c r="AVG111" s="3"/>
      <c r="AVH111" s="3"/>
      <c r="AVI111" s="3"/>
      <c r="AVJ111" s="3"/>
      <c r="AVK111" s="3"/>
      <c r="AVL111" s="3"/>
      <c r="AVM111" s="3"/>
      <c r="AVN111" s="3"/>
      <c r="AVO111" s="3"/>
      <c r="AVP111" s="3"/>
      <c r="AVQ111" s="3"/>
      <c r="AVR111" s="3"/>
      <c r="AVS111" s="3"/>
      <c r="AVT111" s="3"/>
      <c r="AVU111" s="3"/>
      <c r="AVV111" s="3"/>
      <c r="AVW111" s="3"/>
      <c r="AVX111" s="3"/>
      <c r="AVY111" s="3"/>
      <c r="AVZ111" s="3"/>
      <c r="AWA111" s="3"/>
      <c r="AWB111" s="3"/>
      <c r="AWC111" s="3"/>
      <c r="AWD111" s="3"/>
      <c r="AWE111" s="3"/>
      <c r="AWF111" s="3"/>
      <c r="AWG111" s="3"/>
      <c r="AWH111" s="3"/>
      <c r="AWI111" s="3"/>
      <c r="AWJ111" s="3"/>
      <c r="AWK111" s="3"/>
      <c r="AWL111" s="3"/>
      <c r="AWM111" s="3"/>
      <c r="AWN111" s="3"/>
      <c r="AWO111" s="3"/>
      <c r="AWP111" s="3"/>
      <c r="AWQ111" s="3"/>
      <c r="AWR111" s="3"/>
      <c r="AWS111" s="3"/>
      <c r="AWT111" s="3"/>
      <c r="AWU111" s="3"/>
      <c r="AWV111" s="3"/>
      <c r="AWW111" s="3"/>
      <c r="AWX111" s="3"/>
      <c r="AWY111" s="3"/>
      <c r="AWZ111" s="3"/>
      <c r="AXA111" s="3"/>
      <c r="AXB111" s="3"/>
      <c r="AXC111" s="3"/>
      <c r="AXD111" s="3"/>
      <c r="AXE111" s="3"/>
      <c r="AXF111" s="3"/>
      <c r="AXG111" s="3"/>
      <c r="AXH111" s="3"/>
      <c r="AXI111" s="3"/>
      <c r="AXJ111" s="3"/>
      <c r="AXK111" s="3"/>
      <c r="AXL111" s="3"/>
      <c r="AXM111" s="3"/>
      <c r="AXN111" s="3"/>
      <c r="AXO111" s="3"/>
      <c r="AXP111" s="3"/>
      <c r="AXQ111" s="3"/>
      <c r="AXR111" s="3"/>
      <c r="AXS111" s="3"/>
      <c r="AXT111" s="3"/>
      <c r="AXU111" s="3"/>
      <c r="AXV111" s="3"/>
      <c r="AXW111" s="3"/>
      <c r="AXX111" s="3"/>
      <c r="AXY111" s="3"/>
      <c r="AXZ111" s="3"/>
      <c r="AYA111" s="3"/>
      <c r="AYB111" s="3"/>
      <c r="AYC111" s="3"/>
      <c r="AYD111" s="3"/>
      <c r="AYE111" s="3"/>
      <c r="AYF111" s="3"/>
      <c r="AYG111" s="3"/>
      <c r="AYH111" s="3"/>
      <c r="AYI111" s="3"/>
      <c r="AYJ111" s="3"/>
      <c r="AYK111" s="3"/>
      <c r="AYL111" s="3"/>
      <c r="AYM111" s="3"/>
      <c r="AYN111" s="3"/>
      <c r="AYO111" s="3"/>
      <c r="AYP111" s="3"/>
      <c r="AYQ111" s="3"/>
      <c r="AYR111" s="3"/>
      <c r="AYS111" s="3"/>
      <c r="AYT111" s="3"/>
      <c r="AYU111" s="3"/>
      <c r="AYV111" s="3"/>
      <c r="AYW111" s="3"/>
      <c r="AYX111" s="3"/>
      <c r="AYY111" s="3"/>
      <c r="AYZ111" s="3"/>
      <c r="AZA111" s="3"/>
      <c r="AZB111" s="3"/>
      <c r="AZC111" s="3"/>
      <c r="AZD111" s="3"/>
      <c r="AZE111" s="3"/>
      <c r="AZF111" s="3"/>
      <c r="AZG111" s="3"/>
      <c r="AZH111" s="3"/>
      <c r="AZI111" s="3"/>
      <c r="AZJ111" s="3"/>
      <c r="AZK111" s="3"/>
      <c r="AZL111" s="3"/>
      <c r="AZM111" s="3"/>
      <c r="AZN111" s="3"/>
      <c r="AZO111" s="3"/>
      <c r="AZP111" s="3"/>
      <c r="AZQ111" s="3"/>
      <c r="AZR111" s="3"/>
      <c r="AZS111" s="3"/>
      <c r="AZT111" s="3"/>
      <c r="AZU111" s="3"/>
      <c r="AZV111" s="3"/>
      <c r="AZW111" s="3"/>
      <c r="AZX111" s="3"/>
      <c r="AZY111" s="3"/>
      <c r="AZZ111" s="3"/>
      <c r="BAA111" s="3"/>
      <c r="BAB111" s="3"/>
      <c r="BAC111" s="3"/>
      <c r="BAD111" s="3"/>
      <c r="BAE111" s="3"/>
      <c r="BAF111" s="3"/>
      <c r="BAG111" s="3"/>
      <c r="BAH111" s="3"/>
      <c r="BAI111" s="3"/>
      <c r="BAJ111" s="3"/>
      <c r="BAK111" s="3"/>
      <c r="BAL111" s="3"/>
      <c r="BAM111" s="3"/>
      <c r="BAN111" s="3"/>
      <c r="BAO111" s="3"/>
      <c r="BAP111" s="3"/>
      <c r="BAQ111" s="3"/>
      <c r="BAR111" s="3"/>
      <c r="BAS111" s="3"/>
      <c r="BAT111" s="3"/>
      <c r="BAU111" s="3"/>
      <c r="BAV111" s="3"/>
      <c r="BAW111" s="3"/>
      <c r="BAX111" s="3"/>
      <c r="BAY111" s="3"/>
      <c r="BAZ111" s="3"/>
      <c r="BBA111" s="3"/>
      <c r="BBB111" s="3"/>
      <c r="BBC111" s="3"/>
      <c r="BBD111" s="3"/>
      <c r="BBE111" s="3"/>
      <c r="BBF111" s="3"/>
      <c r="BBG111" s="3"/>
      <c r="BBH111" s="3"/>
      <c r="BBI111" s="3"/>
      <c r="BBJ111" s="3"/>
      <c r="BBK111" s="3"/>
      <c r="BBL111" s="3"/>
      <c r="BBM111" s="3"/>
      <c r="BBN111" s="3"/>
      <c r="BBO111" s="3"/>
      <c r="BBP111" s="3"/>
      <c r="BBQ111" s="3"/>
      <c r="BBR111" s="3"/>
      <c r="BBS111" s="3"/>
      <c r="BBT111" s="3"/>
      <c r="BBU111" s="3"/>
      <c r="BBV111" s="3"/>
      <c r="BBW111" s="3"/>
      <c r="BBX111" s="3"/>
      <c r="BBY111" s="3"/>
      <c r="BBZ111" s="3"/>
      <c r="BCA111" s="3"/>
      <c r="BCB111" s="3"/>
      <c r="BCC111" s="3"/>
      <c r="BCD111" s="3"/>
      <c r="BCE111" s="3"/>
      <c r="BCF111" s="3"/>
      <c r="BCG111" s="3"/>
      <c r="BCH111" s="3"/>
      <c r="BCI111" s="3"/>
      <c r="BCJ111" s="3"/>
      <c r="BCK111" s="3"/>
      <c r="BCL111" s="3"/>
      <c r="BCM111" s="3"/>
      <c r="BCN111" s="3"/>
      <c r="BCO111" s="3"/>
      <c r="BCP111" s="3"/>
      <c r="BCQ111" s="3"/>
      <c r="BCR111" s="3"/>
      <c r="BCS111" s="3"/>
      <c r="BCT111" s="3"/>
      <c r="BCU111" s="3"/>
      <c r="BCV111" s="3"/>
      <c r="BCW111" s="3"/>
      <c r="BCX111" s="3"/>
      <c r="BCY111" s="3"/>
      <c r="BCZ111" s="3"/>
      <c r="BDA111" s="3"/>
      <c r="BDB111" s="3"/>
      <c r="BDC111" s="3"/>
      <c r="BDD111" s="3"/>
      <c r="BDE111" s="3"/>
      <c r="BDF111" s="3"/>
      <c r="BDG111" s="3"/>
      <c r="BDH111" s="3"/>
      <c r="BDI111" s="3"/>
      <c r="BDJ111" s="3"/>
      <c r="BDK111" s="3"/>
      <c r="BDL111" s="3"/>
      <c r="BDM111" s="3"/>
      <c r="BDN111" s="3"/>
      <c r="BDO111" s="3"/>
      <c r="BDP111" s="3"/>
      <c r="BDQ111" s="3"/>
      <c r="BDR111" s="3"/>
      <c r="BDS111" s="3"/>
      <c r="BDT111" s="3"/>
      <c r="BDU111" s="3"/>
      <c r="BDV111" s="3"/>
      <c r="BDW111" s="3"/>
      <c r="BDX111" s="3"/>
      <c r="BDY111" s="3"/>
      <c r="BDZ111" s="3"/>
      <c r="BEA111" s="3"/>
      <c r="BEB111" s="3"/>
      <c r="BEC111" s="3"/>
      <c r="BED111" s="3"/>
      <c r="BEE111" s="3"/>
      <c r="BEF111" s="3"/>
      <c r="BEG111" s="3"/>
      <c r="BEH111" s="3"/>
      <c r="BEI111" s="3"/>
      <c r="BEJ111" s="3"/>
      <c r="BEK111" s="3"/>
      <c r="BEL111" s="3"/>
      <c r="BEM111" s="3"/>
      <c r="BEN111" s="3"/>
      <c r="BEO111" s="3"/>
      <c r="BEP111" s="3"/>
      <c r="BEQ111" s="3"/>
      <c r="BER111" s="3"/>
      <c r="BES111" s="3"/>
      <c r="BET111" s="3"/>
      <c r="BEU111" s="3"/>
      <c r="BEV111" s="3"/>
      <c r="BEW111" s="3"/>
      <c r="BEX111" s="3"/>
      <c r="BEY111" s="3"/>
      <c r="BEZ111" s="3"/>
      <c r="BFA111" s="3"/>
      <c r="BFB111" s="3"/>
      <c r="BFC111" s="3"/>
      <c r="BFD111" s="3"/>
      <c r="BFE111" s="3"/>
      <c r="BFF111" s="3"/>
      <c r="BFG111" s="3"/>
      <c r="BFH111" s="3"/>
      <c r="BFI111" s="3"/>
      <c r="BFJ111" s="3"/>
      <c r="BFK111" s="3"/>
      <c r="BFL111" s="3"/>
      <c r="BFM111" s="3"/>
      <c r="BFN111" s="3"/>
      <c r="BFO111" s="3"/>
      <c r="BFP111" s="3"/>
      <c r="BFQ111" s="3"/>
      <c r="BFR111" s="3"/>
      <c r="BFS111" s="3"/>
      <c r="BFT111" s="3"/>
      <c r="BFU111" s="3"/>
      <c r="BFV111" s="3"/>
      <c r="BFW111" s="3"/>
      <c r="BFX111" s="3"/>
      <c r="BFY111" s="3"/>
      <c r="BFZ111" s="3"/>
      <c r="BGA111" s="3"/>
      <c r="BGB111" s="3"/>
      <c r="BGC111" s="3"/>
      <c r="BGD111" s="3"/>
      <c r="BGE111" s="3"/>
      <c r="BGF111" s="3"/>
      <c r="BGG111" s="3"/>
      <c r="BGH111" s="3"/>
      <c r="BGI111" s="3"/>
      <c r="BGJ111" s="3"/>
      <c r="BGK111" s="3"/>
      <c r="BGL111" s="3"/>
      <c r="BGM111" s="3"/>
      <c r="BGN111" s="3"/>
      <c r="BGO111" s="3"/>
      <c r="BGP111" s="3"/>
      <c r="BGQ111" s="3"/>
      <c r="BGR111" s="3"/>
      <c r="BGS111" s="3"/>
      <c r="BGT111" s="3"/>
      <c r="BGU111" s="3"/>
      <c r="BGV111" s="3"/>
      <c r="BGW111" s="3"/>
      <c r="BGX111" s="3"/>
      <c r="BGY111" s="3"/>
      <c r="BGZ111" s="3"/>
      <c r="BHA111" s="3"/>
      <c r="BHB111" s="3"/>
      <c r="BHC111" s="3"/>
      <c r="BHD111" s="3"/>
      <c r="BHE111" s="3"/>
      <c r="BHF111" s="3"/>
      <c r="BHG111" s="3"/>
      <c r="BHH111" s="3"/>
      <c r="BHI111" s="3"/>
      <c r="BHJ111" s="3"/>
      <c r="BHK111" s="3"/>
      <c r="BHL111" s="3"/>
      <c r="BHM111" s="3"/>
      <c r="BHN111" s="3"/>
      <c r="BHO111" s="3"/>
      <c r="BHP111" s="3"/>
      <c r="BHQ111" s="3"/>
      <c r="BHR111" s="3"/>
      <c r="BHS111" s="3"/>
      <c r="BHT111" s="3"/>
      <c r="BHU111" s="3"/>
      <c r="BHV111" s="3"/>
      <c r="BHW111" s="3"/>
      <c r="BHX111" s="3"/>
      <c r="BHY111" s="3"/>
      <c r="BHZ111" s="3"/>
      <c r="BIA111" s="3"/>
      <c r="BIB111" s="3"/>
      <c r="BIC111" s="3"/>
      <c r="BID111" s="3"/>
      <c r="BIE111" s="3"/>
      <c r="BIF111" s="3"/>
      <c r="BIG111" s="3"/>
      <c r="BIH111" s="3"/>
      <c r="BII111" s="3"/>
      <c r="BIJ111" s="3"/>
      <c r="BIK111" s="3"/>
      <c r="BIL111" s="3"/>
      <c r="BIM111" s="3"/>
      <c r="BIN111" s="3"/>
      <c r="BIO111" s="3"/>
      <c r="BIP111" s="3"/>
      <c r="BIQ111" s="3"/>
      <c r="BIR111" s="3"/>
      <c r="BIS111" s="3"/>
      <c r="BIT111" s="3"/>
      <c r="BIU111" s="3"/>
      <c r="BIV111" s="3"/>
      <c r="BIW111" s="3"/>
      <c r="BIX111" s="3"/>
      <c r="BIY111" s="3"/>
      <c r="BIZ111" s="3"/>
      <c r="BJA111" s="3"/>
      <c r="BJB111" s="3"/>
      <c r="BJC111" s="3"/>
      <c r="BJD111" s="3"/>
      <c r="BJE111" s="3"/>
      <c r="BJF111" s="3"/>
      <c r="BJG111" s="3"/>
      <c r="BJH111" s="3"/>
      <c r="BJI111" s="3"/>
      <c r="BJJ111" s="3"/>
      <c r="BJK111" s="3"/>
      <c r="BJL111" s="3"/>
      <c r="BJM111" s="3"/>
      <c r="BJN111" s="3"/>
      <c r="BJO111" s="3"/>
      <c r="BJP111" s="3"/>
      <c r="BJQ111" s="3"/>
      <c r="BJR111" s="3"/>
      <c r="BJS111" s="3"/>
      <c r="BJT111" s="3"/>
      <c r="BJU111" s="3"/>
      <c r="BJV111" s="3"/>
      <c r="BJW111" s="3"/>
      <c r="BJX111" s="3"/>
      <c r="BJY111" s="3"/>
      <c r="BJZ111" s="3"/>
      <c r="BKA111" s="3"/>
      <c r="BKB111" s="3"/>
      <c r="BKC111" s="3"/>
      <c r="BKD111" s="3"/>
      <c r="BKE111" s="3"/>
      <c r="BKF111" s="3"/>
      <c r="BKG111" s="3"/>
      <c r="BKH111" s="3"/>
      <c r="BKI111" s="3"/>
      <c r="BKJ111" s="3"/>
      <c r="BKK111" s="3"/>
      <c r="BKL111" s="3"/>
      <c r="BKM111" s="3"/>
      <c r="BKN111" s="3"/>
      <c r="BKO111" s="3"/>
      <c r="BKP111" s="3"/>
      <c r="BKQ111" s="3"/>
      <c r="BKR111" s="3"/>
      <c r="BKS111" s="3"/>
      <c r="BKT111" s="3"/>
      <c r="BKU111" s="3"/>
      <c r="BKV111" s="3"/>
      <c r="BKW111" s="3"/>
      <c r="BKX111" s="3"/>
      <c r="BKY111" s="3"/>
      <c r="BKZ111" s="3"/>
      <c r="BLA111" s="3"/>
      <c r="BLB111" s="3"/>
      <c r="BLC111" s="3"/>
      <c r="BLD111" s="3"/>
      <c r="BLE111" s="3"/>
      <c r="BLF111" s="3"/>
      <c r="BLG111" s="3"/>
      <c r="BLH111" s="3"/>
      <c r="BLI111" s="3"/>
      <c r="BLJ111" s="3"/>
      <c r="BLK111" s="3"/>
      <c r="BLL111" s="3"/>
      <c r="BLM111" s="3"/>
      <c r="BLN111" s="3"/>
      <c r="BLO111" s="3"/>
      <c r="BLP111" s="3"/>
      <c r="BLQ111" s="3"/>
      <c r="BLR111" s="3"/>
      <c r="BLS111" s="3"/>
      <c r="BLT111" s="3"/>
      <c r="BLU111" s="3"/>
      <c r="BLV111" s="3"/>
      <c r="BLW111" s="3"/>
      <c r="BLX111" s="3"/>
      <c r="BLY111" s="3"/>
      <c r="BLZ111" s="3"/>
      <c r="BMA111" s="3"/>
      <c r="BMB111" s="3"/>
      <c r="BMC111" s="3"/>
      <c r="BMD111" s="3"/>
      <c r="BME111" s="3"/>
      <c r="BMF111" s="3"/>
      <c r="BMG111" s="3"/>
      <c r="BMH111" s="3"/>
      <c r="BMI111" s="3"/>
      <c r="BMJ111" s="3"/>
      <c r="BMK111" s="3"/>
      <c r="BML111" s="3"/>
      <c r="BMM111" s="3"/>
      <c r="BMN111" s="3"/>
      <c r="BMO111" s="3"/>
      <c r="BMP111" s="3"/>
      <c r="BMQ111" s="3"/>
      <c r="BMR111" s="3"/>
      <c r="BMS111" s="3"/>
      <c r="BMT111" s="3"/>
      <c r="BMU111" s="3"/>
      <c r="BMV111" s="3"/>
      <c r="BMW111" s="3"/>
      <c r="BMX111" s="3"/>
      <c r="BMY111" s="3"/>
      <c r="BMZ111" s="3"/>
      <c r="BNA111" s="3"/>
      <c r="BNB111" s="3"/>
      <c r="BNC111" s="3"/>
      <c r="BND111" s="3"/>
      <c r="BNE111" s="3"/>
      <c r="BNF111" s="3"/>
      <c r="BNG111" s="3"/>
      <c r="BNH111" s="3"/>
      <c r="BNI111" s="3"/>
      <c r="BNJ111" s="3"/>
      <c r="BNK111" s="3"/>
      <c r="BNL111" s="3"/>
      <c r="BNM111" s="3"/>
      <c r="BNN111" s="3"/>
      <c r="BNO111" s="3"/>
      <c r="BNP111" s="3"/>
      <c r="BNQ111" s="3"/>
      <c r="BNR111" s="3"/>
      <c r="BNS111" s="3"/>
      <c r="BNT111" s="3"/>
      <c r="BNU111" s="3"/>
      <c r="BNV111" s="3"/>
      <c r="BNW111" s="3"/>
      <c r="BNX111" s="3"/>
      <c r="BNY111" s="3"/>
      <c r="BNZ111" s="3"/>
      <c r="BOA111" s="3"/>
      <c r="BOB111" s="3"/>
      <c r="BOC111" s="3"/>
      <c r="BOD111" s="3"/>
      <c r="BOE111" s="3"/>
      <c r="BOF111" s="3"/>
      <c r="BOG111" s="3"/>
      <c r="BOH111" s="3"/>
      <c r="BOI111" s="3"/>
      <c r="BOJ111" s="3"/>
      <c r="BOK111" s="3"/>
      <c r="BOL111" s="3"/>
      <c r="BOM111" s="3"/>
      <c r="BON111" s="3"/>
      <c r="BOO111" s="3"/>
      <c r="BOP111" s="3"/>
      <c r="BOQ111" s="3"/>
      <c r="BOR111" s="3"/>
      <c r="BOS111" s="3"/>
      <c r="BOT111" s="3"/>
      <c r="BOU111" s="3"/>
      <c r="BOV111" s="3"/>
      <c r="BOW111" s="3"/>
      <c r="BOX111" s="3"/>
      <c r="BOY111" s="3"/>
      <c r="BOZ111" s="3"/>
      <c r="BPA111" s="3"/>
      <c r="BPB111" s="3"/>
      <c r="BPC111" s="3"/>
      <c r="BPD111" s="3"/>
      <c r="BPE111" s="3"/>
      <c r="BPF111" s="3"/>
      <c r="BPG111" s="3"/>
      <c r="BPH111" s="3"/>
      <c r="BPI111" s="3"/>
      <c r="BPJ111" s="3"/>
      <c r="BPK111" s="3"/>
      <c r="BPL111" s="3"/>
      <c r="BPM111" s="3"/>
      <c r="BPN111" s="3"/>
      <c r="BPO111" s="3"/>
      <c r="BPP111" s="3"/>
      <c r="BPQ111" s="3"/>
      <c r="BPR111" s="3"/>
      <c r="BPS111" s="3"/>
      <c r="BPT111" s="3"/>
      <c r="BPU111" s="3"/>
      <c r="BPV111" s="3"/>
      <c r="BPW111" s="3"/>
      <c r="BPX111" s="3"/>
      <c r="BPY111" s="3"/>
      <c r="BPZ111" s="3"/>
      <c r="BQA111" s="3"/>
      <c r="BQB111" s="3"/>
      <c r="BQC111" s="3"/>
      <c r="BQD111" s="3"/>
      <c r="BQE111" s="3"/>
      <c r="BQF111" s="3"/>
      <c r="BQG111" s="3"/>
      <c r="BQH111" s="3"/>
      <c r="BQI111" s="3"/>
      <c r="BQJ111" s="3"/>
      <c r="BQK111" s="3"/>
      <c r="BQL111" s="3"/>
      <c r="BQM111" s="3"/>
      <c r="BQN111" s="3"/>
      <c r="BQO111" s="3"/>
      <c r="BQP111" s="3"/>
      <c r="BQQ111" s="3"/>
      <c r="BQR111" s="3"/>
      <c r="BQS111" s="3"/>
      <c r="BQT111" s="3"/>
      <c r="BQU111" s="3"/>
      <c r="BQV111" s="3"/>
      <c r="BQW111" s="3"/>
      <c r="BQX111" s="3"/>
      <c r="BQY111" s="3"/>
      <c r="BQZ111" s="3"/>
      <c r="BRA111" s="3"/>
      <c r="BRB111" s="3"/>
      <c r="BRC111" s="3"/>
      <c r="BRD111" s="3"/>
      <c r="BRE111" s="3"/>
      <c r="BRF111" s="3"/>
      <c r="BRG111" s="3"/>
      <c r="BRH111" s="3"/>
      <c r="BRI111" s="3"/>
      <c r="BRJ111" s="3"/>
      <c r="BRK111" s="3"/>
      <c r="BRL111" s="3"/>
      <c r="BRM111" s="3"/>
      <c r="BRN111" s="3"/>
      <c r="BRO111" s="3"/>
      <c r="BRP111" s="3"/>
      <c r="BRQ111" s="3"/>
      <c r="BRR111" s="3"/>
      <c r="BRS111" s="3"/>
      <c r="BRT111" s="3"/>
      <c r="BRU111" s="3"/>
      <c r="BRV111" s="3"/>
      <c r="BRW111" s="3"/>
      <c r="BRX111" s="3"/>
      <c r="BRY111" s="3"/>
      <c r="BRZ111" s="3"/>
      <c r="BSA111" s="3"/>
      <c r="BSB111" s="3"/>
      <c r="BSC111" s="3"/>
      <c r="BSD111" s="3"/>
      <c r="BSE111" s="3"/>
      <c r="BSF111" s="3"/>
      <c r="BSG111" s="3"/>
      <c r="BSH111" s="3"/>
      <c r="BSI111" s="3"/>
      <c r="BSJ111" s="3"/>
      <c r="BSK111" s="3"/>
      <c r="BSL111" s="3"/>
      <c r="BSM111" s="3"/>
      <c r="BSN111" s="3"/>
      <c r="BSO111" s="3"/>
      <c r="BSP111" s="3"/>
      <c r="BSQ111" s="3"/>
      <c r="BSR111" s="3"/>
      <c r="BSS111" s="3"/>
      <c r="BST111" s="3"/>
      <c r="BSU111" s="3"/>
      <c r="BSV111" s="3"/>
      <c r="BSW111" s="3"/>
      <c r="BSX111" s="3"/>
      <c r="BSY111" s="3"/>
      <c r="BSZ111" s="3"/>
      <c r="BTA111" s="3"/>
      <c r="BTB111" s="3"/>
      <c r="BTC111" s="3"/>
      <c r="BTD111" s="3"/>
      <c r="BTE111" s="3"/>
      <c r="BTF111" s="3"/>
      <c r="BTG111" s="3"/>
      <c r="BTH111" s="3"/>
      <c r="BTI111" s="3"/>
      <c r="BTJ111" s="3"/>
      <c r="BTK111" s="3"/>
      <c r="BTL111" s="3"/>
      <c r="BTM111" s="3"/>
      <c r="BTN111" s="3"/>
      <c r="BTO111" s="3"/>
      <c r="BTP111" s="3"/>
      <c r="BTQ111" s="3"/>
      <c r="BTR111" s="3"/>
      <c r="BTS111" s="3"/>
      <c r="BTT111" s="3"/>
      <c r="BTU111" s="3"/>
      <c r="BTV111" s="3"/>
      <c r="BTW111" s="3"/>
      <c r="BTX111" s="3"/>
      <c r="BTY111" s="3"/>
      <c r="BTZ111" s="3"/>
      <c r="BUA111" s="3"/>
      <c r="BUB111" s="3"/>
      <c r="BUC111" s="3"/>
      <c r="BUD111" s="3"/>
      <c r="BUE111" s="3"/>
      <c r="BUF111" s="3"/>
      <c r="BUG111" s="3"/>
      <c r="BUH111" s="3"/>
      <c r="BUI111" s="3"/>
      <c r="BUJ111" s="3"/>
      <c r="BUK111" s="3"/>
      <c r="BUL111" s="3"/>
      <c r="BUM111" s="3"/>
      <c r="BUN111" s="3"/>
      <c r="BUO111" s="3"/>
      <c r="BUP111" s="3"/>
      <c r="BUQ111" s="3"/>
      <c r="BUR111" s="3"/>
      <c r="BUS111" s="3"/>
      <c r="BUT111" s="3"/>
      <c r="BUU111" s="3"/>
      <c r="BUV111" s="3"/>
      <c r="BUW111" s="3"/>
      <c r="BUX111" s="3"/>
      <c r="BUY111" s="3"/>
      <c r="BUZ111" s="3"/>
      <c r="BVA111" s="3"/>
      <c r="BVB111" s="3"/>
      <c r="BVC111" s="3"/>
      <c r="BVD111" s="3"/>
      <c r="BVE111" s="3"/>
      <c r="BVF111" s="3"/>
      <c r="BVG111" s="3"/>
      <c r="BVH111" s="3"/>
      <c r="BVI111" s="3"/>
      <c r="BVJ111" s="3"/>
      <c r="BVK111" s="3"/>
      <c r="BVL111" s="3"/>
      <c r="BVM111" s="3"/>
      <c r="BVN111" s="3"/>
      <c r="BVO111" s="3"/>
      <c r="BVP111" s="3"/>
      <c r="BVQ111" s="3"/>
      <c r="BVR111" s="3"/>
      <c r="BVS111" s="3"/>
      <c r="BVT111" s="3"/>
      <c r="BVU111" s="3"/>
      <c r="BVV111" s="3"/>
      <c r="BVW111" s="3"/>
      <c r="BVX111" s="3"/>
      <c r="BVY111" s="3"/>
      <c r="BVZ111" s="3"/>
      <c r="BWA111" s="3"/>
      <c r="BWB111" s="3"/>
      <c r="BWC111" s="3"/>
      <c r="BWD111" s="3"/>
      <c r="BWE111" s="3"/>
      <c r="BWF111" s="3"/>
      <c r="BWG111" s="3"/>
      <c r="BWH111" s="3"/>
      <c r="BWI111" s="3"/>
      <c r="BWJ111" s="3"/>
      <c r="BWK111" s="3"/>
      <c r="BWL111" s="3"/>
      <c r="BWM111" s="3"/>
      <c r="BWN111" s="3"/>
      <c r="BWO111" s="3"/>
      <c r="BWP111" s="3"/>
      <c r="BWQ111" s="3"/>
      <c r="BWR111" s="3"/>
      <c r="BWS111" s="3"/>
      <c r="BWT111" s="3"/>
      <c r="BWU111" s="3"/>
      <c r="BWV111" s="3"/>
      <c r="BWW111" s="3"/>
      <c r="BWX111" s="3"/>
      <c r="BWY111" s="3"/>
      <c r="BWZ111" s="3"/>
      <c r="BXA111" s="3"/>
      <c r="BXB111" s="3"/>
      <c r="BXC111" s="3"/>
      <c r="BXD111" s="3"/>
      <c r="BXE111" s="3"/>
      <c r="BXF111" s="3"/>
      <c r="BXG111" s="3"/>
      <c r="BXH111" s="3"/>
      <c r="BXI111" s="3"/>
      <c r="BXJ111" s="3"/>
      <c r="BXK111" s="3"/>
      <c r="BXL111" s="3"/>
      <c r="BXM111" s="3"/>
      <c r="BXN111" s="3"/>
      <c r="BXO111" s="3"/>
      <c r="BXP111" s="3"/>
      <c r="BXQ111" s="3"/>
      <c r="BXR111" s="3"/>
      <c r="BXS111" s="3"/>
      <c r="BXT111" s="3"/>
      <c r="BXU111" s="3"/>
      <c r="BXV111" s="3"/>
      <c r="BXW111" s="3"/>
      <c r="BXX111" s="3"/>
      <c r="BXY111" s="3"/>
      <c r="BXZ111" s="3"/>
      <c r="BYA111" s="3"/>
      <c r="BYB111" s="3"/>
      <c r="BYC111" s="3"/>
      <c r="BYD111" s="3"/>
      <c r="BYE111" s="3"/>
      <c r="BYF111" s="3"/>
      <c r="BYG111" s="3"/>
      <c r="BYH111" s="3"/>
      <c r="BYI111" s="3"/>
      <c r="BYJ111" s="3"/>
      <c r="BYK111" s="3"/>
      <c r="BYL111" s="3"/>
      <c r="BYM111" s="3"/>
      <c r="BYN111" s="3"/>
      <c r="BYO111" s="3"/>
      <c r="BYP111" s="3"/>
      <c r="BYQ111" s="3"/>
      <c r="BYR111" s="3"/>
      <c r="BYS111" s="3"/>
      <c r="BYT111" s="3"/>
      <c r="BYU111" s="3"/>
      <c r="BYV111" s="3"/>
      <c r="BYW111" s="3"/>
      <c r="BYX111" s="3"/>
      <c r="BYY111" s="3"/>
      <c r="BYZ111" s="3"/>
      <c r="BZA111" s="3"/>
      <c r="BZB111" s="3"/>
      <c r="BZC111" s="3"/>
      <c r="BZD111" s="3"/>
      <c r="BZE111" s="3"/>
      <c r="BZF111" s="3"/>
      <c r="BZG111" s="3"/>
      <c r="BZH111" s="3"/>
      <c r="BZI111" s="3"/>
      <c r="BZJ111" s="3"/>
      <c r="BZK111" s="3"/>
      <c r="BZL111" s="3"/>
      <c r="BZM111" s="3"/>
      <c r="BZN111" s="3"/>
      <c r="BZO111" s="3"/>
      <c r="BZP111" s="3"/>
      <c r="BZQ111" s="3"/>
      <c r="BZR111" s="3"/>
      <c r="BZS111" s="3"/>
      <c r="BZT111" s="3"/>
      <c r="BZU111" s="3"/>
      <c r="BZV111" s="3"/>
      <c r="BZW111" s="3"/>
      <c r="BZX111" s="3"/>
      <c r="BZY111" s="3"/>
      <c r="BZZ111" s="3"/>
      <c r="CAA111" s="3"/>
      <c r="CAB111" s="3"/>
      <c r="CAC111" s="3"/>
      <c r="CAD111" s="3"/>
      <c r="CAE111" s="3"/>
      <c r="CAF111" s="3"/>
      <c r="CAG111" s="3"/>
      <c r="CAH111" s="3"/>
      <c r="CAI111" s="3"/>
      <c r="CAJ111" s="3"/>
      <c r="CAK111" s="3"/>
      <c r="CAL111" s="3"/>
      <c r="CAM111" s="3"/>
      <c r="CAN111" s="3"/>
      <c r="CAO111" s="3"/>
      <c r="CAP111" s="3"/>
      <c r="CAQ111" s="3"/>
      <c r="CAR111" s="3"/>
      <c r="CAS111" s="3"/>
      <c r="CAT111" s="3"/>
      <c r="CAU111" s="3"/>
      <c r="CAV111" s="3"/>
      <c r="CAW111" s="3"/>
      <c r="CAX111" s="3"/>
      <c r="CAY111" s="3"/>
      <c r="CAZ111" s="3"/>
      <c r="CBA111" s="3"/>
      <c r="CBB111" s="3"/>
      <c r="CBC111" s="3"/>
      <c r="CBD111" s="3"/>
      <c r="CBE111" s="3"/>
      <c r="CBF111" s="3"/>
      <c r="CBG111" s="3"/>
      <c r="CBH111" s="3"/>
      <c r="CBI111" s="3"/>
      <c r="CBJ111" s="3"/>
      <c r="CBK111" s="3"/>
      <c r="CBL111" s="3"/>
      <c r="CBM111" s="3"/>
      <c r="CBN111" s="3"/>
      <c r="CBO111" s="3"/>
      <c r="CBP111" s="3"/>
      <c r="CBQ111" s="3"/>
      <c r="CBR111" s="3"/>
      <c r="CBS111" s="3"/>
      <c r="CBT111" s="3"/>
      <c r="CBU111" s="3"/>
      <c r="CBV111" s="3"/>
      <c r="CBW111" s="3"/>
      <c r="CBX111" s="3"/>
      <c r="CBY111" s="3"/>
      <c r="CBZ111" s="3"/>
      <c r="CCA111" s="3"/>
      <c r="CCB111" s="3"/>
      <c r="CCC111" s="3"/>
      <c r="CCD111" s="3"/>
      <c r="CCE111" s="3"/>
      <c r="CCF111" s="3"/>
      <c r="CCG111" s="3"/>
      <c r="CCH111" s="3"/>
      <c r="CCI111" s="3"/>
      <c r="CCJ111" s="3"/>
      <c r="CCK111" s="3"/>
      <c r="CCL111" s="3"/>
      <c r="CCM111" s="3"/>
      <c r="CCN111" s="3"/>
      <c r="CCO111" s="3"/>
      <c r="CCP111" s="3"/>
      <c r="CCQ111" s="3"/>
      <c r="CCR111" s="3"/>
      <c r="CCS111" s="3"/>
      <c r="CCT111" s="3"/>
      <c r="CCU111" s="3"/>
      <c r="CCV111" s="3"/>
      <c r="CCW111" s="3"/>
      <c r="CCX111" s="3"/>
      <c r="CCY111" s="3"/>
      <c r="CCZ111" s="3"/>
      <c r="CDA111" s="3"/>
      <c r="CDB111" s="3"/>
      <c r="CDC111" s="3"/>
      <c r="CDD111" s="3"/>
      <c r="CDE111" s="3"/>
      <c r="CDF111" s="3"/>
      <c r="CDG111" s="3"/>
      <c r="CDH111" s="3"/>
      <c r="CDI111" s="3"/>
      <c r="CDJ111" s="3"/>
      <c r="CDK111" s="3"/>
      <c r="CDL111" s="3"/>
      <c r="CDM111" s="3"/>
      <c r="CDN111" s="3"/>
      <c r="CDO111" s="3"/>
      <c r="CDP111" s="3"/>
      <c r="CDQ111" s="3"/>
      <c r="CDR111" s="3"/>
      <c r="CDS111" s="3"/>
      <c r="CDT111" s="3"/>
      <c r="CDU111" s="3"/>
      <c r="CDV111" s="3"/>
      <c r="CDW111" s="3"/>
      <c r="CDX111" s="3"/>
      <c r="CDY111" s="3"/>
      <c r="CDZ111" s="3"/>
      <c r="CEA111" s="3"/>
      <c r="CEB111" s="3"/>
      <c r="CEC111" s="3"/>
      <c r="CED111" s="3"/>
      <c r="CEE111" s="3"/>
      <c r="CEF111" s="3"/>
      <c r="CEG111" s="3"/>
      <c r="CEH111" s="3"/>
      <c r="CEI111" s="3"/>
      <c r="CEJ111" s="3"/>
      <c r="CEK111" s="3"/>
      <c r="CEL111" s="3"/>
      <c r="CEM111" s="3"/>
      <c r="CEN111" s="3"/>
      <c r="CEO111" s="3"/>
      <c r="CEP111" s="3"/>
      <c r="CEQ111" s="3"/>
      <c r="CER111" s="3"/>
      <c r="CES111" s="3"/>
      <c r="CET111" s="3"/>
      <c r="CEU111" s="3"/>
      <c r="CEV111" s="3"/>
      <c r="CEW111" s="3"/>
      <c r="CEX111" s="3"/>
      <c r="CEY111" s="3"/>
      <c r="CEZ111" s="3"/>
      <c r="CFA111" s="3"/>
      <c r="CFB111" s="3"/>
      <c r="CFC111" s="3"/>
      <c r="CFD111" s="3"/>
      <c r="CFE111" s="3"/>
      <c r="CFF111" s="3"/>
      <c r="CFG111" s="3"/>
      <c r="CFH111" s="3"/>
      <c r="CFI111" s="3"/>
      <c r="CFJ111" s="3"/>
      <c r="CFK111" s="3"/>
      <c r="CFL111" s="3"/>
      <c r="CFM111" s="3"/>
      <c r="CFN111" s="3"/>
      <c r="CFO111" s="3"/>
      <c r="CFP111" s="3"/>
      <c r="CFQ111" s="3"/>
      <c r="CFR111" s="3"/>
      <c r="CFS111" s="3"/>
      <c r="CFT111" s="3"/>
      <c r="CFU111" s="3"/>
      <c r="CFV111" s="3"/>
      <c r="CFW111" s="3"/>
      <c r="CFX111" s="3"/>
      <c r="CFY111" s="3"/>
      <c r="CFZ111" s="3"/>
      <c r="CGA111" s="3"/>
      <c r="CGB111" s="3"/>
      <c r="CGC111" s="3"/>
      <c r="CGD111" s="3"/>
      <c r="CGE111" s="3"/>
      <c r="CGF111" s="3"/>
      <c r="CGG111" s="3"/>
      <c r="CGH111" s="3"/>
      <c r="CGI111" s="3"/>
      <c r="CGJ111" s="3"/>
      <c r="CGK111" s="3"/>
      <c r="CGL111" s="3"/>
      <c r="CGM111" s="3"/>
      <c r="CGN111" s="3"/>
      <c r="CGO111" s="3"/>
      <c r="CGP111" s="3"/>
      <c r="CGQ111" s="3"/>
      <c r="CGR111" s="3"/>
      <c r="CGS111" s="3"/>
      <c r="CGT111" s="3"/>
      <c r="CGU111" s="3"/>
      <c r="CGV111" s="3"/>
      <c r="CGW111" s="3"/>
      <c r="CGX111" s="3"/>
      <c r="CGY111" s="3"/>
      <c r="CGZ111" s="3"/>
      <c r="CHA111" s="3"/>
      <c r="CHB111" s="3"/>
      <c r="CHC111" s="3"/>
      <c r="CHD111" s="3"/>
      <c r="CHE111" s="3"/>
      <c r="CHF111" s="3"/>
      <c r="CHG111" s="3"/>
      <c r="CHH111" s="3"/>
      <c r="CHI111" s="3"/>
      <c r="CHJ111" s="3"/>
      <c r="CHK111" s="3"/>
      <c r="CHL111" s="3"/>
      <c r="CHM111" s="3"/>
      <c r="CHN111" s="3"/>
      <c r="CHO111" s="3"/>
      <c r="CHP111" s="3"/>
      <c r="CHQ111" s="3"/>
      <c r="CHR111" s="3"/>
      <c r="CHS111" s="3"/>
      <c r="CHT111" s="3"/>
      <c r="CHU111" s="3"/>
      <c r="CHV111" s="3"/>
      <c r="CHW111" s="3"/>
      <c r="CHX111" s="3"/>
      <c r="CHY111" s="3"/>
      <c r="CHZ111" s="3"/>
      <c r="CIA111" s="3"/>
      <c r="CIB111" s="3"/>
      <c r="CIC111" s="3"/>
      <c r="CID111" s="3"/>
      <c r="CIE111" s="3"/>
      <c r="CIF111" s="3"/>
      <c r="CIG111" s="3"/>
      <c r="CIH111" s="3"/>
      <c r="CII111" s="3"/>
      <c r="CIJ111" s="3"/>
      <c r="CIK111" s="3"/>
      <c r="CIL111" s="3"/>
      <c r="CIM111" s="3"/>
      <c r="CIN111" s="3"/>
      <c r="CIO111" s="3"/>
      <c r="CIP111" s="3"/>
      <c r="CIQ111" s="3"/>
      <c r="CIR111" s="3"/>
      <c r="CIS111" s="3"/>
      <c r="CIT111" s="3"/>
      <c r="CIU111" s="3"/>
      <c r="CIV111" s="3"/>
      <c r="CIW111" s="3"/>
      <c r="CIX111" s="3"/>
      <c r="CIY111" s="3"/>
      <c r="CIZ111" s="3"/>
      <c r="CJA111" s="3"/>
      <c r="CJB111" s="3"/>
      <c r="CJC111" s="3"/>
      <c r="CJD111" s="3"/>
      <c r="CJE111" s="3"/>
      <c r="CJF111" s="3"/>
      <c r="CJG111" s="3"/>
      <c r="CJH111" s="3"/>
      <c r="CJI111" s="3"/>
      <c r="CJJ111" s="3"/>
      <c r="CJK111" s="3"/>
      <c r="CJL111" s="3"/>
      <c r="CJM111" s="3"/>
      <c r="CJN111" s="3"/>
      <c r="CJO111" s="3"/>
      <c r="CJP111" s="3"/>
      <c r="CJQ111" s="3"/>
      <c r="CJR111" s="3"/>
      <c r="CJS111" s="3"/>
      <c r="CJT111" s="3"/>
      <c r="CJU111" s="3"/>
      <c r="CJV111" s="3"/>
      <c r="CJW111" s="3"/>
      <c r="CJX111" s="3"/>
      <c r="CJY111" s="3"/>
      <c r="CJZ111" s="3"/>
      <c r="CKA111" s="3"/>
      <c r="CKB111" s="3"/>
      <c r="CKC111" s="3"/>
      <c r="CKD111" s="3"/>
      <c r="CKE111" s="3"/>
      <c r="CKF111" s="3"/>
      <c r="CKG111" s="3"/>
      <c r="CKH111" s="3"/>
      <c r="CKI111" s="3"/>
      <c r="CKJ111" s="3"/>
      <c r="CKK111" s="3"/>
      <c r="CKL111" s="3"/>
      <c r="CKM111" s="3"/>
      <c r="CKN111" s="3"/>
      <c r="CKO111" s="3"/>
      <c r="CKP111" s="3"/>
      <c r="CKQ111" s="3"/>
      <c r="CKR111" s="3"/>
      <c r="CKS111" s="3"/>
      <c r="CKT111" s="3"/>
      <c r="CKU111" s="3"/>
      <c r="CKV111" s="3"/>
      <c r="CKW111" s="3"/>
      <c r="CKX111" s="3"/>
      <c r="CKY111" s="3"/>
      <c r="CKZ111" s="3"/>
      <c r="CLA111" s="3"/>
      <c r="CLB111" s="3"/>
      <c r="CLC111" s="3"/>
      <c r="CLD111" s="3"/>
      <c r="CLE111" s="3"/>
      <c r="CLF111" s="3"/>
      <c r="CLG111" s="3"/>
      <c r="CLH111" s="3"/>
      <c r="CLI111" s="3"/>
      <c r="CLJ111" s="3"/>
      <c r="CLK111" s="3"/>
      <c r="CLL111" s="3"/>
      <c r="CLM111" s="3"/>
      <c r="CLN111" s="3"/>
      <c r="CLO111" s="3"/>
      <c r="CLP111" s="3"/>
      <c r="CLQ111" s="3"/>
      <c r="CLR111" s="3"/>
      <c r="CLS111" s="3"/>
      <c r="CLT111" s="3"/>
      <c r="CLU111" s="3"/>
      <c r="CLV111" s="3"/>
      <c r="CLW111" s="3"/>
      <c r="CLX111" s="3"/>
      <c r="CLY111" s="3"/>
      <c r="CLZ111" s="3"/>
      <c r="CMA111" s="3"/>
      <c r="CMB111" s="3"/>
      <c r="CMC111" s="3"/>
      <c r="CMD111" s="3"/>
      <c r="CME111" s="3"/>
      <c r="CMF111" s="3"/>
      <c r="CMG111" s="3"/>
      <c r="CMH111" s="3"/>
      <c r="CMI111" s="3"/>
      <c r="CMJ111" s="3"/>
      <c r="CMK111" s="3"/>
      <c r="CML111" s="3"/>
      <c r="CMM111" s="3"/>
      <c r="CMN111" s="3"/>
      <c r="CMO111" s="3"/>
      <c r="CMP111" s="3"/>
      <c r="CMQ111" s="3"/>
      <c r="CMR111" s="3"/>
      <c r="CMS111" s="3"/>
      <c r="CMT111" s="3"/>
      <c r="CMU111" s="3"/>
      <c r="CMV111" s="3"/>
      <c r="CMW111" s="3"/>
      <c r="CMX111" s="3"/>
      <c r="CMY111" s="3"/>
      <c r="CMZ111" s="3"/>
      <c r="CNA111" s="3"/>
      <c r="CNB111" s="3"/>
      <c r="CNC111" s="3"/>
      <c r="CND111" s="3"/>
      <c r="CNE111" s="3"/>
      <c r="CNF111" s="3"/>
      <c r="CNG111" s="3"/>
      <c r="CNH111" s="3"/>
      <c r="CNI111" s="3"/>
      <c r="CNJ111" s="3"/>
      <c r="CNK111" s="3"/>
      <c r="CNL111" s="3"/>
      <c r="CNM111" s="3"/>
      <c r="CNN111" s="3"/>
      <c r="CNO111" s="3"/>
      <c r="CNP111" s="3"/>
      <c r="CNQ111" s="3"/>
      <c r="CNR111" s="3"/>
      <c r="CNS111" s="3"/>
      <c r="CNT111" s="3"/>
      <c r="CNU111" s="3"/>
      <c r="CNV111" s="3"/>
      <c r="CNW111" s="3"/>
      <c r="CNX111" s="3"/>
      <c r="CNY111" s="3"/>
      <c r="CNZ111" s="3"/>
      <c r="COA111" s="3"/>
      <c r="COB111" s="3"/>
      <c r="COC111" s="3"/>
      <c r="COD111" s="3"/>
      <c r="COE111" s="3"/>
      <c r="COF111" s="3"/>
      <c r="COG111" s="3"/>
      <c r="COH111" s="3"/>
      <c r="COI111" s="3"/>
      <c r="COJ111" s="3"/>
      <c r="COK111" s="3"/>
      <c r="COL111" s="3"/>
      <c r="COM111" s="3"/>
      <c r="CON111" s="3"/>
      <c r="COO111" s="3"/>
      <c r="COP111" s="3"/>
      <c r="COQ111" s="3"/>
      <c r="COR111" s="3"/>
      <c r="COS111" s="3"/>
      <c r="COT111" s="3"/>
      <c r="COU111" s="3"/>
      <c r="COV111" s="3"/>
      <c r="COW111" s="3"/>
      <c r="COX111" s="3"/>
      <c r="COY111" s="3"/>
      <c r="COZ111" s="3"/>
      <c r="CPA111" s="3"/>
      <c r="CPB111" s="3"/>
      <c r="CPC111" s="3"/>
      <c r="CPD111" s="3"/>
      <c r="CPE111" s="3"/>
      <c r="CPF111" s="3"/>
      <c r="CPG111" s="3"/>
      <c r="CPH111" s="3"/>
      <c r="CPI111" s="3"/>
      <c r="CPJ111" s="3"/>
      <c r="CPK111" s="3"/>
      <c r="CPL111" s="3"/>
      <c r="CPM111" s="3"/>
      <c r="CPN111" s="3"/>
      <c r="CPO111" s="3"/>
      <c r="CPP111" s="3"/>
      <c r="CPQ111" s="3"/>
      <c r="CPR111" s="3"/>
      <c r="CPS111" s="3"/>
      <c r="CPT111" s="3"/>
      <c r="CPU111" s="3"/>
      <c r="CPV111" s="3"/>
      <c r="CPW111" s="3"/>
      <c r="CPX111" s="3"/>
      <c r="CPY111" s="3"/>
      <c r="CPZ111" s="3"/>
      <c r="CQA111" s="3"/>
      <c r="CQB111" s="3"/>
      <c r="CQC111" s="3"/>
      <c r="CQD111" s="3"/>
      <c r="CQE111" s="3"/>
      <c r="CQF111" s="3"/>
      <c r="CQG111" s="3"/>
      <c r="CQH111" s="3"/>
      <c r="CQI111" s="3"/>
      <c r="CQJ111" s="3"/>
      <c r="CQK111" s="3"/>
      <c r="CQL111" s="3"/>
      <c r="CQM111" s="3"/>
      <c r="CQN111" s="3"/>
      <c r="CQO111" s="3"/>
      <c r="CQP111" s="3"/>
      <c r="CQQ111" s="3"/>
      <c r="CQR111" s="3"/>
      <c r="CQS111" s="3"/>
      <c r="CQT111" s="3"/>
      <c r="CQU111" s="3"/>
      <c r="CQV111" s="3"/>
      <c r="CQW111" s="3"/>
      <c r="CQX111" s="3"/>
      <c r="CQY111" s="3"/>
      <c r="CQZ111" s="3"/>
      <c r="CRA111" s="3"/>
      <c r="CRB111" s="3"/>
      <c r="CRC111" s="3"/>
      <c r="CRD111" s="3"/>
      <c r="CRE111" s="3"/>
      <c r="CRF111" s="3"/>
      <c r="CRG111" s="3"/>
      <c r="CRH111" s="3"/>
      <c r="CRI111" s="3"/>
      <c r="CRJ111" s="3"/>
      <c r="CRK111" s="3"/>
      <c r="CRL111" s="3"/>
      <c r="CRM111" s="3"/>
      <c r="CRN111" s="3"/>
      <c r="CRO111" s="3"/>
      <c r="CRP111" s="3"/>
      <c r="CRQ111" s="3"/>
      <c r="CRR111" s="3"/>
      <c r="CRS111" s="3"/>
      <c r="CRT111" s="3"/>
      <c r="CRU111" s="3"/>
      <c r="CRV111" s="3"/>
      <c r="CRW111" s="3"/>
      <c r="CRX111" s="3"/>
      <c r="CRY111" s="3"/>
      <c r="CRZ111" s="3"/>
      <c r="CSA111" s="3"/>
      <c r="CSB111" s="3"/>
      <c r="CSC111" s="3"/>
      <c r="CSD111" s="3"/>
      <c r="CSE111" s="3"/>
      <c r="CSF111" s="3"/>
      <c r="CSG111" s="3"/>
      <c r="CSH111" s="3"/>
      <c r="CSI111" s="3"/>
      <c r="CSJ111" s="3"/>
      <c r="CSK111" s="3"/>
      <c r="CSL111" s="3"/>
      <c r="CSM111" s="3"/>
      <c r="CSN111" s="3"/>
      <c r="CSO111" s="3"/>
      <c r="CSP111" s="3"/>
      <c r="CSQ111" s="3"/>
      <c r="CSR111" s="3"/>
      <c r="CSS111" s="3"/>
      <c r="CST111" s="3"/>
      <c r="CSU111" s="3"/>
      <c r="CSV111" s="3"/>
      <c r="CSW111" s="3"/>
      <c r="CSX111" s="3"/>
      <c r="CSY111" s="3"/>
      <c r="CSZ111" s="3"/>
      <c r="CTA111" s="3"/>
      <c r="CTB111" s="3"/>
      <c r="CTC111" s="3"/>
      <c r="CTD111" s="3"/>
      <c r="CTE111" s="3"/>
      <c r="CTF111" s="3"/>
      <c r="CTG111" s="3"/>
      <c r="CTH111" s="3"/>
      <c r="CTI111" s="3"/>
      <c r="CTJ111" s="3"/>
      <c r="CTK111" s="3"/>
      <c r="CTL111" s="3"/>
      <c r="CTM111" s="3"/>
      <c r="CTN111" s="3"/>
      <c r="CTO111" s="3"/>
      <c r="CTP111" s="3"/>
      <c r="CTQ111" s="3"/>
      <c r="CTR111" s="3"/>
      <c r="CTS111" s="3"/>
      <c r="CTT111" s="3"/>
      <c r="CTU111" s="3"/>
      <c r="CTV111" s="3"/>
      <c r="CTW111" s="3"/>
      <c r="CTX111" s="3"/>
      <c r="CTY111" s="3"/>
      <c r="CTZ111" s="3"/>
      <c r="CUA111" s="3"/>
      <c r="CUB111" s="3"/>
      <c r="CUC111" s="3"/>
      <c r="CUD111" s="3"/>
      <c r="CUE111" s="3"/>
      <c r="CUF111" s="3"/>
      <c r="CUG111" s="3"/>
      <c r="CUH111" s="3"/>
      <c r="CUI111" s="3"/>
      <c r="CUJ111" s="3"/>
      <c r="CUK111" s="3"/>
      <c r="CUL111" s="3"/>
      <c r="CUM111" s="3"/>
      <c r="CUN111" s="3"/>
      <c r="CUO111" s="3"/>
      <c r="CUP111" s="3"/>
      <c r="CUQ111" s="3"/>
      <c r="CUR111" s="3"/>
      <c r="CUS111" s="3"/>
      <c r="CUT111" s="3"/>
      <c r="CUU111" s="3"/>
      <c r="CUV111" s="3"/>
      <c r="CUW111" s="3"/>
      <c r="CUX111" s="3"/>
      <c r="CUY111" s="3"/>
      <c r="CUZ111" s="3"/>
      <c r="CVA111" s="3"/>
      <c r="CVB111" s="3"/>
      <c r="CVC111" s="3"/>
      <c r="CVD111" s="3"/>
      <c r="CVE111" s="3"/>
      <c r="CVF111" s="3"/>
      <c r="CVG111" s="3"/>
      <c r="CVH111" s="3"/>
      <c r="CVI111" s="3"/>
      <c r="CVJ111" s="3"/>
      <c r="CVK111" s="3"/>
      <c r="CVL111" s="3"/>
      <c r="CVM111" s="3"/>
      <c r="CVN111" s="3"/>
      <c r="CVO111" s="3"/>
      <c r="CVP111" s="3"/>
      <c r="CVQ111" s="3"/>
      <c r="CVR111" s="3"/>
      <c r="CVS111" s="3"/>
      <c r="CVT111" s="3"/>
      <c r="CVU111" s="3"/>
      <c r="CVV111" s="3"/>
      <c r="CVW111" s="3"/>
      <c r="CVX111" s="3"/>
      <c r="CVY111" s="3"/>
      <c r="CVZ111" s="3"/>
      <c r="CWA111" s="3"/>
      <c r="CWB111" s="3"/>
      <c r="CWC111" s="3"/>
      <c r="CWD111" s="3"/>
      <c r="CWE111" s="3"/>
      <c r="CWF111" s="3"/>
      <c r="CWG111" s="3"/>
      <c r="CWH111" s="3"/>
      <c r="CWI111" s="3"/>
      <c r="CWJ111" s="3"/>
      <c r="CWK111" s="3"/>
      <c r="CWL111" s="3"/>
      <c r="CWM111" s="3"/>
      <c r="CWN111" s="3"/>
      <c r="CWO111" s="3"/>
      <c r="CWP111" s="3"/>
      <c r="CWQ111" s="3"/>
      <c r="CWR111" s="3"/>
      <c r="CWS111" s="3"/>
      <c r="CWT111" s="3"/>
      <c r="CWU111" s="3"/>
      <c r="CWV111" s="3"/>
      <c r="CWW111" s="3"/>
      <c r="CWX111" s="3"/>
      <c r="CWY111" s="3"/>
      <c r="CWZ111" s="3"/>
      <c r="CXA111" s="3"/>
      <c r="CXB111" s="3"/>
      <c r="CXC111" s="3"/>
      <c r="CXD111" s="3"/>
      <c r="CXE111" s="3"/>
      <c r="CXF111" s="3"/>
      <c r="CXG111" s="3"/>
      <c r="CXH111" s="3"/>
      <c r="CXI111" s="3"/>
      <c r="CXJ111" s="3"/>
      <c r="CXK111" s="3"/>
      <c r="CXL111" s="3"/>
      <c r="CXM111" s="3"/>
      <c r="CXN111" s="3"/>
      <c r="CXO111" s="3"/>
      <c r="CXP111" s="3"/>
      <c r="CXQ111" s="3"/>
      <c r="CXR111" s="3"/>
      <c r="CXS111" s="3"/>
      <c r="CXT111" s="3"/>
      <c r="CXU111" s="3"/>
      <c r="CXV111" s="3"/>
      <c r="CXW111" s="3"/>
      <c r="CXX111" s="3"/>
      <c r="CXY111" s="3"/>
      <c r="CXZ111" s="3"/>
      <c r="CYA111" s="3"/>
      <c r="CYB111" s="3"/>
      <c r="CYC111" s="3"/>
      <c r="CYD111" s="3"/>
      <c r="CYE111" s="3"/>
      <c r="CYF111" s="3"/>
      <c r="CYG111" s="3"/>
      <c r="CYH111" s="3"/>
      <c r="CYI111" s="3"/>
      <c r="CYJ111" s="3"/>
      <c r="CYK111" s="3"/>
      <c r="CYL111" s="3"/>
      <c r="CYM111" s="3"/>
      <c r="CYN111" s="3"/>
      <c r="CYO111" s="3"/>
      <c r="CYP111" s="3"/>
      <c r="CYQ111" s="3"/>
      <c r="CYR111" s="3"/>
      <c r="CYS111" s="3"/>
      <c r="CYT111" s="3"/>
      <c r="CYU111" s="3"/>
      <c r="CYV111" s="3"/>
      <c r="CYW111" s="3"/>
      <c r="CYX111" s="3"/>
      <c r="CYY111" s="3"/>
      <c r="CYZ111" s="3"/>
      <c r="CZA111" s="3"/>
      <c r="CZB111" s="3"/>
      <c r="CZC111" s="3"/>
      <c r="CZD111" s="3"/>
      <c r="CZE111" s="3"/>
      <c r="CZF111" s="3"/>
      <c r="CZG111" s="3"/>
      <c r="CZH111" s="3"/>
      <c r="CZI111" s="3"/>
      <c r="CZJ111" s="3"/>
      <c r="CZK111" s="3"/>
      <c r="CZL111" s="3"/>
      <c r="CZM111" s="3"/>
      <c r="CZN111" s="3"/>
      <c r="CZO111" s="3"/>
      <c r="CZP111" s="3"/>
      <c r="CZQ111" s="3"/>
      <c r="CZR111" s="3"/>
      <c r="CZS111" s="3"/>
      <c r="CZT111" s="3"/>
      <c r="CZU111" s="3"/>
      <c r="CZV111" s="3"/>
      <c r="CZW111" s="3"/>
      <c r="CZX111" s="3"/>
      <c r="CZY111" s="3"/>
      <c r="CZZ111" s="3"/>
      <c r="DAA111" s="3"/>
      <c r="DAB111" s="3"/>
      <c r="DAC111" s="3"/>
      <c r="DAD111" s="3"/>
      <c r="DAE111" s="3"/>
      <c r="DAF111" s="3"/>
      <c r="DAG111" s="3"/>
      <c r="DAH111" s="3"/>
      <c r="DAI111" s="3"/>
      <c r="DAJ111" s="3"/>
      <c r="DAK111" s="3"/>
      <c r="DAL111" s="3"/>
      <c r="DAM111" s="3"/>
      <c r="DAN111" s="3"/>
      <c r="DAO111" s="3"/>
      <c r="DAP111" s="3"/>
      <c r="DAQ111" s="3"/>
      <c r="DAR111" s="3"/>
      <c r="DAS111" s="3"/>
      <c r="DAT111" s="3"/>
      <c r="DAU111" s="3"/>
      <c r="DAV111" s="3"/>
      <c r="DAW111" s="3"/>
      <c r="DAX111" s="3"/>
      <c r="DAY111" s="3"/>
      <c r="DAZ111" s="3"/>
      <c r="DBA111" s="3"/>
      <c r="DBB111" s="3"/>
      <c r="DBC111" s="3"/>
      <c r="DBD111" s="3"/>
      <c r="DBE111" s="3"/>
      <c r="DBF111" s="3"/>
      <c r="DBG111" s="3"/>
      <c r="DBH111" s="3"/>
      <c r="DBI111" s="3"/>
      <c r="DBJ111" s="3"/>
      <c r="DBK111" s="3"/>
      <c r="DBL111" s="3"/>
      <c r="DBM111" s="3"/>
      <c r="DBN111" s="3"/>
      <c r="DBO111" s="3"/>
      <c r="DBP111" s="3"/>
      <c r="DBQ111" s="3"/>
      <c r="DBR111" s="3"/>
      <c r="DBS111" s="3"/>
      <c r="DBT111" s="3"/>
      <c r="DBU111" s="3"/>
      <c r="DBV111" s="3"/>
      <c r="DBW111" s="3"/>
      <c r="DBX111" s="3"/>
      <c r="DBY111" s="3"/>
      <c r="DBZ111" s="3"/>
      <c r="DCA111" s="3"/>
      <c r="DCB111" s="3"/>
      <c r="DCC111" s="3"/>
      <c r="DCD111" s="3"/>
      <c r="DCE111" s="3"/>
      <c r="DCF111" s="3"/>
      <c r="DCG111" s="3"/>
      <c r="DCH111" s="3"/>
      <c r="DCI111" s="3"/>
      <c r="DCJ111" s="3"/>
      <c r="DCK111" s="3"/>
      <c r="DCL111" s="3"/>
      <c r="DCM111" s="3"/>
      <c r="DCN111" s="3"/>
      <c r="DCO111" s="3"/>
      <c r="DCP111" s="3"/>
      <c r="DCQ111" s="3"/>
      <c r="DCR111" s="3"/>
      <c r="DCS111" s="3"/>
      <c r="DCT111" s="3"/>
      <c r="DCU111" s="3"/>
      <c r="DCV111" s="3"/>
      <c r="DCW111" s="3"/>
      <c r="DCX111" s="3"/>
      <c r="DCY111" s="3"/>
      <c r="DCZ111" s="3"/>
      <c r="DDA111" s="3"/>
      <c r="DDB111" s="3"/>
      <c r="DDC111" s="3"/>
      <c r="DDD111" s="3"/>
      <c r="DDE111" s="3"/>
      <c r="DDF111" s="3"/>
      <c r="DDG111" s="3"/>
      <c r="DDH111" s="3"/>
      <c r="DDI111" s="3"/>
      <c r="DDJ111" s="3"/>
      <c r="DDK111" s="3"/>
      <c r="DDL111" s="3"/>
      <c r="DDM111" s="3"/>
      <c r="DDN111" s="3"/>
      <c r="DDO111" s="3"/>
      <c r="DDP111" s="3"/>
      <c r="DDQ111" s="3"/>
      <c r="DDR111" s="3"/>
      <c r="DDS111" s="3"/>
      <c r="DDT111" s="3"/>
      <c r="DDU111" s="3"/>
      <c r="DDV111" s="3"/>
      <c r="DDW111" s="3"/>
      <c r="DDX111" s="3"/>
      <c r="DDY111" s="3"/>
      <c r="DDZ111" s="3"/>
      <c r="DEA111" s="3"/>
      <c r="DEB111" s="3"/>
      <c r="DEC111" s="3"/>
      <c r="DED111" s="3"/>
      <c r="DEE111" s="3"/>
      <c r="DEF111" s="3"/>
      <c r="DEG111" s="3"/>
      <c r="DEH111" s="3"/>
      <c r="DEI111" s="3"/>
      <c r="DEJ111" s="3"/>
      <c r="DEK111" s="3"/>
      <c r="DEL111" s="3"/>
      <c r="DEM111" s="3"/>
      <c r="DEN111" s="3"/>
      <c r="DEO111" s="3"/>
      <c r="DEP111" s="3"/>
      <c r="DEQ111" s="3"/>
      <c r="DER111" s="3"/>
      <c r="DES111" s="3"/>
      <c r="DET111" s="3"/>
      <c r="DEU111" s="3"/>
      <c r="DEV111" s="3"/>
      <c r="DEW111" s="3"/>
      <c r="DEX111" s="3"/>
      <c r="DEY111" s="3"/>
      <c r="DEZ111" s="3"/>
      <c r="DFA111" s="3"/>
      <c r="DFB111" s="3"/>
      <c r="DFC111" s="3"/>
      <c r="DFD111" s="3"/>
      <c r="DFE111" s="3"/>
      <c r="DFF111" s="3"/>
      <c r="DFG111" s="3"/>
      <c r="DFH111" s="3"/>
      <c r="DFI111" s="3"/>
      <c r="DFJ111" s="3"/>
      <c r="DFK111" s="3"/>
      <c r="DFL111" s="3"/>
      <c r="DFM111" s="3"/>
      <c r="DFN111" s="3"/>
      <c r="DFO111" s="3"/>
      <c r="DFP111" s="3"/>
      <c r="DFQ111" s="3"/>
      <c r="DFR111" s="3"/>
      <c r="DFS111" s="3"/>
      <c r="DFT111" s="3"/>
      <c r="DFU111" s="3"/>
      <c r="DFV111" s="3"/>
      <c r="DFW111" s="3"/>
      <c r="DFX111" s="3"/>
      <c r="DFY111" s="3"/>
      <c r="DFZ111" s="3"/>
      <c r="DGA111" s="3"/>
      <c r="DGB111" s="3"/>
      <c r="DGC111" s="3"/>
      <c r="DGD111" s="3"/>
      <c r="DGE111" s="3"/>
      <c r="DGF111" s="3"/>
      <c r="DGG111" s="3"/>
      <c r="DGH111" s="3"/>
      <c r="DGI111" s="3"/>
      <c r="DGJ111" s="3"/>
      <c r="DGK111" s="3"/>
      <c r="DGL111" s="3"/>
      <c r="DGM111" s="3"/>
      <c r="DGN111" s="3"/>
      <c r="DGO111" s="3"/>
      <c r="DGP111" s="3"/>
      <c r="DGQ111" s="3"/>
      <c r="DGR111" s="3"/>
      <c r="DGS111" s="3"/>
      <c r="DGT111" s="3"/>
      <c r="DGU111" s="3"/>
      <c r="DGV111" s="3"/>
      <c r="DGW111" s="3"/>
      <c r="DGX111" s="3"/>
      <c r="DGY111" s="3"/>
      <c r="DGZ111" s="3"/>
      <c r="DHA111" s="3"/>
      <c r="DHB111" s="3"/>
      <c r="DHC111" s="3"/>
      <c r="DHD111" s="3"/>
      <c r="DHE111" s="3"/>
      <c r="DHF111" s="3"/>
      <c r="DHG111" s="3"/>
      <c r="DHH111" s="3"/>
      <c r="DHI111" s="3"/>
      <c r="DHJ111" s="3"/>
      <c r="DHK111" s="3"/>
      <c r="DHL111" s="3"/>
      <c r="DHM111" s="3"/>
      <c r="DHN111" s="3"/>
      <c r="DHO111" s="3"/>
      <c r="DHP111" s="3"/>
      <c r="DHQ111" s="3"/>
      <c r="DHR111" s="3"/>
      <c r="DHS111" s="3"/>
      <c r="DHT111" s="3"/>
      <c r="DHU111" s="3"/>
      <c r="DHV111" s="3"/>
      <c r="DHW111" s="3"/>
      <c r="DHX111" s="3"/>
      <c r="DHY111" s="3"/>
      <c r="DHZ111" s="3"/>
      <c r="DIA111" s="3"/>
      <c r="DIB111" s="3"/>
      <c r="DIC111" s="3"/>
      <c r="DID111" s="3"/>
      <c r="DIE111" s="3"/>
      <c r="DIF111" s="3"/>
      <c r="DIG111" s="3"/>
      <c r="DIH111" s="3"/>
      <c r="DII111" s="3"/>
      <c r="DIJ111" s="3"/>
      <c r="DIK111" s="3"/>
      <c r="DIL111" s="3"/>
      <c r="DIM111" s="3"/>
      <c r="DIN111" s="3"/>
      <c r="DIO111" s="3"/>
      <c r="DIP111" s="3"/>
      <c r="DIQ111" s="3"/>
      <c r="DIR111" s="3"/>
      <c r="DIS111" s="3"/>
      <c r="DIT111" s="3"/>
      <c r="DIU111" s="3"/>
      <c r="DIV111" s="3"/>
      <c r="DIW111" s="3"/>
      <c r="DIX111" s="3"/>
      <c r="DIY111" s="3"/>
      <c r="DIZ111" s="3"/>
      <c r="DJA111" s="3"/>
      <c r="DJB111" s="3"/>
      <c r="DJC111" s="3"/>
      <c r="DJD111" s="3"/>
      <c r="DJE111" s="3"/>
      <c r="DJF111" s="3"/>
      <c r="DJG111" s="3"/>
      <c r="DJH111" s="3"/>
      <c r="DJI111" s="3"/>
      <c r="DJJ111" s="3"/>
      <c r="DJK111" s="3"/>
      <c r="DJL111" s="3"/>
      <c r="DJM111" s="3"/>
      <c r="DJN111" s="3"/>
      <c r="DJO111" s="3"/>
      <c r="DJP111" s="3"/>
      <c r="DJQ111" s="3"/>
      <c r="DJR111" s="3"/>
      <c r="DJS111" s="3"/>
      <c r="DJT111" s="3"/>
      <c r="DJU111" s="3"/>
      <c r="DJV111" s="3"/>
      <c r="DJW111" s="3"/>
      <c r="DJX111" s="3"/>
      <c r="DJY111" s="3"/>
      <c r="DJZ111" s="3"/>
      <c r="DKA111" s="3"/>
      <c r="DKB111" s="3"/>
      <c r="DKC111" s="3"/>
      <c r="DKD111" s="3"/>
      <c r="DKE111" s="3"/>
      <c r="DKF111" s="3"/>
      <c r="DKG111" s="3"/>
      <c r="DKH111" s="3"/>
      <c r="DKI111" s="3"/>
      <c r="DKJ111" s="3"/>
      <c r="DKK111" s="3"/>
      <c r="DKL111" s="3"/>
      <c r="DKM111" s="3"/>
      <c r="DKN111" s="3"/>
      <c r="DKO111" s="3"/>
      <c r="DKP111" s="3"/>
      <c r="DKQ111" s="3"/>
      <c r="DKR111" s="3"/>
      <c r="DKS111" s="3"/>
      <c r="DKT111" s="3"/>
      <c r="DKU111" s="3"/>
      <c r="DKV111" s="3"/>
      <c r="DKW111" s="3"/>
      <c r="DKX111" s="3"/>
      <c r="DKY111" s="3"/>
      <c r="DKZ111" s="3"/>
      <c r="DLA111" s="3"/>
      <c r="DLB111" s="3"/>
      <c r="DLC111" s="3"/>
      <c r="DLD111" s="3"/>
      <c r="DLE111" s="3"/>
      <c r="DLF111" s="3"/>
      <c r="DLG111" s="3"/>
      <c r="DLH111" s="3"/>
      <c r="DLI111" s="3"/>
      <c r="DLJ111" s="3"/>
      <c r="DLK111" s="3"/>
      <c r="DLL111" s="3"/>
      <c r="DLM111" s="3"/>
      <c r="DLN111" s="3"/>
      <c r="DLO111" s="3"/>
      <c r="DLP111" s="3"/>
      <c r="DLQ111" s="3"/>
      <c r="DLR111" s="3"/>
      <c r="DLS111" s="3"/>
      <c r="DLT111" s="3"/>
      <c r="DLU111" s="3"/>
      <c r="DLV111" s="3"/>
      <c r="DLW111" s="3"/>
      <c r="DLX111" s="3"/>
      <c r="DLY111" s="3"/>
      <c r="DLZ111" s="3"/>
      <c r="DMA111" s="3"/>
      <c r="DMB111" s="3"/>
      <c r="DMC111" s="3"/>
      <c r="DMD111" s="3"/>
      <c r="DME111" s="3"/>
      <c r="DMF111" s="3"/>
      <c r="DMG111" s="3"/>
      <c r="DMH111" s="3"/>
      <c r="DMI111" s="3"/>
      <c r="DMJ111" s="3"/>
      <c r="DMK111" s="3"/>
      <c r="DML111" s="3"/>
      <c r="DMM111" s="3"/>
      <c r="DMN111" s="3"/>
      <c r="DMO111" s="3"/>
      <c r="DMP111" s="3"/>
      <c r="DMQ111" s="3"/>
      <c r="DMR111" s="3"/>
      <c r="DMS111" s="3"/>
      <c r="DMT111" s="3"/>
      <c r="DMU111" s="3"/>
      <c r="DMV111" s="3"/>
      <c r="DMW111" s="3"/>
      <c r="DMX111" s="3"/>
      <c r="DMY111" s="3"/>
      <c r="DMZ111" s="3"/>
      <c r="DNA111" s="3"/>
      <c r="DNB111" s="3"/>
      <c r="DNC111" s="3"/>
      <c r="DND111" s="3"/>
      <c r="DNE111" s="3"/>
      <c r="DNF111" s="3"/>
      <c r="DNG111" s="3"/>
      <c r="DNH111" s="3"/>
      <c r="DNI111" s="3"/>
      <c r="DNJ111" s="3"/>
      <c r="DNK111" s="3"/>
      <c r="DNL111" s="3"/>
      <c r="DNM111" s="3"/>
      <c r="DNN111" s="3"/>
      <c r="DNO111" s="3"/>
      <c r="DNP111" s="3"/>
      <c r="DNQ111" s="3"/>
      <c r="DNR111" s="3"/>
      <c r="DNS111" s="3"/>
      <c r="DNT111" s="3"/>
      <c r="DNU111" s="3"/>
      <c r="DNV111" s="3"/>
      <c r="DNW111" s="3"/>
      <c r="DNX111" s="3"/>
      <c r="DNY111" s="3"/>
      <c r="DNZ111" s="3"/>
      <c r="DOA111" s="3"/>
      <c r="DOB111" s="3"/>
      <c r="DOC111" s="3"/>
      <c r="DOD111" s="3"/>
      <c r="DOE111" s="3"/>
      <c r="DOF111" s="3"/>
      <c r="DOG111" s="3"/>
      <c r="DOH111" s="3"/>
      <c r="DOI111" s="3"/>
      <c r="DOJ111" s="3"/>
      <c r="DOK111" s="3"/>
      <c r="DOL111" s="3"/>
      <c r="DOM111" s="3"/>
      <c r="DON111" s="3"/>
      <c r="DOO111" s="3"/>
      <c r="DOP111" s="3"/>
      <c r="DOQ111" s="3"/>
      <c r="DOR111" s="3"/>
      <c r="DOS111" s="3"/>
      <c r="DOT111" s="3"/>
      <c r="DOU111" s="3"/>
      <c r="DOV111" s="3"/>
      <c r="DOW111" s="3"/>
      <c r="DOX111" s="3"/>
      <c r="DOY111" s="3"/>
      <c r="DOZ111" s="3"/>
      <c r="DPA111" s="3"/>
      <c r="DPB111" s="3"/>
      <c r="DPC111" s="3"/>
      <c r="DPD111" s="3"/>
      <c r="DPE111" s="3"/>
      <c r="DPF111" s="3"/>
      <c r="DPG111" s="3"/>
      <c r="DPH111" s="3"/>
      <c r="DPI111" s="3"/>
      <c r="DPJ111" s="3"/>
      <c r="DPK111" s="3"/>
      <c r="DPL111" s="3"/>
      <c r="DPM111" s="3"/>
      <c r="DPN111" s="3"/>
      <c r="DPO111" s="3"/>
      <c r="DPP111" s="3"/>
      <c r="DPQ111" s="3"/>
      <c r="DPR111" s="3"/>
      <c r="DPS111" s="3"/>
      <c r="DPT111" s="3"/>
      <c r="DPU111" s="3"/>
      <c r="DPV111" s="3"/>
      <c r="DPW111" s="3"/>
      <c r="DPX111" s="3"/>
      <c r="DPY111" s="3"/>
      <c r="DPZ111" s="3"/>
      <c r="DQA111" s="3"/>
      <c r="DQB111" s="3"/>
      <c r="DQC111" s="3"/>
      <c r="DQD111" s="3"/>
      <c r="DQE111" s="3"/>
      <c r="DQF111" s="3"/>
      <c r="DQG111" s="3"/>
      <c r="DQH111" s="3"/>
      <c r="DQI111" s="3"/>
      <c r="DQJ111" s="3"/>
      <c r="DQK111" s="3"/>
      <c r="DQL111" s="3"/>
      <c r="DQM111" s="3"/>
      <c r="DQN111" s="3"/>
      <c r="DQO111" s="3"/>
      <c r="DQP111" s="3"/>
      <c r="DQQ111" s="3"/>
      <c r="DQR111" s="3"/>
      <c r="DQS111" s="3"/>
      <c r="DQT111" s="3"/>
      <c r="DQU111" s="3"/>
      <c r="DQV111" s="3"/>
      <c r="DQW111" s="3"/>
      <c r="DQX111" s="3"/>
      <c r="DQY111" s="3"/>
      <c r="DQZ111" s="3"/>
      <c r="DRA111" s="3"/>
      <c r="DRB111" s="3"/>
      <c r="DRC111" s="3"/>
      <c r="DRD111" s="3"/>
      <c r="DRE111" s="3"/>
      <c r="DRF111" s="3"/>
      <c r="DRG111" s="3"/>
      <c r="DRH111" s="3"/>
      <c r="DRI111" s="3"/>
      <c r="DRJ111" s="3"/>
      <c r="DRK111" s="3"/>
      <c r="DRL111" s="3"/>
      <c r="DRM111" s="3"/>
      <c r="DRN111" s="3"/>
      <c r="DRO111" s="3"/>
      <c r="DRP111" s="3"/>
      <c r="DRQ111" s="3"/>
      <c r="DRR111" s="3"/>
      <c r="DRS111" s="3"/>
      <c r="DRT111" s="3"/>
      <c r="DRU111" s="3"/>
      <c r="DRV111" s="3"/>
      <c r="DRW111" s="3"/>
      <c r="DRX111" s="3"/>
      <c r="DRY111" s="3"/>
      <c r="DRZ111" s="3"/>
      <c r="DSA111" s="3"/>
      <c r="DSB111" s="3"/>
      <c r="DSC111" s="3"/>
      <c r="DSD111" s="3"/>
      <c r="DSE111" s="3"/>
      <c r="DSF111" s="3"/>
      <c r="DSG111" s="3"/>
      <c r="DSH111" s="3"/>
      <c r="DSI111" s="3"/>
      <c r="DSJ111" s="3"/>
      <c r="DSK111" s="3"/>
      <c r="DSL111" s="3"/>
      <c r="DSM111" s="3"/>
      <c r="DSN111" s="3"/>
      <c r="DSO111" s="3"/>
      <c r="DSP111" s="3"/>
      <c r="DSQ111" s="3"/>
      <c r="DSR111" s="3"/>
      <c r="DSS111" s="3"/>
      <c r="DST111" s="3"/>
      <c r="DSU111" s="3"/>
      <c r="DSV111" s="3"/>
      <c r="DSW111" s="3"/>
      <c r="DSX111" s="3"/>
      <c r="DSY111" s="3"/>
      <c r="DSZ111" s="3"/>
      <c r="DTA111" s="3"/>
      <c r="DTB111" s="3"/>
      <c r="DTC111" s="3"/>
      <c r="DTD111" s="3"/>
      <c r="DTE111" s="3"/>
      <c r="DTF111" s="3"/>
      <c r="DTG111" s="3"/>
      <c r="DTH111" s="3"/>
      <c r="DTI111" s="3"/>
      <c r="DTJ111" s="3"/>
      <c r="DTK111" s="3"/>
      <c r="DTL111" s="3"/>
      <c r="DTM111" s="3"/>
      <c r="DTN111" s="3"/>
      <c r="DTO111" s="3"/>
      <c r="DTP111" s="3"/>
      <c r="DTQ111" s="3"/>
      <c r="DTR111" s="3"/>
      <c r="DTS111" s="3"/>
      <c r="DTT111" s="3"/>
      <c r="DTU111" s="3"/>
      <c r="DTV111" s="3"/>
      <c r="DTW111" s="3"/>
      <c r="DTX111" s="3"/>
      <c r="DTY111" s="3"/>
      <c r="DTZ111" s="3"/>
      <c r="DUA111" s="3"/>
      <c r="DUB111" s="3"/>
      <c r="DUC111" s="3"/>
      <c r="DUD111" s="3"/>
      <c r="DUE111" s="3"/>
      <c r="DUF111" s="3"/>
      <c r="DUG111" s="3"/>
      <c r="DUH111" s="3"/>
      <c r="DUI111" s="3"/>
      <c r="DUJ111" s="3"/>
      <c r="DUK111" s="3"/>
      <c r="DUL111" s="3"/>
      <c r="DUM111" s="3"/>
      <c r="DUN111" s="3"/>
      <c r="DUO111" s="3"/>
      <c r="DUP111" s="3"/>
      <c r="DUQ111" s="3"/>
      <c r="DUR111" s="3"/>
      <c r="DUS111" s="3"/>
      <c r="DUT111" s="3"/>
      <c r="DUU111" s="3"/>
      <c r="DUV111" s="3"/>
      <c r="DUW111" s="3"/>
      <c r="DUX111" s="3"/>
      <c r="DUY111" s="3"/>
      <c r="DUZ111" s="3"/>
      <c r="DVA111" s="3"/>
      <c r="DVB111" s="3"/>
      <c r="DVC111" s="3"/>
      <c r="DVD111" s="3"/>
      <c r="DVE111" s="3"/>
      <c r="DVF111" s="3"/>
      <c r="DVG111" s="3"/>
      <c r="DVH111" s="3"/>
      <c r="DVI111" s="3"/>
      <c r="DVJ111" s="3"/>
      <c r="DVK111" s="3"/>
      <c r="DVL111" s="3"/>
      <c r="DVM111" s="3"/>
      <c r="DVN111" s="3"/>
      <c r="DVO111" s="3"/>
      <c r="DVP111" s="3"/>
      <c r="DVQ111" s="3"/>
      <c r="DVR111" s="3"/>
      <c r="DVS111" s="3"/>
      <c r="DVT111" s="3"/>
      <c r="DVU111" s="3"/>
      <c r="DVV111" s="3"/>
      <c r="DVW111" s="3"/>
      <c r="DVX111" s="3"/>
      <c r="DVY111" s="3"/>
      <c r="DVZ111" s="3"/>
      <c r="DWA111" s="3"/>
      <c r="DWB111" s="3"/>
      <c r="DWC111" s="3"/>
      <c r="DWD111" s="3"/>
      <c r="DWE111" s="3"/>
      <c r="DWF111" s="3"/>
      <c r="DWG111" s="3"/>
      <c r="DWH111" s="3"/>
      <c r="DWI111" s="3"/>
      <c r="DWJ111" s="3"/>
      <c r="DWK111" s="3"/>
      <c r="DWL111" s="3"/>
      <c r="DWM111" s="3"/>
      <c r="DWN111" s="3"/>
      <c r="DWO111" s="3"/>
      <c r="DWP111" s="3"/>
      <c r="DWQ111" s="3"/>
      <c r="DWR111" s="3"/>
      <c r="DWS111" s="3"/>
      <c r="DWT111" s="3"/>
      <c r="DWU111" s="3"/>
      <c r="DWV111" s="3"/>
      <c r="DWW111" s="3"/>
      <c r="DWX111" s="3"/>
      <c r="DWY111" s="3"/>
      <c r="DWZ111" s="3"/>
      <c r="DXA111" s="3"/>
      <c r="DXB111" s="3"/>
      <c r="DXC111" s="3"/>
      <c r="DXD111" s="3"/>
      <c r="DXE111" s="3"/>
      <c r="DXF111" s="3"/>
      <c r="DXG111" s="3"/>
      <c r="DXH111" s="3"/>
      <c r="DXI111" s="3"/>
      <c r="DXJ111" s="3"/>
      <c r="DXK111" s="3"/>
      <c r="DXL111" s="3"/>
      <c r="DXM111" s="3"/>
      <c r="DXN111" s="3"/>
      <c r="DXO111" s="3"/>
      <c r="DXP111" s="3"/>
      <c r="DXQ111" s="3"/>
      <c r="DXR111" s="3"/>
      <c r="DXS111" s="3"/>
      <c r="DXT111" s="3"/>
      <c r="DXU111" s="3"/>
      <c r="DXV111" s="3"/>
      <c r="DXW111" s="3"/>
      <c r="DXX111" s="3"/>
      <c r="DXY111" s="3"/>
      <c r="DXZ111" s="3"/>
      <c r="DYA111" s="3"/>
      <c r="DYB111" s="3"/>
      <c r="DYC111" s="3"/>
      <c r="DYD111" s="3"/>
      <c r="DYE111" s="3"/>
      <c r="DYF111" s="3"/>
      <c r="DYG111" s="3"/>
      <c r="DYH111" s="3"/>
      <c r="DYI111" s="3"/>
      <c r="DYJ111" s="3"/>
      <c r="DYK111" s="3"/>
      <c r="DYL111" s="3"/>
      <c r="DYM111" s="3"/>
      <c r="DYN111" s="3"/>
      <c r="DYO111" s="3"/>
      <c r="DYP111" s="3"/>
      <c r="DYQ111" s="3"/>
      <c r="DYR111" s="3"/>
      <c r="DYS111" s="3"/>
      <c r="DYT111" s="3"/>
      <c r="DYU111" s="3"/>
      <c r="DYV111" s="3"/>
      <c r="DYW111" s="3"/>
      <c r="DYX111" s="3"/>
      <c r="DYY111" s="3"/>
      <c r="DYZ111" s="3"/>
      <c r="DZA111" s="3"/>
      <c r="DZB111" s="3"/>
      <c r="DZC111" s="3"/>
      <c r="DZD111" s="3"/>
      <c r="DZE111" s="3"/>
      <c r="DZF111" s="3"/>
      <c r="DZG111" s="3"/>
      <c r="DZH111" s="3"/>
      <c r="DZI111" s="3"/>
      <c r="DZJ111" s="3"/>
      <c r="DZK111" s="3"/>
      <c r="DZL111" s="3"/>
      <c r="DZM111" s="3"/>
      <c r="DZN111" s="3"/>
      <c r="DZO111" s="3"/>
      <c r="DZP111" s="3"/>
      <c r="DZQ111" s="3"/>
      <c r="DZR111" s="3"/>
      <c r="DZS111" s="3"/>
      <c r="DZT111" s="3"/>
      <c r="DZU111" s="3"/>
      <c r="DZV111" s="3"/>
      <c r="DZW111" s="3"/>
      <c r="DZX111" s="3"/>
      <c r="DZY111" s="3"/>
      <c r="DZZ111" s="3"/>
      <c r="EAA111" s="3"/>
      <c r="EAB111" s="3"/>
      <c r="EAC111" s="3"/>
      <c r="EAD111" s="3"/>
      <c r="EAE111" s="3"/>
      <c r="EAF111" s="3"/>
      <c r="EAG111" s="3"/>
      <c r="EAH111" s="3"/>
      <c r="EAI111" s="3"/>
      <c r="EAJ111" s="3"/>
      <c r="EAK111" s="3"/>
      <c r="EAL111" s="3"/>
      <c r="EAM111" s="3"/>
      <c r="EAN111" s="3"/>
      <c r="EAO111" s="3"/>
      <c r="EAP111" s="3"/>
      <c r="EAQ111" s="3"/>
      <c r="EAR111" s="3"/>
      <c r="EAS111" s="3"/>
      <c r="EAT111" s="3"/>
      <c r="EAU111" s="3"/>
      <c r="EAV111" s="3"/>
      <c r="EAW111" s="3"/>
      <c r="EAX111" s="3"/>
      <c r="EAY111" s="3"/>
      <c r="EAZ111" s="3"/>
      <c r="EBA111" s="3"/>
      <c r="EBB111" s="3"/>
      <c r="EBC111" s="3"/>
      <c r="EBD111" s="3"/>
      <c r="EBE111" s="3"/>
      <c r="EBF111" s="3"/>
      <c r="EBG111" s="3"/>
      <c r="EBH111" s="3"/>
      <c r="EBI111" s="3"/>
      <c r="EBJ111" s="3"/>
      <c r="EBK111" s="3"/>
      <c r="EBL111" s="3"/>
      <c r="EBM111" s="3"/>
      <c r="EBN111" s="3"/>
      <c r="EBO111" s="3"/>
      <c r="EBP111" s="3"/>
      <c r="EBQ111" s="3"/>
      <c r="EBR111" s="3"/>
      <c r="EBS111" s="3"/>
      <c r="EBT111" s="3"/>
      <c r="EBU111" s="3"/>
      <c r="EBV111" s="3"/>
      <c r="EBW111" s="3"/>
      <c r="EBX111" s="3"/>
      <c r="EBY111" s="3"/>
      <c r="EBZ111" s="3"/>
      <c r="ECA111" s="3"/>
      <c r="ECB111" s="3"/>
      <c r="ECC111" s="3"/>
      <c r="ECD111" s="3"/>
      <c r="ECE111" s="3"/>
      <c r="ECF111" s="3"/>
      <c r="ECG111" s="3"/>
      <c r="ECH111" s="3"/>
      <c r="ECI111" s="3"/>
      <c r="ECJ111" s="3"/>
      <c r="ECK111" s="3"/>
      <c r="ECL111" s="3"/>
      <c r="ECM111" s="3"/>
      <c r="ECN111" s="3"/>
      <c r="ECO111" s="3"/>
      <c r="ECP111" s="3"/>
      <c r="ECQ111" s="3"/>
      <c r="ECR111" s="3"/>
      <c r="ECS111" s="3"/>
      <c r="ECT111" s="3"/>
      <c r="ECU111" s="3"/>
      <c r="ECV111" s="3"/>
      <c r="ECW111" s="3"/>
      <c r="ECX111" s="3"/>
      <c r="ECY111" s="3"/>
      <c r="ECZ111" s="3"/>
      <c r="EDA111" s="3"/>
      <c r="EDB111" s="3"/>
      <c r="EDC111" s="3"/>
      <c r="EDD111" s="3"/>
      <c r="EDE111" s="3"/>
      <c r="EDF111" s="3"/>
      <c r="EDG111" s="3"/>
      <c r="EDH111" s="3"/>
      <c r="EDI111" s="3"/>
      <c r="EDJ111" s="3"/>
      <c r="EDK111" s="3"/>
      <c r="EDL111" s="3"/>
      <c r="EDM111" s="3"/>
      <c r="EDN111" s="3"/>
      <c r="EDO111" s="3"/>
      <c r="EDP111" s="3"/>
      <c r="EDQ111" s="3"/>
      <c r="EDR111" s="3"/>
      <c r="EDS111" s="3"/>
      <c r="EDT111" s="3"/>
      <c r="EDU111" s="3"/>
      <c r="EDV111" s="3"/>
      <c r="EDW111" s="3"/>
      <c r="EDX111" s="3"/>
      <c r="EDY111" s="3"/>
      <c r="EDZ111" s="3"/>
      <c r="EEA111" s="3"/>
      <c r="EEB111" s="3"/>
      <c r="EEC111" s="3"/>
      <c r="EED111" s="3"/>
      <c r="EEE111" s="3"/>
      <c r="EEF111" s="3"/>
      <c r="EEG111" s="3"/>
      <c r="EEH111" s="3"/>
      <c r="EEI111" s="3"/>
      <c r="EEJ111" s="3"/>
      <c r="EEK111" s="3"/>
      <c r="EEL111" s="3"/>
      <c r="EEM111" s="3"/>
      <c r="EEN111" s="3"/>
      <c r="EEO111" s="3"/>
      <c r="EEP111" s="3"/>
      <c r="EEQ111" s="3"/>
      <c r="EER111" s="3"/>
      <c r="EES111" s="3"/>
      <c r="EET111" s="3"/>
      <c r="EEU111" s="3"/>
      <c r="EEV111" s="3"/>
      <c r="EEW111" s="3"/>
      <c r="EEX111" s="3"/>
      <c r="EEY111" s="3"/>
      <c r="EEZ111" s="3"/>
      <c r="EFA111" s="3"/>
      <c r="EFB111" s="3"/>
      <c r="EFC111" s="3"/>
      <c r="EFD111" s="3"/>
      <c r="EFE111" s="3"/>
      <c r="EFF111" s="3"/>
      <c r="EFG111" s="3"/>
      <c r="EFH111" s="3"/>
      <c r="EFI111" s="3"/>
      <c r="EFJ111" s="3"/>
      <c r="EFK111" s="3"/>
      <c r="EFL111" s="3"/>
      <c r="EFM111" s="3"/>
      <c r="EFN111" s="3"/>
      <c r="EFO111" s="3"/>
      <c r="EFP111" s="3"/>
      <c r="EFQ111" s="3"/>
      <c r="EFR111" s="3"/>
      <c r="EFS111" s="3"/>
      <c r="EFT111" s="3"/>
      <c r="EFU111" s="3"/>
      <c r="EFV111" s="3"/>
      <c r="EFW111" s="3"/>
      <c r="EFX111" s="3"/>
      <c r="EFY111" s="3"/>
      <c r="EFZ111" s="3"/>
      <c r="EGA111" s="3"/>
      <c r="EGB111" s="3"/>
      <c r="EGC111" s="3"/>
      <c r="EGD111" s="3"/>
      <c r="EGE111" s="3"/>
      <c r="EGF111" s="3"/>
      <c r="EGG111" s="3"/>
      <c r="EGH111" s="3"/>
      <c r="EGI111" s="3"/>
      <c r="EGJ111" s="3"/>
      <c r="EGK111" s="3"/>
      <c r="EGL111" s="3"/>
      <c r="EGM111" s="3"/>
      <c r="EGN111" s="3"/>
      <c r="EGO111" s="3"/>
      <c r="EGP111" s="3"/>
      <c r="EGQ111" s="3"/>
      <c r="EGR111" s="3"/>
      <c r="EGS111" s="3"/>
      <c r="EGT111" s="3"/>
      <c r="EGU111" s="3"/>
      <c r="EGV111" s="3"/>
      <c r="EGW111" s="3"/>
      <c r="EGX111" s="3"/>
      <c r="EGY111" s="3"/>
      <c r="EGZ111" s="3"/>
      <c r="EHA111" s="3"/>
      <c r="EHB111" s="3"/>
      <c r="EHC111" s="3"/>
      <c r="EHD111" s="3"/>
      <c r="EHE111" s="3"/>
      <c r="EHF111" s="3"/>
      <c r="EHG111" s="3"/>
      <c r="EHH111" s="3"/>
      <c r="EHI111" s="3"/>
      <c r="EHJ111" s="3"/>
      <c r="EHK111" s="3"/>
      <c r="EHL111" s="3"/>
      <c r="EHM111" s="3"/>
      <c r="EHN111" s="3"/>
      <c r="EHO111" s="3"/>
      <c r="EHP111" s="3"/>
      <c r="EHQ111" s="3"/>
      <c r="EHR111" s="3"/>
      <c r="EHS111" s="3"/>
      <c r="EHT111" s="3"/>
      <c r="EHU111" s="3"/>
      <c r="EHV111" s="3"/>
      <c r="EHW111" s="3"/>
      <c r="EHX111" s="3"/>
      <c r="EHY111" s="3"/>
      <c r="EHZ111" s="3"/>
      <c r="EIA111" s="3"/>
      <c r="EIB111" s="3"/>
      <c r="EIC111" s="3"/>
      <c r="EID111" s="3"/>
      <c r="EIE111" s="3"/>
      <c r="EIF111" s="3"/>
      <c r="EIG111" s="3"/>
      <c r="EIH111" s="3"/>
      <c r="EII111" s="3"/>
      <c r="EIJ111" s="3"/>
      <c r="EIK111" s="3"/>
      <c r="EIL111" s="3"/>
      <c r="EIM111" s="3"/>
      <c r="EIN111" s="3"/>
      <c r="EIO111" s="3"/>
      <c r="EIP111" s="3"/>
      <c r="EIQ111" s="3"/>
      <c r="EIR111" s="3"/>
      <c r="EIS111" s="3"/>
      <c r="EIT111" s="3"/>
      <c r="EIU111" s="3"/>
      <c r="EIV111" s="3"/>
      <c r="EIW111" s="3"/>
      <c r="EIX111" s="3"/>
      <c r="EIY111" s="3"/>
      <c r="EIZ111" s="3"/>
      <c r="EJA111" s="3"/>
      <c r="EJB111" s="3"/>
      <c r="EJC111" s="3"/>
      <c r="EJD111" s="3"/>
      <c r="EJE111" s="3"/>
      <c r="EJF111" s="3"/>
      <c r="EJG111" s="3"/>
      <c r="EJH111" s="3"/>
      <c r="EJI111" s="3"/>
      <c r="EJJ111" s="3"/>
      <c r="EJK111" s="3"/>
      <c r="EJL111" s="3"/>
      <c r="EJM111" s="3"/>
      <c r="EJN111" s="3"/>
      <c r="EJO111" s="3"/>
      <c r="EJP111" s="3"/>
      <c r="EJQ111" s="3"/>
      <c r="EJR111" s="3"/>
      <c r="EJS111" s="3"/>
      <c r="EJT111" s="3"/>
      <c r="EJU111" s="3"/>
      <c r="EJV111" s="3"/>
      <c r="EJW111" s="3"/>
      <c r="EJX111" s="3"/>
      <c r="EJY111" s="3"/>
      <c r="EJZ111" s="3"/>
      <c r="EKA111" s="3"/>
      <c r="EKB111" s="3"/>
      <c r="EKC111" s="3"/>
      <c r="EKD111" s="3"/>
      <c r="EKE111" s="3"/>
      <c r="EKF111" s="3"/>
      <c r="EKG111" s="3"/>
      <c r="EKH111" s="3"/>
      <c r="EKI111" s="3"/>
      <c r="EKJ111" s="3"/>
      <c r="EKK111" s="3"/>
      <c r="EKL111" s="3"/>
      <c r="EKM111" s="3"/>
      <c r="EKN111" s="3"/>
      <c r="EKO111" s="3"/>
      <c r="EKP111" s="3"/>
      <c r="EKQ111" s="3"/>
      <c r="EKR111" s="3"/>
      <c r="EKS111" s="3"/>
      <c r="EKT111" s="3"/>
      <c r="EKU111" s="3"/>
      <c r="EKV111" s="3"/>
      <c r="EKW111" s="3"/>
      <c r="EKX111" s="3"/>
      <c r="EKY111" s="3"/>
      <c r="EKZ111" s="3"/>
      <c r="ELA111" s="3"/>
      <c r="ELB111" s="3"/>
      <c r="ELC111" s="3"/>
      <c r="ELD111" s="3"/>
      <c r="ELE111" s="3"/>
      <c r="ELF111" s="3"/>
      <c r="ELG111" s="3"/>
      <c r="ELH111" s="3"/>
      <c r="ELI111" s="3"/>
      <c r="ELJ111" s="3"/>
      <c r="ELK111" s="3"/>
      <c r="ELL111" s="3"/>
      <c r="ELM111" s="3"/>
      <c r="ELN111" s="3"/>
      <c r="ELO111" s="3"/>
      <c r="ELP111" s="3"/>
      <c r="ELQ111" s="3"/>
      <c r="ELR111" s="3"/>
      <c r="ELS111" s="3"/>
      <c r="ELT111" s="3"/>
      <c r="ELU111" s="3"/>
      <c r="ELV111" s="3"/>
      <c r="ELW111" s="3"/>
      <c r="ELX111" s="3"/>
      <c r="ELY111" s="3"/>
      <c r="ELZ111" s="3"/>
      <c r="EMA111" s="3"/>
      <c r="EMB111" s="3"/>
      <c r="EMC111" s="3"/>
      <c r="EMD111" s="3"/>
      <c r="EME111" s="3"/>
      <c r="EMF111" s="3"/>
      <c r="EMG111" s="3"/>
      <c r="EMH111" s="3"/>
      <c r="EMI111" s="3"/>
      <c r="EMJ111" s="3"/>
      <c r="EMK111" s="3"/>
      <c r="EML111" s="3"/>
      <c r="EMM111" s="3"/>
      <c r="EMN111" s="3"/>
      <c r="EMO111" s="3"/>
      <c r="EMP111" s="3"/>
      <c r="EMQ111" s="3"/>
      <c r="EMR111" s="3"/>
      <c r="EMS111" s="3"/>
      <c r="EMT111" s="3"/>
      <c r="EMU111" s="3"/>
      <c r="EMV111" s="3"/>
      <c r="EMW111" s="3"/>
      <c r="EMX111" s="3"/>
      <c r="EMY111" s="3"/>
      <c r="EMZ111" s="3"/>
      <c r="ENA111" s="3"/>
      <c r="ENB111" s="3"/>
      <c r="ENC111" s="3"/>
      <c r="END111" s="3"/>
      <c r="ENE111" s="3"/>
      <c r="ENF111" s="3"/>
      <c r="ENG111" s="3"/>
      <c r="ENH111" s="3"/>
      <c r="ENI111" s="3"/>
      <c r="ENJ111" s="3"/>
      <c r="ENK111" s="3"/>
      <c r="ENL111" s="3"/>
      <c r="ENM111" s="3"/>
      <c r="ENN111" s="3"/>
      <c r="ENO111" s="3"/>
      <c r="ENP111" s="3"/>
      <c r="ENQ111" s="3"/>
      <c r="ENR111" s="3"/>
      <c r="ENS111" s="3"/>
      <c r="ENT111" s="3"/>
      <c r="ENU111" s="3"/>
      <c r="ENV111" s="3"/>
      <c r="ENW111" s="3"/>
      <c r="ENX111" s="3"/>
      <c r="ENY111" s="3"/>
      <c r="ENZ111" s="3"/>
      <c r="EOA111" s="3"/>
      <c r="EOB111" s="3"/>
      <c r="EOC111" s="3"/>
      <c r="EOD111" s="3"/>
      <c r="EOE111" s="3"/>
      <c r="EOF111" s="3"/>
      <c r="EOG111" s="3"/>
      <c r="EOH111" s="3"/>
      <c r="EOI111" s="3"/>
      <c r="EOJ111" s="3"/>
      <c r="EOK111" s="3"/>
      <c r="EOL111" s="3"/>
      <c r="EOM111" s="3"/>
      <c r="EON111" s="3"/>
      <c r="EOO111" s="3"/>
      <c r="EOP111" s="3"/>
      <c r="EOQ111" s="3"/>
      <c r="EOR111" s="3"/>
      <c r="EOS111" s="3"/>
      <c r="EOT111" s="3"/>
      <c r="EOU111" s="3"/>
      <c r="EOV111" s="3"/>
      <c r="EOW111" s="3"/>
      <c r="EOX111" s="3"/>
      <c r="EOY111" s="3"/>
      <c r="EOZ111" s="3"/>
      <c r="EPA111" s="3"/>
      <c r="EPB111" s="3"/>
      <c r="EPC111" s="3"/>
      <c r="EPD111" s="3"/>
      <c r="EPE111" s="3"/>
      <c r="EPF111" s="3"/>
      <c r="EPG111" s="3"/>
      <c r="EPH111" s="3"/>
      <c r="EPI111" s="3"/>
      <c r="EPJ111" s="3"/>
      <c r="EPK111" s="3"/>
      <c r="EPL111" s="3"/>
      <c r="EPM111" s="3"/>
      <c r="EPN111" s="3"/>
      <c r="EPO111" s="3"/>
      <c r="EPP111" s="3"/>
      <c r="EPQ111" s="3"/>
      <c r="EPR111" s="3"/>
      <c r="EPS111" s="3"/>
      <c r="EPT111" s="3"/>
      <c r="EPU111" s="3"/>
      <c r="EPV111" s="3"/>
      <c r="EPW111" s="3"/>
      <c r="EPX111" s="3"/>
      <c r="EPY111" s="3"/>
      <c r="EPZ111" s="3"/>
      <c r="EQA111" s="3"/>
      <c r="EQB111" s="3"/>
      <c r="EQC111" s="3"/>
      <c r="EQD111" s="3"/>
      <c r="EQE111" s="3"/>
      <c r="EQF111" s="3"/>
      <c r="EQG111" s="3"/>
      <c r="EQH111" s="3"/>
      <c r="EQI111" s="3"/>
      <c r="EQJ111" s="3"/>
      <c r="EQK111" s="3"/>
      <c r="EQL111" s="3"/>
      <c r="EQM111" s="3"/>
      <c r="EQN111" s="3"/>
      <c r="EQO111" s="3"/>
      <c r="EQP111" s="3"/>
      <c r="EQQ111" s="3"/>
      <c r="EQR111" s="3"/>
      <c r="EQS111" s="3"/>
      <c r="EQT111" s="3"/>
      <c r="EQU111" s="3"/>
      <c r="EQV111" s="3"/>
      <c r="EQW111" s="3"/>
      <c r="EQX111" s="3"/>
      <c r="EQY111" s="3"/>
      <c r="EQZ111" s="3"/>
      <c r="ERA111" s="3"/>
      <c r="ERB111" s="3"/>
      <c r="ERC111" s="3"/>
      <c r="ERD111" s="3"/>
      <c r="ERE111" s="3"/>
      <c r="ERF111" s="3"/>
      <c r="ERG111" s="3"/>
      <c r="ERH111" s="3"/>
      <c r="ERI111" s="3"/>
      <c r="ERJ111" s="3"/>
      <c r="ERK111" s="3"/>
      <c r="ERL111" s="3"/>
      <c r="ERM111" s="3"/>
      <c r="ERN111" s="3"/>
      <c r="ERO111" s="3"/>
      <c r="ERP111" s="3"/>
      <c r="ERQ111" s="3"/>
      <c r="ERR111" s="3"/>
      <c r="ERS111" s="3"/>
      <c r="ERT111" s="3"/>
      <c r="ERU111" s="3"/>
      <c r="ERV111" s="3"/>
      <c r="ERW111" s="3"/>
      <c r="ERX111" s="3"/>
      <c r="ERY111" s="3"/>
      <c r="ERZ111" s="3"/>
      <c r="ESA111" s="3"/>
      <c r="ESB111" s="3"/>
      <c r="ESC111" s="3"/>
      <c r="ESD111" s="3"/>
      <c r="ESE111" s="3"/>
      <c r="ESF111" s="3"/>
      <c r="ESG111" s="3"/>
      <c r="ESH111" s="3"/>
      <c r="ESI111" s="3"/>
      <c r="ESJ111" s="3"/>
      <c r="ESK111" s="3"/>
      <c r="ESL111" s="3"/>
      <c r="ESM111" s="3"/>
      <c r="ESN111" s="3"/>
      <c r="ESO111" s="3"/>
      <c r="ESP111" s="3"/>
      <c r="ESQ111" s="3"/>
      <c r="ESR111" s="3"/>
      <c r="ESS111" s="3"/>
      <c r="EST111" s="3"/>
      <c r="ESU111" s="3"/>
      <c r="ESV111" s="3"/>
      <c r="ESW111" s="3"/>
      <c r="ESX111" s="3"/>
      <c r="ESY111" s="3"/>
      <c r="ESZ111" s="3"/>
      <c r="ETA111" s="3"/>
      <c r="ETB111" s="3"/>
      <c r="ETC111" s="3"/>
      <c r="ETD111" s="3"/>
      <c r="ETE111" s="3"/>
      <c r="ETF111" s="3"/>
      <c r="ETG111" s="3"/>
      <c r="ETH111" s="3"/>
      <c r="ETI111" s="3"/>
      <c r="ETJ111" s="3"/>
      <c r="ETK111" s="3"/>
      <c r="ETL111" s="3"/>
      <c r="ETM111" s="3"/>
      <c r="ETN111" s="3"/>
      <c r="ETO111" s="3"/>
      <c r="ETP111" s="3"/>
      <c r="ETQ111" s="3"/>
      <c r="ETR111" s="3"/>
      <c r="ETS111" s="3"/>
      <c r="ETT111" s="3"/>
      <c r="ETU111" s="3"/>
      <c r="ETV111" s="3"/>
      <c r="ETW111" s="3"/>
      <c r="ETX111" s="3"/>
      <c r="ETY111" s="3"/>
      <c r="ETZ111" s="3"/>
      <c r="EUA111" s="3"/>
      <c r="EUB111" s="3"/>
      <c r="EUC111" s="3"/>
      <c r="EUD111" s="3"/>
      <c r="EUE111" s="3"/>
      <c r="EUF111" s="3"/>
      <c r="EUG111" s="3"/>
      <c r="EUH111" s="3"/>
      <c r="EUI111" s="3"/>
      <c r="EUJ111" s="3"/>
      <c r="EUK111" s="3"/>
      <c r="EUL111" s="3"/>
      <c r="EUM111" s="3"/>
      <c r="EUN111" s="3"/>
      <c r="EUO111" s="3"/>
      <c r="EUP111" s="3"/>
      <c r="EUQ111" s="3"/>
      <c r="EUR111" s="3"/>
      <c r="EUS111" s="3"/>
      <c r="EUT111" s="3"/>
      <c r="EUU111" s="3"/>
      <c r="EUV111" s="3"/>
      <c r="EUW111" s="3"/>
      <c r="EUX111" s="3"/>
      <c r="EUY111" s="3"/>
      <c r="EUZ111" s="3"/>
      <c r="EVA111" s="3"/>
      <c r="EVB111" s="3"/>
      <c r="EVC111" s="3"/>
      <c r="EVD111" s="3"/>
      <c r="EVE111" s="3"/>
      <c r="EVF111" s="3"/>
      <c r="EVG111" s="3"/>
      <c r="EVH111" s="3"/>
      <c r="EVI111" s="3"/>
      <c r="EVJ111" s="3"/>
      <c r="EVK111" s="3"/>
      <c r="EVL111" s="3"/>
      <c r="EVM111" s="3"/>
      <c r="EVN111" s="3"/>
      <c r="EVO111" s="3"/>
      <c r="EVP111" s="3"/>
      <c r="EVQ111" s="3"/>
      <c r="EVR111" s="3"/>
      <c r="EVS111" s="3"/>
      <c r="EVT111" s="3"/>
      <c r="EVU111" s="3"/>
      <c r="EVV111" s="3"/>
      <c r="EVW111" s="3"/>
      <c r="EVX111" s="3"/>
      <c r="EVY111" s="3"/>
      <c r="EVZ111" s="3"/>
      <c r="EWA111" s="3"/>
      <c r="EWB111" s="3"/>
      <c r="EWC111" s="3"/>
      <c r="EWD111" s="3"/>
      <c r="EWE111" s="3"/>
      <c r="EWF111" s="3"/>
      <c r="EWG111" s="3"/>
      <c r="EWH111" s="3"/>
      <c r="EWI111" s="3"/>
      <c r="EWJ111" s="3"/>
      <c r="EWK111" s="3"/>
      <c r="EWL111" s="3"/>
      <c r="EWM111" s="3"/>
      <c r="EWN111" s="3"/>
      <c r="EWO111" s="3"/>
      <c r="EWP111" s="3"/>
      <c r="EWQ111" s="3"/>
      <c r="EWR111" s="3"/>
      <c r="EWS111" s="3"/>
      <c r="EWT111" s="3"/>
      <c r="EWU111" s="3"/>
      <c r="EWV111" s="3"/>
      <c r="EWW111" s="3"/>
      <c r="EWX111" s="3"/>
      <c r="EWY111" s="3"/>
      <c r="EWZ111" s="3"/>
      <c r="EXA111" s="3"/>
      <c r="EXB111" s="3"/>
      <c r="EXC111" s="3"/>
      <c r="EXD111" s="3"/>
      <c r="EXE111" s="3"/>
      <c r="EXF111" s="3"/>
      <c r="EXG111" s="3"/>
      <c r="EXH111" s="3"/>
      <c r="EXI111" s="3"/>
      <c r="EXJ111" s="3"/>
      <c r="EXK111" s="3"/>
      <c r="EXL111" s="3"/>
      <c r="EXM111" s="3"/>
      <c r="EXN111" s="3"/>
      <c r="EXO111" s="3"/>
      <c r="EXP111" s="3"/>
      <c r="EXQ111" s="3"/>
      <c r="EXR111" s="3"/>
      <c r="EXS111" s="3"/>
      <c r="EXT111" s="3"/>
      <c r="EXU111" s="3"/>
      <c r="EXV111" s="3"/>
      <c r="EXW111" s="3"/>
      <c r="EXX111" s="3"/>
      <c r="EXY111" s="3"/>
      <c r="EXZ111" s="3"/>
      <c r="EYA111" s="3"/>
      <c r="EYB111" s="3"/>
      <c r="EYC111" s="3"/>
      <c r="EYD111" s="3"/>
      <c r="EYE111" s="3"/>
      <c r="EYF111" s="3"/>
      <c r="EYG111" s="3"/>
      <c r="EYH111" s="3"/>
      <c r="EYI111" s="3"/>
      <c r="EYJ111" s="3"/>
      <c r="EYK111" s="3"/>
      <c r="EYL111" s="3"/>
      <c r="EYM111" s="3"/>
      <c r="EYN111" s="3"/>
      <c r="EYO111" s="3"/>
      <c r="EYP111" s="3"/>
      <c r="EYQ111" s="3"/>
      <c r="EYR111" s="3"/>
      <c r="EYS111" s="3"/>
      <c r="EYT111" s="3"/>
      <c r="EYU111" s="3"/>
      <c r="EYV111" s="3"/>
      <c r="EYW111" s="3"/>
      <c r="EYX111" s="3"/>
      <c r="EYY111" s="3"/>
      <c r="EYZ111" s="3"/>
      <c r="EZA111" s="3"/>
      <c r="EZB111" s="3"/>
      <c r="EZC111" s="3"/>
      <c r="EZD111" s="3"/>
      <c r="EZE111" s="3"/>
      <c r="EZF111" s="3"/>
      <c r="EZG111" s="3"/>
      <c r="EZH111" s="3"/>
      <c r="EZI111" s="3"/>
      <c r="EZJ111" s="3"/>
      <c r="EZK111" s="3"/>
      <c r="EZL111" s="3"/>
      <c r="EZM111" s="3"/>
      <c r="EZN111" s="3"/>
      <c r="EZO111" s="3"/>
      <c r="EZP111" s="3"/>
      <c r="EZQ111" s="3"/>
      <c r="EZR111" s="3"/>
      <c r="EZS111" s="3"/>
      <c r="EZT111" s="3"/>
      <c r="EZU111" s="3"/>
      <c r="EZV111" s="3"/>
      <c r="EZW111" s="3"/>
      <c r="EZX111" s="3"/>
      <c r="EZY111" s="3"/>
      <c r="EZZ111" s="3"/>
      <c r="FAA111" s="3"/>
      <c r="FAB111" s="3"/>
      <c r="FAC111" s="3"/>
      <c r="FAD111" s="3"/>
      <c r="FAE111" s="3"/>
      <c r="FAF111" s="3"/>
      <c r="FAG111" s="3"/>
      <c r="FAH111" s="3"/>
      <c r="FAI111" s="3"/>
      <c r="FAJ111" s="3"/>
      <c r="FAK111" s="3"/>
      <c r="FAL111" s="3"/>
      <c r="FAM111" s="3"/>
      <c r="FAN111" s="3"/>
      <c r="FAO111" s="3"/>
      <c r="FAP111" s="3"/>
      <c r="FAQ111" s="3"/>
      <c r="FAR111" s="3"/>
      <c r="FAS111" s="3"/>
      <c r="FAT111" s="3"/>
      <c r="FAU111" s="3"/>
      <c r="FAV111" s="3"/>
      <c r="FAW111" s="3"/>
      <c r="FAX111" s="3"/>
      <c r="FAY111" s="3"/>
      <c r="FAZ111" s="3"/>
      <c r="FBA111" s="3"/>
      <c r="FBB111" s="3"/>
      <c r="FBC111" s="3"/>
      <c r="FBD111" s="3"/>
      <c r="FBE111" s="3"/>
      <c r="FBF111" s="3"/>
      <c r="FBG111" s="3"/>
      <c r="FBH111" s="3"/>
      <c r="FBI111" s="3"/>
      <c r="FBJ111" s="3"/>
      <c r="FBK111" s="3"/>
      <c r="FBL111" s="3"/>
      <c r="FBM111" s="3"/>
      <c r="FBN111" s="3"/>
      <c r="FBO111" s="3"/>
      <c r="FBP111" s="3"/>
      <c r="FBQ111" s="3"/>
      <c r="FBR111" s="3"/>
      <c r="FBS111" s="3"/>
      <c r="FBT111" s="3"/>
      <c r="FBU111" s="3"/>
      <c r="FBV111" s="3"/>
      <c r="FBW111" s="3"/>
      <c r="FBX111" s="3"/>
      <c r="FBY111" s="3"/>
      <c r="FBZ111" s="3"/>
      <c r="FCA111" s="3"/>
      <c r="FCB111" s="3"/>
      <c r="FCC111" s="3"/>
      <c r="FCD111" s="3"/>
      <c r="FCE111" s="3"/>
      <c r="FCF111" s="3"/>
      <c r="FCG111" s="3"/>
      <c r="FCH111" s="3"/>
      <c r="FCI111" s="3"/>
      <c r="FCJ111" s="3"/>
      <c r="FCK111" s="3"/>
      <c r="FCL111" s="3"/>
      <c r="FCM111" s="3"/>
      <c r="FCN111" s="3"/>
      <c r="FCO111" s="3"/>
      <c r="FCP111" s="3"/>
      <c r="FCQ111" s="3"/>
      <c r="FCR111" s="3"/>
      <c r="FCS111" s="3"/>
      <c r="FCT111" s="3"/>
      <c r="FCU111" s="3"/>
      <c r="FCV111" s="3"/>
      <c r="FCW111" s="3"/>
      <c r="FCX111" s="3"/>
      <c r="FCY111" s="3"/>
      <c r="FCZ111" s="3"/>
      <c r="FDA111" s="3"/>
      <c r="FDB111" s="3"/>
      <c r="FDC111" s="3"/>
      <c r="FDD111" s="3"/>
      <c r="FDE111" s="3"/>
      <c r="FDF111" s="3"/>
      <c r="FDG111" s="3"/>
      <c r="FDH111" s="3"/>
      <c r="FDI111" s="3"/>
      <c r="FDJ111" s="3"/>
      <c r="FDK111" s="3"/>
      <c r="FDL111" s="3"/>
      <c r="FDM111" s="3"/>
      <c r="FDN111" s="3"/>
      <c r="FDO111" s="3"/>
      <c r="FDP111" s="3"/>
      <c r="FDQ111" s="3"/>
      <c r="FDR111" s="3"/>
      <c r="FDS111" s="3"/>
      <c r="FDT111" s="3"/>
      <c r="FDU111" s="3"/>
      <c r="FDV111" s="3"/>
      <c r="FDW111" s="3"/>
      <c r="FDX111" s="3"/>
      <c r="FDY111" s="3"/>
      <c r="FDZ111" s="3"/>
      <c r="FEA111" s="3"/>
      <c r="FEB111" s="3"/>
      <c r="FEC111" s="3"/>
      <c r="FED111" s="3"/>
      <c r="FEE111" s="3"/>
      <c r="FEF111" s="3"/>
      <c r="FEG111" s="3"/>
      <c r="FEH111" s="3"/>
      <c r="FEI111" s="3"/>
      <c r="FEJ111" s="3"/>
      <c r="FEK111" s="3"/>
      <c r="FEL111" s="3"/>
      <c r="FEM111" s="3"/>
      <c r="FEN111" s="3"/>
      <c r="FEO111" s="3"/>
      <c r="FEP111" s="3"/>
      <c r="FEQ111" s="3"/>
      <c r="FER111" s="3"/>
      <c r="FES111" s="3"/>
      <c r="FET111" s="3"/>
      <c r="FEU111" s="3"/>
      <c r="FEV111" s="3"/>
      <c r="FEW111" s="3"/>
      <c r="FEX111" s="3"/>
      <c r="FEY111" s="3"/>
      <c r="FEZ111" s="3"/>
      <c r="FFA111" s="3"/>
      <c r="FFB111" s="3"/>
      <c r="FFC111" s="3"/>
      <c r="FFD111" s="3"/>
      <c r="FFE111" s="3"/>
      <c r="FFF111" s="3"/>
      <c r="FFG111" s="3"/>
      <c r="FFH111" s="3"/>
      <c r="FFI111" s="3"/>
      <c r="FFJ111" s="3"/>
      <c r="FFK111" s="3"/>
      <c r="FFL111" s="3"/>
      <c r="FFM111" s="3"/>
      <c r="FFN111" s="3"/>
      <c r="FFO111" s="3"/>
      <c r="FFP111" s="3"/>
      <c r="FFQ111" s="3"/>
      <c r="FFR111" s="3"/>
      <c r="FFS111" s="3"/>
      <c r="FFT111" s="3"/>
      <c r="FFU111" s="3"/>
      <c r="FFV111" s="3"/>
      <c r="FFW111" s="3"/>
      <c r="FFX111" s="3"/>
      <c r="FFY111" s="3"/>
      <c r="FFZ111" s="3"/>
      <c r="FGA111" s="3"/>
      <c r="FGB111" s="3"/>
      <c r="FGC111" s="3"/>
      <c r="FGD111" s="3"/>
      <c r="FGE111" s="3"/>
      <c r="FGF111" s="3"/>
      <c r="FGG111" s="3"/>
      <c r="FGH111" s="3"/>
      <c r="FGI111" s="3"/>
      <c r="FGJ111" s="3"/>
      <c r="FGK111" s="3"/>
      <c r="FGL111" s="3"/>
      <c r="FGM111" s="3"/>
      <c r="FGN111" s="3"/>
      <c r="FGO111" s="3"/>
      <c r="FGP111" s="3"/>
      <c r="FGQ111" s="3"/>
      <c r="FGR111" s="3"/>
      <c r="FGS111" s="3"/>
      <c r="FGT111" s="3"/>
      <c r="FGU111" s="3"/>
      <c r="FGV111" s="3"/>
      <c r="FGW111" s="3"/>
      <c r="FGX111" s="3"/>
      <c r="FGY111" s="3"/>
      <c r="FGZ111" s="3"/>
      <c r="FHA111" s="3"/>
      <c r="FHB111" s="3"/>
      <c r="FHC111" s="3"/>
      <c r="FHD111" s="3"/>
      <c r="FHE111" s="3"/>
      <c r="FHF111" s="3"/>
      <c r="FHG111" s="3"/>
      <c r="FHH111" s="3"/>
      <c r="FHI111" s="3"/>
      <c r="FHJ111" s="3"/>
      <c r="FHK111" s="3"/>
      <c r="FHL111" s="3"/>
      <c r="FHM111" s="3"/>
      <c r="FHN111" s="3"/>
      <c r="FHO111" s="3"/>
      <c r="FHP111" s="3"/>
      <c r="FHQ111" s="3"/>
      <c r="FHR111" s="3"/>
      <c r="FHS111" s="3"/>
      <c r="FHT111" s="3"/>
      <c r="FHU111" s="3"/>
      <c r="FHV111" s="3"/>
      <c r="FHW111" s="3"/>
      <c r="FHX111" s="3"/>
      <c r="FHY111" s="3"/>
      <c r="FHZ111" s="3"/>
      <c r="FIA111" s="3"/>
      <c r="FIB111" s="3"/>
      <c r="FIC111" s="3"/>
      <c r="FID111" s="3"/>
      <c r="FIE111" s="3"/>
      <c r="FIF111" s="3"/>
      <c r="FIG111" s="3"/>
      <c r="FIH111" s="3"/>
      <c r="FII111" s="3"/>
      <c r="FIJ111" s="3"/>
      <c r="FIK111" s="3"/>
      <c r="FIL111" s="3"/>
      <c r="FIM111" s="3"/>
      <c r="FIN111" s="3"/>
      <c r="FIO111" s="3"/>
      <c r="FIP111" s="3"/>
      <c r="FIQ111" s="3"/>
      <c r="FIR111" s="3"/>
      <c r="FIS111" s="3"/>
      <c r="FIT111" s="3"/>
      <c r="FIU111" s="3"/>
      <c r="FIV111" s="3"/>
      <c r="FIW111" s="3"/>
      <c r="FIX111" s="3"/>
      <c r="FIY111" s="3"/>
      <c r="FIZ111" s="3"/>
      <c r="FJA111" s="3"/>
      <c r="FJB111" s="3"/>
      <c r="FJC111" s="3"/>
      <c r="FJD111" s="3"/>
      <c r="FJE111" s="3"/>
      <c r="FJF111" s="3"/>
      <c r="FJG111" s="3"/>
      <c r="FJH111" s="3"/>
      <c r="FJI111" s="3"/>
      <c r="FJJ111" s="3"/>
      <c r="FJK111" s="3"/>
      <c r="FJL111" s="3"/>
      <c r="FJM111" s="3"/>
      <c r="FJN111" s="3"/>
      <c r="FJO111" s="3"/>
      <c r="FJP111" s="3"/>
      <c r="FJQ111" s="3"/>
      <c r="FJR111" s="3"/>
      <c r="FJS111" s="3"/>
      <c r="FJT111" s="3"/>
      <c r="FJU111" s="3"/>
      <c r="FJV111" s="3"/>
      <c r="FJW111" s="3"/>
      <c r="FJX111" s="3"/>
      <c r="FJY111" s="3"/>
      <c r="FJZ111" s="3"/>
      <c r="FKA111" s="3"/>
      <c r="FKB111" s="3"/>
      <c r="FKC111" s="3"/>
      <c r="FKD111" s="3"/>
      <c r="FKE111" s="3"/>
      <c r="FKF111" s="3"/>
      <c r="FKG111" s="3"/>
      <c r="FKH111" s="3"/>
      <c r="FKI111" s="3"/>
      <c r="FKJ111" s="3"/>
      <c r="FKK111" s="3"/>
      <c r="FKL111" s="3"/>
      <c r="FKM111" s="3"/>
      <c r="FKN111" s="3"/>
      <c r="FKO111" s="3"/>
      <c r="FKP111" s="3"/>
      <c r="FKQ111" s="3"/>
      <c r="FKR111" s="3"/>
      <c r="FKS111" s="3"/>
      <c r="FKT111" s="3"/>
      <c r="FKU111" s="3"/>
      <c r="FKV111" s="3"/>
      <c r="FKW111" s="3"/>
      <c r="FKX111" s="3"/>
      <c r="FKY111" s="3"/>
      <c r="FKZ111" s="3"/>
      <c r="FLA111" s="3"/>
      <c r="FLB111" s="3"/>
      <c r="FLC111" s="3"/>
      <c r="FLD111" s="3"/>
      <c r="FLE111" s="3"/>
      <c r="FLF111" s="3"/>
      <c r="FLG111" s="3"/>
      <c r="FLH111" s="3"/>
      <c r="FLI111" s="3"/>
      <c r="FLJ111" s="3"/>
      <c r="FLK111" s="3"/>
      <c r="FLL111" s="3"/>
      <c r="FLM111" s="3"/>
      <c r="FLN111" s="3"/>
      <c r="FLO111" s="3"/>
      <c r="FLP111" s="3"/>
      <c r="FLQ111" s="3"/>
      <c r="FLR111" s="3"/>
      <c r="FLS111" s="3"/>
      <c r="FLT111" s="3"/>
      <c r="FLU111" s="3"/>
      <c r="FLV111" s="3"/>
      <c r="FLW111" s="3"/>
      <c r="FLX111" s="3"/>
      <c r="FLY111" s="3"/>
      <c r="FLZ111" s="3"/>
      <c r="FMA111" s="3"/>
      <c r="FMB111" s="3"/>
      <c r="FMC111" s="3"/>
      <c r="FMD111" s="3"/>
      <c r="FME111" s="3"/>
      <c r="FMF111" s="3"/>
      <c r="FMG111" s="3"/>
      <c r="FMH111" s="3"/>
      <c r="FMI111" s="3"/>
      <c r="FMJ111" s="3"/>
      <c r="FMK111" s="3"/>
      <c r="FML111" s="3"/>
      <c r="FMM111" s="3"/>
      <c r="FMN111" s="3"/>
      <c r="FMO111" s="3"/>
      <c r="FMP111" s="3"/>
      <c r="FMQ111" s="3"/>
      <c r="FMR111" s="3"/>
      <c r="FMS111" s="3"/>
      <c r="FMT111" s="3"/>
      <c r="FMU111" s="3"/>
      <c r="FMV111" s="3"/>
      <c r="FMW111" s="3"/>
      <c r="FMX111" s="3"/>
      <c r="FMY111" s="3"/>
      <c r="FMZ111" s="3"/>
      <c r="FNA111" s="3"/>
      <c r="FNB111" s="3"/>
      <c r="FNC111" s="3"/>
      <c r="FND111" s="3"/>
      <c r="FNE111" s="3"/>
      <c r="FNF111" s="3"/>
      <c r="FNG111" s="3"/>
      <c r="FNH111" s="3"/>
      <c r="FNI111" s="3"/>
      <c r="FNJ111" s="3"/>
      <c r="FNK111" s="3"/>
      <c r="FNL111" s="3"/>
      <c r="FNM111" s="3"/>
      <c r="FNN111" s="3"/>
      <c r="FNO111" s="3"/>
      <c r="FNP111" s="3"/>
      <c r="FNQ111" s="3"/>
      <c r="FNR111" s="3"/>
      <c r="FNS111" s="3"/>
      <c r="FNT111" s="3"/>
      <c r="FNU111" s="3"/>
      <c r="FNV111" s="3"/>
      <c r="FNW111" s="3"/>
      <c r="FNX111" s="3"/>
      <c r="FNY111" s="3"/>
      <c r="FNZ111" s="3"/>
      <c r="FOA111" s="3"/>
      <c r="FOB111" s="3"/>
      <c r="FOC111" s="3"/>
      <c r="FOD111" s="3"/>
      <c r="FOE111" s="3"/>
      <c r="FOF111" s="3"/>
      <c r="FOG111" s="3"/>
      <c r="FOH111" s="3"/>
      <c r="FOI111" s="3"/>
      <c r="FOJ111" s="3"/>
      <c r="FOK111" s="3"/>
      <c r="FOL111" s="3"/>
      <c r="FOM111" s="3"/>
      <c r="FON111" s="3"/>
      <c r="FOO111" s="3"/>
      <c r="FOP111" s="3"/>
      <c r="FOQ111" s="3"/>
      <c r="FOR111" s="3"/>
      <c r="FOS111" s="3"/>
      <c r="FOT111" s="3"/>
      <c r="FOU111" s="3"/>
      <c r="FOV111" s="3"/>
      <c r="FOW111" s="3"/>
      <c r="FOX111" s="3"/>
      <c r="FOY111" s="3"/>
      <c r="FOZ111" s="3"/>
      <c r="FPA111" s="3"/>
      <c r="FPB111" s="3"/>
      <c r="FPC111" s="3"/>
      <c r="FPD111" s="3"/>
      <c r="FPE111" s="3"/>
      <c r="FPF111" s="3"/>
      <c r="FPG111" s="3"/>
      <c r="FPH111" s="3"/>
      <c r="FPI111" s="3"/>
      <c r="FPJ111" s="3"/>
      <c r="FPK111" s="3"/>
      <c r="FPL111" s="3"/>
      <c r="FPM111" s="3"/>
      <c r="FPN111" s="3"/>
      <c r="FPO111" s="3"/>
      <c r="FPP111" s="3"/>
      <c r="FPQ111" s="3"/>
      <c r="FPR111" s="3"/>
      <c r="FPS111" s="3"/>
      <c r="FPT111" s="3"/>
      <c r="FPU111" s="3"/>
      <c r="FPV111" s="3"/>
      <c r="FPW111" s="3"/>
      <c r="FPX111" s="3"/>
      <c r="FPY111" s="3"/>
      <c r="FPZ111" s="3"/>
      <c r="FQA111" s="3"/>
      <c r="FQB111" s="3"/>
      <c r="FQC111" s="3"/>
      <c r="FQD111" s="3"/>
      <c r="FQE111" s="3"/>
      <c r="FQF111" s="3"/>
      <c r="FQG111" s="3"/>
      <c r="FQH111" s="3"/>
      <c r="FQI111" s="3"/>
      <c r="FQJ111" s="3"/>
      <c r="FQK111" s="3"/>
      <c r="FQL111" s="3"/>
      <c r="FQM111" s="3"/>
      <c r="FQN111" s="3"/>
      <c r="FQO111" s="3"/>
      <c r="FQP111" s="3"/>
      <c r="FQQ111" s="3"/>
      <c r="FQR111" s="3"/>
      <c r="FQS111" s="3"/>
      <c r="FQT111" s="3"/>
      <c r="FQU111" s="3"/>
      <c r="FQV111" s="3"/>
      <c r="FQW111" s="3"/>
      <c r="FQX111" s="3"/>
      <c r="FQY111" s="3"/>
      <c r="FQZ111" s="3"/>
      <c r="FRA111" s="3"/>
      <c r="FRB111" s="3"/>
      <c r="FRC111" s="3"/>
      <c r="FRD111" s="3"/>
      <c r="FRE111" s="3"/>
      <c r="FRF111" s="3"/>
      <c r="FRG111" s="3"/>
      <c r="FRH111" s="3"/>
      <c r="FRI111" s="3"/>
      <c r="FRJ111" s="3"/>
      <c r="FRK111" s="3"/>
      <c r="FRL111" s="3"/>
      <c r="FRM111" s="3"/>
      <c r="FRN111" s="3"/>
      <c r="FRO111" s="3"/>
      <c r="FRP111" s="3"/>
      <c r="FRQ111" s="3"/>
      <c r="FRR111" s="3"/>
      <c r="FRS111" s="3"/>
      <c r="FRT111" s="3"/>
      <c r="FRU111" s="3"/>
      <c r="FRV111" s="3"/>
      <c r="FRW111" s="3"/>
      <c r="FRX111" s="3"/>
      <c r="FRY111" s="3"/>
      <c r="FRZ111" s="3"/>
      <c r="FSA111" s="3"/>
      <c r="FSB111" s="3"/>
      <c r="FSC111" s="3"/>
      <c r="FSD111" s="3"/>
      <c r="FSE111" s="3"/>
      <c r="FSF111" s="3"/>
      <c r="FSG111" s="3"/>
      <c r="FSH111" s="3"/>
      <c r="FSI111" s="3"/>
      <c r="FSJ111" s="3"/>
      <c r="FSK111" s="3"/>
      <c r="FSL111" s="3"/>
      <c r="FSM111" s="3"/>
      <c r="FSN111" s="3"/>
      <c r="FSO111" s="3"/>
      <c r="FSP111" s="3"/>
      <c r="FSQ111" s="3"/>
      <c r="FSR111" s="3"/>
      <c r="FSS111" s="3"/>
      <c r="FST111" s="3"/>
      <c r="FSU111" s="3"/>
      <c r="FSV111" s="3"/>
      <c r="FSW111" s="3"/>
      <c r="FSX111" s="3"/>
      <c r="FSY111" s="3"/>
      <c r="FSZ111" s="3"/>
      <c r="FTA111" s="3"/>
      <c r="FTB111" s="3"/>
      <c r="FTC111" s="3"/>
      <c r="FTD111" s="3"/>
      <c r="FTE111" s="3"/>
      <c r="FTF111" s="3"/>
      <c r="FTG111" s="3"/>
      <c r="FTH111" s="3"/>
      <c r="FTI111" s="3"/>
      <c r="FTJ111" s="3"/>
      <c r="FTK111" s="3"/>
      <c r="FTL111" s="3"/>
      <c r="FTM111" s="3"/>
      <c r="FTN111" s="3"/>
      <c r="FTO111" s="3"/>
      <c r="FTP111" s="3"/>
      <c r="FTQ111" s="3"/>
      <c r="FTR111" s="3"/>
      <c r="FTS111" s="3"/>
      <c r="FTT111" s="3"/>
      <c r="FTU111" s="3"/>
      <c r="FTV111" s="3"/>
      <c r="FTW111" s="3"/>
      <c r="FTX111" s="3"/>
      <c r="FTY111" s="3"/>
      <c r="FTZ111" s="3"/>
      <c r="FUA111" s="3"/>
      <c r="FUB111" s="3"/>
      <c r="FUC111" s="3"/>
      <c r="FUD111" s="3"/>
      <c r="FUE111" s="3"/>
      <c r="FUF111" s="3"/>
      <c r="FUG111" s="3"/>
      <c r="FUH111" s="3"/>
      <c r="FUI111" s="3"/>
      <c r="FUJ111" s="3"/>
      <c r="FUK111" s="3"/>
      <c r="FUL111" s="3"/>
      <c r="FUM111" s="3"/>
      <c r="FUN111" s="3"/>
      <c r="FUO111" s="3"/>
      <c r="FUP111" s="3"/>
      <c r="FUQ111" s="3"/>
      <c r="FUR111" s="3"/>
      <c r="FUS111" s="3"/>
      <c r="FUT111" s="3"/>
      <c r="FUU111" s="3"/>
      <c r="FUV111" s="3"/>
      <c r="FUW111" s="3"/>
      <c r="FUX111" s="3"/>
      <c r="FUY111" s="3"/>
      <c r="FUZ111" s="3"/>
      <c r="FVA111" s="3"/>
      <c r="FVB111" s="3"/>
      <c r="FVC111" s="3"/>
      <c r="FVD111" s="3"/>
      <c r="FVE111" s="3"/>
      <c r="FVF111" s="3"/>
      <c r="FVG111" s="3"/>
      <c r="FVH111" s="3"/>
      <c r="FVI111" s="3"/>
      <c r="FVJ111" s="3"/>
      <c r="FVK111" s="3"/>
      <c r="FVL111" s="3"/>
      <c r="FVM111" s="3"/>
      <c r="FVN111" s="3"/>
      <c r="FVO111" s="3"/>
      <c r="FVP111" s="3"/>
      <c r="FVQ111" s="3"/>
      <c r="FVR111" s="3"/>
      <c r="FVS111" s="3"/>
      <c r="FVT111" s="3"/>
      <c r="FVU111" s="3"/>
      <c r="FVV111" s="3"/>
      <c r="FVW111" s="3"/>
      <c r="FVX111" s="3"/>
      <c r="FVY111" s="3"/>
      <c r="FVZ111" s="3"/>
      <c r="FWA111" s="3"/>
      <c r="FWB111" s="3"/>
      <c r="FWC111" s="3"/>
      <c r="FWD111" s="3"/>
      <c r="FWE111" s="3"/>
      <c r="FWF111" s="3"/>
      <c r="FWG111" s="3"/>
      <c r="FWH111" s="3"/>
      <c r="FWI111" s="3"/>
      <c r="FWJ111" s="3"/>
      <c r="FWK111" s="3"/>
      <c r="FWL111" s="3"/>
      <c r="FWM111" s="3"/>
      <c r="FWN111" s="3"/>
      <c r="FWO111" s="3"/>
      <c r="FWP111" s="3"/>
      <c r="FWQ111" s="3"/>
      <c r="FWR111" s="3"/>
      <c r="FWS111" s="3"/>
      <c r="FWT111" s="3"/>
      <c r="FWU111" s="3"/>
      <c r="FWV111" s="3"/>
      <c r="FWW111" s="3"/>
      <c r="FWX111" s="3"/>
      <c r="FWY111" s="3"/>
      <c r="FWZ111" s="3"/>
      <c r="FXA111" s="3"/>
      <c r="FXB111" s="3"/>
      <c r="FXC111" s="3"/>
      <c r="FXD111" s="3"/>
      <c r="FXE111" s="3"/>
      <c r="FXF111" s="3"/>
      <c r="FXG111" s="3"/>
      <c r="FXH111" s="3"/>
      <c r="FXI111" s="3"/>
      <c r="FXJ111" s="3"/>
      <c r="FXK111" s="3"/>
      <c r="FXL111" s="3"/>
      <c r="FXM111" s="3"/>
      <c r="FXN111" s="3"/>
      <c r="FXO111" s="3"/>
      <c r="FXP111" s="3"/>
      <c r="FXQ111" s="3"/>
      <c r="FXR111" s="3"/>
      <c r="FXS111" s="3"/>
      <c r="FXT111" s="3"/>
      <c r="FXU111" s="3"/>
      <c r="FXV111" s="3"/>
      <c r="FXW111" s="3"/>
      <c r="FXX111" s="3"/>
      <c r="FXY111" s="3"/>
      <c r="FXZ111" s="3"/>
      <c r="FYA111" s="3"/>
      <c r="FYB111" s="3"/>
      <c r="FYC111" s="3"/>
      <c r="FYD111" s="3"/>
      <c r="FYE111" s="3"/>
      <c r="FYF111" s="3"/>
      <c r="FYG111" s="3"/>
      <c r="FYH111" s="3"/>
      <c r="FYI111" s="3"/>
      <c r="FYJ111" s="3"/>
      <c r="FYK111" s="3"/>
      <c r="FYL111" s="3"/>
      <c r="FYM111" s="3"/>
      <c r="FYN111" s="3"/>
      <c r="FYO111" s="3"/>
      <c r="FYP111" s="3"/>
      <c r="FYQ111" s="3"/>
      <c r="FYR111" s="3"/>
      <c r="FYS111" s="3"/>
      <c r="FYT111" s="3"/>
      <c r="FYU111" s="3"/>
      <c r="FYV111" s="3"/>
      <c r="FYW111" s="3"/>
      <c r="FYX111" s="3"/>
      <c r="FYY111" s="3"/>
      <c r="FYZ111" s="3"/>
      <c r="FZA111" s="3"/>
      <c r="FZB111" s="3"/>
      <c r="FZC111" s="3"/>
      <c r="FZD111" s="3"/>
      <c r="FZE111" s="3"/>
      <c r="FZF111" s="3"/>
      <c r="FZG111" s="3"/>
      <c r="FZH111" s="3"/>
      <c r="FZI111" s="3"/>
      <c r="FZJ111" s="3"/>
      <c r="FZK111" s="3"/>
      <c r="FZL111" s="3"/>
      <c r="FZM111" s="3"/>
      <c r="FZN111" s="3"/>
      <c r="FZO111" s="3"/>
      <c r="FZP111" s="3"/>
      <c r="FZQ111" s="3"/>
      <c r="FZR111" s="3"/>
      <c r="FZS111" s="3"/>
      <c r="FZT111" s="3"/>
      <c r="FZU111" s="3"/>
      <c r="FZV111" s="3"/>
      <c r="FZW111" s="3"/>
      <c r="FZX111" s="3"/>
      <c r="FZY111" s="3"/>
      <c r="FZZ111" s="3"/>
      <c r="GAA111" s="3"/>
      <c r="GAB111" s="3"/>
      <c r="GAC111" s="3"/>
      <c r="GAD111" s="3"/>
      <c r="GAE111" s="3"/>
      <c r="GAF111" s="3"/>
      <c r="GAG111" s="3"/>
      <c r="GAH111" s="3"/>
      <c r="GAI111" s="3"/>
      <c r="GAJ111" s="3"/>
      <c r="GAK111" s="3"/>
      <c r="GAL111" s="3"/>
      <c r="GAM111" s="3"/>
      <c r="GAN111" s="3"/>
      <c r="GAO111" s="3"/>
      <c r="GAP111" s="3"/>
      <c r="GAQ111" s="3"/>
      <c r="GAR111" s="3"/>
      <c r="GAS111" s="3"/>
      <c r="GAT111" s="3"/>
      <c r="GAU111" s="3"/>
      <c r="GAV111" s="3"/>
      <c r="GAW111" s="3"/>
      <c r="GAX111" s="3"/>
      <c r="GAY111" s="3"/>
      <c r="GAZ111" s="3"/>
      <c r="GBA111" s="3"/>
      <c r="GBB111" s="3"/>
      <c r="GBC111" s="3"/>
      <c r="GBD111" s="3"/>
      <c r="GBE111" s="3"/>
      <c r="GBF111" s="3"/>
      <c r="GBG111" s="3"/>
      <c r="GBH111" s="3"/>
      <c r="GBI111" s="3"/>
      <c r="GBJ111" s="3"/>
      <c r="GBK111" s="3"/>
      <c r="GBL111" s="3"/>
      <c r="GBM111" s="3"/>
      <c r="GBN111" s="3"/>
      <c r="GBO111" s="3"/>
      <c r="GBP111" s="3"/>
      <c r="GBQ111" s="3"/>
      <c r="GBR111" s="3"/>
      <c r="GBS111" s="3"/>
      <c r="GBT111" s="3"/>
      <c r="GBU111" s="3"/>
      <c r="GBV111" s="3"/>
      <c r="GBW111" s="3"/>
      <c r="GBX111" s="3"/>
      <c r="GBY111" s="3"/>
      <c r="GBZ111" s="3"/>
      <c r="GCA111" s="3"/>
      <c r="GCB111" s="3"/>
      <c r="GCC111" s="3"/>
      <c r="GCD111" s="3"/>
      <c r="GCE111" s="3"/>
      <c r="GCF111" s="3"/>
      <c r="GCG111" s="3"/>
      <c r="GCH111" s="3"/>
      <c r="GCI111" s="3"/>
      <c r="GCJ111" s="3"/>
      <c r="GCK111" s="3"/>
      <c r="GCL111" s="3"/>
      <c r="GCM111" s="3"/>
      <c r="GCN111" s="3"/>
      <c r="GCO111" s="3"/>
      <c r="GCP111" s="3"/>
      <c r="GCQ111" s="3"/>
      <c r="GCR111" s="3"/>
      <c r="GCS111" s="3"/>
      <c r="GCT111" s="3"/>
      <c r="GCU111" s="3"/>
      <c r="GCV111" s="3"/>
      <c r="GCW111" s="3"/>
      <c r="GCX111" s="3"/>
      <c r="GCY111" s="3"/>
      <c r="GCZ111" s="3"/>
      <c r="GDA111" s="3"/>
      <c r="GDB111" s="3"/>
      <c r="GDC111" s="3"/>
      <c r="GDD111" s="3"/>
      <c r="GDE111" s="3"/>
      <c r="GDF111" s="3"/>
      <c r="GDG111" s="3"/>
      <c r="GDH111" s="3"/>
      <c r="GDI111" s="3"/>
      <c r="GDJ111" s="3"/>
      <c r="GDK111" s="3"/>
      <c r="GDL111" s="3"/>
      <c r="GDM111" s="3"/>
      <c r="GDN111" s="3"/>
      <c r="GDO111" s="3"/>
      <c r="GDP111" s="3"/>
      <c r="GDQ111" s="3"/>
      <c r="GDR111" s="3"/>
      <c r="GDS111" s="3"/>
      <c r="GDT111" s="3"/>
      <c r="GDU111" s="3"/>
      <c r="GDV111" s="3"/>
      <c r="GDW111" s="3"/>
      <c r="GDX111" s="3"/>
      <c r="GDY111" s="3"/>
      <c r="GDZ111" s="3"/>
      <c r="GEA111" s="3"/>
      <c r="GEB111" s="3"/>
      <c r="GEC111" s="3"/>
      <c r="GED111" s="3"/>
      <c r="GEE111" s="3"/>
      <c r="GEF111" s="3"/>
      <c r="GEG111" s="3"/>
      <c r="GEH111" s="3"/>
      <c r="GEI111" s="3"/>
      <c r="GEJ111" s="3"/>
      <c r="GEK111" s="3"/>
      <c r="GEL111" s="3"/>
      <c r="GEM111" s="3"/>
      <c r="GEN111" s="3"/>
      <c r="GEO111" s="3"/>
      <c r="GEP111" s="3"/>
      <c r="GEQ111" s="3"/>
      <c r="GER111" s="3"/>
      <c r="GES111" s="3"/>
      <c r="GET111" s="3"/>
      <c r="GEU111" s="3"/>
      <c r="GEV111" s="3"/>
      <c r="GEW111" s="3"/>
      <c r="GEX111" s="3"/>
      <c r="GEY111" s="3"/>
      <c r="GEZ111" s="3"/>
      <c r="GFA111" s="3"/>
      <c r="GFB111" s="3"/>
      <c r="GFC111" s="3"/>
      <c r="GFD111" s="3"/>
      <c r="GFE111" s="3"/>
      <c r="GFF111" s="3"/>
      <c r="GFG111" s="3"/>
      <c r="GFH111" s="3"/>
      <c r="GFI111" s="3"/>
      <c r="GFJ111" s="3"/>
      <c r="GFK111" s="3"/>
      <c r="GFL111" s="3"/>
      <c r="GFM111" s="3"/>
      <c r="GFN111" s="3"/>
      <c r="GFO111" s="3"/>
      <c r="GFP111" s="3"/>
      <c r="GFQ111" s="3"/>
      <c r="GFR111" s="3"/>
      <c r="GFS111" s="3"/>
      <c r="GFT111" s="3"/>
      <c r="GFU111" s="3"/>
      <c r="GFV111" s="3"/>
      <c r="GFW111" s="3"/>
      <c r="GFX111" s="3"/>
      <c r="GFY111" s="3"/>
      <c r="GFZ111" s="3"/>
      <c r="GGA111" s="3"/>
      <c r="GGB111" s="3"/>
      <c r="GGC111" s="3"/>
      <c r="GGD111" s="3"/>
      <c r="GGE111" s="3"/>
      <c r="GGF111" s="3"/>
      <c r="GGG111" s="3"/>
      <c r="GGH111" s="3"/>
      <c r="GGI111" s="3"/>
      <c r="GGJ111" s="3"/>
      <c r="GGK111" s="3"/>
      <c r="GGL111" s="3"/>
      <c r="GGM111" s="3"/>
      <c r="GGN111" s="3"/>
      <c r="GGO111" s="3"/>
      <c r="GGP111" s="3"/>
      <c r="GGQ111" s="3"/>
      <c r="GGR111" s="3"/>
      <c r="GGS111" s="3"/>
      <c r="GGT111" s="3"/>
      <c r="GGU111" s="3"/>
      <c r="GGV111" s="3"/>
      <c r="GGW111" s="3"/>
      <c r="GGX111" s="3"/>
      <c r="GGY111" s="3"/>
      <c r="GGZ111" s="3"/>
      <c r="GHA111" s="3"/>
      <c r="GHB111" s="3"/>
      <c r="GHC111" s="3"/>
      <c r="GHD111" s="3"/>
      <c r="GHE111" s="3"/>
      <c r="GHF111" s="3"/>
      <c r="GHG111" s="3"/>
      <c r="GHH111" s="3"/>
      <c r="GHI111" s="3"/>
      <c r="GHJ111" s="3"/>
      <c r="GHK111" s="3"/>
      <c r="GHL111" s="3"/>
      <c r="GHM111" s="3"/>
      <c r="GHN111" s="3"/>
      <c r="GHO111" s="3"/>
      <c r="GHP111" s="3"/>
      <c r="GHQ111" s="3"/>
      <c r="GHR111" s="3"/>
      <c r="GHS111" s="3"/>
      <c r="GHT111" s="3"/>
      <c r="GHU111" s="3"/>
      <c r="GHV111" s="3"/>
      <c r="GHW111" s="3"/>
      <c r="GHX111" s="3"/>
      <c r="GHY111" s="3"/>
      <c r="GHZ111" s="3"/>
      <c r="GIA111" s="3"/>
      <c r="GIB111" s="3"/>
      <c r="GIC111" s="3"/>
      <c r="GID111" s="3"/>
      <c r="GIE111" s="3"/>
      <c r="GIF111" s="3"/>
      <c r="GIG111" s="3"/>
      <c r="GIH111" s="3"/>
      <c r="GII111" s="3"/>
      <c r="GIJ111" s="3"/>
      <c r="GIK111" s="3"/>
      <c r="GIL111" s="3"/>
      <c r="GIM111" s="3"/>
      <c r="GIN111" s="3"/>
      <c r="GIO111" s="3"/>
      <c r="GIP111" s="3"/>
      <c r="GIQ111" s="3"/>
      <c r="GIR111" s="3"/>
      <c r="GIS111" s="3"/>
      <c r="GIT111" s="3"/>
      <c r="GIU111" s="3"/>
      <c r="GIV111" s="3"/>
      <c r="GIW111" s="3"/>
      <c r="GIX111" s="3"/>
      <c r="GIY111" s="3"/>
      <c r="GIZ111" s="3"/>
      <c r="GJA111" s="3"/>
      <c r="GJB111" s="3"/>
      <c r="GJC111" s="3"/>
      <c r="GJD111" s="3"/>
      <c r="GJE111" s="3"/>
      <c r="GJF111" s="3"/>
      <c r="GJG111" s="3"/>
      <c r="GJH111" s="3"/>
      <c r="GJI111" s="3"/>
      <c r="GJJ111" s="3"/>
      <c r="GJK111" s="3"/>
      <c r="GJL111" s="3"/>
      <c r="GJM111" s="3"/>
      <c r="GJN111" s="3"/>
      <c r="GJO111" s="3"/>
      <c r="GJP111" s="3"/>
      <c r="GJQ111" s="3"/>
      <c r="GJR111" s="3"/>
      <c r="GJS111" s="3"/>
      <c r="GJT111" s="3"/>
      <c r="GJU111" s="3"/>
      <c r="GJV111" s="3"/>
      <c r="GJW111" s="3"/>
      <c r="GJX111" s="3"/>
      <c r="GJY111" s="3"/>
      <c r="GJZ111" s="3"/>
      <c r="GKA111" s="3"/>
      <c r="GKB111" s="3"/>
      <c r="GKC111" s="3"/>
      <c r="GKD111" s="3"/>
      <c r="GKE111" s="3"/>
      <c r="GKF111" s="3"/>
      <c r="GKG111" s="3"/>
      <c r="GKH111" s="3"/>
      <c r="GKI111" s="3"/>
      <c r="GKJ111" s="3"/>
      <c r="GKK111" s="3"/>
      <c r="GKL111" s="3"/>
      <c r="GKM111" s="3"/>
      <c r="GKN111" s="3"/>
      <c r="GKO111" s="3"/>
      <c r="GKP111" s="3"/>
      <c r="GKQ111" s="3"/>
      <c r="GKR111" s="3"/>
      <c r="GKS111" s="3"/>
      <c r="GKT111" s="3"/>
      <c r="GKU111" s="3"/>
      <c r="GKV111" s="3"/>
      <c r="GKW111" s="3"/>
      <c r="GKX111" s="3"/>
      <c r="GKY111" s="3"/>
      <c r="GKZ111" s="3"/>
      <c r="GLA111" s="3"/>
      <c r="GLB111" s="3"/>
      <c r="GLC111" s="3"/>
      <c r="GLD111" s="3"/>
      <c r="GLE111" s="3"/>
      <c r="GLF111" s="3"/>
      <c r="GLG111" s="3"/>
      <c r="GLH111" s="3"/>
      <c r="GLI111" s="3"/>
      <c r="GLJ111" s="3"/>
      <c r="GLK111" s="3"/>
      <c r="GLL111" s="3"/>
      <c r="GLM111" s="3"/>
      <c r="GLN111" s="3"/>
      <c r="GLO111" s="3"/>
      <c r="GLP111" s="3"/>
      <c r="GLQ111" s="3"/>
      <c r="GLR111" s="3"/>
      <c r="GLS111" s="3"/>
      <c r="GLT111" s="3"/>
      <c r="GLU111" s="3"/>
      <c r="GLV111" s="3"/>
      <c r="GLW111" s="3"/>
      <c r="GLX111" s="3"/>
      <c r="GLY111" s="3"/>
      <c r="GLZ111" s="3"/>
      <c r="GMA111" s="3"/>
      <c r="GMB111" s="3"/>
      <c r="GMC111" s="3"/>
      <c r="GMD111" s="3"/>
      <c r="GME111" s="3"/>
      <c r="GMF111" s="3"/>
      <c r="GMG111" s="3"/>
      <c r="GMH111" s="3"/>
      <c r="GMI111" s="3"/>
      <c r="GMJ111" s="3"/>
      <c r="GMK111" s="3"/>
      <c r="GML111" s="3"/>
      <c r="GMM111" s="3"/>
      <c r="GMN111" s="3"/>
      <c r="GMO111" s="3"/>
      <c r="GMP111" s="3"/>
      <c r="GMQ111" s="3"/>
      <c r="GMR111" s="3"/>
      <c r="GMS111" s="3"/>
      <c r="GMT111" s="3"/>
      <c r="GMU111" s="3"/>
      <c r="GMV111" s="3"/>
      <c r="GMW111" s="3"/>
      <c r="GMX111" s="3"/>
      <c r="GMY111" s="3"/>
      <c r="GMZ111" s="3"/>
      <c r="GNA111" s="3"/>
      <c r="GNB111" s="3"/>
      <c r="GNC111" s="3"/>
      <c r="GND111" s="3"/>
      <c r="GNE111" s="3"/>
      <c r="GNF111" s="3"/>
      <c r="GNG111" s="3"/>
      <c r="GNH111" s="3"/>
      <c r="GNI111" s="3"/>
      <c r="GNJ111" s="3"/>
      <c r="GNK111" s="3"/>
      <c r="GNL111" s="3"/>
      <c r="GNM111" s="3"/>
      <c r="GNN111" s="3"/>
      <c r="GNO111" s="3"/>
      <c r="GNP111" s="3"/>
      <c r="GNQ111" s="3"/>
      <c r="GNR111" s="3"/>
      <c r="GNS111" s="3"/>
      <c r="GNT111" s="3"/>
      <c r="GNU111" s="3"/>
      <c r="GNV111" s="3"/>
      <c r="GNW111" s="3"/>
      <c r="GNX111" s="3"/>
      <c r="GNY111" s="3"/>
      <c r="GNZ111" s="3"/>
      <c r="GOA111" s="3"/>
      <c r="GOB111" s="3"/>
      <c r="GOC111" s="3"/>
      <c r="GOD111" s="3"/>
      <c r="GOE111" s="3"/>
      <c r="GOF111" s="3"/>
      <c r="GOG111" s="3"/>
      <c r="GOH111" s="3"/>
      <c r="GOI111" s="3"/>
      <c r="GOJ111" s="3"/>
      <c r="GOK111" s="3"/>
      <c r="GOL111" s="3"/>
      <c r="GOM111" s="3"/>
      <c r="GON111" s="3"/>
      <c r="GOO111" s="3"/>
      <c r="GOP111" s="3"/>
      <c r="GOQ111" s="3"/>
      <c r="GOR111" s="3"/>
      <c r="GOS111" s="3"/>
      <c r="GOT111" s="3"/>
      <c r="GOU111" s="3"/>
      <c r="GOV111" s="3"/>
      <c r="GOW111" s="3"/>
      <c r="GOX111" s="3"/>
      <c r="GOY111" s="3"/>
      <c r="GOZ111" s="3"/>
      <c r="GPA111" s="3"/>
      <c r="GPB111" s="3"/>
      <c r="GPC111" s="3"/>
      <c r="GPD111" s="3"/>
      <c r="GPE111" s="3"/>
      <c r="GPF111" s="3"/>
      <c r="GPG111" s="3"/>
      <c r="GPH111" s="3"/>
      <c r="GPI111" s="3"/>
      <c r="GPJ111" s="3"/>
      <c r="GPK111" s="3"/>
      <c r="GPL111" s="3"/>
      <c r="GPM111" s="3"/>
      <c r="GPN111" s="3"/>
      <c r="GPO111" s="3"/>
      <c r="GPP111" s="3"/>
      <c r="GPQ111" s="3"/>
      <c r="GPR111" s="3"/>
      <c r="GPS111" s="3"/>
      <c r="GPT111" s="3"/>
      <c r="GPU111" s="3"/>
      <c r="GPV111" s="3"/>
      <c r="GPW111" s="3"/>
      <c r="GPX111" s="3"/>
      <c r="GPY111" s="3"/>
      <c r="GPZ111" s="3"/>
      <c r="GQA111" s="3"/>
      <c r="GQB111" s="3"/>
      <c r="GQC111" s="3"/>
      <c r="GQD111" s="3"/>
      <c r="GQE111" s="3"/>
      <c r="GQF111" s="3"/>
      <c r="GQG111" s="3"/>
      <c r="GQH111" s="3"/>
      <c r="GQI111" s="3"/>
      <c r="GQJ111" s="3"/>
      <c r="GQK111" s="3"/>
      <c r="GQL111" s="3"/>
      <c r="GQM111" s="3"/>
      <c r="GQN111" s="3"/>
      <c r="GQO111" s="3"/>
      <c r="GQP111" s="3"/>
      <c r="GQQ111" s="3"/>
      <c r="GQR111" s="3"/>
      <c r="GQS111" s="3"/>
      <c r="GQT111" s="3"/>
      <c r="GQU111" s="3"/>
      <c r="GQV111" s="3"/>
      <c r="GQW111" s="3"/>
      <c r="GQX111" s="3"/>
      <c r="GQY111" s="3"/>
      <c r="GQZ111" s="3"/>
      <c r="GRA111" s="3"/>
      <c r="GRB111" s="3"/>
      <c r="GRC111" s="3"/>
      <c r="GRD111" s="3"/>
      <c r="GRE111" s="3"/>
      <c r="GRF111" s="3"/>
      <c r="GRG111" s="3"/>
      <c r="GRH111" s="3"/>
      <c r="GRI111" s="3"/>
      <c r="GRJ111" s="3"/>
      <c r="GRK111" s="3"/>
      <c r="GRL111" s="3"/>
      <c r="GRM111" s="3"/>
      <c r="GRN111" s="3"/>
      <c r="GRO111" s="3"/>
      <c r="GRP111" s="3"/>
      <c r="GRQ111" s="3"/>
      <c r="GRR111" s="3"/>
      <c r="GRS111" s="3"/>
      <c r="GRT111" s="3"/>
      <c r="GRU111" s="3"/>
      <c r="GRV111" s="3"/>
      <c r="GRW111" s="3"/>
      <c r="GRX111" s="3"/>
      <c r="GRY111" s="3"/>
      <c r="GRZ111" s="3"/>
      <c r="GSA111" s="3"/>
      <c r="GSB111" s="3"/>
      <c r="GSC111" s="3"/>
      <c r="GSD111" s="3"/>
      <c r="GSE111" s="3"/>
      <c r="GSF111" s="3"/>
      <c r="GSG111" s="3"/>
      <c r="GSH111" s="3"/>
      <c r="GSI111" s="3"/>
      <c r="GSJ111" s="3"/>
      <c r="GSK111" s="3"/>
      <c r="GSL111" s="3"/>
      <c r="GSM111" s="3"/>
      <c r="GSN111" s="3"/>
      <c r="GSO111" s="3"/>
      <c r="GSP111" s="3"/>
      <c r="GSQ111" s="3"/>
      <c r="GSR111" s="3"/>
      <c r="GSS111" s="3"/>
      <c r="GST111" s="3"/>
      <c r="GSU111" s="3"/>
      <c r="GSV111" s="3"/>
      <c r="GSW111" s="3"/>
      <c r="GSX111" s="3"/>
      <c r="GSY111" s="3"/>
      <c r="GSZ111" s="3"/>
      <c r="GTA111" s="3"/>
      <c r="GTB111" s="3"/>
      <c r="GTC111" s="3"/>
      <c r="GTD111" s="3"/>
      <c r="GTE111" s="3"/>
      <c r="GTF111" s="3"/>
      <c r="GTG111" s="3"/>
      <c r="GTH111" s="3"/>
      <c r="GTI111" s="3"/>
      <c r="GTJ111" s="3"/>
      <c r="GTK111" s="3"/>
      <c r="GTL111" s="3"/>
      <c r="GTM111" s="3"/>
      <c r="GTN111" s="3"/>
      <c r="GTO111" s="3"/>
      <c r="GTP111" s="3"/>
      <c r="GTQ111" s="3"/>
      <c r="GTR111" s="3"/>
      <c r="GTS111" s="3"/>
      <c r="GTT111" s="3"/>
      <c r="GTU111" s="3"/>
      <c r="GTV111" s="3"/>
      <c r="GTW111" s="3"/>
      <c r="GTX111" s="3"/>
      <c r="GTY111" s="3"/>
      <c r="GTZ111" s="3"/>
      <c r="GUA111" s="3"/>
      <c r="GUB111" s="3"/>
      <c r="GUC111" s="3"/>
      <c r="GUD111" s="3"/>
      <c r="GUE111" s="3"/>
      <c r="GUF111" s="3"/>
      <c r="GUG111" s="3"/>
      <c r="GUH111" s="3"/>
      <c r="GUI111" s="3"/>
      <c r="GUJ111" s="3"/>
      <c r="GUK111" s="3"/>
      <c r="GUL111" s="3"/>
      <c r="GUM111" s="3"/>
      <c r="GUN111" s="3"/>
      <c r="GUO111" s="3"/>
      <c r="GUP111" s="3"/>
      <c r="GUQ111" s="3"/>
      <c r="GUR111" s="3"/>
      <c r="GUS111" s="3"/>
      <c r="GUT111" s="3"/>
      <c r="GUU111" s="3"/>
      <c r="GUV111" s="3"/>
      <c r="GUW111" s="3"/>
      <c r="GUX111" s="3"/>
      <c r="GUY111" s="3"/>
      <c r="GUZ111" s="3"/>
      <c r="GVA111" s="3"/>
      <c r="GVB111" s="3"/>
      <c r="GVC111" s="3"/>
      <c r="GVD111" s="3"/>
      <c r="GVE111" s="3"/>
      <c r="GVF111" s="3"/>
      <c r="GVG111" s="3"/>
      <c r="GVH111" s="3"/>
      <c r="GVI111" s="3"/>
      <c r="GVJ111" s="3"/>
      <c r="GVK111" s="3"/>
      <c r="GVL111" s="3"/>
      <c r="GVM111" s="3"/>
      <c r="GVN111" s="3"/>
      <c r="GVO111" s="3"/>
      <c r="GVP111" s="3"/>
      <c r="GVQ111" s="3"/>
      <c r="GVR111" s="3"/>
      <c r="GVS111" s="3"/>
      <c r="GVT111" s="3"/>
      <c r="GVU111" s="3"/>
      <c r="GVV111" s="3"/>
      <c r="GVW111" s="3"/>
      <c r="GVX111" s="3"/>
      <c r="GVY111" s="3"/>
      <c r="GVZ111" s="3"/>
      <c r="GWA111" s="3"/>
      <c r="GWB111" s="3"/>
      <c r="GWC111" s="3"/>
      <c r="GWD111" s="3"/>
      <c r="GWE111" s="3"/>
      <c r="GWF111" s="3"/>
      <c r="GWG111" s="3"/>
      <c r="GWH111" s="3"/>
      <c r="GWI111" s="3"/>
      <c r="GWJ111" s="3"/>
      <c r="GWK111" s="3"/>
      <c r="GWL111" s="3"/>
      <c r="GWM111" s="3"/>
      <c r="GWN111" s="3"/>
      <c r="GWO111" s="3"/>
      <c r="GWP111" s="3"/>
      <c r="GWQ111" s="3"/>
      <c r="GWR111" s="3"/>
      <c r="GWS111" s="3"/>
      <c r="GWT111" s="3"/>
      <c r="GWU111" s="3"/>
      <c r="GWV111" s="3"/>
      <c r="GWW111" s="3"/>
      <c r="GWX111" s="3"/>
      <c r="GWY111" s="3"/>
      <c r="GWZ111" s="3"/>
      <c r="GXA111" s="3"/>
      <c r="GXB111" s="3"/>
      <c r="GXC111" s="3"/>
      <c r="GXD111" s="3"/>
      <c r="GXE111" s="3"/>
      <c r="GXF111" s="3"/>
      <c r="GXG111" s="3"/>
      <c r="GXH111" s="3"/>
      <c r="GXI111" s="3"/>
      <c r="GXJ111" s="3"/>
      <c r="GXK111" s="3"/>
      <c r="GXL111" s="3"/>
      <c r="GXM111" s="3"/>
      <c r="GXN111" s="3"/>
      <c r="GXO111" s="3"/>
      <c r="GXP111" s="3"/>
      <c r="GXQ111" s="3"/>
      <c r="GXR111" s="3"/>
      <c r="GXS111" s="3"/>
      <c r="GXT111" s="3"/>
      <c r="GXU111" s="3"/>
      <c r="GXV111" s="3"/>
      <c r="GXW111" s="3"/>
      <c r="GXX111" s="3"/>
      <c r="GXY111" s="3"/>
      <c r="GXZ111" s="3"/>
      <c r="GYA111" s="3"/>
      <c r="GYB111" s="3"/>
      <c r="GYC111" s="3"/>
      <c r="GYD111" s="3"/>
      <c r="GYE111" s="3"/>
      <c r="GYF111" s="3"/>
      <c r="GYG111" s="3"/>
      <c r="GYH111" s="3"/>
      <c r="GYI111" s="3"/>
      <c r="GYJ111" s="3"/>
      <c r="GYK111" s="3"/>
      <c r="GYL111" s="3"/>
      <c r="GYM111" s="3"/>
      <c r="GYN111" s="3"/>
      <c r="GYO111" s="3"/>
      <c r="GYP111" s="3"/>
      <c r="GYQ111" s="3"/>
      <c r="GYR111" s="3"/>
      <c r="GYS111" s="3"/>
      <c r="GYT111" s="3"/>
      <c r="GYU111" s="3"/>
      <c r="GYV111" s="3"/>
      <c r="GYW111" s="3"/>
      <c r="GYX111" s="3"/>
      <c r="GYY111" s="3"/>
      <c r="GYZ111" s="3"/>
      <c r="GZA111" s="3"/>
      <c r="GZB111" s="3"/>
      <c r="GZC111" s="3"/>
      <c r="GZD111" s="3"/>
      <c r="GZE111" s="3"/>
      <c r="GZF111" s="3"/>
      <c r="GZG111" s="3"/>
      <c r="GZH111" s="3"/>
      <c r="GZI111" s="3"/>
      <c r="GZJ111" s="3"/>
      <c r="GZK111" s="3"/>
      <c r="GZL111" s="3"/>
      <c r="GZM111" s="3"/>
      <c r="GZN111" s="3"/>
      <c r="GZO111" s="3"/>
      <c r="GZP111" s="3"/>
      <c r="GZQ111" s="3"/>
      <c r="GZR111" s="3"/>
      <c r="GZS111" s="3"/>
      <c r="GZT111" s="3"/>
      <c r="GZU111" s="3"/>
      <c r="GZV111" s="3"/>
      <c r="GZW111" s="3"/>
      <c r="GZX111" s="3"/>
      <c r="GZY111" s="3"/>
      <c r="GZZ111" s="3"/>
      <c r="HAA111" s="3"/>
      <c r="HAB111" s="3"/>
      <c r="HAC111" s="3"/>
      <c r="HAD111" s="3"/>
      <c r="HAE111" s="3"/>
      <c r="HAF111" s="3"/>
      <c r="HAG111" s="3"/>
      <c r="HAH111" s="3"/>
      <c r="HAI111" s="3"/>
      <c r="HAJ111" s="3"/>
      <c r="HAK111" s="3"/>
      <c r="HAL111" s="3"/>
      <c r="HAM111" s="3"/>
      <c r="HAN111" s="3"/>
      <c r="HAO111" s="3"/>
      <c r="HAP111" s="3"/>
      <c r="HAQ111" s="3"/>
      <c r="HAR111" s="3"/>
      <c r="HAS111" s="3"/>
      <c r="HAT111" s="3"/>
      <c r="HAU111" s="3"/>
      <c r="HAV111" s="3"/>
      <c r="HAW111" s="3"/>
      <c r="HAX111" s="3"/>
      <c r="HAY111" s="3"/>
      <c r="HAZ111" s="3"/>
      <c r="HBA111" s="3"/>
      <c r="HBB111" s="3"/>
      <c r="HBC111" s="3"/>
      <c r="HBD111" s="3"/>
      <c r="HBE111" s="3"/>
      <c r="HBF111" s="3"/>
      <c r="HBG111" s="3"/>
      <c r="HBH111" s="3"/>
      <c r="HBI111" s="3"/>
      <c r="HBJ111" s="3"/>
      <c r="HBK111" s="3"/>
      <c r="HBL111" s="3"/>
      <c r="HBM111" s="3"/>
      <c r="HBN111" s="3"/>
      <c r="HBO111" s="3"/>
      <c r="HBP111" s="3"/>
      <c r="HBQ111" s="3"/>
      <c r="HBR111" s="3"/>
      <c r="HBS111" s="3"/>
      <c r="HBT111" s="3"/>
      <c r="HBU111" s="3"/>
      <c r="HBV111" s="3"/>
      <c r="HBW111" s="3"/>
      <c r="HBX111" s="3"/>
      <c r="HBY111" s="3"/>
      <c r="HBZ111" s="3"/>
      <c r="HCA111" s="3"/>
      <c r="HCB111" s="3"/>
      <c r="HCC111" s="3"/>
      <c r="HCD111" s="3"/>
      <c r="HCE111" s="3"/>
      <c r="HCF111" s="3"/>
      <c r="HCG111" s="3"/>
      <c r="HCH111" s="3"/>
      <c r="HCI111" s="3"/>
      <c r="HCJ111" s="3"/>
      <c r="HCK111" s="3"/>
      <c r="HCL111" s="3"/>
      <c r="HCM111" s="3"/>
      <c r="HCN111" s="3"/>
      <c r="HCO111" s="3"/>
      <c r="HCP111" s="3"/>
      <c r="HCQ111" s="3"/>
      <c r="HCR111" s="3"/>
      <c r="HCS111" s="3"/>
      <c r="HCT111" s="3"/>
      <c r="HCU111" s="3"/>
      <c r="HCV111" s="3"/>
      <c r="HCW111" s="3"/>
      <c r="HCX111" s="3"/>
      <c r="HCY111" s="3"/>
      <c r="HCZ111" s="3"/>
      <c r="HDA111" s="3"/>
      <c r="HDB111" s="3"/>
      <c r="HDC111" s="3"/>
      <c r="HDD111" s="3"/>
      <c r="HDE111" s="3"/>
      <c r="HDF111" s="3"/>
      <c r="HDG111" s="3"/>
      <c r="HDH111" s="3"/>
      <c r="HDI111" s="3"/>
      <c r="HDJ111" s="3"/>
      <c r="HDK111" s="3"/>
      <c r="HDL111" s="3"/>
      <c r="HDM111" s="3"/>
      <c r="HDN111" s="3"/>
      <c r="HDO111" s="3"/>
      <c r="HDP111" s="3"/>
      <c r="HDQ111" s="3"/>
      <c r="HDR111" s="3"/>
      <c r="HDS111" s="3"/>
      <c r="HDT111" s="3"/>
      <c r="HDU111" s="3"/>
      <c r="HDV111" s="3"/>
      <c r="HDW111" s="3"/>
      <c r="HDX111" s="3"/>
      <c r="HDY111" s="3"/>
      <c r="HDZ111" s="3"/>
      <c r="HEA111" s="3"/>
      <c r="HEB111" s="3"/>
      <c r="HEC111" s="3"/>
      <c r="HED111" s="3"/>
      <c r="HEE111" s="3"/>
      <c r="HEF111" s="3"/>
      <c r="HEG111" s="3"/>
      <c r="HEH111" s="3"/>
      <c r="HEI111" s="3"/>
      <c r="HEJ111" s="3"/>
      <c r="HEK111" s="3"/>
      <c r="HEL111" s="3"/>
      <c r="HEM111" s="3"/>
      <c r="HEN111" s="3"/>
      <c r="HEO111" s="3"/>
      <c r="HEP111" s="3"/>
      <c r="HEQ111" s="3"/>
      <c r="HER111" s="3"/>
      <c r="HES111" s="3"/>
      <c r="HET111" s="3"/>
      <c r="HEU111" s="3"/>
      <c r="HEV111" s="3"/>
      <c r="HEW111" s="3"/>
      <c r="HEX111" s="3"/>
      <c r="HEY111" s="3"/>
      <c r="HEZ111" s="3"/>
      <c r="HFA111" s="3"/>
      <c r="HFB111" s="3"/>
      <c r="HFC111" s="3"/>
      <c r="HFD111" s="3"/>
      <c r="HFE111" s="3"/>
      <c r="HFF111" s="3"/>
      <c r="HFG111" s="3"/>
      <c r="HFH111" s="3"/>
      <c r="HFI111" s="3"/>
      <c r="HFJ111" s="3"/>
      <c r="HFK111" s="3"/>
      <c r="HFL111" s="3"/>
      <c r="HFM111" s="3"/>
      <c r="HFN111" s="3"/>
      <c r="HFO111" s="3"/>
      <c r="HFP111" s="3"/>
      <c r="HFQ111" s="3"/>
      <c r="HFR111" s="3"/>
      <c r="HFS111" s="3"/>
      <c r="HFT111" s="3"/>
      <c r="HFU111" s="3"/>
      <c r="HFV111" s="3"/>
      <c r="HFW111" s="3"/>
      <c r="HFX111" s="3"/>
      <c r="HFY111" s="3"/>
      <c r="HFZ111" s="3"/>
      <c r="HGA111" s="3"/>
      <c r="HGB111" s="3"/>
      <c r="HGC111" s="3"/>
      <c r="HGD111" s="3"/>
      <c r="HGE111" s="3"/>
      <c r="HGF111" s="3"/>
      <c r="HGG111" s="3"/>
      <c r="HGH111" s="3"/>
      <c r="HGI111" s="3"/>
      <c r="HGJ111" s="3"/>
      <c r="HGK111" s="3"/>
      <c r="HGL111" s="3"/>
      <c r="HGM111" s="3"/>
      <c r="HGN111" s="3"/>
      <c r="HGO111" s="3"/>
      <c r="HGP111" s="3"/>
      <c r="HGQ111" s="3"/>
      <c r="HGR111" s="3"/>
      <c r="HGS111" s="3"/>
      <c r="HGT111" s="3"/>
      <c r="HGU111" s="3"/>
      <c r="HGV111" s="3"/>
      <c r="HGW111" s="3"/>
      <c r="HGX111" s="3"/>
      <c r="HGY111" s="3"/>
      <c r="HGZ111" s="3"/>
      <c r="HHA111" s="3"/>
      <c r="HHB111" s="3"/>
      <c r="HHC111" s="3"/>
      <c r="HHD111" s="3"/>
      <c r="HHE111" s="3"/>
      <c r="HHF111" s="3"/>
      <c r="HHG111" s="3"/>
      <c r="HHH111" s="3"/>
      <c r="HHI111" s="3"/>
      <c r="HHJ111" s="3"/>
      <c r="HHK111" s="3"/>
      <c r="HHL111" s="3"/>
      <c r="HHM111" s="3"/>
      <c r="HHN111" s="3"/>
      <c r="HHO111" s="3"/>
      <c r="HHP111" s="3"/>
      <c r="HHQ111" s="3"/>
      <c r="HHR111" s="3"/>
      <c r="HHS111" s="3"/>
      <c r="HHT111" s="3"/>
      <c r="HHU111" s="3"/>
      <c r="HHV111" s="3"/>
      <c r="HHW111" s="3"/>
      <c r="HHX111" s="3"/>
      <c r="HHY111" s="3"/>
      <c r="HHZ111" s="3"/>
      <c r="HIA111" s="3"/>
      <c r="HIB111" s="3"/>
      <c r="HIC111" s="3"/>
      <c r="HID111" s="3"/>
      <c r="HIE111" s="3"/>
      <c r="HIF111" s="3"/>
      <c r="HIG111" s="3"/>
      <c r="HIH111" s="3"/>
      <c r="HII111" s="3"/>
      <c r="HIJ111" s="3"/>
      <c r="HIK111" s="3"/>
      <c r="HIL111" s="3"/>
      <c r="HIM111" s="3"/>
      <c r="HIN111" s="3"/>
      <c r="HIO111" s="3"/>
      <c r="HIP111" s="3"/>
      <c r="HIQ111" s="3"/>
      <c r="HIR111" s="3"/>
      <c r="HIS111" s="3"/>
      <c r="HIT111" s="3"/>
      <c r="HIU111" s="3"/>
      <c r="HIV111" s="3"/>
      <c r="HIW111" s="3"/>
      <c r="HIX111" s="3"/>
      <c r="HIY111" s="3"/>
      <c r="HIZ111" s="3"/>
      <c r="HJA111" s="3"/>
      <c r="HJB111" s="3"/>
      <c r="HJC111" s="3"/>
      <c r="HJD111" s="3"/>
      <c r="HJE111" s="3"/>
      <c r="HJF111" s="3"/>
      <c r="HJG111" s="3"/>
      <c r="HJH111" s="3"/>
      <c r="HJI111" s="3"/>
      <c r="HJJ111" s="3"/>
      <c r="HJK111" s="3"/>
      <c r="HJL111" s="3"/>
      <c r="HJM111" s="3"/>
      <c r="HJN111" s="3"/>
      <c r="HJO111" s="3"/>
      <c r="HJP111" s="3"/>
      <c r="HJQ111" s="3"/>
      <c r="HJR111" s="3"/>
      <c r="HJS111" s="3"/>
      <c r="HJT111" s="3"/>
      <c r="HJU111" s="3"/>
      <c r="HJV111" s="3"/>
      <c r="HJW111" s="3"/>
      <c r="HJX111" s="3"/>
      <c r="HJY111" s="3"/>
      <c r="HJZ111" s="3"/>
      <c r="HKA111" s="3"/>
      <c r="HKB111" s="3"/>
      <c r="HKC111" s="3"/>
      <c r="HKD111" s="3"/>
      <c r="HKE111" s="3"/>
      <c r="HKF111" s="3"/>
      <c r="HKG111" s="3"/>
      <c r="HKH111" s="3"/>
      <c r="HKI111" s="3"/>
      <c r="HKJ111" s="3"/>
      <c r="HKK111" s="3"/>
      <c r="HKL111" s="3"/>
      <c r="HKM111" s="3"/>
      <c r="HKN111" s="3"/>
      <c r="HKO111" s="3"/>
      <c r="HKP111" s="3"/>
      <c r="HKQ111" s="3"/>
      <c r="HKR111" s="3"/>
      <c r="HKS111" s="3"/>
      <c r="HKT111" s="3"/>
      <c r="HKU111" s="3"/>
      <c r="HKV111" s="3"/>
      <c r="HKW111" s="3"/>
      <c r="HKX111" s="3"/>
      <c r="HKY111" s="3"/>
      <c r="HKZ111" s="3"/>
      <c r="HLA111" s="3"/>
      <c r="HLB111" s="3"/>
      <c r="HLC111" s="3"/>
      <c r="HLD111" s="3"/>
      <c r="HLE111" s="3"/>
      <c r="HLF111" s="3"/>
      <c r="HLG111" s="3"/>
      <c r="HLH111" s="3"/>
      <c r="HLI111" s="3"/>
      <c r="HLJ111" s="3"/>
      <c r="HLK111" s="3"/>
      <c r="HLL111" s="3"/>
      <c r="HLM111" s="3"/>
      <c r="HLN111" s="3"/>
      <c r="HLO111" s="3"/>
      <c r="HLP111" s="3"/>
      <c r="HLQ111" s="3"/>
      <c r="HLR111" s="3"/>
      <c r="HLS111" s="3"/>
      <c r="HLT111" s="3"/>
      <c r="HLU111" s="3"/>
      <c r="HLV111" s="3"/>
      <c r="HLW111" s="3"/>
      <c r="HLX111" s="3"/>
      <c r="HLY111" s="3"/>
      <c r="HLZ111" s="3"/>
      <c r="HMA111" s="3"/>
      <c r="HMB111" s="3"/>
      <c r="HMC111" s="3"/>
      <c r="HMD111" s="3"/>
      <c r="HME111" s="3"/>
      <c r="HMF111" s="3"/>
      <c r="HMG111" s="3"/>
      <c r="HMH111" s="3"/>
      <c r="HMI111" s="3"/>
      <c r="HMJ111" s="3"/>
      <c r="HMK111" s="3"/>
      <c r="HML111" s="3"/>
      <c r="HMM111" s="3"/>
      <c r="HMN111" s="3"/>
      <c r="HMO111" s="3"/>
      <c r="HMP111" s="3"/>
      <c r="HMQ111" s="3"/>
      <c r="HMR111" s="3"/>
      <c r="HMS111" s="3"/>
      <c r="HMT111" s="3"/>
      <c r="HMU111" s="3"/>
      <c r="HMV111" s="3"/>
      <c r="HMW111" s="3"/>
      <c r="HMX111" s="3"/>
      <c r="HMY111" s="3"/>
      <c r="HMZ111" s="3"/>
      <c r="HNA111" s="3"/>
      <c r="HNB111" s="3"/>
      <c r="HNC111" s="3"/>
      <c r="HND111" s="3"/>
      <c r="HNE111" s="3"/>
      <c r="HNF111" s="3"/>
      <c r="HNG111" s="3"/>
      <c r="HNH111" s="3"/>
      <c r="HNI111" s="3"/>
      <c r="HNJ111" s="3"/>
      <c r="HNK111" s="3"/>
      <c r="HNL111" s="3"/>
      <c r="HNM111" s="3"/>
      <c r="HNN111" s="3"/>
      <c r="HNO111" s="3"/>
      <c r="HNP111" s="3"/>
      <c r="HNQ111" s="3"/>
      <c r="HNR111" s="3"/>
      <c r="HNS111" s="3"/>
      <c r="HNT111" s="3"/>
      <c r="HNU111" s="3"/>
      <c r="HNV111" s="3"/>
      <c r="HNW111" s="3"/>
      <c r="HNX111" s="3"/>
      <c r="HNY111" s="3"/>
      <c r="HNZ111" s="3"/>
      <c r="HOA111" s="3"/>
      <c r="HOB111" s="3"/>
      <c r="HOC111" s="3"/>
      <c r="HOD111" s="3"/>
      <c r="HOE111" s="3"/>
      <c r="HOF111" s="3"/>
      <c r="HOG111" s="3"/>
      <c r="HOH111" s="3"/>
      <c r="HOI111" s="3"/>
      <c r="HOJ111" s="3"/>
      <c r="HOK111" s="3"/>
      <c r="HOL111" s="3"/>
      <c r="HOM111" s="3"/>
      <c r="HON111" s="3"/>
      <c r="HOO111" s="3"/>
      <c r="HOP111" s="3"/>
      <c r="HOQ111" s="3"/>
      <c r="HOR111" s="3"/>
      <c r="HOS111" s="3"/>
      <c r="HOT111" s="3"/>
      <c r="HOU111" s="3"/>
      <c r="HOV111" s="3"/>
      <c r="HOW111" s="3"/>
      <c r="HOX111" s="3"/>
      <c r="HOY111" s="3"/>
      <c r="HOZ111" s="3"/>
      <c r="HPA111" s="3"/>
      <c r="HPB111" s="3"/>
      <c r="HPC111" s="3"/>
      <c r="HPD111" s="3"/>
      <c r="HPE111" s="3"/>
      <c r="HPF111" s="3"/>
      <c r="HPG111" s="3"/>
      <c r="HPH111" s="3"/>
      <c r="HPI111" s="3"/>
      <c r="HPJ111" s="3"/>
      <c r="HPK111" s="3"/>
      <c r="HPL111" s="3"/>
      <c r="HPM111" s="3"/>
      <c r="HPN111" s="3"/>
      <c r="HPO111" s="3"/>
      <c r="HPP111" s="3"/>
      <c r="HPQ111" s="3"/>
      <c r="HPR111" s="3"/>
      <c r="HPS111" s="3"/>
      <c r="HPT111" s="3"/>
      <c r="HPU111" s="3"/>
      <c r="HPV111" s="3"/>
      <c r="HPW111" s="3"/>
      <c r="HPX111" s="3"/>
      <c r="HPY111" s="3"/>
      <c r="HPZ111" s="3"/>
      <c r="HQA111" s="3"/>
      <c r="HQB111" s="3"/>
      <c r="HQC111" s="3"/>
      <c r="HQD111" s="3"/>
      <c r="HQE111" s="3"/>
      <c r="HQF111" s="3"/>
      <c r="HQG111" s="3"/>
      <c r="HQH111" s="3"/>
      <c r="HQI111" s="3"/>
      <c r="HQJ111" s="3"/>
      <c r="HQK111" s="3"/>
      <c r="HQL111" s="3"/>
      <c r="HQM111" s="3"/>
      <c r="HQN111" s="3"/>
      <c r="HQO111" s="3"/>
      <c r="HQP111" s="3"/>
      <c r="HQQ111" s="3"/>
      <c r="HQR111" s="3"/>
      <c r="HQS111" s="3"/>
      <c r="HQT111" s="3"/>
      <c r="HQU111" s="3"/>
      <c r="HQV111" s="3"/>
      <c r="HQW111" s="3"/>
      <c r="HQX111" s="3"/>
      <c r="HQY111" s="3"/>
      <c r="HQZ111" s="3"/>
      <c r="HRA111" s="3"/>
      <c r="HRB111" s="3"/>
      <c r="HRC111" s="3"/>
      <c r="HRD111" s="3"/>
      <c r="HRE111" s="3"/>
      <c r="HRF111" s="3"/>
      <c r="HRG111" s="3"/>
      <c r="HRH111" s="3"/>
      <c r="HRI111" s="3"/>
      <c r="HRJ111" s="3"/>
      <c r="HRK111" s="3"/>
      <c r="HRL111" s="3"/>
      <c r="HRM111" s="3"/>
      <c r="HRN111" s="3"/>
      <c r="HRO111" s="3"/>
      <c r="HRP111" s="3"/>
      <c r="HRQ111" s="3"/>
      <c r="HRR111" s="3"/>
      <c r="HRS111" s="3"/>
      <c r="HRT111" s="3"/>
      <c r="HRU111" s="3"/>
      <c r="HRV111" s="3"/>
      <c r="HRW111" s="3"/>
      <c r="HRX111" s="3"/>
      <c r="HRY111" s="3"/>
      <c r="HRZ111" s="3"/>
      <c r="HSA111" s="3"/>
      <c r="HSB111" s="3"/>
      <c r="HSC111" s="3"/>
      <c r="HSD111" s="3"/>
      <c r="HSE111" s="3"/>
      <c r="HSF111" s="3"/>
      <c r="HSG111" s="3"/>
      <c r="HSH111" s="3"/>
      <c r="HSI111" s="3"/>
      <c r="HSJ111" s="3"/>
      <c r="HSK111" s="3"/>
      <c r="HSL111" s="3"/>
      <c r="HSM111" s="3"/>
      <c r="HSN111" s="3"/>
      <c r="HSO111" s="3"/>
      <c r="HSP111" s="3"/>
      <c r="HSQ111" s="3"/>
      <c r="HSR111" s="3"/>
      <c r="HSS111" s="3"/>
      <c r="HST111" s="3"/>
      <c r="HSU111" s="3"/>
      <c r="HSV111" s="3"/>
      <c r="HSW111" s="3"/>
      <c r="HSX111" s="3"/>
      <c r="HSY111" s="3"/>
      <c r="HSZ111" s="3"/>
      <c r="HTA111" s="3"/>
      <c r="HTB111" s="3"/>
      <c r="HTC111" s="3"/>
      <c r="HTD111" s="3"/>
      <c r="HTE111" s="3"/>
      <c r="HTF111" s="3"/>
      <c r="HTG111" s="3"/>
      <c r="HTH111" s="3"/>
      <c r="HTI111" s="3"/>
      <c r="HTJ111" s="3"/>
      <c r="HTK111" s="3"/>
      <c r="HTL111" s="3"/>
      <c r="HTM111" s="3"/>
      <c r="HTN111" s="3"/>
      <c r="HTO111" s="3"/>
      <c r="HTP111" s="3"/>
      <c r="HTQ111" s="3"/>
      <c r="HTR111" s="3"/>
      <c r="HTS111" s="3"/>
      <c r="HTT111" s="3"/>
      <c r="HTU111" s="3"/>
      <c r="HTV111" s="3"/>
      <c r="HTW111" s="3"/>
      <c r="HTX111" s="3"/>
      <c r="HTY111" s="3"/>
      <c r="HTZ111" s="3"/>
      <c r="HUA111" s="3"/>
      <c r="HUB111" s="3"/>
      <c r="HUC111" s="3"/>
      <c r="HUD111" s="3"/>
      <c r="HUE111" s="3"/>
      <c r="HUF111" s="3"/>
      <c r="HUG111" s="3"/>
      <c r="HUH111" s="3"/>
      <c r="HUI111" s="3"/>
      <c r="HUJ111" s="3"/>
      <c r="HUK111" s="3"/>
      <c r="HUL111" s="3"/>
      <c r="HUM111" s="3"/>
      <c r="HUN111" s="3"/>
      <c r="HUO111" s="3"/>
      <c r="HUP111" s="3"/>
      <c r="HUQ111" s="3"/>
      <c r="HUR111" s="3"/>
      <c r="HUS111" s="3"/>
      <c r="HUT111" s="3"/>
      <c r="HUU111" s="3"/>
      <c r="HUV111" s="3"/>
      <c r="HUW111" s="3"/>
      <c r="HUX111" s="3"/>
      <c r="HUY111" s="3"/>
      <c r="HUZ111" s="3"/>
      <c r="HVA111" s="3"/>
      <c r="HVB111" s="3"/>
      <c r="HVC111" s="3"/>
      <c r="HVD111" s="3"/>
      <c r="HVE111" s="3"/>
      <c r="HVF111" s="3"/>
      <c r="HVG111" s="3"/>
      <c r="HVH111" s="3"/>
      <c r="HVI111" s="3"/>
      <c r="HVJ111" s="3"/>
      <c r="HVK111" s="3"/>
      <c r="HVL111" s="3"/>
      <c r="HVM111" s="3"/>
      <c r="HVN111" s="3"/>
      <c r="HVO111" s="3"/>
      <c r="HVP111" s="3"/>
      <c r="HVQ111" s="3"/>
      <c r="HVR111" s="3"/>
      <c r="HVS111" s="3"/>
      <c r="HVT111" s="3"/>
      <c r="HVU111" s="3"/>
      <c r="HVV111" s="3"/>
      <c r="HVW111" s="3"/>
      <c r="HVX111" s="3"/>
      <c r="HVY111" s="3"/>
      <c r="HVZ111" s="3"/>
      <c r="HWA111" s="3"/>
      <c r="HWB111" s="3"/>
      <c r="HWC111" s="3"/>
      <c r="HWD111" s="3"/>
      <c r="HWE111" s="3"/>
      <c r="HWF111" s="3"/>
      <c r="HWG111" s="3"/>
      <c r="HWH111" s="3"/>
      <c r="HWI111" s="3"/>
      <c r="HWJ111" s="3"/>
      <c r="HWK111" s="3"/>
      <c r="HWL111" s="3"/>
      <c r="HWM111" s="3"/>
      <c r="HWN111" s="3"/>
      <c r="HWO111" s="3"/>
      <c r="HWP111" s="3"/>
      <c r="HWQ111" s="3"/>
      <c r="HWR111" s="3"/>
      <c r="HWS111" s="3"/>
      <c r="HWT111" s="3"/>
      <c r="HWU111" s="3"/>
      <c r="HWV111" s="3"/>
      <c r="HWW111" s="3"/>
      <c r="HWX111" s="3"/>
      <c r="HWY111" s="3"/>
      <c r="HWZ111" s="3"/>
      <c r="HXA111" s="3"/>
      <c r="HXB111" s="3"/>
      <c r="HXC111" s="3"/>
      <c r="HXD111" s="3"/>
      <c r="HXE111" s="3"/>
      <c r="HXF111" s="3"/>
      <c r="HXG111" s="3"/>
      <c r="HXH111" s="3"/>
      <c r="HXI111" s="3"/>
      <c r="HXJ111" s="3"/>
      <c r="HXK111" s="3"/>
      <c r="HXL111" s="3"/>
      <c r="HXM111" s="3"/>
      <c r="HXN111" s="3"/>
      <c r="HXO111" s="3"/>
      <c r="HXP111" s="3"/>
      <c r="HXQ111" s="3"/>
      <c r="HXR111" s="3"/>
      <c r="HXS111" s="3"/>
      <c r="HXT111" s="3"/>
      <c r="HXU111" s="3"/>
      <c r="HXV111" s="3"/>
      <c r="HXW111" s="3"/>
      <c r="HXX111" s="3"/>
      <c r="HXY111" s="3"/>
      <c r="HXZ111" s="3"/>
      <c r="HYA111" s="3"/>
      <c r="HYB111" s="3"/>
      <c r="HYC111" s="3"/>
      <c r="HYD111" s="3"/>
      <c r="HYE111" s="3"/>
      <c r="HYF111" s="3"/>
      <c r="HYG111" s="3"/>
      <c r="HYH111" s="3"/>
      <c r="HYI111" s="3"/>
      <c r="HYJ111" s="3"/>
      <c r="HYK111" s="3"/>
      <c r="HYL111" s="3"/>
      <c r="HYM111" s="3"/>
      <c r="HYN111" s="3"/>
      <c r="HYO111" s="3"/>
      <c r="HYP111" s="3"/>
      <c r="HYQ111" s="3"/>
      <c r="HYR111" s="3"/>
      <c r="HYS111" s="3"/>
      <c r="HYT111" s="3"/>
      <c r="HYU111" s="3"/>
      <c r="HYV111" s="3"/>
      <c r="HYW111" s="3"/>
      <c r="HYX111" s="3"/>
      <c r="HYY111" s="3"/>
      <c r="HYZ111" s="3"/>
      <c r="HZA111" s="3"/>
      <c r="HZB111" s="3"/>
      <c r="HZC111" s="3"/>
      <c r="HZD111" s="3"/>
      <c r="HZE111" s="3"/>
      <c r="HZF111" s="3"/>
      <c r="HZG111" s="3"/>
      <c r="HZH111" s="3"/>
      <c r="HZI111" s="3"/>
      <c r="HZJ111" s="3"/>
      <c r="HZK111" s="3"/>
      <c r="HZL111" s="3"/>
      <c r="HZM111" s="3"/>
      <c r="HZN111" s="3"/>
      <c r="HZO111" s="3"/>
      <c r="HZP111" s="3"/>
      <c r="HZQ111" s="3"/>
      <c r="HZR111" s="3"/>
      <c r="HZS111" s="3"/>
      <c r="HZT111" s="3"/>
      <c r="HZU111" s="3"/>
      <c r="HZV111" s="3"/>
      <c r="HZW111" s="3"/>
      <c r="HZX111" s="3"/>
      <c r="HZY111" s="3"/>
      <c r="HZZ111" s="3"/>
      <c r="IAA111" s="3"/>
      <c r="IAB111" s="3"/>
      <c r="IAC111" s="3"/>
      <c r="IAD111" s="3"/>
      <c r="IAE111" s="3"/>
      <c r="IAF111" s="3"/>
      <c r="IAG111" s="3"/>
      <c r="IAH111" s="3"/>
      <c r="IAI111" s="3"/>
      <c r="IAJ111" s="3"/>
      <c r="IAK111" s="3"/>
      <c r="IAL111" s="3"/>
      <c r="IAM111" s="3"/>
      <c r="IAN111" s="3"/>
      <c r="IAO111" s="3"/>
      <c r="IAP111" s="3"/>
      <c r="IAQ111" s="3"/>
      <c r="IAR111" s="3"/>
      <c r="IAS111" s="3"/>
      <c r="IAT111" s="3"/>
      <c r="IAU111" s="3"/>
      <c r="IAV111" s="3"/>
      <c r="IAW111" s="3"/>
      <c r="IAX111" s="3"/>
      <c r="IAY111" s="3"/>
      <c r="IAZ111" s="3"/>
      <c r="IBA111" s="3"/>
      <c r="IBB111" s="3"/>
      <c r="IBC111" s="3"/>
      <c r="IBD111" s="3"/>
      <c r="IBE111" s="3"/>
      <c r="IBF111" s="3"/>
      <c r="IBG111" s="3"/>
      <c r="IBH111" s="3"/>
      <c r="IBI111" s="3"/>
      <c r="IBJ111" s="3"/>
      <c r="IBK111" s="3"/>
      <c r="IBL111" s="3"/>
      <c r="IBM111" s="3"/>
      <c r="IBN111" s="3"/>
      <c r="IBO111" s="3"/>
      <c r="IBP111" s="3"/>
      <c r="IBQ111" s="3"/>
      <c r="IBR111" s="3"/>
      <c r="IBS111" s="3"/>
      <c r="IBT111" s="3"/>
      <c r="IBU111" s="3"/>
      <c r="IBV111" s="3"/>
      <c r="IBW111" s="3"/>
      <c r="IBX111" s="3"/>
      <c r="IBY111" s="3"/>
      <c r="IBZ111" s="3"/>
      <c r="ICA111" s="3"/>
      <c r="ICB111" s="3"/>
      <c r="ICC111" s="3"/>
      <c r="ICD111" s="3"/>
      <c r="ICE111" s="3"/>
      <c r="ICF111" s="3"/>
      <c r="ICG111" s="3"/>
      <c r="ICH111" s="3"/>
      <c r="ICI111" s="3"/>
      <c r="ICJ111" s="3"/>
      <c r="ICK111" s="3"/>
      <c r="ICL111" s="3"/>
      <c r="ICM111" s="3"/>
      <c r="ICN111" s="3"/>
      <c r="ICO111" s="3"/>
      <c r="ICP111" s="3"/>
      <c r="ICQ111" s="3"/>
      <c r="ICR111" s="3"/>
      <c r="ICS111" s="3"/>
      <c r="ICT111" s="3"/>
      <c r="ICU111" s="3"/>
      <c r="ICV111" s="3"/>
      <c r="ICW111" s="3"/>
      <c r="ICX111" s="3"/>
      <c r="ICY111" s="3"/>
      <c r="ICZ111" s="3"/>
      <c r="IDA111" s="3"/>
      <c r="IDB111" s="3"/>
      <c r="IDC111" s="3"/>
      <c r="IDD111" s="3"/>
      <c r="IDE111" s="3"/>
      <c r="IDF111" s="3"/>
      <c r="IDG111" s="3"/>
      <c r="IDH111" s="3"/>
      <c r="IDI111" s="3"/>
      <c r="IDJ111" s="3"/>
      <c r="IDK111" s="3"/>
      <c r="IDL111" s="3"/>
      <c r="IDM111" s="3"/>
      <c r="IDN111" s="3"/>
      <c r="IDO111" s="3"/>
      <c r="IDP111" s="3"/>
      <c r="IDQ111" s="3"/>
      <c r="IDR111" s="3"/>
      <c r="IDS111" s="3"/>
      <c r="IDT111" s="3"/>
      <c r="IDU111" s="3"/>
      <c r="IDV111" s="3"/>
      <c r="IDW111" s="3"/>
      <c r="IDX111" s="3"/>
      <c r="IDY111" s="3"/>
      <c r="IDZ111" s="3"/>
      <c r="IEA111" s="3"/>
      <c r="IEB111" s="3"/>
      <c r="IEC111" s="3"/>
      <c r="IED111" s="3"/>
      <c r="IEE111" s="3"/>
      <c r="IEF111" s="3"/>
      <c r="IEG111" s="3"/>
      <c r="IEH111" s="3"/>
      <c r="IEI111" s="3"/>
      <c r="IEJ111" s="3"/>
      <c r="IEK111" s="3"/>
      <c r="IEL111" s="3"/>
      <c r="IEM111" s="3"/>
      <c r="IEN111" s="3"/>
      <c r="IEO111" s="3"/>
      <c r="IEP111" s="3"/>
      <c r="IEQ111" s="3"/>
      <c r="IER111" s="3"/>
      <c r="IES111" s="3"/>
      <c r="IET111" s="3"/>
      <c r="IEU111" s="3"/>
      <c r="IEV111" s="3"/>
      <c r="IEW111" s="3"/>
      <c r="IEX111" s="3"/>
      <c r="IEY111" s="3"/>
      <c r="IEZ111" s="3"/>
      <c r="IFA111" s="3"/>
      <c r="IFB111" s="3"/>
      <c r="IFC111" s="3"/>
      <c r="IFD111" s="3"/>
      <c r="IFE111" s="3"/>
      <c r="IFF111" s="3"/>
      <c r="IFG111" s="3"/>
      <c r="IFH111" s="3"/>
      <c r="IFI111" s="3"/>
      <c r="IFJ111" s="3"/>
      <c r="IFK111" s="3"/>
      <c r="IFL111" s="3"/>
      <c r="IFM111" s="3"/>
      <c r="IFN111" s="3"/>
      <c r="IFO111" s="3"/>
      <c r="IFP111" s="3"/>
      <c r="IFQ111" s="3"/>
      <c r="IFR111" s="3"/>
      <c r="IFS111" s="3"/>
      <c r="IFT111" s="3"/>
      <c r="IFU111" s="3"/>
      <c r="IFV111" s="3"/>
      <c r="IFW111" s="3"/>
      <c r="IFX111" s="3"/>
      <c r="IFY111" s="3"/>
      <c r="IFZ111" s="3"/>
      <c r="IGA111" s="3"/>
      <c r="IGB111" s="3"/>
      <c r="IGC111" s="3"/>
      <c r="IGD111" s="3"/>
      <c r="IGE111" s="3"/>
      <c r="IGF111" s="3"/>
      <c r="IGG111" s="3"/>
      <c r="IGH111" s="3"/>
      <c r="IGI111" s="3"/>
      <c r="IGJ111" s="3"/>
      <c r="IGK111" s="3"/>
      <c r="IGL111" s="3"/>
      <c r="IGM111" s="3"/>
      <c r="IGN111" s="3"/>
      <c r="IGO111" s="3"/>
      <c r="IGP111" s="3"/>
      <c r="IGQ111" s="3"/>
      <c r="IGR111" s="3"/>
      <c r="IGS111" s="3"/>
      <c r="IGT111" s="3"/>
      <c r="IGU111" s="3"/>
      <c r="IGV111" s="3"/>
      <c r="IGW111" s="3"/>
      <c r="IGX111" s="3"/>
      <c r="IGY111" s="3"/>
      <c r="IGZ111" s="3"/>
      <c r="IHA111" s="3"/>
      <c r="IHB111" s="3"/>
      <c r="IHC111" s="3"/>
      <c r="IHD111" s="3"/>
      <c r="IHE111" s="3"/>
      <c r="IHF111" s="3"/>
      <c r="IHG111" s="3"/>
      <c r="IHH111" s="3"/>
      <c r="IHI111" s="3"/>
      <c r="IHJ111" s="3"/>
      <c r="IHK111" s="3"/>
      <c r="IHL111" s="3"/>
      <c r="IHM111" s="3"/>
      <c r="IHN111" s="3"/>
      <c r="IHO111" s="3"/>
      <c r="IHP111" s="3"/>
      <c r="IHQ111" s="3"/>
      <c r="IHR111" s="3"/>
      <c r="IHS111" s="3"/>
      <c r="IHT111" s="3"/>
      <c r="IHU111" s="3"/>
      <c r="IHV111" s="3"/>
      <c r="IHW111" s="3"/>
      <c r="IHX111" s="3"/>
      <c r="IHY111" s="3"/>
      <c r="IHZ111" s="3"/>
      <c r="IIA111" s="3"/>
      <c r="IIB111" s="3"/>
      <c r="IIC111" s="3"/>
      <c r="IID111" s="3"/>
      <c r="IIE111" s="3"/>
      <c r="IIF111" s="3"/>
      <c r="IIG111" s="3"/>
      <c r="IIH111" s="3"/>
      <c r="III111" s="3"/>
      <c r="IIJ111" s="3"/>
      <c r="IIK111" s="3"/>
      <c r="IIL111" s="3"/>
      <c r="IIM111" s="3"/>
      <c r="IIN111" s="3"/>
      <c r="IIO111" s="3"/>
      <c r="IIP111" s="3"/>
      <c r="IIQ111" s="3"/>
      <c r="IIR111" s="3"/>
      <c r="IIS111" s="3"/>
      <c r="IIT111" s="3"/>
      <c r="IIU111" s="3"/>
      <c r="IIV111" s="3"/>
      <c r="IIW111" s="3"/>
      <c r="IIX111" s="3"/>
      <c r="IIY111" s="3"/>
      <c r="IIZ111" s="3"/>
      <c r="IJA111" s="3"/>
      <c r="IJB111" s="3"/>
      <c r="IJC111" s="3"/>
      <c r="IJD111" s="3"/>
      <c r="IJE111" s="3"/>
      <c r="IJF111" s="3"/>
      <c r="IJG111" s="3"/>
      <c r="IJH111" s="3"/>
      <c r="IJI111" s="3"/>
      <c r="IJJ111" s="3"/>
      <c r="IJK111" s="3"/>
      <c r="IJL111" s="3"/>
      <c r="IJM111" s="3"/>
      <c r="IJN111" s="3"/>
      <c r="IJO111" s="3"/>
      <c r="IJP111" s="3"/>
      <c r="IJQ111" s="3"/>
      <c r="IJR111" s="3"/>
      <c r="IJS111" s="3"/>
      <c r="IJT111" s="3"/>
      <c r="IJU111" s="3"/>
      <c r="IJV111" s="3"/>
      <c r="IJW111" s="3"/>
      <c r="IJX111" s="3"/>
      <c r="IJY111" s="3"/>
      <c r="IJZ111" s="3"/>
      <c r="IKA111" s="3"/>
      <c r="IKB111" s="3"/>
      <c r="IKC111" s="3"/>
      <c r="IKD111" s="3"/>
      <c r="IKE111" s="3"/>
      <c r="IKF111" s="3"/>
      <c r="IKG111" s="3"/>
      <c r="IKH111" s="3"/>
      <c r="IKI111" s="3"/>
      <c r="IKJ111" s="3"/>
      <c r="IKK111" s="3"/>
      <c r="IKL111" s="3"/>
      <c r="IKM111" s="3"/>
      <c r="IKN111" s="3"/>
      <c r="IKO111" s="3"/>
      <c r="IKP111" s="3"/>
      <c r="IKQ111" s="3"/>
      <c r="IKR111" s="3"/>
      <c r="IKS111" s="3"/>
      <c r="IKT111" s="3"/>
      <c r="IKU111" s="3"/>
      <c r="IKV111" s="3"/>
      <c r="IKW111" s="3"/>
      <c r="IKX111" s="3"/>
      <c r="IKY111" s="3"/>
      <c r="IKZ111" s="3"/>
      <c r="ILA111" s="3"/>
      <c r="ILB111" s="3"/>
      <c r="ILC111" s="3"/>
      <c r="ILD111" s="3"/>
      <c r="ILE111" s="3"/>
      <c r="ILF111" s="3"/>
      <c r="ILG111" s="3"/>
      <c r="ILH111" s="3"/>
      <c r="ILI111" s="3"/>
      <c r="ILJ111" s="3"/>
      <c r="ILK111" s="3"/>
      <c r="ILL111" s="3"/>
      <c r="ILM111" s="3"/>
      <c r="ILN111" s="3"/>
      <c r="ILO111" s="3"/>
      <c r="ILP111" s="3"/>
      <c r="ILQ111" s="3"/>
      <c r="ILR111" s="3"/>
      <c r="ILS111" s="3"/>
      <c r="ILT111" s="3"/>
      <c r="ILU111" s="3"/>
      <c r="ILV111" s="3"/>
      <c r="ILW111" s="3"/>
      <c r="ILX111" s="3"/>
      <c r="ILY111" s="3"/>
      <c r="ILZ111" s="3"/>
      <c r="IMA111" s="3"/>
      <c r="IMB111" s="3"/>
      <c r="IMC111" s="3"/>
      <c r="IMD111" s="3"/>
      <c r="IME111" s="3"/>
      <c r="IMF111" s="3"/>
      <c r="IMG111" s="3"/>
      <c r="IMH111" s="3"/>
      <c r="IMI111" s="3"/>
      <c r="IMJ111" s="3"/>
      <c r="IMK111" s="3"/>
      <c r="IML111" s="3"/>
      <c r="IMM111" s="3"/>
      <c r="IMN111" s="3"/>
      <c r="IMO111" s="3"/>
      <c r="IMP111" s="3"/>
      <c r="IMQ111" s="3"/>
      <c r="IMR111" s="3"/>
      <c r="IMS111" s="3"/>
      <c r="IMT111" s="3"/>
      <c r="IMU111" s="3"/>
      <c r="IMV111" s="3"/>
      <c r="IMW111" s="3"/>
      <c r="IMX111" s="3"/>
      <c r="IMY111" s="3"/>
      <c r="IMZ111" s="3"/>
      <c r="INA111" s="3"/>
      <c r="INB111" s="3"/>
      <c r="INC111" s="3"/>
      <c r="IND111" s="3"/>
      <c r="INE111" s="3"/>
      <c r="INF111" s="3"/>
      <c r="ING111" s="3"/>
      <c r="INH111" s="3"/>
      <c r="INI111" s="3"/>
      <c r="INJ111" s="3"/>
      <c r="INK111" s="3"/>
      <c r="INL111" s="3"/>
      <c r="INM111" s="3"/>
      <c r="INN111" s="3"/>
      <c r="INO111" s="3"/>
      <c r="INP111" s="3"/>
      <c r="INQ111" s="3"/>
      <c r="INR111" s="3"/>
      <c r="INS111" s="3"/>
      <c r="INT111" s="3"/>
      <c r="INU111" s="3"/>
      <c r="INV111" s="3"/>
      <c r="INW111" s="3"/>
      <c r="INX111" s="3"/>
      <c r="INY111" s="3"/>
      <c r="INZ111" s="3"/>
      <c r="IOA111" s="3"/>
      <c r="IOB111" s="3"/>
      <c r="IOC111" s="3"/>
      <c r="IOD111" s="3"/>
      <c r="IOE111" s="3"/>
      <c r="IOF111" s="3"/>
      <c r="IOG111" s="3"/>
      <c r="IOH111" s="3"/>
      <c r="IOI111" s="3"/>
      <c r="IOJ111" s="3"/>
      <c r="IOK111" s="3"/>
      <c r="IOL111" s="3"/>
      <c r="IOM111" s="3"/>
      <c r="ION111" s="3"/>
      <c r="IOO111" s="3"/>
      <c r="IOP111" s="3"/>
      <c r="IOQ111" s="3"/>
      <c r="IOR111" s="3"/>
      <c r="IOS111" s="3"/>
      <c r="IOT111" s="3"/>
      <c r="IOU111" s="3"/>
      <c r="IOV111" s="3"/>
      <c r="IOW111" s="3"/>
      <c r="IOX111" s="3"/>
      <c r="IOY111" s="3"/>
      <c r="IOZ111" s="3"/>
      <c r="IPA111" s="3"/>
      <c r="IPB111" s="3"/>
      <c r="IPC111" s="3"/>
      <c r="IPD111" s="3"/>
      <c r="IPE111" s="3"/>
      <c r="IPF111" s="3"/>
      <c r="IPG111" s="3"/>
      <c r="IPH111" s="3"/>
      <c r="IPI111" s="3"/>
      <c r="IPJ111" s="3"/>
      <c r="IPK111" s="3"/>
      <c r="IPL111" s="3"/>
      <c r="IPM111" s="3"/>
      <c r="IPN111" s="3"/>
      <c r="IPO111" s="3"/>
      <c r="IPP111" s="3"/>
      <c r="IPQ111" s="3"/>
      <c r="IPR111" s="3"/>
      <c r="IPS111" s="3"/>
      <c r="IPT111" s="3"/>
      <c r="IPU111" s="3"/>
      <c r="IPV111" s="3"/>
      <c r="IPW111" s="3"/>
      <c r="IPX111" s="3"/>
      <c r="IPY111" s="3"/>
      <c r="IPZ111" s="3"/>
      <c r="IQA111" s="3"/>
      <c r="IQB111" s="3"/>
      <c r="IQC111" s="3"/>
      <c r="IQD111" s="3"/>
      <c r="IQE111" s="3"/>
      <c r="IQF111" s="3"/>
      <c r="IQG111" s="3"/>
      <c r="IQH111" s="3"/>
      <c r="IQI111" s="3"/>
      <c r="IQJ111" s="3"/>
      <c r="IQK111" s="3"/>
      <c r="IQL111" s="3"/>
      <c r="IQM111" s="3"/>
      <c r="IQN111" s="3"/>
      <c r="IQO111" s="3"/>
      <c r="IQP111" s="3"/>
      <c r="IQQ111" s="3"/>
      <c r="IQR111" s="3"/>
      <c r="IQS111" s="3"/>
      <c r="IQT111" s="3"/>
      <c r="IQU111" s="3"/>
      <c r="IQV111" s="3"/>
      <c r="IQW111" s="3"/>
      <c r="IQX111" s="3"/>
      <c r="IQY111" s="3"/>
      <c r="IQZ111" s="3"/>
      <c r="IRA111" s="3"/>
      <c r="IRB111" s="3"/>
      <c r="IRC111" s="3"/>
      <c r="IRD111" s="3"/>
      <c r="IRE111" s="3"/>
      <c r="IRF111" s="3"/>
      <c r="IRG111" s="3"/>
      <c r="IRH111" s="3"/>
      <c r="IRI111" s="3"/>
      <c r="IRJ111" s="3"/>
      <c r="IRK111" s="3"/>
      <c r="IRL111" s="3"/>
      <c r="IRM111" s="3"/>
      <c r="IRN111" s="3"/>
      <c r="IRO111" s="3"/>
      <c r="IRP111" s="3"/>
      <c r="IRQ111" s="3"/>
      <c r="IRR111" s="3"/>
      <c r="IRS111" s="3"/>
      <c r="IRT111" s="3"/>
      <c r="IRU111" s="3"/>
      <c r="IRV111" s="3"/>
      <c r="IRW111" s="3"/>
      <c r="IRX111" s="3"/>
      <c r="IRY111" s="3"/>
      <c r="IRZ111" s="3"/>
      <c r="ISA111" s="3"/>
      <c r="ISB111" s="3"/>
      <c r="ISC111" s="3"/>
      <c r="ISD111" s="3"/>
      <c r="ISE111" s="3"/>
      <c r="ISF111" s="3"/>
      <c r="ISG111" s="3"/>
      <c r="ISH111" s="3"/>
      <c r="ISI111" s="3"/>
      <c r="ISJ111" s="3"/>
      <c r="ISK111" s="3"/>
      <c r="ISL111" s="3"/>
      <c r="ISM111" s="3"/>
      <c r="ISN111" s="3"/>
      <c r="ISO111" s="3"/>
      <c r="ISP111" s="3"/>
      <c r="ISQ111" s="3"/>
      <c r="ISR111" s="3"/>
      <c r="ISS111" s="3"/>
      <c r="IST111" s="3"/>
      <c r="ISU111" s="3"/>
      <c r="ISV111" s="3"/>
      <c r="ISW111" s="3"/>
      <c r="ISX111" s="3"/>
      <c r="ISY111" s="3"/>
      <c r="ISZ111" s="3"/>
      <c r="ITA111" s="3"/>
      <c r="ITB111" s="3"/>
      <c r="ITC111" s="3"/>
      <c r="ITD111" s="3"/>
      <c r="ITE111" s="3"/>
      <c r="ITF111" s="3"/>
      <c r="ITG111" s="3"/>
      <c r="ITH111" s="3"/>
      <c r="ITI111" s="3"/>
      <c r="ITJ111" s="3"/>
      <c r="ITK111" s="3"/>
      <c r="ITL111" s="3"/>
      <c r="ITM111" s="3"/>
      <c r="ITN111" s="3"/>
      <c r="ITO111" s="3"/>
      <c r="ITP111" s="3"/>
      <c r="ITQ111" s="3"/>
      <c r="ITR111" s="3"/>
      <c r="ITS111" s="3"/>
      <c r="ITT111" s="3"/>
      <c r="ITU111" s="3"/>
      <c r="ITV111" s="3"/>
      <c r="ITW111" s="3"/>
      <c r="ITX111" s="3"/>
      <c r="ITY111" s="3"/>
      <c r="ITZ111" s="3"/>
      <c r="IUA111" s="3"/>
      <c r="IUB111" s="3"/>
      <c r="IUC111" s="3"/>
      <c r="IUD111" s="3"/>
      <c r="IUE111" s="3"/>
      <c r="IUF111" s="3"/>
      <c r="IUG111" s="3"/>
      <c r="IUH111" s="3"/>
      <c r="IUI111" s="3"/>
      <c r="IUJ111" s="3"/>
      <c r="IUK111" s="3"/>
      <c r="IUL111" s="3"/>
      <c r="IUM111" s="3"/>
      <c r="IUN111" s="3"/>
      <c r="IUO111" s="3"/>
      <c r="IUP111" s="3"/>
      <c r="IUQ111" s="3"/>
      <c r="IUR111" s="3"/>
      <c r="IUS111" s="3"/>
      <c r="IUT111" s="3"/>
      <c r="IUU111" s="3"/>
      <c r="IUV111" s="3"/>
      <c r="IUW111" s="3"/>
      <c r="IUX111" s="3"/>
      <c r="IUY111" s="3"/>
      <c r="IUZ111" s="3"/>
      <c r="IVA111" s="3"/>
      <c r="IVB111" s="3"/>
      <c r="IVC111" s="3"/>
      <c r="IVD111" s="3"/>
      <c r="IVE111" s="3"/>
      <c r="IVF111" s="3"/>
      <c r="IVG111" s="3"/>
      <c r="IVH111" s="3"/>
      <c r="IVI111" s="3"/>
      <c r="IVJ111" s="3"/>
      <c r="IVK111" s="3"/>
      <c r="IVL111" s="3"/>
      <c r="IVM111" s="3"/>
      <c r="IVN111" s="3"/>
      <c r="IVO111" s="3"/>
      <c r="IVP111" s="3"/>
      <c r="IVQ111" s="3"/>
      <c r="IVR111" s="3"/>
      <c r="IVS111" s="3"/>
      <c r="IVT111" s="3"/>
      <c r="IVU111" s="3"/>
      <c r="IVV111" s="3"/>
      <c r="IVW111" s="3"/>
      <c r="IVX111" s="3"/>
      <c r="IVY111" s="3"/>
      <c r="IVZ111" s="3"/>
      <c r="IWA111" s="3"/>
      <c r="IWB111" s="3"/>
      <c r="IWC111" s="3"/>
      <c r="IWD111" s="3"/>
      <c r="IWE111" s="3"/>
      <c r="IWF111" s="3"/>
      <c r="IWG111" s="3"/>
      <c r="IWH111" s="3"/>
      <c r="IWI111" s="3"/>
      <c r="IWJ111" s="3"/>
      <c r="IWK111" s="3"/>
      <c r="IWL111" s="3"/>
      <c r="IWM111" s="3"/>
      <c r="IWN111" s="3"/>
      <c r="IWO111" s="3"/>
      <c r="IWP111" s="3"/>
      <c r="IWQ111" s="3"/>
      <c r="IWR111" s="3"/>
      <c r="IWS111" s="3"/>
      <c r="IWT111" s="3"/>
      <c r="IWU111" s="3"/>
      <c r="IWV111" s="3"/>
      <c r="IWW111" s="3"/>
      <c r="IWX111" s="3"/>
      <c r="IWY111" s="3"/>
      <c r="IWZ111" s="3"/>
      <c r="IXA111" s="3"/>
      <c r="IXB111" s="3"/>
      <c r="IXC111" s="3"/>
      <c r="IXD111" s="3"/>
      <c r="IXE111" s="3"/>
      <c r="IXF111" s="3"/>
      <c r="IXG111" s="3"/>
      <c r="IXH111" s="3"/>
      <c r="IXI111" s="3"/>
      <c r="IXJ111" s="3"/>
      <c r="IXK111" s="3"/>
      <c r="IXL111" s="3"/>
      <c r="IXM111" s="3"/>
      <c r="IXN111" s="3"/>
      <c r="IXO111" s="3"/>
      <c r="IXP111" s="3"/>
      <c r="IXQ111" s="3"/>
      <c r="IXR111" s="3"/>
      <c r="IXS111" s="3"/>
      <c r="IXT111" s="3"/>
      <c r="IXU111" s="3"/>
      <c r="IXV111" s="3"/>
      <c r="IXW111" s="3"/>
      <c r="IXX111" s="3"/>
      <c r="IXY111" s="3"/>
      <c r="IXZ111" s="3"/>
      <c r="IYA111" s="3"/>
      <c r="IYB111" s="3"/>
      <c r="IYC111" s="3"/>
      <c r="IYD111" s="3"/>
      <c r="IYE111" s="3"/>
      <c r="IYF111" s="3"/>
      <c r="IYG111" s="3"/>
      <c r="IYH111" s="3"/>
      <c r="IYI111" s="3"/>
      <c r="IYJ111" s="3"/>
      <c r="IYK111" s="3"/>
      <c r="IYL111" s="3"/>
      <c r="IYM111" s="3"/>
      <c r="IYN111" s="3"/>
      <c r="IYO111" s="3"/>
      <c r="IYP111" s="3"/>
      <c r="IYQ111" s="3"/>
      <c r="IYR111" s="3"/>
      <c r="IYS111" s="3"/>
      <c r="IYT111" s="3"/>
      <c r="IYU111" s="3"/>
      <c r="IYV111" s="3"/>
      <c r="IYW111" s="3"/>
      <c r="IYX111" s="3"/>
      <c r="IYY111" s="3"/>
      <c r="IYZ111" s="3"/>
      <c r="IZA111" s="3"/>
      <c r="IZB111" s="3"/>
      <c r="IZC111" s="3"/>
      <c r="IZD111" s="3"/>
      <c r="IZE111" s="3"/>
      <c r="IZF111" s="3"/>
      <c r="IZG111" s="3"/>
      <c r="IZH111" s="3"/>
      <c r="IZI111" s="3"/>
      <c r="IZJ111" s="3"/>
      <c r="IZK111" s="3"/>
      <c r="IZL111" s="3"/>
      <c r="IZM111" s="3"/>
      <c r="IZN111" s="3"/>
      <c r="IZO111" s="3"/>
      <c r="IZP111" s="3"/>
      <c r="IZQ111" s="3"/>
      <c r="IZR111" s="3"/>
      <c r="IZS111" s="3"/>
      <c r="IZT111" s="3"/>
      <c r="IZU111" s="3"/>
      <c r="IZV111" s="3"/>
      <c r="IZW111" s="3"/>
      <c r="IZX111" s="3"/>
      <c r="IZY111" s="3"/>
      <c r="IZZ111" s="3"/>
      <c r="JAA111" s="3"/>
      <c r="JAB111" s="3"/>
      <c r="JAC111" s="3"/>
      <c r="JAD111" s="3"/>
      <c r="JAE111" s="3"/>
      <c r="JAF111" s="3"/>
      <c r="JAG111" s="3"/>
      <c r="JAH111" s="3"/>
      <c r="JAI111" s="3"/>
      <c r="JAJ111" s="3"/>
      <c r="JAK111" s="3"/>
      <c r="JAL111" s="3"/>
      <c r="JAM111" s="3"/>
      <c r="JAN111" s="3"/>
      <c r="JAO111" s="3"/>
      <c r="JAP111" s="3"/>
      <c r="JAQ111" s="3"/>
      <c r="JAR111" s="3"/>
      <c r="JAS111" s="3"/>
      <c r="JAT111" s="3"/>
      <c r="JAU111" s="3"/>
      <c r="JAV111" s="3"/>
      <c r="JAW111" s="3"/>
      <c r="JAX111" s="3"/>
      <c r="JAY111" s="3"/>
      <c r="JAZ111" s="3"/>
      <c r="JBA111" s="3"/>
      <c r="JBB111" s="3"/>
      <c r="JBC111" s="3"/>
      <c r="JBD111" s="3"/>
      <c r="JBE111" s="3"/>
      <c r="JBF111" s="3"/>
      <c r="JBG111" s="3"/>
      <c r="JBH111" s="3"/>
      <c r="JBI111" s="3"/>
      <c r="JBJ111" s="3"/>
      <c r="JBK111" s="3"/>
      <c r="JBL111" s="3"/>
      <c r="JBM111" s="3"/>
      <c r="JBN111" s="3"/>
      <c r="JBO111" s="3"/>
      <c r="JBP111" s="3"/>
      <c r="JBQ111" s="3"/>
      <c r="JBR111" s="3"/>
      <c r="JBS111" s="3"/>
      <c r="JBT111" s="3"/>
      <c r="JBU111" s="3"/>
      <c r="JBV111" s="3"/>
      <c r="JBW111" s="3"/>
      <c r="JBX111" s="3"/>
      <c r="JBY111" s="3"/>
      <c r="JBZ111" s="3"/>
      <c r="JCA111" s="3"/>
      <c r="JCB111" s="3"/>
      <c r="JCC111" s="3"/>
      <c r="JCD111" s="3"/>
      <c r="JCE111" s="3"/>
      <c r="JCF111" s="3"/>
      <c r="JCG111" s="3"/>
      <c r="JCH111" s="3"/>
      <c r="JCI111" s="3"/>
      <c r="JCJ111" s="3"/>
      <c r="JCK111" s="3"/>
      <c r="JCL111" s="3"/>
      <c r="JCM111" s="3"/>
      <c r="JCN111" s="3"/>
      <c r="JCO111" s="3"/>
      <c r="JCP111" s="3"/>
      <c r="JCQ111" s="3"/>
      <c r="JCR111" s="3"/>
      <c r="JCS111" s="3"/>
      <c r="JCT111" s="3"/>
      <c r="JCU111" s="3"/>
      <c r="JCV111" s="3"/>
      <c r="JCW111" s="3"/>
      <c r="JCX111" s="3"/>
      <c r="JCY111" s="3"/>
      <c r="JCZ111" s="3"/>
      <c r="JDA111" s="3"/>
      <c r="JDB111" s="3"/>
      <c r="JDC111" s="3"/>
      <c r="JDD111" s="3"/>
      <c r="JDE111" s="3"/>
      <c r="JDF111" s="3"/>
      <c r="JDG111" s="3"/>
      <c r="JDH111" s="3"/>
      <c r="JDI111" s="3"/>
      <c r="JDJ111" s="3"/>
      <c r="JDK111" s="3"/>
      <c r="JDL111" s="3"/>
      <c r="JDM111" s="3"/>
      <c r="JDN111" s="3"/>
      <c r="JDO111" s="3"/>
      <c r="JDP111" s="3"/>
      <c r="JDQ111" s="3"/>
      <c r="JDR111" s="3"/>
      <c r="JDS111" s="3"/>
      <c r="JDT111" s="3"/>
      <c r="JDU111" s="3"/>
      <c r="JDV111" s="3"/>
      <c r="JDW111" s="3"/>
      <c r="JDX111" s="3"/>
      <c r="JDY111" s="3"/>
      <c r="JDZ111" s="3"/>
      <c r="JEA111" s="3"/>
      <c r="JEB111" s="3"/>
      <c r="JEC111" s="3"/>
      <c r="JED111" s="3"/>
      <c r="JEE111" s="3"/>
      <c r="JEF111" s="3"/>
      <c r="JEG111" s="3"/>
      <c r="JEH111" s="3"/>
      <c r="JEI111" s="3"/>
      <c r="JEJ111" s="3"/>
      <c r="JEK111" s="3"/>
      <c r="JEL111" s="3"/>
      <c r="JEM111" s="3"/>
      <c r="JEN111" s="3"/>
      <c r="JEO111" s="3"/>
      <c r="JEP111" s="3"/>
      <c r="JEQ111" s="3"/>
      <c r="JER111" s="3"/>
      <c r="JES111" s="3"/>
      <c r="JET111" s="3"/>
      <c r="JEU111" s="3"/>
      <c r="JEV111" s="3"/>
      <c r="JEW111" s="3"/>
      <c r="JEX111" s="3"/>
      <c r="JEY111" s="3"/>
      <c r="JEZ111" s="3"/>
      <c r="JFA111" s="3"/>
      <c r="JFB111" s="3"/>
      <c r="JFC111" s="3"/>
      <c r="JFD111" s="3"/>
      <c r="JFE111" s="3"/>
      <c r="JFF111" s="3"/>
      <c r="JFG111" s="3"/>
      <c r="JFH111" s="3"/>
      <c r="JFI111" s="3"/>
      <c r="JFJ111" s="3"/>
      <c r="JFK111" s="3"/>
      <c r="JFL111" s="3"/>
      <c r="JFM111" s="3"/>
      <c r="JFN111" s="3"/>
      <c r="JFO111" s="3"/>
      <c r="JFP111" s="3"/>
      <c r="JFQ111" s="3"/>
      <c r="JFR111" s="3"/>
      <c r="JFS111" s="3"/>
      <c r="JFT111" s="3"/>
      <c r="JFU111" s="3"/>
      <c r="JFV111" s="3"/>
      <c r="JFW111" s="3"/>
      <c r="JFX111" s="3"/>
      <c r="JFY111" s="3"/>
      <c r="JFZ111" s="3"/>
      <c r="JGA111" s="3"/>
      <c r="JGB111" s="3"/>
      <c r="JGC111" s="3"/>
      <c r="JGD111" s="3"/>
      <c r="JGE111" s="3"/>
      <c r="JGF111" s="3"/>
      <c r="JGG111" s="3"/>
      <c r="JGH111" s="3"/>
      <c r="JGI111" s="3"/>
      <c r="JGJ111" s="3"/>
      <c r="JGK111" s="3"/>
      <c r="JGL111" s="3"/>
      <c r="JGM111" s="3"/>
      <c r="JGN111" s="3"/>
      <c r="JGO111" s="3"/>
      <c r="JGP111" s="3"/>
      <c r="JGQ111" s="3"/>
      <c r="JGR111" s="3"/>
      <c r="JGS111" s="3"/>
      <c r="JGT111" s="3"/>
      <c r="JGU111" s="3"/>
      <c r="JGV111" s="3"/>
      <c r="JGW111" s="3"/>
      <c r="JGX111" s="3"/>
      <c r="JGY111" s="3"/>
      <c r="JGZ111" s="3"/>
      <c r="JHA111" s="3"/>
      <c r="JHB111" s="3"/>
      <c r="JHC111" s="3"/>
      <c r="JHD111" s="3"/>
      <c r="JHE111" s="3"/>
      <c r="JHF111" s="3"/>
      <c r="JHG111" s="3"/>
      <c r="JHH111" s="3"/>
      <c r="JHI111" s="3"/>
      <c r="JHJ111" s="3"/>
      <c r="JHK111" s="3"/>
      <c r="JHL111" s="3"/>
      <c r="JHM111" s="3"/>
      <c r="JHN111" s="3"/>
      <c r="JHO111" s="3"/>
      <c r="JHP111" s="3"/>
      <c r="JHQ111" s="3"/>
      <c r="JHR111" s="3"/>
      <c r="JHS111" s="3"/>
      <c r="JHT111" s="3"/>
      <c r="JHU111" s="3"/>
      <c r="JHV111" s="3"/>
      <c r="JHW111" s="3"/>
      <c r="JHX111" s="3"/>
      <c r="JHY111" s="3"/>
      <c r="JHZ111" s="3"/>
      <c r="JIA111" s="3"/>
      <c r="JIB111" s="3"/>
      <c r="JIC111" s="3"/>
      <c r="JID111" s="3"/>
      <c r="JIE111" s="3"/>
      <c r="JIF111" s="3"/>
      <c r="JIG111" s="3"/>
      <c r="JIH111" s="3"/>
      <c r="JII111" s="3"/>
      <c r="JIJ111" s="3"/>
      <c r="JIK111" s="3"/>
      <c r="JIL111" s="3"/>
      <c r="JIM111" s="3"/>
      <c r="JIN111" s="3"/>
      <c r="JIO111" s="3"/>
      <c r="JIP111" s="3"/>
      <c r="JIQ111" s="3"/>
      <c r="JIR111" s="3"/>
      <c r="JIS111" s="3"/>
      <c r="JIT111" s="3"/>
      <c r="JIU111" s="3"/>
      <c r="JIV111" s="3"/>
      <c r="JIW111" s="3"/>
      <c r="JIX111" s="3"/>
      <c r="JIY111" s="3"/>
      <c r="JIZ111" s="3"/>
      <c r="JJA111" s="3"/>
      <c r="JJB111" s="3"/>
      <c r="JJC111" s="3"/>
      <c r="JJD111" s="3"/>
      <c r="JJE111" s="3"/>
      <c r="JJF111" s="3"/>
      <c r="JJG111" s="3"/>
      <c r="JJH111" s="3"/>
      <c r="JJI111" s="3"/>
      <c r="JJJ111" s="3"/>
      <c r="JJK111" s="3"/>
      <c r="JJL111" s="3"/>
      <c r="JJM111" s="3"/>
      <c r="JJN111" s="3"/>
      <c r="JJO111" s="3"/>
      <c r="JJP111" s="3"/>
      <c r="JJQ111" s="3"/>
      <c r="JJR111" s="3"/>
      <c r="JJS111" s="3"/>
      <c r="JJT111" s="3"/>
      <c r="JJU111" s="3"/>
      <c r="JJV111" s="3"/>
      <c r="JJW111" s="3"/>
      <c r="JJX111" s="3"/>
      <c r="JJY111" s="3"/>
      <c r="JJZ111" s="3"/>
      <c r="JKA111" s="3"/>
      <c r="JKB111" s="3"/>
      <c r="JKC111" s="3"/>
      <c r="JKD111" s="3"/>
      <c r="JKE111" s="3"/>
      <c r="JKF111" s="3"/>
      <c r="JKG111" s="3"/>
      <c r="JKH111" s="3"/>
      <c r="JKI111" s="3"/>
      <c r="JKJ111" s="3"/>
      <c r="JKK111" s="3"/>
      <c r="JKL111" s="3"/>
      <c r="JKM111" s="3"/>
      <c r="JKN111" s="3"/>
      <c r="JKO111" s="3"/>
      <c r="JKP111" s="3"/>
      <c r="JKQ111" s="3"/>
      <c r="JKR111" s="3"/>
      <c r="JKS111" s="3"/>
      <c r="JKT111" s="3"/>
      <c r="JKU111" s="3"/>
      <c r="JKV111" s="3"/>
      <c r="JKW111" s="3"/>
      <c r="JKX111" s="3"/>
      <c r="JKY111" s="3"/>
      <c r="JKZ111" s="3"/>
      <c r="JLA111" s="3"/>
      <c r="JLB111" s="3"/>
      <c r="JLC111" s="3"/>
      <c r="JLD111" s="3"/>
      <c r="JLE111" s="3"/>
      <c r="JLF111" s="3"/>
      <c r="JLG111" s="3"/>
      <c r="JLH111" s="3"/>
      <c r="JLI111" s="3"/>
      <c r="JLJ111" s="3"/>
      <c r="JLK111" s="3"/>
      <c r="JLL111" s="3"/>
      <c r="JLM111" s="3"/>
      <c r="JLN111" s="3"/>
      <c r="JLO111" s="3"/>
      <c r="JLP111" s="3"/>
      <c r="JLQ111" s="3"/>
      <c r="JLR111" s="3"/>
      <c r="JLS111" s="3"/>
      <c r="JLT111" s="3"/>
      <c r="JLU111" s="3"/>
      <c r="JLV111" s="3"/>
      <c r="JLW111" s="3"/>
      <c r="JLX111" s="3"/>
      <c r="JLY111" s="3"/>
      <c r="JLZ111" s="3"/>
      <c r="JMA111" s="3"/>
      <c r="JMB111" s="3"/>
      <c r="JMC111" s="3"/>
      <c r="JMD111" s="3"/>
      <c r="JME111" s="3"/>
      <c r="JMF111" s="3"/>
      <c r="JMG111" s="3"/>
      <c r="JMH111" s="3"/>
      <c r="JMI111" s="3"/>
      <c r="JMJ111" s="3"/>
      <c r="JMK111" s="3"/>
      <c r="JML111" s="3"/>
      <c r="JMM111" s="3"/>
      <c r="JMN111" s="3"/>
      <c r="JMO111" s="3"/>
      <c r="JMP111" s="3"/>
      <c r="JMQ111" s="3"/>
      <c r="JMR111" s="3"/>
      <c r="JMS111" s="3"/>
      <c r="JMT111" s="3"/>
      <c r="JMU111" s="3"/>
      <c r="JMV111" s="3"/>
      <c r="JMW111" s="3"/>
      <c r="JMX111" s="3"/>
      <c r="JMY111" s="3"/>
      <c r="JMZ111" s="3"/>
      <c r="JNA111" s="3"/>
      <c r="JNB111" s="3"/>
      <c r="JNC111" s="3"/>
      <c r="JND111" s="3"/>
      <c r="JNE111" s="3"/>
      <c r="JNF111" s="3"/>
      <c r="JNG111" s="3"/>
      <c r="JNH111" s="3"/>
      <c r="JNI111" s="3"/>
      <c r="JNJ111" s="3"/>
      <c r="JNK111" s="3"/>
      <c r="JNL111" s="3"/>
      <c r="JNM111" s="3"/>
      <c r="JNN111" s="3"/>
      <c r="JNO111" s="3"/>
      <c r="JNP111" s="3"/>
      <c r="JNQ111" s="3"/>
      <c r="JNR111" s="3"/>
      <c r="JNS111" s="3"/>
      <c r="JNT111" s="3"/>
      <c r="JNU111" s="3"/>
      <c r="JNV111" s="3"/>
      <c r="JNW111" s="3"/>
      <c r="JNX111" s="3"/>
      <c r="JNY111" s="3"/>
      <c r="JNZ111" s="3"/>
      <c r="JOA111" s="3"/>
      <c r="JOB111" s="3"/>
      <c r="JOC111" s="3"/>
      <c r="JOD111" s="3"/>
      <c r="JOE111" s="3"/>
      <c r="JOF111" s="3"/>
      <c r="JOG111" s="3"/>
      <c r="JOH111" s="3"/>
      <c r="JOI111" s="3"/>
      <c r="JOJ111" s="3"/>
      <c r="JOK111" s="3"/>
      <c r="JOL111" s="3"/>
      <c r="JOM111" s="3"/>
      <c r="JON111" s="3"/>
      <c r="JOO111" s="3"/>
      <c r="JOP111" s="3"/>
      <c r="JOQ111" s="3"/>
      <c r="JOR111" s="3"/>
      <c r="JOS111" s="3"/>
      <c r="JOT111" s="3"/>
      <c r="JOU111" s="3"/>
      <c r="JOV111" s="3"/>
      <c r="JOW111" s="3"/>
      <c r="JOX111" s="3"/>
      <c r="JOY111" s="3"/>
      <c r="JOZ111" s="3"/>
      <c r="JPA111" s="3"/>
      <c r="JPB111" s="3"/>
      <c r="JPC111" s="3"/>
      <c r="JPD111" s="3"/>
      <c r="JPE111" s="3"/>
      <c r="JPF111" s="3"/>
      <c r="JPG111" s="3"/>
      <c r="JPH111" s="3"/>
      <c r="JPI111" s="3"/>
      <c r="JPJ111" s="3"/>
      <c r="JPK111" s="3"/>
      <c r="JPL111" s="3"/>
      <c r="JPM111" s="3"/>
      <c r="JPN111" s="3"/>
      <c r="JPO111" s="3"/>
      <c r="JPP111" s="3"/>
      <c r="JPQ111" s="3"/>
      <c r="JPR111" s="3"/>
      <c r="JPS111" s="3"/>
      <c r="JPT111" s="3"/>
      <c r="JPU111" s="3"/>
      <c r="JPV111" s="3"/>
      <c r="JPW111" s="3"/>
      <c r="JPX111" s="3"/>
      <c r="JPY111" s="3"/>
      <c r="JPZ111" s="3"/>
      <c r="JQA111" s="3"/>
      <c r="JQB111" s="3"/>
      <c r="JQC111" s="3"/>
      <c r="JQD111" s="3"/>
      <c r="JQE111" s="3"/>
      <c r="JQF111" s="3"/>
      <c r="JQG111" s="3"/>
      <c r="JQH111" s="3"/>
      <c r="JQI111" s="3"/>
      <c r="JQJ111" s="3"/>
      <c r="JQK111" s="3"/>
      <c r="JQL111" s="3"/>
      <c r="JQM111" s="3"/>
      <c r="JQN111" s="3"/>
      <c r="JQO111" s="3"/>
      <c r="JQP111" s="3"/>
      <c r="JQQ111" s="3"/>
      <c r="JQR111" s="3"/>
      <c r="JQS111" s="3"/>
      <c r="JQT111" s="3"/>
      <c r="JQU111" s="3"/>
      <c r="JQV111" s="3"/>
      <c r="JQW111" s="3"/>
      <c r="JQX111" s="3"/>
      <c r="JQY111" s="3"/>
      <c r="JQZ111" s="3"/>
      <c r="JRA111" s="3"/>
      <c r="JRB111" s="3"/>
      <c r="JRC111" s="3"/>
      <c r="JRD111" s="3"/>
      <c r="JRE111" s="3"/>
      <c r="JRF111" s="3"/>
      <c r="JRG111" s="3"/>
      <c r="JRH111" s="3"/>
      <c r="JRI111" s="3"/>
      <c r="JRJ111" s="3"/>
      <c r="JRK111" s="3"/>
      <c r="JRL111" s="3"/>
      <c r="JRM111" s="3"/>
      <c r="JRN111" s="3"/>
      <c r="JRO111" s="3"/>
      <c r="JRP111" s="3"/>
      <c r="JRQ111" s="3"/>
      <c r="JRR111" s="3"/>
      <c r="JRS111" s="3"/>
      <c r="JRT111" s="3"/>
      <c r="JRU111" s="3"/>
      <c r="JRV111" s="3"/>
      <c r="JRW111" s="3"/>
      <c r="JRX111" s="3"/>
      <c r="JRY111" s="3"/>
      <c r="JRZ111" s="3"/>
      <c r="JSA111" s="3"/>
      <c r="JSB111" s="3"/>
      <c r="JSC111" s="3"/>
      <c r="JSD111" s="3"/>
      <c r="JSE111" s="3"/>
      <c r="JSF111" s="3"/>
      <c r="JSG111" s="3"/>
      <c r="JSH111" s="3"/>
      <c r="JSI111" s="3"/>
      <c r="JSJ111" s="3"/>
      <c r="JSK111" s="3"/>
      <c r="JSL111" s="3"/>
      <c r="JSM111" s="3"/>
      <c r="JSN111" s="3"/>
      <c r="JSO111" s="3"/>
      <c r="JSP111" s="3"/>
      <c r="JSQ111" s="3"/>
      <c r="JSR111" s="3"/>
      <c r="JSS111" s="3"/>
      <c r="JST111" s="3"/>
      <c r="JSU111" s="3"/>
      <c r="JSV111" s="3"/>
      <c r="JSW111" s="3"/>
      <c r="JSX111" s="3"/>
      <c r="JSY111" s="3"/>
      <c r="JSZ111" s="3"/>
      <c r="JTA111" s="3"/>
      <c r="JTB111" s="3"/>
      <c r="JTC111" s="3"/>
      <c r="JTD111" s="3"/>
      <c r="JTE111" s="3"/>
      <c r="JTF111" s="3"/>
      <c r="JTG111" s="3"/>
      <c r="JTH111" s="3"/>
      <c r="JTI111" s="3"/>
      <c r="JTJ111" s="3"/>
      <c r="JTK111" s="3"/>
      <c r="JTL111" s="3"/>
      <c r="JTM111" s="3"/>
      <c r="JTN111" s="3"/>
      <c r="JTO111" s="3"/>
      <c r="JTP111" s="3"/>
      <c r="JTQ111" s="3"/>
      <c r="JTR111" s="3"/>
      <c r="JTS111" s="3"/>
      <c r="JTT111" s="3"/>
      <c r="JTU111" s="3"/>
      <c r="JTV111" s="3"/>
      <c r="JTW111" s="3"/>
      <c r="JTX111" s="3"/>
      <c r="JTY111" s="3"/>
      <c r="JTZ111" s="3"/>
      <c r="JUA111" s="3"/>
      <c r="JUB111" s="3"/>
      <c r="JUC111" s="3"/>
      <c r="JUD111" s="3"/>
      <c r="JUE111" s="3"/>
      <c r="JUF111" s="3"/>
      <c r="JUG111" s="3"/>
      <c r="JUH111" s="3"/>
      <c r="JUI111" s="3"/>
      <c r="JUJ111" s="3"/>
      <c r="JUK111" s="3"/>
      <c r="JUL111" s="3"/>
      <c r="JUM111" s="3"/>
      <c r="JUN111" s="3"/>
      <c r="JUO111" s="3"/>
      <c r="JUP111" s="3"/>
      <c r="JUQ111" s="3"/>
      <c r="JUR111" s="3"/>
      <c r="JUS111" s="3"/>
      <c r="JUT111" s="3"/>
      <c r="JUU111" s="3"/>
      <c r="JUV111" s="3"/>
      <c r="JUW111" s="3"/>
      <c r="JUX111" s="3"/>
      <c r="JUY111" s="3"/>
      <c r="JUZ111" s="3"/>
      <c r="JVA111" s="3"/>
      <c r="JVB111" s="3"/>
      <c r="JVC111" s="3"/>
      <c r="JVD111" s="3"/>
      <c r="JVE111" s="3"/>
      <c r="JVF111" s="3"/>
      <c r="JVG111" s="3"/>
      <c r="JVH111" s="3"/>
      <c r="JVI111" s="3"/>
      <c r="JVJ111" s="3"/>
      <c r="JVK111" s="3"/>
      <c r="JVL111" s="3"/>
      <c r="JVM111" s="3"/>
      <c r="JVN111" s="3"/>
      <c r="JVO111" s="3"/>
      <c r="JVP111" s="3"/>
      <c r="JVQ111" s="3"/>
      <c r="JVR111" s="3"/>
      <c r="JVS111" s="3"/>
      <c r="JVT111" s="3"/>
      <c r="JVU111" s="3"/>
      <c r="JVV111" s="3"/>
      <c r="JVW111" s="3"/>
      <c r="JVX111" s="3"/>
      <c r="JVY111" s="3"/>
      <c r="JVZ111" s="3"/>
      <c r="JWA111" s="3"/>
      <c r="JWB111" s="3"/>
      <c r="JWC111" s="3"/>
      <c r="JWD111" s="3"/>
      <c r="JWE111" s="3"/>
      <c r="JWF111" s="3"/>
      <c r="JWG111" s="3"/>
      <c r="JWH111" s="3"/>
      <c r="JWI111" s="3"/>
      <c r="JWJ111" s="3"/>
      <c r="JWK111" s="3"/>
      <c r="JWL111" s="3"/>
      <c r="JWM111" s="3"/>
      <c r="JWN111" s="3"/>
      <c r="JWO111" s="3"/>
      <c r="JWP111" s="3"/>
      <c r="JWQ111" s="3"/>
      <c r="JWR111" s="3"/>
      <c r="JWS111" s="3"/>
      <c r="JWT111" s="3"/>
      <c r="JWU111" s="3"/>
      <c r="JWV111" s="3"/>
      <c r="JWW111" s="3"/>
      <c r="JWX111" s="3"/>
      <c r="JWY111" s="3"/>
      <c r="JWZ111" s="3"/>
      <c r="JXA111" s="3"/>
      <c r="JXB111" s="3"/>
      <c r="JXC111" s="3"/>
      <c r="JXD111" s="3"/>
      <c r="JXE111" s="3"/>
      <c r="JXF111" s="3"/>
      <c r="JXG111" s="3"/>
      <c r="JXH111" s="3"/>
      <c r="JXI111" s="3"/>
      <c r="JXJ111" s="3"/>
      <c r="JXK111" s="3"/>
      <c r="JXL111" s="3"/>
      <c r="JXM111" s="3"/>
      <c r="JXN111" s="3"/>
      <c r="JXO111" s="3"/>
      <c r="JXP111" s="3"/>
      <c r="JXQ111" s="3"/>
      <c r="JXR111" s="3"/>
      <c r="JXS111" s="3"/>
      <c r="JXT111" s="3"/>
      <c r="JXU111" s="3"/>
      <c r="JXV111" s="3"/>
      <c r="JXW111" s="3"/>
      <c r="JXX111" s="3"/>
      <c r="JXY111" s="3"/>
      <c r="JXZ111" s="3"/>
      <c r="JYA111" s="3"/>
      <c r="JYB111" s="3"/>
      <c r="JYC111" s="3"/>
      <c r="JYD111" s="3"/>
      <c r="JYE111" s="3"/>
      <c r="JYF111" s="3"/>
      <c r="JYG111" s="3"/>
      <c r="JYH111" s="3"/>
      <c r="JYI111" s="3"/>
      <c r="JYJ111" s="3"/>
      <c r="JYK111" s="3"/>
      <c r="JYL111" s="3"/>
      <c r="JYM111" s="3"/>
      <c r="JYN111" s="3"/>
      <c r="JYO111" s="3"/>
      <c r="JYP111" s="3"/>
      <c r="JYQ111" s="3"/>
      <c r="JYR111" s="3"/>
      <c r="JYS111" s="3"/>
      <c r="JYT111" s="3"/>
      <c r="JYU111" s="3"/>
      <c r="JYV111" s="3"/>
      <c r="JYW111" s="3"/>
      <c r="JYX111" s="3"/>
      <c r="JYY111" s="3"/>
      <c r="JYZ111" s="3"/>
      <c r="JZA111" s="3"/>
      <c r="JZB111" s="3"/>
      <c r="JZC111" s="3"/>
      <c r="JZD111" s="3"/>
      <c r="JZE111" s="3"/>
      <c r="JZF111" s="3"/>
      <c r="JZG111" s="3"/>
      <c r="JZH111" s="3"/>
      <c r="JZI111" s="3"/>
      <c r="JZJ111" s="3"/>
      <c r="JZK111" s="3"/>
      <c r="JZL111" s="3"/>
      <c r="JZM111" s="3"/>
      <c r="JZN111" s="3"/>
      <c r="JZO111" s="3"/>
      <c r="JZP111" s="3"/>
      <c r="JZQ111" s="3"/>
      <c r="JZR111" s="3"/>
      <c r="JZS111" s="3"/>
      <c r="JZT111" s="3"/>
      <c r="JZU111" s="3"/>
      <c r="JZV111" s="3"/>
      <c r="JZW111" s="3"/>
      <c r="JZX111" s="3"/>
      <c r="JZY111" s="3"/>
      <c r="JZZ111" s="3"/>
      <c r="KAA111" s="3"/>
      <c r="KAB111" s="3"/>
      <c r="KAC111" s="3"/>
      <c r="KAD111" s="3"/>
      <c r="KAE111" s="3"/>
      <c r="KAF111" s="3"/>
      <c r="KAG111" s="3"/>
      <c r="KAH111" s="3"/>
      <c r="KAI111" s="3"/>
      <c r="KAJ111" s="3"/>
      <c r="KAK111" s="3"/>
      <c r="KAL111" s="3"/>
      <c r="KAM111" s="3"/>
      <c r="KAN111" s="3"/>
      <c r="KAO111" s="3"/>
      <c r="KAP111" s="3"/>
      <c r="KAQ111" s="3"/>
      <c r="KAR111" s="3"/>
      <c r="KAS111" s="3"/>
      <c r="KAT111" s="3"/>
      <c r="KAU111" s="3"/>
      <c r="KAV111" s="3"/>
      <c r="KAW111" s="3"/>
      <c r="KAX111" s="3"/>
      <c r="KAY111" s="3"/>
      <c r="KAZ111" s="3"/>
      <c r="KBA111" s="3"/>
      <c r="KBB111" s="3"/>
      <c r="KBC111" s="3"/>
      <c r="KBD111" s="3"/>
      <c r="KBE111" s="3"/>
      <c r="KBF111" s="3"/>
      <c r="KBG111" s="3"/>
      <c r="KBH111" s="3"/>
      <c r="KBI111" s="3"/>
      <c r="KBJ111" s="3"/>
      <c r="KBK111" s="3"/>
      <c r="KBL111" s="3"/>
      <c r="KBM111" s="3"/>
      <c r="KBN111" s="3"/>
      <c r="KBO111" s="3"/>
      <c r="KBP111" s="3"/>
      <c r="KBQ111" s="3"/>
      <c r="KBR111" s="3"/>
      <c r="KBS111" s="3"/>
      <c r="KBT111" s="3"/>
      <c r="KBU111" s="3"/>
      <c r="KBV111" s="3"/>
      <c r="KBW111" s="3"/>
      <c r="KBX111" s="3"/>
      <c r="KBY111" s="3"/>
      <c r="KBZ111" s="3"/>
      <c r="KCA111" s="3"/>
      <c r="KCB111" s="3"/>
      <c r="KCC111" s="3"/>
      <c r="KCD111" s="3"/>
      <c r="KCE111" s="3"/>
      <c r="KCF111" s="3"/>
      <c r="KCG111" s="3"/>
      <c r="KCH111" s="3"/>
      <c r="KCI111" s="3"/>
      <c r="KCJ111" s="3"/>
      <c r="KCK111" s="3"/>
      <c r="KCL111" s="3"/>
      <c r="KCM111" s="3"/>
      <c r="KCN111" s="3"/>
      <c r="KCO111" s="3"/>
      <c r="KCP111" s="3"/>
      <c r="KCQ111" s="3"/>
      <c r="KCR111" s="3"/>
      <c r="KCS111" s="3"/>
      <c r="KCT111" s="3"/>
      <c r="KCU111" s="3"/>
      <c r="KCV111" s="3"/>
      <c r="KCW111" s="3"/>
      <c r="KCX111" s="3"/>
      <c r="KCY111" s="3"/>
      <c r="KCZ111" s="3"/>
      <c r="KDA111" s="3"/>
      <c r="KDB111" s="3"/>
      <c r="KDC111" s="3"/>
      <c r="KDD111" s="3"/>
      <c r="KDE111" s="3"/>
      <c r="KDF111" s="3"/>
      <c r="KDG111" s="3"/>
      <c r="KDH111" s="3"/>
      <c r="KDI111" s="3"/>
      <c r="KDJ111" s="3"/>
      <c r="KDK111" s="3"/>
      <c r="KDL111" s="3"/>
      <c r="KDM111" s="3"/>
      <c r="KDN111" s="3"/>
      <c r="KDO111" s="3"/>
      <c r="KDP111" s="3"/>
      <c r="KDQ111" s="3"/>
      <c r="KDR111" s="3"/>
      <c r="KDS111" s="3"/>
      <c r="KDT111" s="3"/>
      <c r="KDU111" s="3"/>
      <c r="KDV111" s="3"/>
      <c r="KDW111" s="3"/>
      <c r="KDX111" s="3"/>
      <c r="KDY111" s="3"/>
      <c r="KDZ111" s="3"/>
      <c r="KEA111" s="3"/>
      <c r="KEB111" s="3"/>
      <c r="KEC111" s="3"/>
      <c r="KED111" s="3"/>
      <c r="KEE111" s="3"/>
      <c r="KEF111" s="3"/>
      <c r="KEG111" s="3"/>
      <c r="KEH111" s="3"/>
      <c r="KEI111" s="3"/>
      <c r="KEJ111" s="3"/>
      <c r="KEK111" s="3"/>
      <c r="KEL111" s="3"/>
      <c r="KEM111" s="3"/>
      <c r="KEN111" s="3"/>
      <c r="KEO111" s="3"/>
      <c r="KEP111" s="3"/>
      <c r="KEQ111" s="3"/>
      <c r="KER111" s="3"/>
      <c r="KES111" s="3"/>
      <c r="KET111" s="3"/>
      <c r="KEU111" s="3"/>
      <c r="KEV111" s="3"/>
      <c r="KEW111" s="3"/>
      <c r="KEX111" s="3"/>
      <c r="KEY111" s="3"/>
      <c r="KEZ111" s="3"/>
      <c r="KFA111" s="3"/>
      <c r="KFB111" s="3"/>
      <c r="KFC111" s="3"/>
      <c r="KFD111" s="3"/>
      <c r="KFE111" s="3"/>
      <c r="KFF111" s="3"/>
      <c r="KFG111" s="3"/>
      <c r="KFH111" s="3"/>
      <c r="KFI111" s="3"/>
      <c r="KFJ111" s="3"/>
      <c r="KFK111" s="3"/>
      <c r="KFL111" s="3"/>
      <c r="KFM111" s="3"/>
      <c r="KFN111" s="3"/>
      <c r="KFO111" s="3"/>
      <c r="KFP111" s="3"/>
      <c r="KFQ111" s="3"/>
      <c r="KFR111" s="3"/>
      <c r="KFS111" s="3"/>
      <c r="KFT111" s="3"/>
      <c r="KFU111" s="3"/>
      <c r="KFV111" s="3"/>
      <c r="KFW111" s="3"/>
      <c r="KFX111" s="3"/>
      <c r="KFY111" s="3"/>
      <c r="KFZ111" s="3"/>
      <c r="KGA111" s="3"/>
      <c r="KGB111" s="3"/>
      <c r="KGC111" s="3"/>
      <c r="KGD111" s="3"/>
      <c r="KGE111" s="3"/>
      <c r="KGF111" s="3"/>
      <c r="KGG111" s="3"/>
      <c r="KGH111" s="3"/>
      <c r="KGI111" s="3"/>
      <c r="KGJ111" s="3"/>
      <c r="KGK111" s="3"/>
      <c r="KGL111" s="3"/>
      <c r="KGM111" s="3"/>
      <c r="KGN111" s="3"/>
      <c r="KGO111" s="3"/>
      <c r="KGP111" s="3"/>
      <c r="KGQ111" s="3"/>
      <c r="KGR111" s="3"/>
      <c r="KGS111" s="3"/>
      <c r="KGT111" s="3"/>
      <c r="KGU111" s="3"/>
      <c r="KGV111" s="3"/>
      <c r="KGW111" s="3"/>
      <c r="KGX111" s="3"/>
      <c r="KGY111" s="3"/>
      <c r="KGZ111" s="3"/>
      <c r="KHA111" s="3"/>
      <c r="KHB111" s="3"/>
      <c r="KHC111" s="3"/>
      <c r="KHD111" s="3"/>
      <c r="KHE111" s="3"/>
      <c r="KHF111" s="3"/>
      <c r="KHG111" s="3"/>
      <c r="KHH111" s="3"/>
      <c r="KHI111" s="3"/>
      <c r="KHJ111" s="3"/>
      <c r="KHK111" s="3"/>
      <c r="KHL111" s="3"/>
      <c r="KHM111" s="3"/>
      <c r="KHN111" s="3"/>
      <c r="KHO111" s="3"/>
      <c r="KHP111" s="3"/>
      <c r="KHQ111" s="3"/>
      <c r="KHR111" s="3"/>
      <c r="KHS111" s="3"/>
      <c r="KHT111" s="3"/>
      <c r="KHU111" s="3"/>
      <c r="KHV111" s="3"/>
      <c r="KHW111" s="3"/>
      <c r="KHX111" s="3"/>
      <c r="KHY111" s="3"/>
      <c r="KHZ111" s="3"/>
      <c r="KIA111" s="3"/>
      <c r="KIB111" s="3"/>
      <c r="KIC111" s="3"/>
      <c r="KID111" s="3"/>
      <c r="KIE111" s="3"/>
      <c r="KIF111" s="3"/>
      <c r="KIG111" s="3"/>
      <c r="KIH111" s="3"/>
      <c r="KII111" s="3"/>
      <c r="KIJ111" s="3"/>
      <c r="KIK111" s="3"/>
      <c r="KIL111" s="3"/>
      <c r="KIM111" s="3"/>
      <c r="KIN111" s="3"/>
      <c r="KIO111" s="3"/>
      <c r="KIP111" s="3"/>
      <c r="KIQ111" s="3"/>
      <c r="KIR111" s="3"/>
      <c r="KIS111" s="3"/>
      <c r="KIT111" s="3"/>
      <c r="KIU111" s="3"/>
      <c r="KIV111" s="3"/>
      <c r="KIW111" s="3"/>
      <c r="KIX111" s="3"/>
      <c r="KIY111" s="3"/>
      <c r="KIZ111" s="3"/>
      <c r="KJA111" s="3"/>
      <c r="KJB111" s="3"/>
      <c r="KJC111" s="3"/>
      <c r="KJD111" s="3"/>
      <c r="KJE111" s="3"/>
      <c r="KJF111" s="3"/>
      <c r="KJG111" s="3"/>
      <c r="KJH111" s="3"/>
      <c r="KJI111" s="3"/>
      <c r="KJJ111" s="3"/>
      <c r="KJK111" s="3"/>
      <c r="KJL111" s="3"/>
      <c r="KJM111" s="3"/>
      <c r="KJN111" s="3"/>
      <c r="KJO111" s="3"/>
      <c r="KJP111" s="3"/>
      <c r="KJQ111" s="3"/>
      <c r="KJR111" s="3"/>
      <c r="KJS111" s="3"/>
      <c r="KJT111" s="3"/>
      <c r="KJU111" s="3"/>
      <c r="KJV111" s="3"/>
      <c r="KJW111" s="3"/>
      <c r="KJX111" s="3"/>
      <c r="KJY111" s="3"/>
      <c r="KJZ111" s="3"/>
      <c r="KKA111" s="3"/>
      <c r="KKB111" s="3"/>
      <c r="KKC111" s="3"/>
      <c r="KKD111" s="3"/>
      <c r="KKE111" s="3"/>
      <c r="KKF111" s="3"/>
      <c r="KKG111" s="3"/>
      <c r="KKH111" s="3"/>
      <c r="KKI111" s="3"/>
      <c r="KKJ111" s="3"/>
      <c r="KKK111" s="3"/>
      <c r="KKL111" s="3"/>
      <c r="KKM111" s="3"/>
      <c r="KKN111" s="3"/>
      <c r="KKO111" s="3"/>
      <c r="KKP111" s="3"/>
      <c r="KKQ111" s="3"/>
      <c r="KKR111" s="3"/>
      <c r="KKS111" s="3"/>
      <c r="KKT111" s="3"/>
      <c r="KKU111" s="3"/>
      <c r="KKV111" s="3"/>
      <c r="KKW111" s="3"/>
      <c r="KKX111" s="3"/>
      <c r="KKY111" s="3"/>
      <c r="KKZ111" s="3"/>
      <c r="KLA111" s="3"/>
      <c r="KLB111" s="3"/>
      <c r="KLC111" s="3"/>
      <c r="KLD111" s="3"/>
      <c r="KLE111" s="3"/>
      <c r="KLF111" s="3"/>
      <c r="KLG111" s="3"/>
      <c r="KLH111" s="3"/>
      <c r="KLI111" s="3"/>
      <c r="KLJ111" s="3"/>
      <c r="KLK111" s="3"/>
      <c r="KLL111" s="3"/>
      <c r="KLM111" s="3"/>
      <c r="KLN111" s="3"/>
      <c r="KLO111" s="3"/>
      <c r="KLP111" s="3"/>
      <c r="KLQ111" s="3"/>
      <c r="KLR111" s="3"/>
      <c r="KLS111" s="3"/>
      <c r="KLT111" s="3"/>
      <c r="KLU111" s="3"/>
      <c r="KLV111" s="3"/>
      <c r="KLW111" s="3"/>
      <c r="KLX111" s="3"/>
      <c r="KLY111" s="3"/>
      <c r="KLZ111" s="3"/>
      <c r="KMA111" s="3"/>
      <c r="KMB111" s="3"/>
      <c r="KMC111" s="3"/>
      <c r="KMD111" s="3"/>
      <c r="KME111" s="3"/>
      <c r="KMF111" s="3"/>
      <c r="KMG111" s="3"/>
      <c r="KMH111" s="3"/>
      <c r="KMI111" s="3"/>
      <c r="KMJ111" s="3"/>
      <c r="KMK111" s="3"/>
      <c r="KML111" s="3"/>
      <c r="KMM111" s="3"/>
      <c r="KMN111" s="3"/>
      <c r="KMO111" s="3"/>
      <c r="KMP111" s="3"/>
      <c r="KMQ111" s="3"/>
      <c r="KMR111" s="3"/>
      <c r="KMS111" s="3"/>
      <c r="KMT111" s="3"/>
      <c r="KMU111" s="3"/>
      <c r="KMV111" s="3"/>
      <c r="KMW111" s="3"/>
      <c r="KMX111" s="3"/>
      <c r="KMY111" s="3"/>
      <c r="KMZ111" s="3"/>
      <c r="KNA111" s="3"/>
      <c r="KNB111" s="3"/>
      <c r="KNC111" s="3"/>
      <c r="KND111" s="3"/>
      <c r="KNE111" s="3"/>
      <c r="KNF111" s="3"/>
      <c r="KNG111" s="3"/>
      <c r="KNH111" s="3"/>
      <c r="KNI111" s="3"/>
      <c r="KNJ111" s="3"/>
      <c r="KNK111" s="3"/>
      <c r="KNL111" s="3"/>
      <c r="KNM111" s="3"/>
      <c r="KNN111" s="3"/>
      <c r="KNO111" s="3"/>
      <c r="KNP111" s="3"/>
      <c r="KNQ111" s="3"/>
      <c r="KNR111" s="3"/>
      <c r="KNS111" s="3"/>
      <c r="KNT111" s="3"/>
      <c r="KNU111" s="3"/>
      <c r="KNV111" s="3"/>
      <c r="KNW111" s="3"/>
      <c r="KNX111" s="3"/>
      <c r="KNY111" s="3"/>
      <c r="KNZ111" s="3"/>
      <c r="KOA111" s="3"/>
      <c r="KOB111" s="3"/>
      <c r="KOC111" s="3"/>
      <c r="KOD111" s="3"/>
      <c r="KOE111" s="3"/>
      <c r="KOF111" s="3"/>
      <c r="KOG111" s="3"/>
      <c r="KOH111" s="3"/>
      <c r="KOI111" s="3"/>
      <c r="KOJ111" s="3"/>
      <c r="KOK111" s="3"/>
      <c r="KOL111" s="3"/>
      <c r="KOM111" s="3"/>
      <c r="KON111" s="3"/>
      <c r="KOO111" s="3"/>
      <c r="KOP111" s="3"/>
      <c r="KOQ111" s="3"/>
      <c r="KOR111" s="3"/>
      <c r="KOS111" s="3"/>
      <c r="KOT111" s="3"/>
      <c r="KOU111" s="3"/>
      <c r="KOV111" s="3"/>
      <c r="KOW111" s="3"/>
      <c r="KOX111" s="3"/>
      <c r="KOY111" s="3"/>
      <c r="KOZ111" s="3"/>
      <c r="KPA111" s="3"/>
      <c r="KPB111" s="3"/>
      <c r="KPC111" s="3"/>
      <c r="KPD111" s="3"/>
      <c r="KPE111" s="3"/>
      <c r="KPF111" s="3"/>
      <c r="KPG111" s="3"/>
      <c r="KPH111" s="3"/>
      <c r="KPI111" s="3"/>
      <c r="KPJ111" s="3"/>
      <c r="KPK111" s="3"/>
      <c r="KPL111" s="3"/>
      <c r="KPM111" s="3"/>
      <c r="KPN111" s="3"/>
      <c r="KPO111" s="3"/>
      <c r="KPP111" s="3"/>
      <c r="KPQ111" s="3"/>
      <c r="KPR111" s="3"/>
      <c r="KPS111" s="3"/>
      <c r="KPT111" s="3"/>
      <c r="KPU111" s="3"/>
      <c r="KPV111" s="3"/>
      <c r="KPW111" s="3"/>
      <c r="KPX111" s="3"/>
      <c r="KPY111" s="3"/>
      <c r="KPZ111" s="3"/>
      <c r="KQA111" s="3"/>
      <c r="KQB111" s="3"/>
      <c r="KQC111" s="3"/>
      <c r="KQD111" s="3"/>
      <c r="KQE111" s="3"/>
      <c r="KQF111" s="3"/>
      <c r="KQG111" s="3"/>
      <c r="KQH111" s="3"/>
      <c r="KQI111" s="3"/>
      <c r="KQJ111" s="3"/>
      <c r="KQK111" s="3"/>
      <c r="KQL111" s="3"/>
      <c r="KQM111" s="3"/>
      <c r="KQN111" s="3"/>
      <c r="KQO111" s="3"/>
      <c r="KQP111" s="3"/>
      <c r="KQQ111" s="3"/>
      <c r="KQR111" s="3"/>
      <c r="KQS111" s="3"/>
      <c r="KQT111" s="3"/>
      <c r="KQU111" s="3"/>
      <c r="KQV111" s="3"/>
      <c r="KQW111" s="3"/>
      <c r="KQX111" s="3"/>
      <c r="KQY111" s="3"/>
      <c r="KQZ111" s="3"/>
      <c r="KRA111" s="3"/>
      <c r="KRB111" s="3"/>
      <c r="KRC111" s="3"/>
      <c r="KRD111" s="3"/>
      <c r="KRE111" s="3"/>
      <c r="KRF111" s="3"/>
      <c r="KRG111" s="3"/>
      <c r="KRH111" s="3"/>
      <c r="KRI111" s="3"/>
      <c r="KRJ111" s="3"/>
      <c r="KRK111" s="3"/>
      <c r="KRL111" s="3"/>
      <c r="KRM111" s="3"/>
      <c r="KRN111" s="3"/>
      <c r="KRO111" s="3"/>
      <c r="KRP111" s="3"/>
      <c r="KRQ111" s="3"/>
      <c r="KRR111" s="3"/>
      <c r="KRS111" s="3"/>
      <c r="KRT111" s="3"/>
      <c r="KRU111" s="3"/>
      <c r="KRV111" s="3"/>
      <c r="KRW111" s="3"/>
      <c r="KRX111" s="3"/>
      <c r="KRY111" s="3"/>
      <c r="KRZ111" s="3"/>
      <c r="KSA111" s="3"/>
      <c r="KSB111" s="3"/>
      <c r="KSC111" s="3"/>
      <c r="KSD111" s="3"/>
      <c r="KSE111" s="3"/>
      <c r="KSF111" s="3"/>
      <c r="KSG111" s="3"/>
      <c r="KSH111" s="3"/>
      <c r="KSI111" s="3"/>
      <c r="KSJ111" s="3"/>
      <c r="KSK111" s="3"/>
      <c r="KSL111" s="3"/>
      <c r="KSM111" s="3"/>
      <c r="KSN111" s="3"/>
      <c r="KSO111" s="3"/>
      <c r="KSP111" s="3"/>
      <c r="KSQ111" s="3"/>
      <c r="KSR111" s="3"/>
      <c r="KSS111" s="3"/>
      <c r="KST111" s="3"/>
      <c r="KSU111" s="3"/>
      <c r="KSV111" s="3"/>
      <c r="KSW111" s="3"/>
      <c r="KSX111" s="3"/>
      <c r="KSY111" s="3"/>
      <c r="KSZ111" s="3"/>
      <c r="KTA111" s="3"/>
      <c r="KTB111" s="3"/>
      <c r="KTC111" s="3"/>
      <c r="KTD111" s="3"/>
      <c r="KTE111" s="3"/>
      <c r="KTF111" s="3"/>
      <c r="KTG111" s="3"/>
      <c r="KTH111" s="3"/>
      <c r="KTI111" s="3"/>
      <c r="KTJ111" s="3"/>
      <c r="KTK111" s="3"/>
      <c r="KTL111" s="3"/>
      <c r="KTM111" s="3"/>
      <c r="KTN111" s="3"/>
      <c r="KTO111" s="3"/>
      <c r="KTP111" s="3"/>
      <c r="KTQ111" s="3"/>
      <c r="KTR111" s="3"/>
      <c r="KTS111" s="3"/>
      <c r="KTT111" s="3"/>
      <c r="KTU111" s="3"/>
      <c r="KTV111" s="3"/>
      <c r="KTW111" s="3"/>
      <c r="KTX111" s="3"/>
      <c r="KTY111" s="3"/>
      <c r="KTZ111" s="3"/>
      <c r="KUA111" s="3"/>
      <c r="KUB111" s="3"/>
      <c r="KUC111" s="3"/>
      <c r="KUD111" s="3"/>
      <c r="KUE111" s="3"/>
      <c r="KUF111" s="3"/>
      <c r="KUG111" s="3"/>
      <c r="KUH111" s="3"/>
      <c r="KUI111" s="3"/>
      <c r="KUJ111" s="3"/>
      <c r="KUK111" s="3"/>
      <c r="KUL111" s="3"/>
      <c r="KUM111" s="3"/>
      <c r="KUN111" s="3"/>
      <c r="KUO111" s="3"/>
      <c r="KUP111" s="3"/>
      <c r="KUQ111" s="3"/>
      <c r="KUR111" s="3"/>
      <c r="KUS111" s="3"/>
      <c r="KUT111" s="3"/>
      <c r="KUU111" s="3"/>
      <c r="KUV111" s="3"/>
      <c r="KUW111" s="3"/>
      <c r="KUX111" s="3"/>
      <c r="KUY111" s="3"/>
      <c r="KUZ111" s="3"/>
      <c r="KVA111" s="3"/>
      <c r="KVB111" s="3"/>
      <c r="KVC111" s="3"/>
      <c r="KVD111" s="3"/>
      <c r="KVE111" s="3"/>
      <c r="KVF111" s="3"/>
      <c r="KVG111" s="3"/>
      <c r="KVH111" s="3"/>
      <c r="KVI111" s="3"/>
      <c r="KVJ111" s="3"/>
      <c r="KVK111" s="3"/>
      <c r="KVL111" s="3"/>
      <c r="KVM111" s="3"/>
      <c r="KVN111" s="3"/>
      <c r="KVO111" s="3"/>
      <c r="KVP111" s="3"/>
      <c r="KVQ111" s="3"/>
      <c r="KVR111" s="3"/>
      <c r="KVS111" s="3"/>
      <c r="KVT111" s="3"/>
      <c r="KVU111" s="3"/>
      <c r="KVV111" s="3"/>
      <c r="KVW111" s="3"/>
      <c r="KVX111" s="3"/>
      <c r="KVY111" s="3"/>
      <c r="KVZ111" s="3"/>
      <c r="KWA111" s="3"/>
      <c r="KWB111" s="3"/>
      <c r="KWC111" s="3"/>
      <c r="KWD111" s="3"/>
      <c r="KWE111" s="3"/>
      <c r="KWF111" s="3"/>
      <c r="KWG111" s="3"/>
      <c r="KWH111" s="3"/>
      <c r="KWI111" s="3"/>
      <c r="KWJ111" s="3"/>
      <c r="KWK111" s="3"/>
      <c r="KWL111" s="3"/>
      <c r="KWM111" s="3"/>
      <c r="KWN111" s="3"/>
      <c r="KWO111" s="3"/>
      <c r="KWP111" s="3"/>
      <c r="KWQ111" s="3"/>
      <c r="KWR111" s="3"/>
      <c r="KWS111" s="3"/>
      <c r="KWT111" s="3"/>
      <c r="KWU111" s="3"/>
      <c r="KWV111" s="3"/>
      <c r="KWW111" s="3"/>
      <c r="KWX111" s="3"/>
      <c r="KWY111" s="3"/>
      <c r="KWZ111" s="3"/>
      <c r="KXA111" s="3"/>
      <c r="KXB111" s="3"/>
      <c r="KXC111" s="3"/>
      <c r="KXD111" s="3"/>
      <c r="KXE111" s="3"/>
      <c r="KXF111" s="3"/>
      <c r="KXG111" s="3"/>
      <c r="KXH111" s="3"/>
      <c r="KXI111" s="3"/>
      <c r="KXJ111" s="3"/>
      <c r="KXK111" s="3"/>
      <c r="KXL111" s="3"/>
      <c r="KXM111" s="3"/>
      <c r="KXN111" s="3"/>
      <c r="KXO111" s="3"/>
      <c r="KXP111" s="3"/>
      <c r="KXQ111" s="3"/>
      <c r="KXR111" s="3"/>
      <c r="KXS111" s="3"/>
      <c r="KXT111" s="3"/>
      <c r="KXU111" s="3"/>
      <c r="KXV111" s="3"/>
      <c r="KXW111" s="3"/>
      <c r="KXX111" s="3"/>
      <c r="KXY111" s="3"/>
      <c r="KXZ111" s="3"/>
      <c r="KYA111" s="3"/>
      <c r="KYB111" s="3"/>
      <c r="KYC111" s="3"/>
      <c r="KYD111" s="3"/>
      <c r="KYE111" s="3"/>
      <c r="KYF111" s="3"/>
      <c r="KYG111" s="3"/>
      <c r="KYH111" s="3"/>
      <c r="KYI111" s="3"/>
      <c r="KYJ111" s="3"/>
      <c r="KYK111" s="3"/>
      <c r="KYL111" s="3"/>
      <c r="KYM111" s="3"/>
      <c r="KYN111" s="3"/>
      <c r="KYO111" s="3"/>
      <c r="KYP111" s="3"/>
      <c r="KYQ111" s="3"/>
      <c r="KYR111" s="3"/>
      <c r="KYS111" s="3"/>
      <c r="KYT111" s="3"/>
      <c r="KYU111" s="3"/>
      <c r="KYV111" s="3"/>
      <c r="KYW111" s="3"/>
      <c r="KYX111" s="3"/>
      <c r="KYY111" s="3"/>
      <c r="KYZ111" s="3"/>
      <c r="KZA111" s="3"/>
      <c r="KZB111" s="3"/>
      <c r="KZC111" s="3"/>
      <c r="KZD111" s="3"/>
      <c r="KZE111" s="3"/>
      <c r="KZF111" s="3"/>
      <c r="KZG111" s="3"/>
      <c r="KZH111" s="3"/>
      <c r="KZI111" s="3"/>
      <c r="KZJ111" s="3"/>
      <c r="KZK111" s="3"/>
      <c r="KZL111" s="3"/>
      <c r="KZM111" s="3"/>
      <c r="KZN111" s="3"/>
      <c r="KZO111" s="3"/>
      <c r="KZP111" s="3"/>
      <c r="KZQ111" s="3"/>
      <c r="KZR111" s="3"/>
      <c r="KZS111" s="3"/>
      <c r="KZT111" s="3"/>
      <c r="KZU111" s="3"/>
      <c r="KZV111" s="3"/>
      <c r="KZW111" s="3"/>
      <c r="KZX111" s="3"/>
      <c r="KZY111" s="3"/>
      <c r="KZZ111" s="3"/>
      <c r="LAA111" s="3"/>
      <c r="LAB111" s="3"/>
      <c r="LAC111" s="3"/>
      <c r="LAD111" s="3"/>
      <c r="LAE111" s="3"/>
      <c r="LAF111" s="3"/>
      <c r="LAG111" s="3"/>
      <c r="LAH111" s="3"/>
      <c r="LAI111" s="3"/>
      <c r="LAJ111" s="3"/>
      <c r="LAK111" s="3"/>
      <c r="LAL111" s="3"/>
      <c r="LAM111" s="3"/>
      <c r="LAN111" s="3"/>
      <c r="LAO111" s="3"/>
      <c r="LAP111" s="3"/>
      <c r="LAQ111" s="3"/>
      <c r="LAR111" s="3"/>
      <c r="LAS111" s="3"/>
      <c r="LAT111" s="3"/>
      <c r="LAU111" s="3"/>
      <c r="LAV111" s="3"/>
      <c r="LAW111" s="3"/>
      <c r="LAX111" s="3"/>
      <c r="LAY111" s="3"/>
      <c r="LAZ111" s="3"/>
      <c r="LBA111" s="3"/>
      <c r="LBB111" s="3"/>
      <c r="LBC111" s="3"/>
      <c r="LBD111" s="3"/>
      <c r="LBE111" s="3"/>
      <c r="LBF111" s="3"/>
      <c r="LBG111" s="3"/>
      <c r="LBH111" s="3"/>
      <c r="LBI111" s="3"/>
      <c r="LBJ111" s="3"/>
      <c r="LBK111" s="3"/>
      <c r="LBL111" s="3"/>
      <c r="LBM111" s="3"/>
      <c r="LBN111" s="3"/>
      <c r="LBO111" s="3"/>
      <c r="LBP111" s="3"/>
      <c r="LBQ111" s="3"/>
      <c r="LBR111" s="3"/>
      <c r="LBS111" s="3"/>
      <c r="LBT111" s="3"/>
      <c r="LBU111" s="3"/>
      <c r="LBV111" s="3"/>
      <c r="LBW111" s="3"/>
      <c r="LBX111" s="3"/>
      <c r="LBY111" s="3"/>
      <c r="LBZ111" s="3"/>
      <c r="LCA111" s="3"/>
      <c r="LCB111" s="3"/>
      <c r="LCC111" s="3"/>
      <c r="LCD111" s="3"/>
      <c r="LCE111" s="3"/>
      <c r="LCF111" s="3"/>
      <c r="LCG111" s="3"/>
      <c r="LCH111" s="3"/>
      <c r="LCI111" s="3"/>
      <c r="LCJ111" s="3"/>
      <c r="LCK111" s="3"/>
      <c r="LCL111" s="3"/>
      <c r="LCM111" s="3"/>
      <c r="LCN111" s="3"/>
      <c r="LCO111" s="3"/>
      <c r="LCP111" s="3"/>
      <c r="LCQ111" s="3"/>
      <c r="LCR111" s="3"/>
      <c r="LCS111" s="3"/>
      <c r="LCT111" s="3"/>
      <c r="LCU111" s="3"/>
      <c r="LCV111" s="3"/>
      <c r="LCW111" s="3"/>
      <c r="LCX111" s="3"/>
      <c r="LCY111" s="3"/>
      <c r="LCZ111" s="3"/>
      <c r="LDA111" s="3"/>
      <c r="LDB111" s="3"/>
      <c r="LDC111" s="3"/>
      <c r="LDD111" s="3"/>
      <c r="LDE111" s="3"/>
      <c r="LDF111" s="3"/>
      <c r="LDG111" s="3"/>
      <c r="LDH111" s="3"/>
      <c r="LDI111" s="3"/>
      <c r="LDJ111" s="3"/>
      <c r="LDK111" s="3"/>
      <c r="LDL111" s="3"/>
      <c r="LDM111" s="3"/>
      <c r="LDN111" s="3"/>
      <c r="LDO111" s="3"/>
      <c r="LDP111" s="3"/>
      <c r="LDQ111" s="3"/>
      <c r="LDR111" s="3"/>
      <c r="LDS111" s="3"/>
      <c r="LDT111" s="3"/>
      <c r="LDU111" s="3"/>
      <c r="LDV111" s="3"/>
      <c r="LDW111" s="3"/>
      <c r="LDX111" s="3"/>
      <c r="LDY111" s="3"/>
      <c r="LDZ111" s="3"/>
      <c r="LEA111" s="3"/>
      <c r="LEB111" s="3"/>
      <c r="LEC111" s="3"/>
      <c r="LED111" s="3"/>
      <c r="LEE111" s="3"/>
      <c r="LEF111" s="3"/>
      <c r="LEG111" s="3"/>
      <c r="LEH111" s="3"/>
      <c r="LEI111" s="3"/>
      <c r="LEJ111" s="3"/>
      <c r="LEK111" s="3"/>
      <c r="LEL111" s="3"/>
      <c r="LEM111" s="3"/>
      <c r="LEN111" s="3"/>
      <c r="LEO111" s="3"/>
      <c r="LEP111" s="3"/>
      <c r="LEQ111" s="3"/>
      <c r="LER111" s="3"/>
      <c r="LES111" s="3"/>
      <c r="LET111" s="3"/>
      <c r="LEU111" s="3"/>
      <c r="LEV111" s="3"/>
      <c r="LEW111" s="3"/>
      <c r="LEX111" s="3"/>
      <c r="LEY111" s="3"/>
      <c r="LEZ111" s="3"/>
      <c r="LFA111" s="3"/>
      <c r="LFB111" s="3"/>
      <c r="LFC111" s="3"/>
      <c r="LFD111" s="3"/>
      <c r="LFE111" s="3"/>
      <c r="LFF111" s="3"/>
      <c r="LFG111" s="3"/>
      <c r="LFH111" s="3"/>
      <c r="LFI111" s="3"/>
      <c r="LFJ111" s="3"/>
      <c r="LFK111" s="3"/>
      <c r="LFL111" s="3"/>
      <c r="LFM111" s="3"/>
      <c r="LFN111" s="3"/>
      <c r="LFO111" s="3"/>
      <c r="LFP111" s="3"/>
      <c r="LFQ111" s="3"/>
      <c r="LFR111" s="3"/>
      <c r="LFS111" s="3"/>
      <c r="LFT111" s="3"/>
      <c r="LFU111" s="3"/>
      <c r="LFV111" s="3"/>
      <c r="LFW111" s="3"/>
      <c r="LFX111" s="3"/>
      <c r="LFY111" s="3"/>
      <c r="LFZ111" s="3"/>
      <c r="LGA111" s="3"/>
      <c r="LGB111" s="3"/>
      <c r="LGC111" s="3"/>
      <c r="LGD111" s="3"/>
      <c r="LGE111" s="3"/>
      <c r="LGF111" s="3"/>
      <c r="LGG111" s="3"/>
      <c r="LGH111" s="3"/>
      <c r="LGI111" s="3"/>
      <c r="LGJ111" s="3"/>
      <c r="LGK111" s="3"/>
      <c r="LGL111" s="3"/>
      <c r="LGM111" s="3"/>
      <c r="LGN111" s="3"/>
      <c r="LGO111" s="3"/>
      <c r="LGP111" s="3"/>
      <c r="LGQ111" s="3"/>
      <c r="LGR111" s="3"/>
      <c r="LGS111" s="3"/>
      <c r="LGT111" s="3"/>
      <c r="LGU111" s="3"/>
      <c r="LGV111" s="3"/>
      <c r="LGW111" s="3"/>
      <c r="LGX111" s="3"/>
      <c r="LGY111" s="3"/>
      <c r="LGZ111" s="3"/>
      <c r="LHA111" s="3"/>
      <c r="LHB111" s="3"/>
      <c r="LHC111" s="3"/>
      <c r="LHD111" s="3"/>
      <c r="LHE111" s="3"/>
      <c r="LHF111" s="3"/>
      <c r="LHG111" s="3"/>
      <c r="LHH111" s="3"/>
      <c r="LHI111" s="3"/>
      <c r="LHJ111" s="3"/>
      <c r="LHK111" s="3"/>
      <c r="LHL111" s="3"/>
      <c r="LHM111" s="3"/>
      <c r="LHN111" s="3"/>
      <c r="LHO111" s="3"/>
      <c r="LHP111" s="3"/>
      <c r="LHQ111" s="3"/>
      <c r="LHR111" s="3"/>
      <c r="LHS111" s="3"/>
      <c r="LHT111" s="3"/>
      <c r="LHU111" s="3"/>
      <c r="LHV111" s="3"/>
      <c r="LHW111" s="3"/>
      <c r="LHX111" s="3"/>
      <c r="LHY111" s="3"/>
      <c r="LHZ111" s="3"/>
      <c r="LIA111" s="3"/>
      <c r="LIB111" s="3"/>
      <c r="LIC111" s="3"/>
      <c r="LID111" s="3"/>
      <c r="LIE111" s="3"/>
      <c r="LIF111" s="3"/>
      <c r="LIG111" s="3"/>
      <c r="LIH111" s="3"/>
      <c r="LII111" s="3"/>
      <c r="LIJ111" s="3"/>
      <c r="LIK111" s="3"/>
      <c r="LIL111" s="3"/>
      <c r="LIM111" s="3"/>
      <c r="LIN111" s="3"/>
      <c r="LIO111" s="3"/>
      <c r="LIP111" s="3"/>
      <c r="LIQ111" s="3"/>
      <c r="LIR111" s="3"/>
      <c r="LIS111" s="3"/>
      <c r="LIT111" s="3"/>
      <c r="LIU111" s="3"/>
      <c r="LIV111" s="3"/>
      <c r="LIW111" s="3"/>
      <c r="LIX111" s="3"/>
      <c r="LIY111" s="3"/>
      <c r="LIZ111" s="3"/>
      <c r="LJA111" s="3"/>
      <c r="LJB111" s="3"/>
      <c r="LJC111" s="3"/>
      <c r="LJD111" s="3"/>
      <c r="LJE111" s="3"/>
      <c r="LJF111" s="3"/>
      <c r="LJG111" s="3"/>
      <c r="LJH111" s="3"/>
      <c r="LJI111" s="3"/>
      <c r="LJJ111" s="3"/>
      <c r="LJK111" s="3"/>
      <c r="LJL111" s="3"/>
      <c r="LJM111" s="3"/>
      <c r="LJN111" s="3"/>
      <c r="LJO111" s="3"/>
      <c r="LJP111" s="3"/>
      <c r="LJQ111" s="3"/>
      <c r="LJR111" s="3"/>
      <c r="LJS111" s="3"/>
      <c r="LJT111" s="3"/>
      <c r="LJU111" s="3"/>
      <c r="LJV111" s="3"/>
      <c r="LJW111" s="3"/>
      <c r="LJX111" s="3"/>
      <c r="LJY111" s="3"/>
      <c r="LJZ111" s="3"/>
      <c r="LKA111" s="3"/>
      <c r="LKB111" s="3"/>
      <c r="LKC111" s="3"/>
      <c r="LKD111" s="3"/>
      <c r="LKE111" s="3"/>
      <c r="LKF111" s="3"/>
      <c r="LKG111" s="3"/>
      <c r="LKH111" s="3"/>
      <c r="LKI111" s="3"/>
      <c r="LKJ111" s="3"/>
      <c r="LKK111" s="3"/>
      <c r="LKL111" s="3"/>
      <c r="LKM111" s="3"/>
      <c r="LKN111" s="3"/>
      <c r="LKO111" s="3"/>
      <c r="LKP111" s="3"/>
      <c r="LKQ111" s="3"/>
      <c r="LKR111" s="3"/>
      <c r="LKS111" s="3"/>
      <c r="LKT111" s="3"/>
      <c r="LKU111" s="3"/>
      <c r="LKV111" s="3"/>
      <c r="LKW111" s="3"/>
      <c r="LKX111" s="3"/>
      <c r="LKY111" s="3"/>
      <c r="LKZ111" s="3"/>
      <c r="LLA111" s="3"/>
      <c r="LLB111" s="3"/>
      <c r="LLC111" s="3"/>
      <c r="LLD111" s="3"/>
      <c r="LLE111" s="3"/>
      <c r="LLF111" s="3"/>
      <c r="LLG111" s="3"/>
      <c r="LLH111" s="3"/>
      <c r="LLI111" s="3"/>
      <c r="LLJ111" s="3"/>
      <c r="LLK111" s="3"/>
      <c r="LLL111" s="3"/>
      <c r="LLM111" s="3"/>
      <c r="LLN111" s="3"/>
      <c r="LLO111" s="3"/>
      <c r="LLP111" s="3"/>
      <c r="LLQ111" s="3"/>
      <c r="LLR111" s="3"/>
      <c r="LLS111" s="3"/>
      <c r="LLT111" s="3"/>
      <c r="LLU111" s="3"/>
      <c r="LLV111" s="3"/>
      <c r="LLW111" s="3"/>
      <c r="LLX111" s="3"/>
      <c r="LLY111" s="3"/>
      <c r="LLZ111" s="3"/>
      <c r="LMA111" s="3"/>
      <c r="LMB111" s="3"/>
      <c r="LMC111" s="3"/>
      <c r="LMD111" s="3"/>
      <c r="LME111" s="3"/>
      <c r="LMF111" s="3"/>
      <c r="LMG111" s="3"/>
      <c r="LMH111" s="3"/>
      <c r="LMI111" s="3"/>
      <c r="LMJ111" s="3"/>
      <c r="LMK111" s="3"/>
      <c r="LML111" s="3"/>
      <c r="LMM111" s="3"/>
      <c r="LMN111" s="3"/>
      <c r="LMO111" s="3"/>
      <c r="LMP111" s="3"/>
      <c r="LMQ111" s="3"/>
      <c r="LMR111" s="3"/>
      <c r="LMS111" s="3"/>
      <c r="LMT111" s="3"/>
      <c r="LMU111" s="3"/>
      <c r="LMV111" s="3"/>
      <c r="LMW111" s="3"/>
      <c r="LMX111" s="3"/>
      <c r="LMY111" s="3"/>
      <c r="LMZ111" s="3"/>
      <c r="LNA111" s="3"/>
      <c r="LNB111" s="3"/>
      <c r="LNC111" s="3"/>
      <c r="LND111" s="3"/>
      <c r="LNE111" s="3"/>
      <c r="LNF111" s="3"/>
      <c r="LNG111" s="3"/>
      <c r="LNH111" s="3"/>
      <c r="LNI111" s="3"/>
      <c r="LNJ111" s="3"/>
      <c r="LNK111" s="3"/>
      <c r="LNL111" s="3"/>
      <c r="LNM111" s="3"/>
      <c r="LNN111" s="3"/>
      <c r="LNO111" s="3"/>
      <c r="LNP111" s="3"/>
      <c r="LNQ111" s="3"/>
      <c r="LNR111" s="3"/>
      <c r="LNS111" s="3"/>
      <c r="LNT111" s="3"/>
      <c r="LNU111" s="3"/>
      <c r="LNV111" s="3"/>
      <c r="LNW111" s="3"/>
      <c r="LNX111" s="3"/>
      <c r="LNY111" s="3"/>
      <c r="LNZ111" s="3"/>
      <c r="LOA111" s="3"/>
      <c r="LOB111" s="3"/>
      <c r="LOC111" s="3"/>
      <c r="LOD111" s="3"/>
      <c r="LOE111" s="3"/>
      <c r="LOF111" s="3"/>
      <c r="LOG111" s="3"/>
      <c r="LOH111" s="3"/>
      <c r="LOI111" s="3"/>
      <c r="LOJ111" s="3"/>
      <c r="LOK111" s="3"/>
      <c r="LOL111" s="3"/>
      <c r="LOM111" s="3"/>
      <c r="LON111" s="3"/>
      <c r="LOO111" s="3"/>
      <c r="LOP111" s="3"/>
      <c r="LOQ111" s="3"/>
      <c r="LOR111" s="3"/>
      <c r="LOS111" s="3"/>
      <c r="LOT111" s="3"/>
      <c r="LOU111" s="3"/>
      <c r="LOV111" s="3"/>
      <c r="LOW111" s="3"/>
      <c r="LOX111" s="3"/>
      <c r="LOY111" s="3"/>
      <c r="LOZ111" s="3"/>
      <c r="LPA111" s="3"/>
      <c r="LPB111" s="3"/>
      <c r="LPC111" s="3"/>
      <c r="LPD111" s="3"/>
      <c r="LPE111" s="3"/>
      <c r="LPF111" s="3"/>
      <c r="LPG111" s="3"/>
      <c r="LPH111" s="3"/>
      <c r="LPI111" s="3"/>
      <c r="LPJ111" s="3"/>
      <c r="LPK111" s="3"/>
      <c r="LPL111" s="3"/>
      <c r="LPM111" s="3"/>
      <c r="LPN111" s="3"/>
      <c r="LPO111" s="3"/>
      <c r="LPP111" s="3"/>
      <c r="LPQ111" s="3"/>
      <c r="LPR111" s="3"/>
      <c r="LPS111" s="3"/>
      <c r="LPT111" s="3"/>
      <c r="LPU111" s="3"/>
      <c r="LPV111" s="3"/>
      <c r="LPW111" s="3"/>
      <c r="LPX111" s="3"/>
      <c r="LPY111" s="3"/>
      <c r="LPZ111" s="3"/>
      <c r="LQA111" s="3"/>
      <c r="LQB111" s="3"/>
      <c r="LQC111" s="3"/>
      <c r="LQD111" s="3"/>
      <c r="LQE111" s="3"/>
      <c r="LQF111" s="3"/>
      <c r="LQG111" s="3"/>
      <c r="LQH111" s="3"/>
      <c r="LQI111" s="3"/>
      <c r="LQJ111" s="3"/>
      <c r="LQK111" s="3"/>
      <c r="LQL111" s="3"/>
      <c r="LQM111" s="3"/>
      <c r="LQN111" s="3"/>
      <c r="LQO111" s="3"/>
      <c r="LQP111" s="3"/>
      <c r="LQQ111" s="3"/>
      <c r="LQR111" s="3"/>
      <c r="LQS111" s="3"/>
      <c r="LQT111" s="3"/>
      <c r="LQU111" s="3"/>
      <c r="LQV111" s="3"/>
      <c r="LQW111" s="3"/>
      <c r="LQX111" s="3"/>
      <c r="LQY111" s="3"/>
      <c r="LQZ111" s="3"/>
      <c r="LRA111" s="3"/>
      <c r="LRB111" s="3"/>
      <c r="LRC111" s="3"/>
      <c r="LRD111" s="3"/>
      <c r="LRE111" s="3"/>
      <c r="LRF111" s="3"/>
      <c r="LRG111" s="3"/>
      <c r="LRH111" s="3"/>
      <c r="LRI111" s="3"/>
      <c r="LRJ111" s="3"/>
      <c r="LRK111" s="3"/>
      <c r="LRL111" s="3"/>
      <c r="LRM111" s="3"/>
      <c r="LRN111" s="3"/>
      <c r="LRO111" s="3"/>
      <c r="LRP111" s="3"/>
      <c r="LRQ111" s="3"/>
      <c r="LRR111" s="3"/>
      <c r="LRS111" s="3"/>
      <c r="LRT111" s="3"/>
      <c r="LRU111" s="3"/>
      <c r="LRV111" s="3"/>
      <c r="LRW111" s="3"/>
      <c r="LRX111" s="3"/>
      <c r="LRY111" s="3"/>
      <c r="LRZ111" s="3"/>
      <c r="LSA111" s="3"/>
      <c r="LSB111" s="3"/>
      <c r="LSC111" s="3"/>
      <c r="LSD111" s="3"/>
      <c r="LSE111" s="3"/>
      <c r="LSF111" s="3"/>
      <c r="LSG111" s="3"/>
      <c r="LSH111" s="3"/>
      <c r="LSI111" s="3"/>
      <c r="LSJ111" s="3"/>
      <c r="LSK111" s="3"/>
      <c r="LSL111" s="3"/>
      <c r="LSM111" s="3"/>
      <c r="LSN111" s="3"/>
      <c r="LSO111" s="3"/>
      <c r="LSP111" s="3"/>
      <c r="LSQ111" s="3"/>
      <c r="LSR111" s="3"/>
      <c r="LSS111" s="3"/>
      <c r="LST111" s="3"/>
      <c r="LSU111" s="3"/>
      <c r="LSV111" s="3"/>
      <c r="LSW111" s="3"/>
      <c r="LSX111" s="3"/>
      <c r="LSY111" s="3"/>
      <c r="LSZ111" s="3"/>
      <c r="LTA111" s="3"/>
      <c r="LTB111" s="3"/>
      <c r="LTC111" s="3"/>
      <c r="LTD111" s="3"/>
      <c r="LTE111" s="3"/>
      <c r="LTF111" s="3"/>
      <c r="LTG111" s="3"/>
      <c r="LTH111" s="3"/>
      <c r="LTI111" s="3"/>
      <c r="LTJ111" s="3"/>
      <c r="LTK111" s="3"/>
      <c r="LTL111" s="3"/>
      <c r="LTM111" s="3"/>
      <c r="LTN111" s="3"/>
      <c r="LTO111" s="3"/>
      <c r="LTP111" s="3"/>
      <c r="LTQ111" s="3"/>
      <c r="LTR111" s="3"/>
      <c r="LTS111" s="3"/>
      <c r="LTT111" s="3"/>
      <c r="LTU111" s="3"/>
      <c r="LTV111" s="3"/>
      <c r="LTW111" s="3"/>
      <c r="LTX111" s="3"/>
      <c r="LTY111" s="3"/>
      <c r="LTZ111" s="3"/>
      <c r="LUA111" s="3"/>
      <c r="LUB111" s="3"/>
      <c r="LUC111" s="3"/>
      <c r="LUD111" s="3"/>
      <c r="LUE111" s="3"/>
      <c r="LUF111" s="3"/>
      <c r="LUG111" s="3"/>
      <c r="LUH111" s="3"/>
      <c r="LUI111" s="3"/>
      <c r="LUJ111" s="3"/>
      <c r="LUK111" s="3"/>
      <c r="LUL111" s="3"/>
      <c r="LUM111" s="3"/>
      <c r="LUN111" s="3"/>
      <c r="LUO111" s="3"/>
      <c r="LUP111" s="3"/>
      <c r="LUQ111" s="3"/>
      <c r="LUR111" s="3"/>
      <c r="LUS111" s="3"/>
      <c r="LUT111" s="3"/>
      <c r="LUU111" s="3"/>
      <c r="LUV111" s="3"/>
      <c r="LUW111" s="3"/>
      <c r="LUX111" s="3"/>
      <c r="LUY111" s="3"/>
      <c r="LUZ111" s="3"/>
      <c r="LVA111" s="3"/>
      <c r="LVB111" s="3"/>
      <c r="LVC111" s="3"/>
      <c r="LVD111" s="3"/>
      <c r="LVE111" s="3"/>
      <c r="LVF111" s="3"/>
      <c r="LVG111" s="3"/>
      <c r="LVH111" s="3"/>
      <c r="LVI111" s="3"/>
      <c r="LVJ111" s="3"/>
      <c r="LVK111" s="3"/>
      <c r="LVL111" s="3"/>
      <c r="LVM111" s="3"/>
      <c r="LVN111" s="3"/>
      <c r="LVO111" s="3"/>
      <c r="LVP111" s="3"/>
      <c r="LVQ111" s="3"/>
      <c r="LVR111" s="3"/>
      <c r="LVS111" s="3"/>
      <c r="LVT111" s="3"/>
      <c r="LVU111" s="3"/>
      <c r="LVV111" s="3"/>
      <c r="LVW111" s="3"/>
      <c r="LVX111" s="3"/>
      <c r="LVY111" s="3"/>
      <c r="LVZ111" s="3"/>
      <c r="LWA111" s="3"/>
      <c r="LWB111" s="3"/>
      <c r="LWC111" s="3"/>
      <c r="LWD111" s="3"/>
      <c r="LWE111" s="3"/>
      <c r="LWF111" s="3"/>
      <c r="LWG111" s="3"/>
      <c r="LWH111" s="3"/>
      <c r="LWI111" s="3"/>
      <c r="LWJ111" s="3"/>
      <c r="LWK111" s="3"/>
      <c r="LWL111" s="3"/>
      <c r="LWM111" s="3"/>
      <c r="LWN111" s="3"/>
      <c r="LWO111" s="3"/>
      <c r="LWP111" s="3"/>
      <c r="LWQ111" s="3"/>
      <c r="LWR111" s="3"/>
      <c r="LWS111" s="3"/>
      <c r="LWT111" s="3"/>
      <c r="LWU111" s="3"/>
      <c r="LWV111" s="3"/>
      <c r="LWW111" s="3"/>
      <c r="LWX111" s="3"/>
      <c r="LWY111" s="3"/>
      <c r="LWZ111" s="3"/>
      <c r="LXA111" s="3"/>
      <c r="LXB111" s="3"/>
      <c r="LXC111" s="3"/>
      <c r="LXD111" s="3"/>
      <c r="LXE111" s="3"/>
      <c r="LXF111" s="3"/>
      <c r="LXG111" s="3"/>
      <c r="LXH111" s="3"/>
      <c r="LXI111" s="3"/>
      <c r="LXJ111" s="3"/>
      <c r="LXK111" s="3"/>
      <c r="LXL111" s="3"/>
      <c r="LXM111" s="3"/>
      <c r="LXN111" s="3"/>
      <c r="LXO111" s="3"/>
      <c r="LXP111" s="3"/>
      <c r="LXQ111" s="3"/>
      <c r="LXR111" s="3"/>
      <c r="LXS111" s="3"/>
      <c r="LXT111" s="3"/>
      <c r="LXU111" s="3"/>
      <c r="LXV111" s="3"/>
      <c r="LXW111" s="3"/>
      <c r="LXX111" s="3"/>
      <c r="LXY111" s="3"/>
      <c r="LXZ111" s="3"/>
      <c r="LYA111" s="3"/>
      <c r="LYB111" s="3"/>
      <c r="LYC111" s="3"/>
      <c r="LYD111" s="3"/>
      <c r="LYE111" s="3"/>
      <c r="LYF111" s="3"/>
      <c r="LYG111" s="3"/>
      <c r="LYH111" s="3"/>
      <c r="LYI111" s="3"/>
      <c r="LYJ111" s="3"/>
      <c r="LYK111" s="3"/>
      <c r="LYL111" s="3"/>
      <c r="LYM111" s="3"/>
      <c r="LYN111" s="3"/>
      <c r="LYO111" s="3"/>
      <c r="LYP111" s="3"/>
      <c r="LYQ111" s="3"/>
      <c r="LYR111" s="3"/>
      <c r="LYS111" s="3"/>
      <c r="LYT111" s="3"/>
      <c r="LYU111" s="3"/>
      <c r="LYV111" s="3"/>
      <c r="LYW111" s="3"/>
      <c r="LYX111" s="3"/>
      <c r="LYY111" s="3"/>
      <c r="LYZ111" s="3"/>
      <c r="LZA111" s="3"/>
      <c r="LZB111" s="3"/>
      <c r="LZC111" s="3"/>
      <c r="LZD111" s="3"/>
      <c r="LZE111" s="3"/>
      <c r="LZF111" s="3"/>
      <c r="LZG111" s="3"/>
      <c r="LZH111" s="3"/>
      <c r="LZI111" s="3"/>
      <c r="LZJ111" s="3"/>
      <c r="LZK111" s="3"/>
      <c r="LZL111" s="3"/>
      <c r="LZM111" s="3"/>
      <c r="LZN111" s="3"/>
      <c r="LZO111" s="3"/>
      <c r="LZP111" s="3"/>
      <c r="LZQ111" s="3"/>
      <c r="LZR111" s="3"/>
      <c r="LZS111" s="3"/>
      <c r="LZT111" s="3"/>
      <c r="LZU111" s="3"/>
      <c r="LZV111" s="3"/>
      <c r="LZW111" s="3"/>
      <c r="LZX111" s="3"/>
      <c r="LZY111" s="3"/>
      <c r="LZZ111" s="3"/>
      <c r="MAA111" s="3"/>
      <c r="MAB111" s="3"/>
      <c r="MAC111" s="3"/>
      <c r="MAD111" s="3"/>
      <c r="MAE111" s="3"/>
      <c r="MAF111" s="3"/>
      <c r="MAG111" s="3"/>
      <c r="MAH111" s="3"/>
      <c r="MAI111" s="3"/>
      <c r="MAJ111" s="3"/>
      <c r="MAK111" s="3"/>
      <c r="MAL111" s="3"/>
      <c r="MAM111" s="3"/>
      <c r="MAN111" s="3"/>
      <c r="MAO111" s="3"/>
      <c r="MAP111" s="3"/>
      <c r="MAQ111" s="3"/>
      <c r="MAR111" s="3"/>
      <c r="MAS111" s="3"/>
      <c r="MAT111" s="3"/>
      <c r="MAU111" s="3"/>
      <c r="MAV111" s="3"/>
      <c r="MAW111" s="3"/>
      <c r="MAX111" s="3"/>
      <c r="MAY111" s="3"/>
      <c r="MAZ111" s="3"/>
      <c r="MBA111" s="3"/>
      <c r="MBB111" s="3"/>
      <c r="MBC111" s="3"/>
      <c r="MBD111" s="3"/>
      <c r="MBE111" s="3"/>
      <c r="MBF111" s="3"/>
      <c r="MBG111" s="3"/>
      <c r="MBH111" s="3"/>
      <c r="MBI111" s="3"/>
      <c r="MBJ111" s="3"/>
      <c r="MBK111" s="3"/>
      <c r="MBL111" s="3"/>
      <c r="MBM111" s="3"/>
      <c r="MBN111" s="3"/>
      <c r="MBO111" s="3"/>
      <c r="MBP111" s="3"/>
      <c r="MBQ111" s="3"/>
      <c r="MBR111" s="3"/>
      <c r="MBS111" s="3"/>
      <c r="MBT111" s="3"/>
      <c r="MBU111" s="3"/>
      <c r="MBV111" s="3"/>
      <c r="MBW111" s="3"/>
      <c r="MBX111" s="3"/>
      <c r="MBY111" s="3"/>
      <c r="MBZ111" s="3"/>
      <c r="MCA111" s="3"/>
      <c r="MCB111" s="3"/>
      <c r="MCC111" s="3"/>
      <c r="MCD111" s="3"/>
      <c r="MCE111" s="3"/>
      <c r="MCF111" s="3"/>
      <c r="MCG111" s="3"/>
      <c r="MCH111" s="3"/>
      <c r="MCI111" s="3"/>
      <c r="MCJ111" s="3"/>
      <c r="MCK111" s="3"/>
      <c r="MCL111" s="3"/>
      <c r="MCM111" s="3"/>
      <c r="MCN111" s="3"/>
      <c r="MCO111" s="3"/>
      <c r="MCP111" s="3"/>
      <c r="MCQ111" s="3"/>
      <c r="MCR111" s="3"/>
      <c r="MCS111" s="3"/>
      <c r="MCT111" s="3"/>
      <c r="MCU111" s="3"/>
      <c r="MCV111" s="3"/>
      <c r="MCW111" s="3"/>
      <c r="MCX111" s="3"/>
      <c r="MCY111" s="3"/>
      <c r="MCZ111" s="3"/>
      <c r="MDA111" s="3"/>
      <c r="MDB111" s="3"/>
      <c r="MDC111" s="3"/>
      <c r="MDD111" s="3"/>
      <c r="MDE111" s="3"/>
      <c r="MDF111" s="3"/>
      <c r="MDG111" s="3"/>
      <c r="MDH111" s="3"/>
      <c r="MDI111" s="3"/>
      <c r="MDJ111" s="3"/>
      <c r="MDK111" s="3"/>
      <c r="MDL111" s="3"/>
      <c r="MDM111" s="3"/>
      <c r="MDN111" s="3"/>
      <c r="MDO111" s="3"/>
      <c r="MDP111" s="3"/>
      <c r="MDQ111" s="3"/>
      <c r="MDR111" s="3"/>
      <c r="MDS111" s="3"/>
      <c r="MDT111" s="3"/>
      <c r="MDU111" s="3"/>
      <c r="MDV111" s="3"/>
      <c r="MDW111" s="3"/>
      <c r="MDX111" s="3"/>
      <c r="MDY111" s="3"/>
      <c r="MDZ111" s="3"/>
      <c r="MEA111" s="3"/>
      <c r="MEB111" s="3"/>
      <c r="MEC111" s="3"/>
      <c r="MED111" s="3"/>
      <c r="MEE111" s="3"/>
      <c r="MEF111" s="3"/>
      <c r="MEG111" s="3"/>
      <c r="MEH111" s="3"/>
      <c r="MEI111" s="3"/>
      <c r="MEJ111" s="3"/>
      <c r="MEK111" s="3"/>
      <c r="MEL111" s="3"/>
      <c r="MEM111" s="3"/>
      <c r="MEN111" s="3"/>
      <c r="MEO111" s="3"/>
      <c r="MEP111" s="3"/>
      <c r="MEQ111" s="3"/>
      <c r="MER111" s="3"/>
      <c r="MES111" s="3"/>
      <c r="MET111" s="3"/>
      <c r="MEU111" s="3"/>
      <c r="MEV111" s="3"/>
      <c r="MEW111" s="3"/>
      <c r="MEX111" s="3"/>
      <c r="MEY111" s="3"/>
      <c r="MEZ111" s="3"/>
      <c r="MFA111" s="3"/>
      <c r="MFB111" s="3"/>
      <c r="MFC111" s="3"/>
      <c r="MFD111" s="3"/>
      <c r="MFE111" s="3"/>
      <c r="MFF111" s="3"/>
      <c r="MFG111" s="3"/>
      <c r="MFH111" s="3"/>
      <c r="MFI111" s="3"/>
      <c r="MFJ111" s="3"/>
      <c r="MFK111" s="3"/>
      <c r="MFL111" s="3"/>
      <c r="MFM111" s="3"/>
      <c r="MFN111" s="3"/>
      <c r="MFO111" s="3"/>
      <c r="MFP111" s="3"/>
      <c r="MFQ111" s="3"/>
      <c r="MFR111" s="3"/>
      <c r="MFS111" s="3"/>
      <c r="MFT111" s="3"/>
      <c r="MFU111" s="3"/>
      <c r="MFV111" s="3"/>
      <c r="MFW111" s="3"/>
      <c r="MFX111" s="3"/>
      <c r="MFY111" s="3"/>
      <c r="MFZ111" s="3"/>
      <c r="MGA111" s="3"/>
      <c r="MGB111" s="3"/>
      <c r="MGC111" s="3"/>
      <c r="MGD111" s="3"/>
      <c r="MGE111" s="3"/>
      <c r="MGF111" s="3"/>
      <c r="MGG111" s="3"/>
      <c r="MGH111" s="3"/>
      <c r="MGI111" s="3"/>
      <c r="MGJ111" s="3"/>
      <c r="MGK111" s="3"/>
      <c r="MGL111" s="3"/>
      <c r="MGM111" s="3"/>
      <c r="MGN111" s="3"/>
      <c r="MGO111" s="3"/>
      <c r="MGP111" s="3"/>
      <c r="MGQ111" s="3"/>
      <c r="MGR111" s="3"/>
      <c r="MGS111" s="3"/>
      <c r="MGT111" s="3"/>
      <c r="MGU111" s="3"/>
      <c r="MGV111" s="3"/>
      <c r="MGW111" s="3"/>
      <c r="MGX111" s="3"/>
      <c r="MGY111" s="3"/>
      <c r="MGZ111" s="3"/>
      <c r="MHA111" s="3"/>
      <c r="MHB111" s="3"/>
      <c r="MHC111" s="3"/>
      <c r="MHD111" s="3"/>
      <c r="MHE111" s="3"/>
      <c r="MHF111" s="3"/>
      <c r="MHG111" s="3"/>
      <c r="MHH111" s="3"/>
      <c r="MHI111" s="3"/>
      <c r="MHJ111" s="3"/>
      <c r="MHK111" s="3"/>
      <c r="MHL111" s="3"/>
      <c r="MHM111" s="3"/>
      <c r="MHN111" s="3"/>
      <c r="MHO111" s="3"/>
      <c r="MHP111" s="3"/>
      <c r="MHQ111" s="3"/>
      <c r="MHR111" s="3"/>
      <c r="MHS111" s="3"/>
      <c r="MHT111" s="3"/>
      <c r="MHU111" s="3"/>
      <c r="MHV111" s="3"/>
      <c r="MHW111" s="3"/>
      <c r="MHX111" s="3"/>
      <c r="MHY111" s="3"/>
      <c r="MHZ111" s="3"/>
      <c r="MIA111" s="3"/>
      <c r="MIB111" s="3"/>
      <c r="MIC111" s="3"/>
      <c r="MID111" s="3"/>
      <c r="MIE111" s="3"/>
      <c r="MIF111" s="3"/>
      <c r="MIG111" s="3"/>
      <c r="MIH111" s="3"/>
      <c r="MII111" s="3"/>
      <c r="MIJ111" s="3"/>
      <c r="MIK111" s="3"/>
      <c r="MIL111" s="3"/>
      <c r="MIM111" s="3"/>
      <c r="MIN111" s="3"/>
      <c r="MIO111" s="3"/>
      <c r="MIP111" s="3"/>
      <c r="MIQ111" s="3"/>
      <c r="MIR111" s="3"/>
      <c r="MIS111" s="3"/>
      <c r="MIT111" s="3"/>
      <c r="MIU111" s="3"/>
      <c r="MIV111" s="3"/>
      <c r="MIW111" s="3"/>
      <c r="MIX111" s="3"/>
      <c r="MIY111" s="3"/>
      <c r="MIZ111" s="3"/>
      <c r="MJA111" s="3"/>
      <c r="MJB111" s="3"/>
      <c r="MJC111" s="3"/>
      <c r="MJD111" s="3"/>
      <c r="MJE111" s="3"/>
      <c r="MJF111" s="3"/>
      <c r="MJG111" s="3"/>
      <c r="MJH111" s="3"/>
      <c r="MJI111" s="3"/>
      <c r="MJJ111" s="3"/>
      <c r="MJK111" s="3"/>
      <c r="MJL111" s="3"/>
      <c r="MJM111" s="3"/>
      <c r="MJN111" s="3"/>
      <c r="MJO111" s="3"/>
      <c r="MJP111" s="3"/>
      <c r="MJQ111" s="3"/>
      <c r="MJR111" s="3"/>
      <c r="MJS111" s="3"/>
      <c r="MJT111" s="3"/>
      <c r="MJU111" s="3"/>
      <c r="MJV111" s="3"/>
      <c r="MJW111" s="3"/>
      <c r="MJX111" s="3"/>
      <c r="MJY111" s="3"/>
      <c r="MJZ111" s="3"/>
      <c r="MKA111" s="3"/>
      <c r="MKB111" s="3"/>
      <c r="MKC111" s="3"/>
      <c r="MKD111" s="3"/>
      <c r="MKE111" s="3"/>
      <c r="MKF111" s="3"/>
      <c r="MKG111" s="3"/>
      <c r="MKH111" s="3"/>
      <c r="MKI111" s="3"/>
      <c r="MKJ111" s="3"/>
      <c r="MKK111" s="3"/>
      <c r="MKL111" s="3"/>
      <c r="MKM111" s="3"/>
      <c r="MKN111" s="3"/>
      <c r="MKO111" s="3"/>
      <c r="MKP111" s="3"/>
      <c r="MKQ111" s="3"/>
      <c r="MKR111" s="3"/>
      <c r="MKS111" s="3"/>
      <c r="MKT111" s="3"/>
      <c r="MKU111" s="3"/>
      <c r="MKV111" s="3"/>
      <c r="MKW111" s="3"/>
      <c r="MKX111" s="3"/>
      <c r="MKY111" s="3"/>
      <c r="MKZ111" s="3"/>
      <c r="MLA111" s="3"/>
      <c r="MLB111" s="3"/>
      <c r="MLC111" s="3"/>
      <c r="MLD111" s="3"/>
      <c r="MLE111" s="3"/>
      <c r="MLF111" s="3"/>
      <c r="MLG111" s="3"/>
      <c r="MLH111" s="3"/>
      <c r="MLI111" s="3"/>
      <c r="MLJ111" s="3"/>
      <c r="MLK111" s="3"/>
      <c r="MLL111" s="3"/>
      <c r="MLM111" s="3"/>
      <c r="MLN111" s="3"/>
      <c r="MLO111" s="3"/>
      <c r="MLP111" s="3"/>
      <c r="MLQ111" s="3"/>
      <c r="MLR111" s="3"/>
      <c r="MLS111" s="3"/>
      <c r="MLT111" s="3"/>
      <c r="MLU111" s="3"/>
      <c r="MLV111" s="3"/>
      <c r="MLW111" s="3"/>
      <c r="MLX111" s="3"/>
      <c r="MLY111" s="3"/>
      <c r="MLZ111" s="3"/>
      <c r="MMA111" s="3"/>
      <c r="MMB111" s="3"/>
      <c r="MMC111" s="3"/>
      <c r="MMD111" s="3"/>
      <c r="MME111" s="3"/>
      <c r="MMF111" s="3"/>
      <c r="MMG111" s="3"/>
      <c r="MMH111" s="3"/>
      <c r="MMI111" s="3"/>
      <c r="MMJ111" s="3"/>
      <c r="MMK111" s="3"/>
      <c r="MML111" s="3"/>
      <c r="MMM111" s="3"/>
      <c r="MMN111" s="3"/>
      <c r="MMO111" s="3"/>
      <c r="MMP111" s="3"/>
      <c r="MMQ111" s="3"/>
      <c r="MMR111" s="3"/>
      <c r="MMS111" s="3"/>
      <c r="MMT111" s="3"/>
      <c r="MMU111" s="3"/>
      <c r="MMV111" s="3"/>
      <c r="MMW111" s="3"/>
      <c r="MMX111" s="3"/>
      <c r="MMY111" s="3"/>
      <c r="MMZ111" s="3"/>
      <c r="MNA111" s="3"/>
      <c r="MNB111" s="3"/>
      <c r="MNC111" s="3"/>
      <c r="MND111" s="3"/>
      <c r="MNE111" s="3"/>
      <c r="MNF111" s="3"/>
      <c r="MNG111" s="3"/>
      <c r="MNH111" s="3"/>
      <c r="MNI111" s="3"/>
      <c r="MNJ111" s="3"/>
      <c r="MNK111" s="3"/>
      <c r="MNL111" s="3"/>
      <c r="MNM111" s="3"/>
      <c r="MNN111" s="3"/>
      <c r="MNO111" s="3"/>
      <c r="MNP111" s="3"/>
      <c r="MNQ111" s="3"/>
      <c r="MNR111" s="3"/>
      <c r="MNS111" s="3"/>
      <c r="MNT111" s="3"/>
      <c r="MNU111" s="3"/>
      <c r="MNV111" s="3"/>
      <c r="MNW111" s="3"/>
      <c r="MNX111" s="3"/>
      <c r="MNY111" s="3"/>
      <c r="MNZ111" s="3"/>
      <c r="MOA111" s="3"/>
      <c r="MOB111" s="3"/>
      <c r="MOC111" s="3"/>
      <c r="MOD111" s="3"/>
      <c r="MOE111" s="3"/>
      <c r="MOF111" s="3"/>
      <c r="MOG111" s="3"/>
      <c r="MOH111" s="3"/>
      <c r="MOI111" s="3"/>
      <c r="MOJ111" s="3"/>
      <c r="MOK111" s="3"/>
      <c r="MOL111" s="3"/>
      <c r="MOM111" s="3"/>
      <c r="MON111" s="3"/>
      <c r="MOO111" s="3"/>
      <c r="MOP111" s="3"/>
      <c r="MOQ111" s="3"/>
      <c r="MOR111" s="3"/>
      <c r="MOS111" s="3"/>
      <c r="MOT111" s="3"/>
      <c r="MOU111" s="3"/>
      <c r="MOV111" s="3"/>
      <c r="MOW111" s="3"/>
      <c r="MOX111" s="3"/>
      <c r="MOY111" s="3"/>
      <c r="MOZ111" s="3"/>
      <c r="MPA111" s="3"/>
      <c r="MPB111" s="3"/>
      <c r="MPC111" s="3"/>
      <c r="MPD111" s="3"/>
      <c r="MPE111" s="3"/>
      <c r="MPF111" s="3"/>
      <c r="MPG111" s="3"/>
      <c r="MPH111" s="3"/>
      <c r="MPI111" s="3"/>
      <c r="MPJ111" s="3"/>
      <c r="MPK111" s="3"/>
      <c r="MPL111" s="3"/>
      <c r="MPM111" s="3"/>
      <c r="MPN111" s="3"/>
      <c r="MPO111" s="3"/>
      <c r="MPP111" s="3"/>
      <c r="MPQ111" s="3"/>
      <c r="MPR111" s="3"/>
      <c r="MPS111" s="3"/>
      <c r="MPT111" s="3"/>
      <c r="MPU111" s="3"/>
      <c r="MPV111" s="3"/>
      <c r="MPW111" s="3"/>
      <c r="MPX111" s="3"/>
      <c r="MPY111" s="3"/>
      <c r="MPZ111" s="3"/>
      <c r="MQA111" s="3"/>
      <c r="MQB111" s="3"/>
      <c r="MQC111" s="3"/>
      <c r="MQD111" s="3"/>
      <c r="MQE111" s="3"/>
      <c r="MQF111" s="3"/>
      <c r="MQG111" s="3"/>
      <c r="MQH111" s="3"/>
      <c r="MQI111" s="3"/>
      <c r="MQJ111" s="3"/>
      <c r="MQK111" s="3"/>
      <c r="MQL111" s="3"/>
      <c r="MQM111" s="3"/>
      <c r="MQN111" s="3"/>
      <c r="MQO111" s="3"/>
      <c r="MQP111" s="3"/>
      <c r="MQQ111" s="3"/>
      <c r="MQR111" s="3"/>
      <c r="MQS111" s="3"/>
      <c r="MQT111" s="3"/>
      <c r="MQU111" s="3"/>
      <c r="MQV111" s="3"/>
      <c r="MQW111" s="3"/>
      <c r="MQX111" s="3"/>
      <c r="MQY111" s="3"/>
      <c r="MQZ111" s="3"/>
      <c r="MRA111" s="3"/>
      <c r="MRB111" s="3"/>
      <c r="MRC111" s="3"/>
      <c r="MRD111" s="3"/>
      <c r="MRE111" s="3"/>
      <c r="MRF111" s="3"/>
      <c r="MRG111" s="3"/>
      <c r="MRH111" s="3"/>
      <c r="MRI111" s="3"/>
      <c r="MRJ111" s="3"/>
      <c r="MRK111" s="3"/>
      <c r="MRL111" s="3"/>
      <c r="MRM111" s="3"/>
      <c r="MRN111" s="3"/>
      <c r="MRO111" s="3"/>
      <c r="MRP111" s="3"/>
      <c r="MRQ111" s="3"/>
      <c r="MRR111" s="3"/>
      <c r="MRS111" s="3"/>
      <c r="MRT111" s="3"/>
      <c r="MRU111" s="3"/>
      <c r="MRV111" s="3"/>
      <c r="MRW111" s="3"/>
      <c r="MRX111" s="3"/>
      <c r="MRY111" s="3"/>
      <c r="MRZ111" s="3"/>
      <c r="MSA111" s="3"/>
      <c r="MSB111" s="3"/>
      <c r="MSC111" s="3"/>
      <c r="MSD111" s="3"/>
      <c r="MSE111" s="3"/>
      <c r="MSF111" s="3"/>
      <c r="MSG111" s="3"/>
      <c r="MSH111" s="3"/>
      <c r="MSI111" s="3"/>
      <c r="MSJ111" s="3"/>
      <c r="MSK111" s="3"/>
      <c r="MSL111" s="3"/>
      <c r="MSM111" s="3"/>
      <c r="MSN111" s="3"/>
      <c r="MSO111" s="3"/>
      <c r="MSP111" s="3"/>
      <c r="MSQ111" s="3"/>
      <c r="MSR111" s="3"/>
      <c r="MSS111" s="3"/>
      <c r="MST111" s="3"/>
      <c r="MSU111" s="3"/>
      <c r="MSV111" s="3"/>
      <c r="MSW111" s="3"/>
      <c r="MSX111" s="3"/>
      <c r="MSY111" s="3"/>
      <c r="MSZ111" s="3"/>
      <c r="MTA111" s="3"/>
      <c r="MTB111" s="3"/>
      <c r="MTC111" s="3"/>
      <c r="MTD111" s="3"/>
      <c r="MTE111" s="3"/>
      <c r="MTF111" s="3"/>
      <c r="MTG111" s="3"/>
      <c r="MTH111" s="3"/>
      <c r="MTI111" s="3"/>
      <c r="MTJ111" s="3"/>
      <c r="MTK111" s="3"/>
      <c r="MTL111" s="3"/>
      <c r="MTM111" s="3"/>
      <c r="MTN111" s="3"/>
      <c r="MTO111" s="3"/>
      <c r="MTP111" s="3"/>
      <c r="MTQ111" s="3"/>
      <c r="MTR111" s="3"/>
      <c r="MTS111" s="3"/>
      <c r="MTT111" s="3"/>
      <c r="MTU111" s="3"/>
      <c r="MTV111" s="3"/>
      <c r="MTW111" s="3"/>
      <c r="MTX111" s="3"/>
      <c r="MTY111" s="3"/>
      <c r="MTZ111" s="3"/>
      <c r="MUA111" s="3"/>
      <c r="MUB111" s="3"/>
      <c r="MUC111" s="3"/>
      <c r="MUD111" s="3"/>
      <c r="MUE111" s="3"/>
      <c r="MUF111" s="3"/>
      <c r="MUG111" s="3"/>
      <c r="MUH111" s="3"/>
      <c r="MUI111" s="3"/>
      <c r="MUJ111" s="3"/>
      <c r="MUK111" s="3"/>
      <c r="MUL111" s="3"/>
      <c r="MUM111" s="3"/>
      <c r="MUN111" s="3"/>
      <c r="MUO111" s="3"/>
      <c r="MUP111" s="3"/>
      <c r="MUQ111" s="3"/>
      <c r="MUR111" s="3"/>
      <c r="MUS111" s="3"/>
      <c r="MUT111" s="3"/>
      <c r="MUU111" s="3"/>
      <c r="MUV111" s="3"/>
      <c r="MUW111" s="3"/>
      <c r="MUX111" s="3"/>
      <c r="MUY111" s="3"/>
      <c r="MUZ111" s="3"/>
      <c r="MVA111" s="3"/>
      <c r="MVB111" s="3"/>
      <c r="MVC111" s="3"/>
      <c r="MVD111" s="3"/>
      <c r="MVE111" s="3"/>
      <c r="MVF111" s="3"/>
      <c r="MVG111" s="3"/>
      <c r="MVH111" s="3"/>
      <c r="MVI111" s="3"/>
      <c r="MVJ111" s="3"/>
      <c r="MVK111" s="3"/>
      <c r="MVL111" s="3"/>
      <c r="MVM111" s="3"/>
      <c r="MVN111" s="3"/>
      <c r="MVO111" s="3"/>
      <c r="MVP111" s="3"/>
      <c r="MVQ111" s="3"/>
      <c r="MVR111" s="3"/>
      <c r="MVS111" s="3"/>
      <c r="MVT111" s="3"/>
      <c r="MVU111" s="3"/>
      <c r="MVV111" s="3"/>
      <c r="MVW111" s="3"/>
      <c r="MVX111" s="3"/>
      <c r="MVY111" s="3"/>
      <c r="MVZ111" s="3"/>
      <c r="MWA111" s="3"/>
      <c r="MWB111" s="3"/>
      <c r="MWC111" s="3"/>
      <c r="MWD111" s="3"/>
      <c r="MWE111" s="3"/>
      <c r="MWF111" s="3"/>
      <c r="MWG111" s="3"/>
      <c r="MWH111" s="3"/>
      <c r="MWI111" s="3"/>
      <c r="MWJ111" s="3"/>
      <c r="MWK111" s="3"/>
      <c r="MWL111" s="3"/>
      <c r="MWM111" s="3"/>
      <c r="MWN111" s="3"/>
      <c r="MWO111" s="3"/>
      <c r="MWP111" s="3"/>
      <c r="MWQ111" s="3"/>
      <c r="MWR111" s="3"/>
      <c r="MWS111" s="3"/>
      <c r="MWT111" s="3"/>
      <c r="MWU111" s="3"/>
      <c r="MWV111" s="3"/>
      <c r="MWW111" s="3"/>
      <c r="MWX111" s="3"/>
      <c r="MWY111" s="3"/>
      <c r="MWZ111" s="3"/>
      <c r="MXA111" s="3"/>
      <c r="MXB111" s="3"/>
      <c r="MXC111" s="3"/>
      <c r="MXD111" s="3"/>
      <c r="MXE111" s="3"/>
      <c r="MXF111" s="3"/>
      <c r="MXG111" s="3"/>
      <c r="MXH111" s="3"/>
      <c r="MXI111" s="3"/>
      <c r="MXJ111" s="3"/>
      <c r="MXK111" s="3"/>
      <c r="MXL111" s="3"/>
      <c r="MXM111" s="3"/>
      <c r="MXN111" s="3"/>
      <c r="MXO111" s="3"/>
      <c r="MXP111" s="3"/>
      <c r="MXQ111" s="3"/>
      <c r="MXR111" s="3"/>
      <c r="MXS111" s="3"/>
      <c r="MXT111" s="3"/>
      <c r="MXU111" s="3"/>
      <c r="MXV111" s="3"/>
      <c r="MXW111" s="3"/>
      <c r="MXX111" s="3"/>
      <c r="MXY111" s="3"/>
      <c r="MXZ111" s="3"/>
      <c r="MYA111" s="3"/>
      <c r="MYB111" s="3"/>
      <c r="MYC111" s="3"/>
      <c r="MYD111" s="3"/>
      <c r="MYE111" s="3"/>
      <c r="MYF111" s="3"/>
      <c r="MYG111" s="3"/>
      <c r="MYH111" s="3"/>
      <c r="MYI111" s="3"/>
      <c r="MYJ111" s="3"/>
      <c r="MYK111" s="3"/>
      <c r="MYL111" s="3"/>
      <c r="MYM111" s="3"/>
      <c r="MYN111" s="3"/>
      <c r="MYO111" s="3"/>
      <c r="MYP111" s="3"/>
      <c r="MYQ111" s="3"/>
      <c r="MYR111" s="3"/>
      <c r="MYS111" s="3"/>
      <c r="MYT111" s="3"/>
      <c r="MYU111" s="3"/>
      <c r="MYV111" s="3"/>
      <c r="MYW111" s="3"/>
      <c r="MYX111" s="3"/>
      <c r="MYY111" s="3"/>
      <c r="MYZ111" s="3"/>
      <c r="MZA111" s="3"/>
      <c r="MZB111" s="3"/>
      <c r="MZC111" s="3"/>
      <c r="MZD111" s="3"/>
      <c r="MZE111" s="3"/>
      <c r="MZF111" s="3"/>
      <c r="MZG111" s="3"/>
      <c r="MZH111" s="3"/>
      <c r="MZI111" s="3"/>
      <c r="MZJ111" s="3"/>
      <c r="MZK111" s="3"/>
      <c r="MZL111" s="3"/>
      <c r="MZM111" s="3"/>
      <c r="MZN111" s="3"/>
      <c r="MZO111" s="3"/>
      <c r="MZP111" s="3"/>
      <c r="MZQ111" s="3"/>
      <c r="MZR111" s="3"/>
      <c r="MZS111" s="3"/>
      <c r="MZT111" s="3"/>
      <c r="MZU111" s="3"/>
      <c r="MZV111" s="3"/>
      <c r="MZW111" s="3"/>
      <c r="MZX111" s="3"/>
      <c r="MZY111" s="3"/>
      <c r="MZZ111" s="3"/>
      <c r="NAA111" s="3"/>
      <c r="NAB111" s="3"/>
      <c r="NAC111" s="3"/>
      <c r="NAD111" s="3"/>
      <c r="NAE111" s="3"/>
      <c r="NAF111" s="3"/>
      <c r="NAG111" s="3"/>
      <c r="NAH111" s="3"/>
      <c r="NAI111" s="3"/>
      <c r="NAJ111" s="3"/>
      <c r="NAK111" s="3"/>
      <c r="NAL111" s="3"/>
      <c r="NAM111" s="3"/>
      <c r="NAN111" s="3"/>
      <c r="NAO111" s="3"/>
      <c r="NAP111" s="3"/>
      <c r="NAQ111" s="3"/>
      <c r="NAR111" s="3"/>
      <c r="NAS111" s="3"/>
      <c r="NAT111" s="3"/>
      <c r="NAU111" s="3"/>
      <c r="NAV111" s="3"/>
      <c r="NAW111" s="3"/>
      <c r="NAX111" s="3"/>
      <c r="NAY111" s="3"/>
      <c r="NAZ111" s="3"/>
      <c r="NBA111" s="3"/>
      <c r="NBB111" s="3"/>
      <c r="NBC111" s="3"/>
      <c r="NBD111" s="3"/>
      <c r="NBE111" s="3"/>
      <c r="NBF111" s="3"/>
      <c r="NBG111" s="3"/>
      <c r="NBH111" s="3"/>
      <c r="NBI111" s="3"/>
      <c r="NBJ111" s="3"/>
      <c r="NBK111" s="3"/>
      <c r="NBL111" s="3"/>
      <c r="NBM111" s="3"/>
      <c r="NBN111" s="3"/>
      <c r="NBO111" s="3"/>
      <c r="NBP111" s="3"/>
      <c r="NBQ111" s="3"/>
      <c r="NBR111" s="3"/>
      <c r="NBS111" s="3"/>
      <c r="NBT111" s="3"/>
      <c r="NBU111" s="3"/>
      <c r="NBV111" s="3"/>
      <c r="NBW111" s="3"/>
      <c r="NBX111" s="3"/>
      <c r="NBY111" s="3"/>
      <c r="NBZ111" s="3"/>
      <c r="NCA111" s="3"/>
      <c r="NCB111" s="3"/>
      <c r="NCC111" s="3"/>
      <c r="NCD111" s="3"/>
      <c r="NCE111" s="3"/>
      <c r="NCF111" s="3"/>
      <c r="NCG111" s="3"/>
      <c r="NCH111" s="3"/>
      <c r="NCI111" s="3"/>
      <c r="NCJ111" s="3"/>
      <c r="NCK111" s="3"/>
      <c r="NCL111" s="3"/>
      <c r="NCM111" s="3"/>
      <c r="NCN111" s="3"/>
      <c r="NCO111" s="3"/>
      <c r="NCP111" s="3"/>
      <c r="NCQ111" s="3"/>
      <c r="NCR111" s="3"/>
      <c r="NCS111" s="3"/>
      <c r="NCT111" s="3"/>
      <c r="NCU111" s="3"/>
      <c r="NCV111" s="3"/>
      <c r="NCW111" s="3"/>
      <c r="NCX111" s="3"/>
      <c r="NCY111" s="3"/>
      <c r="NCZ111" s="3"/>
      <c r="NDA111" s="3"/>
      <c r="NDB111" s="3"/>
      <c r="NDC111" s="3"/>
      <c r="NDD111" s="3"/>
      <c r="NDE111" s="3"/>
      <c r="NDF111" s="3"/>
      <c r="NDG111" s="3"/>
      <c r="NDH111" s="3"/>
      <c r="NDI111" s="3"/>
      <c r="NDJ111" s="3"/>
      <c r="NDK111" s="3"/>
      <c r="NDL111" s="3"/>
      <c r="NDM111" s="3"/>
      <c r="NDN111" s="3"/>
      <c r="NDO111" s="3"/>
      <c r="NDP111" s="3"/>
      <c r="NDQ111" s="3"/>
      <c r="NDR111" s="3"/>
      <c r="NDS111" s="3"/>
      <c r="NDT111" s="3"/>
      <c r="NDU111" s="3"/>
      <c r="NDV111" s="3"/>
      <c r="NDW111" s="3"/>
      <c r="NDX111" s="3"/>
      <c r="NDY111" s="3"/>
      <c r="NDZ111" s="3"/>
      <c r="NEA111" s="3"/>
      <c r="NEB111" s="3"/>
      <c r="NEC111" s="3"/>
      <c r="NED111" s="3"/>
      <c r="NEE111" s="3"/>
      <c r="NEF111" s="3"/>
      <c r="NEG111" s="3"/>
      <c r="NEH111" s="3"/>
      <c r="NEI111" s="3"/>
      <c r="NEJ111" s="3"/>
      <c r="NEK111" s="3"/>
      <c r="NEL111" s="3"/>
      <c r="NEM111" s="3"/>
      <c r="NEN111" s="3"/>
      <c r="NEO111" s="3"/>
      <c r="NEP111" s="3"/>
      <c r="NEQ111" s="3"/>
      <c r="NER111" s="3"/>
      <c r="NES111" s="3"/>
      <c r="NET111" s="3"/>
      <c r="NEU111" s="3"/>
      <c r="NEV111" s="3"/>
      <c r="NEW111" s="3"/>
      <c r="NEX111" s="3"/>
      <c r="NEY111" s="3"/>
      <c r="NEZ111" s="3"/>
      <c r="NFA111" s="3"/>
      <c r="NFB111" s="3"/>
      <c r="NFC111" s="3"/>
      <c r="NFD111" s="3"/>
      <c r="NFE111" s="3"/>
      <c r="NFF111" s="3"/>
      <c r="NFG111" s="3"/>
      <c r="NFH111" s="3"/>
      <c r="NFI111" s="3"/>
      <c r="NFJ111" s="3"/>
      <c r="NFK111" s="3"/>
      <c r="NFL111" s="3"/>
      <c r="NFM111" s="3"/>
      <c r="NFN111" s="3"/>
      <c r="NFO111" s="3"/>
      <c r="NFP111" s="3"/>
      <c r="NFQ111" s="3"/>
      <c r="NFR111" s="3"/>
      <c r="NFS111" s="3"/>
      <c r="NFT111" s="3"/>
      <c r="NFU111" s="3"/>
      <c r="NFV111" s="3"/>
      <c r="NFW111" s="3"/>
      <c r="NFX111" s="3"/>
      <c r="NFY111" s="3"/>
      <c r="NFZ111" s="3"/>
      <c r="NGA111" s="3"/>
      <c r="NGB111" s="3"/>
      <c r="NGC111" s="3"/>
      <c r="NGD111" s="3"/>
      <c r="NGE111" s="3"/>
      <c r="NGF111" s="3"/>
      <c r="NGG111" s="3"/>
      <c r="NGH111" s="3"/>
      <c r="NGI111" s="3"/>
      <c r="NGJ111" s="3"/>
      <c r="NGK111" s="3"/>
      <c r="NGL111" s="3"/>
      <c r="NGM111" s="3"/>
      <c r="NGN111" s="3"/>
      <c r="NGO111" s="3"/>
      <c r="NGP111" s="3"/>
      <c r="NGQ111" s="3"/>
      <c r="NGR111" s="3"/>
      <c r="NGS111" s="3"/>
      <c r="NGT111" s="3"/>
      <c r="NGU111" s="3"/>
      <c r="NGV111" s="3"/>
      <c r="NGW111" s="3"/>
      <c r="NGX111" s="3"/>
      <c r="NGY111" s="3"/>
      <c r="NGZ111" s="3"/>
      <c r="NHA111" s="3"/>
      <c r="NHB111" s="3"/>
      <c r="NHC111" s="3"/>
      <c r="NHD111" s="3"/>
      <c r="NHE111" s="3"/>
      <c r="NHF111" s="3"/>
      <c r="NHG111" s="3"/>
      <c r="NHH111" s="3"/>
      <c r="NHI111" s="3"/>
      <c r="NHJ111" s="3"/>
      <c r="NHK111" s="3"/>
      <c r="NHL111" s="3"/>
      <c r="NHM111" s="3"/>
      <c r="NHN111" s="3"/>
      <c r="NHO111" s="3"/>
      <c r="NHP111" s="3"/>
      <c r="NHQ111" s="3"/>
      <c r="NHR111" s="3"/>
      <c r="NHS111" s="3"/>
      <c r="NHT111" s="3"/>
      <c r="NHU111" s="3"/>
      <c r="NHV111" s="3"/>
      <c r="NHW111" s="3"/>
      <c r="NHX111" s="3"/>
      <c r="NHY111" s="3"/>
      <c r="NHZ111" s="3"/>
      <c r="NIA111" s="3"/>
      <c r="NIB111" s="3"/>
      <c r="NIC111" s="3"/>
      <c r="NID111" s="3"/>
      <c r="NIE111" s="3"/>
      <c r="NIF111" s="3"/>
      <c r="NIG111" s="3"/>
      <c r="NIH111" s="3"/>
      <c r="NII111" s="3"/>
      <c r="NIJ111" s="3"/>
      <c r="NIK111" s="3"/>
      <c r="NIL111" s="3"/>
      <c r="NIM111" s="3"/>
      <c r="NIN111" s="3"/>
      <c r="NIO111" s="3"/>
      <c r="NIP111" s="3"/>
      <c r="NIQ111" s="3"/>
      <c r="NIR111" s="3"/>
      <c r="NIS111" s="3"/>
      <c r="NIT111" s="3"/>
      <c r="NIU111" s="3"/>
      <c r="NIV111" s="3"/>
      <c r="NIW111" s="3"/>
      <c r="NIX111" s="3"/>
      <c r="NIY111" s="3"/>
      <c r="NIZ111" s="3"/>
      <c r="NJA111" s="3"/>
      <c r="NJB111" s="3"/>
      <c r="NJC111" s="3"/>
      <c r="NJD111" s="3"/>
      <c r="NJE111" s="3"/>
      <c r="NJF111" s="3"/>
      <c r="NJG111" s="3"/>
      <c r="NJH111" s="3"/>
      <c r="NJI111" s="3"/>
      <c r="NJJ111" s="3"/>
      <c r="NJK111" s="3"/>
      <c r="NJL111" s="3"/>
      <c r="NJM111" s="3"/>
      <c r="NJN111" s="3"/>
      <c r="NJO111" s="3"/>
      <c r="NJP111" s="3"/>
      <c r="NJQ111" s="3"/>
      <c r="NJR111" s="3"/>
      <c r="NJS111" s="3"/>
      <c r="NJT111" s="3"/>
      <c r="NJU111" s="3"/>
      <c r="NJV111" s="3"/>
      <c r="NJW111" s="3"/>
      <c r="NJX111" s="3"/>
      <c r="NJY111" s="3"/>
      <c r="NJZ111" s="3"/>
      <c r="NKA111" s="3"/>
      <c r="NKB111" s="3"/>
      <c r="NKC111" s="3"/>
      <c r="NKD111" s="3"/>
      <c r="NKE111" s="3"/>
      <c r="NKF111" s="3"/>
      <c r="NKG111" s="3"/>
      <c r="NKH111" s="3"/>
      <c r="NKI111" s="3"/>
      <c r="NKJ111" s="3"/>
      <c r="NKK111" s="3"/>
      <c r="NKL111" s="3"/>
      <c r="NKM111" s="3"/>
      <c r="NKN111" s="3"/>
      <c r="NKO111" s="3"/>
      <c r="NKP111" s="3"/>
      <c r="NKQ111" s="3"/>
      <c r="NKR111" s="3"/>
      <c r="NKS111" s="3"/>
      <c r="NKT111" s="3"/>
      <c r="NKU111" s="3"/>
      <c r="NKV111" s="3"/>
      <c r="NKW111" s="3"/>
      <c r="NKX111" s="3"/>
      <c r="NKY111" s="3"/>
      <c r="NKZ111" s="3"/>
      <c r="NLA111" s="3"/>
      <c r="NLB111" s="3"/>
      <c r="NLC111" s="3"/>
      <c r="NLD111" s="3"/>
      <c r="NLE111" s="3"/>
      <c r="NLF111" s="3"/>
      <c r="NLG111" s="3"/>
      <c r="NLH111" s="3"/>
      <c r="NLI111" s="3"/>
      <c r="NLJ111" s="3"/>
      <c r="NLK111" s="3"/>
      <c r="NLL111" s="3"/>
      <c r="NLM111" s="3"/>
      <c r="NLN111" s="3"/>
      <c r="NLO111" s="3"/>
      <c r="NLP111" s="3"/>
      <c r="NLQ111" s="3"/>
      <c r="NLR111" s="3"/>
      <c r="NLS111" s="3"/>
      <c r="NLT111" s="3"/>
      <c r="NLU111" s="3"/>
      <c r="NLV111" s="3"/>
      <c r="NLW111" s="3"/>
      <c r="NLX111" s="3"/>
      <c r="NLY111" s="3"/>
      <c r="NLZ111" s="3"/>
      <c r="NMA111" s="3"/>
      <c r="NMB111" s="3"/>
      <c r="NMC111" s="3"/>
      <c r="NMD111" s="3"/>
      <c r="NME111" s="3"/>
      <c r="NMF111" s="3"/>
      <c r="NMG111" s="3"/>
      <c r="NMH111" s="3"/>
      <c r="NMI111" s="3"/>
      <c r="NMJ111" s="3"/>
      <c r="NMK111" s="3"/>
      <c r="NML111" s="3"/>
      <c r="NMM111" s="3"/>
      <c r="NMN111" s="3"/>
      <c r="NMO111" s="3"/>
      <c r="NMP111" s="3"/>
      <c r="NMQ111" s="3"/>
      <c r="NMR111" s="3"/>
      <c r="NMS111" s="3"/>
      <c r="NMT111" s="3"/>
      <c r="NMU111" s="3"/>
      <c r="NMV111" s="3"/>
      <c r="NMW111" s="3"/>
      <c r="NMX111" s="3"/>
      <c r="NMY111" s="3"/>
      <c r="NMZ111" s="3"/>
      <c r="NNA111" s="3"/>
      <c r="NNB111" s="3"/>
      <c r="NNC111" s="3"/>
      <c r="NND111" s="3"/>
      <c r="NNE111" s="3"/>
      <c r="NNF111" s="3"/>
      <c r="NNG111" s="3"/>
      <c r="NNH111" s="3"/>
      <c r="NNI111" s="3"/>
      <c r="NNJ111" s="3"/>
      <c r="NNK111" s="3"/>
      <c r="NNL111" s="3"/>
      <c r="NNM111" s="3"/>
      <c r="NNN111" s="3"/>
      <c r="NNO111" s="3"/>
      <c r="NNP111" s="3"/>
      <c r="NNQ111" s="3"/>
      <c r="NNR111" s="3"/>
      <c r="NNS111" s="3"/>
      <c r="NNT111" s="3"/>
      <c r="NNU111" s="3"/>
      <c r="NNV111" s="3"/>
      <c r="NNW111" s="3"/>
      <c r="NNX111" s="3"/>
      <c r="NNY111" s="3"/>
      <c r="NNZ111" s="3"/>
      <c r="NOA111" s="3"/>
      <c r="NOB111" s="3"/>
      <c r="NOC111" s="3"/>
      <c r="NOD111" s="3"/>
      <c r="NOE111" s="3"/>
      <c r="NOF111" s="3"/>
      <c r="NOG111" s="3"/>
      <c r="NOH111" s="3"/>
      <c r="NOI111" s="3"/>
      <c r="NOJ111" s="3"/>
      <c r="NOK111" s="3"/>
      <c r="NOL111" s="3"/>
      <c r="NOM111" s="3"/>
      <c r="NON111" s="3"/>
      <c r="NOO111" s="3"/>
      <c r="NOP111" s="3"/>
      <c r="NOQ111" s="3"/>
      <c r="NOR111" s="3"/>
      <c r="NOS111" s="3"/>
      <c r="NOT111" s="3"/>
      <c r="NOU111" s="3"/>
      <c r="NOV111" s="3"/>
      <c r="NOW111" s="3"/>
      <c r="NOX111" s="3"/>
      <c r="NOY111" s="3"/>
      <c r="NOZ111" s="3"/>
      <c r="NPA111" s="3"/>
      <c r="NPB111" s="3"/>
      <c r="NPC111" s="3"/>
      <c r="NPD111" s="3"/>
      <c r="NPE111" s="3"/>
      <c r="NPF111" s="3"/>
      <c r="NPG111" s="3"/>
      <c r="NPH111" s="3"/>
      <c r="NPI111" s="3"/>
      <c r="NPJ111" s="3"/>
      <c r="NPK111" s="3"/>
      <c r="NPL111" s="3"/>
      <c r="NPM111" s="3"/>
      <c r="NPN111" s="3"/>
      <c r="NPO111" s="3"/>
      <c r="NPP111" s="3"/>
      <c r="NPQ111" s="3"/>
      <c r="NPR111" s="3"/>
      <c r="NPS111" s="3"/>
      <c r="NPT111" s="3"/>
      <c r="NPU111" s="3"/>
      <c r="NPV111" s="3"/>
      <c r="NPW111" s="3"/>
      <c r="NPX111" s="3"/>
      <c r="NPY111" s="3"/>
      <c r="NPZ111" s="3"/>
      <c r="NQA111" s="3"/>
      <c r="NQB111" s="3"/>
      <c r="NQC111" s="3"/>
      <c r="NQD111" s="3"/>
      <c r="NQE111" s="3"/>
      <c r="NQF111" s="3"/>
      <c r="NQG111" s="3"/>
      <c r="NQH111" s="3"/>
      <c r="NQI111" s="3"/>
      <c r="NQJ111" s="3"/>
      <c r="NQK111" s="3"/>
      <c r="NQL111" s="3"/>
      <c r="NQM111" s="3"/>
      <c r="NQN111" s="3"/>
      <c r="NQO111" s="3"/>
      <c r="NQP111" s="3"/>
      <c r="NQQ111" s="3"/>
      <c r="NQR111" s="3"/>
      <c r="NQS111" s="3"/>
      <c r="NQT111" s="3"/>
      <c r="NQU111" s="3"/>
      <c r="NQV111" s="3"/>
      <c r="NQW111" s="3"/>
      <c r="NQX111" s="3"/>
      <c r="NQY111" s="3"/>
      <c r="NQZ111" s="3"/>
      <c r="NRA111" s="3"/>
      <c r="NRB111" s="3"/>
      <c r="NRC111" s="3"/>
      <c r="NRD111" s="3"/>
      <c r="NRE111" s="3"/>
      <c r="NRF111" s="3"/>
      <c r="NRG111" s="3"/>
      <c r="NRH111" s="3"/>
      <c r="NRI111" s="3"/>
      <c r="NRJ111" s="3"/>
      <c r="NRK111" s="3"/>
      <c r="NRL111" s="3"/>
      <c r="NRM111" s="3"/>
      <c r="NRN111" s="3"/>
      <c r="NRO111" s="3"/>
      <c r="NRP111" s="3"/>
      <c r="NRQ111" s="3"/>
      <c r="NRR111" s="3"/>
      <c r="NRS111" s="3"/>
      <c r="NRT111" s="3"/>
      <c r="NRU111" s="3"/>
      <c r="NRV111" s="3"/>
      <c r="NRW111" s="3"/>
      <c r="NRX111" s="3"/>
      <c r="NRY111" s="3"/>
      <c r="NRZ111" s="3"/>
      <c r="NSA111" s="3"/>
      <c r="NSB111" s="3"/>
      <c r="NSC111" s="3"/>
      <c r="NSD111" s="3"/>
      <c r="NSE111" s="3"/>
      <c r="NSF111" s="3"/>
      <c r="NSG111" s="3"/>
      <c r="NSH111" s="3"/>
      <c r="NSI111" s="3"/>
      <c r="NSJ111" s="3"/>
      <c r="NSK111" s="3"/>
      <c r="NSL111" s="3"/>
      <c r="NSM111" s="3"/>
      <c r="NSN111" s="3"/>
      <c r="NSO111" s="3"/>
      <c r="NSP111" s="3"/>
      <c r="NSQ111" s="3"/>
      <c r="NSR111" s="3"/>
      <c r="NSS111" s="3"/>
      <c r="NST111" s="3"/>
      <c r="NSU111" s="3"/>
      <c r="NSV111" s="3"/>
      <c r="NSW111" s="3"/>
      <c r="NSX111" s="3"/>
      <c r="NSY111" s="3"/>
      <c r="NSZ111" s="3"/>
      <c r="NTA111" s="3"/>
      <c r="NTB111" s="3"/>
      <c r="NTC111" s="3"/>
      <c r="NTD111" s="3"/>
      <c r="NTE111" s="3"/>
      <c r="NTF111" s="3"/>
      <c r="NTG111" s="3"/>
      <c r="NTH111" s="3"/>
      <c r="NTI111" s="3"/>
      <c r="NTJ111" s="3"/>
      <c r="NTK111" s="3"/>
      <c r="NTL111" s="3"/>
      <c r="NTM111" s="3"/>
      <c r="NTN111" s="3"/>
      <c r="NTO111" s="3"/>
      <c r="NTP111" s="3"/>
      <c r="NTQ111" s="3"/>
      <c r="NTR111" s="3"/>
      <c r="NTS111" s="3"/>
      <c r="NTT111" s="3"/>
      <c r="NTU111" s="3"/>
      <c r="NTV111" s="3"/>
      <c r="NTW111" s="3"/>
      <c r="NTX111" s="3"/>
      <c r="NTY111" s="3"/>
      <c r="NTZ111" s="3"/>
      <c r="NUA111" s="3"/>
      <c r="NUB111" s="3"/>
      <c r="NUC111" s="3"/>
      <c r="NUD111" s="3"/>
      <c r="NUE111" s="3"/>
      <c r="NUF111" s="3"/>
      <c r="NUG111" s="3"/>
      <c r="NUH111" s="3"/>
      <c r="NUI111" s="3"/>
      <c r="NUJ111" s="3"/>
      <c r="NUK111" s="3"/>
      <c r="NUL111" s="3"/>
      <c r="NUM111" s="3"/>
      <c r="NUN111" s="3"/>
      <c r="NUO111" s="3"/>
      <c r="NUP111" s="3"/>
      <c r="NUQ111" s="3"/>
      <c r="NUR111" s="3"/>
      <c r="NUS111" s="3"/>
      <c r="NUT111" s="3"/>
      <c r="NUU111" s="3"/>
      <c r="NUV111" s="3"/>
      <c r="NUW111" s="3"/>
      <c r="NUX111" s="3"/>
      <c r="NUY111" s="3"/>
      <c r="NUZ111" s="3"/>
      <c r="NVA111" s="3"/>
      <c r="NVB111" s="3"/>
      <c r="NVC111" s="3"/>
      <c r="NVD111" s="3"/>
      <c r="NVE111" s="3"/>
      <c r="NVF111" s="3"/>
      <c r="NVG111" s="3"/>
      <c r="NVH111" s="3"/>
      <c r="NVI111" s="3"/>
      <c r="NVJ111" s="3"/>
      <c r="NVK111" s="3"/>
      <c r="NVL111" s="3"/>
      <c r="NVM111" s="3"/>
      <c r="NVN111" s="3"/>
      <c r="NVO111" s="3"/>
      <c r="NVP111" s="3"/>
      <c r="NVQ111" s="3"/>
      <c r="NVR111" s="3"/>
      <c r="NVS111" s="3"/>
      <c r="NVT111" s="3"/>
      <c r="NVU111" s="3"/>
      <c r="NVV111" s="3"/>
      <c r="NVW111" s="3"/>
      <c r="NVX111" s="3"/>
      <c r="NVY111" s="3"/>
      <c r="NVZ111" s="3"/>
      <c r="NWA111" s="3"/>
      <c r="NWB111" s="3"/>
      <c r="NWC111" s="3"/>
      <c r="NWD111" s="3"/>
      <c r="NWE111" s="3"/>
      <c r="NWF111" s="3"/>
      <c r="NWG111" s="3"/>
      <c r="NWH111" s="3"/>
      <c r="NWI111" s="3"/>
      <c r="NWJ111" s="3"/>
      <c r="NWK111" s="3"/>
      <c r="NWL111" s="3"/>
      <c r="NWM111" s="3"/>
      <c r="NWN111" s="3"/>
      <c r="NWO111" s="3"/>
      <c r="NWP111" s="3"/>
      <c r="NWQ111" s="3"/>
      <c r="NWR111" s="3"/>
      <c r="NWS111" s="3"/>
      <c r="NWT111" s="3"/>
      <c r="NWU111" s="3"/>
      <c r="NWV111" s="3"/>
      <c r="NWW111" s="3"/>
      <c r="NWX111" s="3"/>
      <c r="NWY111" s="3"/>
      <c r="NWZ111" s="3"/>
      <c r="NXA111" s="3"/>
      <c r="NXB111" s="3"/>
      <c r="NXC111" s="3"/>
      <c r="NXD111" s="3"/>
      <c r="NXE111" s="3"/>
      <c r="NXF111" s="3"/>
      <c r="NXG111" s="3"/>
      <c r="NXH111" s="3"/>
      <c r="NXI111" s="3"/>
      <c r="NXJ111" s="3"/>
      <c r="NXK111" s="3"/>
      <c r="NXL111" s="3"/>
      <c r="NXM111" s="3"/>
      <c r="NXN111" s="3"/>
      <c r="NXO111" s="3"/>
      <c r="NXP111" s="3"/>
      <c r="NXQ111" s="3"/>
      <c r="NXR111" s="3"/>
      <c r="NXS111" s="3"/>
      <c r="NXT111" s="3"/>
      <c r="NXU111" s="3"/>
      <c r="NXV111" s="3"/>
      <c r="NXW111" s="3"/>
      <c r="NXX111" s="3"/>
      <c r="NXY111" s="3"/>
      <c r="NXZ111" s="3"/>
      <c r="NYA111" s="3"/>
      <c r="NYB111" s="3"/>
      <c r="NYC111" s="3"/>
      <c r="NYD111" s="3"/>
      <c r="NYE111" s="3"/>
      <c r="NYF111" s="3"/>
      <c r="NYG111" s="3"/>
      <c r="NYH111" s="3"/>
      <c r="NYI111" s="3"/>
      <c r="NYJ111" s="3"/>
      <c r="NYK111" s="3"/>
      <c r="NYL111" s="3"/>
      <c r="NYM111" s="3"/>
      <c r="NYN111" s="3"/>
      <c r="NYO111" s="3"/>
      <c r="NYP111" s="3"/>
      <c r="NYQ111" s="3"/>
      <c r="NYR111" s="3"/>
      <c r="NYS111" s="3"/>
      <c r="NYT111" s="3"/>
      <c r="NYU111" s="3"/>
      <c r="NYV111" s="3"/>
      <c r="NYW111" s="3"/>
      <c r="NYX111" s="3"/>
      <c r="NYY111" s="3"/>
      <c r="NYZ111" s="3"/>
      <c r="NZA111" s="3"/>
      <c r="NZB111" s="3"/>
      <c r="NZC111" s="3"/>
      <c r="NZD111" s="3"/>
      <c r="NZE111" s="3"/>
      <c r="NZF111" s="3"/>
      <c r="NZG111" s="3"/>
      <c r="NZH111" s="3"/>
      <c r="NZI111" s="3"/>
      <c r="NZJ111" s="3"/>
      <c r="NZK111" s="3"/>
      <c r="NZL111" s="3"/>
      <c r="NZM111" s="3"/>
      <c r="NZN111" s="3"/>
      <c r="NZO111" s="3"/>
      <c r="NZP111" s="3"/>
      <c r="NZQ111" s="3"/>
      <c r="NZR111" s="3"/>
      <c r="NZS111" s="3"/>
      <c r="NZT111" s="3"/>
      <c r="NZU111" s="3"/>
      <c r="NZV111" s="3"/>
      <c r="NZW111" s="3"/>
      <c r="NZX111" s="3"/>
      <c r="NZY111" s="3"/>
      <c r="NZZ111" s="3"/>
      <c r="OAA111" s="3"/>
      <c r="OAB111" s="3"/>
      <c r="OAC111" s="3"/>
      <c r="OAD111" s="3"/>
      <c r="OAE111" s="3"/>
      <c r="OAF111" s="3"/>
      <c r="OAG111" s="3"/>
      <c r="OAH111" s="3"/>
      <c r="OAI111" s="3"/>
      <c r="OAJ111" s="3"/>
      <c r="OAK111" s="3"/>
      <c r="OAL111" s="3"/>
      <c r="OAM111" s="3"/>
      <c r="OAN111" s="3"/>
      <c r="OAO111" s="3"/>
      <c r="OAP111" s="3"/>
      <c r="OAQ111" s="3"/>
      <c r="OAR111" s="3"/>
      <c r="OAS111" s="3"/>
      <c r="OAT111" s="3"/>
      <c r="OAU111" s="3"/>
      <c r="OAV111" s="3"/>
      <c r="OAW111" s="3"/>
      <c r="OAX111" s="3"/>
      <c r="OAY111" s="3"/>
      <c r="OAZ111" s="3"/>
      <c r="OBA111" s="3"/>
      <c r="OBB111" s="3"/>
      <c r="OBC111" s="3"/>
      <c r="OBD111" s="3"/>
      <c r="OBE111" s="3"/>
      <c r="OBF111" s="3"/>
      <c r="OBG111" s="3"/>
      <c r="OBH111" s="3"/>
      <c r="OBI111" s="3"/>
      <c r="OBJ111" s="3"/>
      <c r="OBK111" s="3"/>
      <c r="OBL111" s="3"/>
      <c r="OBM111" s="3"/>
      <c r="OBN111" s="3"/>
      <c r="OBO111" s="3"/>
      <c r="OBP111" s="3"/>
      <c r="OBQ111" s="3"/>
      <c r="OBR111" s="3"/>
      <c r="OBS111" s="3"/>
      <c r="OBT111" s="3"/>
      <c r="OBU111" s="3"/>
      <c r="OBV111" s="3"/>
      <c r="OBW111" s="3"/>
      <c r="OBX111" s="3"/>
      <c r="OBY111" s="3"/>
      <c r="OBZ111" s="3"/>
      <c r="OCA111" s="3"/>
      <c r="OCB111" s="3"/>
      <c r="OCC111" s="3"/>
      <c r="OCD111" s="3"/>
      <c r="OCE111" s="3"/>
      <c r="OCF111" s="3"/>
      <c r="OCG111" s="3"/>
      <c r="OCH111" s="3"/>
      <c r="OCI111" s="3"/>
      <c r="OCJ111" s="3"/>
      <c r="OCK111" s="3"/>
      <c r="OCL111" s="3"/>
      <c r="OCM111" s="3"/>
      <c r="OCN111" s="3"/>
      <c r="OCO111" s="3"/>
      <c r="OCP111" s="3"/>
      <c r="OCQ111" s="3"/>
      <c r="OCR111" s="3"/>
      <c r="OCS111" s="3"/>
      <c r="OCT111" s="3"/>
      <c r="OCU111" s="3"/>
      <c r="OCV111" s="3"/>
      <c r="OCW111" s="3"/>
      <c r="OCX111" s="3"/>
      <c r="OCY111" s="3"/>
      <c r="OCZ111" s="3"/>
      <c r="ODA111" s="3"/>
      <c r="ODB111" s="3"/>
      <c r="ODC111" s="3"/>
      <c r="ODD111" s="3"/>
      <c r="ODE111" s="3"/>
      <c r="ODF111" s="3"/>
      <c r="ODG111" s="3"/>
      <c r="ODH111" s="3"/>
      <c r="ODI111" s="3"/>
      <c r="ODJ111" s="3"/>
      <c r="ODK111" s="3"/>
      <c r="ODL111" s="3"/>
      <c r="ODM111" s="3"/>
      <c r="ODN111" s="3"/>
      <c r="ODO111" s="3"/>
      <c r="ODP111" s="3"/>
      <c r="ODQ111" s="3"/>
      <c r="ODR111" s="3"/>
      <c r="ODS111" s="3"/>
      <c r="ODT111" s="3"/>
      <c r="ODU111" s="3"/>
      <c r="ODV111" s="3"/>
      <c r="ODW111" s="3"/>
      <c r="ODX111" s="3"/>
      <c r="ODY111" s="3"/>
      <c r="ODZ111" s="3"/>
      <c r="OEA111" s="3"/>
      <c r="OEB111" s="3"/>
      <c r="OEC111" s="3"/>
      <c r="OED111" s="3"/>
      <c r="OEE111" s="3"/>
      <c r="OEF111" s="3"/>
      <c r="OEG111" s="3"/>
      <c r="OEH111" s="3"/>
      <c r="OEI111" s="3"/>
      <c r="OEJ111" s="3"/>
      <c r="OEK111" s="3"/>
      <c r="OEL111" s="3"/>
      <c r="OEM111" s="3"/>
      <c r="OEN111" s="3"/>
      <c r="OEO111" s="3"/>
      <c r="OEP111" s="3"/>
      <c r="OEQ111" s="3"/>
      <c r="OER111" s="3"/>
      <c r="OES111" s="3"/>
      <c r="OET111" s="3"/>
      <c r="OEU111" s="3"/>
      <c r="OEV111" s="3"/>
      <c r="OEW111" s="3"/>
      <c r="OEX111" s="3"/>
      <c r="OEY111" s="3"/>
      <c r="OEZ111" s="3"/>
      <c r="OFA111" s="3"/>
      <c r="OFB111" s="3"/>
      <c r="OFC111" s="3"/>
      <c r="OFD111" s="3"/>
      <c r="OFE111" s="3"/>
      <c r="OFF111" s="3"/>
      <c r="OFG111" s="3"/>
      <c r="OFH111" s="3"/>
      <c r="OFI111" s="3"/>
      <c r="OFJ111" s="3"/>
      <c r="OFK111" s="3"/>
      <c r="OFL111" s="3"/>
      <c r="OFM111" s="3"/>
      <c r="OFN111" s="3"/>
      <c r="OFO111" s="3"/>
      <c r="OFP111" s="3"/>
      <c r="OFQ111" s="3"/>
      <c r="OFR111" s="3"/>
      <c r="OFS111" s="3"/>
      <c r="OFT111" s="3"/>
      <c r="OFU111" s="3"/>
      <c r="OFV111" s="3"/>
      <c r="OFW111" s="3"/>
      <c r="OFX111" s="3"/>
      <c r="OFY111" s="3"/>
      <c r="OFZ111" s="3"/>
      <c r="OGA111" s="3"/>
      <c r="OGB111" s="3"/>
      <c r="OGC111" s="3"/>
      <c r="OGD111" s="3"/>
      <c r="OGE111" s="3"/>
      <c r="OGF111" s="3"/>
      <c r="OGG111" s="3"/>
      <c r="OGH111" s="3"/>
      <c r="OGI111" s="3"/>
      <c r="OGJ111" s="3"/>
      <c r="OGK111" s="3"/>
      <c r="OGL111" s="3"/>
      <c r="OGM111" s="3"/>
      <c r="OGN111" s="3"/>
      <c r="OGO111" s="3"/>
      <c r="OGP111" s="3"/>
      <c r="OGQ111" s="3"/>
      <c r="OGR111" s="3"/>
      <c r="OGS111" s="3"/>
      <c r="OGT111" s="3"/>
      <c r="OGU111" s="3"/>
      <c r="OGV111" s="3"/>
      <c r="OGW111" s="3"/>
      <c r="OGX111" s="3"/>
      <c r="OGY111" s="3"/>
      <c r="OGZ111" s="3"/>
      <c r="OHA111" s="3"/>
      <c r="OHB111" s="3"/>
      <c r="OHC111" s="3"/>
      <c r="OHD111" s="3"/>
      <c r="OHE111" s="3"/>
      <c r="OHF111" s="3"/>
      <c r="OHG111" s="3"/>
      <c r="OHH111" s="3"/>
      <c r="OHI111" s="3"/>
      <c r="OHJ111" s="3"/>
      <c r="OHK111" s="3"/>
      <c r="OHL111" s="3"/>
      <c r="OHM111" s="3"/>
      <c r="OHN111" s="3"/>
      <c r="OHO111" s="3"/>
      <c r="OHP111" s="3"/>
      <c r="OHQ111" s="3"/>
      <c r="OHR111" s="3"/>
      <c r="OHS111" s="3"/>
      <c r="OHT111" s="3"/>
      <c r="OHU111" s="3"/>
      <c r="OHV111" s="3"/>
      <c r="OHW111" s="3"/>
      <c r="OHX111" s="3"/>
      <c r="OHY111" s="3"/>
      <c r="OHZ111" s="3"/>
      <c r="OIA111" s="3"/>
      <c r="OIB111" s="3"/>
      <c r="OIC111" s="3"/>
      <c r="OID111" s="3"/>
      <c r="OIE111" s="3"/>
      <c r="OIF111" s="3"/>
      <c r="OIG111" s="3"/>
      <c r="OIH111" s="3"/>
      <c r="OII111" s="3"/>
      <c r="OIJ111" s="3"/>
      <c r="OIK111" s="3"/>
      <c r="OIL111" s="3"/>
      <c r="OIM111" s="3"/>
      <c r="OIN111" s="3"/>
      <c r="OIO111" s="3"/>
      <c r="OIP111" s="3"/>
      <c r="OIQ111" s="3"/>
      <c r="OIR111" s="3"/>
      <c r="OIS111" s="3"/>
      <c r="OIT111" s="3"/>
      <c r="OIU111" s="3"/>
      <c r="OIV111" s="3"/>
      <c r="OIW111" s="3"/>
      <c r="OIX111" s="3"/>
      <c r="OIY111" s="3"/>
      <c r="OIZ111" s="3"/>
      <c r="OJA111" s="3"/>
      <c r="OJB111" s="3"/>
      <c r="OJC111" s="3"/>
      <c r="OJD111" s="3"/>
      <c r="OJE111" s="3"/>
      <c r="OJF111" s="3"/>
      <c r="OJG111" s="3"/>
      <c r="OJH111" s="3"/>
      <c r="OJI111" s="3"/>
      <c r="OJJ111" s="3"/>
      <c r="OJK111" s="3"/>
      <c r="OJL111" s="3"/>
      <c r="OJM111" s="3"/>
      <c r="OJN111" s="3"/>
      <c r="OJO111" s="3"/>
      <c r="OJP111" s="3"/>
      <c r="OJQ111" s="3"/>
      <c r="OJR111" s="3"/>
      <c r="OJS111" s="3"/>
      <c r="OJT111" s="3"/>
      <c r="OJU111" s="3"/>
      <c r="OJV111" s="3"/>
      <c r="OJW111" s="3"/>
      <c r="OJX111" s="3"/>
      <c r="OJY111" s="3"/>
      <c r="OJZ111" s="3"/>
      <c r="OKA111" s="3"/>
      <c r="OKB111" s="3"/>
      <c r="OKC111" s="3"/>
      <c r="OKD111" s="3"/>
      <c r="OKE111" s="3"/>
      <c r="OKF111" s="3"/>
      <c r="OKG111" s="3"/>
      <c r="OKH111" s="3"/>
      <c r="OKI111" s="3"/>
      <c r="OKJ111" s="3"/>
      <c r="OKK111" s="3"/>
      <c r="OKL111" s="3"/>
      <c r="OKM111" s="3"/>
      <c r="OKN111" s="3"/>
      <c r="OKO111" s="3"/>
      <c r="OKP111" s="3"/>
      <c r="OKQ111" s="3"/>
      <c r="OKR111" s="3"/>
      <c r="OKS111" s="3"/>
      <c r="OKT111" s="3"/>
      <c r="OKU111" s="3"/>
      <c r="OKV111" s="3"/>
      <c r="OKW111" s="3"/>
      <c r="OKX111" s="3"/>
      <c r="OKY111" s="3"/>
      <c r="OKZ111" s="3"/>
      <c r="OLA111" s="3"/>
      <c r="OLB111" s="3"/>
      <c r="OLC111" s="3"/>
      <c r="OLD111" s="3"/>
      <c r="OLE111" s="3"/>
      <c r="OLF111" s="3"/>
      <c r="OLG111" s="3"/>
      <c r="OLH111" s="3"/>
      <c r="OLI111" s="3"/>
      <c r="OLJ111" s="3"/>
      <c r="OLK111" s="3"/>
      <c r="OLL111" s="3"/>
      <c r="OLM111" s="3"/>
      <c r="OLN111" s="3"/>
      <c r="OLO111" s="3"/>
      <c r="OLP111" s="3"/>
      <c r="OLQ111" s="3"/>
      <c r="OLR111" s="3"/>
      <c r="OLS111" s="3"/>
      <c r="OLT111" s="3"/>
      <c r="OLU111" s="3"/>
      <c r="OLV111" s="3"/>
      <c r="OLW111" s="3"/>
      <c r="OLX111" s="3"/>
      <c r="OLY111" s="3"/>
      <c r="OLZ111" s="3"/>
      <c r="OMA111" s="3"/>
      <c r="OMB111" s="3"/>
      <c r="OMC111" s="3"/>
      <c r="OMD111" s="3"/>
      <c r="OME111" s="3"/>
      <c r="OMF111" s="3"/>
      <c r="OMG111" s="3"/>
      <c r="OMH111" s="3"/>
      <c r="OMI111" s="3"/>
      <c r="OMJ111" s="3"/>
      <c r="OMK111" s="3"/>
      <c r="OML111" s="3"/>
      <c r="OMM111" s="3"/>
      <c r="OMN111" s="3"/>
      <c r="OMO111" s="3"/>
      <c r="OMP111" s="3"/>
      <c r="OMQ111" s="3"/>
      <c r="OMR111" s="3"/>
      <c r="OMS111" s="3"/>
      <c r="OMT111" s="3"/>
      <c r="OMU111" s="3"/>
      <c r="OMV111" s="3"/>
      <c r="OMW111" s="3"/>
      <c r="OMX111" s="3"/>
      <c r="OMY111" s="3"/>
      <c r="OMZ111" s="3"/>
      <c r="ONA111" s="3"/>
      <c r="ONB111" s="3"/>
      <c r="ONC111" s="3"/>
      <c r="OND111" s="3"/>
      <c r="ONE111" s="3"/>
      <c r="ONF111" s="3"/>
      <c r="ONG111" s="3"/>
      <c r="ONH111" s="3"/>
      <c r="ONI111" s="3"/>
      <c r="ONJ111" s="3"/>
      <c r="ONK111" s="3"/>
      <c r="ONL111" s="3"/>
      <c r="ONM111" s="3"/>
      <c r="ONN111" s="3"/>
      <c r="ONO111" s="3"/>
      <c r="ONP111" s="3"/>
      <c r="ONQ111" s="3"/>
      <c r="ONR111" s="3"/>
      <c r="ONS111" s="3"/>
      <c r="ONT111" s="3"/>
      <c r="ONU111" s="3"/>
      <c r="ONV111" s="3"/>
      <c r="ONW111" s="3"/>
      <c r="ONX111" s="3"/>
      <c r="ONY111" s="3"/>
      <c r="ONZ111" s="3"/>
      <c r="OOA111" s="3"/>
      <c r="OOB111" s="3"/>
      <c r="OOC111" s="3"/>
      <c r="OOD111" s="3"/>
      <c r="OOE111" s="3"/>
      <c r="OOF111" s="3"/>
      <c r="OOG111" s="3"/>
      <c r="OOH111" s="3"/>
      <c r="OOI111" s="3"/>
      <c r="OOJ111" s="3"/>
      <c r="OOK111" s="3"/>
      <c r="OOL111" s="3"/>
      <c r="OOM111" s="3"/>
      <c r="OON111" s="3"/>
      <c r="OOO111" s="3"/>
      <c r="OOP111" s="3"/>
      <c r="OOQ111" s="3"/>
      <c r="OOR111" s="3"/>
      <c r="OOS111" s="3"/>
      <c r="OOT111" s="3"/>
      <c r="OOU111" s="3"/>
      <c r="OOV111" s="3"/>
      <c r="OOW111" s="3"/>
      <c r="OOX111" s="3"/>
      <c r="OOY111" s="3"/>
      <c r="OOZ111" s="3"/>
      <c r="OPA111" s="3"/>
      <c r="OPB111" s="3"/>
      <c r="OPC111" s="3"/>
      <c r="OPD111" s="3"/>
      <c r="OPE111" s="3"/>
      <c r="OPF111" s="3"/>
      <c r="OPG111" s="3"/>
      <c r="OPH111" s="3"/>
      <c r="OPI111" s="3"/>
      <c r="OPJ111" s="3"/>
      <c r="OPK111" s="3"/>
      <c r="OPL111" s="3"/>
      <c r="OPM111" s="3"/>
      <c r="OPN111" s="3"/>
      <c r="OPO111" s="3"/>
      <c r="OPP111" s="3"/>
      <c r="OPQ111" s="3"/>
      <c r="OPR111" s="3"/>
      <c r="OPS111" s="3"/>
      <c r="OPT111" s="3"/>
      <c r="OPU111" s="3"/>
      <c r="OPV111" s="3"/>
      <c r="OPW111" s="3"/>
      <c r="OPX111" s="3"/>
      <c r="OPY111" s="3"/>
      <c r="OPZ111" s="3"/>
      <c r="OQA111" s="3"/>
      <c r="OQB111" s="3"/>
      <c r="OQC111" s="3"/>
      <c r="OQD111" s="3"/>
      <c r="OQE111" s="3"/>
      <c r="OQF111" s="3"/>
      <c r="OQG111" s="3"/>
      <c r="OQH111" s="3"/>
      <c r="OQI111" s="3"/>
      <c r="OQJ111" s="3"/>
      <c r="OQK111" s="3"/>
      <c r="OQL111" s="3"/>
      <c r="OQM111" s="3"/>
      <c r="OQN111" s="3"/>
      <c r="OQO111" s="3"/>
      <c r="OQP111" s="3"/>
      <c r="OQQ111" s="3"/>
      <c r="OQR111" s="3"/>
      <c r="OQS111" s="3"/>
      <c r="OQT111" s="3"/>
      <c r="OQU111" s="3"/>
      <c r="OQV111" s="3"/>
      <c r="OQW111" s="3"/>
      <c r="OQX111" s="3"/>
      <c r="OQY111" s="3"/>
      <c r="OQZ111" s="3"/>
      <c r="ORA111" s="3"/>
      <c r="ORB111" s="3"/>
      <c r="ORC111" s="3"/>
      <c r="ORD111" s="3"/>
      <c r="ORE111" s="3"/>
      <c r="ORF111" s="3"/>
      <c r="ORG111" s="3"/>
      <c r="ORH111" s="3"/>
      <c r="ORI111" s="3"/>
      <c r="ORJ111" s="3"/>
      <c r="ORK111" s="3"/>
      <c r="ORL111" s="3"/>
      <c r="ORM111" s="3"/>
      <c r="ORN111" s="3"/>
      <c r="ORO111" s="3"/>
      <c r="ORP111" s="3"/>
      <c r="ORQ111" s="3"/>
      <c r="ORR111" s="3"/>
      <c r="ORS111" s="3"/>
      <c r="ORT111" s="3"/>
      <c r="ORU111" s="3"/>
      <c r="ORV111" s="3"/>
      <c r="ORW111" s="3"/>
      <c r="ORX111" s="3"/>
      <c r="ORY111" s="3"/>
      <c r="ORZ111" s="3"/>
      <c r="OSA111" s="3"/>
      <c r="OSB111" s="3"/>
      <c r="OSC111" s="3"/>
      <c r="OSD111" s="3"/>
      <c r="OSE111" s="3"/>
      <c r="OSF111" s="3"/>
      <c r="OSG111" s="3"/>
      <c r="OSH111" s="3"/>
      <c r="OSI111" s="3"/>
      <c r="OSJ111" s="3"/>
      <c r="OSK111" s="3"/>
      <c r="OSL111" s="3"/>
      <c r="OSM111" s="3"/>
      <c r="OSN111" s="3"/>
      <c r="OSO111" s="3"/>
      <c r="OSP111" s="3"/>
      <c r="OSQ111" s="3"/>
      <c r="OSR111" s="3"/>
      <c r="OSS111" s="3"/>
      <c r="OST111" s="3"/>
      <c r="OSU111" s="3"/>
      <c r="OSV111" s="3"/>
      <c r="OSW111" s="3"/>
      <c r="OSX111" s="3"/>
      <c r="OSY111" s="3"/>
      <c r="OSZ111" s="3"/>
      <c r="OTA111" s="3"/>
      <c r="OTB111" s="3"/>
      <c r="OTC111" s="3"/>
      <c r="OTD111" s="3"/>
      <c r="OTE111" s="3"/>
      <c r="OTF111" s="3"/>
      <c r="OTG111" s="3"/>
      <c r="OTH111" s="3"/>
      <c r="OTI111" s="3"/>
      <c r="OTJ111" s="3"/>
      <c r="OTK111" s="3"/>
      <c r="OTL111" s="3"/>
      <c r="OTM111" s="3"/>
      <c r="OTN111" s="3"/>
      <c r="OTO111" s="3"/>
      <c r="OTP111" s="3"/>
      <c r="OTQ111" s="3"/>
      <c r="OTR111" s="3"/>
      <c r="OTS111" s="3"/>
      <c r="OTT111" s="3"/>
      <c r="OTU111" s="3"/>
      <c r="OTV111" s="3"/>
      <c r="OTW111" s="3"/>
      <c r="OTX111" s="3"/>
      <c r="OTY111" s="3"/>
      <c r="OTZ111" s="3"/>
      <c r="OUA111" s="3"/>
      <c r="OUB111" s="3"/>
      <c r="OUC111" s="3"/>
      <c r="OUD111" s="3"/>
      <c r="OUE111" s="3"/>
      <c r="OUF111" s="3"/>
      <c r="OUG111" s="3"/>
      <c r="OUH111" s="3"/>
      <c r="OUI111" s="3"/>
      <c r="OUJ111" s="3"/>
      <c r="OUK111" s="3"/>
      <c r="OUL111" s="3"/>
      <c r="OUM111" s="3"/>
      <c r="OUN111" s="3"/>
      <c r="OUO111" s="3"/>
      <c r="OUP111" s="3"/>
      <c r="OUQ111" s="3"/>
      <c r="OUR111" s="3"/>
      <c r="OUS111" s="3"/>
      <c r="OUT111" s="3"/>
      <c r="OUU111" s="3"/>
      <c r="OUV111" s="3"/>
      <c r="OUW111" s="3"/>
      <c r="OUX111" s="3"/>
      <c r="OUY111" s="3"/>
      <c r="OUZ111" s="3"/>
      <c r="OVA111" s="3"/>
      <c r="OVB111" s="3"/>
      <c r="OVC111" s="3"/>
      <c r="OVD111" s="3"/>
      <c r="OVE111" s="3"/>
      <c r="OVF111" s="3"/>
      <c r="OVG111" s="3"/>
      <c r="OVH111" s="3"/>
      <c r="OVI111" s="3"/>
      <c r="OVJ111" s="3"/>
      <c r="OVK111" s="3"/>
      <c r="OVL111" s="3"/>
      <c r="OVM111" s="3"/>
      <c r="OVN111" s="3"/>
      <c r="OVO111" s="3"/>
      <c r="OVP111" s="3"/>
      <c r="OVQ111" s="3"/>
      <c r="OVR111" s="3"/>
      <c r="OVS111" s="3"/>
      <c r="OVT111" s="3"/>
      <c r="OVU111" s="3"/>
      <c r="OVV111" s="3"/>
      <c r="OVW111" s="3"/>
      <c r="OVX111" s="3"/>
      <c r="OVY111" s="3"/>
      <c r="OVZ111" s="3"/>
      <c r="OWA111" s="3"/>
      <c r="OWB111" s="3"/>
      <c r="OWC111" s="3"/>
      <c r="OWD111" s="3"/>
      <c r="OWE111" s="3"/>
      <c r="OWF111" s="3"/>
      <c r="OWG111" s="3"/>
      <c r="OWH111" s="3"/>
      <c r="OWI111" s="3"/>
      <c r="OWJ111" s="3"/>
      <c r="OWK111" s="3"/>
      <c r="OWL111" s="3"/>
      <c r="OWM111" s="3"/>
      <c r="OWN111" s="3"/>
      <c r="OWO111" s="3"/>
      <c r="OWP111" s="3"/>
      <c r="OWQ111" s="3"/>
      <c r="OWR111" s="3"/>
      <c r="OWS111" s="3"/>
      <c r="OWT111" s="3"/>
      <c r="OWU111" s="3"/>
      <c r="OWV111" s="3"/>
      <c r="OWW111" s="3"/>
      <c r="OWX111" s="3"/>
      <c r="OWY111" s="3"/>
      <c r="OWZ111" s="3"/>
      <c r="OXA111" s="3"/>
      <c r="OXB111" s="3"/>
      <c r="OXC111" s="3"/>
      <c r="OXD111" s="3"/>
      <c r="OXE111" s="3"/>
      <c r="OXF111" s="3"/>
      <c r="OXG111" s="3"/>
      <c r="OXH111" s="3"/>
      <c r="OXI111" s="3"/>
      <c r="OXJ111" s="3"/>
      <c r="OXK111" s="3"/>
      <c r="OXL111" s="3"/>
      <c r="OXM111" s="3"/>
      <c r="OXN111" s="3"/>
      <c r="OXO111" s="3"/>
      <c r="OXP111" s="3"/>
      <c r="OXQ111" s="3"/>
      <c r="OXR111" s="3"/>
      <c r="OXS111" s="3"/>
      <c r="OXT111" s="3"/>
      <c r="OXU111" s="3"/>
      <c r="OXV111" s="3"/>
      <c r="OXW111" s="3"/>
      <c r="OXX111" s="3"/>
      <c r="OXY111" s="3"/>
      <c r="OXZ111" s="3"/>
      <c r="OYA111" s="3"/>
      <c r="OYB111" s="3"/>
      <c r="OYC111" s="3"/>
      <c r="OYD111" s="3"/>
      <c r="OYE111" s="3"/>
      <c r="OYF111" s="3"/>
      <c r="OYG111" s="3"/>
      <c r="OYH111" s="3"/>
      <c r="OYI111" s="3"/>
      <c r="OYJ111" s="3"/>
      <c r="OYK111" s="3"/>
      <c r="OYL111" s="3"/>
      <c r="OYM111" s="3"/>
      <c r="OYN111" s="3"/>
      <c r="OYO111" s="3"/>
      <c r="OYP111" s="3"/>
      <c r="OYQ111" s="3"/>
      <c r="OYR111" s="3"/>
      <c r="OYS111" s="3"/>
      <c r="OYT111" s="3"/>
      <c r="OYU111" s="3"/>
      <c r="OYV111" s="3"/>
      <c r="OYW111" s="3"/>
      <c r="OYX111" s="3"/>
      <c r="OYY111" s="3"/>
      <c r="OYZ111" s="3"/>
      <c r="OZA111" s="3"/>
      <c r="OZB111" s="3"/>
      <c r="OZC111" s="3"/>
      <c r="OZD111" s="3"/>
      <c r="OZE111" s="3"/>
      <c r="OZF111" s="3"/>
      <c r="OZG111" s="3"/>
      <c r="OZH111" s="3"/>
      <c r="OZI111" s="3"/>
      <c r="OZJ111" s="3"/>
      <c r="OZK111" s="3"/>
      <c r="OZL111" s="3"/>
      <c r="OZM111" s="3"/>
      <c r="OZN111" s="3"/>
      <c r="OZO111" s="3"/>
      <c r="OZP111" s="3"/>
      <c r="OZQ111" s="3"/>
      <c r="OZR111" s="3"/>
      <c r="OZS111" s="3"/>
      <c r="OZT111" s="3"/>
      <c r="OZU111" s="3"/>
      <c r="OZV111" s="3"/>
      <c r="OZW111" s="3"/>
      <c r="OZX111" s="3"/>
      <c r="OZY111" s="3"/>
      <c r="OZZ111" s="3"/>
      <c r="PAA111" s="3"/>
      <c r="PAB111" s="3"/>
      <c r="PAC111" s="3"/>
      <c r="PAD111" s="3"/>
      <c r="PAE111" s="3"/>
      <c r="PAF111" s="3"/>
      <c r="PAG111" s="3"/>
      <c r="PAH111" s="3"/>
      <c r="PAI111" s="3"/>
      <c r="PAJ111" s="3"/>
      <c r="PAK111" s="3"/>
      <c r="PAL111" s="3"/>
      <c r="PAM111" s="3"/>
      <c r="PAN111" s="3"/>
      <c r="PAO111" s="3"/>
      <c r="PAP111" s="3"/>
      <c r="PAQ111" s="3"/>
      <c r="PAR111" s="3"/>
      <c r="PAS111" s="3"/>
      <c r="PAT111" s="3"/>
      <c r="PAU111" s="3"/>
      <c r="PAV111" s="3"/>
      <c r="PAW111" s="3"/>
      <c r="PAX111" s="3"/>
      <c r="PAY111" s="3"/>
      <c r="PAZ111" s="3"/>
      <c r="PBA111" s="3"/>
      <c r="PBB111" s="3"/>
      <c r="PBC111" s="3"/>
      <c r="PBD111" s="3"/>
      <c r="PBE111" s="3"/>
      <c r="PBF111" s="3"/>
      <c r="PBG111" s="3"/>
      <c r="PBH111" s="3"/>
      <c r="PBI111" s="3"/>
      <c r="PBJ111" s="3"/>
      <c r="PBK111" s="3"/>
      <c r="PBL111" s="3"/>
      <c r="PBM111" s="3"/>
      <c r="PBN111" s="3"/>
      <c r="PBO111" s="3"/>
      <c r="PBP111" s="3"/>
      <c r="PBQ111" s="3"/>
      <c r="PBR111" s="3"/>
      <c r="PBS111" s="3"/>
      <c r="PBT111" s="3"/>
      <c r="PBU111" s="3"/>
      <c r="PBV111" s="3"/>
      <c r="PBW111" s="3"/>
      <c r="PBX111" s="3"/>
      <c r="PBY111" s="3"/>
      <c r="PBZ111" s="3"/>
      <c r="PCA111" s="3"/>
      <c r="PCB111" s="3"/>
      <c r="PCC111" s="3"/>
      <c r="PCD111" s="3"/>
      <c r="PCE111" s="3"/>
      <c r="PCF111" s="3"/>
      <c r="PCG111" s="3"/>
      <c r="PCH111" s="3"/>
      <c r="PCI111" s="3"/>
      <c r="PCJ111" s="3"/>
      <c r="PCK111" s="3"/>
      <c r="PCL111" s="3"/>
      <c r="PCM111" s="3"/>
      <c r="PCN111" s="3"/>
      <c r="PCO111" s="3"/>
      <c r="PCP111" s="3"/>
      <c r="PCQ111" s="3"/>
      <c r="PCR111" s="3"/>
      <c r="PCS111" s="3"/>
      <c r="PCT111" s="3"/>
      <c r="PCU111" s="3"/>
      <c r="PCV111" s="3"/>
      <c r="PCW111" s="3"/>
      <c r="PCX111" s="3"/>
      <c r="PCY111" s="3"/>
      <c r="PCZ111" s="3"/>
      <c r="PDA111" s="3"/>
      <c r="PDB111" s="3"/>
      <c r="PDC111" s="3"/>
      <c r="PDD111" s="3"/>
      <c r="PDE111" s="3"/>
      <c r="PDF111" s="3"/>
      <c r="PDG111" s="3"/>
      <c r="PDH111" s="3"/>
      <c r="PDI111" s="3"/>
      <c r="PDJ111" s="3"/>
      <c r="PDK111" s="3"/>
      <c r="PDL111" s="3"/>
      <c r="PDM111" s="3"/>
      <c r="PDN111" s="3"/>
      <c r="PDO111" s="3"/>
      <c r="PDP111" s="3"/>
      <c r="PDQ111" s="3"/>
      <c r="PDR111" s="3"/>
      <c r="PDS111" s="3"/>
      <c r="PDT111" s="3"/>
      <c r="PDU111" s="3"/>
      <c r="PDV111" s="3"/>
      <c r="PDW111" s="3"/>
      <c r="PDX111" s="3"/>
      <c r="PDY111" s="3"/>
      <c r="PDZ111" s="3"/>
      <c r="PEA111" s="3"/>
      <c r="PEB111" s="3"/>
      <c r="PEC111" s="3"/>
      <c r="PED111" s="3"/>
      <c r="PEE111" s="3"/>
      <c r="PEF111" s="3"/>
      <c r="PEG111" s="3"/>
      <c r="PEH111" s="3"/>
      <c r="PEI111" s="3"/>
      <c r="PEJ111" s="3"/>
      <c r="PEK111" s="3"/>
      <c r="PEL111" s="3"/>
      <c r="PEM111" s="3"/>
      <c r="PEN111" s="3"/>
      <c r="PEO111" s="3"/>
      <c r="PEP111" s="3"/>
      <c r="PEQ111" s="3"/>
      <c r="PER111" s="3"/>
      <c r="PES111" s="3"/>
      <c r="PET111" s="3"/>
      <c r="PEU111" s="3"/>
      <c r="PEV111" s="3"/>
      <c r="PEW111" s="3"/>
      <c r="PEX111" s="3"/>
      <c r="PEY111" s="3"/>
      <c r="PEZ111" s="3"/>
      <c r="PFA111" s="3"/>
      <c r="PFB111" s="3"/>
      <c r="PFC111" s="3"/>
      <c r="PFD111" s="3"/>
      <c r="PFE111" s="3"/>
      <c r="PFF111" s="3"/>
      <c r="PFG111" s="3"/>
      <c r="PFH111" s="3"/>
      <c r="PFI111" s="3"/>
      <c r="PFJ111" s="3"/>
      <c r="PFK111" s="3"/>
      <c r="PFL111" s="3"/>
      <c r="PFM111" s="3"/>
      <c r="PFN111" s="3"/>
      <c r="PFO111" s="3"/>
      <c r="PFP111" s="3"/>
      <c r="PFQ111" s="3"/>
      <c r="PFR111" s="3"/>
      <c r="PFS111" s="3"/>
      <c r="PFT111" s="3"/>
      <c r="PFU111" s="3"/>
      <c r="PFV111" s="3"/>
      <c r="PFW111" s="3"/>
      <c r="PFX111" s="3"/>
      <c r="PFY111" s="3"/>
      <c r="PFZ111" s="3"/>
      <c r="PGA111" s="3"/>
      <c r="PGB111" s="3"/>
      <c r="PGC111" s="3"/>
      <c r="PGD111" s="3"/>
      <c r="PGE111" s="3"/>
      <c r="PGF111" s="3"/>
      <c r="PGG111" s="3"/>
      <c r="PGH111" s="3"/>
      <c r="PGI111" s="3"/>
      <c r="PGJ111" s="3"/>
      <c r="PGK111" s="3"/>
      <c r="PGL111" s="3"/>
      <c r="PGM111" s="3"/>
      <c r="PGN111" s="3"/>
      <c r="PGO111" s="3"/>
      <c r="PGP111" s="3"/>
      <c r="PGQ111" s="3"/>
      <c r="PGR111" s="3"/>
      <c r="PGS111" s="3"/>
      <c r="PGT111" s="3"/>
      <c r="PGU111" s="3"/>
      <c r="PGV111" s="3"/>
      <c r="PGW111" s="3"/>
      <c r="PGX111" s="3"/>
      <c r="PGY111" s="3"/>
      <c r="PGZ111" s="3"/>
      <c r="PHA111" s="3"/>
      <c r="PHB111" s="3"/>
      <c r="PHC111" s="3"/>
      <c r="PHD111" s="3"/>
      <c r="PHE111" s="3"/>
      <c r="PHF111" s="3"/>
      <c r="PHG111" s="3"/>
      <c r="PHH111" s="3"/>
      <c r="PHI111" s="3"/>
      <c r="PHJ111" s="3"/>
      <c r="PHK111" s="3"/>
      <c r="PHL111" s="3"/>
      <c r="PHM111" s="3"/>
      <c r="PHN111" s="3"/>
      <c r="PHO111" s="3"/>
      <c r="PHP111" s="3"/>
      <c r="PHQ111" s="3"/>
      <c r="PHR111" s="3"/>
      <c r="PHS111" s="3"/>
      <c r="PHT111" s="3"/>
      <c r="PHU111" s="3"/>
      <c r="PHV111" s="3"/>
      <c r="PHW111" s="3"/>
      <c r="PHX111" s="3"/>
      <c r="PHY111" s="3"/>
      <c r="PHZ111" s="3"/>
      <c r="PIA111" s="3"/>
      <c r="PIB111" s="3"/>
      <c r="PIC111" s="3"/>
      <c r="PID111" s="3"/>
      <c r="PIE111" s="3"/>
      <c r="PIF111" s="3"/>
      <c r="PIG111" s="3"/>
      <c r="PIH111" s="3"/>
      <c r="PII111" s="3"/>
      <c r="PIJ111" s="3"/>
      <c r="PIK111" s="3"/>
      <c r="PIL111" s="3"/>
      <c r="PIM111" s="3"/>
      <c r="PIN111" s="3"/>
      <c r="PIO111" s="3"/>
      <c r="PIP111" s="3"/>
      <c r="PIQ111" s="3"/>
      <c r="PIR111" s="3"/>
      <c r="PIS111" s="3"/>
      <c r="PIT111" s="3"/>
      <c r="PIU111" s="3"/>
      <c r="PIV111" s="3"/>
      <c r="PIW111" s="3"/>
      <c r="PIX111" s="3"/>
      <c r="PIY111" s="3"/>
      <c r="PIZ111" s="3"/>
      <c r="PJA111" s="3"/>
      <c r="PJB111" s="3"/>
      <c r="PJC111" s="3"/>
      <c r="PJD111" s="3"/>
      <c r="PJE111" s="3"/>
      <c r="PJF111" s="3"/>
      <c r="PJG111" s="3"/>
      <c r="PJH111" s="3"/>
      <c r="PJI111" s="3"/>
      <c r="PJJ111" s="3"/>
      <c r="PJK111" s="3"/>
      <c r="PJL111" s="3"/>
      <c r="PJM111" s="3"/>
      <c r="PJN111" s="3"/>
      <c r="PJO111" s="3"/>
      <c r="PJP111" s="3"/>
      <c r="PJQ111" s="3"/>
      <c r="PJR111" s="3"/>
      <c r="PJS111" s="3"/>
      <c r="PJT111" s="3"/>
      <c r="PJU111" s="3"/>
      <c r="PJV111" s="3"/>
      <c r="PJW111" s="3"/>
      <c r="PJX111" s="3"/>
      <c r="PJY111" s="3"/>
      <c r="PJZ111" s="3"/>
      <c r="PKA111" s="3"/>
      <c r="PKB111" s="3"/>
      <c r="PKC111" s="3"/>
      <c r="PKD111" s="3"/>
      <c r="PKE111" s="3"/>
      <c r="PKF111" s="3"/>
      <c r="PKG111" s="3"/>
      <c r="PKH111" s="3"/>
      <c r="PKI111" s="3"/>
      <c r="PKJ111" s="3"/>
      <c r="PKK111" s="3"/>
      <c r="PKL111" s="3"/>
      <c r="PKM111" s="3"/>
      <c r="PKN111" s="3"/>
      <c r="PKO111" s="3"/>
      <c r="PKP111" s="3"/>
      <c r="PKQ111" s="3"/>
      <c r="PKR111" s="3"/>
      <c r="PKS111" s="3"/>
      <c r="PKT111" s="3"/>
      <c r="PKU111" s="3"/>
      <c r="PKV111" s="3"/>
      <c r="PKW111" s="3"/>
      <c r="PKX111" s="3"/>
      <c r="PKY111" s="3"/>
      <c r="PKZ111" s="3"/>
      <c r="PLA111" s="3"/>
      <c r="PLB111" s="3"/>
      <c r="PLC111" s="3"/>
      <c r="PLD111" s="3"/>
      <c r="PLE111" s="3"/>
      <c r="PLF111" s="3"/>
      <c r="PLG111" s="3"/>
      <c r="PLH111" s="3"/>
      <c r="PLI111" s="3"/>
      <c r="PLJ111" s="3"/>
      <c r="PLK111" s="3"/>
      <c r="PLL111" s="3"/>
      <c r="PLM111" s="3"/>
      <c r="PLN111" s="3"/>
      <c r="PLO111" s="3"/>
      <c r="PLP111" s="3"/>
      <c r="PLQ111" s="3"/>
      <c r="PLR111" s="3"/>
      <c r="PLS111" s="3"/>
      <c r="PLT111" s="3"/>
      <c r="PLU111" s="3"/>
      <c r="PLV111" s="3"/>
      <c r="PLW111" s="3"/>
      <c r="PLX111" s="3"/>
      <c r="PLY111" s="3"/>
      <c r="PLZ111" s="3"/>
      <c r="PMA111" s="3"/>
      <c r="PMB111" s="3"/>
      <c r="PMC111" s="3"/>
      <c r="PMD111" s="3"/>
      <c r="PME111" s="3"/>
      <c r="PMF111" s="3"/>
      <c r="PMG111" s="3"/>
      <c r="PMH111" s="3"/>
      <c r="PMI111" s="3"/>
      <c r="PMJ111" s="3"/>
      <c r="PMK111" s="3"/>
      <c r="PML111" s="3"/>
      <c r="PMM111" s="3"/>
      <c r="PMN111" s="3"/>
      <c r="PMO111" s="3"/>
      <c r="PMP111" s="3"/>
      <c r="PMQ111" s="3"/>
      <c r="PMR111" s="3"/>
      <c r="PMS111" s="3"/>
      <c r="PMT111" s="3"/>
      <c r="PMU111" s="3"/>
      <c r="PMV111" s="3"/>
      <c r="PMW111" s="3"/>
      <c r="PMX111" s="3"/>
      <c r="PMY111" s="3"/>
      <c r="PMZ111" s="3"/>
      <c r="PNA111" s="3"/>
      <c r="PNB111" s="3"/>
      <c r="PNC111" s="3"/>
      <c r="PND111" s="3"/>
      <c r="PNE111" s="3"/>
      <c r="PNF111" s="3"/>
      <c r="PNG111" s="3"/>
      <c r="PNH111" s="3"/>
      <c r="PNI111" s="3"/>
      <c r="PNJ111" s="3"/>
      <c r="PNK111" s="3"/>
      <c r="PNL111" s="3"/>
      <c r="PNM111" s="3"/>
      <c r="PNN111" s="3"/>
      <c r="PNO111" s="3"/>
      <c r="PNP111" s="3"/>
      <c r="PNQ111" s="3"/>
      <c r="PNR111" s="3"/>
      <c r="PNS111" s="3"/>
      <c r="PNT111" s="3"/>
      <c r="PNU111" s="3"/>
      <c r="PNV111" s="3"/>
      <c r="PNW111" s="3"/>
      <c r="PNX111" s="3"/>
      <c r="PNY111" s="3"/>
      <c r="PNZ111" s="3"/>
      <c r="POA111" s="3"/>
      <c r="POB111" s="3"/>
      <c r="POC111" s="3"/>
      <c r="POD111" s="3"/>
      <c r="POE111" s="3"/>
      <c r="POF111" s="3"/>
      <c r="POG111" s="3"/>
      <c r="POH111" s="3"/>
      <c r="POI111" s="3"/>
      <c r="POJ111" s="3"/>
      <c r="POK111" s="3"/>
      <c r="POL111" s="3"/>
      <c r="POM111" s="3"/>
      <c r="PON111" s="3"/>
      <c r="POO111" s="3"/>
      <c r="POP111" s="3"/>
      <c r="POQ111" s="3"/>
      <c r="POR111" s="3"/>
      <c r="POS111" s="3"/>
      <c r="POT111" s="3"/>
      <c r="POU111" s="3"/>
      <c r="POV111" s="3"/>
      <c r="POW111" s="3"/>
      <c r="POX111" s="3"/>
      <c r="POY111" s="3"/>
      <c r="POZ111" s="3"/>
      <c r="PPA111" s="3"/>
      <c r="PPB111" s="3"/>
      <c r="PPC111" s="3"/>
      <c r="PPD111" s="3"/>
      <c r="PPE111" s="3"/>
      <c r="PPF111" s="3"/>
      <c r="PPG111" s="3"/>
      <c r="PPH111" s="3"/>
      <c r="PPI111" s="3"/>
      <c r="PPJ111" s="3"/>
      <c r="PPK111" s="3"/>
      <c r="PPL111" s="3"/>
      <c r="PPM111" s="3"/>
      <c r="PPN111" s="3"/>
      <c r="PPO111" s="3"/>
      <c r="PPP111" s="3"/>
      <c r="PPQ111" s="3"/>
      <c r="PPR111" s="3"/>
      <c r="PPS111" s="3"/>
      <c r="PPT111" s="3"/>
      <c r="PPU111" s="3"/>
      <c r="PPV111" s="3"/>
      <c r="PPW111" s="3"/>
      <c r="PPX111" s="3"/>
      <c r="PPY111" s="3"/>
      <c r="PPZ111" s="3"/>
      <c r="PQA111" s="3"/>
      <c r="PQB111" s="3"/>
      <c r="PQC111" s="3"/>
      <c r="PQD111" s="3"/>
      <c r="PQE111" s="3"/>
      <c r="PQF111" s="3"/>
      <c r="PQG111" s="3"/>
      <c r="PQH111" s="3"/>
      <c r="PQI111" s="3"/>
      <c r="PQJ111" s="3"/>
      <c r="PQK111" s="3"/>
      <c r="PQL111" s="3"/>
      <c r="PQM111" s="3"/>
      <c r="PQN111" s="3"/>
      <c r="PQO111" s="3"/>
      <c r="PQP111" s="3"/>
      <c r="PQQ111" s="3"/>
      <c r="PQR111" s="3"/>
      <c r="PQS111" s="3"/>
      <c r="PQT111" s="3"/>
      <c r="PQU111" s="3"/>
      <c r="PQV111" s="3"/>
      <c r="PQW111" s="3"/>
      <c r="PQX111" s="3"/>
      <c r="PQY111" s="3"/>
      <c r="PQZ111" s="3"/>
      <c r="PRA111" s="3"/>
      <c r="PRB111" s="3"/>
      <c r="PRC111" s="3"/>
      <c r="PRD111" s="3"/>
      <c r="PRE111" s="3"/>
      <c r="PRF111" s="3"/>
      <c r="PRG111" s="3"/>
      <c r="PRH111" s="3"/>
      <c r="PRI111" s="3"/>
      <c r="PRJ111" s="3"/>
      <c r="PRK111" s="3"/>
      <c r="PRL111" s="3"/>
      <c r="PRM111" s="3"/>
      <c r="PRN111" s="3"/>
      <c r="PRO111" s="3"/>
      <c r="PRP111" s="3"/>
      <c r="PRQ111" s="3"/>
      <c r="PRR111" s="3"/>
      <c r="PRS111" s="3"/>
      <c r="PRT111" s="3"/>
      <c r="PRU111" s="3"/>
      <c r="PRV111" s="3"/>
      <c r="PRW111" s="3"/>
      <c r="PRX111" s="3"/>
      <c r="PRY111" s="3"/>
      <c r="PRZ111" s="3"/>
      <c r="PSA111" s="3"/>
      <c r="PSB111" s="3"/>
      <c r="PSC111" s="3"/>
      <c r="PSD111" s="3"/>
      <c r="PSE111" s="3"/>
      <c r="PSF111" s="3"/>
      <c r="PSG111" s="3"/>
      <c r="PSH111" s="3"/>
      <c r="PSI111" s="3"/>
      <c r="PSJ111" s="3"/>
      <c r="PSK111" s="3"/>
      <c r="PSL111" s="3"/>
      <c r="PSM111" s="3"/>
      <c r="PSN111" s="3"/>
      <c r="PSO111" s="3"/>
      <c r="PSP111" s="3"/>
      <c r="PSQ111" s="3"/>
      <c r="PSR111" s="3"/>
      <c r="PSS111" s="3"/>
      <c r="PST111" s="3"/>
      <c r="PSU111" s="3"/>
      <c r="PSV111" s="3"/>
      <c r="PSW111" s="3"/>
      <c r="PSX111" s="3"/>
      <c r="PSY111" s="3"/>
      <c r="PSZ111" s="3"/>
      <c r="PTA111" s="3"/>
      <c r="PTB111" s="3"/>
      <c r="PTC111" s="3"/>
      <c r="PTD111" s="3"/>
      <c r="PTE111" s="3"/>
      <c r="PTF111" s="3"/>
      <c r="PTG111" s="3"/>
      <c r="PTH111" s="3"/>
      <c r="PTI111" s="3"/>
      <c r="PTJ111" s="3"/>
      <c r="PTK111" s="3"/>
      <c r="PTL111" s="3"/>
      <c r="PTM111" s="3"/>
      <c r="PTN111" s="3"/>
      <c r="PTO111" s="3"/>
      <c r="PTP111" s="3"/>
      <c r="PTQ111" s="3"/>
      <c r="PTR111" s="3"/>
      <c r="PTS111" s="3"/>
      <c r="PTT111" s="3"/>
      <c r="PTU111" s="3"/>
      <c r="PTV111" s="3"/>
      <c r="PTW111" s="3"/>
      <c r="PTX111" s="3"/>
      <c r="PTY111" s="3"/>
      <c r="PTZ111" s="3"/>
      <c r="PUA111" s="3"/>
      <c r="PUB111" s="3"/>
      <c r="PUC111" s="3"/>
      <c r="PUD111" s="3"/>
      <c r="PUE111" s="3"/>
      <c r="PUF111" s="3"/>
      <c r="PUG111" s="3"/>
      <c r="PUH111" s="3"/>
      <c r="PUI111" s="3"/>
      <c r="PUJ111" s="3"/>
      <c r="PUK111" s="3"/>
      <c r="PUL111" s="3"/>
      <c r="PUM111" s="3"/>
      <c r="PUN111" s="3"/>
      <c r="PUO111" s="3"/>
      <c r="PUP111" s="3"/>
      <c r="PUQ111" s="3"/>
      <c r="PUR111" s="3"/>
      <c r="PUS111" s="3"/>
      <c r="PUT111" s="3"/>
      <c r="PUU111" s="3"/>
      <c r="PUV111" s="3"/>
      <c r="PUW111" s="3"/>
      <c r="PUX111" s="3"/>
      <c r="PUY111" s="3"/>
      <c r="PUZ111" s="3"/>
      <c r="PVA111" s="3"/>
      <c r="PVB111" s="3"/>
      <c r="PVC111" s="3"/>
      <c r="PVD111" s="3"/>
      <c r="PVE111" s="3"/>
      <c r="PVF111" s="3"/>
      <c r="PVG111" s="3"/>
      <c r="PVH111" s="3"/>
      <c r="PVI111" s="3"/>
      <c r="PVJ111" s="3"/>
      <c r="PVK111" s="3"/>
      <c r="PVL111" s="3"/>
      <c r="PVM111" s="3"/>
      <c r="PVN111" s="3"/>
      <c r="PVO111" s="3"/>
      <c r="PVP111" s="3"/>
      <c r="PVQ111" s="3"/>
      <c r="PVR111" s="3"/>
      <c r="PVS111" s="3"/>
      <c r="PVT111" s="3"/>
      <c r="PVU111" s="3"/>
      <c r="PVV111" s="3"/>
      <c r="PVW111" s="3"/>
      <c r="PVX111" s="3"/>
      <c r="PVY111" s="3"/>
      <c r="PVZ111" s="3"/>
      <c r="PWA111" s="3"/>
      <c r="PWB111" s="3"/>
      <c r="PWC111" s="3"/>
      <c r="PWD111" s="3"/>
      <c r="PWE111" s="3"/>
      <c r="PWF111" s="3"/>
      <c r="PWG111" s="3"/>
      <c r="PWH111" s="3"/>
      <c r="PWI111" s="3"/>
      <c r="PWJ111" s="3"/>
      <c r="PWK111" s="3"/>
      <c r="PWL111" s="3"/>
      <c r="PWM111" s="3"/>
      <c r="PWN111" s="3"/>
      <c r="PWO111" s="3"/>
      <c r="PWP111" s="3"/>
      <c r="PWQ111" s="3"/>
      <c r="PWR111" s="3"/>
      <c r="PWS111" s="3"/>
      <c r="PWT111" s="3"/>
      <c r="PWU111" s="3"/>
      <c r="PWV111" s="3"/>
      <c r="PWW111" s="3"/>
      <c r="PWX111" s="3"/>
      <c r="PWY111" s="3"/>
      <c r="PWZ111" s="3"/>
      <c r="PXA111" s="3"/>
      <c r="PXB111" s="3"/>
      <c r="PXC111" s="3"/>
      <c r="PXD111" s="3"/>
      <c r="PXE111" s="3"/>
      <c r="PXF111" s="3"/>
      <c r="PXG111" s="3"/>
      <c r="PXH111" s="3"/>
      <c r="PXI111" s="3"/>
      <c r="PXJ111" s="3"/>
      <c r="PXK111" s="3"/>
      <c r="PXL111" s="3"/>
      <c r="PXM111" s="3"/>
      <c r="PXN111" s="3"/>
      <c r="PXO111" s="3"/>
      <c r="PXP111" s="3"/>
      <c r="PXQ111" s="3"/>
      <c r="PXR111" s="3"/>
      <c r="PXS111" s="3"/>
      <c r="PXT111" s="3"/>
      <c r="PXU111" s="3"/>
      <c r="PXV111" s="3"/>
      <c r="PXW111" s="3"/>
      <c r="PXX111" s="3"/>
      <c r="PXY111" s="3"/>
      <c r="PXZ111" s="3"/>
      <c r="PYA111" s="3"/>
      <c r="PYB111" s="3"/>
      <c r="PYC111" s="3"/>
      <c r="PYD111" s="3"/>
      <c r="PYE111" s="3"/>
      <c r="PYF111" s="3"/>
      <c r="PYG111" s="3"/>
      <c r="PYH111" s="3"/>
      <c r="PYI111" s="3"/>
      <c r="PYJ111" s="3"/>
      <c r="PYK111" s="3"/>
      <c r="PYL111" s="3"/>
      <c r="PYM111" s="3"/>
      <c r="PYN111" s="3"/>
      <c r="PYO111" s="3"/>
      <c r="PYP111" s="3"/>
      <c r="PYQ111" s="3"/>
      <c r="PYR111" s="3"/>
      <c r="PYS111" s="3"/>
      <c r="PYT111" s="3"/>
      <c r="PYU111" s="3"/>
      <c r="PYV111" s="3"/>
      <c r="PYW111" s="3"/>
      <c r="PYX111" s="3"/>
      <c r="PYY111" s="3"/>
      <c r="PYZ111" s="3"/>
      <c r="PZA111" s="3"/>
      <c r="PZB111" s="3"/>
      <c r="PZC111" s="3"/>
      <c r="PZD111" s="3"/>
      <c r="PZE111" s="3"/>
      <c r="PZF111" s="3"/>
      <c r="PZG111" s="3"/>
      <c r="PZH111" s="3"/>
      <c r="PZI111" s="3"/>
      <c r="PZJ111" s="3"/>
      <c r="PZK111" s="3"/>
      <c r="PZL111" s="3"/>
      <c r="PZM111" s="3"/>
      <c r="PZN111" s="3"/>
      <c r="PZO111" s="3"/>
      <c r="PZP111" s="3"/>
      <c r="PZQ111" s="3"/>
      <c r="PZR111" s="3"/>
      <c r="PZS111" s="3"/>
      <c r="PZT111" s="3"/>
      <c r="PZU111" s="3"/>
      <c r="PZV111" s="3"/>
      <c r="PZW111" s="3"/>
      <c r="PZX111" s="3"/>
      <c r="PZY111" s="3"/>
      <c r="PZZ111" s="3"/>
      <c r="QAA111" s="3"/>
      <c r="QAB111" s="3"/>
      <c r="QAC111" s="3"/>
      <c r="QAD111" s="3"/>
      <c r="QAE111" s="3"/>
      <c r="QAF111" s="3"/>
      <c r="QAG111" s="3"/>
      <c r="QAH111" s="3"/>
      <c r="QAI111" s="3"/>
      <c r="QAJ111" s="3"/>
      <c r="QAK111" s="3"/>
      <c r="QAL111" s="3"/>
      <c r="QAM111" s="3"/>
      <c r="QAN111" s="3"/>
      <c r="QAO111" s="3"/>
      <c r="QAP111" s="3"/>
      <c r="QAQ111" s="3"/>
      <c r="QAR111" s="3"/>
      <c r="QAS111" s="3"/>
      <c r="QAT111" s="3"/>
      <c r="QAU111" s="3"/>
      <c r="QAV111" s="3"/>
      <c r="QAW111" s="3"/>
      <c r="QAX111" s="3"/>
      <c r="QAY111" s="3"/>
      <c r="QAZ111" s="3"/>
      <c r="QBA111" s="3"/>
      <c r="QBB111" s="3"/>
      <c r="QBC111" s="3"/>
      <c r="QBD111" s="3"/>
      <c r="QBE111" s="3"/>
      <c r="QBF111" s="3"/>
      <c r="QBG111" s="3"/>
      <c r="QBH111" s="3"/>
      <c r="QBI111" s="3"/>
      <c r="QBJ111" s="3"/>
      <c r="QBK111" s="3"/>
      <c r="QBL111" s="3"/>
      <c r="QBM111" s="3"/>
      <c r="QBN111" s="3"/>
      <c r="QBO111" s="3"/>
      <c r="QBP111" s="3"/>
      <c r="QBQ111" s="3"/>
      <c r="QBR111" s="3"/>
      <c r="QBS111" s="3"/>
      <c r="QBT111" s="3"/>
      <c r="QBU111" s="3"/>
      <c r="QBV111" s="3"/>
      <c r="QBW111" s="3"/>
      <c r="QBX111" s="3"/>
      <c r="QBY111" s="3"/>
      <c r="QBZ111" s="3"/>
      <c r="QCA111" s="3"/>
      <c r="QCB111" s="3"/>
      <c r="QCC111" s="3"/>
      <c r="QCD111" s="3"/>
      <c r="QCE111" s="3"/>
      <c r="QCF111" s="3"/>
      <c r="QCG111" s="3"/>
      <c r="QCH111" s="3"/>
      <c r="QCI111" s="3"/>
      <c r="QCJ111" s="3"/>
      <c r="QCK111" s="3"/>
      <c r="QCL111" s="3"/>
      <c r="QCM111" s="3"/>
      <c r="QCN111" s="3"/>
      <c r="QCO111" s="3"/>
      <c r="QCP111" s="3"/>
      <c r="QCQ111" s="3"/>
      <c r="QCR111" s="3"/>
      <c r="QCS111" s="3"/>
      <c r="QCT111" s="3"/>
      <c r="QCU111" s="3"/>
      <c r="QCV111" s="3"/>
      <c r="QCW111" s="3"/>
      <c r="QCX111" s="3"/>
      <c r="QCY111" s="3"/>
      <c r="QCZ111" s="3"/>
      <c r="QDA111" s="3"/>
      <c r="QDB111" s="3"/>
      <c r="QDC111" s="3"/>
      <c r="QDD111" s="3"/>
      <c r="QDE111" s="3"/>
      <c r="QDF111" s="3"/>
      <c r="QDG111" s="3"/>
      <c r="QDH111" s="3"/>
      <c r="QDI111" s="3"/>
      <c r="QDJ111" s="3"/>
      <c r="QDK111" s="3"/>
      <c r="QDL111" s="3"/>
      <c r="QDM111" s="3"/>
      <c r="QDN111" s="3"/>
      <c r="QDO111" s="3"/>
      <c r="QDP111" s="3"/>
      <c r="QDQ111" s="3"/>
      <c r="QDR111" s="3"/>
      <c r="QDS111" s="3"/>
      <c r="QDT111" s="3"/>
      <c r="QDU111" s="3"/>
      <c r="QDV111" s="3"/>
      <c r="QDW111" s="3"/>
      <c r="QDX111" s="3"/>
      <c r="QDY111" s="3"/>
      <c r="QDZ111" s="3"/>
      <c r="QEA111" s="3"/>
      <c r="QEB111" s="3"/>
      <c r="QEC111" s="3"/>
      <c r="QED111" s="3"/>
      <c r="QEE111" s="3"/>
      <c r="QEF111" s="3"/>
      <c r="QEG111" s="3"/>
      <c r="QEH111" s="3"/>
      <c r="QEI111" s="3"/>
      <c r="QEJ111" s="3"/>
      <c r="QEK111" s="3"/>
      <c r="QEL111" s="3"/>
      <c r="QEM111" s="3"/>
      <c r="QEN111" s="3"/>
      <c r="QEO111" s="3"/>
      <c r="QEP111" s="3"/>
      <c r="QEQ111" s="3"/>
      <c r="QER111" s="3"/>
      <c r="QES111" s="3"/>
      <c r="QET111" s="3"/>
      <c r="QEU111" s="3"/>
      <c r="QEV111" s="3"/>
      <c r="QEW111" s="3"/>
      <c r="QEX111" s="3"/>
      <c r="QEY111" s="3"/>
      <c r="QEZ111" s="3"/>
      <c r="QFA111" s="3"/>
      <c r="QFB111" s="3"/>
      <c r="QFC111" s="3"/>
      <c r="QFD111" s="3"/>
      <c r="QFE111" s="3"/>
      <c r="QFF111" s="3"/>
      <c r="QFG111" s="3"/>
      <c r="QFH111" s="3"/>
      <c r="QFI111" s="3"/>
      <c r="QFJ111" s="3"/>
      <c r="QFK111" s="3"/>
      <c r="QFL111" s="3"/>
      <c r="QFM111" s="3"/>
      <c r="QFN111" s="3"/>
      <c r="QFO111" s="3"/>
      <c r="QFP111" s="3"/>
      <c r="QFQ111" s="3"/>
      <c r="QFR111" s="3"/>
      <c r="QFS111" s="3"/>
      <c r="QFT111" s="3"/>
      <c r="QFU111" s="3"/>
      <c r="QFV111" s="3"/>
      <c r="QFW111" s="3"/>
      <c r="QFX111" s="3"/>
      <c r="QFY111" s="3"/>
      <c r="QFZ111" s="3"/>
      <c r="QGA111" s="3"/>
      <c r="QGB111" s="3"/>
      <c r="QGC111" s="3"/>
      <c r="QGD111" s="3"/>
      <c r="QGE111" s="3"/>
      <c r="QGF111" s="3"/>
      <c r="QGG111" s="3"/>
      <c r="QGH111" s="3"/>
      <c r="QGI111" s="3"/>
      <c r="QGJ111" s="3"/>
      <c r="QGK111" s="3"/>
      <c r="QGL111" s="3"/>
      <c r="QGM111" s="3"/>
      <c r="QGN111" s="3"/>
      <c r="QGO111" s="3"/>
      <c r="QGP111" s="3"/>
      <c r="QGQ111" s="3"/>
      <c r="QGR111" s="3"/>
      <c r="QGS111" s="3"/>
      <c r="QGT111" s="3"/>
      <c r="QGU111" s="3"/>
      <c r="QGV111" s="3"/>
      <c r="QGW111" s="3"/>
      <c r="QGX111" s="3"/>
      <c r="QGY111" s="3"/>
      <c r="QGZ111" s="3"/>
      <c r="QHA111" s="3"/>
      <c r="QHB111" s="3"/>
      <c r="QHC111" s="3"/>
      <c r="QHD111" s="3"/>
      <c r="QHE111" s="3"/>
      <c r="QHF111" s="3"/>
      <c r="QHG111" s="3"/>
      <c r="QHH111" s="3"/>
      <c r="QHI111" s="3"/>
      <c r="QHJ111" s="3"/>
      <c r="QHK111" s="3"/>
      <c r="QHL111" s="3"/>
      <c r="QHM111" s="3"/>
      <c r="QHN111" s="3"/>
      <c r="QHO111" s="3"/>
      <c r="QHP111" s="3"/>
      <c r="QHQ111" s="3"/>
      <c r="QHR111" s="3"/>
      <c r="QHS111" s="3"/>
      <c r="QHT111" s="3"/>
      <c r="QHU111" s="3"/>
      <c r="QHV111" s="3"/>
      <c r="QHW111" s="3"/>
      <c r="QHX111" s="3"/>
      <c r="QHY111" s="3"/>
      <c r="QHZ111" s="3"/>
      <c r="QIA111" s="3"/>
      <c r="QIB111" s="3"/>
      <c r="QIC111" s="3"/>
      <c r="QID111" s="3"/>
      <c r="QIE111" s="3"/>
      <c r="QIF111" s="3"/>
      <c r="QIG111" s="3"/>
      <c r="QIH111" s="3"/>
      <c r="QII111" s="3"/>
      <c r="QIJ111" s="3"/>
      <c r="QIK111" s="3"/>
      <c r="QIL111" s="3"/>
      <c r="QIM111" s="3"/>
      <c r="QIN111" s="3"/>
      <c r="QIO111" s="3"/>
      <c r="QIP111" s="3"/>
      <c r="QIQ111" s="3"/>
      <c r="QIR111" s="3"/>
      <c r="QIS111" s="3"/>
      <c r="QIT111" s="3"/>
      <c r="QIU111" s="3"/>
      <c r="QIV111" s="3"/>
      <c r="QIW111" s="3"/>
      <c r="QIX111" s="3"/>
      <c r="QIY111" s="3"/>
      <c r="QIZ111" s="3"/>
      <c r="QJA111" s="3"/>
      <c r="QJB111" s="3"/>
      <c r="QJC111" s="3"/>
      <c r="QJD111" s="3"/>
      <c r="QJE111" s="3"/>
      <c r="QJF111" s="3"/>
      <c r="QJG111" s="3"/>
      <c r="QJH111" s="3"/>
      <c r="QJI111" s="3"/>
      <c r="QJJ111" s="3"/>
      <c r="QJK111" s="3"/>
      <c r="QJL111" s="3"/>
      <c r="QJM111" s="3"/>
      <c r="QJN111" s="3"/>
      <c r="QJO111" s="3"/>
      <c r="QJP111" s="3"/>
      <c r="QJQ111" s="3"/>
      <c r="QJR111" s="3"/>
      <c r="QJS111" s="3"/>
      <c r="QJT111" s="3"/>
      <c r="QJU111" s="3"/>
      <c r="QJV111" s="3"/>
      <c r="QJW111" s="3"/>
      <c r="QJX111" s="3"/>
      <c r="QJY111" s="3"/>
      <c r="QJZ111" s="3"/>
      <c r="QKA111" s="3"/>
      <c r="QKB111" s="3"/>
      <c r="QKC111" s="3"/>
      <c r="QKD111" s="3"/>
      <c r="QKE111" s="3"/>
      <c r="QKF111" s="3"/>
      <c r="QKG111" s="3"/>
      <c r="QKH111" s="3"/>
      <c r="QKI111" s="3"/>
      <c r="QKJ111" s="3"/>
      <c r="QKK111" s="3"/>
      <c r="QKL111" s="3"/>
      <c r="QKM111" s="3"/>
      <c r="QKN111" s="3"/>
      <c r="QKO111" s="3"/>
      <c r="QKP111" s="3"/>
      <c r="QKQ111" s="3"/>
      <c r="QKR111" s="3"/>
      <c r="QKS111" s="3"/>
      <c r="QKT111" s="3"/>
      <c r="QKU111" s="3"/>
      <c r="QKV111" s="3"/>
      <c r="QKW111" s="3"/>
      <c r="QKX111" s="3"/>
      <c r="QKY111" s="3"/>
      <c r="QKZ111" s="3"/>
      <c r="QLA111" s="3"/>
      <c r="QLB111" s="3"/>
      <c r="QLC111" s="3"/>
      <c r="QLD111" s="3"/>
      <c r="QLE111" s="3"/>
      <c r="QLF111" s="3"/>
      <c r="QLG111" s="3"/>
      <c r="QLH111" s="3"/>
      <c r="QLI111" s="3"/>
      <c r="QLJ111" s="3"/>
      <c r="QLK111" s="3"/>
      <c r="QLL111" s="3"/>
      <c r="QLM111" s="3"/>
      <c r="QLN111" s="3"/>
      <c r="QLO111" s="3"/>
      <c r="QLP111" s="3"/>
      <c r="QLQ111" s="3"/>
      <c r="QLR111" s="3"/>
      <c r="QLS111" s="3"/>
      <c r="QLT111" s="3"/>
      <c r="QLU111" s="3"/>
      <c r="QLV111" s="3"/>
      <c r="QLW111" s="3"/>
      <c r="QLX111" s="3"/>
      <c r="QLY111" s="3"/>
      <c r="QLZ111" s="3"/>
      <c r="QMA111" s="3"/>
      <c r="QMB111" s="3"/>
      <c r="QMC111" s="3"/>
      <c r="QMD111" s="3"/>
      <c r="QME111" s="3"/>
      <c r="QMF111" s="3"/>
      <c r="QMG111" s="3"/>
      <c r="QMH111" s="3"/>
      <c r="QMI111" s="3"/>
      <c r="QMJ111" s="3"/>
      <c r="QMK111" s="3"/>
      <c r="QML111" s="3"/>
      <c r="QMM111" s="3"/>
      <c r="QMN111" s="3"/>
      <c r="QMO111" s="3"/>
      <c r="QMP111" s="3"/>
      <c r="QMQ111" s="3"/>
      <c r="QMR111" s="3"/>
      <c r="QMS111" s="3"/>
      <c r="QMT111" s="3"/>
      <c r="QMU111" s="3"/>
      <c r="QMV111" s="3"/>
      <c r="QMW111" s="3"/>
      <c r="QMX111" s="3"/>
      <c r="QMY111" s="3"/>
      <c r="QMZ111" s="3"/>
      <c r="QNA111" s="3"/>
      <c r="QNB111" s="3"/>
      <c r="QNC111" s="3"/>
      <c r="QND111" s="3"/>
      <c r="QNE111" s="3"/>
      <c r="QNF111" s="3"/>
      <c r="QNG111" s="3"/>
      <c r="QNH111" s="3"/>
      <c r="QNI111" s="3"/>
      <c r="QNJ111" s="3"/>
      <c r="QNK111" s="3"/>
      <c r="QNL111" s="3"/>
      <c r="QNM111" s="3"/>
      <c r="QNN111" s="3"/>
      <c r="QNO111" s="3"/>
      <c r="QNP111" s="3"/>
      <c r="QNQ111" s="3"/>
      <c r="QNR111" s="3"/>
      <c r="QNS111" s="3"/>
      <c r="QNT111" s="3"/>
      <c r="QNU111" s="3"/>
      <c r="QNV111" s="3"/>
      <c r="QNW111" s="3"/>
      <c r="QNX111" s="3"/>
      <c r="QNY111" s="3"/>
      <c r="QNZ111" s="3"/>
      <c r="QOA111" s="3"/>
      <c r="QOB111" s="3"/>
      <c r="QOC111" s="3"/>
      <c r="QOD111" s="3"/>
      <c r="QOE111" s="3"/>
      <c r="QOF111" s="3"/>
      <c r="QOG111" s="3"/>
      <c r="QOH111" s="3"/>
      <c r="QOI111" s="3"/>
      <c r="QOJ111" s="3"/>
      <c r="QOK111" s="3"/>
      <c r="QOL111" s="3"/>
      <c r="QOM111" s="3"/>
      <c r="QON111" s="3"/>
      <c r="QOO111" s="3"/>
      <c r="QOP111" s="3"/>
      <c r="QOQ111" s="3"/>
      <c r="QOR111" s="3"/>
      <c r="QOS111" s="3"/>
      <c r="QOT111" s="3"/>
      <c r="QOU111" s="3"/>
      <c r="QOV111" s="3"/>
      <c r="QOW111" s="3"/>
      <c r="QOX111" s="3"/>
      <c r="QOY111" s="3"/>
      <c r="QOZ111" s="3"/>
      <c r="QPA111" s="3"/>
      <c r="QPB111" s="3"/>
      <c r="QPC111" s="3"/>
      <c r="QPD111" s="3"/>
      <c r="QPE111" s="3"/>
      <c r="QPF111" s="3"/>
      <c r="QPG111" s="3"/>
      <c r="QPH111" s="3"/>
      <c r="QPI111" s="3"/>
      <c r="QPJ111" s="3"/>
      <c r="QPK111" s="3"/>
      <c r="QPL111" s="3"/>
      <c r="QPM111" s="3"/>
      <c r="QPN111" s="3"/>
      <c r="QPO111" s="3"/>
      <c r="QPP111" s="3"/>
      <c r="QPQ111" s="3"/>
      <c r="QPR111" s="3"/>
      <c r="QPS111" s="3"/>
      <c r="QPT111" s="3"/>
      <c r="QPU111" s="3"/>
      <c r="QPV111" s="3"/>
      <c r="QPW111" s="3"/>
      <c r="QPX111" s="3"/>
      <c r="QPY111" s="3"/>
      <c r="QPZ111" s="3"/>
      <c r="QQA111" s="3"/>
      <c r="QQB111" s="3"/>
      <c r="QQC111" s="3"/>
      <c r="QQD111" s="3"/>
      <c r="QQE111" s="3"/>
      <c r="QQF111" s="3"/>
      <c r="QQG111" s="3"/>
      <c r="QQH111" s="3"/>
      <c r="QQI111" s="3"/>
      <c r="QQJ111" s="3"/>
      <c r="QQK111" s="3"/>
      <c r="QQL111" s="3"/>
      <c r="QQM111" s="3"/>
      <c r="QQN111" s="3"/>
      <c r="QQO111" s="3"/>
      <c r="QQP111" s="3"/>
      <c r="QQQ111" s="3"/>
      <c r="QQR111" s="3"/>
      <c r="QQS111" s="3"/>
      <c r="QQT111" s="3"/>
      <c r="QQU111" s="3"/>
      <c r="QQV111" s="3"/>
      <c r="QQW111" s="3"/>
      <c r="QQX111" s="3"/>
      <c r="QQY111" s="3"/>
      <c r="QQZ111" s="3"/>
      <c r="QRA111" s="3"/>
      <c r="QRB111" s="3"/>
      <c r="QRC111" s="3"/>
      <c r="QRD111" s="3"/>
      <c r="QRE111" s="3"/>
      <c r="QRF111" s="3"/>
      <c r="QRG111" s="3"/>
      <c r="QRH111" s="3"/>
      <c r="QRI111" s="3"/>
      <c r="QRJ111" s="3"/>
      <c r="QRK111" s="3"/>
      <c r="QRL111" s="3"/>
      <c r="QRM111" s="3"/>
      <c r="QRN111" s="3"/>
      <c r="QRO111" s="3"/>
      <c r="QRP111" s="3"/>
      <c r="QRQ111" s="3"/>
      <c r="QRR111" s="3"/>
      <c r="QRS111" s="3"/>
      <c r="QRT111" s="3"/>
      <c r="QRU111" s="3"/>
      <c r="QRV111" s="3"/>
      <c r="QRW111" s="3"/>
      <c r="QRX111" s="3"/>
      <c r="QRY111" s="3"/>
      <c r="QRZ111" s="3"/>
      <c r="QSA111" s="3"/>
      <c r="QSB111" s="3"/>
      <c r="QSC111" s="3"/>
      <c r="QSD111" s="3"/>
      <c r="QSE111" s="3"/>
      <c r="QSF111" s="3"/>
      <c r="QSG111" s="3"/>
      <c r="QSH111" s="3"/>
      <c r="QSI111" s="3"/>
      <c r="QSJ111" s="3"/>
      <c r="QSK111" s="3"/>
      <c r="QSL111" s="3"/>
      <c r="QSM111" s="3"/>
      <c r="QSN111" s="3"/>
      <c r="QSO111" s="3"/>
      <c r="QSP111" s="3"/>
      <c r="QSQ111" s="3"/>
      <c r="QSR111" s="3"/>
      <c r="QSS111" s="3"/>
      <c r="QST111" s="3"/>
      <c r="QSU111" s="3"/>
      <c r="QSV111" s="3"/>
      <c r="QSW111" s="3"/>
      <c r="QSX111" s="3"/>
      <c r="QSY111" s="3"/>
      <c r="QSZ111" s="3"/>
      <c r="QTA111" s="3"/>
      <c r="QTB111" s="3"/>
      <c r="QTC111" s="3"/>
      <c r="QTD111" s="3"/>
      <c r="QTE111" s="3"/>
      <c r="QTF111" s="3"/>
      <c r="QTG111" s="3"/>
      <c r="QTH111" s="3"/>
      <c r="QTI111" s="3"/>
      <c r="QTJ111" s="3"/>
      <c r="QTK111" s="3"/>
      <c r="QTL111" s="3"/>
      <c r="QTM111" s="3"/>
      <c r="QTN111" s="3"/>
      <c r="QTO111" s="3"/>
      <c r="QTP111" s="3"/>
      <c r="QTQ111" s="3"/>
      <c r="QTR111" s="3"/>
      <c r="QTS111" s="3"/>
      <c r="QTT111" s="3"/>
      <c r="QTU111" s="3"/>
      <c r="QTV111" s="3"/>
      <c r="QTW111" s="3"/>
      <c r="QTX111" s="3"/>
      <c r="QTY111" s="3"/>
      <c r="QTZ111" s="3"/>
      <c r="QUA111" s="3"/>
      <c r="QUB111" s="3"/>
      <c r="QUC111" s="3"/>
      <c r="QUD111" s="3"/>
      <c r="QUE111" s="3"/>
      <c r="QUF111" s="3"/>
      <c r="QUG111" s="3"/>
      <c r="QUH111" s="3"/>
      <c r="QUI111" s="3"/>
      <c r="QUJ111" s="3"/>
      <c r="QUK111" s="3"/>
      <c r="QUL111" s="3"/>
      <c r="QUM111" s="3"/>
      <c r="QUN111" s="3"/>
      <c r="QUO111" s="3"/>
      <c r="QUP111" s="3"/>
      <c r="QUQ111" s="3"/>
      <c r="QUR111" s="3"/>
      <c r="QUS111" s="3"/>
      <c r="QUT111" s="3"/>
      <c r="QUU111" s="3"/>
      <c r="QUV111" s="3"/>
      <c r="QUW111" s="3"/>
      <c r="QUX111" s="3"/>
      <c r="QUY111" s="3"/>
      <c r="QUZ111" s="3"/>
      <c r="QVA111" s="3"/>
      <c r="QVB111" s="3"/>
      <c r="QVC111" s="3"/>
      <c r="QVD111" s="3"/>
      <c r="QVE111" s="3"/>
      <c r="QVF111" s="3"/>
      <c r="QVG111" s="3"/>
      <c r="QVH111" s="3"/>
      <c r="QVI111" s="3"/>
      <c r="QVJ111" s="3"/>
      <c r="QVK111" s="3"/>
      <c r="QVL111" s="3"/>
      <c r="QVM111" s="3"/>
      <c r="QVN111" s="3"/>
      <c r="QVO111" s="3"/>
      <c r="QVP111" s="3"/>
      <c r="QVQ111" s="3"/>
      <c r="QVR111" s="3"/>
      <c r="QVS111" s="3"/>
      <c r="QVT111" s="3"/>
      <c r="QVU111" s="3"/>
      <c r="QVV111" s="3"/>
      <c r="QVW111" s="3"/>
      <c r="QVX111" s="3"/>
      <c r="QVY111" s="3"/>
      <c r="QVZ111" s="3"/>
      <c r="QWA111" s="3"/>
      <c r="QWB111" s="3"/>
      <c r="QWC111" s="3"/>
      <c r="QWD111" s="3"/>
      <c r="QWE111" s="3"/>
      <c r="QWF111" s="3"/>
      <c r="QWG111" s="3"/>
      <c r="QWH111" s="3"/>
      <c r="QWI111" s="3"/>
      <c r="QWJ111" s="3"/>
      <c r="QWK111" s="3"/>
      <c r="QWL111" s="3"/>
      <c r="QWM111" s="3"/>
      <c r="QWN111" s="3"/>
      <c r="QWO111" s="3"/>
      <c r="QWP111" s="3"/>
      <c r="QWQ111" s="3"/>
      <c r="QWR111" s="3"/>
      <c r="QWS111" s="3"/>
      <c r="QWT111" s="3"/>
      <c r="QWU111" s="3"/>
      <c r="QWV111" s="3"/>
      <c r="QWW111" s="3"/>
      <c r="QWX111" s="3"/>
      <c r="QWY111" s="3"/>
      <c r="QWZ111" s="3"/>
      <c r="QXA111" s="3"/>
      <c r="QXB111" s="3"/>
      <c r="QXC111" s="3"/>
      <c r="QXD111" s="3"/>
      <c r="QXE111" s="3"/>
      <c r="QXF111" s="3"/>
      <c r="QXG111" s="3"/>
      <c r="QXH111" s="3"/>
      <c r="QXI111" s="3"/>
      <c r="QXJ111" s="3"/>
      <c r="QXK111" s="3"/>
      <c r="QXL111" s="3"/>
      <c r="QXM111" s="3"/>
      <c r="QXN111" s="3"/>
      <c r="QXO111" s="3"/>
      <c r="QXP111" s="3"/>
      <c r="QXQ111" s="3"/>
      <c r="QXR111" s="3"/>
      <c r="QXS111" s="3"/>
      <c r="QXT111" s="3"/>
      <c r="QXU111" s="3"/>
      <c r="QXV111" s="3"/>
      <c r="QXW111" s="3"/>
      <c r="QXX111" s="3"/>
      <c r="QXY111" s="3"/>
      <c r="QXZ111" s="3"/>
      <c r="QYA111" s="3"/>
      <c r="QYB111" s="3"/>
      <c r="QYC111" s="3"/>
      <c r="QYD111" s="3"/>
      <c r="QYE111" s="3"/>
      <c r="QYF111" s="3"/>
      <c r="QYG111" s="3"/>
      <c r="QYH111" s="3"/>
      <c r="QYI111" s="3"/>
      <c r="QYJ111" s="3"/>
      <c r="QYK111" s="3"/>
      <c r="QYL111" s="3"/>
      <c r="QYM111" s="3"/>
      <c r="QYN111" s="3"/>
      <c r="QYO111" s="3"/>
      <c r="QYP111" s="3"/>
      <c r="QYQ111" s="3"/>
      <c r="QYR111" s="3"/>
      <c r="QYS111" s="3"/>
      <c r="QYT111" s="3"/>
      <c r="QYU111" s="3"/>
      <c r="QYV111" s="3"/>
      <c r="QYW111" s="3"/>
      <c r="QYX111" s="3"/>
      <c r="QYY111" s="3"/>
      <c r="QYZ111" s="3"/>
      <c r="QZA111" s="3"/>
      <c r="QZB111" s="3"/>
      <c r="QZC111" s="3"/>
      <c r="QZD111" s="3"/>
      <c r="QZE111" s="3"/>
      <c r="QZF111" s="3"/>
      <c r="QZG111" s="3"/>
      <c r="QZH111" s="3"/>
      <c r="QZI111" s="3"/>
      <c r="QZJ111" s="3"/>
      <c r="QZK111" s="3"/>
      <c r="QZL111" s="3"/>
      <c r="QZM111" s="3"/>
      <c r="QZN111" s="3"/>
      <c r="QZO111" s="3"/>
      <c r="QZP111" s="3"/>
      <c r="QZQ111" s="3"/>
      <c r="QZR111" s="3"/>
      <c r="QZS111" s="3"/>
      <c r="QZT111" s="3"/>
      <c r="QZU111" s="3"/>
      <c r="QZV111" s="3"/>
      <c r="QZW111" s="3"/>
      <c r="QZX111" s="3"/>
      <c r="QZY111" s="3"/>
      <c r="QZZ111" s="3"/>
      <c r="RAA111" s="3"/>
      <c r="RAB111" s="3"/>
      <c r="RAC111" s="3"/>
      <c r="RAD111" s="3"/>
      <c r="RAE111" s="3"/>
      <c r="RAF111" s="3"/>
      <c r="RAG111" s="3"/>
      <c r="RAH111" s="3"/>
      <c r="RAI111" s="3"/>
      <c r="RAJ111" s="3"/>
      <c r="RAK111" s="3"/>
      <c r="RAL111" s="3"/>
      <c r="RAM111" s="3"/>
      <c r="RAN111" s="3"/>
      <c r="RAO111" s="3"/>
      <c r="RAP111" s="3"/>
      <c r="RAQ111" s="3"/>
      <c r="RAR111" s="3"/>
      <c r="RAS111" s="3"/>
      <c r="RAT111" s="3"/>
      <c r="RAU111" s="3"/>
      <c r="RAV111" s="3"/>
      <c r="RAW111" s="3"/>
      <c r="RAX111" s="3"/>
      <c r="RAY111" s="3"/>
      <c r="RAZ111" s="3"/>
      <c r="RBA111" s="3"/>
      <c r="RBB111" s="3"/>
      <c r="RBC111" s="3"/>
      <c r="RBD111" s="3"/>
      <c r="RBE111" s="3"/>
      <c r="RBF111" s="3"/>
      <c r="RBG111" s="3"/>
      <c r="RBH111" s="3"/>
      <c r="RBI111" s="3"/>
      <c r="RBJ111" s="3"/>
      <c r="RBK111" s="3"/>
      <c r="RBL111" s="3"/>
      <c r="RBM111" s="3"/>
      <c r="RBN111" s="3"/>
      <c r="RBO111" s="3"/>
      <c r="RBP111" s="3"/>
      <c r="RBQ111" s="3"/>
      <c r="RBR111" s="3"/>
      <c r="RBS111" s="3"/>
      <c r="RBT111" s="3"/>
      <c r="RBU111" s="3"/>
      <c r="RBV111" s="3"/>
      <c r="RBW111" s="3"/>
      <c r="RBX111" s="3"/>
      <c r="RBY111" s="3"/>
      <c r="RBZ111" s="3"/>
      <c r="RCA111" s="3"/>
      <c r="RCB111" s="3"/>
      <c r="RCC111" s="3"/>
      <c r="RCD111" s="3"/>
      <c r="RCE111" s="3"/>
      <c r="RCF111" s="3"/>
      <c r="RCG111" s="3"/>
      <c r="RCH111" s="3"/>
      <c r="RCI111" s="3"/>
      <c r="RCJ111" s="3"/>
      <c r="RCK111" s="3"/>
      <c r="RCL111" s="3"/>
      <c r="RCM111" s="3"/>
      <c r="RCN111" s="3"/>
      <c r="RCO111" s="3"/>
      <c r="RCP111" s="3"/>
      <c r="RCQ111" s="3"/>
      <c r="RCR111" s="3"/>
      <c r="RCS111" s="3"/>
      <c r="RCT111" s="3"/>
      <c r="RCU111" s="3"/>
      <c r="RCV111" s="3"/>
      <c r="RCW111" s="3"/>
      <c r="RCX111" s="3"/>
      <c r="RCY111" s="3"/>
      <c r="RCZ111" s="3"/>
      <c r="RDA111" s="3"/>
      <c r="RDB111" s="3"/>
      <c r="RDC111" s="3"/>
      <c r="RDD111" s="3"/>
      <c r="RDE111" s="3"/>
      <c r="RDF111" s="3"/>
      <c r="RDG111" s="3"/>
      <c r="RDH111" s="3"/>
      <c r="RDI111" s="3"/>
      <c r="RDJ111" s="3"/>
      <c r="RDK111" s="3"/>
      <c r="RDL111" s="3"/>
      <c r="RDM111" s="3"/>
      <c r="RDN111" s="3"/>
      <c r="RDO111" s="3"/>
      <c r="RDP111" s="3"/>
      <c r="RDQ111" s="3"/>
      <c r="RDR111" s="3"/>
      <c r="RDS111" s="3"/>
      <c r="RDT111" s="3"/>
      <c r="RDU111" s="3"/>
      <c r="RDV111" s="3"/>
      <c r="RDW111" s="3"/>
      <c r="RDX111" s="3"/>
      <c r="RDY111" s="3"/>
      <c r="RDZ111" s="3"/>
      <c r="REA111" s="3"/>
      <c r="REB111" s="3"/>
      <c r="REC111" s="3"/>
      <c r="RED111" s="3"/>
      <c r="REE111" s="3"/>
      <c r="REF111" s="3"/>
      <c r="REG111" s="3"/>
      <c r="REH111" s="3"/>
      <c r="REI111" s="3"/>
      <c r="REJ111" s="3"/>
      <c r="REK111" s="3"/>
      <c r="REL111" s="3"/>
      <c r="REM111" s="3"/>
      <c r="REN111" s="3"/>
      <c r="REO111" s="3"/>
      <c r="REP111" s="3"/>
      <c r="REQ111" s="3"/>
      <c r="RER111" s="3"/>
      <c r="RES111" s="3"/>
      <c r="RET111" s="3"/>
      <c r="REU111" s="3"/>
      <c r="REV111" s="3"/>
      <c r="REW111" s="3"/>
      <c r="REX111" s="3"/>
      <c r="REY111" s="3"/>
      <c r="REZ111" s="3"/>
      <c r="RFA111" s="3"/>
      <c r="RFB111" s="3"/>
      <c r="RFC111" s="3"/>
      <c r="RFD111" s="3"/>
      <c r="RFE111" s="3"/>
      <c r="RFF111" s="3"/>
      <c r="RFG111" s="3"/>
      <c r="RFH111" s="3"/>
      <c r="RFI111" s="3"/>
      <c r="RFJ111" s="3"/>
      <c r="RFK111" s="3"/>
      <c r="RFL111" s="3"/>
      <c r="RFM111" s="3"/>
      <c r="RFN111" s="3"/>
      <c r="RFO111" s="3"/>
      <c r="RFP111" s="3"/>
      <c r="RFQ111" s="3"/>
      <c r="RFR111" s="3"/>
      <c r="RFS111" s="3"/>
      <c r="RFT111" s="3"/>
      <c r="RFU111" s="3"/>
      <c r="RFV111" s="3"/>
      <c r="RFW111" s="3"/>
      <c r="RFX111" s="3"/>
      <c r="RFY111" s="3"/>
      <c r="RFZ111" s="3"/>
      <c r="RGA111" s="3"/>
      <c r="RGB111" s="3"/>
      <c r="RGC111" s="3"/>
      <c r="RGD111" s="3"/>
      <c r="RGE111" s="3"/>
      <c r="RGF111" s="3"/>
      <c r="RGG111" s="3"/>
      <c r="RGH111" s="3"/>
      <c r="RGI111" s="3"/>
      <c r="RGJ111" s="3"/>
      <c r="RGK111" s="3"/>
      <c r="RGL111" s="3"/>
      <c r="RGM111" s="3"/>
      <c r="RGN111" s="3"/>
      <c r="RGO111" s="3"/>
      <c r="RGP111" s="3"/>
      <c r="RGQ111" s="3"/>
      <c r="RGR111" s="3"/>
      <c r="RGS111" s="3"/>
      <c r="RGT111" s="3"/>
      <c r="RGU111" s="3"/>
      <c r="RGV111" s="3"/>
      <c r="RGW111" s="3"/>
      <c r="RGX111" s="3"/>
      <c r="RGY111" s="3"/>
      <c r="RGZ111" s="3"/>
      <c r="RHA111" s="3"/>
      <c r="RHB111" s="3"/>
      <c r="RHC111" s="3"/>
      <c r="RHD111" s="3"/>
      <c r="RHE111" s="3"/>
      <c r="RHF111" s="3"/>
      <c r="RHG111" s="3"/>
      <c r="RHH111" s="3"/>
      <c r="RHI111" s="3"/>
      <c r="RHJ111" s="3"/>
      <c r="RHK111" s="3"/>
      <c r="RHL111" s="3"/>
      <c r="RHM111" s="3"/>
      <c r="RHN111" s="3"/>
      <c r="RHO111" s="3"/>
      <c r="RHP111" s="3"/>
      <c r="RHQ111" s="3"/>
      <c r="RHR111" s="3"/>
      <c r="RHS111" s="3"/>
      <c r="RHT111" s="3"/>
      <c r="RHU111" s="3"/>
      <c r="RHV111" s="3"/>
      <c r="RHW111" s="3"/>
      <c r="RHX111" s="3"/>
      <c r="RHY111" s="3"/>
      <c r="RHZ111" s="3"/>
      <c r="RIA111" s="3"/>
      <c r="RIB111" s="3"/>
      <c r="RIC111" s="3"/>
      <c r="RID111" s="3"/>
      <c r="RIE111" s="3"/>
      <c r="RIF111" s="3"/>
      <c r="RIG111" s="3"/>
      <c r="RIH111" s="3"/>
      <c r="RII111" s="3"/>
      <c r="RIJ111" s="3"/>
      <c r="RIK111" s="3"/>
      <c r="RIL111" s="3"/>
      <c r="RIM111" s="3"/>
      <c r="RIN111" s="3"/>
      <c r="RIO111" s="3"/>
      <c r="RIP111" s="3"/>
      <c r="RIQ111" s="3"/>
      <c r="RIR111" s="3"/>
      <c r="RIS111" s="3"/>
      <c r="RIT111" s="3"/>
      <c r="RIU111" s="3"/>
      <c r="RIV111" s="3"/>
      <c r="RIW111" s="3"/>
      <c r="RIX111" s="3"/>
      <c r="RIY111" s="3"/>
      <c r="RIZ111" s="3"/>
      <c r="RJA111" s="3"/>
      <c r="RJB111" s="3"/>
      <c r="RJC111" s="3"/>
      <c r="RJD111" s="3"/>
      <c r="RJE111" s="3"/>
      <c r="RJF111" s="3"/>
      <c r="RJG111" s="3"/>
      <c r="RJH111" s="3"/>
      <c r="RJI111" s="3"/>
      <c r="RJJ111" s="3"/>
      <c r="RJK111" s="3"/>
      <c r="RJL111" s="3"/>
      <c r="RJM111" s="3"/>
      <c r="RJN111" s="3"/>
      <c r="RJO111" s="3"/>
      <c r="RJP111" s="3"/>
      <c r="RJQ111" s="3"/>
      <c r="RJR111" s="3"/>
      <c r="RJS111" s="3"/>
      <c r="RJT111" s="3"/>
      <c r="RJU111" s="3"/>
      <c r="RJV111" s="3"/>
      <c r="RJW111" s="3"/>
      <c r="RJX111" s="3"/>
      <c r="RJY111" s="3"/>
      <c r="RJZ111" s="3"/>
      <c r="RKA111" s="3"/>
      <c r="RKB111" s="3"/>
      <c r="RKC111" s="3"/>
      <c r="RKD111" s="3"/>
      <c r="RKE111" s="3"/>
      <c r="RKF111" s="3"/>
      <c r="RKG111" s="3"/>
      <c r="RKH111" s="3"/>
      <c r="RKI111" s="3"/>
      <c r="RKJ111" s="3"/>
      <c r="RKK111" s="3"/>
      <c r="RKL111" s="3"/>
      <c r="RKM111" s="3"/>
      <c r="RKN111" s="3"/>
      <c r="RKO111" s="3"/>
      <c r="RKP111" s="3"/>
      <c r="RKQ111" s="3"/>
      <c r="RKR111" s="3"/>
      <c r="RKS111" s="3"/>
      <c r="RKT111" s="3"/>
      <c r="RKU111" s="3"/>
      <c r="RKV111" s="3"/>
      <c r="RKW111" s="3"/>
      <c r="RKX111" s="3"/>
      <c r="RKY111" s="3"/>
      <c r="RKZ111" s="3"/>
      <c r="RLA111" s="3"/>
      <c r="RLB111" s="3"/>
      <c r="RLC111" s="3"/>
      <c r="RLD111" s="3"/>
      <c r="RLE111" s="3"/>
      <c r="RLF111" s="3"/>
      <c r="RLG111" s="3"/>
      <c r="RLH111" s="3"/>
      <c r="RLI111" s="3"/>
      <c r="RLJ111" s="3"/>
      <c r="RLK111" s="3"/>
      <c r="RLL111" s="3"/>
      <c r="RLM111" s="3"/>
      <c r="RLN111" s="3"/>
      <c r="RLO111" s="3"/>
      <c r="RLP111" s="3"/>
      <c r="RLQ111" s="3"/>
      <c r="RLR111" s="3"/>
      <c r="RLS111" s="3"/>
      <c r="RLT111" s="3"/>
      <c r="RLU111" s="3"/>
      <c r="RLV111" s="3"/>
      <c r="RLW111" s="3"/>
      <c r="RLX111" s="3"/>
      <c r="RLY111" s="3"/>
      <c r="RLZ111" s="3"/>
      <c r="RMA111" s="3"/>
      <c r="RMB111" s="3"/>
      <c r="RMC111" s="3"/>
      <c r="RMD111" s="3"/>
      <c r="RME111" s="3"/>
      <c r="RMF111" s="3"/>
      <c r="RMG111" s="3"/>
      <c r="RMH111" s="3"/>
      <c r="RMI111" s="3"/>
      <c r="RMJ111" s="3"/>
      <c r="RMK111" s="3"/>
      <c r="RML111" s="3"/>
      <c r="RMM111" s="3"/>
      <c r="RMN111" s="3"/>
      <c r="RMO111" s="3"/>
      <c r="RMP111" s="3"/>
      <c r="RMQ111" s="3"/>
      <c r="RMR111" s="3"/>
      <c r="RMS111" s="3"/>
      <c r="RMT111" s="3"/>
      <c r="RMU111" s="3"/>
      <c r="RMV111" s="3"/>
      <c r="RMW111" s="3"/>
      <c r="RMX111" s="3"/>
      <c r="RMY111" s="3"/>
      <c r="RMZ111" s="3"/>
      <c r="RNA111" s="3"/>
      <c r="RNB111" s="3"/>
      <c r="RNC111" s="3"/>
      <c r="RND111" s="3"/>
      <c r="RNE111" s="3"/>
      <c r="RNF111" s="3"/>
      <c r="RNG111" s="3"/>
      <c r="RNH111" s="3"/>
      <c r="RNI111" s="3"/>
      <c r="RNJ111" s="3"/>
      <c r="RNK111" s="3"/>
      <c r="RNL111" s="3"/>
      <c r="RNM111" s="3"/>
      <c r="RNN111" s="3"/>
      <c r="RNO111" s="3"/>
      <c r="RNP111" s="3"/>
      <c r="RNQ111" s="3"/>
      <c r="RNR111" s="3"/>
      <c r="RNS111" s="3"/>
      <c r="RNT111" s="3"/>
      <c r="RNU111" s="3"/>
      <c r="RNV111" s="3"/>
      <c r="RNW111" s="3"/>
      <c r="RNX111" s="3"/>
      <c r="RNY111" s="3"/>
      <c r="RNZ111" s="3"/>
      <c r="ROA111" s="3"/>
      <c r="ROB111" s="3"/>
      <c r="ROC111" s="3"/>
      <c r="ROD111" s="3"/>
      <c r="ROE111" s="3"/>
      <c r="ROF111" s="3"/>
      <c r="ROG111" s="3"/>
      <c r="ROH111" s="3"/>
      <c r="ROI111" s="3"/>
      <c r="ROJ111" s="3"/>
      <c r="ROK111" s="3"/>
      <c r="ROL111" s="3"/>
      <c r="ROM111" s="3"/>
      <c r="RON111" s="3"/>
      <c r="ROO111" s="3"/>
      <c r="ROP111" s="3"/>
      <c r="ROQ111" s="3"/>
      <c r="ROR111" s="3"/>
      <c r="ROS111" s="3"/>
      <c r="ROT111" s="3"/>
      <c r="ROU111" s="3"/>
      <c r="ROV111" s="3"/>
      <c r="ROW111" s="3"/>
      <c r="ROX111" s="3"/>
      <c r="ROY111" s="3"/>
      <c r="ROZ111" s="3"/>
      <c r="RPA111" s="3"/>
      <c r="RPB111" s="3"/>
      <c r="RPC111" s="3"/>
      <c r="RPD111" s="3"/>
      <c r="RPE111" s="3"/>
      <c r="RPF111" s="3"/>
      <c r="RPG111" s="3"/>
      <c r="RPH111" s="3"/>
      <c r="RPI111" s="3"/>
      <c r="RPJ111" s="3"/>
      <c r="RPK111" s="3"/>
      <c r="RPL111" s="3"/>
      <c r="RPM111" s="3"/>
      <c r="RPN111" s="3"/>
      <c r="RPO111" s="3"/>
      <c r="RPP111" s="3"/>
      <c r="RPQ111" s="3"/>
      <c r="RPR111" s="3"/>
      <c r="RPS111" s="3"/>
      <c r="RPT111" s="3"/>
      <c r="RPU111" s="3"/>
      <c r="RPV111" s="3"/>
      <c r="RPW111" s="3"/>
      <c r="RPX111" s="3"/>
      <c r="RPY111" s="3"/>
      <c r="RPZ111" s="3"/>
      <c r="RQA111" s="3"/>
      <c r="RQB111" s="3"/>
      <c r="RQC111" s="3"/>
      <c r="RQD111" s="3"/>
      <c r="RQE111" s="3"/>
      <c r="RQF111" s="3"/>
      <c r="RQG111" s="3"/>
      <c r="RQH111" s="3"/>
      <c r="RQI111" s="3"/>
      <c r="RQJ111" s="3"/>
      <c r="RQK111" s="3"/>
      <c r="RQL111" s="3"/>
      <c r="RQM111" s="3"/>
      <c r="RQN111" s="3"/>
      <c r="RQO111" s="3"/>
      <c r="RQP111" s="3"/>
      <c r="RQQ111" s="3"/>
      <c r="RQR111" s="3"/>
      <c r="RQS111" s="3"/>
      <c r="RQT111" s="3"/>
      <c r="RQU111" s="3"/>
      <c r="RQV111" s="3"/>
      <c r="RQW111" s="3"/>
      <c r="RQX111" s="3"/>
      <c r="RQY111" s="3"/>
      <c r="RQZ111" s="3"/>
      <c r="RRA111" s="3"/>
      <c r="RRB111" s="3"/>
      <c r="RRC111" s="3"/>
      <c r="RRD111" s="3"/>
      <c r="RRE111" s="3"/>
      <c r="RRF111" s="3"/>
      <c r="RRG111" s="3"/>
      <c r="RRH111" s="3"/>
      <c r="RRI111" s="3"/>
      <c r="RRJ111" s="3"/>
      <c r="RRK111" s="3"/>
      <c r="RRL111" s="3"/>
      <c r="RRM111" s="3"/>
      <c r="RRN111" s="3"/>
      <c r="RRO111" s="3"/>
      <c r="RRP111" s="3"/>
      <c r="RRQ111" s="3"/>
      <c r="RRR111" s="3"/>
      <c r="RRS111" s="3"/>
      <c r="RRT111" s="3"/>
      <c r="RRU111" s="3"/>
      <c r="RRV111" s="3"/>
      <c r="RRW111" s="3"/>
      <c r="RRX111" s="3"/>
      <c r="RRY111" s="3"/>
      <c r="RRZ111" s="3"/>
      <c r="RSA111" s="3"/>
      <c r="RSB111" s="3"/>
      <c r="RSC111" s="3"/>
      <c r="RSD111" s="3"/>
      <c r="RSE111" s="3"/>
      <c r="RSF111" s="3"/>
      <c r="RSG111" s="3"/>
      <c r="RSH111" s="3"/>
      <c r="RSI111" s="3"/>
      <c r="RSJ111" s="3"/>
      <c r="RSK111" s="3"/>
      <c r="RSL111" s="3"/>
      <c r="RSM111" s="3"/>
      <c r="RSN111" s="3"/>
      <c r="RSO111" s="3"/>
      <c r="RSP111" s="3"/>
      <c r="RSQ111" s="3"/>
      <c r="RSR111" s="3"/>
      <c r="RSS111" s="3"/>
      <c r="RST111" s="3"/>
      <c r="RSU111" s="3"/>
      <c r="RSV111" s="3"/>
      <c r="RSW111" s="3"/>
      <c r="RSX111" s="3"/>
      <c r="RSY111" s="3"/>
      <c r="RSZ111" s="3"/>
      <c r="RTA111" s="3"/>
      <c r="RTB111" s="3"/>
      <c r="RTC111" s="3"/>
      <c r="RTD111" s="3"/>
      <c r="RTE111" s="3"/>
      <c r="RTF111" s="3"/>
      <c r="RTG111" s="3"/>
      <c r="RTH111" s="3"/>
      <c r="RTI111" s="3"/>
      <c r="RTJ111" s="3"/>
      <c r="RTK111" s="3"/>
      <c r="RTL111" s="3"/>
      <c r="RTM111" s="3"/>
      <c r="RTN111" s="3"/>
      <c r="RTO111" s="3"/>
      <c r="RTP111" s="3"/>
      <c r="RTQ111" s="3"/>
      <c r="RTR111" s="3"/>
      <c r="RTS111" s="3"/>
      <c r="RTT111" s="3"/>
      <c r="RTU111" s="3"/>
      <c r="RTV111" s="3"/>
      <c r="RTW111" s="3"/>
      <c r="RTX111" s="3"/>
      <c r="RTY111" s="3"/>
      <c r="RTZ111" s="3"/>
      <c r="RUA111" s="3"/>
      <c r="RUB111" s="3"/>
      <c r="RUC111" s="3"/>
      <c r="RUD111" s="3"/>
      <c r="RUE111" s="3"/>
      <c r="RUF111" s="3"/>
      <c r="RUG111" s="3"/>
      <c r="RUH111" s="3"/>
      <c r="RUI111" s="3"/>
      <c r="RUJ111" s="3"/>
      <c r="RUK111" s="3"/>
      <c r="RUL111" s="3"/>
      <c r="RUM111" s="3"/>
      <c r="RUN111" s="3"/>
      <c r="RUO111" s="3"/>
      <c r="RUP111" s="3"/>
      <c r="RUQ111" s="3"/>
      <c r="RUR111" s="3"/>
      <c r="RUS111" s="3"/>
      <c r="RUT111" s="3"/>
      <c r="RUU111" s="3"/>
      <c r="RUV111" s="3"/>
      <c r="RUW111" s="3"/>
      <c r="RUX111" s="3"/>
      <c r="RUY111" s="3"/>
      <c r="RUZ111" s="3"/>
      <c r="RVA111" s="3"/>
      <c r="RVB111" s="3"/>
      <c r="RVC111" s="3"/>
      <c r="RVD111" s="3"/>
      <c r="RVE111" s="3"/>
      <c r="RVF111" s="3"/>
      <c r="RVG111" s="3"/>
      <c r="RVH111" s="3"/>
      <c r="RVI111" s="3"/>
      <c r="RVJ111" s="3"/>
      <c r="RVK111" s="3"/>
      <c r="RVL111" s="3"/>
      <c r="RVM111" s="3"/>
      <c r="RVN111" s="3"/>
      <c r="RVO111" s="3"/>
      <c r="RVP111" s="3"/>
      <c r="RVQ111" s="3"/>
      <c r="RVR111" s="3"/>
      <c r="RVS111" s="3"/>
      <c r="RVT111" s="3"/>
      <c r="RVU111" s="3"/>
      <c r="RVV111" s="3"/>
      <c r="RVW111" s="3"/>
      <c r="RVX111" s="3"/>
      <c r="RVY111" s="3"/>
      <c r="RVZ111" s="3"/>
      <c r="RWA111" s="3"/>
      <c r="RWB111" s="3"/>
      <c r="RWC111" s="3"/>
      <c r="RWD111" s="3"/>
      <c r="RWE111" s="3"/>
      <c r="RWF111" s="3"/>
      <c r="RWG111" s="3"/>
      <c r="RWH111" s="3"/>
      <c r="RWI111" s="3"/>
      <c r="RWJ111" s="3"/>
      <c r="RWK111" s="3"/>
      <c r="RWL111" s="3"/>
      <c r="RWM111" s="3"/>
      <c r="RWN111" s="3"/>
      <c r="RWO111" s="3"/>
      <c r="RWP111" s="3"/>
      <c r="RWQ111" s="3"/>
      <c r="RWR111" s="3"/>
      <c r="RWS111" s="3"/>
      <c r="RWT111" s="3"/>
      <c r="RWU111" s="3"/>
      <c r="RWV111" s="3"/>
      <c r="RWW111" s="3"/>
      <c r="RWX111" s="3"/>
      <c r="RWY111" s="3"/>
      <c r="RWZ111" s="3"/>
      <c r="RXA111" s="3"/>
      <c r="RXB111" s="3"/>
      <c r="RXC111" s="3"/>
      <c r="RXD111" s="3"/>
      <c r="RXE111" s="3"/>
      <c r="RXF111" s="3"/>
      <c r="RXG111" s="3"/>
      <c r="RXH111" s="3"/>
      <c r="RXI111" s="3"/>
      <c r="RXJ111" s="3"/>
      <c r="RXK111" s="3"/>
      <c r="RXL111" s="3"/>
      <c r="RXM111" s="3"/>
      <c r="RXN111" s="3"/>
      <c r="RXO111" s="3"/>
      <c r="RXP111" s="3"/>
      <c r="RXQ111" s="3"/>
      <c r="RXR111" s="3"/>
      <c r="RXS111" s="3"/>
      <c r="RXT111" s="3"/>
      <c r="RXU111" s="3"/>
      <c r="RXV111" s="3"/>
      <c r="RXW111" s="3"/>
      <c r="RXX111" s="3"/>
      <c r="RXY111" s="3"/>
      <c r="RXZ111" s="3"/>
      <c r="RYA111" s="3"/>
      <c r="RYB111" s="3"/>
      <c r="RYC111" s="3"/>
      <c r="RYD111" s="3"/>
      <c r="RYE111" s="3"/>
      <c r="RYF111" s="3"/>
      <c r="RYG111" s="3"/>
      <c r="RYH111" s="3"/>
      <c r="RYI111" s="3"/>
      <c r="RYJ111" s="3"/>
      <c r="RYK111" s="3"/>
      <c r="RYL111" s="3"/>
      <c r="RYM111" s="3"/>
      <c r="RYN111" s="3"/>
      <c r="RYO111" s="3"/>
      <c r="RYP111" s="3"/>
      <c r="RYQ111" s="3"/>
      <c r="RYR111" s="3"/>
      <c r="RYS111" s="3"/>
      <c r="RYT111" s="3"/>
      <c r="RYU111" s="3"/>
      <c r="RYV111" s="3"/>
      <c r="RYW111" s="3"/>
      <c r="RYX111" s="3"/>
      <c r="RYY111" s="3"/>
      <c r="RYZ111" s="3"/>
      <c r="RZA111" s="3"/>
      <c r="RZB111" s="3"/>
      <c r="RZC111" s="3"/>
      <c r="RZD111" s="3"/>
      <c r="RZE111" s="3"/>
      <c r="RZF111" s="3"/>
      <c r="RZG111" s="3"/>
      <c r="RZH111" s="3"/>
      <c r="RZI111" s="3"/>
      <c r="RZJ111" s="3"/>
      <c r="RZK111" s="3"/>
      <c r="RZL111" s="3"/>
      <c r="RZM111" s="3"/>
      <c r="RZN111" s="3"/>
      <c r="RZO111" s="3"/>
      <c r="RZP111" s="3"/>
      <c r="RZQ111" s="3"/>
      <c r="RZR111" s="3"/>
      <c r="RZS111" s="3"/>
      <c r="RZT111" s="3"/>
      <c r="RZU111" s="3"/>
      <c r="RZV111" s="3"/>
      <c r="RZW111" s="3"/>
      <c r="RZX111" s="3"/>
      <c r="RZY111" s="3"/>
      <c r="RZZ111" s="3"/>
      <c r="SAA111" s="3"/>
      <c r="SAB111" s="3"/>
      <c r="SAC111" s="3"/>
      <c r="SAD111" s="3"/>
      <c r="SAE111" s="3"/>
      <c r="SAF111" s="3"/>
      <c r="SAG111" s="3"/>
      <c r="SAH111" s="3"/>
      <c r="SAI111" s="3"/>
      <c r="SAJ111" s="3"/>
      <c r="SAK111" s="3"/>
      <c r="SAL111" s="3"/>
      <c r="SAM111" s="3"/>
      <c r="SAN111" s="3"/>
      <c r="SAO111" s="3"/>
      <c r="SAP111" s="3"/>
      <c r="SAQ111" s="3"/>
      <c r="SAR111" s="3"/>
      <c r="SAS111" s="3"/>
      <c r="SAT111" s="3"/>
      <c r="SAU111" s="3"/>
      <c r="SAV111" s="3"/>
      <c r="SAW111" s="3"/>
      <c r="SAX111" s="3"/>
      <c r="SAY111" s="3"/>
      <c r="SAZ111" s="3"/>
      <c r="SBA111" s="3"/>
      <c r="SBB111" s="3"/>
      <c r="SBC111" s="3"/>
      <c r="SBD111" s="3"/>
      <c r="SBE111" s="3"/>
      <c r="SBF111" s="3"/>
      <c r="SBG111" s="3"/>
      <c r="SBH111" s="3"/>
      <c r="SBI111" s="3"/>
      <c r="SBJ111" s="3"/>
      <c r="SBK111" s="3"/>
      <c r="SBL111" s="3"/>
      <c r="SBM111" s="3"/>
      <c r="SBN111" s="3"/>
      <c r="SBO111" s="3"/>
      <c r="SBP111" s="3"/>
      <c r="SBQ111" s="3"/>
      <c r="SBR111" s="3"/>
      <c r="SBS111" s="3"/>
      <c r="SBT111" s="3"/>
      <c r="SBU111" s="3"/>
      <c r="SBV111" s="3"/>
      <c r="SBW111" s="3"/>
      <c r="SBX111" s="3"/>
      <c r="SBY111" s="3"/>
      <c r="SBZ111" s="3"/>
      <c r="SCA111" s="3"/>
      <c r="SCB111" s="3"/>
      <c r="SCC111" s="3"/>
      <c r="SCD111" s="3"/>
      <c r="SCE111" s="3"/>
      <c r="SCF111" s="3"/>
      <c r="SCG111" s="3"/>
      <c r="SCH111" s="3"/>
      <c r="SCI111" s="3"/>
      <c r="SCJ111" s="3"/>
      <c r="SCK111" s="3"/>
      <c r="SCL111" s="3"/>
      <c r="SCM111" s="3"/>
      <c r="SCN111" s="3"/>
      <c r="SCO111" s="3"/>
      <c r="SCP111" s="3"/>
      <c r="SCQ111" s="3"/>
      <c r="SCR111" s="3"/>
      <c r="SCS111" s="3"/>
      <c r="SCT111" s="3"/>
      <c r="SCU111" s="3"/>
      <c r="SCV111" s="3"/>
      <c r="SCW111" s="3"/>
      <c r="SCX111" s="3"/>
      <c r="SCY111" s="3"/>
      <c r="SCZ111" s="3"/>
      <c r="SDA111" s="3"/>
      <c r="SDB111" s="3"/>
      <c r="SDC111" s="3"/>
      <c r="SDD111" s="3"/>
      <c r="SDE111" s="3"/>
      <c r="SDF111" s="3"/>
      <c r="SDG111" s="3"/>
      <c r="SDH111" s="3"/>
      <c r="SDI111" s="3"/>
      <c r="SDJ111" s="3"/>
      <c r="SDK111" s="3"/>
      <c r="SDL111" s="3"/>
      <c r="SDM111" s="3"/>
      <c r="SDN111" s="3"/>
      <c r="SDO111" s="3"/>
      <c r="SDP111" s="3"/>
      <c r="SDQ111" s="3"/>
      <c r="SDR111" s="3"/>
      <c r="SDS111" s="3"/>
      <c r="SDT111" s="3"/>
      <c r="SDU111" s="3"/>
      <c r="SDV111" s="3"/>
      <c r="SDW111" s="3"/>
      <c r="SDX111" s="3"/>
      <c r="SDY111" s="3"/>
      <c r="SDZ111" s="3"/>
      <c r="SEA111" s="3"/>
      <c r="SEB111" s="3"/>
      <c r="SEC111" s="3"/>
      <c r="SED111" s="3"/>
      <c r="SEE111" s="3"/>
      <c r="SEF111" s="3"/>
      <c r="SEG111" s="3"/>
      <c r="SEH111" s="3"/>
      <c r="SEI111" s="3"/>
      <c r="SEJ111" s="3"/>
      <c r="SEK111" s="3"/>
      <c r="SEL111" s="3"/>
      <c r="SEM111" s="3"/>
      <c r="SEN111" s="3"/>
      <c r="SEO111" s="3"/>
      <c r="SEP111" s="3"/>
      <c r="SEQ111" s="3"/>
      <c r="SER111" s="3"/>
      <c r="SES111" s="3"/>
      <c r="SET111" s="3"/>
      <c r="SEU111" s="3"/>
      <c r="SEV111" s="3"/>
      <c r="SEW111" s="3"/>
      <c r="SEX111" s="3"/>
      <c r="SEY111" s="3"/>
      <c r="SEZ111" s="3"/>
      <c r="SFA111" s="3"/>
      <c r="SFB111" s="3"/>
      <c r="SFC111" s="3"/>
      <c r="SFD111" s="3"/>
      <c r="SFE111" s="3"/>
      <c r="SFF111" s="3"/>
      <c r="SFG111" s="3"/>
      <c r="SFH111" s="3"/>
      <c r="SFI111" s="3"/>
      <c r="SFJ111" s="3"/>
      <c r="SFK111" s="3"/>
      <c r="SFL111" s="3"/>
      <c r="SFM111" s="3"/>
      <c r="SFN111" s="3"/>
      <c r="SFO111" s="3"/>
      <c r="SFP111" s="3"/>
      <c r="SFQ111" s="3"/>
      <c r="SFR111" s="3"/>
      <c r="SFS111" s="3"/>
      <c r="SFT111" s="3"/>
      <c r="SFU111" s="3"/>
      <c r="SFV111" s="3"/>
      <c r="SFW111" s="3"/>
      <c r="SFX111" s="3"/>
      <c r="SFY111" s="3"/>
      <c r="SFZ111" s="3"/>
      <c r="SGA111" s="3"/>
      <c r="SGB111" s="3"/>
      <c r="SGC111" s="3"/>
      <c r="SGD111" s="3"/>
      <c r="SGE111" s="3"/>
      <c r="SGF111" s="3"/>
      <c r="SGG111" s="3"/>
      <c r="SGH111" s="3"/>
      <c r="SGI111" s="3"/>
      <c r="SGJ111" s="3"/>
      <c r="SGK111" s="3"/>
      <c r="SGL111" s="3"/>
      <c r="SGM111" s="3"/>
      <c r="SGN111" s="3"/>
      <c r="SGO111" s="3"/>
      <c r="SGP111" s="3"/>
      <c r="SGQ111" s="3"/>
      <c r="SGR111" s="3"/>
      <c r="SGS111" s="3"/>
      <c r="SGT111" s="3"/>
      <c r="SGU111" s="3"/>
      <c r="SGV111" s="3"/>
      <c r="SGW111" s="3"/>
      <c r="SGX111" s="3"/>
      <c r="SGY111" s="3"/>
      <c r="SGZ111" s="3"/>
      <c r="SHA111" s="3"/>
      <c r="SHB111" s="3"/>
      <c r="SHC111" s="3"/>
      <c r="SHD111" s="3"/>
      <c r="SHE111" s="3"/>
      <c r="SHF111" s="3"/>
      <c r="SHG111" s="3"/>
      <c r="SHH111" s="3"/>
      <c r="SHI111" s="3"/>
      <c r="SHJ111" s="3"/>
      <c r="SHK111" s="3"/>
      <c r="SHL111" s="3"/>
      <c r="SHM111" s="3"/>
      <c r="SHN111" s="3"/>
      <c r="SHO111" s="3"/>
      <c r="SHP111" s="3"/>
      <c r="SHQ111" s="3"/>
      <c r="SHR111" s="3"/>
      <c r="SHS111" s="3"/>
      <c r="SHT111" s="3"/>
      <c r="SHU111" s="3"/>
      <c r="SHV111" s="3"/>
      <c r="SHW111" s="3"/>
      <c r="SHX111" s="3"/>
      <c r="SHY111" s="3"/>
      <c r="SHZ111" s="3"/>
      <c r="SIA111" s="3"/>
      <c r="SIB111" s="3"/>
      <c r="SIC111" s="3"/>
      <c r="SID111" s="3"/>
      <c r="SIE111" s="3"/>
      <c r="SIF111" s="3"/>
      <c r="SIG111" s="3"/>
      <c r="SIH111" s="3"/>
      <c r="SII111" s="3"/>
      <c r="SIJ111" s="3"/>
      <c r="SIK111" s="3"/>
      <c r="SIL111" s="3"/>
      <c r="SIM111" s="3"/>
      <c r="SIN111" s="3"/>
      <c r="SIO111" s="3"/>
      <c r="SIP111" s="3"/>
      <c r="SIQ111" s="3"/>
      <c r="SIR111" s="3"/>
      <c r="SIS111" s="3"/>
      <c r="SIT111" s="3"/>
      <c r="SIU111" s="3"/>
      <c r="SIV111" s="3"/>
      <c r="SIW111" s="3"/>
      <c r="SIX111" s="3"/>
      <c r="SIY111" s="3"/>
      <c r="SIZ111" s="3"/>
      <c r="SJA111" s="3"/>
      <c r="SJB111" s="3"/>
      <c r="SJC111" s="3"/>
      <c r="SJD111" s="3"/>
      <c r="SJE111" s="3"/>
      <c r="SJF111" s="3"/>
      <c r="SJG111" s="3"/>
      <c r="SJH111" s="3"/>
      <c r="SJI111" s="3"/>
      <c r="SJJ111" s="3"/>
      <c r="SJK111" s="3"/>
      <c r="SJL111" s="3"/>
      <c r="SJM111" s="3"/>
      <c r="SJN111" s="3"/>
      <c r="SJO111" s="3"/>
      <c r="SJP111" s="3"/>
      <c r="SJQ111" s="3"/>
      <c r="SJR111" s="3"/>
      <c r="SJS111" s="3"/>
      <c r="SJT111" s="3"/>
      <c r="SJU111" s="3"/>
      <c r="SJV111" s="3"/>
      <c r="SJW111" s="3"/>
      <c r="SJX111" s="3"/>
      <c r="SJY111" s="3"/>
      <c r="SJZ111" s="3"/>
      <c r="SKA111" s="3"/>
      <c r="SKB111" s="3"/>
      <c r="SKC111" s="3"/>
      <c r="SKD111" s="3"/>
      <c r="SKE111" s="3"/>
      <c r="SKF111" s="3"/>
      <c r="SKG111" s="3"/>
      <c r="SKH111" s="3"/>
      <c r="SKI111" s="3"/>
      <c r="SKJ111" s="3"/>
      <c r="SKK111" s="3"/>
      <c r="SKL111" s="3"/>
      <c r="SKM111" s="3"/>
      <c r="SKN111" s="3"/>
      <c r="SKO111" s="3"/>
      <c r="SKP111" s="3"/>
      <c r="SKQ111" s="3"/>
      <c r="SKR111" s="3"/>
      <c r="SKS111" s="3"/>
      <c r="SKT111" s="3"/>
      <c r="SKU111" s="3"/>
      <c r="SKV111" s="3"/>
      <c r="SKW111" s="3"/>
      <c r="SKX111" s="3"/>
      <c r="SKY111" s="3"/>
      <c r="SKZ111" s="3"/>
      <c r="SLA111" s="3"/>
      <c r="SLB111" s="3"/>
      <c r="SLC111" s="3"/>
      <c r="SLD111" s="3"/>
      <c r="SLE111" s="3"/>
      <c r="SLF111" s="3"/>
      <c r="SLG111" s="3"/>
      <c r="SLH111" s="3"/>
      <c r="SLI111" s="3"/>
      <c r="SLJ111" s="3"/>
      <c r="SLK111" s="3"/>
      <c r="SLL111" s="3"/>
      <c r="SLM111" s="3"/>
      <c r="SLN111" s="3"/>
      <c r="SLO111" s="3"/>
      <c r="SLP111" s="3"/>
      <c r="SLQ111" s="3"/>
      <c r="SLR111" s="3"/>
      <c r="SLS111" s="3"/>
      <c r="SLT111" s="3"/>
      <c r="SLU111" s="3"/>
      <c r="SLV111" s="3"/>
      <c r="SLW111" s="3"/>
      <c r="SLX111" s="3"/>
      <c r="SLY111" s="3"/>
      <c r="SLZ111" s="3"/>
      <c r="SMA111" s="3"/>
      <c r="SMB111" s="3"/>
      <c r="SMC111" s="3"/>
      <c r="SMD111" s="3"/>
      <c r="SME111" s="3"/>
      <c r="SMF111" s="3"/>
      <c r="SMG111" s="3"/>
      <c r="SMH111" s="3"/>
      <c r="SMI111" s="3"/>
      <c r="SMJ111" s="3"/>
      <c r="SMK111" s="3"/>
      <c r="SML111" s="3"/>
      <c r="SMM111" s="3"/>
      <c r="SMN111" s="3"/>
      <c r="SMO111" s="3"/>
      <c r="SMP111" s="3"/>
      <c r="SMQ111" s="3"/>
      <c r="SMR111" s="3"/>
      <c r="SMS111" s="3"/>
      <c r="SMT111" s="3"/>
      <c r="SMU111" s="3"/>
      <c r="SMV111" s="3"/>
      <c r="SMW111" s="3"/>
      <c r="SMX111" s="3"/>
      <c r="SMY111" s="3"/>
      <c r="SMZ111" s="3"/>
      <c r="SNA111" s="3"/>
      <c r="SNB111" s="3"/>
      <c r="SNC111" s="3"/>
      <c r="SND111" s="3"/>
      <c r="SNE111" s="3"/>
      <c r="SNF111" s="3"/>
      <c r="SNG111" s="3"/>
      <c r="SNH111" s="3"/>
      <c r="SNI111" s="3"/>
      <c r="SNJ111" s="3"/>
      <c r="SNK111" s="3"/>
      <c r="SNL111" s="3"/>
      <c r="SNM111" s="3"/>
      <c r="SNN111" s="3"/>
      <c r="SNO111" s="3"/>
      <c r="SNP111" s="3"/>
      <c r="SNQ111" s="3"/>
      <c r="SNR111" s="3"/>
      <c r="SNS111" s="3"/>
      <c r="SNT111" s="3"/>
      <c r="SNU111" s="3"/>
      <c r="SNV111" s="3"/>
      <c r="SNW111" s="3"/>
      <c r="SNX111" s="3"/>
      <c r="SNY111" s="3"/>
      <c r="SNZ111" s="3"/>
      <c r="SOA111" s="3"/>
      <c r="SOB111" s="3"/>
      <c r="SOC111" s="3"/>
      <c r="SOD111" s="3"/>
      <c r="SOE111" s="3"/>
      <c r="SOF111" s="3"/>
      <c r="SOG111" s="3"/>
      <c r="SOH111" s="3"/>
      <c r="SOI111" s="3"/>
      <c r="SOJ111" s="3"/>
      <c r="SOK111" s="3"/>
      <c r="SOL111" s="3"/>
      <c r="SOM111" s="3"/>
      <c r="SON111" s="3"/>
      <c r="SOO111" s="3"/>
      <c r="SOP111" s="3"/>
      <c r="SOQ111" s="3"/>
      <c r="SOR111" s="3"/>
      <c r="SOS111" s="3"/>
      <c r="SOT111" s="3"/>
      <c r="SOU111" s="3"/>
      <c r="SOV111" s="3"/>
      <c r="SOW111" s="3"/>
      <c r="SOX111" s="3"/>
      <c r="SOY111" s="3"/>
      <c r="SOZ111" s="3"/>
      <c r="SPA111" s="3"/>
      <c r="SPB111" s="3"/>
      <c r="SPC111" s="3"/>
      <c r="SPD111" s="3"/>
      <c r="SPE111" s="3"/>
      <c r="SPF111" s="3"/>
      <c r="SPG111" s="3"/>
      <c r="SPH111" s="3"/>
      <c r="SPI111" s="3"/>
      <c r="SPJ111" s="3"/>
      <c r="SPK111" s="3"/>
      <c r="SPL111" s="3"/>
      <c r="SPM111" s="3"/>
      <c r="SPN111" s="3"/>
      <c r="SPO111" s="3"/>
      <c r="SPP111" s="3"/>
      <c r="SPQ111" s="3"/>
      <c r="SPR111" s="3"/>
      <c r="SPS111" s="3"/>
      <c r="SPT111" s="3"/>
      <c r="SPU111" s="3"/>
      <c r="SPV111" s="3"/>
      <c r="SPW111" s="3"/>
      <c r="SPX111" s="3"/>
      <c r="SPY111" s="3"/>
      <c r="SPZ111" s="3"/>
      <c r="SQA111" s="3"/>
      <c r="SQB111" s="3"/>
      <c r="SQC111" s="3"/>
      <c r="SQD111" s="3"/>
      <c r="SQE111" s="3"/>
      <c r="SQF111" s="3"/>
      <c r="SQG111" s="3"/>
      <c r="SQH111" s="3"/>
      <c r="SQI111" s="3"/>
      <c r="SQJ111" s="3"/>
      <c r="SQK111" s="3"/>
      <c r="SQL111" s="3"/>
      <c r="SQM111" s="3"/>
      <c r="SQN111" s="3"/>
      <c r="SQO111" s="3"/>
      <c r="SQP111" s="3"/>
      <c r="SQQ111" s="3"/>
      <c r="SQR111" s="3"/>
      <c r="SQS111" s="3"/>
      <c r="SQT111" s="3"/>
      <c r="SQU111" s="3"/>
      <c r="SQV111" s="3"/>
      <c r="SQW111" s="3"/>
      <c r="SQX111" s="3"/>
      <c r="SQY111" s="3"/>
      <c r="SQZ111" s="3"/>
      <c r="SRA111" s="3"/>
      <c r="SRB111" s="3"/>
      <c r="SRC111" s="3"/>
      <c r="SRD111" s="3"/>
      <c r="SRE111" s="3"/>
      <c r="SRF111" s="3"/>
      <c r="SRG111" s="3"/>
      <c r="SRH111" s="3"/>
      <c r="SRI111" s="3"/>
      <c r="SRJ111" s="3"/>
      <c r="SRK111" s="3"/>
      <c r="SRL111" s="3"/>
      <c r="SRM111" s="3"/>
      <c r="SRN111" s="3"/>
      <c r="SRO111" s="3"/>
      <c r="SRP111" s="3"/>
      <c r="SRQ111" s="3"/>
      <c r="SRR111" s="3"/>
      <c r="SRS111" s="3"/>
      <c r="SRT111" s="3"/>
      <c r="SRU111" s="3"/>
      <c r="SRV111" s="3"/>
      <c r="SRW111" s="3"/>
      <c r="SRX111" s="3"/>
      <c r="SRY111" s="3"/>
      <c r="SRZ111" s="3"/>
      <c r="SSA111" s="3"/>
      <c r="SSB111" s="3"/>
      <c r="SSC111" s="3"/>
      <c r="SSD111" s="3"/>
      <c r="SSE111" s="3"/>
      <c r="SSF111" s="3"/>
      <c r="SSG111" s="3"/>
      <c r="SSH111" s="3"/>
      <c r="SSI111" s="3"/>
      <c r="SSJ111" s="3"/>
      <c r="SSK111" s="3"/>
      <c r="SSL111" s="3"/>
      <c r="SSM111" s="3"/>
      <c r="SSN111" s="3"/>
      <c r="SSO111" s="3"/>
      <c r="SSP111" s="3"/>
      <c r="SSQ111" s="3"/>
      <c r="SSR111" s="3"/>
      <c r="SSS111" s="3"/>
      <c r="SST111" s="3"/>
      <c r="SSU111" s="3"/>
      <c r="SSV111" s="3"/>
      <c r="SSW111" s="3"/>
      <c r="SSX111" s="3"/>
      <c r="SSY111" s="3"/>
      <c r="SSZ111" s="3"/>
      <c r="STA111" s="3"/>
      <c r="STB111" s="3"/>
      <c r="STC111" s="3"/>
      <c r="STD111" s="3"/>
      <c r="STE111" s="3"/>
      <c r="STF111" s="3"/>
      <c r="STG111" s="3"/>
      <c r="STH111" s="3"/>
      <c r="STI111" s="3"/>
      <c r="STJ111" s="3"/>
      <c r="STK111" s="3"/>
      <c r="STL111" s="3"/>
      <c r="STM111" s="3"/>
      <c r="STN111" s="3"/>
      <c r="STO111" s="3"/>
      <c r="STP111" s="3"/>
      <c r="STQ111" s="3"/>
      <c r="STR111" s="3"/>
      <c r="STS111" s="3"/>
      <c r="STT111" s="3"/>
      <c r="STU111" s="3"/>
      <c r="STV111" s="3"/>
      <c r="STW111" s="3"/>
      <c r="STX111" s="3"/>
      <c r="STY111" s="3"/>
      <c r="STZ111" s="3"/>
      <c r="SUA111" s="3"/>
      <c r="SUB111" s="3"/>
      <c r="SUC111" s="3"/>
      <c r="SUD111" s="3"/>
      <c r="SUE111" s="3"/>
      <c r="SUF111" s="3"/>
      <c r="SUG111" s="3"/>
      <c r="SUH111" s="3"/>
      <c r="SUI111" s="3"/>
      <c r="SUJ111" s="3"/>
      <c r="SUK111" s="3"/>
      <c r="SUL111" s="3"/>
      <c r="SUM111" s="3"/>
      <c r="SUN111" s="3"/>
      <c r="SUO111" s="3"/>
      <c r="SUP111" s="3"/>
      <c r="SUQ111" s="3"/>
      <c r="SUR111" s="3"/>
      <c r="SUS111" s="3"/>
      <c r="SUT111" s="3"/>
      <c r="SUU111" s="3"/>
      <c r="SUV111" s="3"/>
      <c r="SUW111" s="3"/>
      <c r="SUX111" s="3"/>
      <c r="SUY111" s="3"/>
      <c r="SUZ111" s="3"/>
      <c r="SVA111" s="3"/>
      <c r="SVB111" s="3"/>
      <c r="SVC111" s="3"/>
      <c r="SVD111" s="3"/>
      <c r="SVE111" s="3"/>
      <c r="SVF111" s="3"/>
      <c r="SVG111" s="3"/>
      <c r="SVH111" s="3"/>
      <c r="SVI111" s="3"/>
      <c r="SVJ111" s="3"/>
      <c r="SVK111" s="3"/>
      <c r="SVL111" s="3"/>
      <c r="SVM111" s="3"/>
      <c r="SVN111" s="3"/>
      <c r="SVO111" s="3"/>
      <c r="SVP111" s="3"/>
      <c r="SVQ111" s="3"/>
      <c r="SVR111" s="3"/>
      <c r="SVS111" s="3"/>
      <c r="SVT111" s="3"/>
      <c r="SVU111" s="3"/>
      <c r="SVV111" s="3"/>
      <c r="SVW111" s="3"/>
      <c r="SVX111" s="3"/>
      <c r="SVY111" s="3"/>
      <c r="SVZ111" s="3"/>
      <c r="SWA111" s="3"/>
      <c r="SWB111" s="3"/>
      <c r="SWC111" s="3"/>
      <c r="SWD111" s="3"/>
      <c r="SWE111" s="3"/>
      <c r="SWF111" s="3"/>
      <c r="SWG111" s="3"/>
      <c r="SWH111" s="3"/>
      <c r="SWI111" s="3"/>
      <c r="SWJ111" s="3"/>
      <c r="SWK111" s="3"/>
      <c r="SWL111" s="3"/>
      <c r="SWM111" s="3"/>
      <c r="SWN111" s="3"/>
      <c r="SWO111" s="3"/>
      <c r="SWP111" s="3"/>
      <c r="SWQ111" s="3"/>
      <c r="SWR111" s="3"/>
      <c r="SWS111" s="3"/>
      <c r="SWT111" s="3"/>
      <c r="SWU111" s="3"/>
      <c r="SWV111" s="3"/>
      <c r="SWW111" s="3"/>
      <c r="SWX111" s="3"/>
      <c r="SWY111" s="3"/>
      <c r="SWZ111" s="3"/>
      <c r="SXA111" s="3"/>
      <c r="SXB111" s="3"/>
      <c r="SXC111" s="3"/>
      <c r="SXD111" s="3"/>
      <c r="SXE111" s="3"/>
      <c r="SXF111" s="3"/>
      <c r="SXG111" s="3"/>
      <c r="SXH111" s="3"/>
      <c r="SXI111" s="3"/>
      <c r="SXJ111" s="3"/>
      <c r="SXK111" s="3"/>
      <c r="SXL111" s="3"/>
      <c r="SXM111" s="3"/>
      <c r="SXN111" s="3"/>
      <c r="SXO111" s="3"/>
      <c r="SXP111" s="3"/>
      <c r="SXQ111" s="3"/>
      <c r="SXR111" s="3"/>
      <c r="SXS111" s="3"/>
      <c r="SXT111" s="3"/>
      <c r="SXU111" s="3"/>
      <c r="SXV111" s="3"/>
      <c r="SXW111" s="3"/>
      <c r="SXX111" s="3"/>
      <c r="SXY111" s="3"/>
      <c r="SXZ111" s="3"/>
      <c r="SYA111" s="3"/>
      <c r="SYB111" s="3"/>
      <c r="SYC111" s="3"/>
      <c r="SYD111" s="3"/>
      <c r="SYE111" s="3"/>
      <c r="SYF111" s="3"/>
      <c r="SYG111" s="3"/>
      <c r="SYH111" s="3"/>
      <c r="SYI111" s="3"/>
      <c r="SYJ111" s="3"/>
      <c r="SYK111" s="3"/>
      <c r="SYL111" s="3"/>
      <c r="SYM111" s="3"/>
      <c r="SYN111" s="3"/>
      <c r="SYO111" s="3"/>
      <c r="SYP111" s="3"/>
      <c r="SYQ111" s="3"/>
      <c r="SYR111" s="3"/>
      <c r="SYS111" s="3"/>
      <c r="SYT111" s="3"/>
      <c r="SYU111" s="3"/>
      <c r="SYV111" s="3"/>
      <c r="SYW111" s="3"/>
      <c r="SYX111" s="3"/>
      <c r="SYY111" s="3"/>
      <c r="SYZ111" s="3"/>
      <c r="SZA111" s="3"/>
      <c r="SZB111" s="3"/>
      <c r="SZC111" s="3"/>
      <c r="SZD111" s="3"/>
      <c r="SZE111" s="3"/>
      <c r="SZF111" s="3"/>
      <c r="SZG111" s="3"/>
      <c r="SZH111" s="3"/>
      <c r="SZI111" s="3"/>
      <c r="SZJ111" s="3"/>
      <c r="SZK111" s="3"/>
      <c r="SZL111" s="3"/>
      <c r="SZM111" s="3"/>
      <c r="SZN111" s="3"/>
      <c r="SZO111" s="3"/>
      <c r="SZP111" s="3"/>
      <c r="SZQ111" s="3"/>
      <c r="SZR111" s="3"/>
      <c r="SZS111" s="3"/>
      <c r="SZT111" s="3"/>
      <c r="SZU111" s="3"/>
      <c r="SZV111" s="3"/>
      <c r="SZW111" s="3"/>
      <c r="SZX111" s="3"/>
      <c r="SZY111" s="3"/>
      <c r="SZZ111" s="3"/>
      <c r="TAA111" s="3"/>
      <c r="TAB111" s="3"/>
      <c r="TAC111" s="3"/>
      <c r="TAD111" s="3"/>
      <c r="TAE111" s="3"/>
      <c r="TAF111" s="3"/>
      <c r="TAG111" s="3"/>
      <c r="TAH111" s="3"/>
      <c r="TAI111" s="3"/>
      <c r="TAJ111" s="3"/>
      <c r="TAK111" s="3"/>
      <c r="TAL111" s="3"/>
      <c r="TAM111" s="3"/>
      <c r="TAN111" s="3"/>
      <c r="TAO111" s="3"/>
      <c r="TAP111" s="3"/>
      <c r="TAQ111" s="3"/>
      <c r="TAR111" s="3"/>
      <c r="TAS111" s="3"/>
      <c r="TAT111" s="3"/>
      <c r="TAU111" s="3"/>
      <c r="TAV111" s="3"/>
      <c r="TAW111" s="3"/>
      <c r="TAX111" s="3"/>
      <c r="TAY111" s="3"/>
      <c r="TAZ111" s="3"/>
      <c r="TBA111" s="3"/>
      <c r="TBB111" s="3"/>
      <c r="TBC111" s="3"/>
      <c r="TBD111" s="3"/>
      <c r="TBE111" s="3"/>
      <c r="TBF111" s="3"/>
      <c r="TBG111" s="3"/>
      <c r="TBH111" s="3"/>
      <c r="TBI111" s="3"/>
      <c r="TBJ111" s="3"/>
      <c r="TBK111" s="3"/>
      <c r="TBL111" s="3"/>
      <c r="TBM111" s="3"/>
      <c r="TBN111" s="3"/>
      <c r="TBO111" s="3"/>
      <c r="TBP111" s="3"/>
      <c r="TBQ111" s="3"/>
      <c r="TBR111" s="3"/>
      <c r="TBS111" s="3"/>
      <c r="TBT111" s="3"/>
      <c r="TBU111" s="3"/>
      <c r="TBV111" s="3"/>
      <c r="TBW111" s="3"/>
      <c r="TBX111" s="3"/>
      <c r="TBY111" s="3"/>
      <c r="TBZ111" s="3"/>
      <c r="TCA111" s="3"/>
      <c r="TCB111" s="3"/>
      <c r="TCC111" s="3"/>
      <c r="TCD111" s="3"/>
      <c r="TCE111" s="3"/>
      <c r="TCF111" s="3"/>
      <c r="TCG111" s="3"/>
      <c r="TCH111" s="3"/>
      <c r="TCI111" s="3"/>
      <c r="TCJ111" s="3"/>
      <c r="TCK111" s="3"/>
      <c r="TCL111" s="3"/>
      <c r="TCM111" s="3"/>
      <c r="TCN111" s="3"/>
      <c r="TCO111" s="3"/>
      <c r="TCP111" s="3"/>
      <c r="TCQ111" s="3"/>
      <c r="TCR111" s="3"/>
      <c r="TCS111" s="3"/>
      <c r="TCT111" s="3"/>
      <c r="TCU111" s="3"/>
      <c r="TCV111" s="3"/>
      <c r="TCW111" s="3"/>
      <c r="TCX111" s="3"/>
      <c r="TCY111" s="3"/>
      <c r="TCZ111" s="3"/>
      <c r="TDA111" s="3"/>
      <c r="TDB111" s="3"/>
      <c r="TDC111" s="3"/>
      <c r="TDD111" s="3"/>
      <c r="TDE111" s="3"/>
      <c r="TDF111" s="3"/>
      <c r="TDG111" s="3"/>
      <c r="TDH111" s="3"/>
      <c r="TDI111" s="3"/>
      <c r="TDJ111" s="3"/>
      <c r="TDK111" s="3"/>
      <c r="TDL111" s="3"/>
      <c r="TDM111" s="3"/>
      <c r="TDN111" s="3"/>
      <c r="TDO111" s="3"/>
      <c r="TDP111" s="3"/>
      <c r="TDQ111" s="3"/>
      <c r="TDR111" s="3"/>
      <c r="TDS111" s="3"/>
      <c r="TDT111" s="3"/>
      <c r="TDU111" s="3"/>
      <c r="TDV111" s="3"/>
      <c r="TDW111" s="3"/>
      <c r="TDX111" s="3"/>
      <c r="TDY111" s="3"/>
      <c r="TDZ111" s="3"/>
      <c r="TEA111" s="3"/>
      <c r="TEB111" s="3"/>
      <c r="TEC111" s="3"/>
      <c r="TED111" s="3"/>
      <c r="TEE111" s="3"/>
      <c r="TEF111" s="3"/>
      <c r="TEG111" s="3"/>
      <c r="TEH111" s="3"/>
      <c r="TEI111" s="3"/>
      <c r="TEJ111" s="3"/>
      <c r="TEK111" s="3"/>
      <c r="TEL111" s="3"/>
      <c r="TEM111" s="3"/>
      <c r="TEN111" s="3"/>
      <c r="TEO111" s="3"/>
      <c r="TEP111" s="3"/>
      <c r="TEQ111" s="3"/>
      <c r="TER111" s="3"/>
      <c r="TES111" s="3"/>
      <c r="TET111" s="3"/>
      <c r="TEU111" s="3"/>
      <c r="TEV111" s="3"/>
      <c r="TEW111" s="3"/>
      <c r="TEX111" s="3"/>
      <c r="TEY111" s="3"/>
      <c r="TEZ111" s="3"/>
      <c r="TFA111" s="3"/>
      <c r="TFB111" s="3"/>
      <c r="TFC111" s="3"/>
      <c r="TFD111" s="3"/>
      <c r="TFE111" s="3"/>
      <c r="TFF111" s="3"/>
      <c r="TFG111" s="3"/>
      <c r="TFH111" s="3"/>
      <c r="TFI111" s="3"/>
      <c r="TFJ111" s="3"/>
      <c r="TFK111" s="3"/>
      <c r="TFL111" s="3"/>
      <c r="TFM111" s="3"/>
      <c r="TFN111" s="3"/>
      <c r="TFO111" s="3"/>
      <c r="TFP111" s="3"/>
      <c r="TFQ111" s="3"/>
      <c r="TFR111" s="3"/>
      <c r="TFS111" s="3"/>
      <c r="TFT111" s="3"/>
      <c r="TFU111" s="3"/>
      <c r="TFV111" s="3"/>
      <c r="TFW111" s="3"/>
      <c r="TFX111" s="3"/>
      <c r="TFY111" s="3"/>
      <c r="TFZ111" s="3"/>
      <c r="TGA111" s="3"/>
      <c r="TGB111" s="3"/>
      <c r="TGC111" s="3"/>
      <c r="TGD111" s="3"/>
      <c r="TGE111" s="3"/>
      <c r="TGF111" s="3"/>
      <c r="TGG111" s="3"/>
      <c r="TGH111" s="3"/>
      <c r="TGI111" s="3"/>
      <c r="TGJ111" s="3"/>
      <c r="TGK111" s="3"/>
      <c r="TGL111" s="3"/>
      <c r="TGM111" s="3"/>
      <c r="TGN111" s="3"/>
      <c r="TGO111" s="3"/>
      <c r="TGP111" s="3"/>
      <c r="TGQ111" s="3"/>
      <c r="TGR111" s="3"/>
      <c r="TGS111" s="3"/>
      <c r="TGT111" s="3"/>
      <c r="TGU111" s="3"/>
      <c r="TGV111" s="3"/>
      <c r="TGW111" s="3"/>
      <c r="TGX111" s="3"/>
      <c r="TGY111" s="3"/>
      <c r="TGZ111" s="3"/>
      <c r="THA111" s="3"/>
      <c r="THB111" s="3"/>
      <c r="THC111" s="3"/>
      <c r="THD111" s="3"/>
      <c r="THE111" s="3"/>
      <c r="THF111" s="3"/>
      <c r="THG111" s="3"/>
      <c r="THH111" s="3"/>
      <c r="THI111" s="3"/>
      <c r="THJ111" s="3"/>
      <c r="THK111" s="3"/>
      <c r="THL111" s="3"/>
      <c r="THM111" s="3"/>
      <c r="THN111" s="3"/>
      <c r="THO111" s="3"/>
      <c r="THP111" s="3"/>
      <c r="THQ111" s="3"/>
      <c r="THR111" s="3"/>
      <c r="THS111" s="3"/>
      <c r="THT111" s="3"/>
      <c r="THU111" s="3"/>
      <c r="THV111" s="3"/>
      <c r="THW111" s="3"/>
      <c r="THX111" s="3"/>
      <c r="THY111" s="3"/>
      <c r="THZ111" s="3"/>
      <c r="TIA111" s="3"/>
      <c r="TIB111" s="3"/>
      <c r="TIC111" s="3"/>
      <c r="TID111" s="3"/>
      <c r="TIE111" s="3"/>
      <c r="TIF111" s="3"/>
      <c r="TIG111" s="3"/>
      <c r="TIH111" s="3"/>
      <c r="TII111" s="3"/>
      <c r="TIJ111" s="3"/>
      <c r="TIK111" s="3"/>
      <c r="TIL111" s="3"/>
      <c r="TIM111" s="3"/>
      <c r="TIN111" s="3"/>
      <c r="TIO111" s="3"/>
      <c r="TIP111" s="3"/>
      <c r="TIQ111" s="3"/>
      <c r="TIR111" s="3"/>
      <c r="TIS111" s="3"/>
      <c r="TIT111" s="3"/>
      <c r="TIU111" s="3"/>
      <c r="TIV111" s="3"/>
      <c r="TIW111" s="3"/>
      <c r="TIX111" s="3"/>
      <c r="TIY111" s="3"/>
      <c r="TIZ111" s="3"/>
      <c r="TJA111" s="3"/>
      <c r="TJB111" s="3"/>
      <c r="TJC111" s="3"/>
      <c r="TJD111" s="3"/>
      <c r="TJE111" s="3"/>
      <c r="TJF111" s="3"/>
      <c r="TJG111" s="3"/>
      <c r="TJH111" s="3"/>
      <c r="TJI111" s="3"/>
      <c r="TJJ111" s="3"/>
      <c r="TJK111" s="3"/>
      <c r="TJL111" s="3"/>
      <c r="TJM111" s="3"/>
      <c r="TJN111" s="3"/>
      <c r="TJO111" s="3"/>
      <c r="TJP111" s="3"/>
      <c r="TJQ111" s="3"/>
      <c r="TJR111" s="3"/>
      <c r="TJS111" s="3"/>
      <c r="TJT111" s="3"/>
      <c r="TJU111" s="3"/>
      <c r="TJV111" s="3"/>
      <c r="TJW111" s="3"/>
      <c r="TJX111" s="3"/>
      <c r="TJY111" s="3"/>
      <c r="TJZ111" s="3"/>
      <c r="TKA111" s="3"/>
      <c r="TKB111" s="3"/>
      <c r="TKC111" s="3"/>
      <c r="TKD111" s="3"/>
      <c r="TKE111" s="3"/>
      <c r="TKF111" s="3"/>
      <c r="TKG111" s="3"/>
      <c r="TKH111" s="3"/>
      <c r="TKI111" s="3"/>
      <c r="TKJ111" s="3"/>
      <c r="TKK111" s="3"/>
      <c r="TKL111" s="3"/>
      <c r="TKM111" s="3"/>
      <c r="TKN111" s="3"/>
      <c r="TKO111" s="3"/>
      <c r="TKP111" s="3"/>
      <c r="TKQ111" s="3"/>
      <c r="TKR111" s="3"/>
      <c r="TKS111" s="3"/>
      <c r="TKT111" s="3"/>
      <c r="TKU111" s="3"/>
      <c r="TKV111" s="3"/>
      <c r="TKW111" s="3"/>
      <c r="TKX111" s="3"/>
      <c r="TKY111" s="3"/>
      <c r="TKZ111" s="3"/>
      <c r="TLA111" s="3"/>
      <c r="TLB111" s="3"/>
      <c r="TLC111" s="3"/>
      <c r="TLD111" s="3"/>
      <c r="TLE111" s="3"/>
      <c r="TLF111" s="3"/>
      <c r="TLG111" s="3"/>
      <c r="TLH111" s="3"/>
      <c r="TLI111" s="3"/>
      <c r="TLJ111" s="3"/>
      <c r="TLK111" s="3"/>
      <c r="TLL111" s="3"/>
      <c r="TLM111" s="3"/>
      <c r="TLN111" s="3"/>
      <c r="TLO111" s="3"/>
      <c r="TLP111" s="3"/>
      <c r="TLQ111" s="3"/>
      <c r="TLR111" s="3"/>
      <c r="TLS111" s="3"/>
      <c r="TLT111" s="3"/>
      <c r="TLU111" s="3"/>
      <c r="TLV111" s="3"/>
      <c r="TLW111" s="3"/>
      <c r="TLX111" s="3"/>
      <c r="TLY111" s="3"/>
      <c r="TLZ111" s="3"/>
      <c r="TMA111" s="3"/>
      <c r="TMB111" s="3"/>
      <c r="TMC111" s="3"/>
      <c r="TMD111" s="3"/>
      <c r="TME111" s="3"/>
      <c r="TMF111" s="3"/>
      <c r="TMG111" s="3"/>
      <c r="TMH111" s="3"/>
      <c r="TMI111" s="3"/>
      <c r="TMJ111" s="3"/>
      <c r="TMK111" s="3"/>
      <c r="TML111" s="3"/>
      <c r="TMM111" s="3"/>
      <c r="TMN111" s="3"/>
      <c r="TMO111" s="3"/>
      <c r="TMP111" s="3"/>
      <c r="TMQ111" s="3"/>
      <c r="TMR111" s="3"/>
      <c r="TMS111" s="3"/>
      <c r="TMT111" s="3"/>
      <c r="TMU111" s="3"/>
      <c r="TMV111" s="3"/>
      <c r="TMW111" s="3"/>
      <c r="TMX111" s="3"/>
      <c r="TMY111" s="3"/>
      <c r="TMZ111" s="3"/>
      <c r="TNA111" s="3"/>
      <c r="TNB111" s="3"/>
      <c r="TNC111" s="3"/>
      <c r="TND111" s="3"/>
      <c r="TNE111" s="3"/>
      <c r="TNF111" s="3"/>
      <c r="TNG111" s="3"/>
      <c r="TNH111" s="3"/>
      <c r="TNI111" s="3"/>
      <c r="TNJ111" s="3"/>
      <c r="TNK111" s="3"/>
      <c r="TNL111" s="3"/>
      <c r="TNM111" s="3"/>
      <c r="TNN111" s="3"/>
      <c r="TNO111" s="3"/>
      <c r="TNP111" s="3"/>
      <c r="TNQ111" s="3"/>
      <c r="TNR111" s="3"/>
      <c r="TNS111" s="3"/>
      <c r="TNT111" s="3"/>
      <c r="TNU111" s="3"/>
      <c r="TNV111" s="3"/>
      <c r="TNW111" s="3"/>
      <c r="TNX111" s="3"/>
      <c r="TNY111" s="3"/>
      <c r="TNZ111" s="3"/>
      <c r="TOA111" s="3"/>
      <c r="TOB111" s="3"/>
      <c r="TOC111" s="3"/>
      <c r="TOD111" s="3"/>
      <c r="TOE111" s="3"/>
      <c r="TOF111" s="3"/>
      <c r="TOG111" s="3"/>
      <c r="TOH111" s="3"/>
      <c r="TOI111" s="3"/>
      <c r="TOJ111" s="3"/>
      <c r="TOK111" s="3"/>
      <c r="TOL111" s="3"/>
      <c r="TOM111" s="3"/>
      <c r="TON111" s="3"/>
      <c r="TOO111" s="3"/>
      <c r="TOP111" s="3"/>
      <c r="TOQ111" s="3"/>
      <c r="TOR111" s="3"/>
      <c r="TOS111" s="3"/>
      <c r="TOT111" s="3"/>
      <c r="TOU111" s="3"/>
      <c r="TOV111" s="3"/>
      <c r="TOW111" s="3"/>
      <c r="TOX111" s="3"/>
      <c r="TOY111" s="3"/>
      <c r="TOZ111" s="3"/>
      <c r="TPA111" s="3"/>
      <c r="TPB111" s="3"/>
      <c r="TPC111" s="3"/>
      <c r="TPD111" s="3"/>
      <c r="TPE111" s="3"/>
      <c r="TPF111" s="3"/>
      <c r="TPG111" s="3"/>
      <c r="TPH111" s="3"/>
      <c r="TPI111" s="3"/>
      <c r="TPJ111" s="3"/>
      <c r="TPK111" s="3"/>
      <c r="TPL111" s="3"/>
      <c r="TPM111" s="3"/>
      <c r="TPN111" s="3"/>
      <c r="TPO111" s="3"/>
      <c r="TPP111" s="3"/>
      <c r="TPQ111" s="3"/>
      <c r="TPR111" s="3"/>
      <c r="TPS111" s="3"/>
      <c r="TPT111" s="3"/>
      <c r="TPU111" s="3"/>
      <c r="TPV111" s="3"/>
      <c r="TPW111" s="3"/>
      <c r="TPX111" s="3"/>
      <c r="TPY111" s="3"/>
      <c r="TPZ111" s="3"/>
      <c r="TQA111" s="3"/>
      <c r="TQB111" s="3"/>
      <c r="TQC111" s="3"/>
      <c r="TQD111" s="3"/>
      <c r="TQE111" s="3"/>
      <c r="TQF111" s="3"/>
      <c r="TQG111" s="3"/>
      <c r="TQH111" s="3"/>
      <c r="TQI111" s="3"/>
      <c r="TQJ111" s="3"/>
      <c r="TQK111" s="3"/>
      <c r="TQL111" s="3"/>
      <c r="TQM111" s="3"/>
      <c r="TQN111" s="3"/>
      <c r="TQO111" s="3"/>
      <c r="TQP111" s="3"/>
      <c r="TQQ111" s="3"/>
      <c r="TQR111" s="3"/>
      <c r="TQS111" s="3"/>
      <c r="TQT111" s="3"/>
      <c r="TQU111" s="3"/>
      <c r="TQV111" s="3"/>
      <c r="TQW111" s="3"/>
      <c r="TQX111" s="3"/>
      <c r="TQY111" s="3"/>
      <c r="TQZ111" s="3"/>
      <c r="TRA111" s="3"/>
      <c r="TRB111" s="3"/>
      <c r="TRC111" s="3"/>
      <c r="TRD111" s="3"/>
      <c r="TRE111" s="3"/>
      <c r="TRF111" s="3"/>
      <c r="TRG111" s="3"/>
      <c r="TRH111" s="3"/>
      <c r="TRI111" s="3"/>
      <c r="TRJ111" s="3"/>
      <c r="TRK111" s="3"/>
      <c r="TRL111" s="3"/>
      <c r="TRM111" s="3"/>
      <c r="TRN111" s="3"/>
      <c r="TRO111" s="3"/>
      <c r="TRP111" s="3"/>
      <c r="TRQ111" s="3"/>
      <c r="TRR111" s="3"/>
      <c r="TRS111" s="3"/>
      <c r="TRT111" s="3"/>
      <c r="TRU111" s="3"/>
      <c r="TRV111" s="3"/>
      <c r="TRW111" s="3"/>
      <c r="TRX111" s="3"/>
      <c r="TRY111" s="3"/>
      <c r="TRZ111" s="3"/>
      <c r="TSA111" s="3"/>
      <c r="TSB111" s="3"/>
      <c r="TSC111" s="3"/>
      <c r="TSD111" s="3"/>
      <c r="TSE111" s="3"/>
      <c r="TSF111" s="3"/>
      <c r="TSG111" s="3"/>
      <c r="TSH111" s="3"/>
      <c r="TSI111" s="3"/>
      <c r="TSJ111" s="3"/>
      <c r="TSK111" s="3"/>
      <c r="TSL111" s="3"/>
      <c r="TSM111" s="3"/>
      <c r="TSN111" s="3"/>
      <c r="TSO111" s="3"/>
      <c r="TSP111" s="3"/>
      <c r="TSQ111" s="3"/>
      <c r="TSR111" s="3"/>
      <c r="TSS111" s="3"/>
      <c r="TST111" s="3"/>
      <c r="TSU111" s="3"/>
      <c r="TSV111" s="3"/>
      <c r="TSW111" s="3"/>
      <c r="TSX111" s="3"/>
      <c r="TSY111" s="3"/>
      <c r="TSZ111" s="3"/>
      <c r="TTA111" s="3"/>
      <c r="TTB111" s="3"/>
      <c r="TTC111" s="3"/>
      <c r="TTD111" s="3"/>
      <c r="TTE111" s="3"/>
      <c r="TTF111" s="3"/>
      <c r="TTG111" s="3"/>
      <c r="TTH111" s="3"/>
      <c r="TTI111" s="3"/>
      <c r="TTJ111" s="3"/>
      <c r="TTK111" s="3"/>
      <c r="TTL111" s="3"/>
      <c r="TTM111" s="3"/>
      <c r="TTN111" s="3"/>
      <c r="TTO111" s="3"/>
      <c r="TTP111" s="3"/>
      <c r="TTQ111" s="3"/>
      <c r="TTR111" s="3"/>
      <c r="TTS111" s="3"/>
      <c r="TTT111" s="3"/>
      <c r="TTU111" s="3"/>
      <c r="TTV111" s="3"/>
      <c r="TTW111" s="3"/>
      <c r="TTX111" s="3"/>
      <c r="TTY111" s="3"/>
      <c r="TTZ111" s="3"/>
      <c r="TUA111" s="3"/>
      <c r="TUB111" s="3"/>
      <c r="TUC111" s="3"/>
      <c r="TUD111" s="3"/>
      <c r="TUE111" s="3"/>
      <c r="TUF111" s="3"/>
      <c r="TUG111" s="3"/>
      <c r="TUH111" s="3"/>
      <c r="TUI111" s="3"/>
      <c r="TUJ111" s="3"/>
      <c r="TUK111" s="3"/>
      <c r="TUL111" s="3"/>
      <c r="TUM111" s="3"/>
      <c r="TUN111" s="3"/>
      <c r="TUO111" s="3"/>
      <c r="TUP111" s="3"/>
      <c r="TUQ111" s="3"/>
      <c r="TUR111" s="3"/>
      <c r="TUS111" s="3"/>
      <c r="TUT111" s="3"/>
      <c r="TUU111" s="3"/>
      <c r="TUV111" s="3"/>
      <c r="TUW111" s="3"/>
      <c r="TUX111" s="3"/>
      <c r="TUY111" s="3"/>
      <c r="TUZ111" s="3"/>
      <c r="TVA111" s="3"/>
      <c r="TVB111" s="3"/>
      <c r="TVC111" s="3"/>
      <c r="TVD111" s="3"/>
      <c r="TVE111" s="3"/>
      <c r="TVF111" s="3"/>
      <c r="TVG111" s="3"/>
      <c r="TVH111" s="3"/>
      <c r="TVI111" s="3"/>
      <c r="TVJ111" s="3"/>
      <c r="TVK111" s="3"/>
      <c r="TVL111" s="3"/>
      <c r="TVM111" s="3"/>
      <c r="TVN111" s="3"/>
      <c r="TVO111" s="3"/>
      <c r="TVP111" s="3"/>
      <c r="TVQ111" s="3"/>
      <c r="TVR111" s="3"/>
      <c r="TVS111" s="3"/>
      <c r="TVT111" s="3"/>
      <c r="TVU111" s="3"/>
      <c r="TVV111" s="3"/>
      <c r="TVW111" s="3"/>
      <c r="TVX111" s="3"/>
      <c r="TVY111" s="3"/>
      <c r="TVZ111" s="3"/>
      <c r="TWA111" s="3"/>
      <c r="TWB111" s="3"/>
      <c r="TWC111" s="3"/>
      <c r="TWD111" s="3"/>
      <c r="TWE111" s="3"/>
      <c r="TWF111" s="3"/>
      <c r="TWG111" s="3"/>
      <c r="TWH111" s="3"/>
      <c r="TWI111" s="3"/>
      <c r="TWJ111" s="3"/>
      <c r="TWK111" s="3"/>
      <c r="TWL111" s="3"/>
      <c r="TWM111" s="3"/>
      <c r="TWN111" s="3"/>
      <c r="TWO111" s="3"/>
      <c r="TWP111" s="3"/>
      <c r="TWQ111" s="3"/>
      <c r="TWR111" s="3"/>
      <c r="TWS111" s="3"/>
      <c r="TWT111" s="3"/>
      <c r="TWU111" s="3"/>
      <c r="TWV111" s="3"/>
      <c r="TWW111" s="3"/>
      <c r="TWX111" s="3"/>
      <c r="TWY111" s="3"/>
      <c r="TWZ111" s="3"/>
      <c r="TXA111" s="3"/>
      <c r="TXB111" s="3"/>
      <c r="TXC111" s="3"/>
      <c r="TXD111" s="3"/>
      <c r="TXE111" s="3"/>
      <c r="TXF111" s="3"/>
      <c r="TXG111" s="3"/>
      <c r="TXH111" s="3"/>
      <c r="TXI111" s="3"/>
      <c r="TXJ111" s="3"/>
      <c r="TXK111" s="3"/>
      <c r="TXL111" s="3"/>
      <c r="TXM111" s="3"/>
      <c r="TXN111" s="3"/>
      <c r="TXO111" s="3"/>
      <c r="TXP111" s="3"/>
      <c r="TXQ111" s="3"/>
      <c r="TXR111" s="3"/>
      <c r="TXS111" s="3"/>
      <c r="TXT111" s="3"/>
      <c r="TXU111" s="3"/>
      <c r="TXV111" s="3"/>
      <c r="TXW111" s="3"/>
      <c r="TXX111" s="3"/>
      <c r="TXY111" s="3"/>
      <c r="TXZ111" s="3"/>
      <c r="TYA111" s="3"/>
      <c r="TYB111" s="3"/>
      <c r="TYC111" s="3"/>
      <c r="TYD111" s="3"/>
      <c r="TYE111" s="3"/>
      <c r="TYF111" s="3"/>
      <c r="TYG111" s="3"/>
      <c r="TYH111" s="3"/>
      <c r="TYI111" s="3"/>
      <c r="TYJ111" s="3"/>
      <c r="TYK111" s="3"/>
      <c r="TYL111" s="3"/>
      <c r="TYM111" s="3"/>
      <c r="TYN111" s="3"/>
      <c r="TYO111" s="3"/>
      <c r="TYP111" s="3"/>
      <c r="TYQ111" s="3"/>
      <c r="TYR111" s="3"/>
      <c r="TYS111" s="3"/>
      <c r="TYT111" s="3"/>
      <c r="TYU111" s="3"/>
      <c r="TYV111" s="3"/>
      <c r="TYW111" s="3"/>
      <c r="TYX111" s="3"/>
      <c r="TYY111" s="3"/>
      <c r="TYZ111" s="3"/>
      <c r="TZA111" s="3"/>
      <c r="TZB111" s="3"/>
      <c r="TZC111" s="3"/>
      <c r="TZD111" s="3"/>
      <c r="TZE111" s="3"/>
      <c r="TZF111" s="3"/>
      <c r="TZG111" s="3"/>
      <c r="TZH111" s="3"/>
      <c r="TZI111" s="3"/>
      <c r="TZJ111" s="3"/>
      <c r="TZK111" s="3"/>
      <c r="TZL111" s="3"/>
      <c r="TZM111" s="3"/>
      <c r="TZN111" s="3"/>
      <c r="TZO111" s="3"/>
      <c r="TZP111" s="3"/>
      <c r="TZQ111" s="3"/>
      <c r="TZR111" s="3"/>
      <c r="TZS111" s="3"/>
      <c r="TZT111" s="3"/>
      <c r="TZU111" s="3"/>
      <c r="TZV111" s="3"/>
      <c r="TZW111" s="3"/>
      <c r="TZX111" s="3"/>
      <c r="TZY111" s="3"/>
      <c r="TZZ111" s="3"/>
      <c r="UAA111" s="3"/>
      <c r="UAB111" s="3"/>
      <c r="UAC111" s="3"/>
      <c r="UAD111" s="3"/>
      <c r="UAE111" s="3"/>
      <c r="UAF111" s="3"/>
      <c r="UAG111" s="3"/>
      <c r="UAH111" s="3"/>
      <c r="UAI111" s="3"/>
      <c r="UAJ111" s="3"/>
      <c r="UAK111" s="3"/>
      <c r="UAL111" s="3"/>
      <c r="UAM111" s="3"/>
      <c r="UAN111" s="3"/>
      <c r="UAO111" s="3"/>
      <c r="UAP111" s="3"/>
      <c r="UAQ111" s="3"/>
      <c r="UAR111" s="3"/>
      <c r="UAS111" s="3"/>
      <c r="UAT111" s="3"/>
      <c r="UAU111" s="3"/>
      <c r="UAV111" s="3"/>
      <c r="UAW111" s="3"/>
      <c r="UAX111" s="3"/>
      <c r="UAY111" s="3"/>
      <c r="UAZ111" s="3"/>
      <c r="UBA111" s="3"/>
      <c r="UBB111" s="3"/>
      <c r="UBC111" s="3"/>
      <c r="UBD111" s="3"/>
      <c r="UBE111" s="3"/>
      <c r="UBF111" s="3"/>
      <c r="UBG111" s="3"/>
      <c r="UBH111" s="3"/>
      <c r="UBI111" s="3"/>
      <c r="UBJ111" s="3"/>
      <c r="UBK111" s="3"/>
      <c r="UBL111" s="3"/>
      <c r="UBM111" s="3"/>
      <c r="UBN111" s="3"/>
      <c r="UBO111" s="3"/>
      <c r="UBP111" s="3"/>
      <c r="UBQ111" s="3"/>
      <c r="UBR111" s="3"/>
      <c r="UBS111" s="3"/>
      <c r="UBT111" s="3"/>
      <c r="UBU111" s="3"/>
      <c r="UBV111" s="3"/>
      <c r="UBW111" s="3"/>
      <c r="UBX111" s="3"/>
      <c r="UBY111" s="3"/>
      <c r="UBZ111" s="3"/>
      <c r="UCA111" s="3"/>
      <c r="UCB111" s="3"/>
      <c r="UCC111" s="3"/>
      <c r="UCD111" s="3"/>
      <c r="UCE111" s="3"/>
      <c r="UCF111" s="3"/>
      <c r="UCG111" s="3"/>
      <c r="UCH111" s="3"/>
      <c r="UCI111" s="3"/>
      <c r="UCJ111" s="3"/>
      <c r="UCK111" s="3"/>
      <c r="UCL111" s="3"/>
      <c r="UCM111" s="3"/>
      <c r="UCN111" s="3"/>
      <c r="UCO111" s="3"/>
      <c r="UCP111" s="3"/>
      <c r="UCQ111" s="3"/>
      <c r="UCR111" s="3"/>
      <c r="UCS111" s="3"/>
      <c r="UCT111" s="3"/>
      <c r="UCU111" s="3"/>
      <c r="UCV111" s="3"/>
      <c r="UCW111" s="3"/>
      <c r="UCX111" s="3"/>
      <c r="UCY111" s="3"/>
      <c r="UCZ111" s="3"/>
      <c r="UDA111" s="3"/>
      <c r="UDB111" s="3"/>
      <c r="UDC111" s="3"/>
      <c r="UDD111" s="3"/>
      <c r="UDE111" s="3"/>
      <c r="UDF111" s="3"/>
      <c r="UDG111" s="3"/>
      <c r="UDH111" s="3"/>
      <c r="UDI111" s="3"/>
      <c r="UDJ111" s="3"/>
      <c r="UDK111" s="3"/>
      <c r="UDL111" s="3"/>
      <c r="UDM111" s="3"/>
      <c r="UDN111" s="3"/>
      <c r="UDO111" s="3"/>
      <c r="UDP111" s="3"/>
      <c r="UDQ111" s="3"/>
      <c r="UDR111" s="3"/>
      <c r="UDS111" s="3"/>
      <c r="UDT111" s="3"/>
      <c r="UDU111" s="3"/>
      <c r="UDV111" s="3"/>
      <c r="UDW111" s="3"/>
      <c r="UDX111" s="3"/>
      <c r="UDY111" s="3"/>
      <c r="UDZ111" s="3"/>
      <c r="UEA111" s="3"/>
      <c r="UEB111" s="3"/>
      <c r="UEC111" s="3"/>
      <c r="UED111" s="3"/>
      <c r="UEE111" s="3"/>
      <c r="UEF111" s="3"/>
      <c r="UEG111" s="3"/>
      <c r="UEH111" s="3"/>
      <c r="UEI111" s="3"/>
      <c r="UEJ111" s="3"/>
      <c r="UEK111" s="3"/>
      <c r="UEL111" s="3"/>
      <c r="UEM111" s="3"/>
      <c r="UEN111" s="3"/>
      <c r="UEO111" s="3"/>
      <c r="UEP111" s="3"/>
      <c r="UEQ111" s="3"/>
      <c r="UER111" s="3"/>
      <c r="UES111" s="3"/>
      <c r="UET111" s="3"/>
      <c r="UEU111" s="3"/>
      <c r="UEV111" s="3"/>
      <c r="UEW111" s="3"/>
      <c r="UEX111" s="3"/>
      <c r="UEY111" s="3"/>
      <c r="UEZ111" s="3"/>
      <c r="UFA111" s="3"/>
      <c r="UFB111" s="3"/>
      <c r="UFC111" s="3"/>
      <c r="UFD111" s="3"/>
      <c r="UFE111" s="3"/>
      <c r="UFF111" s="3"/>
      <c r="UFG111" s="3"/>
      <c r="UFH111" s="3"/>
      <c r="UFI111" s="3"/>
      <c r="UFJ111" s="3"/>
      <c r="UFK111" s="3"/>
      <c r="UFL111" s="3"/>
      <c r="UFM111" s="3"/>
      <c r="UFN111" s="3"/>
      <c r="UFO111" s="3"/>
      <c r="UFP111" s="3"/>
      <c r="UFQ111" s="3"/>
      <c r="UFR111" s="3"/>
      <c r="UFS111" s="3"/>
      <c r="UFT111" s="3"/>
      <c r="UFU111" s="3"/>
      <c r="UFV111" s="3"/>
      <c r="UFW111" s="3"/>
      <c r="UFX111" s="3"/>
      <c r="UFY111" s="3"/>
      <c r="UFZ111" s="3"/>
      <c r="UGA111" s="3"/>
      <c r="UGB111" s="3"/>
      <c r="UGC111" s="3"/>
      <c r="UGD111" s="3"/>
      <c r="UGE111" s="3"/>
      <c r="UGF111" s="3"/>
      <c r="UGG111" s="3"/>
      <c r="UGH111" s="3"/>
      <c r="UGI111" s="3"/>
      <c r="UGJ111" s="3"/>
      <c r="UGK111" s="3"/>
      <c r="UGL111" s="3"/>
      <c r="UGM111" s="3"/>
      <c r="UGN111" s="3"/>
      <c r="UGO111" s="3"/>
      <c r="UGP111" s="3"/>
      <c r="UGQ111" s="3"/>
      <c r="UGR111" s="3"/>
      <c r="UGS111" s="3"/>
      <c r="UGT111" s="3"/>
      <c r="UGU111" s="3"/>
      <c r="UGV111" s="3"/>
      <c r="UGW111" s="3"/>
      <c r="UGX111" s="3"/>
      <c r="UGY111" s="3"/>
      <c r="UGZ111" s="3"/>
      <c r="UHA111" s="3"/>
      <c r="UHB111" s="3"/>
      <c r="UHC111" s="3"/>
      <c r="UHD111" s="3"/>
      <c r="UHE111" s="3"/>
      <c r="UHF111" s="3"/>
      <c r="UHG111" s="3"/>
      <c r="UHH111" s="3"/>
      <c r="UHI111" s="3"/>
      <c r="UHJ111" s="3"/>
      <c r="UHK111" s="3"/>
      <c r="UHL111" s="3"/>
      <c r="UHM111" s="3"/>
      <c r="UHN111" s="3"/>
      <c r="UHO111" s="3"/>
      <c r="UHP111" s="3"/>
      <c r="UHQ111" s="3"/>
      <c r="UHR111" s="3"/>
      <c r="UHS111" s="3"/>
      <c r="UHT111" s="3"/>
      <c r="UHU111" s="3"/>
      <c r="UHV111" s="3"/>
      <c r="UHW111" s="3"/>
      <c r="UHX111" s="3"/>
      <c r="UHY111" s="3"/>
      <c r="UHZ111" s="3"/>
      <c r="UIA111" s="3"/>
      <c r="UIB111" s="3"/>
      <c r="UIC111" s="3"/>
      <c r="UID111" s="3"/>
      <c r="UIE111" s="3"/>
      <c r="UIF111" s="3"/>
      <c r="UIG111" s="3"/>
      <c r="UIH111" s="3"/>
      <c r="UII111" s="3"/>
      <c r="UIJ111" s="3"/>
      <c r="UIK111" s="3"/>
      <c r="UIL111" s="3"/>
      <c r="UIM111" s="3"/>
      <c r="UIN111" s="3"/>
      <c r="UIO111" s="3"/>
      <c r="UIP111" s="3"/>
      <c r="UIQ111" s="3"/>
      <c r="UIR111" s="3"/>
      <c r="UIS111" s="3"/>
      <c r="UIT111" s="3"/>
      <c r="UIU111" s="3"/>
      <c r="UIV111" s="3"/>
      <c r="UIW111" s="3"/>
      <c r="UIX111" s="3"/>
      <c r="UIY111" s="3"/>
      <c r="UIZ111" s="3"/>
      <c r="UJA111" s="3"/>
      <c r="UJB111" s="3"/>
      <c r="UJC111" s="3"/>
      <c r="UJD111" s="3"/>
      <c r="UJE111" s="3"/>
      <c r="UJF111" s="3"/>
      <c r="UJG111" s="3"/>
      <c r="UJH111" s="3"/>
      <c r="UJI111" s="3"/>
      <c r="UJJ111" s="3"/>
      <c r="UJK111" s="3"/>
      <c r="UJL111" s="3"/>
      <c r="UJM111" s="3"/>
      <c r="UJN111" s="3"/>
      <c r="UJO111" s="3"/>
      <c r="UJP111" s="3"/>
      <c r="UJQ111" s="3"/>
      <c r="UJR111" s="3"/>
      <c r="UJS111" s="3"/>
      <c r="UJT111" s="3"/>
      <c r="UJU111" s="3"/>
      <c r="UJV111" s="3"/>
      <c r="UJW111" s="3"/>
      <c r="UJX111" s="3"/>
      <c r="UJY111" s="3"/>
      <c r="UJZ111" s="3"/>
      <c r="UKA111" s="3"/>
      <c r="UKB111" s="3"/>
      <c r="UKC111" s="3"/>
      <c r="UKD111" s="3"/>
      <c r="UKE111" s="3"/>
      <c r="UKF111" s="3"/>
      <c r="UKG111" s="3"/>
      <c r="UKH111" s="3"/>
      <c r="UKI111" s="3"/>
      <c r="UKJ111" s="3"/>
      <c r="UKK111" s="3"/>
      <c r="UKL111" s="3"/>
      <c r="UKM111" s="3"/>
      <c r="UKN111" s="3"/>
      <c r="UKO111" s="3"/>
      <c r="UKP111" s="3"/>
      <c r="UKQ111" s="3"/>
      <c r="UKR111" s="3"/>
      <c r="UKS111" s="3"/>
      <c r="UKT111" s="3"/>
      <c r="UKU111" s="3"/>
      <c r="UKV111" s="3"/>
      <c r="UKW111" s="3"/>
      <c r="UKX111" s="3"/>
      <c r="UKY111" s="3"/>
      <c r="UKZ111" s="3"/>
      <c r="ULA111" s="3"/>
      <c r="ULB111" s="3"/>
      <c r="ULC111" s="3"/>
      <c r="ULD111" s="3"/>
      <c r="ULE111" s="3"/>
      <c r="ULF111" s="3"/>
      <c r="ULG111" s="3"/>
      <c r="ULH111" s="3"/>
      <c r="ULI111" s="3"/>
      <c r="ULJ111" s="3"/>
      <c r="ULK111" s="3"/>
      <c r="ULL111" s="3"/>
      <c r="ULM111" s="3"/>
      <c r="ULN111" s="3"/>
      <c r="ULO111" s="3"/>
      <c r="ULP111" s="3"/>
      <c r="ULQ111" s="3"/>
      <c r="ULR111" s="3"/>
      <c r="ULS111" s="3"/>
      <c r="ULT111" s="3"/>
      <c r="ULU111" s="3"/>
      <c r="ULV111" s="3"/>
      <c r="ULW111" s="3"/>
      <c r="ULX111" s="3"/>
      <c r="ULY111" s="3"/>
      <c r="ULZ111" s="3"/>
      <c r="UMA111" s="3"/>
      <c r="UMB111" s="3"/>
      <c r="UMC111" s="3"/>
      <c r="UMD111" s="3"/>
      <c r="UME111" s="3"/>
      <c r="UMF111" s="3"/>
      <c r="UMG111" s="3"/>
      <c r="UMH111" s="3"/>
      <c r="UMI111" s="3"/>
      <c r="UMJ111" s="3"/>
      <c r="UMK111" s="3"/>
      <c r="UML111" s="3"/>
      <c r="UMM111" s="3"/>
      <c r="UMN111" s="3"/>
      <c r="UMO111" s="3"/>
      <c r="UMP111" s="3"/>
      <c r="UMQ111" s="3"/>
      <c r="UMR111" s="3"/>
      <c r="UMS111" s="3"/>
      <c r="UMT111" s="3"/>
      <c r="UMU111" s="3"/>
      <c r="UMV111" s="3"/>
      <c r="UMW111" s="3"/>
      <c r="UMX111" s="3"/>
      <c r="UMY111" s="3"/>
      <c r="UMZ111" s="3"/>
      <c r="UNA111" s="3"/>
      <c r="UNB111" s="3"/>
      <c r="UNC111" s="3"/>
      <c r="UND111" s="3"/>
      <c r="UNE111" s="3"/>
      <c r="UNF111" s="3"/>
      <c r="UNG111" s="3"/>
      <c r="UNH111" s="3"/>
      <c r="UNI111" s="3"/>
      <c r="UNJ111" s="3"/>
      <c r="UNK111" s="3"/>
      <c r="UNL111" s="3"/>
      <c r="UNM111" s="3"/>
      <c r="UNN111" s="3"/>
      <c r="UNO111" s="3"/>
      <c r="UNP111" s="3"/>
      <c r="UNQ111" s="3"/>
      <c r="UNR111" s="3"/>
      <c r="UNS111" s="3"/>
      <c r="UNT111" s="3"/>
      <c r="UNU111" s="3"/>
      <c r="UNV111" s="3"/>
      <c r="UNW111" s="3"/>
      <c r="UNX111" s="3"/>
      <c r="UNY111" s="3"/>
      <c r="UNZ111" s="3"/>
      <c r="UOA111" s="3"/>
      <c r="UOB111" s="3"/>
      <c r="UOC111" s="3"/>
      <c r="UOD111" s="3"/>
      <c r="UOE111" s="3"/>
      <c r="UOF111" s="3"/>
      <c r="UOG111" s="3"/>
      <c r="UOH111" s="3"/>
      <c r="UOI111" s="3"/>
      <c r="UOJ111" s="3"/>
      <c r="UOK111" s="3"/>
      <c r="UOL111" s="3"/>
      <c r="UOM111" s="3"/>
      <c r="UON111" s="3"/>
      <c r="UOO111" s="3"/>
      <c r="UOP111" s="3"/>
      <c r="UOQ111" s="3"/>
      <c r="UOR111" s="3"/>
      <c r="UOS111" s="3"/>
      <c r="UOT111" s="3"/>
      <c r="UOU111" s="3"/>
      <c r="UOV111" s="3"/>
      <c r="UOW111" s="3"/>
      <c r="UOX111" s="3"/>
      <c r="UOY111" s="3"/>
      <c r="UOZ111" s="3"/>
      <c r="UPA111" s="3"/>
      <c r="UPB111" s="3"/>
      <c r="UPC111" s="3"/>
      <c r="UPD111" s="3"/>
      <c r="UPE111" s="3"/>
      <c r="UPF111" s="3"/>
      <c r="UPG111" s="3"/>
      <c r="UPH111" s="3"/>
      <c r="UPI111" s="3"/>
      <c r="UPJ111" s="3"/>
      <c r="UPK111" s="3"/>
      <c r="UPL111" s="3"/>
      <c r="UPM111" s="3"/>
      <c r="UPN111" s="3"/>
      <c r="UPO111" s="3"/>
      <c r="UPP111" s="3"/>
      <c r="UPQ111" s="3"/>
      <c r="UPR111" s="3"/>
      <c r="UPS111" s="3"/>
      <c r="UPT111" s="3"/>
      <c r="UPU111" s="3"/>
      <c r="UPV111" s="3"/>
      <c r="UPW111" s="3"/>
      <c r="UPX111" s="3"/>
      <c r="UPY111" s="3"/>
      <c r="UPZ111" s="3"/>
      <c r="UQA111" s="3"/>
      <c r="UQB111" s="3"/>
      <c r="UQC111" s="3"/>
      <c r="UQD111" s="3"/>
      <c r="UQE111" s="3"/>
      <c r="UQF111" s="3"/>
      <c r="UQG111" s="3"/>
      <c r="UQH111" s="3"/>
      <c r="UQI111" s="3"/>
      <c r="UQJ111" s="3"/>
      <c r="UQK111" s="3"/>
      <c r="UQL111" s="3"/>
      <c r="UQM111" s="3"/>
      <c r="UQN111" s="3"/>
      <c r="UQO111" s="3"/>
      <c r="UQP111" s="3"/>
      <c r="UQQ111" s="3"/>
      <c r="UQR111" s="3"/>
      <c r="UQS111" s="3"/>
      <c r="UQT111" s="3"/>
      <c r="UQU111" s="3"/>
      <c r="UQV111" s="3"/>
      <c r="UQW111" s="3"/>
      <c r="UQX111" s="3"/>
      <c r="UQY111" s="3"/>
      <c r="UQZ111" s="3"/>
      <c r="URA111" s="3"/>
      <c r="URB111" s="3"/>
      <c r="URC111" s="3"/>
      <c r="URD111" s="3"/>
      <c r="URE111" s="3"/>
      <c r="URF111" s="3"/>
      <c r="URG111" s="3"/>
      <c r="URH111" s="3"/>
      <c r="URI111" s="3"/>
      <c r="URJ111" s="3"/>
      <c r="URK111" s="3"/>
      <c r="URL111" s="3"/>
      <c r="URM111" s="3"/>
      <c r="URN111" s="3"/>
      <c r="URO111" s="3"/>
      <c r="URP111" s="3"/>
      <c r="URQ111" s="3"/>
      <c r="URR111" s="3"/>
      <c r="URS111" s="3"/>
      <c r="URT111" s="3"/>
      <c r="URU111" s="3"/>
      <c r="URV111" s="3"/>
      <c r="URW111" s="3"/>
      <c r="URX111" s="3"/>
      <c r="URY111" s="3"/>
      <c r="URZ111" s="3"/>
      <c r="USA111" s="3"/>
      <c r="USB111" s="3"/>
      <c r="USC111" s="3"/>
      <c r="USD111" s="3"/>
      <c r="USE111" s="3"/>
      <c r="USF111" s="3"/>
      <c r="USG111" s="3"/>
      <c r="USH111" s="3"/>
      <c r="USI111" s="3"/>
      <c r="USJ111" s="3"/>
      <c r="USK111" s="3"/>
      <c r="USL111" s="3"/>
      <c r="USM111" s="3"/>
      <c r="USN111" s="3"/>
      <c r="USO111" s="3"/>
      <c r="USP111" s="3"/>
      <c r="USQ111" s="3"/>
      <c r="USR111" s="3"/>
      <c r="USS111" s="3"/>
      <c r="UST111" s="3"/>
      <c r="USU111" s="3"/>
      <c r="USV111" s="3"/>
      <c r="USW111" s="3"/>
      <c r="USX111" s="3"/>
      <c r="USY111" s="3"/>
      <c r="USZ111" s="3"/>
      <c r="UTA111" s="3"/>
      <c r="UTB111" s="3"/>
      <c r="UTC111" s="3"/>
      <c r="UTD111" s="3"/>
      <c r="UTE111" s="3"/>
      <c r="UTF111" s="3"/>
      <c r="UTG111" s="3"/>
      <c r="UTH111" s="3"/>
      <c r="UTI111" s="3"/>
      <c r="UTJ111" s="3"/>
      <c r="UTK111" s="3"/>
      <c r="UTL111" s="3"/>
      <c r="UTM111" s="3"/>
      <c r="UTN111" s="3"/>
      <c r="UTO111" s="3"/>
      <c r="UTP111" s="3"/>
      <c r="UTQ111" s="3"/>
      <c r="UTR111" s="3"/>
      <c r="UTS111" s="3"/>
      <c r="UTT111" s="3"/>
      <c r="UTU111" s="3"/>
      <c r="UTV111" s="3"/>
      <c r="UTW111" s="3"/>
      <c r="UTX111" s="3"/>
      <c r="UTY111" s="3"/>
      <c r="UTZ111" s="3"/>
      <c r="UUA111" s="3"/>
      <c r="UUB111" s="3"/>
      <c r="UUC111" s="3"/>
      <c r="UUD111" s="3"/>
      <c r="UUE111" s="3"/>
      <c r="UUF111" s="3"/>
      <c r="UUG111" s="3"/>
      <c r="UUH111" s="3"/>
      <c r="UUI111" s="3"/>
      <c r="UUJ111" s="3"/>
      <c r="UUK111" s="3"/>
      <c r="UUL111" s="3"/>
      <c r="UUM111" s="3"/>
      <c r="UUN111" s="3"/>
      <c r="UUO111" s="3"/>
      <c r="UUP111" s="3"/>
      <c r="UUQ111" s="3"/>
      <c r="UUR111" s="3"/>
      <c r="UUS111" s="3"/>
      <c r="UUT111" s="3"/>
      <c r="UUU111" s="3"/>
      <c r="UUV111" s="3"/>
      <c r="UUW111" s="3"/>
      <c r="UUX111" s="3"/>
      <c r="UUY111" s="3"/>
      <c r="UUZ111" s="3"/>
      <c r="UVA111" s="3"/>
      <c r="UVB111" s="3"/>
      <c r="UVC111" s="3"/>
      <c r="UVD111" s="3"/>
      <c r="UVE111" s="3"/>
      <c r="UVF111" s="3"/>
      <c r="UVG111" s="3"/>
      <c r="UVH111" s="3"/>
      <c r="UVI111" s="3"/>
      <c r="UVJ111" s="3"/>
      <c r="UVK111" s="3"/>
      <c r="UVL111" s="3"/>
      <c r="UVM111" s="3"/>
      <c r="UVN111" s="3"/>
      <c r="UVO111" s="3"/>
      <c r="UVP111" s="3"/>
      <c r="UVQ111" s="3"/>
      <c r="UVR111" s="3"/>
      <c r="UVS111" s="3"/>
      <c r="UVT111" s="3"/>
      <c r="UVU111" s="3"/>
      <c r="UVV111" s="3"/>
      <c r="UVW111" s="3"/>
      <c r="UVX111" s="3"/>
      <c r="UVY111" s="3"/>
      <c r="UVZ111" s="3"/>
      <c r="UWA111" s="3"/>
      <c r="UWB111" s="3"/>
      <c r="UWC111" s="3"/>
      <c r="UWD111" s="3"/>
      <c r="UWE111" s="3"/>
      <c r="UWF111" s="3"/>
      <c r="UWG111" s="3"/>
      <c r="UWH111" s="3"/>
      <c r="UWI111" s="3"/>
      <c r="UWJ111" s="3"/>
      <c r="UWK111" s="3"/>
      <c r="UWL111" s="3"/>
      <c r="UWM111" s="3"/>
      <c r="UWN111" s="3"/>
      <c r="UWO111" s="3"/>
      <c r="UWP111" s="3"/>
      <c r="UWQ111" s="3"/>
      <c r="UWR111" s="3"/>
      <c r="UWS111" s="3"/>
      <c r="UWT111" s="3"/>
      <c r="UWU111" s="3"/>
      <c r="UWV111" s="3"/>
      <c r="UWW111" s="3"/>
      <c r="UWX111" s="3"/>
      <c r="UWY111" s="3"/>
      <c r="UWZ111" s="3"/>
      <c r="UXA111" s="3"/>
      <c r="UXB111" s="3"/>
      <c r="UXC111" s="3"/>
      <c r="UXD111" s="3"/>
      <c r="UXE111" s="3"/>
      <c r="UXF111" s="3"/>
      <c r="UXG111" s="3"/>
      <c r="UXH111" s="3"/>
      <c r="UXI111" s="3"/>
      <c r="UXJ111" s="3"/>
      <c r="UXK111" s="3"/>
      <c r="UXL111" s="3"/>
      <c r="UXM111" s="3"/>
      <c r="UXN111" s="3"/>
      <c r="UXO111" s="3"/>
      <c r="UXP111" s="3"/>
      <c r="UXQ111" s="3"/>
      <c r="UXR111" s="3"/>
      <c r="UXS111" s="3"/>
      <c r="UXT111" s="3"/>
      <c r="UXU111" s="3"/>
      <c r="UXV111" s="3"/>
      <c r="UXW111" s="3"/>
      <c r="UXX111" s="3"/>
      <c r="UXY111" s="3"/>
      <c r="UXZ111" s="3"/>
      <c r="UYA111" s="3"/>
      <c r="UYB111" s="3"/>
      <c r="UYC111" s="3"/>
      <c r="UYD111" s="3"/>
      <c r="UYE111" s="3"/>
      <c r="UYF111" s="3"/>
      <c r="UYG111" s="3"/>
      <c r="UYH111" s="3"/>
      <c r="UYI111" s="3"/>
      <c r="UYJ111" s="3"/>
      <c r="UYK111" s="3"/>
      <c r="UYL111" s="3"/>
      <c r="UYM111" s="3"/>
      <c r="UYN111" s="3"/>
      <c r="UYO111" s="3"/>
      <c r="UYP111" s="3"/>
      <c r="UYQ111" s="3"/>
      <c r="UYR111" s="3"/>
      <c r="UYS111" s="3"/>
      <c r="UYT111" s="3"/>
      <c r="UYU111" s="3"/>
      <c r="UYV111" s="3"/>
      <c r="UYW111" s="3"/>
      <c r="UYX111" s="3"/>
      <c r="UYY111" s="3"/>
      <c r="UYZ111" s="3"/>
      <c r="UZA111" s="3"/>
      <c r="UZB111" s="3"/>
      <c r="UZC111" s="3"/>
      <c r="UZD111" s="3"/>
      <c r="UZE111" s="3"/>
      <c r="UZF111" s="3"/>
      <c r="UZG111" s="3"/>
      <c r="UZH111" s="3"/>
      <c r="UZI111" s="3"/>
      <c r="UZJ111" s="3"/>
      <c r="UZK111" s="3"/>
      <c r="UZL111" s="3"/>
      <c r="UZM111" s="3"/>
      <c r="UZN111" s="3"/>
      <c r="UZO111" s="3"/>
      <c r="UZP111" s="3"/>
      <c r="UZQ111" s="3"/>
      <c r="UZR111" s="3"/>
      <c r="UZS111" s="3"/>
      <c r="UZT111" s="3"/>
      <c r="UZU111" s="3"/>
      <c r="UZV111" s="3"/>
      <c r="UZW111" s="3"/>
      <c r="UZX111" s="3"/>
      <c r="UZY111" s="3"/>
      <c r="UZZ111" s="3"/>
      <c r="VAA111" s="3"/>
      <c r="VAB111" s="3"/>
      <c r="VAC111" s="3"/>
      <c r="VAD111" s="3"/>
      <c r="VAE111" s="3"/>
      <c r="VAF111" s="3"/>
      <c r="VAG111" s="3"/>
      <c r="VAH111" s="3"/>
      <c r="VAI111" s="3"/>
      <c r="VAJ111" s="3"/>
      <c r="VAK111" s="3"/>
      <c r="VAL111" s="3"/>
      <c r="VAM111" s="3"/>
      <c r="VAN111" s="3"/>
      <c r="VAO111" s="3"/>
      <c r="VAP111" s="3"/>
      <c r="VAQ111" s="3"/>
      <c r="VAR111" s="3"/>
      <c r="VAS111" s="3"/>
      <c r="VAT111" s="3"/>
      <c r="VAU111" s="3"/>
      <c r="VAV111" s="3"/>
      <c r="VAW111" s="3"/>
      <c r="VAX111" s="3"/>
      <c r="VAY111" s="3"/>
      <c r="VAZ111" s="3"/>
      <c r="VBA111" s="3"/>
      <c r="VBB111" s="3"/>
      <c r="VBC111" s="3"/>
      <c r="VBD111" s="3"/>
      <c r="VBE111" s="3"/>
      <c r="VBF111" s="3"/>
      <c r="VBG111" s="3"/>
      <c r="VBH111" s="3"/>
      <c r="VBI111" s="3"/>
      <c r="VBJ111" s="3"/>
      <c r="VBK111" s="3"/>
      <c r="VBL111" s="3"/>
      <c r="VBM111" s="3"/>
      <c r="VBN111" s="3"/>
      <c r="VBO111" s="3"/>
      <c r="VBP111" s="3"/>
      <c r="VBQ111" s="3"/>
      <c r="VBR111" s="3"/>
      <c r="VBS111" s="3"/>
      <c r="VBT111" s="3"/>
      <c r="VBU111" s="3"/>
      <c r="VBV111" s="3"/>
      <c r="VBW111" s="3"/>
      <c r="VBX111" s="3"/>
      <c r="VBY111" s="3"/>
      <c r="VBZ111" s="3"/>
      <c r="VCA111" s="3"/>
      <c r="VCB111" s="3"/>
      <c r="VCC111" s="3"/>
      <c r="VCD111" s="3"/>
      <c r="VCE111" s="3"/>
      <c r="VCF111" s="3"/>
      <c r="VCG111" s="3"/>
      <c r="VCH111" s="3"/>
      <c r="VCI111" s="3"/>
      <c r="VCJ111" s="3"/>
      <c r="VCK111" s="3"/>
      <c r="VCL111" s="3"/>
      <c r="VCM111" s="3"/>
      <c r="VCN111" s="3"/>
      <c r="VCO111" s="3"/>
      <c r="VCP111" s="3"/>
      <c r="VCQ111" s="3"/>
      <c r="VCR111" s="3"/>
      <c r="VCS111" s="3"/>
      <c r="VCT111" s="3"/>
      <c r="VCU111" s="3"/>
      <c r="VCV111" s="3"/>
      <c r="VCW111" s="3"/>
      <c r="VCX111" s="3"/>
      <c r="VCY111" s="3"/>
      <c r="VCZ111" s="3"/>
      <c r="VDA111" s="3"/>
      <c r="VDB111" s="3"/>
      <c r="VDC111" s="3"/>
      <c r="VDD111" s="3"/>
      <c r="VDE111" s="3"/>
      <c r="VDF111" s="3"/>
      <c r="VDG111" s="3"/>
      <c r="VDH111" s="3"/>
      <c r="VDI111" s="3"/>
      <c r="VDJ111" s="3"/>
      <c r="VDK111" s="3"/>
      <c r="VDL111" s="3"/>
      <c r="VDM111" s="3"/>
      <c r="VDN111" s="3"/>
      <c r="VDO111" s="3"/>
      <c r="VDP111" s="3"/>
      <c r="VDQ111" s="3"/>
      <c r="VDR111" s="3"/>
      <c r="VDS111" s="3"/>
      <c r="VDT111" s="3"/>
      <c r="VDU111" s="3"/>
      <c r="VDV111" s="3"/>
      <c r="VDW111" s="3"/>
      <c r="VDX111" s="3"/>
      <c r="VDY111" s="3"/>
      <c r="VDZ111" s="3"/>
      <c r="VEA111" s="3"/>
      <c r="VEB111" s="3"/>
      <c r="VEC111" s="3"/>
      <c r="VED111" s="3"/>
      <c r="VEE111" s="3"/>
      <c r="VEF111" s="3"/>
      <c r="VEG111" s="3"/>
      <c r="VEH111" s="3"/>
      <c r="VEI111" s="3"/>
      <c r="VEJ111" s="3"/>
      <c r="VEK111" s="3"/>
      <c r="VEL111" s="3"/>
      <c r="VEM111" s="3"/>
      <c r="VEN111" s="3"/>
      <c r="VEO111" s="3"/>
      <c r="VEP111" s="3"/>
      <c r="VEQ111" s="3"/>
      <c r="VER111" s="3"/>
      <c r="VES111" s="3"/>
      <c r="VET111" s="3"/>
      <c r="VEU111" s="3"/>
      <c r="VEV111" s="3"/>
      <c r="VEW111" s="3"/>
      <c r="VEX111" s="3"/>
      <c r="VEY111" s="3"/>
      <c r="VEZ111" s="3"/>
      <c r="VFA111" s="3"/>
      <c r="VFB111" s="3"/>
      <c r="VFC111" s="3"/>
      <c r="VFD111" s="3"/>
      <c r="VFE111" s="3"/>
      <c r="VFF111" s="3"/>
      <c r="VFG111" s="3"/>
      <c r="VFH111" s="3"/>
      <c r="VFI111" s="3"/>
      <c r="VFJ111" s="3"/>
      <c r="VFK111" s="3"/>
      <c r="VFL111" s="3"/>
      <c r="VFM111" s="3"/>
      <c r="VFN111" s="3"/>
      <c r="VFO111" s="3"/>
      <c r="VFP111" s="3"/>
      <c r="VFQ111" s="3"/>
      <c r="VFR111" s="3"/>
      <c r="VFS111" s="3"/>
      <c r="VFT111" s="3"/>
      <c r="VFU111" s="3"/>
      <c r="VFV111" s="3"/>
      <c r="VFW111" s="3"/>
      <c r="VFX111" s="3"/>
      <c r="VFY111" s="3"/>
      <c r="VFZ111" s="3"/>
      <c r="VGA111" s="3"/>
      <c r="VGB111" s="3"/>
      <c r="VGC111" s="3"/>
      <c r="VGD111" s="3"/>
      <c r="VGE111" s="3"/>
      <c r="VGF111" s="3"/>
      <c r="VGG111" s="3"/>
      <c r="VGH111" s="3"/>
      <c r="VGI111" s="3"/>
      <c r="VGJ111" s="3"/>
      <c r="VGK111" s="3"/>
      <c r="VGL111" s="3"/>
      <c r="VGM111" s="3"/>
      <c r="VGN111" s="3"/>
      <c r="VGO111" s="3"/>
      <c r="VGP111" s="3"/>
      <c r="VGQ111" s="3"/>
      <c r="VGR111" s="3"/>
      <c r="VGS111" s="3"/>
      <c r="VGT111" s="3"/>
      <c r="VGU111" s="3"/>
      <c r="VGV111" s="3"/>
      <c r="VGW111" s="3"/>
      <c r="VGX111" s="3"/>
      <c r="VGY111" s="3"/>
      <c r="VGZ111" s="3"/>
      <c r="VHA111" s="3"/>
      <c r="VHB111" s="3"/>
      <c r="VHC111" s="3"/>
      <c r="VHD111" s="3"/>
      <c r="VHE111" s="3"/>
      <c r="VHF111" s="3"/>
      <c r="VHG111" s="3"/>
      <c r="VHH111" s="3"/>
      <c r="VHI111" s="3"/>
      <c r="VHJ111" s="3"/>
      <c r="VHK111" s="3"/>
      <c r="VHL111" s="3"/>
      <c r="VHM111" s="3"/>
      <c r="VHN111" s="3"/>
      <c r="VHO111" s="3"/>
      <c r="VHP111" s="3"/>
      <c r="VHQ111" s="3"/>
      <c r="VHR111" s="3"/>
      <c r="VHS111" s="3"/>
      <c r="VHT111" s="3"/>
      <c r="VHU111" s="3"/>
      <c r="VHV111" s="3"/>
      <c r="VHW111" s="3"/>
      <c r="VHX111" s="3"/>
      <c r="VHY111" s="3"/>
      <c r="VHZ111" s="3"/>
      <c r="VIA111" s="3"/>
      <c r="VIB111" s="3"/>
      <c r="VIC111" s="3"/>
      <c r="VID111" s="3"/>
      <c r="VIE111" s="3"/>
      <c r="VIF111" s="3"/>
      <c r="VIG111" s="3"/>
      <c r="VIH111" s="3"/>
      <c r="VII111" s="3"/>
      <c r="VIJ111" s="3"/>
      <c r="VIK111" s="3"/>
      <c r="VIL111" s="3"/>
      <c r="VIM111" s="3"/>
      <c r="VIN111" s="3"/>
      <c r="VIO111" s="3"/>
      <c r="VIP111" s="3"/>
      <c r="VIQ111" s="3"/>
      <c r="VIR111" s="3"/>
      <c r="VIS111" s="3"/>
      <c r="VIT111" s="3"/>
      <c r="VIU111" s="3"/>
      <c r="VIV111" s="3"/>
      <c r="VIW111" s="3"/>
      <c r="VIX111" s="3"/>
      <c r="VIY111" s="3"/>
      <c r="VIZ111" s="3"/>
      <c r="VJA111" s="3"/>
      <c r="VJB111" s="3"/>
      <c r="VJC111" s="3"/>
      <c r="VJD111" s="3"/>
      <c r="VJE111" s="3"/>
      <c r="VJF111" s="3"/>
      <c r="VJG111" s="3"/>
      <c r="VJH111" s="3"/>
      <c r="VJI111" s="3"/>
      <c r="VJJ111" s="3"/>
      <c r="VJK111" s="3"/>
      <c r="VJL111" s="3"/>
      <c r="VJM111" s="3"/>
      <c r="VJN111" s="3"/>
      <c r="VJO111" s="3"/>
      <c r="VJP111" s="3"/>
      <c r="VJQ111" s="3"/>
      <c r="VJR111" s="3"/>
      <c r="VJS111" s="3"/>
      <c r="VJT111" s="3"/>
      <c r="VJU111" s="3"/>
      <c r="VJV111" s="3"/>
      <c r="VJW111" s="3"/>
      <c r="VJX111" s="3"/>
      <c r="VJY111" s="3"/>
      <c r="VJZ111" s="3"/>
      <c r="VKA111" s="3"/>
      <c r="VKB111" s="3"/>
      <c r="VKC111" s="3"/>
      <c r="VKD111" s="3"/>
      <c r="VKE111" s="3"/>
      <c r="VKF111" s="3"/>
      <c r="VKG111" s="3"/>
      <c r="VKH111" s="3"/>
      <c r="VKI111" s="3"/>
      <c r="VKJ111" s="3"/>
      <c r="VKK111" s="3"/>
      <c r="VKL111" s="3"/>
      <c r="VKM111" s="3"/>
      <c r="VKN111" s="3"/>
      <c r="VKO111" s="3"/>
      <c r="VKP111" s="3"/>
      <c r="VKQ111" s="3"/>
      <c r="VKR111" s="3"/>
      <c r="VKS111" s="3"/>
      <c r="VKT111" s="3"/>
      <c r="VKU111" s="3"/>
      <c r="VKV111" s="3"/>
      <c r="VKW111" s="3"/>
      <c r="VKX111" s="3"/>
      <c r="VKY111" s="3"/>
      <c r="VKZ111" s="3"/>
      <c r="VLA111" s="3"/>
      <c r="VLB111" s="3"/>
      <c r="VLC111" s="3"/>
      <c r="VLD111" s="3"/>
      <c r="VLE111" s="3"/>
      <c r="VLF111" s="3"/>
      <c r="VLG111" s="3"/>
      <c r="VLH111" s="3"/>
      <c r="VLI111" s="3"/>
      <c r="VLJ111" s="3"/>
      <c r="VLK111" s="3"/>
      <c r="VLL111" s="3"/>
      <c r="VLM111" s="3"/>
      <c r="VLN111" s="3"/>
      <c r="VLO111" s="3"/>
      <c r="VLP111" s="3"/>
      <c r="VLQ111" s="3"/>
      <c r="VLR111" s="3"/>
      <c r="VLS111" s="3"/>
      <c r="VLT111" s="3"/>
      <c r="VLU111" s="3"/>
      <c r="VLV111" s="3"/>
      <c r="VLW111" s="3"/>
      <c r="VLX111" s="3"/>
      <c r="VLY111" s="3"/>
      <c r="VLZ111" s="3"/>
      <c r="VMA111" s="3"/>
      <c r="VMB111" s="3"/>
      <c r="VMC111" s="3"/>
      <c r="VMD111" s="3"/>
      <c r="VME111" s="3"/>
      <c r="VMF111" s="3"/>
      <c r="VMG111" s="3"/>
      <c r="VMH111" s="3"/>
      <c r="VMI111" s="3"/>
      <c r="VMJ111" s="3"/>
      <c r="VMK111" s="3"/>
      <c r="VML111" s="3"/>
      <c r="VMM111" s="3"/>
      <c r="VMN111" s="3"/>
      <c r="VMO111" s="3"/>
      <c r="VMP111" s="3"/>
      <c r="VMQ111" s="3"/>
      <c r="VMR111" s="3"/>
      <c r="VMS111" s="3"/>
      <c r="VMT111" s="3"/>
      <c r="VMU111" s="3"/>
      <c r="VMV111" s="3"/>
      <c r="VMW111" s="3"/>
      <c r="VMX111" s="3"/>
      <c r="VMY111" s="3"/>
      <c r="VMZ111" s="3"/>
      <c r="VNA111" s="3"/>
      <c r="VNB111" s="3"/>
      <c r="VNC111" s="3"/>
      <c r="VND111" s="3"/>
      <c r="VNE111" s="3"/>
      <c r="VNF111" s="3"/>
      <c r="VNG111" s="3"/>
      <c r="VNH111" s="3"/>
      <c r="VNI111" s="3"/>
      <c r="VNJ111" s="3"/>
      <c r="VNK111" s="3"/>
      <c r="VNL111" s="3"/>
      <c r="VNM111" s="3"/>
      <c r="VNN111" s="3"/>
      <c r="VNO111" s="3"/>
      <c r="VNP111" s="3"/>
      <c r="VNQ111" s="3"/>
      <c r="VNR111" s="3"/>
      <c r="VNS111" s="3"/>
      <c r="VNT111" s="3"/>
      <c r="VNU111" s="3"/>
      <c r="VNV111" s="3"/>
      <c r="VNW111" s="3"/>
      <c r="VNX111" s="3"/>
      <c r="VNY111" s="3"/>
      <c r="VNZ111" s="3"/>
      <c r="VOA111" s="3"/>
      <c r="VOB111" s="3"/>
      <c r="VOC111" s="3"/>
      <c r="VOD111" s="3"/>
      <c r="VOE111" s="3"/>
      <c r="VOF111" s="3"/>
      <c r="VOG111" s="3"/>
      <c r="VOH111" s="3"/>
      <c r="VOI111" s="3"/>
      <c r="VOJ111" s="3"/>
      <c r="VOK111" s="3"/>
      <c r="VOL111" s="3"/>
      <c r="VOM111" s="3"/>
      <c r="VON111" s="3"/>
      <c r="VOO111" s="3"/>
      <c r="VOP111" s="3"/>
      <c r="VOQ111" s="3"/>
      <c r="VOR111" s="3"/>
      <c r="VOS111" s="3"/>
      <c r="VOT111" s="3"/>
      <c r="VOU111" s="3"/>
      <c r="VOV111" s="3"/>
      <c r="VOW111" s="3"/>
      <c r="VOX111" s="3"/>
      <c r="VOY111" s="3"/>
      <c r="VOZ111" s="3"/>
      <c r="VPA111" s="3"/>
      <c r="VPB111" s="3"/>
      <c r="VPC111" s="3"/>
      <c r="VPD111" s="3"/>
      <c r="VPE111" s="3"/>
      <c r="VPF111" s="3"/>
      <c r="VPG111" s="3"/>
      <c r="VPH111" s="3"/>
      <c r="VPI111" s="3"/>
      <c r="VPJ111" s="3"/>
      <c r="VPK111" s="3"/>
      <c r="VPL111" s="3"/>
      <c r="VPM111" s="3"/>
      <c r="VPN111" s="3"/>
      <c r="VPO111" s="3"/>
      <c r="VPP111" s="3"/>
      <c r="VPQ111" s="3"/>
      <c r="VPR111" s="3"/>
      <c r="VPS111" s="3"/>
      <c r="VPT111" s="3"/>
      <c r="VPU111" s="3"/>
      <c r="VPV111" s="3"/>
      <c r="VPW111" s="3"/>
      <c r="VPX111" s="3"/>
      <c r="VPY111" s="3"/>
      <c r="VPZ111" s="3"/>
      <c r="VQA111" s="3"/>
      <c r="VQB111" s="3"/>
      <c r="VQC111" s="3"/>
      <c r="VQD111" s="3"/>
      <c r="VQE111" s="3"/>
      <c r="VQF111" s="3"/>
      <c r="VQG111" s="3"/>
      <c r="VQH111" s="3"/>
      <c r="VQI111" s="3"/>
      <c r="VQJ111" s="3"/>
      <c r="VQK111" s="3"/>
      <c r="VQL111" s="3"/>
      <c r="VQM111" s="3"/>
      <c r="VQN111" s="3"/>
      <c r="VQO111" s="3"/>
      <c r="VQP111" s="3"/>
      <c r="VQQ111" s="3"/>
      <c r="VQR111" s="3"/>
      <c r="VQS111" s="3"/>
      <c r="VQT111" s="3"/>
      <c r="VQU111" s="3"/>
      <c r="VQV111" s="3"/>
      <c r="VQW111" s="3"/>
      <c r="VQX111" s="3"/>
      <c r="VQY111" s="3"/>
      <c r="VQZ111" s="3"/>
      <c r="VRA111" s="3"/>
      <c r="VRB111" s="3"/>
      <c r="VRC111" s="3"/>
      <c r="VRD111" s="3"/>
      <c r="VRE111" s="3"/>
      <c r="VRF111" s="3"/>
      <c r="VRG111" s="3"/>
      <c r="VRH111" s="3"/>
      <c r="VRI111" s="3"/>
      <c r="VRJ111" s="3"/>
      <c r="VRK111" s="3"/>
      <c r="VRL111" s="3"/>
      <c r="VRM111" s="3"/>
      <c r="VRN111" s="3"/>
      <c r="VRO111" s="3"/>
      <c r="VRP111" s="3"/>
      <c r="VRQ111" s="3"/>
      <c r="VRR111" s="3"/>
      <c r="VRS111" s="3"/>
      <c r="VRT111" s="3"/>
      <c r="VRU111" s="3"/>
      <c r="VRV111" s="3"/>
      <c r="VRW111" s="3"/>
      <c r="VRX111" s="3"/>
      <c r="VRY111" s="3"/>
      <c r="VRZ111" s="3"/>
      <c r="VSA111" s="3"/>
      <c r="VSB111" s="3"/>
      <c r="VSC111" s="3"/>
      <c r="VSD111" s="3"/>
      <c r="VSE111" s="3"/>
      <c r="VSF111" s="3"/>
      <c r="VSG111" s="3"/>
      <c r="VSH111" s="3"/>
      <c r="VSI111" s="3"/>
      <c r="VSJ111" s="3"/>
      <c r="VSK111" s="3"/>
      <c r="VSL111" s="3"/>
      <c r="VSM111" s="3"/>
      <c r="VSN111" s="3"/>
      <c r="VSO111" s="3"/>
      <c r="VSP111" s="3"/>
      <c r="VSQ111" s="3"/>
      <c r="VSR111" s="3"/>
      <c r="VSS111" s="3"/>
      <c r="VST111" s="3"/>
      <c r="VSU111" s="3"/>
      <c r="VSV111" s="3"/>
      <c r="VSW111" s="3"/>
      <c r="VSX111" s="3"/>
      <c r="VSY111" s="3"/>
      <c r="VSZ111" s="3"/>
      <c r="VTA111" s="3"/>
      <c r="VTB111" s="3"/>
      <c r="VTC111" s="3"/>
      <c r="VTD111" s="3"/>
      <c r="VTE111" s="3"/>
      <c r="VTF111" s="3"/>
      <c r="VTG111" s="3"/>
      <c r="VTH111" s="3"/>
      <c r="VTI111" s="3"/>
      <c r="VTJ111" s="3"/>
      <c r="VTK111" s="3"/>
      <c r="VTL111" s="3"/>
      <c r="VTM111" s="3"/>
      <c r="VTN111" s="3"/>
      <c r="VTO111" s="3"/>
      <c r="VTP111" s="3"/>
      <c r="VTQ111" s="3"/>
      <c r="VTR111" s="3"/>
      <c r="VTS111" s="3"/>
      <c r="VTT111" s="3"/>
      <c r="VTU111" s="3"/>
      <c r="VTV111" s="3"/>
      <c r="VTW111" s="3"/>
      <c r="VTX111" s="3"/>
      <c r="VTY111" s="3"/>
      <c r="VTZ111" s="3"/>
      <c r="VUA111" s="3"/>
      <c r="VUB111" s="3"/>
      <c r="VUC111" s="3"/>
      <c r="VUD111" s="3"/>
      <c r="VUE111" s="3"/>
      <c r="VUF111" s="3"/>
      <c r="VUG111" s="3"/>
      <c r="VUH111" s="3"/>
      <c r="VUI111" s="3"/>
      <c r="VUJ111" s="3"/>
      <c r="VUK111" s="3"/>
      <c r="VUL111" s="3"/>
      <c r="VUM111" s="3"/>
      <c r="VUN111" s="3"/>
      <c r="VUO111" s="3"/>
      <c r="VUP111" s="3"/>
      <c r="VUQ111" s="3"/>
      <c r="VUR111" s="3"/>
      <c r="VUS111"/>
      <c r="VUT111"/>
      <c r="VUU111"/>
      <c r="VUV111"/>
      <c r="VUW111"/>
      <c r="VUX111"/>
      <c r="VUY111"/>
      <c r="VUZ111"/>
      <c r="VVA111"/>
      <c r="VVB111"/>
      <c r="VVC111"/>
      <c r="VVD111"/>
      <c r="VVE111"/>
      <c r="VVF111"/>
      <c r="VVG111"/>
      <c r="VVH111"/>
      <c r="VVI111"/>
      <c r="VVJ111"/>
      <c r="VVK111"/>
      <c r="VVL111"/>
      <c r="VVM111"/>
      <c r="VVN111"/>
      <c r="VVO111"/>
      <c r="VVP111"/>
      <c r="VVQ111"/>
      <c r="VVR111"/>
      <c r="VVS111"/>
      <c r="VVT111"/>
      <c r="VVU111"/>
      <c r="VVV111"/>
      <c r="VVW111"/>
      <c r="VVX111"/>
      <c r="VVY111"/>
      <c r="VVZ111"/>
      <c r="VWA111"/>
      <c r="VWB111"/>
      <c r="VWC111"/>
      <c r="VWD111"/>
      <c r="VWE111"/>
      <c r="VWF111"/>
      <c r="VWG111"/>
      <c r="VWH111"/>
      <c r="VWI111"/>
      <c r="VWJ111"/>
      <c r="VWK111"/>
      <c r="VWL111"/>
      <c r="VWM111"/>
      <c r="VWN111"/>
      <c r="VWO111"/>
      <c r="VWP111"/>
      <c r="VWQ111"/>
      <c r="VWR111"/>
      <c r="VWS111"/>
      <c r="VWT111"/>
      <c r="VWU111"/>
      <c r="VWV111"/>
      <c r="VWW111"/>
      <c r="VWX111"/>
      <c r="VWY111"/>
      <c r="VWZ111"/>
      <c r="VXA111"/>
      <c r="VXB111"/>
      <c r="VXC111"/>
      <c r="VXD111"/>
      <c r="VXE111"/>
      <c r="VXF111"/>
      <c r="VXG111"/>
      <c r="VXH111"/>
      <c r="VXI111"/>
      <c r="VXJ111"/>
      <c r="VXK111"/>
      <c r="VXL111"/>
      <c r="VXM111"/>
      <c r="VXN111"/>
      <c r="VXO111"/>
      <c r="VXP111"/>
      <c r="VXQ111"/>
      <c r="VXR111"/>
      <c r="VXS111"/>
      <c r="VXT111"/>
      <c r="VXU111"/>
      <c r="VXV111"/>
      <c r="VXW111"/>
      <c r="VXX111"/>
      <c r="VXY111"/>
      <c r="VXZ111"/>
      <c r="VYA111"/>
      <c r="VYB111"/>
      <c r="VYC111"/>
      <c r="VYD111"/>
      <c r="VYE111"/>
      <c r="VYF111"/>
      <c r="VYG111"/>
      <c r="VYH111"/>
      <c r="VYI111"/>
      <c r="VYJ111"/>
      <c r="VYK111"/>
      <c r="VYL111"/>
      <c r="VYM111"/>
      <c r="VYN111"/>
      <c r="VYO111"/>
      <c r="VYP111"/>
      <c r="VYQ111"/>
      <c r="VYR111"/>
      <c r="VYS111"/>
      <c r="VYT111"/>
      <c r="VYU111"/>
      <c r="VYV111"/>
      <c r="VYW111"/>
      <c r="VYX111"/>
      <c r="VYY111"/>
      <c r="VYZ111"/>
      <c r="VZA111"/>
      <c r="VZB111"/>
      <c r="VZC111"/>
      <c r="VZD111"/>
      <c r="VZE111"/>
      <c r="VZF111"/>
      <c r="VZG111"/>
      <c r="VZH111"/>
      <c r="VZI111"/>
      <c r="VZJ111"/>
      <c r="VZK111"/>
      <c r="VZL111"/>
      <c r="VZM111"/>
      <c r="VZN111"/>
      <c r="VZO111"/>
      <c r="VZP111"/>
      <c r="VZQ111"/>
      <c r="VZR111"/>
      <c r="VZS111"/>
      <c r="VZT111"/>
      <c r="VZU111"/>
      <c r="VZV111"/>
      <c r="VZW111"/>
      <c r="VZX111"/>
      <c r="VZY111"/>
      <c r="VZZ111"/>
      <c r="WAA111"/>
      <c r="WAB111"/>
      <c r="WAC111"/>
      <c r="WAD111"/>
      <c r="WAE111"/>
      <c r="WAF111"/>
      <c r="WAG111"/>
      <c r="WAH111"/>
      <c r="WAI111"/>
      <c r="WAJ111"/>
      <c r="WAK111"/>
      <c r="WAL111"/>
      <c r="WAM111"/>
      <c r="WAN111"/>
      <c r="WAO111"/>
      <c r="WAP111"/>
      <c r="WAQ111"/>
      <c r="WAR111"/>
      <c r="WAS111"/>
      <c r="WAT111"/>
      <c r="WAU111"/>
      <c r="WAV111"/>
      <c r="WAW111"/>
      <c r="WAX111"/>
      <c r="WAY111"/>
      <c r="WAZ111"/>
      <c r="WBA111"/>
      <c r="WBB111"/>
      <c r="WBC111"/>
      <c r="WBD111"/>
      <c r="WBE111"/>
      <c r="WBF111"/>
      <c r="WBG111"/>
      <c r="WBH111"/>
      <c r="WBI111"/>
      <c r="WBJ111"/>
      <c r="WBK111"/>
      <c r="WBL111"/>
      <c r="WBM111"/>
      <c r="WBN111"/>
      <c r="WBO111"/>
      <c r="WBP111"/>
      <c r="WBQ111"/>
      <c r="WBR111"/>
      <c r="WBS111"/>
      <c r="WBT111"/>
      <c r="WBU111"/>
      <c r="WBV111"/>
      <c r="WBW111"/>
      <c r="WBX111"/>
      <c r="WBY111"/>
      <c r="WBZ111"/>
      <c r="WCA111"/>
      <c r="WCB111"/>
      <c r="WCC111"/>
      <c r="WCD111"/>
      <c r="WCE111"/>
      <c r="WCF111"/>
      <c r="WCG111"/>
      <c r="WCH111"/>
      <c r="WCI111"/>
      <c r="WCJ111"/>
      <c r="WCK111"/>
      <c r="WCL111"/>
      <c r="WCM111"/>
      <c r="WCN111"/>
      <c r="WCO111"/>
      <c r="WCP111"/>
      <c r="WCQ111"/>
      <c r="WCR111"/>
      <c r="WCS111"/>
      <c r="WCT111"/>
      <c r="WCU111"/>
      <c r="WCV111"/>
      <c r="WCW111"/>
      <c r="WCX111"/>
      <c r="WCY111"/>
      <c r="WCZ111"/>
      <c r="WDA111"/>
      <c r="WDB111"/>
      <c r="WDC111"/>
      <c r="WDD111"/>
      <c r="WDE111"/>
      <c r="WDF111"/>
      <c r="WDG111"/>
      <c r="WDH111"/>
      <c r="WDI111"/>
      <c r="WDJ111"/>
      <c r="WDK111"/>
      <c r="WDL111"/>
      <c r="WDM111"/>
      <c r="WDN111"/>
      <c r="WDO111"/>
      <c r="WDP111"/>
      <c r="WDQ111"/>
      <c r="WDR111"/>
      <c r="WDS111"/>
      <c r="WDT111"/>
      <c r="WDU111"/>
      <c r="WDV111"/>
      <c r="WDW111"/>
      <c r="WDX111"/>
      <c r="WDY111"/>
      <c r="WDZ111"/>
      <c r="WEA111"/>
      <c r="WEB111"/>
      <c r="WEC111"/>
      <c r="WED111"/>
      <c r="WEE111"/>
      <c r="WEF111"/>
      <c r="WEG111"/>
      <c r="WEH111"/>
      <c r="WEI111"/>
      <c r="WEJ111"/>
      <c r="WEK111"/>
      <c r="WEL111"/>
      <c r="WEM111"/>
      <c r="WEN111"/>
      <c r="WEO111"/>
      <c r="WEP111"/>
      <c r="WEQ111"/>
      <c r="WER111"/>
      <c r="WES111"/>
      <c r="WET111"/>
      <c r="WEU111"/>
      <c r="WEV111"/>
      <c r="WEW111"/>
      <c r="WEX111"/>
      <c r="WEY111"/>
      <c r="WEZ111"/>
      <c r="WFA111"/>
      <c r="WFB111"/>
      <c r="WFC111"/>
      <c r="WFD111"/>
      <c r="WFE111"/>
      <c r="WFF111"/>
      <c r="WFG111"/>
      <c r="WFH111"/>
      <c r="WFI111"/>
      <c r="WFJ111"/>
      <c r="WFK111"/>
      <c r="WFL111"/>
      <c r="WFM111"/>
      <c r="WFN111"/>
      <c r="WFO111"/>
      <c r="WFP111"/>
      <c r="WFQ111"/>
      <c r="WFR111"/>
      <c r="WFS111"/>
      <c r="WFT111"/>
      <c r="WFU111"/>
      <c r="WFV111"/>
      <c r="WFW111"/>
      <c r="WFX111"/>
      <c r="WFY111"/>
      <c r="WFZ111"/>
      <c r="WGA111"/>
      <c r="WGB111"/>
      <c r="WGC111"/>
      <c r="WGD111"/>
      <c r="WGE111"/>
      <c r="WGF111"/>
      <c r="WGG111"/>
      <c r="WGH111"/>
      <c r="WGI111"/>
      <c r="WGJ111"/>
      <c r="WGK111"/>
      <c r="WGL111"/>
      <c r="WGM111"/>
      <c r="WGN111"/>
      <c r="WGO111"/>
      <c r="WGP111"/>
      <c r="WGQ111"/>
      <c r="WGR111"/>
      <c r="WGS111"/>
      <c r="WGT111"/>
      <c r="WGU111"/>
      <c r="WGV111"/>
      <c r="WGW111"/>
      <c r="WGX111"/>
      <c r="WGY111"/>
      <c r="WGZ111"/>
      <c r="WHA111"/>
      <c r="WHB111"/>
      <c r="WHC111"/>
      <c r="WHD111"/>
      <c r="WHE111"/>
      <c r="WHF111"/>
      <c r="WHG111"/>
      <c r="WHH111"/>
      <c r="WHI111"/>
      <c r="WHJ111"/>
      <c r="WHK111"/>
      <c r="WHL111"/>
      <c r="WHM111"/>
      <c r="WHN111"/>
      <c r="WHO111"/>
      <c r="WHP111"/>
      <c r="WHQ111"/>
      <c r="WHR111"/>
      <c r="WHS111"/>
      <c r="WHT111"/>
      <c r="WHU111"/>
      <c r="WHV111"/>
      <c r="WHW111"/>
      <c r="WHX111"/>
      <c r="WHY111"/>
      <c r="WHZ111"/>
      <c r="WIA111"/>
      <c r="WIB111"/>
      <c r="WIC111"/>
      <c r="WID111"/>
      <c r="WIE111"/>
      <c r="WIF111"/>
      <c r="WIG111"/>
      <c r="WIH111"/>
      <c r="WII111"/>
      <c r="WIJ111"/>
      <c r="WIK111"/>
      <c r="WIL111"/>
      <c r="WIM111"/>
      <c r="WIN111"/>
      <c r="WIO111"/>
      <c r="WIP111"/>
      <c r="WIQ111"/>
      <c r="WIR111"/>
      <c r="WIS111"/>
      <c r="WIT111"/>
      <c r="WIU111"/>
      <c r="WIV111"/>
      <c r="WIW111"/>
      <c r="WIX111"/>
      <c r="WIY111"/>
      <c r="WIZ111"/>
      <c r="WJA111"/>
      <c r="WJB111"/>
      <c r="WJC111"/>
      <c r="WJD111"/>
      <c r="WJE111"/>
      <c r="WJF111"/>
      <c r="WJG111"/>
      <c r="WJH111"/>
      <c r="WJI111"/>
      <c r="WJJ111"/>
      <c r="WJK111"/>
      <c r="WJL111"/>
      <c r="WJM111"/>
      <c r="WJN111"/>
      <c r="WJO111"/>
      <c r="WJP111"/>
      <c r="WJQ111"/>
      <c r="WJR111"/>
      <c r="WJS111"/>
      <c r="WJT111"/>
      <c r="WJU111"/>
    </row>
    <row r="112" spans="1:15829" s="1" customFormat="1" ht="14.25" hidden="1">
      <c r="B112" s="76"/>
      <c r="C112" s="262" t="s">
        <v>70</v>
      </c>
      <c r="D112" s="80"/>
      <c r="E112" s="76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129"/>
      <c r="AL112" s="188" t="s">
        <v>70</v>
      </c>
      <c r="AO112" s="130"/>
    </row>
    <row r="113" spans="2:256" s="1" customFormat="1" ht="14.25" hidden="1">
      <c r="B113" s="76"/>
      <c r="C113" s="167" t="s">
        <v>83</v>
      </c>
      <c r="D113" s="75">
        <v>0.3</v>
      </c>
      <c r="E113" s="263" t="s">
        <v>13</v>
      </c>
      <c r="F113" s="93" t="e">
        <f t="shared" ref="F113:AJ113" si="57">F106/F98*100</f>
        <v>#DIV/0!</v>
      </c>
      <c r="G113" s="93" t="e">
        <f t="shared" si="57"/>
        <v>#DIV/0!</v>
      </c>
      <c r="H113" s="93" t="e">
        <f t="shared" si="57"/>
        <v>#DIV/0!</v>
      </c>
      <c r="I113" s="93" t="e">
        <f t="shared" si="57"/>
        <v>#DIV/0!</v>
      </c>
      <c r="J113" s="93" t="e">
        <f t="shared" si="57"/>
        <v>#DIV/0!</v>
      </c>
      <c r="K113" s="93" t="e">
        <f t="shared" si="57"/>
        <v>#DIV/0!</v>
      </c>
      <c r="L113" s="93" t="e">
        <f t="shared" si="57"/>
        <v>#DIV/0!</v>
      </c>
      <c r="M113" s="93" t="e">
        <f t="shared" si="57"/>
        <v>#DIV/0!</v>
      </c>
      <c r="N113" s="93" t="e">
        <f t="shared" si="57"/>
        <v>#DIV/0!</v>
      </c>
      <c r="O113" s="93" t="e">
        <f t="shared" si="57"/>
        <v>#DIV/0!</v>
      </c>
      <c r="P113" s="93" t="e">
        <f t="shared" si="57"/>
        <v>#DIV/0!</v>
      </c>
      <c r="Q113" s="93" t="e">
        <f t="shared" si="57"/>
        <v>#DIV/0!</v>
      </c>
      <c r="R113" s="93" t="e">
        <f t="shared" si="57"/>
        <v>#DIV/0!</v>
      </c>
      <c r="S113" s="93" t="e">
        <f t="shared" si="57"/>
        <v>#DIV/0!</v>
      </c>
      <c r="T113" s="93" t="e">
        <f t="shared" si="57"/>
        <v>#DIV/0!</v>
      </c>
      <c r="U113" s="93" t="e">
        <f t="shared" si="57"/>
        <v>#DIV/0!</v>
      </c>
      <c r="V113" s="93" t="e">
        <f t="shared" si="57"/>
        <v>#DIV/0!</v>
      </c>
      <c r="W113" s="93" t="e">
        <f t="shared" si="57"/>
        <v>#DIV/0!</v>
      </c>
      <c r="X113" s="93" t="e">
        <f t="shared" si="57"/>
        <v>#DIV/0!</v>
      </c>
      <c r="Y113" s="93" t="e">
        <f t="shared" si="57"/>
        <v>#DIV/0!</v>
      </c>
      <c r="Z113" s="93" t="e">
        <f t="shared" si="57"/>
        <v>#DIV/0!</v>
      </c>
      <c r="AA113" s="93" t="e">
        <f t="shared" si="57"/>
        <v>#DIV/0!</v>
      </c>
      <c r="AB113" s="93" t="e">
        <f t="shared" si="57"/>
        <v>#DIV/0!</v>
      </c>
      <c r="AC113" s="93" t="e">
        <f t="shared" si="57"/>
        <v>#DIV/0!</v>
      </c>
      <c r="AD113" s="93" t="e">
        <f t="shared" si="57"/>
        <v>#DIV/0!</v>
      </c>
      <c r="AE113" s="93" t="e">
        <f t="shared" si="57"/>
        <v>#DIV/0!</v>
      </c>
      <c r="AF113" s="93" t="e">
        <f t="shared" si="57"/>
        <v>#DIV/0!</v>
      </c>
      <c r="AG113" s="93" t="e">
        <f t="shared" si="57"/>
        <v>#DIV/0!</v>
      </c>
      <c r="AH113" s="93" t="e">
        <f t="shared" si="57"/>
        <v>#DIV/0!</v>
      </c>
      <c r="AI113" s="93" t="e">
        <f t="shared" si="57"/>
        <v>#DIV/0!</v>
      </c>
      <c r="AJ113" s="93" t="e">
        <f t="shared" si="57"/>
        <v>#DIV/0!</v>
      </c>
      <c r="AK113" s="129"/>
      <c r="AL113" s="131" t="e">
        <f t="shared" ref="AL113:AL117" si="58">AL106/AL98*100</f>
        <v>#DIV/0!</v>
      </c>
      <c r="AO113" s="130"/>
    </row>
    <row r="114" spans="2:256" s="1" customFormat="1" ht="14.25" hidden="1">
      <c r="B114" s="76"/>
      <c r="C114" s="167" t="s">
        <v>84</v>
      </c>
      <c r="D114" s="75">
        <v>0.3</v>
      </c>
      <c r="E114" s="263" t="s">
        <v>13</v>
      </c>
      <c r="F114" s="93" t="e">
        <f t="shared" ref="F114:AJ114" si="59">F107/F99*100</f>
        <v>#DIV/0!</v>
      </c>
      <c r="G114" s="93" t="e">
        <f t="shared" si="59"/>
        <v>#DIV/0!</v>
      </c>
      <c r="H114" s="93" t="e">
        <f t="shared" si="59"/>
        <v>#DIV/0!</v>
      </c>
      <c r="I114" s="93" t="e">
        <f t="shared" si="59"/>
        <v>#DIV/0!</v>
      </c>
      <c r="J114" s="93" t="e">
        <f t="shared" si="59"/>
        <v>#DIV/0!</v>
      </c>
      <c r="K114" s="93" t="e">
        <f t="shared" si="59"/>
        <v>#DIV/0!</v>
      </c>
      <c r="L114" s="93" t="e">
        <f t="shared" si="59"/>
        <v>#DIV/0!</v>
      </c>
      <c r="M114" s="93" t="e">
        <f t="shared" si="59"/>
        <v>#DIV/0!</v>
      </c>
      <c r="N114" s="93" t="e">
        <f t="shared" si="59"/>
        <v>#DIV/0!</v>
      </c>
      <c r="O114" s="93" t="e">
        <f t="shared" si="59"/>
        <v>#DIV/0!</v>
      </c>
      <c r="P114" s="93" t="e">
        <f t="shared" si="59"/>
        <v>#DIV/0!</v>
      </c>
      <c r="Q114" s="93" t="e">
        <f t="shared" si="59"/>
        <v>#DIV/0!</v>
      </c>
      <c r="R114" s="93" t="e">
        <f t="shared" si="59"/>
        <v>#DIV/0!</v>
      </c>
      <c r="S114" s="93" t="e">
        <f t="shared" si="59"/>
        <v>#DIV/0!</v>
      </c>
      <c r="T114" s="93" t="e">
        <f t="shared" si="59"/>
        <v>#DIV/0!</v>
      </c>
      <c r="U114" s="93" t="e">
        <f t="shared" si="59"/>
        <v>#DIV/0!</v>
      </c>
      <c r="V114" s="93" t="e">
        <f t="shared" si="59"/>
        <v>#DIV/0!</v>
      </c>
      <c r="W114" s="93" t="e">
        <f t="shared" si="59"/>
        <v>#DIV/0!</v>
      </c>
      <c r="X114" s="93" t="e">
        <f t="shared" si="59"/>
        <v>#DIV/0!</v>
      </c>
      <c r="Y114" s="93" t="e">
        <f t="shared" si="59"/>
        <v>#DIV/0!</v>
      </c>
      <c r="Z114" s="93" t="e">
        <f t="shared" si="59"/>
        <v>#DIV/0!</v>
      </c>
      <c r="AA114" s="93" t="e">
        <f t="shared" si="59"/>
        <v>#DIV/0!</v>
      </c>
      <c r="AB114" s="93" t="e">
        <f t="shared" si="59"/>
        <v>#DIV/0!</v>
      </c>
      <c r="AC114" s="93" t="e">
        <f t="shared" si="59"/>
        <v>#DIV/0!</v>
      </c>
      <c r="AD114" s="93" t="e">
        <f t="shared" si="59"/>
        <v>#DIV/0!</v>
      </c>
      <c r="AE114" s="93" t="e">
        <f t="shared" si="59"/>
        <v>#DIV/0!</v>
      </c>
      <c r="AF114" s="93" t="e">
        <f t="shared" si="59"/>
        <v>#DIV/0!</v>
      </c>
      <c r="AG114" s="93" t="e">
        <f t="shared" si="59"/>
        <v>#DIV/0!</v>
      </c>
      <c r="AH114" s="93" t="e">
        <f t="shared" si="59"/>
        <v>#DIV/0!</v>
      </c>
      <c r="AI114" s="93" t="e">
        <f t="shared" si="59"/>
        <v>#DIV/0!</v>
      </c>
      <c r="AJ114" s="93" t="e">
        <f t="shared" si="59"/>
        <v>#DIV/0!</v>
      </c>
      <c r="AK114" s="129"/>
      <c r="AL114" s="131" t="e">
        <f t="shared" si="58"/>
        <v>#DIV/0!</v>
      </c>
      <c r="AO114" s="130"/>
    </row>
    <row r="115" spans="2:256" s="1" customFormat="1" ht="14.25" hidden="1">
      <c r="B115" s="76"/>
      <c r="C115" s="262" t="s">
        <v>74</v>
      </c>
      <c r="D115" s="75"/>
      <c r="E115" s="76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129"/>
      <c r="AL115" s="188" t="s">
        <v>74</v>
      </c>
      <c r="AO115" s="130"/>
    </row>
    <row r="116" spans="2:256" s="1" customFormat="1" ht="14.25" hidden="1">
      <c r="B116" s="76"/>
      <c r="C116" s="167" t="s">
        <v>83</v>
      </c>
      <c r="D116" s="75">
        <v>0.5</v>
      </c>
      <c r="E116" s="263" t="s">
        <v>13</v>
      </c>
      <c r="F116" s="93" t="e">
        <f t="shared" ref="F116:AJ116" si="60">F109/F101*100</f>
        <v>#DIV/0!</v>
      </c>
      <c r="G116" s="93" t="e">
        <f t="shared" si="60"/>
        <v>#DIV/0!</v>
      </c>
      <c r="H116" s="93" t="e">
        <f t="shared" si="60"/>
        <v>#DIV/0!</v>
      </c>
      <c r="I116" s="93" t="e">
        <f t="shared" si="60"/>
        <v>#DIV/0!</v>
      </c>
      <c r="J116" s="93" t="e">
        <f t="shared" si="60"/>
        <v>#DIV/0!</v>
      </c>
      <c r="K116" s="93" t="e">
        <f t="shared" si="60"/>
        <v>#DIV/0!</v>
      </c>
      <c r="L116" s="93" t="e">
        <f t="shared" si="60"/>
        <v>#DIV/0!</v>
      </c>
      <c r="M116" s="93" t="e">
        <f t="shared" si="60"/>
        <v>#DIV/0!</v>
      </c>
      <c r="N116" s="93" t="e">
        <f t="shared" si="60"/>
        <v>#DIV/0!</v>
      </c>
      <c r="O116" s="93" t="e">
        <f t="shared" si="60"/>
        <v>#DIV/0!</v>
      </c>
      <c r="P116" s="93" t="e">
        <f t="shared" si="60"/>
        <v>#DIV/0!</v>
      </c>
      <c r="Q116" s="93" t="e">
        <f t="shared" si="60"/>
        <v>#DIV/0!</v>
      </c>
      <c r="R116" s="93" t="e">
        <f t="shared" si="60"/>
        <v>#DIV/0!</v>
      </c>
      <c r="S116" s="93" t="e">
        <f t="shared" si="60"/>
        <v>#DIV/0!</v>
      </c>
      <c r="T116" s="93" t="e">
        <f t="shared" si="60"/>
        <v>#DIV/0!</v>
      </c>
      <c r="U116" s="93" t="e">
        <f t="shared" si="60"/>
        <v>#DIV/0!</v>
      </c>
      <c r="V116" s="93" t="e">
        <f t="shared" si="60"/>
        <v>#DIV/0!</v>
      </c>
      <c r="W116" s="93" t="e">
        <f t="shared" si="60"/>
        <v>#DIV/0!</v>
      </c>
      <c r="X116" s="93" t="e">
        <f t="shared" si="60"/>
        <v>#DIV/0!</v>
      </c>
      <c r="Y116" s="93" t="e">
        <f t="shared" si="60"/>
        <v>#DIV/0!</v>
      </c>
      <c r="Z116" s="93" t="e">
        <f t="shared" si="60"/>
        <v>#DIV/0!</v>
      </c>
      <c r="AA116" s="93" t="e">
        <f t="shared" si="60"/>
        <v>#DIV/0!</v>
      </c>
      <c r="AB116" s="93" t="e">
        <f t="shared" si="60"/>
        <v>#DIV/0!</v>
      </c>
      <c r="AC116" s="93" t="e">
        <f t="shared" si="60"/>
        <v>#DIV/0!</v>
      </c>
      <c r="AD116" s="93" t="e">
        <f t="shared" si="60"/>
        <v>#DIV/0!</v>
      </c>
      <c r="AE116" s="93" t="e">
        <f t="shared" si="60"/>
        <v>#DIV/0!</v>
      </c>
      <c r="AF116" s="93" t="e">
        <f t="shared" si="60"/>
        <v>#DIV/0!</v>
      </c>
      <c r="AG116" s="93" t="e">
        <f t="shared" si="60"/>
        <v>#DIV/0!</v>
      </c>
      <c r="AH116" s="93" t="e">
        <f t="shared" si="60"/>
        <v>#DIV/0!</v>
      </c>
      <c r="AI116" s="93" t="e">
        <f t="shared" si="60"/>
        <v>#DIV/0!</v>
      </c>
      <c r="AJ116" s="93" t="e">
        <f t="shared" si="60"/>
        <v>#DIV/0!</v>
      </c>
      <c r="AK116" s="129"/>
      <c r="AL116" s="131" t="e">
        <f t="shared" si="58"/>
        <v>#DIV/0!</v>
      </c>
      <c r="AO116" s="130"/>
    </row>
    <row r="117" spans="2:256" s="1" customFormat="1" ht="14.25" hidden="1">
      <c r="B117" s="76"/>
      <c r="C117" s="167" t="s">
        <v>84</v>
      </c>
      <c r="D117" s="75">
        <v>0.5</v>
      </c>
      <c r="E117" s="263" t="s">
        <v>13</v>
      </c>
      <c r="F117" s="93" t="e">
        <f t="shared" ref="F117:AJ117" si="61">F110/F102*100</f>
        <v>#DIV/0!</v>
      </c>
      <c r="G117" s="93" t="e">
        <f t="shared" si="61"/>
        <v>#DIV/0!</v>
      </c>
      <c r="H117" s="93" t="e">
        <f t="shared" si="61"/>
        <v>#DIV/0!</v>
      </c>
      <c r="I117" s="93" t="e">
        <f t="shared" si="61"/>
        <v>#DIV/0!</v>
      </c>
      <c r="J117" s="93" t="e">
        <f t="shared" si="61"/>
        <v>#DIV/0!</v>
      </c>
      <c r="K117" s="93" t="e">
        <f t="shared" si="61"/>
        <v>#DIV/0!</v>
      </c>
      <c r="L117" s="93" t="e">
        <f t="shared" si="61"/>
        <v>#DIV/0!</v>
      </c>
      <c r="M117" s="93" t="e">
        <f t="shared" si="61"/>
        <v>#DIV/0!</v>
      </c>
      <c r="N117" s="93" t="e">
        <f t="shared" si="61"/>
        <v>#DIV/0!</v>
      </c>
      <c r="O117" s="93" t="e">
        <f t="shared" si="61"/>
        <v>#DIV/0!</v>
      </c>
      <c r="P117" s="93" t="e">
        <f t="shared" si="61"/>
        <v>#DIV/0!</v>
      </c>
      <c r="Q117" s="93" t="e">
        <f t="shared" si="61"/>
        <v>#DIV/0!</v>
      </c>
      <c r="R117" s="93" t="e">
        <f t="shared" si="61"/>
        <v>#DIV/0!</v>
      </c>
      <c r="S117" s="93" t="e">
        <f t="shared" si="61"/>
        <v>#DIV/0!</v>
      </c>
      <c r="T117" s="93" t="e">
        <f t="shared" si="61"/>
        <v>#DIV/0!</v>
      </c>
      <c r="U117" s="93" t="e">
        <f t="shared" si="61"/>
        <v>#DIV/0!</v>
      </c>
      <c r="V117" s="93" t="e">
        <f t="shared" si="61"/>
        <v>#DIV/0!</v>
      </c>
      <c r="W117" s="93" t="e">
        <f t="shared" si="61"/>
        <v>#DIV/0!</v>
      </c>
      <c r="X117" s="93" t="e">
        <f t="shared" si="61"/>
        <v>#DIV/0!</v>
      </c>
      <c r="Y117" s="93" t="e">
        <f t="shared" si="61"/>
        <v>#DIV/0!</v>
      </c>
      <c r="Z117" s="93" t="e">
        <f t="shared" si="61"/>
        <v>#DIV/0!</v>
      </c>
      <c r="AA117" s="93" t="e">
        <f t="shared" si="61"/>
        <v>#DIV/0!</v>
      </c>
      <c r="AB117" s="93" t="e">
        <f t="shared" si="61"/>
        <v>#DIV/0!</v>
      </c>
      <c r="AC117" s="93" t="e">
        <f t="shared" si="61"/>
        <v>#DIV/0!</v>
      </c>
      <c r="AD117" s="93" t="e">
        <f t="shared" si="61"/>
        <v>#DIV/0!</v>
      </c>
      <c r="AE117" s="93" t="e">
        <f t="shared" si="61"/>
        <v>#DIV/0!</v>
      </c>
      <c r="AF117" s="93" t="e">
        <f t="shared" si="61"/>
        <v>#DIV/0!</v>
      </c>
      <c r="AG117" s="93" t="e">
        <f t="shared" si="61"/>
        <v>#DIV/0!</v>
      </c>
      <c r="AH117" s="93" t="e">
        <f t="shared" si="61"/>
        <v>#DIV/0!</v>
      </c>
      <c r="AI117" s="93" t="e">
        <f t="shared" si="61"/>
        <v>#DIV/0!</v>
      </c>
      <c r="AJ117" s="93" t="e">
        <f t="shared" si="61"/>
        <v>#DIV/0!</v>
      </c>
      <c r="AK117" s="129"/>
      <c r="AL117" s="131" t="e">
        <f t="shared" si="58"/>
        <v>#DIV/0!</v>
      </c>
      <c r="AO117" s="130"/>
    </row>
    <row r="118" spans="2:256" s="1" customFormat="1">
      <c r="B118" s="171">
        <v>7</v>
      </c>
      <c r="C118" s="41" t="s">
        <v>85</v>
      </c>
      <c r="D118" s="60"/>
      <c r="E118" s="60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115"/>
      <c r="AD118" s="61"/>
      <c r="AE118" s="61"/>
      <c r="AF118" s="61"/>
      <c r="AG118" s="61"/>
      <c r="AH118" s="115"/>
      <c r="AI118" s="115"/>
      <c r="AJ118" s="115"/>
      <c r="AK118" s="129"/>
      <c r="AL118" s="247" t="s">
        <v>86</v>
      </c>
      <c r="AO118" s="130"/>
    </row>
    <row r="119" spans="2:256">
      <c r="B119" s="172"/>
      <c r="C119" s="173" t="s">
        <v>87</v>
      </c>
      <c r="D119" s="80"/>
      <c r="E119" s="81" t="s">
        <v>10</v>
      </c>
      <c r="F119" s="93">
        <f t="shared" ref="F119:AJ119" si="62">SUM(F120:F121)*10.86</f>
        <v>124890</v>
      </c>
      <c r="G119" s="93">
        <f t="shared" si="62"/>
        <v>107514</v>
      </c>
      <c r="H119" s="93">
        <f t="shared" si="62"/>
        <v>0</v>
      </c>
      <c r="I119" s="93">
        <f t="shared" si="62"/>
        <v>180601.8</v>
      </c>
      <c r="J119" s="93">
        <f t="shared" si="62"/>
        <v>146599.13999999998</v>
      </c>
      <c r="K119" s="93">
        <f t="shared" si="62"/>
        <v>109327.62</v>
      </c>
      <c r="L119" s="93">
        <f t="shared" si="62"/>
        <v>79473.48</v>
      </c>
      <c r="M119" s="93">
        <f t="shared" si="62"/>
        <v>112944</v>
      </c>
      <c r="N119" s="93">
        <f t="shared" si="62"/>
        <v>87423</v>
      </c>
      <c r="O119" s="93">
        <f t="shared" si="62"/>
        <v>0</v>
      </c>
      <c r="P119" s="93">
        <f t="shared" si="62"/>
        <v>129777</v>
      </c>
      <c r="Q119" s="93">
        <f t="shared" si="62"/>
        <v>55538.039999999994</v>
      </c>
      <c r="R119" s="93">
        <f t="shared" si="62"/>
        <v>131406</v>
      </c>
      <c r="S119" s="93">
        <f t="shared" si="62"/>
        <v>123261</v>
      </c>
      <c r="T119" s="93">
        <f t="shared" si="62"/>
        <v>171045</v>
      </c>
      <c r="U119" s="93">
        <f t="shared" si="62"/>
        <v>142266</v>
      </c>
      <c r="V119" s="93">
        <f t="shared" si="62"/>
        <v>0</v>
      </c>
      <c r="W119" s="93">
        <f t="shared" si="62"/>
        <v>163410.41999999998</v>
      </c>
      <c r="X119" s="93">
        <f t="shared" si="62"/>
        <v>129060.23999999999</v>
      </c>
      <c r="Y119" s="93">
        <f t="shared" si="62"/>
        <v>0</v>
      </c>
      <c r="Z119" s="93">
        <f t="shared" si="62"/>
        <v>148651.68</v>
      </c>
      <c r="AA119" s="93">
        <f t="shared" si="62"/>
        <v>141180</v>
      </c>
      <c r="AB119" s="93">
        <f t="shared" si="62"/>
        <v>142266</v>
      </c>
      <c r="AC119" s="93">
        <f t="shared" si="62"/>
        <v>0</v>
      </c>
      <c r="AD119" s="93">
        <f t="shared" si="62"/>
        <v>94482</v>
      </c>
      <c r="AE119" s="93">
        <f t="shared" si="62"/>
        <v>126519</v>
      </c>
      <c r="AF119" s="93">
        <f t="shared" si="62"/>
        <v>117917.87999999999</v>
      </c>
      <c r="AG119" s="93">
        <f t="shared" si="62"/>
        <v>114377.51999999999</v>
      </c>
      <c r="AH119" s="93">
        <f t="shared" si="62"/>
        <v>112401</v>
      </c>
      <c r="AI119" s="93">
        <f t="shared" si="62"/>
        <v>127605</v>
      </c>
      <c r="AJ119" s="93">
        <f t="shared" si="62"/>
        <v>0</v>
      </c>
      <c r="AK119" s="134"/>
      <c r="AL119" s="121">
        <f t="shared" ref="AL119:AL125" si="63">SUM(F119:AI119)</f>
        <v>3119936.82</v>
      </c>
    </row>
    <row r="120" spans="2:256">
      <c r="B120" s="172"/>
      <c r="C120" s="91" t="s">
        <v>71</v>
      </c>
      <c r="D120" s="80"/>
      <c r="E120" s="81" t="s">
        <v>72</v>
      </c>
      <c r="F120" s="65">
        <v>4900</v>
      </c>
      <c r="G120" s="65">
        <v>3500</v>
      </c>
      <c r="H120" s="65">
        <v>0</v>
      </c>
      <c r="I120" s="65">
        <v>7600</v>
      </c>
      <c r="J120" s="65">
        <v>4500</v>
      </c>
      <c r="K120" s="65">
        <v>3002</v>
      </c>
      <c r="L120" s="65">
        <v>3601</v>
      </c>
      <c r="M120" s="65">
        <v>4300</v>
      </c>
      <c r="N120" s="65">
        <v>1800</v>
      </c>
      <c r="O120" s="65">
        <v>0</v>
      </c>
      <c r="P120" s="178">
        <v>4800</v>
      </c>
      <c r="Q120" s="65">
        <v>1500</v>
      </c>
      <c r="R120" s="65">
        <v>4300</v>
      </c>
      <c r="S120" s="65">
        <v>6050</v>
      </c>
      <c r="T120" s="65">
        <v>6850</v>
      </c>
      <c r="U120" s="65">
        <v>7400</v>
      </c>
      <c r="V120" s="65">
        <v>0</v>
      </c>
      <c r="W120" s="65">
        <v>6310</v>
      </c>
      <c r="X120" s="65">
        <v>5900</v>
      </c>
      <c r="Y120" s="65">
        <v>0</v>
      </c>
      <c r="Z120" s="65">
        <v>6504</v>
      </c>
      <c r="AA120" s="65">
        <v>6450</v>
      </c>
      <c r="AB120" s="65">
        <v>4650</v>
      </c>
      <c r="AC120" s="65">
        <v>0</v>
      </c>
      <c r="AD120" s="65">
        <v>4350</v>
      </c>
      <c r="AE120" s="65">
        <v>4725</v>
      </c>
      <c r="AF120" s="65">
        <v>6700</v>
      </c>
      <c r="AG120" s="65">
        <v>3587</v>
      </c>
      <c r="AH120" s="65">
        <v>4550</v>
      </c>
      <c r="AI120" s="65">
        <v>7000</v>
      </c>
      <c r="AJ120" s="65">
        <v>0</v>
      </c>
      <c r="AK120" s="134"/>
      <c r="AL120" s="128">
        <f t="shared" si="63"/>
        <v>124829</v>
      </c>
      <c r="IT120" s="33"/>
      <c r="IU120" s="119"/>
    </row>
    <row r="121" spans="2:256">
      <c r="B121" s="172"/>
      <c r="C121" s="91" t="s">
        <v>73</v>
      </c>
      <c r="D121" s="80"/>
      <c r="E121" s="81" t="s">
        <v>72</v>
      </c>
      <c r="F121" s="65">
        <v>6600</v>
      </c>
      <c r="G121" s="65">
        <v>6400</v>
      </c>
      <c r="H121" s="65">
        <v>0</v>
      </c>
      <c r="I121" s="65">
        <v>9030</v>
      </c>
      <c r="J121" s="65">
        <v>8999</v>
      </c>
      <c r="K121" s="65">
        <v>7065</v>
      </c>
      <c r="L121" s="65">
        <v>3717</v>
      </c>
      <c r="M121" s="65">
        <v>6100</v>
      </c>
      <c r="N121" s="65">
        <v>6250</v>
      </c>
      <c r="O121" s="65">
        <v>0</v>
      </c>
      <c r="P121" s="178">
        <v>7150</v>
      </c>
      <c r="Q121" s="65">
        <v>3614</v>
      </c>
      <c r="R121" s="65">
        <v>7800</v>
      </c>
      <c r="S121" s="65">
        <v>5300</v>
      </c>
      <c r="T121" s="65">
        <v>8900</v>
      </c>
      <c r="U121" s="65">
        <v>5700</v>
      </c>
      <c r="V121" s="65">
        <v>0</v>
      </c>
      <c r="W121" s="65">
        <v>8737</v>
      </c>
      <c r="X121" s="65">
        <v>5984</v>
      </c>
      <c r="Y121" s="65">
        <v>0</v>
      </c>
      <c r="Z121" s="65">
        <v>7184</v>
      </c>
      <c r="AA121" s="65">
        <v>6550</v>
      </c>
      <c r="AB121" s="65">
        <v>8450</v>
      </c>
      <c r="AC121" s="65">
        <v>0</v>
      </c>
      <c r="AD121" s="65">
        <v>4350</v>
      </c>
      <c r="AE121" s="65">
        <v>6925</v>
      </c>
      <c r="AF121" s="65">
        <v>4158</v>
      </c>
      <c r="AG121" s="65">
        <v>6945</v>
      </c>
      <c r="AH121" s="65">
        <v>5800</v>
      </c>
      <c r="AI121" s="65">
        <v>4750</v>
      </c>
      <c r="AJ121" s="65">
        <v>0</v>
      </c>
      <c r="AK121" s="134"/>
      <c r="AL121" s="128">
        <f t="shared" si="63"/>
        <v>162458</v>
      </c>
      <c r="IT121" s="33"/>
      <c r="IU121" s="119"/>
    </row>
    <row r="122" spans="2:256" s="1" customFormat="1">
      <c r="B122" s="171">
        <v>8</v>
      </c>
      <c r="C122" s="41" t="s">
        <v>88</v>
      </c>
      <c r="D122" s="60"/>
      <c r="E122" s="60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115"/>
      <c r="AD122" s="61"/>
      <c r="AE122" s="61"/>
      <c r="AF122" s="61"/>
      <c r="AG122" s="61"/>
      <c r="AH122" s="115"/>
      <c r="AI122" s="115"/>
      <c r="AJ122" s="115"/>
      <c r="AK122" s="129"/>
      <c r="AL122" s="247" t="s">
        <v>86</v>
      </c>
      <c r="AO122" s="130"/>
      <c r="IT122" s="153"/>
    </row>
    <row r="123" spans="2:256">
      <c r="B123" s="172"/>
      <c r="C123" s="173" t="s">
        <v>87</v>
      </c>
      <c r="D123" s="80"/>
      <c r="E123" s="81" t="s">
        <v>10</v>
      </c>
      <c r="F123" s="93">
        <f t="shared" ref="F123:AJ123" si="64">SUM(F124:F125)*10.86</f>
        <v>0</v>
      </c>
      <c r="G123" s="93">
        <f t="shared" si="64"/>
        <v>0</v>
      </c>
      <c r="H123" s="93">
        <f t="shared" si="64"/>
        <v>0</v>
      </c>
      <c r="I123" s="93">
        <f t="shared" si="64"/>
        <v>0</v>
      </c>
      <c r="J123" s="93">
        <f t="shared" si="64"/>
        <v>0</v>
      </c>
      <c r="K123" s="93">
        <f t="shared" si="64"/>
        <v>0</v>
      </c>
      <c r="L123" s="93">
        <f t="shared" si="64"/>
        <v>0</v>
      </c>
      <c r="M123" s="93">
        <f t="shared" si="64"/>
        <v>0</v>
      </c>
      <c r="N123" s="93">
        <f t="shared" si="64"/>
        <v>0</v>
      </c>
      <c r="O123" s="93">
        <f t="shared" si="64"/>
        <v>0</v>
      </c>
      <c r="P123" s="93">
        <f t="shared" si="64"/>
        <v>0</v>
      </c>
      <c r="Q123" s="93">
        <f t="shared" si="64"/>
        <v>0</v>
      </c>
      <c r="R123" s="93">
        <f t="shared" si="64"/>
        <v>0</v>
      </c>
      <c r="S123" s="93">
        <f t="shared" si="64"/>
        <v>0</v>
      </c>
      <c r="T123" s="93">
        <f t="shared" si="64"/>
        <v>0</v>
      </c>
      <c r="U123" s="93">
        <f t="shared" si="64"/>
        <v>0</v>
      </c>
      <c r="V123" s="93">
        <f t="shared" si="64"/>
        <v>0</v>
      </c>
      <c r="W123" s="93">
        <f t="shared" si="64"/>
        <v>0</v>
      </c>
      <c r="X123" s="93">
        <f t="shared" si="64"/>
        <v>0</v>
      </c>
      <c r="Y123" s="93">
        <f t="shared" si="64"/>
        <v>0</v>
      </c>
      <c r="Z123" s="93">
        <f t="shared" si="64"/>
        <v>0</v>
      </c>
      <c r="AA123" s="93">
        <f t="shared" si="64"/>
        <v>0</v>
      </c>
      <c r="AB123" s="93">
        <f t="shared" si="64"/>
        <v>0</v>
      </c>
      <c r="AC123" s="93">
        <f t="shared" si="64"/>
        <v>0</v>
      </c>
      <c r="AD123" s="93">
        <f t="shared" si="64"/>
        <v>0</v>
      </c>
      <c r="AE123" s="93">
        <f t="shared" si="64"/>
        <v>0</v>
      </c>
      <c r="AF123" s="93">
        <f t="shared" si="64"/>
        <v>0</v>
      </c>
      <c r="AG123" s="93">
        <f t="shared" si="64"/>
        <v>0</v>
      </c>
      <c r="AH123" s="93">
        <f t="shared" si="64"/>
        <v>0</v>
      </c>
      <c r="AI123" s="93">
        <f t="shared" si="64"/>
        <v>0</v>
      </c>
      <c r="AJ123" s="93">
        <f t="shared" si="64"/>
        <v>0</v>
      </c>
      <c r="AK123" s="134"/>
      <c r="AL123" s="121">
        <f t="shared" si="63"/>
        <v>0</v>
      </c>
    </row>
    <row r="124" spans="2:256">
      <c r="B124" s="172"/>
      <c r="C124" s="91" t="s">
        <v>83</v>
      </c>
      <c r="D124" s="80"/>
      <c r="E124" s="81" t="s">
        <v>72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0</v>
      </c>
      <c r="AC124" s="65">
        <v>0</v>
      </c>
      <c r="AD124" s="65">
        <v>0</v>
      </c>
      <c r="AE124" s="65">
        <v>0</v>
      </c>
      <c r="AF124" s="65">
        <v>0</v>
      </c>
      <c r="AG124" s="65">
        <v>0</v>
      </c>
      <c r="AH124" s="65">
        <v>0</v>
      </c>
      <c r="AI124" s="65">
        <v>0</v>
      </c>
      <c r="AJ124" s="65">
        <v>0</v>
      </c>
      <c r="AK124" s="134"/>
      <c r="AL124" s="128">
        <f t="shared" si="63"/>
        <v>0</v>
      </c>
    </row>
    <row r="125" spans="2:256">
      <c r="B125" s="172"/>
      <c r="C125" s="91" t="s">
        <v>84</v>
      </c>
      <c r="D125" s="80"/>
      <c r="E125" s="81" t="s">
        <v>72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0</v>
      </c>
      <c r="AC125" s="65">
        <v>0</v>
      </c>
      <c r="AD125" s="65">
        <v>0</v>
      </c>
      <c r="AE125" s="65">
        <v>0</v>
      </c>
      <c r="AF125" s="65">
        <v>0</v>
      </c>
      <c r="AG125" s="65">
        <v>0</v>
      </c>
      <c r="AH125" s="65">
        <v>0</v>
      </c>
      <c r="AI125" s="65">
        <v>0</v>
      </c>
      <c r="AJ125" s="65">
        <v>0</v>
      </c>
      <c r="AK125" s="134"/>
      <c r="AL125" s="128">
        <f t="shared" si="63"/>
        <v>0</v>
      </c>
    </row>
    <row r="126" spans="2:256">
      <c r="B126" s="59">
        <v>9</v>
      </c>
      <c r="C126" s="246" t="s">
        <v>89</v>
      </c>
      <c r="D126" s="60"/>
      <c r="E126" s="90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136"/>
      <c r="AL126" s="142" t="s">
        <v>90</v>
      </c>
    </row>
    <row r="127" spans="2:256" s="1" customFormat="1">
      <c r="B127" s="66"/>
      <c r="C127" s="243" t="s">
        <v>91</v>
      </c>
      <c r="D127" s="80"/>
      <c r="E127" s="263" t="s">
        <v>92</v>
      </c>
      <c r="F127" s="174">
        <v>1417.9491</v>
      </c>
      <c r="G127" s="174">
        <v>1377.3819000000001</v>
      </c>
      <c r="H127" s="174">
        <v>1449.6893</v>
      </c>
      <c r="I127" s="179">
        <v>1517.5120999999999</v>
      </c>
      <c r="J127" s="179">
        <v>1424.5374999999999</v>
      </c>
      <c r="K127" s="179">
        <v>1294.6977999999999</v>
      </c>
      <c r="L127" s="179">
        <v>1282.2061000000001</v>
      </c>
      <c r="M127" s="179">
        <v>1288.4875</v>
      </c>
      <c r="N127" s="180">
        <v>1155.5782999999999</v>
      </c>
      <c r="O127" s="180">
        <v>1204.7628</v>
      </c>
      <c r="P127" s="180">
        <v>1203.5911000000001</v>
      </c>
      <c r="Q127" s="183">
        <v>1268.0786000000001</v>
      </c>
      <c r="R127" s="183">
        <v>1216.7716</v>
      </c>
      <c r="S127" s="183">
        <v>1240.6095</v>
      </c>
      <c r="T127" s="183">
        <v>1225.2841000000001</v>
      </c>
      <c r="U127" s="183">
        <v>1189.1190999999999</v>
      </c>
      <c r="V127" s="183">
        <v>1091.1769999999999</v>
      </c>
      <c r="W127" s="183">
        <v>1177.4547</v>
      </c>
      <c r="X127" s="180">
        <v>1176.4552000000001</v>
      </c>
      <c r="Y127" s="180">
        <v>1286.4436000000001</v>
      </c>
      <c r="Z127" s="183">
        <v>1223.4760000000001</v>
      </c>
      <c r="AA127" s="183">
        <v>1202.7825</v>
      </c>
      <c r="AB127" s="183">
        <v>1194.7380000000001</v>
      </c>
      <c r="AC127" s="183">
        <v>1235.7168999999999</v>
      </c>
      <c r="AD127" s="179">
        <v>1302.0536</v>
      </c>
      <c r="AE127" s="179">
        <v>1272.4883</v>
      </c>
      <c r="AF127" s="179">
        <v>1297.4005999999999</v>
      </c>
      <c r="AG127" s="183">
        <v>1198.837</v>
      </c>
      <c r="AH127" s="183">
        <v>1390.5699</v>
      </c>
      <c r="AI127" s="179">
        <v>1319.2956999999999</v>
      </c>
      <c r="AJ127" s="179">
        <v>1428.6588999999999</v>
      </c>
      <c r="AK127" s="129"/>
      <c r="AL127" s="194">
        <f>SUM(F127:AJ127)</f>
        <v>39553.804300000003</v>
      </c>
      <c r="AO127" s="130"/>
      <c r="IV127" s="198"/>
    </row>
    <row r="128" spans="2:256" s="5" customFormat="1">
      <c r="B128" s="81"/>
      <c r="C128" s="248" t="s">
        <v>93</v>
      </c>
      <c r="D128" s="175">
        <v>1269.566</v>
      </c>
      <c r="E128" s="249" t="s">
        <v>92</v>
      </c>
      <c r="F128" s="176">
        <v>1252.2650000000001</v>
      </c>
      <c r="G128" s="174">
        <v>1327.3933</v>
      </c>
      <c r="H128" s="174">
        <v>1378.8088</v>
      </c>
      <c r="I128" s="179">
        <v>1315.8081</v>
      </c>
      <c r="J128" s="176">
        <v>1186.538</v>
      </c>
      <c r="K128" s="181">
        <v>1166.3164999999999</v>
      </c>
      <c r="L128" s="182">
        <v>1219.3371999999999</v>
      </c>
      <c r="M128" s="180">
        <v>1049.9401</v>
      </c>
      <c r="N128" s="180">
        <v>1108.2036000000001</v>
      </c>
      <c r="O128" s="183">
        <v>1114.0283999999999</v>
      </c>
      <c r="P128" s="183">
        <v>1167.3177000000001</v>
      </c>
      <c r="Q128" s="183">
        <v>1131.5817</v>
      </c>
      <c r="R128" s="183">
        <v>1152.4527</v>
      </c>
      <c r="S128" s="183">
        <v>1144.2316000000001</v>
      </c>
      <c r="T128" s="183">
        <v>1108.8797999999999</v>
      </c>
      <c r="U128" s="180">
        <v>1019.0863000000001</v>
      </c>
      <c r="V128" s="183">
        <v>1111.3088</v>
      </c>
      <c r="W128" s="183">
        <v>1116.385</v>
      </c>
      <c r="X128" s="180">
        <v>1237.5712000000001</v>
      </c>
      <c r="Y128" s="180">
        <v>1197.6201000000001</v>
      </c>
      <c r="Z128" s="183">
        <v>1137.6645000000001</v>
      </c>
      <c r="AA128" s="183">
        <v>1112.0915</v>
      </c>
      <c r="AB128" s="183">
        <v>1175.4097999999999</v>
      </c>
      <c r="AC128" s="183">
        <v>1181.4466</v>
      </c>
      <c r="AD128" s="183">
        <v>1153.8842</v>
      </c>
      <c r="AE128" s="183">
        <v>1160.1293000000001</v>
      </c>
      <c r="AF128" s="183">
        <v>1096.7137</v>
      </c>
      <c r="AG128" s="195">
        <v>1229.5658000000001</v>
      </c>
      <c r="AH128" s="183">
        <v>1200.1123</v>
      </c>
      <c r="AI128" s="179">
        <v>1282.5842</v>
      </c>
      <c r="AJ128" s="179">
        <v>1283.4075</v>
      </c>
      <c r="AK128" s="134"/>
      <c r="AL128" s="196">
        <f>SUM(F128:AJ128)</f>
        <v>36518.083299999991</v>
      </c>
      <c r="AO128" s="158">
        <f>AL128/AL22</f>
        <v>1178.0026870967738</v>
      </c>
      <c r="IV128" s="199">
        <f>AVERAGE(AE128:AG128)</f>
        <v>1162.1362666666666</v>
      </c>
    </row>
    <row r="129" spans="2:254">
      <c r="B129" s="82"/>
      <c r="C129" s="266" t="s">
        <v>94</v>
      </c>
      <c r="D129" s="80"/>
      <c r="E129" s="82"/>
      <c r="F129" s="200"/>
      <c r="G129" s="200"/>
      <c r="H129" s="200"/>
      <c r="I129" s="65"/>
      <c r="J129" s="200"/>
      <c r="K129" s="182"/>
      <c r="L129" s="182"/>
      <c r="M129" s="65"/>
      <c r="N129" s="65"/>
      <c r="O129" s="65"/>
      <c r="P129" s="65"/>
      <c r="Q129" s="212"/>
      <c r="R129" s="212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93"/>
      <c r="AD129" s="93"/>
      <c r="AE129" s="93"/>
      <c r="AF129" s="93"/>
      <c r="AG129" s="93"/>
      <c r="AH129" s="93"/>
      <c r="AI129" s="93"/>
      <c r="AJ129" s="93"/>
      <c r="AK129" s="136"/>
      <c r="AL129" s="223" t="s">
        <v>94</v>
      </c>
      <c r="DQ129" s="18"/>
    </row>
    <row r="130" spans="2:254">
      <c r="B130" s="82"/>
      <c r="C130" s="250" t="s">
        <v>95</v>
      </c>
      <c r="D130" s="75">
        <v>253.91319999999999</v>
      </c>
      <c r="E130" s="251" t="s">
        <v>92</v>
      </c>
      <c r="F130" s="200">
        <v>250.04985230107101</v>
      </c>
      <c r="G130" s="176">
        <v>255.09239449100701</v>
      </c>
      <c r="H130" s="200">
        <v>260.824545250543</v>
      </c>
      <c r="I130" s="183">
        <v>249.91715477958101</v>
      </c>
      <c r="J130" s="200">
        <v>226.58847550506599</v>
      </c>
      <c r="K130" s="182">
        <v>235.19791231627099</v>
      </c>
      <c r="L130" s="182">
        <v>244.02443185996901</v>
      </c>
      <c r="M130" s="183">
        <v>226.33319241219701</v>
      </c>
      <c r="N130" s="183">
        <v>240.77488970353201</v>
      </c>
      <c r="O130" s="183">
        <v>242.658927832199</v>
      </c>
      <c r="P130" s="183">
        <v>207.74877390786199</v>
      </c>
      <c r="Q130" s="183">
        <v>212.582586401404</v>
      </c>
      <c r="R130" s="183">
        <v>202.13891693573399</v>
      </c>
      <c r="S130" s="183">
        <v>232.70246213006499</v>
      </c>
      <c r="T130" s="183">
        <v>249.04901180029501</v>
      </c>
      <c r="U130" s="183">
        <v>233.93064416744801</v>
      </c>
      <c r="V130" s="183">
        <v>217.797193640236</v>
      </c>
      <c r="W130" s="183">
        <v>217.161521800043</v>
      </c>
      <c r="X130" s="183">
        <v>211.20241354756001</v>
      </c>
      <c r="Y130" s="183">
        <v>205.905010114747</v>
      </c>
      <c r="Z130" s="183">
        <v>206.71314220367</v>
      </c>
      <c r="AA130" s="183">
        <v>224.01608246165901</v>
      </c>
      <c r="AB130" s="183">
        <v>222.72765037181301</v>
      </c>
      <c r="AC130" s="183">
        <v>217.46215824280901</v>
      </c>
      <c r="AD130" s="183">
        <v>196.995516255588</v>
      </c>
      <c r="AE130" s="183">
        <v>170.219134481466</v>
      </c>
      <c r="AF130" s="183">
        <v>177.50365556650601</v>
      </c>
      <c r="AG130" s="183">
        <v>208.27002345000599</v>
      </c>
      <c r="AH130" s="183">
        <v>225.82959349222699</v>
      </c>
      <c r="AI130" s="183">
        <v>237.53304039993401</v>
      </c>
      <c r="AJ130" s="183">
        <v>249.958266346865</v>
      </c>
      <c r="AK130" s="136"/>
      <c r="AL130" s="224">
        <f>SUM(F130:AJ130)</f>
        <v>6958.9085741693743</v>
      </c>
    </row>
    <row r="131" spans="2:254">
      <c r="B131" s="82"/>
      <c r="C131" s="250" t="s">
        <v>96</v>
      </c>
      <c r="D131" s="75">
        <v>1015.6528</v>
      </c>
      <c r="E131" s="251" t="s">
        <v>92</v>
      </c>
      <c r="F131" s="200">
        <f t="shared" ref="F131:AJ131" si="65">F132-F130</f>
        <v>1002.2151476989291</v>
      </c>
      <c r="G131" s="200">
        <f t="shared" si="65"/>
        <v>1072.3009055089929</v>
      </c>
      <c r="H131" s="200">
        <f t="shared" si="65"/>
        <v>1117.984254749457</v>
      </c>
      <c r="I131" s="183">
        <f t="shared" si="65"/>
        <v>1065.8909452204189</v>
      </c>
      <c r="J131" s="200">
        <f t="shared" si="65"/>
        <v>959.94952449493405</v>
      </c>
      <c r="K131" s="182">
        <f t="shared" si="65"/>
        <v>931.11858768372895</v>
      </c>
      <c r="L131" s="182">
        <f t="shared" si="65"/>
        <v>975.31276814003093</v>
      </c>
      <c r="M131" s="183">
        <f t="shared" si="65"/>
        <v>823.60690758780299</v>
      </c>
      <c r="N131" s="183">
        <f t="shared" si="65"/>
        <v>867.42871029646801</v>
      </c>
      <c r="O131" s="183">
        <f t="shared" si="65"/>
        <v>871.36947216780095</v>
      </c>
      <c r="P131" s="183">
        <f t="shared" si="65"/>
        <v>959.5689260921381</v>
      </c>
      <c r="Q131" s="183">
        <f t="shared" si="65"/>
        <v>918.99911359859595</v>
      </c>
      <c r="R131" s="183">
        <f t="shared" si="65"/>
        <v>950.31378306426609</v>
      </c>
      <c r="S131" s="183">
        <f t="shared" si="65"/>
        <v>911.52913786993508</v>
      </c>
      <c r="T131" s="183">
        <f t="shared" si="65"/>
        <v>859.8307881997049</v>
      </c>
      <c r="U131" s="183">
        <f t="shared" si="65"/>
        <v>785.15565583255204</v>
      </c>
      <c r="V131" s="183">
        <f t="shared" si="65"/>
        <v>893.51160635976407</v>
      </c>
      <c r="W131" s="183">
        <f t="shared" si="65"/>
        <v>899.22347819995696</v>
      </c>
      <c r="X131" s="183">
        <f t="shared" si="65"/>
        <v>1026.36878645244</v>
      </c>
      <c r="Y131" s="183">
        <f t="shared" si="65"/>
        <v>991.71508988525306</v>
      </c>
      <c r="Z131" s="183">
        <f t="shared" si="65"/>
        <v>930.95135779633006</v>
      </c>
      <c r="AA131" s="183">
        <f t="shared" si="65"/>
        <v>888.07541753834096</v>
      </c>
      <c r="AB131" s="183">
        <f t="shared" si="65"/>
        <v>952.68214962818683</v>
      </c>
      <c r="AC131" s="183">
        <f t="shared" si="65"/>
        <v>963.98444175719101</v>
      </c>
      <c r="AD131" s="183">
        <f t="shared" si="65"/>
        <v>956.88868374441199</v>
      </c>
      <c r="AE131" s="183">
        <f t="shared" si="65"/>
        <v>989.91016551853409</v>
      </c>
      <c r="AF131" s="183">
        <f t="shared" si="65"/>
        <v>919.21004443349398</v>
      </c>
      <c r="AG131" s="183">
        <f t="shared" si="65"/>
        <v>1021.2957765499941</v>
      </c>
      <c r="AH131" s="183">
        <f t="shared" si="65"/>
        <v>974.28270650777301</v>
      </c>
      <c r="AI131" s="183">
        <f t="shared" si="65"/>
        <v>1045.0511596000661</v>
      </c>
      <c r="AJ131" s="183">
        <f t="shared" si="65"/>
        <v>1033.449233653135</v>
      </c>
      <c r="AK131" s="136"/>
      <c r="AL131" s="224">
        <f>SUM(F131:AJ131)</f>
        <v>29559.174725830624</v>
      </c>
    </row>
    <row r="132" spans="2:254" s="8" customFormat="1">
      <c r="B132" s="201"/>
      <c r="C132" s="267" t="s">
        <v>97</v>
      </c>
      <c r="D132" s="202">
        <f>SUM(D130:D131)</f>
        <v>1269.566</v>
      </c>
      <c r="E132" s="268" t="s">
        <v>92</v>
      </c>
      <c r="F132" s="203">
        <f t="shared" ref="F132:AJ132" si="66">F128</f>
        <v>1252.2650000000001</v>
      </c>
      <c r="G132" s="203">
        <f t="shared" si="66"/>
        <v>1327.3933</v>
      </c>
      <c r="H132" s="203">
        <f t="shared" si="66"/>
        <v>1378.8088</v>
      </c>
      <c r="I132" s="218">
        <f t="shared" si="66"/>
        <v>1315.8081</v>
      </c>
      <c r="J132" s="218">
        <f t="shared" si="66"/>
        <v>1186.538</v>
      </c>
      <c r="K132" s="218">
        <f t="shared" si="66"/>
        <v>1166.3164999999999</v>
      </c>
      <c r="L132" s="218">
        <f t="shared" si="66"/>
        <v>1219.3371999999999</v>
      </c>
      <c r="M132" s="218">
        <f t="shared" si="66"/>
        <v>1049.9401</v>
      </c>
      <c r="N132" s="218">
        <f t="shared" si="66"/>
        <v>1108.2036000000001</v>
      </c>
      <c r="O132" s="218">
        <f t="shared" si="66"/>
        <v>1114.0283999999999</v>
      </c>
      <c r="P132" s="218">
        <f t="shared" si="66"/>
        <v>1167.3177000000001</v>
      </c>
      <c r="Q132" s="218">
        <f t="shared" si="66"/>
        <v>1131.5817</v>
      </c>
      <c r="R132" s="218">
        <f t="shared" si="66"/>
        <v>1152.4527</v>
      </c>
      <c r="S132" s="218">
        <f t="shared" si="66"/>
        <v>1144.2316000000001</v>
      </c>
      <c r="T132" s="218">
        <f t="shared" si="66"/>
        <v>1108.8797999999999</v>
      </c>
      <c r="U132" s="218">
        <f t="shared" si="66"/>
        <v>1019.0863000000001</v>
      </c>
      <c r="V132" s="218">
        <f t="shared" si="66"/>
        <v>1111.3088</v>
      </c>
      <c r="W132" s="218">
        <f t="shared" si="66"/>
        <v>1116.385</v>
      </c>
      <c r="X132" s="218">
        <f t="shared" si="66"/>
        <v>1237.5712000000001</v>
      </c>
      <c r="Y132" s="218">
        <f t="shared" si="66"/>
        <v>1197.6201000000001</v>
      </c>
      <c r="Z132" s="218">
        <f t="shared" si="66"/>
        <v>1137.6645000000001</v>
      </c>
      <c r="AA132" s="218">
        <f t="shared" si="66"/>
        <v>1112.0915</v>
      </c>
      <c r="AB132" s="218">
        <f t="shared" si="66"/>
        <v>1175.4097999999999</v>
      </c>
      <c r="AC132" s="218">
        <f t="shared" si="66"/>
        <v>1181.4466</v>
      </c>
      <c r="AD132" s="218">
        <f t="shared" si="66"/>
        <v>1153.8842</v>
      </c>
      <c r="AE132" s="218">
        <f t="shared" si="66"/>
        <v>1160.1293000000001</v>
      </c>
      <c r="AF132" s="218">
        <f t="shared" si="66"/>
        <v>1096.7137</v>
      </c>
      <c r="AG132" s="218">
        <f t="shared" si="66"/>
        <v>1229.5658000000001</v>
      </c>
      <c r="AH132" s="218">
        <f t="shared" si="66"/>
        <v>1200.1123</v>
      </c>
      <c r="AI132" s="218">
        <f t="shared" si="66"/>
        <v>1282.5842</v>
      </c>
      <c r="AJ132" s="218">
        <f t="shared" si="66"/>
        <v>1283.4075</v>
      </c>
      <c r="AK132" s="225"/>
      <c r="AL132" s="226">
        <f>SUM(AL130:AL131)</f>
        <v>36518.083299999998</v>
      </c>
      <c r="AO132" s="236"/>
    </row>
    <row r="133" spans="2:254" s="8" customFormat="1">
      <c r="B133" s="62">
        <v>10</v>
      </c>
      <c r="C133" s="269" t="s">
        <v>98</v>
      </c>
      <c r="D133" s="204"/>
      <c r="E133" s="204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25"/>
      <c r="AL133" s="227" t="s">
        <v>99</v>
      </c>
      <c r="AO133" s="236"/>
    </row>
    <row r="134" spans="2:254" s="8" customFormat="1">
      <c r="B134" s="62"/>
      <c r="C134" s="250" t="s">
        <v>100</v>
      </c>
      <c r="D134" s="68">
        <f>20000*24</f>
        <v>480000</v>
      </c>
      <c r="E134" s="251" t="s">
        <v>10</v>
      </c>
      <c r="F134" s="163">
        <v>303600</v>
      </c>
      <c r="G134" s="163">
        <v>338400</v>
      </c>
      <c r="H134" s="163">
        <v>331920</v>
      </c>
      <c r="I134" s="163">
        <v>316320</v>
      </c>
      <c r="J134" s="163">
        <v>276480</v>
      </c>
      <c r="K134" s="163">
        <v>292560</v>
      </c>
      <c r="L134" s="163">
        <v>270240</v>
      </c>
      <c r="M134" s="163">
        <v>253200</v>
      </c>
      <c r="N134" s="163">
        <v>270720</v>
      </c>
      <c r="O134" s="163">
        <v>267120</v>
      </c>
      <c r="P134" s="163">
        <v>291120</v>
      </c>
      <c r="Q134" s="163">
        <v>286560</v>
      </c>
      <c r="R134" s="163">
        <v>285840</v>
      </c>
      <c r="S134" s="163">
        <v>278400</v>
      </c>
      <c r="T134" s="163">
        <v>257520</v>
      </c>
      <c r="U134" s="163">
        <v>232080</v>
      </c>
      <c r="V134" s="163">
        <v>274560</v>
      </c>
      <c r="W134" s="163">
        <v>286320</v>
      </c>
      <c r="X134" s="163">
        <v>311280</v>
      </c>
      <c r="Y134" s="163">
        <v>307440</v>
      </c>
      <c r="Z134" s="163">
        <v>286560</v>
      </c>
      <c r="AA134" s="163">
        <v>281520</v>
      </c>
      <c r="AB134" s="163">
        <v>290400</v>
      </c>
      <c r="AC134" s="163">
        <v>287520</v>
      </c>
      <c r="AD134" s="163">
        <v>294000</v>
      </c>
      <c r="AE134" s="163">
        <v>293040</v>
      </c>
      <c r="AF134" s="163">
        <v>292320</v>
      </c>
      <c r="AG134" s="163">
        <v>311520</v>
      </c>
      <c r="AH134" s="163">
        <v>304080</v>
      </c>
      <c r="AI134" s="163">
        <v>322800</v>
      </c>
      <c r="AJ134" s="163">
        <v>330240</v>
      </c>
      <c r="AK134" s="225"/>
      <c r="AL134" s="228">
        <f t="shared" ref="AL134:AL138" si="67">SUM(F134:AJ134)</f>
        <v>9025680</v>
      </c>
      <c r="AM134" s="229"/>
      <c r="AN134" s="229"/>
      <c r="AO134" s="236">
        <f>AL134/AL22</f>
        <v>291150.96774193546</v>
      </c>
    </row>
    <row r="135" spans="2:254" s="8" customFormat="1">
      <c r="B135" s="62"/>
      <c r="C135" s="270" t="s">
        <v>101</v>
      </c>
      <c r="D135" s="164"/>
      <c r="E135" s="62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225"/>
      <c r="AL135" s="230" t="s">
        <v>101</v>
      </c>
      <c r="AM135" s="229"/>
      <c r="AN135" s="229"/>
      <c r="AO135" s="236">
        <f>AO134/24</f>
        <v>12131.290322580644</v>
      </c>
    </row>
    <row r="136" spans="2:254">
      <c r="B136" s="82"/>
      <c r="C136" s="250" t="s">
        <v>23</v>
      </c>
      <c r="D136" s="68">
        <v>180000</v>
      </c>
      <c r="E136" s="251" t="s">
        <v>10</v>
      </c>
      <c r="F136" s="65">
        <v>151500</v>
      </c>
      <c r="G136" s="65">
        <v>151100</v>
      </c>
      <c r="H136" s="65">
        <v>152900</v>
      </c>
      <c r="I136" s="65">
        <v>151300</v>
      </c>
      <c r="J136" s="65">
        <v>146700</v>
      </c>
      <c r="K136" s="65">
        <v>151300</v>
      </c>
      <c r="L136" s="65">
        <v>150500</v>
      </c>
      <c r="M136" s="65">
        <v>143400</v>
      </c>
      <c r="N136" s="65">
        <v>153300</v>
      </c>
      <c r="O136" s="65">
        <v>147600</v>
      </c>
      <c r="P136" s="65">
        <v>150400</v>
      </c>
      <c r="Q136" s="65">
        <v>142800</v>
      </c>
      <c r="R136" s="65">
        <v>151700</v>
      </c>
      <c r="S136" s="65">
        <v>146600</v>
      </c>
      <c r="T136" s="65">
        <v>161000</v>
      </c>
      <c r="U136" s="65">
        <v>159100</v>
      </c>
      <c r="V136" s="65">
        <v>148900</v>
      </c>
      <c r="W136" s="65">
        <v>147300</v>
      </c>
      <c r="X136" s="65">
        <v>146100</v>
      </c>
      <c r="Y136" s="65">
        <v>144100</v>
      </c>
      <c r="Z136" s="65">
        <v>146800</v>
      </c>
      <c r="AA136" s="65">
        <v>153300</v>
      </c>
      <c r="AB136" s="65">
        <v>151000</v>
      </c>
      <c r="AC136" s="65">
        <v>152900</v>
      </c>
      <c r="AD136" s="65">
        <v>152000</v>
      </c>
      <c r="AE136" s="65">
        <v>144500</v>
      </c>
      <c r="AF136" s="65">
        <v>144500</v>
      </c>
      <c r="AG136" s="65">
        <v>151900</v>
      </c>
      <c r="AH136" s="65">
        <v>163300</v>
      </c>
      <c r="AI136" s="65">
        <v>164000</v>
      </c>
      <c r="AJ136" s="65">
        <v>160900</v>
      </c>
      <c r="AK136" s="136"/>
      <c r="AL136" s="128">
        <f t="shared" si="67"/>
        <v>4682700</v>
      </c>
    </row>
    <row r="137" spans="2:254">
      <c r="B137" s="82"/>
      <c r="C137" s="250" t="s">
        <v>102</v>
      </c>
      <c r="D137" s="68">
        <v>122000</v>
      </c>
      <c r="E137" s="251" t="s">
        <v>10</v>
      </c>
      <c r="F137" s="65">
        <v>104700</v>
      </c>
      <c r="G137" s="65">
        <v>102200</v>
      </c>
      <c r="H137" s="65">
        <v>108100</v>
      </c>
      <c r="I137" s="65">
        <v>108300</v>
      </c>
      <c r="J137" s="65">
        <v>69100</v>
      </c>
      <c r="K137" s="65">
        <v>89100</v>
      </c>
      <c r="L137" s="65">
        <v>69100</v>
      </c>
      <c r="M137" s="65">
        <v>34600</v>
      </c>
      <c r="N137" s="65">
        <v>57900</v>
      </c>
      <c r="O137" s="65">
        <v>50100</v>
      </c>
      <c r="P137" s="65">
        <v>73300</v>
      </c>
      <c r="Q137" s="65">
        <v>72700</v>
      </c>
      <c r="R137" s="65">
        <v>66400</v>
      </c>
      <c r="S137" s="65">
        <v>61100</v>
      </c>
      <c r="T137" s="65">
        <v>36500</v>
      </c>
      <c r="U137" s="65">
        <v>5600</v>
      </c>
      <c r="V137" s="65">
        <v>59600</v>
      </c>
      <c r="W137" s="65">
        <v>64800</v>
      </c>
      <c r="X137" s="65">
        <v>90300</v>
      </c>
      <c r="Y137" s="65">
        <v>86800</v>
      </c>
      <c r="Z137" s="65">
        <v>65600</v>
      </c>
      <c r="AA137" s="65">
        <v>61000</v>
      </c>
      <c r="AB137" s="65">
        <v>68100</v>
      </c>
      <c r="AC137" s="65">
        <v>68300</v>
      </c>
      <c r="AD137" s="65">
        <v>64900</v>
      </c>
      <c r="AE137" s="65">
        <v>73800</v>
      </c>
      <c r="AF137" s="65">
        <v>79800</v>
      </c>
      <c r="AG137" s="65">
        <v>79800</v>
      </c>
      <c r="AH137" s="65">
        <v>68100</v>
      </c>
      <c r="AI137" s="65">
        <v>82500</v>
      </c>
      <c r="AJ137" s="65">
        <v>78800</v>
      </c>
      <c r="AK137" s="136"/>
      <c r="AL137" s="128">
        <f t="shared" si="67"/>
        <v>2201000</v>
      </c>
    </row>
    <row r="138" spans="2:254">
      <c r="B138" s="82"/>
      <c r="C138" s="250" t="s">
        <v>103</v>
      </c>
      <c r="D138" s="68">
        <v>178000</v>
      </c>
      <c r="E138" s="251" t="s">
        <v>10</v>
      </c>
      <c r="F138" s="65">
        <f t="shared" ref="F138:AJ138" si="68">F134-F136-F137</f>
        <v>47400</v>
      </c>
      <c r="G138" s="65">
        <f t="shared" si="68"/>
        <v>85100</v>
      </c>
      <c r="H138" s="65">
        <f t="shared" si="68"/>
        <v>70920</v>
      </c>
      <c r="I138" s="65">
        <f t="shared" si="68"/>
        <v>56720</v>
      </c>
      <c r="J138" s="65">
        <f t="shared" si="68"/>
        <v>60680</v>
      </c>
      <c r="K138" s="65">
        <f t="shared" si="68"/>
        <v>52160</v>
      </c>
      <c r="L138" s="65">
        <f t="shared" si="68"/>
        <v>50640</v>
      </c>
      <c r="M138" s="65">
        <f t="shared" si="68"/>
        <v>75200</v>
      </c>
      <c r="N138" s="65">
        <f t="shared" si="68"/>
        <v>59520</v>
      </c>
      <c r="O138" s="65">
        <f t="shared" si="68"/>
        <v>69420</v>
      </c>
      <c r="P138" s="65">
        <f t="shared" si="68"/>
        <v>67420</v>
      </c>
      <c r="Q138" s="65">
        <f t="shared" si="68"/>
        <v>71060</v>
      </c>
      <c r="R138" s="65">
        <f t="shared" si="68"/>
        <v>67740</v>
      </c>
      <c r="S138" s="65">
        <f t="shared" si="68"/>
        <v>70700</v>
      </c>
      <c r="T138" s="65">
        <f t="shared" si="68"/>
        <v>60020</v>
      </c>
      <c r="U138" s="65">
        <f t="shared" si="68"/>
        <v>67380</v>
      </c>
      <c r="V138" s="65">
        <f t="shared" si="68"/>
        <v>66060</v>
      </c>
      <c r="W138" s="65">
        <f t="shared" si="68"/>
        <v>74220</v>
      </c>
      <c r="X138" s="65">
        <f t="shared" si="68"/>
        <v>74880</v>
      </c>
      <c r="Y138" s="65">
        <f t="shared" si="68"/>
        <v>76540</v>
      </c>
      <c r="Z138" s="65">
        <f t="shared" si="68"/>
        <v>74160</v>
      </c>
      <c r="AA138" s="65">
        <f t="shared" si="68"/>
        <v>67220</v>
      </c>
      <c r="AB138" s="65">
        <f t="shared" si="68"/>
        <v>71300</v>
      </c>
      <c r="AC138" s="65">
        <f t="shared" si="68"/>
        <v>66320</v>
      </c>
      <c r="AD138" s="65">
        <f t="shared" si="68"/>
        <v>77100</v>
      </c>
      <c r="AE138" s="65">
        <f t="shared" si="68"/>
        <v>74740</v>
      </c>
      <c r="AF138" s="65">
        <f t="shared" si="68"/>
        <v>68020</v>
      </c>
      <c r="AG138" s="65">
        <f t="shared" si="68"/>
        <v>79820</v>
      </c>
      <c r="AH138" s="65">
        <f t="shared" si="68"/>
        <v>72680</v>
      </c>
      <c r="AI138" s="65">
        <f t="shared" si="68"/>
        <v>76300</v>
      </c>
      <c r="AJ138" s="65">
        <f t="shared" si="68"/>
        <v>90540</v>
      </c>
      <c r="AK138" s="136"/>
      <c r="AL138" s="128">
        <f t="shared" si="67"/>
        <v>2141980</v>
      </c>
    </row>
    <row r="139" spans="2:254" s="8" customFormat="1">
      <c r="B139" s="62"/>
      <c r="C139" s="266" t="s">
        <v>97</v>
      </c>
      <c r="D139" s="206">
        <f>SUM(D136:D138)</f>
        <v>480000</v>
      </c>
      <c r="E139" s="251" t="s">
        <v>10</v>
      </c>
      <c r="F139" s="163">
        <f t="shared" ref="F139:AJ139" si="69">SUM(F136:F138)</f>
        <v>303600</v>
      </c>
      <c r="G139" s="163">
        <f t="shared" si="69"/>
        <v>338400</v>
      </c>
      <c r="H139" s="163">
        <f t="shared" si="69"/>
        <v>331920</v>
      </c>
      <c r="I139" s="163">
        <f t="shared" si="69"/>
        <v>316320</v>
      </c>
      <c r="J139" s="163">
        <f t="shared" si="69"/>
        <v>276480</v>
      </c>
      <c r="K139" s="163">
        <f t="shared" si="69"/>
        <v>292560</v>
      </c>
      <c r="L139" s="163">
        <f t="shared" si="69"/>
        <v>270240</v>
      </c>
      <c r="M139" s="163">
        <f t="shared" si="69"/>
        <v>253200</v>
      </c>
      <c r="N139" s="163">
        <f t="shared" si="69"/>
        <v>270720</v>
      </c>
      <c r="O139" s="163">
        <f t="shared" si="69"/>
        <v>267120</v>
      </c>
      <c r="P139" s="163">
        <f t="shared" si="69"/>
        <v>291120</v>
      </c>
      <c r="Q139" s="163">
        <f t="shared" si="69"/>
        <v>286560</v>
      </c>
      <c r="R139" s="163">
        <f t="shared" si="69"/>
        <v>285840</v>
      </c>
      <c r="S139" s="163">
        <f t="shared" si="69"/>
        <v>278400</v>
      </c>
      <c r="T139" s="163">
        <f t="shared" si="69"/>
        <v>257520</v>
      </c>
      <c r="U139" s="163">
        <f t="shared" si="69"/>
        <v>232080</v>
      </c>
      <c r="V139" s="163">
        <f t="shared" si="69"/>
        <v>274560</v>
      </c>
      <c r="W139" s="163">
        <f t="shared" si="69"/>
        <v>286320</v>
      </c>
      <c r="X139" s="163">
        <f t="shared" si="69"/>
        <v>311280</v>
      </c>
      <c r="Y139" s="163">
        <f t="shared" si="69"/>
        <v>307440</v>
      </c>
      <c r="Z139" s="163">
        <f t="shared" si="69"/>
        <v>286560</v>
      </c>
      <c r="AA139" s="163">
        <f t="shared" si="69"/>
        <v>281520</v>
      </c>
      <c r="AB139" s="163">
        <f t="shared" si="69"/>
        <v>290400</v>
      </c>
      <c r="AC139" s="163">
        <f t="shared" si="69"/>
        <v>287520</v>
      </c>
      <c r="AD139" s="163">
        <f t="shared" si="69"/>
        <v>294000</v>
      </c>
      <c r="AE139" s="163">
        <f t="shared" si="69"/>
        <v>293040</v>
      </c>
      <c r="AF139" s="163">
        <f t="shared" si="69"/>
        <v>292320</v>
      </c>
      <c r="AG139" s="163">
        <f t="shared" si="69"/>
        <v>311520</v>
      </c>
      <c r="AH139" s="163">
        <f t="shared" si="69"/>
        <v>304080</v>
      </c>
      <c r="AI139" s="163">
        <f t="shared" si="69"/>
        <v>322800</v>
      </c>
      <c r="AJ139" s="163">
        <f t="shared" si="69"/>
        <v>330240</v>
      </c>
      <c r="AK139" s="225"/>
      <c r="AL139" s="228">
        <f>SUM(AL136:AL138)</f>
        <v>9025680</v>
      </c>
      <c r="AO139" s="236"/>
    </row>
    <row r="140" spans="2:254">
      <c r="B140" s="59">
        <v>11</v>
      </c>
      <c r="C140" s="246" t="s">
        <v>104</v>
      </c>
      <c r="D140" s="90"/>
      <c r="E140" s="90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221"/>
      <c r="AD140" s="221"/>
      <c r="AE140" s="221"/>
      <c r="AF140" s="221"/>
      <c r="AG140" s="221"/>
      <c r="AH140" s="221"/>
      <c r="AI140" s="221"/>
      <c r="AJ140" s="221"/>
      <c r="AK140" s="136"/>
      <c r="AL140" s="227" t="s">
        <v>105</v>
      </c>
    </row>
    <row r="141" spans="2:254" s="9" customFormat="1" ht="16.5">
      <c r="B141" s="47"/>
      <c r="C141" s="271" t="s">
        <v>106</v>
      </c>
      <c r="D141" s="207">
        <v>800</v>
      </c>
      <c r="E141" s="272" t="s">
        <v>107</v>
      </c>
      <c r="F141" s="208">
        <v>610</v>
      </c>
      <c r="G141" s="208">
        <v>689</v>
      </c>
      <c r="H141" s="208">
        <v>665</v>
      </c>
      <c r="I141" s="219">
        <v>805</v>
      </c>
      <c r="J141" s="208">
        <v>549</v>
      </c>
      <c r="K141" s="208">
        <v>608</v>
      </c>
      <c r="L141" s="208">
        <v>564</v>
      </c>
      <c r="M141" s="208">
        <v>537</v>
      </c>
      <c r="N141" s="208">
        <v>529</v>
      </c>
      <c r="O141" s="208">
        <v>539</v>
      </c>
      <c r="P141" s="208">
        <v>692</v>
      </c>
      <c r="Q141" s="208">
        <v>706</v>
      </c>
      <c r="R141" s="208">
        <v>514</v>
      </c>
      <c r="S141" s="208">
        <v>664</v>
      </c>
      <c r="T141" s="208">
        <v>489</v>
      </c>
      <c r="U141" s="208">
        <v>481</v>
      </c>
      <c r="V141" s="208">
        <v>663</v>
      </c>
      <c r="W141" s="208">
        <v>420</v>
      </c>
      <c r="X141" s="208">
        <v>618</v>
      </c>
      <c r="Y141" s="208">
        <v>724</v>
      </c>
      <c r="Z141" s="208">
        <v>599</v>
      </c>
      <c r="AA141" s="208">
        <v>606</v>
      </c>
      <c r="AB141" s="208">
        <v>609</v>
      </c>
      <c r="AC141" s="208">
        <v>597</v>
      </c>
      <c r="AD141" s="208">
        <v>682</v>
      </c>
      <c r="AE141" s="208">
        <v>586</v>
      </c>
      <c r="AF141" s="208">
        <v>660</v>
      </c>
      <c r="AG141" s="208">
        <v>654</v>
      </c>
      <c r="AH141" s="208">
        <v>643</v>
      </c>
      <c r="AI141" s="208">
        <v>748</v>
      </c>
      <c r="AJ141" s="208">
        <v>543</v>
      </c>
      <c r="AK141" s="138"/>
      <c r="AL141" s="231">
        <f t="shared" ref="AL141:AL147" si="70">SUM(F141:AJ141)</f>
        <v>18993</v>
      </c>
      <c r="AO141" s="156">
        <f>AL141/AL22</f>
        <v>612.67741935483866</v>
      </c>
    </row>
    <row r="142" spans="2:254" s="9" customFormat="1">
      <c r="B142" s="47"/>
      <c r="C142" s="273" t="s">
        <v>94</v>
      </c>
      <c r="D142" s="46"/>
      <c r="E142" s="47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  <c r="AE142" s="208"/>
      <c r="AF142" s="208"/>
      <c r="AG142" s="208"/>
      <c r="AH142" s="208"/>
      <c r="AI142" s="219"/>
      <c r="AJ142" s="219"/>
      <c r="AK142" s="138"/>
      <c r="AL142" s="232" t="s">
        <v>94</v>
      </c>
      <c r="AO142" s="156"/>
    </row>
    <row r="143" spans="2:254" s="9" customFormat="1" ht="16.5">
      <c r="B143" s="47"/>
      <c r="C143" s="271" t="s">
        <v>108</v>
      </c>
      <c r="D143" s="209">
        <v>78.959999999999994</v>
      </c>
      <c r="E143" s="272" t="s">
        <v>107</v>
      </c>
      <c r="F143" s="208">
        <v>87</v>
      </c>
      <c r="G143" s="208">
        <v>48</v>
      </c>
      <c r="H143" s="208">
        <v>92</v>
      </c>
      <c r="I143" s="208">
        <v>106</v>
      </c>
      <c r="J143" s="208">
        <v>68</v>
      </c>
      <c r="K143" s="208">
        <v>93</v>
      </c>
      <c r="L143" s="208">
        <v>108</v>
      </c>
      <c r="M143" s="208">
        <v>59</v>
      </c>
      <c r="N143" s="208">
        <v>73</v>
      </c>
      <c r="O143" s="208">
        <v>48</v>
      </c>
      <c r="P143" s="208">
        <v>99</v>
      </c>
      <c r="Q143" s="208">
        <v>98</v>
      </c>
      <c r="R143" s="208">
        <v>49</v>
      </c>
      <c r="S143" s="208">
        <v>97</v>
      </c>
      <c r="T143" s="208">
        <v>60</v>
      </c>
      <c r="U143" s="208">
        <v>66</v>
      </c>
      <c r="V143" s="208">
        <v>65</v>
      </c>
      <c r="W143" s="208">
        <v>42</v>
      </c>
      <c r="X143" s="208">
        <v>48</v>
      </c>
      <c r="Y143" s="208">
        <v>55</v>
      </c>
      <c r="Z143" s="208">
        <v>47</v>
      </c>
      <c r="AA143" s="222">
        <v>46</v>
      </c>
      <c r="AB143" s="208">
        <v>47</v>
      </c>
      <c r="AC143" s="208">
        <v>62</v>
      </c>
      <c r="AD143" s="208">
        <v>59</v>
      </c>
      <c r="AE143" s="208">
        <v>41</v>
      </c>
      <c r="AF143" s="208">
        <v>35</v>
      </c>
      <c r="AG143" s="208">
        <v>105</v>
      </c>
      <c r="AH143" s="208">
        <v>45</v>
      </c>
      <c r="AI143" s="208">
        <v>41</v>
      </c>
      <c r="AJ143" s="208">
        <v>43</v>
      </c>
      <c r="AK143" s="138"/>
      <c r="AL143" s="233">
        <f t="shared" si="70"/>
        <v>2032</v>
      </c>
      <c r="AO143" s="156"/>
    </row>
    <row r="144" spans="2:254" s="9" customFormat="1" ht="16.5">
      <c r="B144" s="47"/>
      <c r="C144" s="271" t="s">
        <v>109</v>
      </c>
      <c r="D144" s="209">
        <v>118.4</v>
      </c>
      <c r="E144" s="272" t="s">
        <v>107</v>
      </c>
      <c r="F144" s="208">
        <v>99</v>
      </c>
      <c r="G144" s="208">
        <v>88</v>
      </c>
      <c r="H144" s="208">
        <v>147</v>
      </c>
      <c r="I144" s="208">
        <v>122</v>
      </c>
      <c r="J144" s="208">
        <v>119</v>
      </c>
      <c r="K144" s="208">
        <v>84</v>
      </c>
      <c r="L144" s="208">
        <v>84</v>
      </c>
      <c r="M144" s="208">
        <v>41</v>
      </c>
      <c r="N144" s="208">
        <v>70</v>
      </c>
      <c r="O144" s="208">
        <v>79</v>
      </c>
      <c r="P144" s="208">
        <v>105</v>
      </c>
      <c r="Q144" s="208">
        <v>93</v>
      </c>
      <c r="R144" s="208">
        <v>81</v>
      </c>
      <c r="S144" s="208">
        <v>86</v>
      </c>
      <c r="T144" s="208">
        <v>57</v>
      </c>
      <c r="U144" s="208">
        <v>3</v>
      </c>
      <c r="V144" s="208">
        <v>71</v>
      </c>
      <c r="W144" s="208">
        <v>85</v>
      </c>
      <c r="X144" s="208">
        <v>125</v>
      </c>
      <c r="Y144" s="208">
        <v>115</v>
      </c>
      <c r="Z144" s="208">
        <v>91</v>
      </c>
      <c r="AA144" s="208">
        <v>108</v>
      </c>
      <c r="AB144" s="208">
        <v>106</v>
      </c>
      <c r="AC144" s="208">
        <v>96</v>
      </c>
      <c r="AD144" s="208">
        <v>89</v>
      </c>
      <c r="AE144" s="208">
        <v>66</v>
      </c>
      <c r="AF144" s="208">
        <v>88</v>
      </c>
      <c r="AG144" s="208">
        <v>88</v>
      </c>
      <c r="AH144" s="208">
        <v>93</v>
      </c>
      <c r="AI144" s="222">
        <v>131</v>
      </c>
      <c r="AJ144" s="222">
        <v>133</v>
      </c>
      <c r="AK144" s="138"/>
      <c r="AL144" s="233">
        <f t="shared" si="70"/>
        <v>2843</v>
      </c>
      <c r="AO144" s="156"/>
      <c r="IT144" s="240"/>
    </row>
    <row r="145" spans="2:254" s="9" customFormat="1" ht="16.5">
      <c r="B145" s="47"/>
      <c r="C145" s="271" t="s">
        <v>110</v>
      </c>
      <c r="D145" s="207">
        <f>44.69%*D141</f>
        <v>357.52</v>
      </c>
      <c r="E145" s="272" t="s">
        <v>107</v>
      </c>
      <c r="F145" s="208">
        <v>249.2</v>
      </c>
      <c r="G145" s="208">
        <v>305.2</v>
      </c>
      <c r="H145" s="208">
        <v>297.10000000000002</v>
      </c>
      <c r="I145" s="208">
        <v>307.89999999999998</v>
      </c>
      <c r="J145" s="208">
        <v>258.7</v>
      </c>
      <c r="K145" s="208">
        <v>291.5</v>
      </c>
      <c r="L145" s="208">
        <v>273.7</v>
      </c>
      <c r="M145" s="208">
        <v>262.2</v>
      </c>
      <c r="N145" s="208">
        <v>272.89999999999998</v>
      </c>
      <c r="O145" s="208">
        <v>284.5</v>
      </c>
      <c r="P145" s="208">
        <v>303.10000000000002</v>
      </c>
      <c r="Q145" s="208">
        <v>303.8</v>
      </c>
      <c r="R145" s="208">
        <v>295.2</v>
      </c>
      <c r="S145" s="208">
        <v>279.89999999999998</v>
      </c>
      <c r="T145" s="208">
        <v>242.8</v>
      </c>
      <c r="U145" s="208">
        <v>236.9</v>
      </c>
      <c r="V145" s="208">
        <v>298.60000000000002</v>
      </c>
      <c r="W145" s="208">
        <v>273.2</v>
      </c>
      <c r="X145" s="208">
        <v>279.39999999999998</v>
      </c>
      <c r="Y145" s="208">
        <v>306.60000000000002</v>
      </c>
      <c r="Z145" s="208">
        <v>287.7</v>
      </c>
      <c r="AA145" s="208">
        <v>319.39999999999998</v>
      </c>
      <c r="AB145" s="208">
        <v>302.89999999999998</v>
      </c>
      <c r="AC145" s="208">
        <v>253.1</v>
      </c>
      <c r="AD145" s="208">
        <v>314.2</v>
      </c>
      <c r="AE145" s="208">
        <v>286.3</v>
      </c>
      <c r="AF145" s="208">
        <v>293</v>
      </c>
      <c r="AG145" s="208">
        <v>283</v>
      </c>
      <c r="AH145" s="208">
        <v>287</v>
      </c>
      <c r="AI145" s="208">
        <v>333</v>
      </c>
      <c r="AJ145" s="208">
        <v>275</v>
      </c>
      <c r="AK145" s="138"/>
      <c r="AL145" s="233">
        <f t="shared" si="70"/>
        <v>8857</v>
      </c>
      <c r="AO145" s="156"/>
      <c r="IT145" s="240">
        <f>AL145-8857</f>
        <v>0</v>
      </c>
    </row>
    <row r="146" spans="2:254" s="9" customFormat="1" ht="16.5">
      <c r="B146" s="47"/>
      <c r="C146" s="271" t="s">
        <v>103</v>
      </c>
      <c r="D146" s="207">
        <f>D141-SUM(D143:D145)</f>
        <v>245.12</v>
      </c>
      <c r="E146" s="272" t="s">
        <v>107</v>
      </c>
      <c r="F146" s="208">
        <f>F141-(SUM(F143:F145))</f>
        <v>174.8</v>
      </c>
      <c r="G146" s="208">
        <f t="shared" ref="G146:K146" si="71">G141-(SUM(G143:G145))</f>
        <v>247.8</v>
      </c>
      <c r="H146" s="208">
        <f t="shared" si="71"/>
        <v>128.89999999999998</v>
      </c>
      <c r="I146" s="208">
        <f t="shared" si="71"/>
        <v>269.10000000000002</v>
      </c>
      <c r="J146" s="208">
        <f t="shared" si="71"/>
        <v>103.30000000000001</v>
      </c>
      <c r="K146" s="208">
        <f t="shared" si="71"/>
        <v>139.5</v>
      </c>
      <c r="L146" s="208">
        <f t="shared" ref="L146:P146" si="72">L141-(SUM(L143:L145))</f>
        <v>98.300000000000011</v>
      </c>
      <c r="M146" s="208">
        <f t="shared" si="72"/>
        <v>174.8</v>
      </c>
      <c r="N146" s="208">
        <f t="shared" si="72"/>
        <v>113.10000000000002</v>
      </c>
      <c r="O146" s="208">
        <f t="shared" si="72"/>
        <v>127.5</v>
      </c>
      <c r="P146" s="208">
        <f t="shared" si="72"/>
        <v>184.89999999999998</v>
      </c>
      <c r="Q146" s="208">
        <f t="shared" ref="Q146:AJ146" si="73">Q141-(SUM(Q143:Q145))</f>
        <v>211.2</v>
      </c>
      <c r="R146" s="208">
        <f t="shared" si="73"/>
        <v>88.800000000000011</v>
      </c>
      <c r="S146" s="208">
        <f t="shared" si="73"/>
        <v>201.10000000000002</v>
      </c>
      <c r="T146" s="208">
        <f t="shared" si="73"/>
        <v>129.19999999999999</v>
      </c>
      <c r="U146" s="208">
        <f t="shared" si="73"/>
        <v>175.10000000000002</v>
      </c>
      <c r="V146" s="208">
        <f t="shared" si="73"/>
        <v>228.39999999999998</v>
      </c>
      <c r="W146" s="208">
        <f t="shared" si="73"/>
        <v>19.800000000000011</v>
      </c>
      <c r="X146" s="208">
        <f t="shared" si="73"/>
        <v>165.60000000000002</v>
      </c>
      <c r="Y146" s="208">
        <f t="shared" si="73"/>
        <v>247.39999999999998</v>
      </c>
      <c r="Z146" s="208">
        <f t="shared" si="73"/>
        <v>173.3</v>
      </c>
      <c r="AA146" s="208">
        <f t="shared" si="73"/>
        <v>132.60000000000002</v>
      </c>
      <c r="AB146" s="208">
        <f t="shared" si="73"/>
        <v>153.10000000000002</v>
      </c>
      <c r="AC146" s="208">
        <f t="shared" si="73"/>
        <v>185.89999999999998</v>
      </c>
      <c r="AD146" s="208">
        <f t="shared" si="73"/>
        <v>219.8</v>
      </c>
      <c r="AE146" s="208">
        <f t="shared" si="73"/>
        <v>192.7</v>
      </c>
      <c r="AF146" s="208">
        <f t="shared" si="73"/>
        <v>244</v>
      </c>
      <c r="AG146" s="208">
        <f t="shared" si="73"/>
        <v>178</v>
      </c>
      <c r="AH146" s="208">
        <f t="shared" si="73"/>
        <v>218</v>
      </c>
      <c r="AI146" s="208">
        <f t="shared" si="73"/>
        <v>243</v>
      </c>
      <c r="AJ146" s="208">
        <f t="shared" si="73"/>
        <v>92</v>
      </c>
      <c r="AK146" s="138"/>
      <c r="AL146" s="233">
        <f t="shared" si="70"/>
        <v>5261</v>
      </c>
      <c r="AM146" s="157"/>
      <c r="AN146" s="157"/>
      <c r="AO146" s="156"/>
    </row>
    <row r="147" spans="2:254" s="9" customFormat="1" ht="16.5">
      <c r="B147" s="47"/>
      <c r="C147" s="271" t="s">
        <v>111</v>
      </c>
      <c r="D147" s="207">
        <v>287.83999999999997</v>
      </c>
      <c r="E147" s="272" t="s">
        <v>107</v>
      </c>
      <c r="F147" s="208">
        <v>179</v>
      </c>
      <c r="G147" s="208">
        <v>162</v>
      </c>
      <c r="H147" s="208">
        <v>162</v>
      </c>
      <c r="I147" s="208">
        <v>131</v>
      </c>
      <c r="J147" s="208">
        <v>151</v>
      </c>
      <c r="K147" s="208">
        <v>153</v>
      </c>
      <c r="L147" s="208">
        <v>170</v>
      </c>
      <c r="M147" s="208">
        <v>190</v>
      </c>
      <c r="N147" s="208">
        <v>111</v>
      </c>
      <c r="O147" s="208">
        <v>87</v>
      </c>
      <c r="P147" s="208">
        <v>181</v>
      </c>
      <c r="Q147" s="208">
        <v>164</v>
      </c>
      <c r="R147" s="208">
        <v>151</v>
      </c>
      <c r="S147" s="208">
        <v>160</v>
      </c>
      <c r="T147" s="208">
        <v>97</v>
      </c>
      <c r="U147" s="208">
        <v>96</v>
      </c>
      <c r="V147" s="208">
        <v>147</v>
      </c>
      <c r="W147" s="208">
        <v>141</v>
      </c>
      <c r="X147" s="208">
        <v>167</v>
      </c>
      <c r="Y147" s="208">
        <v>207</v>
      </c>
      <c r="Z147" s="208">
        <v>164</v>
      </c>
      <c r="AA147" s="208">
        <v>134</v>
      </c>
      <c r="AB147" s="208">
        <v>153</v>
      </c>
      <c r="AC147" s="208">
        <v>165</v>
      </c>
      <c r="AD147" s="208">
        <v>138</v>
      </c>
      <c r="AE147" s="208">
        <v>199</v>
      </c>
      <c r="AF147" s="208">
        <v>179</v>
      </c>
      <c r="AG147" s="208">
        <v>226</v>
      </c>
      <c r="AH147" s="208">
        <v>174</v>
      </c>
      <c r="AI147" s="208">
        <v>181</v>
      </c>
      <c r="AJ147" s="208">
        <v>139</v>
      </c>
      <c r="AK147" s="138"/>
      <c r="AL147" s="233">
        <f t="shared" si="70"/>
        <v>4859</v>
      </c>
      <c r="AO147" s="156"/>
    </row>
    <row r="148" spans="2:254">
      <c r="B148" s="103">
        <v>12</v>
      </c>
      <c r="C148" s="246" t="s">
        <v>112</v>
      </c>
      <c r="D148" s="90"/>
      <c r="E148" s="90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136"/>
      <c r="AL148" s="234" t="s">
        <v>113</v>
      </c>
      <c r="AU148" s="19"/>
    </row>
    <row r="149" spans="2:254">
      <c r="B149" s="172"/>
      <c r="C149" s="274" t="s">
        <v>100</v>
      </c>
      <c r="D149" s="210"/>
      <c r="E149" s="211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136"/>
      <c r="AL149" s="223" t="s">
        <v>100</v>
      </c>
      <c r="AU149" s="19"/>
    </row>
    <row r="150" spans="2:254">
      <c r="B150" s="172"/>
      <c r="C150" s="248" t="s">
        <v>114</v>
      </c>
      <c r="D150" s="68">
        <v>26515.11</v>
      </c>
      <c r="E150" s="81" t="s">
        <v>115</v>
      </c>
      <c r="F150" s="212">
        <v>27800</v>
      </c>
      <c r="G150" s="212">
        <v>28200</v>
      </c>
      <c r="H150" s="212">
        <v>28100</v>
      </c>
      <c r="I150" s="212">
        <v>29700</v>
      </c>
      <c r="J150" s="65">
        <v>26400</v>
      </c>
      <c r="K150" s="220">
        <v>25400</v>
      </c>
      <c r="L150" s="65">
        <v>24000</v>
      </c>
      <c r="M150" s="220">
        <v>24100</v>
      </c>
      <c r="N150" s="65">
        <v>24100</v>
      </c>
      <c r="O150" s="65">
        <v>24900</v>
      </c>
      <c r="P150" s="65">
        <v>25300</v>
      </c>
      <c r="Q150" s="65">
        <v>24900</v>
      </c>
      <c r="R150" s="65">
        <v>25200</v>
      </c>
      <c r="S150" s="65">
        <v>24200</v>
      </c>
      <c r="T150" s="65">
        <v>22800</v>
      </c>
      <c r="U150" s="220">
        <v>19700</v>
      </c>
      <c r="V150" s="65">
        <v>23900</v>
      </c>
      <c r="W150" s="65">
        <v>25900</v>
      </c>
      <c r="X150" s="65">
        <v>27500</v>
      </c>
      <c r="Y150" s="220">
        <v>26100</v>
      </c>
      <c r="Z150" s="212">
        <v>25800</v>
      </c>
      <c r="AA150" s="65">
        <v>25900</v>
      </c>
      <c r="AB150" s="65">
        <v>25600</v>
      </c>
      <c r="AC150" s="65">
        <v>26100</v>
      </c>
      <c r="AD150" s="65">
        <v>25200</v>
      </c>
      <c r="AE150" s="65">
        <v>25500</v>
      </c>
      <c r="AF150" s="65">
        <v>26200</v>
      </c>
      <c r="AG150" s="65">
        <v>26700</v>
      </c>
      <c r="AH150" s="65">
        <v>25700</v>
      </c>
      <c r="AI150" s="65">
        <v>27600</v>
      </c>
      <c r="AJ150" s="65">
        <v>27800</v>
      </c>
      <c r="AK150" s="136"/>
      <c r="AL150" s="121">
        <f t="shared" ref="AL150:AL157" si="74">SUM(F150:AJ150)</f>
        <v>796300</v>
      </c>
      <c r="AO150" s="33">
        <f>AL150/AL22</f>
        <v>25687.096774193549</v>
      </c>
    </row>
    <row r="151" spans="2:254">
      <c r="B151" s="172"/>
      <c r="C151" s="274" t="s">
        <v>97</v>
      </c>
      <c r="D151" s="164"/>
      <c r="E151" s="275" t="s">
        <v>116</v>
      </c>
      <c r="F151" s="163">
        <f t="shared" ref="F151:AJ151" si="75">SUM(F150:F150)</f>
        <v>27800</v>
      </c>
      <c r="G151" s="163">
        <f t="shared" si="75"/>
        <v>28200</v>
      </c>
      <c r="H151" s="163">
        <f t="shared" si="75"/>
        <v>28100</v>
      </c>
      <c r="I151" s="163">
        <f t="shared" si="75"/>
        <v>29700</v>
      </c>
      <c r="J151" s="163">
        <f t="shared" si="75"/>
        <v>26400</v>
      </c>
      <c r="K151" s="163">
        <f t="shared" si="75"/>
        <v>25400</v>
      </c>
      <c r="L151" s="163">
        <f t="shared" si="75"/>
        <v>24000</v>
      </c>
      <c r="M151" s="163">
        <f t="shared" si="75"/>
        <v>24100</v>
      </c>
      <c r="N151" s="163">
        <f t="shared" si="75"/>
        <v>24100</v>
      </c>
      <c r="O151" s="163">
        <f t="shared" si="75"/>
        <v>24900</v>
      </c>
      <c r="P151" s="163">
        <f t="shared" si="75"/>
        <v>25300</v>
      </c>
      <c r="Q151" s="163">
        <f t="shared" si="75"/>
        <v>24900</v>
      </c>
      <c r="R151" s="163">
        <f t="shared" si="75"/>
        <v>25200</v>
      </c>
      <c r="S151" s="163">
        <f t="shared" si="75"/>
        <v>24200</v>
      </c>
      <c r="T151" s="163">
        <f t="shared" si="75"/>
        <v>22800</v>
      </c>
      <c r="U151" s="163">
        <f t="shared" si="75"/>
        <v>19700</v>
      </c>
      <c r="V151" s="163">
        <f t="shared" si="75"/>
        <v>23900</v>
      </c>
      <c r="W151" s="163">
        <f t="shared" si="75"/>
        <v>25900</v>
      </c>
      <c r="X151" s="163">
        <f t="shared" si="75"/>
        <v>27500</v>
      </c>
      <c r="Y151" s="163">
        <f t="shared" si="75"/>
        <v>26100</v>
      </c>
      <c r="Z151" s="163">
        <f t="shared" si="75"/>
        <v>25800</v>
      </c>
      <c r="AA151" s="163">
        <f t="shared" si="75"/>
        <v>25900</v>
      </c>
      <c r="AB151" s="163">
        <f t="shared" si="75"/>
        <v>25600</v>
      </c>
      <c r="AC151" s="163">
        <f t="shared" si="75"/>
        <v>26100</v>
      </c>
      <c r="AD151" s="163">
        <f t="shared" si="75"/>
        <v>25200</v>
      </c>
      <c r="AE151" s="163">
        <f t="shared" si="75"/>
        <v>25500</v>
      </c>
      <c r="AF151" s="163">
        <f t="shared" si="75"/>
        <v>26200</v>
      </c>
      <c r="AG151" s="163">
        <f t="shared" si="75"/>
        <v>26700</v>
      </c>
      <c r="AH151" s="163">
        <f t="shared" si="75"/>
        <v>25700</v>
      </c>
      <c r="AI151" s="163">
        <f t="shared" si="75"/>
        <v>27600</v>
      </c>
      <c r="AJ151" s="163">
        <f t="shared" si="75"/>
        <v>27800</v>
      </c>
      <c r="AK151" s="134"/>
      <c r="AL151" s="228">
        <f>SUM(F151:AI151)</f>
        <v>768500</v>
      </c>
    </row>
    <row r="152" spans="2:254">
      <c r="B152" s="59">
        <v>13</v>
      </c>
      <c r="C152" s="89" t="s">
        <v>117</v>
      </c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  <c r="AB152" s="213"/>
      <c r="AC152" s="213"/>
      <c r="AD152" s="213"/>
      <c r="AE152" s="213"/>
      <c r="AF152" s="213"/>
      <c r="AG152" s="213"/>
      <c r="AH152" s="213"/>
      <c r="AI152" s="213"/>
      <c r="AJ152" s="213"/>
      <c r="AL152" s="235" t="s">
        <v>118</v>
      </c>
    </row>
    <row r="153" spans="2:254">
      <c r="B153" s="82"/>
      <c r="C153" s="91" t="s">
        <v>119</v>
      </c>
      <c r="D153" s="80"/>
      <c r="E153" s="81" t="s">
        <v>10</v>
      </c>
      <c r="F153" s="178">
        <v>0</v>
      </c>
      <c r="G153" s="178">
        <v>0</v>
      </c>
      <c r="H153" s="178">
        <v>0</v>
      </c>
      <c r="I153" s="178">
        <v>0</v>
      </c>
      <c r="J153" s="178">
        <v>86740</v>
      </c>
      <c r="K153" s="178">
        <v>43000</v>
      </c>
      <c r="L153" s="178">
        <v>0</v>
      </c>
      <c r="M153" s="178">
        <v>0</v>
      </c>
      <c r="N153" s="178">
        <v>64790</v>
      </c>
      <c r="O153" s="178">
        <v>0</v>
      </c>
      <c r="P153" s="178">
        <v>0</v>
      </c>
      <c r="Q153" s="178">
        <v>0</v>
      </c>
      <c r="R153" s="178">
        <v>0</v>
      </c>
      <c r="S153" s="178">
        <v>0</v>
      </c>
      <c r="T153" s="178">
        <v>0</v>
      </c>
      <c r="U153" s="178">
        <v>0</v>
      </c>
      <c r="V153" s="178">
        <v>0</v>
      </c>
      <c r="W153" s="178">
        <v>43020</v>
      </c>
      <c r="X153" s="178">
        <v>150090</v>
      </c>
      <c r="Y153" s="178">
        <v>0</v>
      </c>
      <c r="Z153" s="178">
        <v>105360</v>
      </c>
      <c r="AA153" s="178">
        <v>0</v>
      </c>
      <c r="AB153" s="178">
        <v>0</v>
      </c>
      <c r="AC153" s="178">
        <v>0</v>
      </c>
      <c r="AD153" s="178">
        <v>63480</v>
      </c>
      <c r="AE153" s="65">
        <v>0</v>
      </c>
      <c r="AF153" s="65">
        <v>41480</v>
      </c>
      <c r="AG153" s="65">
        <v>21560</v>
      </c>
      <c r="AH153" s="65">
        <v>149400</v>
      </c>
      <c r="AI153" s="65">
        <v>129680</v>
      </c>
      <c r="AJ153" s="65">
        <v>0</v>
      </c>
      <c r="AL153" s="121">
        <f t="shared" si="74"/>
        <v>898600</v>
      </c>
    </row>
    <row r="154" spans="2:254">
      <c r="B154" s="82"/>
      <c r="C154" s="91" t="s">
        <v>34</v>
      </c>
      <c r="D154" s="80"/>
      <c r="E154" s="81" t="s">
        <v>10</v>
      </c>
      <c r="F154" s="178">
        <v>0</v>
      </c>
      <c r="G154" s="178">
        <v>0</v>
      </c>
      <c r="H154" s="178">
        <v>62920</v>
      </c>
      <c r="I154" s="178">
        <v>103190</v>
      </c>
      <c r="J154" s="178">
        <v>291700</v>
      </c>
      <c r="K154" s="178">
        <v>40830</v>
      </c>
      <c r="L154" s="178">
        <v>0</v>
      </c>
      <c r="M154" s="178">
        <v>0</v>
      </c>
      <c r="N154" s="178">
        <v>0</v>
      </c>
      <c r="O154" s="178">
        <v>166000</v>
      </c>
      <c r="P154" s="178">
        <v>61990</v>
      </c>
      <c r="Q154" s="178">
        <v>83410</v>
      </c>
      <c r="R154" s="178">
        <v>166770</v>
      </c>
      <c r="S154" s="178">
        <v>227500</v>
      </c>
      <c r="T154" s="178">
        <v>186680</v>
      </c>
      <c r="U154" s="178">
        <v>20130</v>
      </c>
      <c r="V154" s="178">
        <v>82160</v>
      </c>
      <c r="W154" s="178">
        <v>0</v>
      </c>
      <c r="X154" s="178">
        <v>166750</v>
      </c>
      <c r="Y154" s="178">
        <v>0</v>
      </c>
      <c r="Z154" s="178">
        <v>165760</v>
      </c>
      <c r="AA154" s="178">
        <v>247100</v>
      </c>
      <c r="AB154" s="178">
        <v>0</v>
      </c>
      <c r="AC154" s="178">
        <v>165310</v>
      </c>
      <c r="AD154" s="65">
        <v>0</v>
      </c>
      <c r="AE154" s="178">
        <v>165720</v>
      </c>
      <c r="AF154" s="65">
        <v>160070</v>
      </c>
      <c r="AG154" s="65">
        <v>207590</v>
      </c>
      <c r="AH154" s="65">
        <v>227460</v>
      </c>
      <c r="AI154" s="65">
        <v>0</v>
      </c>
      <c r="AJ154" s="65">
        <f>81390+84800</f>
        <v>166190</v>
      </c>
      <c r="AL154" s="121">
        <f t="shared" si="74"/>
        <v>3165230</v>
      </c>
    </row>
    <row r="155" spans="2:254">
      <c r="B155" s="82"/>
      <c r="C155" s="91" t="s">
        <v>36</v>
      </c>
      <c r="D155" s="80"/>
      <c r="E155" s="81" t="s">
        <v>10</v>
      </c>
      <c r="F155" s="178">
        <v>0</v>
      </c>
      <c r="G155" s="178">
        <v>0</v>
      </c>
      <c r="H155" s="178">
        <v>0</v>
      </c>
      <c r="I155" s="178">
        <v>0</v>
      </c>
      <c r="J155" s="178">
        <v>0</v>
      </c>
      <c r="K155" s="178">
        <v>0</v>
      </c>
      <c r="L155" s="178">
        <v>0</v>
      </c>
      <c r="M155" s="178">
        <v>0</v>
      </c>
      <c r="N155" s="178">
        <v>0</v>
      </c>
      <c r="O155" s="178">
        <v>0</v>
      </c>
      <c r="P155" s="178">
        <v>0</v>
      </c>
      <c r="Q155" s="178">
        <v>0</v>
      </c>
      <c r="R155" s="178">
        <v>0</v>
      </c>
      <c r="S155" s="178">
        <v>0</v>
      </c>
      <c r="T155" s="178">
        <v>0</v>
      </c>
      <c r="U155" s="178">
        <v>0</v>
      </c>
      <c r="V155" s="178">
        <v>0</v>
      </c>
      <c r="W155" s="178">
        <v>0</v>
      </c>
      <c r="X155" s="178">
        <v>0</v>
      </c>
      <c r="Y155" s="178">
        <v>0</v>
      </c>
      <c r="Z155" s="178"/>
      <c r="AA155" s="178">
        <v>0</v>
      </c>
      <c r="AB155" s="178">
        <v>0</v>
      </c>
      <c r="AC155" s="178">
        <v>0</v>
      </c>
      <c r="AD155" s="178">
        <v>0</v>
      </c>
      <c r="AE155" s="178">
        <v>0</v>
      </c>
      <c r="AF155" s="65">
        <v>0</v>
      </c>
      <c r="AG155" s="65">
        <v>0</v>
      </c>
      <c r="AH155" s="65">
        <v>0</v>
      </c>
      <c r="AI155" s="65">
        <v>0</v>
      </c>
      <c r="AJ155" s="65">
        <v>0</v>
      </c>
      <c r="AL155" s="121">
        <f t="shared" si="74"/>
        <v>0</v>
      </c>
    </row>
    <row r="156" spans="2:254" hidden="1">
      <c r="B156" s="82"/>
      <c r="C156" s="91" t="s">
        <v>41</v>
      </c>
      <c r="D156" s="80"/>
      <c r="E156" s="81" t="s">
        <v>10</v>
      </c>
      <c r="F156" s="178">
        <v>0</v>
      </c>
      <c r="G156" s="178">
        <v>0</v>
      </c>
      <c r="H156" s="178">
        <v>0</v>
      </c>
      <c r="I156" s="178">
        <v>0</v>
      </c>
      <c r="J156" s="178"/>
      <c r="K156" s="178"/>
      <c r="L156" s="178"/>
      <c r="M156" s="178"/>
      <c r="N156" s="178">
        <v>0</v>
      </c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>
        <v>0</v>
      </c>
      <c r="Z156" s="65"/>
      <c r="AA156" s="178"/>
      <c r="AB156" s="178"/>
      <c r="AC156" s="178"/>
      <c r="AD156" s="178"/>
      <c r="AE156" s="178"/>
      <c r="AF156" s="65"/>
      <c r="AG156" s="65"/>
      <c r="AH156" s="65"/>
      <c r="AI156" s="65">
        <v>0</v>
      </c>
      <c r="AJ156" s="65"/>
      <c r="AL156" s="121">
        <f t="shared" si="74"/>
        <v>0</v>
      </c>
    </row>
    <row r="157" spans="2:254">
      <c r="B157" s="82"/>
      <c r="C157" s="91" t="s">
        <v>52</v>
      </c>
      <c r="D157" s="80"/>
      <c r="E157" s="81" t="s">
        <v>10</v>
      </c>
      <c r="F157" s="178">
        <v>0</v>
      </c>
      <c r="G157" s="178">
        <v>0</v>
      </c>
      <c r="H157" s="178">
        <v>0</v>
      </c>
      <c r="I157" s="178">
        <v>0</v>
      </c>
      <c r="J157" s="178">
        <v>194550</v>
      </c>
      <c r="K157" s="178">
        <v>86160</v>
      </c>
      <c r="L157" s="178">
        <v>211320</v>
      </c>
      <c r="M157" s="178">
        <v>167540</v>
      </c>
      <c r="N157" s="178">
        <v>0</v>
      </c>
      <c r="O157" s="178">
        <v>64120</v>
      </c>
      <c r="P157" s="178">
        <v>65000</v>
      </c>
      <c r="Q157" s="178">
        <v>250840</v>
      </c>
      <c r="R157" s="178">
        <v>402660</v>
      </c>
      <c r="S157" s="178">
        <v>710870</v>
      </c>
      <c r="T157" s="178">
        <v>613130</v>
      </c>
      <c r="U157" s="178">
        <v>755780</v>
      </c>
      <c r="V157" s="178">
        <v>576910</v>
      </c>
      <c r="W157" s="178">
        <v>559910</v>
      </c>
      <c r="X157" s="178">
        <v>512220</v>
      </c>
      <c r="Y157" s="178">
        <v>0</v>
      </c>
      <c r="Z157" s="178">
        <v>725330</v>
      </c>
      <c r="AA157" s="178">
        <v>747330</v>
      </c>
      <c r="AB157" s="178">
        <v>352460</v>
      </c>
      <c r="AC157" s="178">
        <v>104550</v>
      </c>
      <c r="AD157" s="178">
        <v>43240</v>
      </c>
      <c r="AE157" s="178">
        <v>298730</v>
      </c>
      <c r="AF157" s="65">
        <v>416960</v>
      </c>
      <c r="AG157" s="65">
        <v>107520</v>
      </c>
      <c r="AH157" s="65">
        <v>43540</v>
      </c>
      <c r="AI157" s="65">
        <v>0</v>
      </c>
      <c r="AJ157" s="65">
        <f>62390+43150</f>
        <v>105540</v>
      </c>
      <c r="AL157" s="121">
        <f t="shared" si="74"/>
        <v>8116210</v>
      </c>
      <c r="AM157" s="236"/>
      <c r="AN157" s="236"/>
    </row>
    <row r="158" spans="2:254" s="8" customFormat="1">
      <c r="B158" s="201"/>
      <c r="C158" s="214" t="s">
        <v>97</v>
      </c>
      <c r="D158" s="215"/>
      <c r="E158" s="216" t="s">
        <v>10</v>
      </c>
      <c r="F158" s="217">
        <f t="shared" ref="F158:AJ158" si="76">SUM(F153:F157)</f>
        <v>0</v>
      </c>
      <c r="G158" s="217">
        <f t="shared" si="76"/>
        <v>0</v>
      </c>
      <c r="H158" s="217">
        <f t="shared" si="76"/>
        <v>62920</v>
      </c>
      <c r="I158" s="217">
        <f t="shared" si="76"/>
        <v>103190</v>
      </c>
      <c r="J158" s="217">
        <f t="shared" si="76"/>
        <v>572990</v>
      </c>
      <c r="K158" s="217">
        <f t="shared" si="76"/>
        <v>169990</v>
      </c>
      <c r="L158" s="217">
        <f t="shared" si="76"/>
        <v>211320</v>
      </c>
      <c r="M158" s="217">
        <f t="shared" si="76"/>
        <v>167540</v>
      </c>
      <c r="N158" s="217">
        <f t="shared" si="76"/>
        <v>64790</v>
      </c>
      <c r="O158" s="217">
        <f t="shared" si="76"/>
        <v>230120</v>
      </c>
      <c r="P158" s="217">
        <f t="shared" si="76"/>
        <v>126990</v>
      </c>
      <c r="Q158" s="217">
        <f t="shared" si="76"/>
        <v>334250</v>
      </c>
      <c r="R158" s="217">
        <f t="shared" si="76"/>
        <v>569430</v>
      </c>
      <c r="S158" s="217">
        <f t="shared" si="76"/>
        <v>938370</v>
      </c>
      <c r="T158" s="217">
        <f t="shared" si="76"/>
        <v>799810</v>
      </c>
      <c r="U158" s="217">
        <f t="shared" si="76"/>
        <v>775910</v>
      </c>
      <c r="V158" s="217">
        <f t="shared" si="76"/>
        <v>659070</v>
      </c>
      <c r="W158" s="217">
        <f t="shared" si="76"/>
        <v>602930</v>
      </c>
      <c r="X158" s="217">
        <f t="shared" si="76"/>
        <v>829060</v>
      </c>
      <c r="Y158" s="217">
        <f t="shared" si="76"/>
        <v>0</v>
      </c>
      <c r="Z158" s="217">
        <f t="shared" si="76"/>
        <v>996450</v>
      </c>
      <c r="AA158" s="217">
        <f t="shared" si="76"/>
        <v>994430</v>
      </c>
      <c r="AB158" s="217">
        <f t="shared" si="76"/>
        <v>352460</v>
      </c>
      <c r="AC158" s="217">
        <f t="shared" si="76"/>
        <v>269860</v>
      </c>
      <c r="AD158" s="217">
        <f t="shared" si="76"/>
        <v>106720</v>
      </c>
      <c r="AE158" s="217">
        <f t="shared" si="76"/>
        <v>464450</v>
      </c>
      <c r="AF158" s="217">
        <f t="shared" si="76"/>
        <v>618510</v>
      </c>
      <c r="AG158" s="217">
        <f t="shared" si="76"/>
        <v>336670</v>
      </c>
      <c r="AH158" s="217">
        <f t="shared" si="76"/>
        <v>420400</v>
      </c>
      <c r="AI158" s="217">
        <f t="shared" si="76"/>
        <v>129680</v>
      </c>
      <c r="AJ158" s="217">
        <f t="shared" si="76"/>
        <v>271730</v>
      </c>
      <c r="AL158" s="237">
        <f>SUM(AL153:AL157)</f>
        <v>12180040</v>
      </c>
      <c r="AM158" s="236"/>
      <c r="AN158" s="236"/>
      <c r="AO158" s="229"/>
    </row>
    <row r="159" spans="2:254">
      <c r="B159" s="59">
        <v>14</v>
      </c>
      <c r="C159" s="89" t="s">
        <v>120</v>
      </c>
      <c r="D159" s="213"/>
      <c r="E159" s="213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L159" s="238" t="s">
        <v>121</v>
      </c>
    </row>
    <row r="160" spans="2:254">
      <c r="B160" s="82"/>
      <c r="C160" s="91" t="s">
        <v>119</v>
      </c>
      <c r="D160" s="80"/>
      <c r="E160" s="81" t="s">
        <v>10</v>
      </c>
      <c r="F160" s="178">
        <v>0</v>
      </c>
      <c r="G160" s="178">
        <v>0</v>
      </c>
      <c r="H160" s="178">
        <v>0</v>
      </c>
      <c r="I160" s="178">
        <v>126000</v>
      </c>
      <c r="J160" s="178">
        <v>126000</v>
      </c>
      <c r="K160" s="178">
        <v>832100</v>
      </c>
      <c r="L160" s="178">
        <v>1331070</v>
      </c>
      <c r="M160" s="178">
        <v>581490</v>
      </c>
      <c r="N160" s="178">
        <v>203070</v>
      </c>
      <c r="O160" s="178">
        <v>143070</v>
      </c>
      <c r="P160" s="178">
        <v>1280990</v>
      </c>
      <c r="Q160" s="178">
        <v>1632940</v>
      </c>
      <c r="R160" s="178">
        <v>1270940</v>
      </c>
      <c r="S160" s="178">
        <v>627560</v>
      </c>
      <c r="T160" s="178">
        <v>1024520</v>
      </c>
      <c r="U160" s="178">
        <v>1602880</v>
      </c>
      <c r="V160" s="178">
        <v>733980</v>
      </c>
      <c r="W160" s="178">
        <v>0</v>
      </c>
      <c r="X160" s="178">
        <v>0</v>
      </c>
      <c r="Y160" s="178">
        <v>0</v>
      </c>
      <c r="Z160" s="178">
        <v>21500</v>
      </c>
      <c r="AA160" s="178">
        <v>0</v>
      </c>
      <c r="AB160" s="178">
        <v>0</v>
      </c>
      <c r="AC160" s="178">
        <v>0</v>
      </c>
      <c r="AD160" s="178">
        <v>0</v>
      </c>
      <c r="AE160" s="178">
        <v>0</v>
      </c>
      <c r="AF160" s="65">
        <v>0</v>
      </c>
      <c r="AG160" s="65">
        <v>0</v>
      </c>
      <c r="AH160" s="65">
        <v>0</v>
      </c>
      <c r="AI160" s="65">
        <v>0</v>
      </c>
      <c r="AJ160" s="65">
        <v>0</v>
      </c>
      <c r="AL160" s="121">
        <f t="shared" ref="AL160:AL164" si="77">SUM(F160:AJ160)</f>
        <v>11538110</v>
      </c>
      <c r="HR160" s="119"/>
    </row>
    <row r="161" spans="2:41">
      <c r="B161" s="82"/>
      <c r="C161" s="91" t="s">
        <v>34</v>
      </c>
      <c r="D161" s="80"/>
      <c r="E161" s="81" t="s">
        <v>10</v>
      </c>
      <c r="F161" s="178">
        <v>0</v>
      </c>
      <c r="G161" s="178">
        <v>0</v>
      </c>
      <c r="H161" s="178">
        <v>0</v>
      </c>
      <c r="I161" s="178">
        <v>0</v>
      </c>
      <c r="J161" s="178">
        <v>0</v>
      </c>
      <c r="K161" s="178">
        <v>0</v>
      </c>
      <c r="L161" s="178">
        <v>0</v>
      </c>
      <c r="M161" s="178">
        <v>41960</v>
      </c>
      <c r="N161" s="178">
        <v>0</v>
      </c>
      <c r="O161" s="178">
        <v>42230</v>
      </c>
      <c r="P161" s="178">
        <v>41640</v>
      </c>
      <c r="Q161" s="178">
        <v>0</v>
      </c>
      <c r="R161" s="178">
        <v>62130</v>
      </c>
      <c r="S161" s="178">
        <v>0</v>
      </c>
      <c r="T161" s="178">
        <v>0</v>
      </c>
      <c r="U161" s="178">
        <v>0</v>
      </c>
      <c r="V161" s="178">
        <v>0</v>
      </c>
      <c r="W161" s="178">
        <v>0</v>
      </c>
      <c r="X161" s="178">
        <v>0</v>
      </c>
      <c r="Y161" s="178">
        <v>0</v>
      </c>
      <c r="Z161" s="178"/>
      <c r="AA161" s="178">
        <v>0</v>
      </c>
      <c r="AB161" s="178">
        <v>0</v>
      </c>
      <c r="AC161" s="178">
        <v>0</v>
      </c>
      <c r="AD161" s="178">
        <v>0</v>
      </c>
      <c r="AE161" s="178">
        <v>107500</v>
      </c>
      <c r="AF161" s="65">
        <v>0</v>
      </c>
      <c r="AG161" s="65">
        <v>0</v>
      </c>
      <c r="AH161" s="65">
        <v>0</v>
      </c>
      <c r="AI161" s="65">
        <v>0</v>
      </c>
      <c r="AJ161" s="65">
        <v>0</v>
      </c>
      <c r="AL161" s="121">
        <f t="shared" si="77"/>
        <v>295460</v>
      </c>
    </row>
    <row r="162" spans="2:41">
      <c r="B162" s="82"/>
      <c r="C162" s="91" t="s">
        <v>36</v>
      </c>
      <c r="D162" s="80"/>
      <c r="E162" s="81" t="s">
        <v>10</v>
      </c>
      <c r="F162" s="178">
        <v>0</v>
      </c>
      <c r="G162" s="178">
        <v>1065920</v>
      </c>
      <c r="H162" s="178">
        <v>0</v>
      </c>
      <c r="I162" s="178">
        <v>2116140</v>
      </c>
      <c r="J162" s="178">
        <v>1710230</v>
      </c>
      <c r="K162" s="178">
        <v>636620</v>
      </c>
      <c r="L162" s="178">
        <v>0</v>
      </c>
      <c r="M162" s="178">
        <v>990550</v>
      </c>
      <c r="N162" s="178">
        <v>1303750</v>
      </c>
      <c r="O162" s="178">
        <v>1035310</v>
      </c>
      <c r="P162" s="178">
        <v>535710</v>
      </c>
      <c r="Q162" s="178">
        <v>0</v>
      </c>
      <c r="R162" s="178">
        <v>0</v>
      </c>
      <c r="S162" s="178">
        <v>398130</v>
      </c>
      <c r="T162" s="178">
        <v>0</v>
      </c>
      <c r="U162" s="178">
        <v>0</v>
      </c>
      <c r="V162" s="178">
        <v>298350</v>
      </c>
      <c r="W162" s="178">
        <v>2046350</v>
      </c>
      <c r="X162" s="178">
        <v>1611700</v>
      </c>
      <c r="Y162" s="178">
        <v>0</v>
      </c>
      <c r="Z162" s="65">
        <v>2082540</v>
      </c>
      <c r="AA162" s="178">
        <v>564190</v>
      </c>
      <c r="AB162" s="178">
        <v>0</v>
      </c>
      <c r="AC162" s="65">
        <v>2159480</v>
      </c>
      <c r="AD162" s="178">
        <v>1690750</v>
      </c>
      <c r="AE162" s="65">
        <v>1499440</v>
      </c>
      <c r="AF162" s="65">
        <v>1284000</v>
      </c>
      <c r="AG162" s="65">
        <v>1421020</v>
      </c>
      <c r="AH162" s="65">
        <v>694880</v>
      </c>
      <c r="AI162" s="65">
        <v>0</v>
      </c>
      <c r="AJ162" s="65">
        <v>0</v>
      </c>
      <c r="AL162" s="121">
        <f t="shared" si="77"/>
        <v>25145060</v>
      </c>
    </row>
    <row r="163" spans="2:41">
      <c r="B163" s="82"/>
      <c r="C163" s="91" t="s">
        <v>45</v>
      </c>
      <c r="D163" s="80"/>
      <c r="E163" s="81" t="s">
        <v>10</v>
      </c>
      <c r="F163" s="178">
        <v>0</v>
      </c>
      <c r="G163" s="178">
        <v>0</v>
      </c>
      <c r="H163" s="178">
        <v>0</v>
      </c>
      <c r="I163" s="178">
        <v>0</v>
      </c>
      <c r="J163" s="178">
        <v>0</v>
      </c>
      <c r="K163" s="178">
        <v>0</v>
      </c>
      <c r="L163" s="178">
        <v>0</v>
      </c>
      <c r="M163" s="178">
        <v>0</v>
      </c>
      <c r="N163" s="178">
        <v>0</v>
      </c>
      <c r="O163" s="178">
        <v>0</v>
      </c>
      <c r="P163" s="178">
        <v>0</v>
      </c>
      <c r="Q163" s="178">
        <v>0</v>
      </c>
      <c r="R163" s="178">
        <v>0</v>
      </c>
      <c r="S163" s="178">
        <v>0</v>
      </c>
      <c r="T163" s="178">
        <v>0</v>
      </c>
      <c r="U163" s="178">
        <v>0</v>
      </c>
      <c r="V163" s="178">
        <v>0</v>
      </c>
      <c r="W163" s="178">
        <v>0</v>
      </c>
      <c r="X163" s="178">
        <v>0</v>
      </c>
      <c r="Y163" s="178">
        <v>0</v>
      </c>
      <c r="Z163" s="178">
        <v>0</v>
      </c>
      <c r="AA163" s="178">
        <v>99620</v>
      </c>
      <c r="AB163" s="178">
        <v>300380</v>
      </c>
      <c r="AC163" s="178">
        <v>0</v>
      </c>
      <c r="AD163" s="178">
        <v>0</v>
      </c>
      <c r="AE163" s="65">
        <v>0</v>
      </c>
      <c r="AF163" s="65">
        <v>0</v>
      </c>
      <c r="AG163" s="65">
        <v>0</v>
      </c>
      <c r="AH163" s="65">
        <v>0</v>
      </c>
      <c r="AI163" s="65">
        <v>0</v>
      </c>
      <c r="AJ163" s="65">
        <v>0</v>
      </c>
      <c r="AL163" s="121">
        <f t="shared" si="77"/>
        <v>400000</v>
      </c>
    </row>
    <row r="164" spans="2:41">
      <c r="B164" s="82"/>
      <c r="C164" s="91" t="s">
        <v>52</v>
      </c>
      <c r="D164" s="80"/>
      <c r="E164" s="81" t="s">
        <v>10</v>
      </c>
      <c r="F164" s="178">
        <v>0</v>
      </c>
      <c r="G164" s="178">
        <v>0</v>
      </c>
      <c r="H164" s="178">
        <v>0</v>
      </c>
      <c r="I164" s="178">
        <v>0</v>
      </c>
      <c r="J164" s="178">
        <v>0</v>
      </c>
      <c r="K164" s="178">
        <v>0</v>
      </c>
      <c r="L164" s="178">
        <v>0</v>
      </c>
      <c r="M164" s="178">
        <v>0</v>
      </c>
      <c r="N164" s="178">
        <v>0</v>
      </c>
      <c r="O164" s="178">
        <v>0</v>
      </c>
      <c r="P164" s="178">
        <v>0</v>
      </c>
      <c r="Q164" s="178">
        <v>64570</v>
      </c>
      <c r="R164" s="178">
        <v>171930</v>
      </c>
      <c r="S164" s="178">
        <v>0</v>
      </c>
      <c r="T164" s="178">
        <v>0</v>
      </c>
      <c r="U164" s="178">
        <v>0</v>
      </c>
      <c r="V164" s="178">
        <v>0</v>
      </c>
      <c r="W164" s="178">
        <v>0</v>
      </c>
      <c r="X164" s="178">
        <v>0</v>
      </c>
      <c r="Y164" s="178">
        <v>0</v>
      </c>
      <c r="Z164" s="178">
        <v>0</v>
      </c>
      <c r="AA164" s="178">
        <v>0</v>
      </c>
      <c r="AB164" s="178">
        <v>0</v>
      </c>
      <c r="AC164" s="178">
        <v>0</v>
      </c>
      <c r="AD164" s="178">
        <v>64500</v>
      </c>
      <c r="AE164" s="178">
        <v>0</v>
      </c>
      <c r="AF164" s="65">
        <v>0</v>
      </c>
      <c r="AG164" s="65">
        <v>0</v>
      </c>
      <c r="AH164" s="65">
        <v>0</v>
      </c>
      <c r="AI164" s="65">
        <v>0</v>
      </c>
      <c r="AJ164" s="65">
        <v>0</v>
      </c>
      <c r="AL164" s="121">
        <f t="shared" si="77"/>
        <v>301000</v>
      </c>
    </row>
    <row r="165" spans="2:41" s="8" customFormat="1">
      <c r="B165" s="201"/>
      <c r="C165" s="214" t="s">
        <v>97</v>
      </c>
      <c r="D165" s="215"/>
      <c r="E165" s="216" t="s">
        <v>10</v>
      </c>
      <c r="F165" s="217">
        <f t="shared" ref="F165:AJ165" si="78">SUM(F160:F164)</f>
        <v>0</v>
      </c>
      <c r="G165" s="217">
        <f t="shared" si="78"/>
        <v>1065920</v>
      </c>
      <c r="H165" s="217">
        <f t="shared" si="78"/>
        <v>0</v>
      </c>
      <c r="I165" s="217">
        <f t="shared" si="78"/>
        <v>2242140</v>
      </c>
      <c r="J165" s="217">
        <f t="shared" si="78"/>
        <v>1836230</v>
      </c>
      <c r="K165" s="217">
        <f t="shared" si="78"/>
        <v>1468720</v>
      </c>
      <c r="L165" s="217">
        <f t="shared" si="78"/>
        <v>1331070</v>
      </c>
      <c r="M165" s="217">
        <f t="shared" si="78"/>
        <v>1614000</v>
      </c>
      <c r="N165" s="217">
        <f t="shared" si="78"/>
        <v>1506820</v>
      </c>
      <c r="O165" s="217">
        <f t="shared" si="78"/>
        <v>1220610</v>
      </c>
      <c r="P165" s="217">
        <f t="shared" si="78"/>
        <v>1858340</v>
      </c>
      <c r="Q165" s="217">
        <f t="shared" si="78"/>
        <v>1697510</v>
      </c>
      <c r="R165" s="217">
        <f t="shared" si="78"/>
        <v>1505000</v>
      </c>
      <c r="S165" s="217">
        <f t="shared" si="78"/>
        <v>1025690</v>
      </c>
      <c r="T165" s="217">
        <f t="shared" si="78"/>
        <v>1024520</v>
      </c>
      <c r="U165" s="217">
        <f t="shared" si="78"/>
        <v>1602880</v>
      </c>
      <c r="V165" s="217">
        <f t="shared" si="78"/>
        <v>1032330</v>
      </c>
      <c r="W165" s="217">
        <f t="shared" si="78"/>
        <v>2046350</v>
      </c>
      <c r="X165" s="217">
        <f t="shared" si="78"/>
        <v>1611700</v>
      </c>
      <c r="Y165" s="217">
        <f t="shared" si="78"/>
        <v>0</v>
      </c>
      <c r="Z165" s="217">
        <f t="shared" si="78"/>
        <v>2104040</v>
      </c>
      <c r="AA165" s="217">
        <f t="shared" si="78"/>
        <v>663810</v>
      </c>
      <c r="AB165" s="217">
        <f t="shared" si="78"/>
        <v>300380</v>
      </c>
      <c r="AC165" s="217">
        <f t="shared" si="78"/>
        <v>2159480</v>
      </c>
      <c r="AD165" s="217">
        <f t="shared" si="78"/>
        <v>1755250</v>
      </c>
      <c r="AE165" s="217">
        <f t="shared" si="78"/>
        <v>1606940</v>
      </c>
      <c r="AF165" s="217">
        <f t="shared" si="78"/>
        <v>1284000</v>
      </c>
      <c r="AG165" s="217">
        <f t="shared" si="78"/>
        <v>1421020</v>
      </c>
      <c r="AH165" s="217">
        <f t="shared" si="78"/>
        <v>694880</v>
      </c>
      <c r="AI165" s="217">
        <f t="shared" si="78"/>
        <v>0</v>
      </c>
      <c r="AJ165" s="217">
        <f t="shared" si="78"/>
        <v>0</v>
      </c>
      <c r="AL165" s="239">
        <f>SUM(AL160:AL164)</f>
        <v>37679630</v>
      </c>
      <c r="AO165" s="229"/>
    </row>
    <row r="167" spans="2:41" hidden="1">
      <c r="AD167" s="3" t="s">
        <v>119</v>
      </c>
      <c r="AH167" s="33">
        <v>352210</v>
      </c>
      <c r="AI167" s="33"/>
      <c r="AJ167" s="33"/>
    </row>
    <row r="168" spans="2:41" hidden="1">
      <c r="AD168" s="3" t="s">
        <v>39</v>
      </c>
      <c r="AH168" s="33">
        <v>100410</v>
      </c>
      <c r="AI168" s="33"/>
      <c r="AJ168" s="33"/>
    </row>
    <row r="169" spans="2:41" hidden="1">
      <c r="AH169" s="33">
        <f>SUM(AH167:AH168)</f>
        <v>452620</v>
      </c>
      <c r="AI169" s="33"/>
      <c r="AJ169" s="33"/>
    </row>
    <row r="170" spans="2:41" hidden="1"/>
    <row r="171" spans="2:41" hidden="1"/>
    <row r="172" spans="2:41" hidden="1"/>
    <row r="175" spans="2:41">
      <c r="T175" s="119"/>
    </row>
  </sheetData>
  <mergeCells count="7">
    <mergeCell ref="AL5:AL6"/>
    <mergeCell ref="B2:AI2"/>
    <mergeCell ref="F5:AI5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300" verticalDpi="300"/>
  <ignoredErrors>
    <ignoredError sqref="IV128" formulaRange="1"/>
    <ignoredError sqref="AJ89 AJ9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4:L16"/>
  <sheetViews>
    <sheetView showGridLines="0" workbookViewId="0">
      <selection activeCell="F18" sqref="F17:F18"/>
    </sheetView>
  </sheetViews>
  <sheetFormatPr defaultColWidth="9.140625" defaultRowHeight="14.25"/>
  <cols>
    <col min="1" max="4" width="9.140625" style="17"/>
    <col min="5" max="5" width="20.28515625" style="17" customWidth="1"/>
    <col min="6" max="12" width="15.42578125" style="17" customWidth="1"/>
    <col min="13" max="16384" width="9.140625" style="17"/>
  </cols>
  <sheetData>
    <row r="4" spans="5:12" ht="18.95" customHeight="1">
      <c r="E4" s="22" t="s">
        <v>122</v>
      </c>
      <c r="F4" s="23" t="s">
        <v>123</v>
      </c>
      <c r="G4" s="23" t="s">
        <v>124</v>
      </c>
      <c r="H4" s="23" t="s">
        <v>125</v>
      </c>
      <c r="I4" s="23" t="s">
        <v>126</v>
      </c>
      <c r="J4" s="23" t="s">
        <v>127</v>
      </c>
      <c r="K4" s="30" t="s">
        <v>128</v>
      </c>
      <c r="L4" s="30" t="s">
        <v>129</v>
      </c>
    </row>
    <row r="5" spans="5:12" ht="18.95" customHeight="1">
      <c r="E5" s="24" t="s">
        <v>119</v>
      </c>
      <c r="F5" s="25">
        <v>94.838870792020799</v>
      </c>
      <c r="G5" s="25">
        <v>95.168254420739999</v>
      </c>
      <c r="H5" s="25">
        <v>95.021893781343607</v>
      </c>
      <c r="I5" s="25">
        <v>94.834430354171005</v>
      </c>
      <c r="J5" s="25">
        <v>94.106000323543398</v>
      </c>
      <c r="K5" s="31">
        <v>94.527038478954296</v>
      </c>
      <c r="L5" s="31">
        <v>94.7019691049626</v>
      </c>
    </row>
    <row r="6" spans="5:12" ht="18.95" customHeight="1">
      <c r="E6" s="24" t="s">
        <v>34</v>
      </c>
      <c r="F6" s="25">
        <v>4.5645820355271898</v>
      </c>
      <c r="G6" s="25">
        <v>4.2344138157586801</v>
      </c>
      <c r="H6" s="25">
        <v>4.3758533595428402</v>
      </c>
      <c r="I6" s="25">
        <v>4.5666541536379297</v>
      </c>
      <c r="J6" s="25">
        <v>5.2617321607619996</v>
      </c>
      <c r="K6" s="31">
        <v>4.8620034555421503</v>
      </c>
      <c r="L6" s="31">
        <v>4.6995178453903703</v>
      </c>
    </row>
    <row r="7" spans="5:12" ht="18.95" customHeight="1">
      <c r="E7" s="24" t="s">
        <v>38</v>
      </c>
      <c r="F7" s="25">
        <v>83.665160055280197</v>
      </c>
      <c r="G7" s="25">
        <v>83.575453845237504</v>
      </c>
      <c r="H7" s="25">
        <v>83.565849279510502</v>
      </c>
      <c r="I7" s="25">
        <v>82.219585328118399</v>
      </c>
      <c r="J7" s="25">
        <v>82.194224855290997</v>
      </c>
      <c r="K7" s="31">
        <v>82.186394131302094</v>
      </c>
      <c r="L7" s="31">
        <v>82.322385187912502</v>
      </c>
    </row>
    <row r="8" spans="5:12" ht="18.95" customHeight="1">
      <c r="E8" s="24" t="s">
        <v>130</v>
      </c>
      <c r="F8" s="25">
        <v>60.7896528250511</v>
      </c>
      <c r="G8" s="25">
        <v>60.083837913367503</v>
      </c>
      <c r="H8" s="25">
        <v>60.105448154657303</v>
      </c>
      <c r="I8" s="25">
        <v>60.069686411149803</v>
      </c>
      <c r="J8" s="25">
        <v>60.033798056611701</v>
      </c>
      <c r="K8" s="31">
        <v>59.528301886792498</v>
      </c>
      <c r="L8" s="31">
        <v>59.3851132686084</v>
      </c>
    </row>
    <row r="9" spans="5:12" ht="18.95" customHeight="1">
      <c r="E9" s="26" t="s">
        <v>39</v>
      </c>
      <c r="F9" s="27">
        <v>55.545187119668697</v>
      </c>
      <c r="G9" s="27">
        <v>56.340708241394999</v>
      </c>
      <c r="H9" s="27">
        <v>56.33</v>
      </c>
      <c r="I9" s="27">
        <v>57.710728260731798</v>
      </c>
      <c r="J9" s="27">
        <v>57.771977088097202</v>
      </c>
      <c r="K9" s="32">
        <v>58.2853039819054</v>
      </c>
      <c r="L9" s="32">
        <v>58.292501543479098</v>
      </c>
    </row>
    <row r="10" spans="5:12">
      <c r="F10" s="28"/>
      <c r="G10" s="28"/>
      <c r="H10" s="28"/>
      <c r="I10" s="28"/>
      <c r="J10" s="28"/>
      <c r="K10" s="28"/>
      <c r="L10" s="28"/>
    </row>
    <row r="11" spans="5:12">
      <c r="F11" s="28"/>
      <c r="G11" s="28"/>
      <c r="H11" s="28"/>
      <c r="I11" s="28"/>
      <c r="J11" s="28"/>
      <c r="K11" s="28"/>
      <c r="L11" s="28"/>
    </row>
    <row r="12" spans="5:12">
      <c r="H12" s="29"/>
      <c r="I12" s="29"/>
      <c r="J12" s="29"/>
      <c r="K12" s="29"/>
      <c r="L12" s="29"/>
    </row>
    <row r="13" spans="5:12">
      <c r="H13" s="29"/>
      <c r="I13" s="29"/>
      <c r="J13" s="29"/>
      <c r="K13" s="29"/>
      <c r="L13" s="29"/>
    </row>
    <row r="14" spans="5:12">
      <c r="H14" s="29"/>
      <c r="I14" s="29"/>
      <c r="J14" s="29"/>
      <c r="K14" s="29"/>
      <c r="L14" s="29"/>
    </row>
    <row r="15" spans="5:12">
      <c r="H15" s="29"/>
      <c r="I15" s="29"/>
      <c r="J15" s="29"/>
      <c r="K15" s="29"/>
      <c r="L15" s="29"/>
    </row>
    <row r="16" spans="5:12">
      <c r="H16" s="29"/>
      <c r="I16" s="29"/>
      <c r="J16" s="29"/>
      <c r="K16" s="29"/>
      <c r="L16" s="29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7:XFD140"/>
  <sheetViews>
    <sheetView showGridLines="0" topLeftCell="A9" zoomScale="120" zoomScaleNormal="120" workbookViewId="0">
      <selection activeCell="F39" sqref="F39"/>
    </sheetView>
  </sheetViews>
  <sheetFormatPr defaultColWidth="9" defaultRowHeight="15"/>
  <cols>
    <col min="1" max="1" width="9.140625" style="3"/>
    <col min="2" max="2" width="15" style="3" customWidth="1"/>
    <col min="3" max="3" width="15.28515625" style="3"/>
    <col min="4" max="16055" width="9.140625" style="3"/>
    <col min="16056" max="16057" width="9" style="3"/>
    <col min="16058" max="16059" width="9.140625"/>
  </cols>
  <sheetData>
    <row r="7" spans="2:10">
      <c r="B7" s="289" t="s">
        <v>131</v>
      </c>
      <c r="C7" s="290"/>
      <c r="D7" s="291"/>
      <c r="E7" s="292" t="s">
        <v>132</v>
      </c>
      <c r="F7" s="292"/>
      <c r="G7" s="292" t="s">
        <v>133</v>
      </c>
      <c r="H7" s="292"/>
    </row>
    <row r="8" spans="2:10">
      <c r="B8" s="10" t="s">
        <v>134</v>
      </c>
      <c r="C8" s="10" t="s">
        <v>135</v>
      </c>
      <c r="D8" s="10" t="s">
        <v>13</v>
      </c>
      <c r="E8" s="10" t="s">
        <v>136</v>
      </c>
      <c r="F8" s="10" t="s">
        <v>137</v>
      </c>
      <c r="G8" s="10" t="s">
        <v>136</v>
      </c>
      <c r="H8" s="10" t="s">
        <v>137</v>
      </c>
    </row>
    <row r="9" spans="2:10">
      <c r="B9" s="11">
        <v>104</v>
      </c>
      <c r="C9" s="12">
        <v>539109</v>
      </c>
      <c r="D9" s="13">
        <f>C9/(SUM(C9:C12))*100</f>
        <v>29.805941185251527</v>
      </c>
      <c r="E9" s="287">
        <v>4.38</v>
      </c>
      <c r="F9" s="288">
        <v>2.23</v>
      </c>
      <c r="G9" s="13">
        <v>4.32</v>
      </c>
      <c r="H9" s="13">
        <v>2.02</v>
      </c>
      <c r="J9" s="19"/>
    </row>
    <row r="10" spans="2:10">
      <c r="B10" s="11">
        <v>105</v>
      </c>
      <c r="C10" s="12">
        <v>54004</v>
      </c>
      <c r="D10" s="13">
        <f>C10/(SUM(C9:C12))*100</f>
        <v>2.9857413765459744</v>
      </c>
      <c r="E10" s="287"/>
      <c r="F10" s="288"/>
      <c r="G10" s="13">
        <v>6.06</v>
      </c>
      <c r="H10" s="13">
        <v>1.73</v>
      </c>
      <c r="J10" s="19"/>
    </row>
    <row r="11" spans="2:10">
      <c r="B11" s="11">
        <v>106</v>
      </c>
      <c r="C11" s="12">
        <v>702012</v>
      </c>
      <c r="D11" s="13">
        <f>C11/(SUM(C9:C12))*100</f>
        <v>38.812426398633292</v>
      </c>
      <c r="E11" s="287"/>
      <c r="F11" s="288"/>
      <c r="G11" s="13">
        <v>4.5999999999999996</v>
      </c>
      <c r="H11" s="13">
        <v>2.17</v>
      </c>
      <c r="J11" s="19"/>
    </row>
    <row r="12" spans="2:10">
      <c r="B12" s="11">
        <v>107</v>
      </c>
      <c r="C12" s="12">
        <v>513605</v>
      </c>
      <c r="D12" s="13">
        <f>C12/(SUM(C9:C12))*100</f>
        <v>28.3958910395692</v>
      </c>
      <c r="E12" s="287"/>
      <c r="F12" s="288"/>
      <c r="G12" s="13">
        <v>3.94</v>
      </c>
      <c r="H12" s="13">
        <v>2.2000000000000002</v>
      </c>
      <c r="J12" s="19"/>
    </row>
    <row r="13" spans="2:10">
      <c r="B13" s="286" t="s">
        <v>138</v>
      </c>
      <c r="C13" s="286"/>
      <c r="D13" s="286"/>
      <c r="E13" s="14"/>
      <c r="F13" s="14"/>
      <c r="G13" s="15">
        <f>AVERAGE(G9:G12)</f>
        <v>4.7299999999999995</v>
      </c>
      <c r="H13" s="16">
        <f>AVERAGE(H9:H12)</f>
        <v>2.0300000000000002</v>
      </c>
      <c r="J13" s="19"/>
    </row>
    <row r="15" spans="2:10">
      <c r="B15" s="3" t="s">
        <v>139</v>
      </c>
    </row>
    <row r="16" spans="2:10">
      <c r="C16" s="17" t="s">
        <v>140</v>
      </c>
      <c r="D16" s="17" t="s">
        <v>136</v>
      </c>
      <c r="E16" s="17" t="s">
        <v>137</v>
      </c>
    </row>
    <row r="17" spans="1:16384">
      <c r="C17" s="18">
        <v>29.805941185251498</v>
      </c>
      <c r="D17" s="19">
        <f t="shared" ref="D17:D20" si="0">C17%*G9</f>
        <v>1.2876166592028648</v>
      </c>
      <c r="E17" s="19">
        <f t="shared" ref="E17:E20" si="1">C17%*H9</f>
        <v>0.60208001194208027</v>
      </c>
    </row>
    <row r="18" spans="1:16384">
      <c r="C18" s="18">
        <v>2.9857413765459699</v>
      </c>
      <c r="D18" s="19">
        <f t="shared" si="0"/>
        <v>0.18093592741868575</v>
      </c>
      <c r="E18" s="19">
        <f t="shared" si="1"/>
        <v>5.1653325814245275E-2</v>
      </c>
    </row>
    <row r="19" spans="1:16384">
      <c r="C19" s="18">
        <v>38.812426398633299</v>
      </c>
      <c r="D19" s="19">
        <f t="shared" si="0"/>
        <v>1.7853716143371317</v>
      </c>
      <c r="E19" s="19">
        <f t="shared" si="1"/>
        <v>0.84222965285034257</v>
      </c>
    </row>
    <row r="20" spans="1:16384">
      <c r="C20" s="18">
        <v>28.3958910395692</v>
      </c>
      <c r="D20" s="19">
        <f t="shared" si="0"/>
        <v>1.1187981069590265</v>
      </c>
      <c r="E20" s="19">
        <f t="shared" si="1"/>
        <v>0.62470960287052246</v>
      </c>
    </row>
    <row r="21" spans="1:16384" s="1" customFormat="1" ht="14.25">
      <c r="D21" s="20">
        <f>SUM(D17:D20)</f>
        <v>4.3727223079177087</v>
      </c>
      <c r="E21" s="20">
        <f>SUM(E17:E20)</f>
        <v>2.1206725934771908</v>
      </c>
    </row>
    <row r="22" spans="1:16384" s="1" customFormat="1" ht="14.25" hidden="1"/>
    <row r="23" spans="1:16384" s="2" customFormat="1" ht="14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  <c r="AMG23" s="21"/>
      <c r="AMH23" s="21"/>
      <c r="AMI23" s="21"/>
      <c r="AMJ23" s="21"/>
      <c r="AMK23" s="21"/>
      <c r="AML23" s="21"/>
      <c r="AMM23" s="21"/>
      <c r="AMN23" s="21"/>
      <c r="AMO23" s="21"/>
      <c r="AMP23" s="21"/>
      <c r="AMQ23" s="21"/>
      <c r="AMR23" s="21"/>
      <c r="AMS23" s="21"/>
      <c r="AMT23" s="21"/>
      <c r="AMU23" s="21"/>
      <c r="AMV23" s="21"/>
      <c r="AMW23" s="21"/>
      <c r="AMX23" s="21"/>
      <c r="AMY23" s="21"/>
      <c r="AMZ23" s="21"/>
      <c r="ANA23" s="21"/>
      <c r="ANB23" s="21"/>
      <c r="ANC23" s="21"/>
      <c r="AND23" s="21"/>
      <c r="ANE23" s="21"/>
      <c r="ANF23" s="21"/>
      <c r="ANG23" s="21"/>
      <c r="ANH23" s="21"/>
      <c r="ANI23" s="21"/>
      <c r="ANJ23" s="21"/>
      <c r="ANK23" s="21"/>
      <c r="ANL23" s="21"/>
      <c r="ANM23" s="21"/>
      <c r="ANN23" s="21"/>
      <c r="ANO23" s="21"/>
      <c r="ANP23" s="21"/>
      <c r="ANQ23" s="21"/>
      <c r="ANR23" s="21"/>
      <c r="ANS23" s="21"/>
      <c r="ANT23" s="21"/>
      <c r="ANU23" s="21"/>
      <c r="ANV23" s="21"/>
      <c r="ANW23" s="21"/>
      <c r="ANX23" s="21"/>
      <c r="ANY23" s="21"/>
      <c r="ANZ23" s="21"/>
      <c r="AOA23" s="21"/>
      <c r="AOB23" s="21"/>
      <c r="AOC23" s="21"/>
      <c r="AOD23" s="21"/>
      <c r="AOE23" s="21"/>
      <c r="AOF23" s="21"/>
      <c r="AOG23" s="21"/>
      <c r="AOH23" s="21"/>
      <c r="AOI23" s="21"/>
      <c r="AOJ23" s="21"/>
      <c r="AOK23" s="21"/>
      <c r="AOL23" s="21"/>
      <c r="AOM23" s="21"/>
      <c r="AON23" s="21"/>
      <c r="AOO23" s="21"/>
      <c r="AOP23" s="21"/>
      <c r="AOQ23" s="21"/>
      <c r="AOR23" s="21"/>
      <c r="AOS23" s="21"/>
      <c r="AOT23" s="21"/>
      <c r="AOU23" s="21"/>
      <c r="AOV23" s="21"/>
      <c r="AOW23" s="21"/>
      <c r="AOX23" s="21"/>
      <c r="AOY23" s="21"/>
      <c r="AOZ23" s="21"/>
      <c r="APA23" s="21"/>
      <c r="APB23" s="21"/>
      <c r="APC23" s="21"/>
      <c r="APD23" s="21"/>
      <c r="APE23" s="21"/>
      <c r="APF23" s="21"/>
      <c r="APG23" s="21"/>
      <c r="APH23" s="21"/>
      <c r="API23" s="21"/>
      <c r="APJ23" s="21"/>
      <c r="APK23" s="21"/>
      <c r="APL23" s="21"/>
      <c r="APM23" s="21"/>
      <c r="APN23" s="21"/>
      <c r="APO23" s="21"/>
      <c r="APP23" s="21"/>
      <c r="APQ23" s="21"/>
      <c r="APR23" s="21"/>
      <c r="APS23" s="21"/>
      <c r="APT23" s="21"/>
      <c r="APU23" s="21"/>
      <c r="APV23" s="21"/>
      <c r="APW23" s="21"/>
      <c r="APX23" s="21"/>
      <c r="APY23" s="21"/>
      <c r="APZ23" s="21"/>
      <c r="AQA23" s="21"/>
      <c r="AQB23" s="21"/>
      <c r="AQC23" s="21"/>
      <c r="AQD23" s="21"/>
      <c r="AQE23" s="21"/>
      <c r="AQF23" s="21"/>
      <c r="AQG23" s="21"/>
      <c r="AQH23" s="21"/>
      <c r="AQI23" s="21"/>
      <c r="AQJ23" s="21"/>
      <c r="AQK23" s="21"/>
      <c r="AQL23" s="21"/>
      <c r="AQM23" s="21"/>
      <c r="AQN23" s="21"/>
      <c r="AQO23" s="21"/>
      <c r="AQP23" s="21"/>
      <c r="AQQ23" s="21"/>
      <c r="AQR23" s="21"/>
      <c r="AQS23" s="21"/>
      <c r="AQT23" s="21"/>
      <c r="AQU23" s="21"/>
      <c r="AQV23" s="21"/>
      <c r="AQW23" s="21"/>
      <c r="AQX23" s="21"/>
      <c r="AQY23" s="21"/>
      <c r="AQZ23" s="21"/>
      <c r="ARA23" s="21"/>
      <c r="ARB23" s="21"/>
      <c r="ARC23" s="21"/>
      <c r="ARD23" s="21"/>
      <c r="ARE23" s="21"/>
      <c r="ARF23" s="21"/>
      <c r="ARG23" s="21"/>
      <c r="ARH23" s="21"/>
      <c r="ARI23" s="21"/>
      <c r="ARJ23" s="21"/>
      <c r="ARK23" s="21"/>
      <c r="ARL23" s="21"/>
      <c r="ARM23" s="21"/>
      <c r="ARN23" s="21"/>
      <c r="ARO23" s="21"/>
      <c r="ARP23" s="21"/>
      <c r="ARQ23" s="21"/>
      <c r="ARR23" s="21"/>
      <c r="ARS23" s="21"/>
      <c r="ART23" s="21"/>
      <c r="ARU23" s="21"/>
      <c r="ARV23" s="21"/>
      <c r="ARW23" s="21"/>
      <c r="ARX23" s="21"/>
      <c r="ARY23" s="21"/>
      <c r="ARZ23" s="21"/>
      <c r="ASA23" s="21"/>
      <c r="ASB23" s="21"/>
      <c r="ASC23" s="21"/>
      <c r="ASD23" s="21"/>
      <c r="ASE23" s="21"/>
      <c r="ASF23" s="21"/>
      <c r="ASG23" s="21"/>
      <c r="ASH23" s="21"/>
      <c r="ASI23" s="21"/>
      <c r="ASJ23" s="21"/>
      <c r="ASK23" s="21"/>
      <c r="ASL23" s="21"/>
      <c r="ASM23" s="21"/>
      <c r="ASN23" s="21"/>
      <c r="ASO23" s="21"/>
      <c r="ASP23" s="21"/>
      <c r="ASQ23" s="21"/>
      <c r="ASR23" s="21"/>
      <c r="ASS23" s="21"/>
      <c r="AST23" s="21"/>
      <c r="ASU23" s="21"/>
      <c r="ASV23" s="21"/>
      <c r="ASW23" s="21"/>
      <c r="ASX23" s="21"/>
      <c r="ASY23" s="21"/>
      <c r="ASZ23" s="21"/>
      <c r="ATA23" s="21"/>
      <c r="ATB23" s="21"/>
      <c r="ATC23" s="21"/>
      <c r="ATD23" s="21"/>
      <c r="ATE23" s="21"/>
      <c r="ATF23" s="21"/>
      <c r="ATG23" s="21"/>
      <c r="ATH23" s="21"/>
      <c r="ATI23" s="21"/>
      <c r="ATJ23" s="21"/>
      <c r="ATK23" s="21"/>
      <c r="ATL23" s="21"/>
      <c r="ATM23" s="21"/>
      <c r="ATN23" s="21"/>
      <c r="ATO23" s="21"/>
      <c r="ATP23" s="21"/>
      <c r="ATQ23" s="21"/>
      <c r="ATR23" s="21"/>
      <c r="ATS23" s="21"/>
      <c r="ATT23" s="21"/>
      <c r="ATU23" s="21"/>
      <c r="ATV23" s="21"/>
      <c r="ATW23" s="21"/>
      <c r="ATX23" s="21"/>
      <c r="ATY23" s="21"/>
      <c r="ATZ23" s="21"/>
      <c r="AUA23" s="21"/>
      <c r="AUB23" s="21"/>
      <c r="AUC23" s="21"/>
      <c r="AUD23" s="21"/>
      <c r="AUE23" s="21"/>
      <c r="AUF23" s="21"/>
      <c r="AUG23" s="21"/>
      <c r="AUH23" s="21"/>
      <c r="AUI23" s="21"/>
      <c r="AUJ23" s="21"/>
      <c r="AUK23" s="21"/>
      <c r="AUL23" s="21"/>
      <c r="AUM23" s="21"/>
      <c r="AUN23" s="21"/>
      <c r="AUO23" s="21"/>
      <c r="AUP23" s="21"/>
      <c r="AUQ23" s="21"/>
      <c r="AUR23" s="21"/>
      <c r="AUS23" s="21"/>
      <c r="AUT23" s="21"/>
      <c r="AUU23" s="21"/>
      <c r="AUV23" s="21"/>
      <c r="AUW23" s="21"/>
      <c r="AUX23" s="21"/>
      <c r="AUY23" s="21"/>
      <c r="AUZ23" s="21"/>
      <c r="AVA23" s="21"/>
      <c r="AVB23" s="21"/>
      <c r="AVC23" s="21"/>
      <c r="AVD23" s="21"/>
      <c r="AVE23" s="21"/>
      <c r="AVF23" s="21"/>
      <c r="AVG23" s="21"/>
      <c r="AVH23" s="21"/>
      <c r="AVI23" s="21"/>
      <c r="AVJ23" s="21"/>
      <c r="AVK23" s="21"/>
      <c r="AVL23" s="21"/>
      <c r="AVM23" s="21"/>
      <c r="AVN23" s="21"/>
      <c r="AVO23" s="21"/>
      <c r="AVP23" s="21"/>
      <c r="AVQ23" s="21"/>
      <c r="AVR23" s="21"/>
      <c r="AVS23" s="21"/>
      <c r="AVT23" s="21"/>
      <c r="AVU23" s="21"/>
      <c r="AVV23" s="21"/>
      <c r="AVW23" s="21"/>
      <c r="AVX23" s="21"/>
      <c r="AVY23" s="21"/>
      <c r="AVZ23" s="21"/>
      <c r="AWA23" s="21"/>
      <c r="AWB23" s="21"/>
      <c r="AWC23" s="21"/>
      <c r="AWD23" s="21"/>
      <c r="AWE23" s="21"/>
      <c r="AWF23" s="21"/>
      <c r="AWG23" s="21"/>
      <c r="AWH23" s="21"/>
      <c r="AWI23" s="21"/>
      <c r="AWJ23" s="21"/>
      <c r="AWK23" s="21"/>
      <c r="AWL23" s="21"/>
      <c r="AWM23" s="21"/>
      <c r="AWN23" s="21"/>
      <c r="AWO23" s="21"/>
      <c r="AWP23" s="21"/>
      <c r="AWQ23" s="21"/>
      <c r="AWR23" s="21"/>
      <c r="AWS23" s="21"/>
      <c r="AWT23" s="21"/>
      <c r="AWU23" s="21"/>
      <c r="AWV23" s="21"/>
      <c r="AWW23" s="21"/>
      <c r="AWX23" s="21"/>
      <c r="AWY23" s="21"/>
      <c r="AWZ23" s="21"/>
      <c r="AXA23" s="21"/>
      <c r="AXB23" s="21"/>
      <c r="AXC23" s="21"/>
      <c r="AXD23" s="21"/>
      <c r="AXE23" s="21"/>
      <c r="AXF23" s="21"/>
      <c r="AXG23" s="21"/>
      <c r="AXH23" s="21"/>
      <c r="AXI23" s="21"/>
      <c r="AXJ23" s="21"/>
      <c r="AXK23" s="21"/>
      <c r="AXL23" s="21"/>
      <c r="AXM23" s="21"/>
      <c r="AXN23" s="21"/>
      <c r="AXO23" s="21"/>
      <c r="AXP23" s="21"/>
      <c r="AXQ23" s="21"/>
      <c r="AXR23" s="21"/>
      <c r="AXS23" s="21"/>
      <c r="AXT23" s="21"/>
      <c r="AXU23" s="21"/>
      <c r="AXV23" s="21"/>
      <c r="AXW23" s="21"/>
      <c r="AXX23" s="21"/>
      <c r="AXY23" s="21"/>
      <c r="AXZ23" s="21"/>
      <c r="AYA23" s="21"/>
      <c r="AYB23" s="21"/>
      <c r="AYC23" s="21"/>
      <c r="AYD23" s="21"/>
      <c r="AYE23" s="21"/>
      <c r="AYF23" s="21"/>
      <c r="AYG23" s="21"/>
      <c r="AYH23" s="21"/>
      <c r="AYI23" s="21"/>
      <c r="AYJ23" s="21"/>
      <c r="AYK23" s="21"/>
      <c r="AYL23" s="21"/>
      <c r="AYM23" s="21"/>
      <c r="AYN23" s="21"/>
      <c r="AYO23" s="21"/>
      <c r="AYP23" s="21"/>
      <c r="AYQ23" s="21"/>
      <c r="AYR23" s="21"/>
      <c r="AYS23" s="21"/>
      <c r="AYT23" s="21"/>
      <c r="AYU23" s="21"/>
      <c r="AYV23" s="21"/>
      <c r="AYW23" s="21"/>
      <c r="AYX23" s="21"/>
      <c r="AYY23" s="21"/>
      <c r="AYZ23" s="21"/>
      <c r="AZA23" s="21"/>
      <c r="AZB23" s="21"/>
      <c r="AZC23" s="21"/>
      <c r="AZD23" s="21"/>
      <c r="AZE23" s="21"/>
      <c r="AZF23" s="21"/>
      <c r="AZG23" s="21"/>
      <c r="AZH23" s="21"/>
      <c r="AZI23" s="21"/>
      <c r="AZJ23" s="21"/>
      <c r="AZK23" s="21"/>
      <c r="AZL23" s="21"/>
      <c r="AZM23" s="21"/>
      <c r="AZN23" s="21"/>
      <c r="AZO23" s="21"/>
      <c r="AZP23" s="21"/>
      <c r="AZQ23" s="21"/>
      <c r="AZR23" s="21"/>
      <c r="AZS23" s="21"/>
      <c r="AZT23" s="21"/>
      <c r="AZU23" s="21"/>
      <c r="AZV23" s="21"/>
      <c r="AZW23" s="21"/>
      <c r="AZX23" s="21"/>
      <c r="AZY23" s="21"/>
      <c r="AZZ23" s="21"/>
      <c r="BAA23" s="21"/>
      <c r="BAB23" s="21"/>
      <c r="BAC23" s="21"/>
      <c r="BAD23" s="21"/>
      <c r="BAE23" s="21"/>
      <c r="BAF23" s="21"/>
      <c r="BAG23" s="21"/>
      <c r="BAH23" s="21"/>
      <c r="BAI23" s="21"/>
      <c r="BAJ23" s="21"/>
      <c r="BAK23" s="21"/>
      <c r="BAL23" s="21"/>
      <c r="BAM23" s="21"/>
      <c r="BAN23" s="21"/>
      <c r="BAO23" s="21"/>
      <c r="BAP23" s="21"/>
      <c r="BAQ23" s="21"/>
      <c r="BAR23" s="21"/>
      <c r="BAS23" s="21"/>
      <c r="BAT23" s="21"/>
      <c r="BAU23" s="21"/>
      <c r="BAV23" s="21"/>
      <c r="BAW23" s="21"/>
      <c r="BAX23" s="21"/>
      <c r="BAY23" s="21"/>
      <c r="BAZ23" s="21"/>
      <c r="BBA23" s="21"/>
      <c r="BBB23" s="21"/>
      <c r="BBC23" s="21"/>
      <c r="BBD23" s="21"/>
      <c r="BBE23" s="21"/>
      <c r="BBF23" s="21"/>
      <c r="BBG23" s="21"/>
      <c r="BBH23" s="21"/>
      <c r="BBI23" s="21"/>
      <c r="BBJ23" s="21"/>
      <c r="BBK23" s="21"/>
      <c r="BBL23" s="21"/>
      <c r="BBM23" s="21"/>
      <c r="BBN23" s="21"/>
      <c r="BBO23" s="21"/>
      <c r="BBP23" s="21"/>
      <c r="BBQ23" s="21"/>
      <c r="BBR23" s="21"/>
      <c r="BBS23" s="21"/>
      <c r="BBT23" s="21"/>
      <c r="BBU23" s="21"/>
      <c r="BBV23" s="21"/>
      <c r="BBW23" s="21"/>
      <c r="BBX23" s="21"/>
      <c r="BBY23" s="21"/>
      <c r="BBZ23" s="21"/>
      <c r="BCA23" s="21"/>
      <c r="BCB23" s="21"/>
      <c r="BCC23" s="21"/>
      <c r="BCD23" s="21"/>
      <c r="BCE23" s="21"/>
      <c r="BCF23" s="21"/>
      <c r="BCG23" s="21"/>
      <c r="BCH23" s="21"/>
      <c r="BCI23" s="21"/>
      <c r="BCJ23" s="21"/>
      <c r="BCK23" s="21"/>
      <c r="BCL23" s="21"/>
      <c r="BCM23" s="21"/>
      <c r="BCN23" s="21"/>
      <c r="BCO23" s="21"/>
      <c r="BCP23" s="21"/>
      <c r="BCQ23" s="21"/>
      <c r="BCR23" s="21"/>
      <c r="BCS23" s="21"/>
      <c r="BCT23" s="21"/>
      <c r="BCU23" s="21"/>
      <c r="BCV23" s="21"/>
      <c r="BCW23" s="21"/>
      <c r="BCX23" s="21"/>
      <c r="BCY23" s="21"/>
      <c r="BCZ23" s="21"/>
      <c r="BDA23" s="21"/>
      <c r="BDB23" s="21"/>
      <c r="BDC23" s="21"/>
      <c r="BDD23" s="21"/>
      <c r="BDE23" s="21"/>
      <c r="BDF23" s="21"/>
      <c r="BDG23" s="21"/>
      <c r="BDH23" s="21"/>
      <c r="BDI23" s="21"/>
      <c r="BDJ23" s="21"/>
      <c r="BDK23" s="21"/>
      <c r="BDL23" s="21"/>
      <c r="BDM23" s="21"/>
      <c r="BDN23" s="21"/>
      <c r="BDO23" s="21"/>
      <c r="BDP23" s="21"/>
      <c r="BDQ23" s="21"/>
      <c r="BDR23" s="21"/>
      <c r="BDS23" s="21"/>
      <c r="BDT23" s="21"/>
      <c r="BDU23" s="21"/>
      <c r="BDV23" s="21"/>
      <c r="BDW23" s="21"/>
      <c r="BDX23" s="21"/>
      <c r="BDY23" s="21"/>
      <c r="BDZ23" s="21"/>
      <c r="BEA23" s="21"/>
      <c r="BEB23" s="21"/>
      <c r="BEC23" s="21"/>
      <c r="BED23" s="21"/>
      <c r="BEE23" s="21"/>
      <c r="BEF23" s="21"/>
      <c r="BEG23" s="21"/>
      <c r="BEH23" s="21"/>
      <c r="BEI23" s="21"/>
      <c r="BEJ23" s="21"/>
      <c r="BEK23" s="21"/>
      <c r="BEL23" s="21"/>
      <c r="BEM23" s="21"/>
      <c r="BEN23" s="21"/>
      <c r="BEO23" s="21"/>
      <c r="BEP23" s="21"/>
      <c r="BEQ23" s="21"/>
      <c r="BER23" s="21"/>
      <c r="BES23" s="21"/>
      <c r="BET23" s="21"/>
      <c r="BEU23" s="21"/>
      <c r="BEV23" s="21"/>
      <c r="BEW23" s="21"/>
      <c r="BEX23" s="21"/>
      <c r="BEY23" s="21"/>
      <c r="BEZ23" s="21"/>
      <c r="BFA23" s="21"/>
      <c r="BFB23" s="21"/>
      <c r="BFC23" s="21"/>
      <c r="BFD23" s="21"/>
      <c r="BFE23" s="21"/>
      <c r="BFF23" s="21"/>
      <c r="BFG23" s="21"/>
      <c r="BFH23" s="21"/>
      <c r="BFI23" s="21"/>
      <c r="BFJ23" s="21"/>
      <c r="BFK23" s="21"/>
      <c r="BFL23" s="21"/>
      <c r="BFM23" s="21"/>
      <c r="BFN23" s="21"/>
      <c r="BFO23" s="21"/>
      <c r="BFP23" s="21"/>
      <c r="BFQ23" s="21"/>
      <c r="BFR23" s="21"/>
      <c r="BFS23" s="21"/>
      <c r="BFT23" s="21"/>
      <c r="BFU23" s="21"/>
      <c r="BFV23" s="21"/>
      <c r="BFW23" s="21"/>
      <c r="BFX23" s="21"/>
      <c r="BFY23" s="21"/>
      <c r="BFZ23" s="21"/>
      <c r="BGA23" s="21"/>
      <c r="BGB23" s="21"/>
      <c r="BGC23" s="21"/>
      <c r="BGD23" s="21"/>
      <c r="BGE23" s="21"/>
      <c r="BGF23" s="21"/>
      <c r="BGG23" s="21"/>
      <c r="BGH23" s="21"/>
      <c r="BGI23" s="21"/>
      <c r="BGJ23" s="21"/>
      <c r="BGK23" s="21"/>
      <c r="BGL23" s="21"/>
      <c r="BGM23" s="21"/>
      <c r="BGN23" s="21"/>
      <c r="BGO23" s="21"/>
      <c r="BGP23" s="21"/>
      <c r="BGQ23" s="21"/>
      <c r="BGR23" s="21"/>
      <c r="BGS23" s="21"/>
      <c r="BGT23" s="21"/>
      <c r="BGU23" s="21"/>
      <c r="BGV23" s="21"/>
      <c r="BGW23" s="21"/>
      <c r="BGX23" s="21"/>
      <c r="BGY23" s="21"/>
      <c r="BGZ23" s="21"/>
      <c r="BHA23" s="21"/>
      <c r="BHB23" s="21"/>
      <c r="BHC23" s="21"/>
      <c r="BHD23" s="21"/>
      <c r="BHE23" s="21"/>
      <c r="BHF23" s="21"/>
      <c r="BHG23" s="21"/>
      <c r="BHH23" s="21"/>
      <c r="BHI23" s="21"/>
      <c r="BHJ23" s="21"/>
      <c r="BHK23" s="21"/>
      <c r="BHL23" s="21"/>
      <c r="BHM23" s="21"/>
      <c r="BHN23" s="21"/>
      <c r="BHO23" s="21"/>
      <c r="BHP23" s="21"/>
      <c r="BHQ23" s="21"/>
      <c r="BHR23" s="21"/>
      <c r="BHS23" s="21"/>
      <c r="BHT23" s="21"/>
      <c r="BHU23" s="21"/>
      <c r="BHV23" s="21"/>
      <c r="BHW23" s="21"/>
      <c r="BHX23" s="21"/>
      <c r="BHY23" s="21"/>
      <c r="BHZ23" s="21"/>
      <c r="BIA23" s="21"/>
      <c r="BIB23" s="21"/>
      <c r="BIC23" s="21"/>
      <c r="BID23" s="21"/>
      <c r="BIE23" s="21"/>
      <c r="BIF23" s="21"/>
      <c r="BIG23" s="21"/>
      <c r="BIH23" s="21"/>
      <c r="BII23" s="21"/>
      <c r="BIJ23" s="21"/>
      <c r="BIK23" s="21"/>
      <c r="BIL23" s="21"/>
      <c r="BIM23" s="21"/>
      <c r="BIN23" s="21"/>
      <c r="BIO23" s="21"/>
      <c r="BIP23" s="21"/>
      <c r="BIQ23" s="21"/>
      <c r="BIR23" s="21"/>
      <c r="BIS23" s="21"/>
      <c r="BIT23" s="21"/>
      <c r="BIU23" s="21"/>
      <c r="BIV23" s="21"/>
      <c r="BIW23" s="21"/>
      <c r="BIX23" s="21"/>
      <c r="BIY23" s="21"/>
      <c r="BIZ23" s="21"/>
      <c r="BJA23" s="21"/>
      <c r="BJB23" s="21"/>
      <c r="BJC23" s="21"/>
      <c r="BJD23" s="21"/>
      <c r="BJE23" s="21"/>
      <c r="BJF23" s="21"/>
      <c r="BJG23" s="21"/>
      <c r="BJH23" s="21"/>
      <c r="BJI23" s="21"/>
      <c r="BJJ23" s="21"/>
      <c r="BJK23" s="21"/>
      <c r="BJL23" s="21"/>
      <c r="BJM23" s="21"/>
      <c r="BJN23" s="21"/>
      <c r="BJO23" s="21"/>
      <c r="BJP23" s="21"/>
      <c r="BJQ23" s="21"/>
      <c r="BJR23" s="21"/>
      <c r="BJS23" s="21"/>
      <c r="BJT23" s="21"/>
      <c r="BJU23" s="21"/>
      <c r="BJV23" s="21"/>
      <c r="BJW23" s="21"/>
      <c r="BJX23" s="21"/>
      <c r="BJY23" s="21"/>
      <c r="BJZ23" s="21"/>
      <c r="BKA23" s="21"/>
      <c r="BKB23" s="21"/>
      <c r="BKC23" s="21"/>
      <c r="BKD23" s="21"/>
      <c r="BKE23" s="21"/>
      <c r="BKF23" s="21"/>
      <c r="BKG23" s="21"/>
      <c r="BKH23" s="21"/>
      <c r="BKI23" s="21"/>
      <c r="BKJ23" s="21"/>
      <c r="BKK23" s="21"/>
      <c r="BKL23" s="21"/>
      <c r="BKM23" s="21"/>
      <c r="BKN23" s="21"/>
      <c r="BKO23" s="21"/>
      <c r="BKP23" s="21"/>
      <c r="BKQ23" s="21"/>
      <c r="BKR23" s="21"/>
      <c r="BKS23" s="21"/>
      <c r="BKT23" s="21"/>
      <c r="BKU23" s="21"/>
      <c r="BKV23" s="21"/>
      <c r="BKW23" s="21"/>
      <c r="BKX23" s="21"/>
      <c r="BKY23" s="21"/>
      <c r="BKZ23" s="21"/>
      <c r="BLA23" s="21"/>
      <c r="BLB23" s="21"/>
      <c r="BLC23" s="21"/>
      <c r="BLD23" s="21"/>
      <c r="BLE23" s="21"/>
      <c r="BLF23" s="21"/>
      <c r="BLG23" s="21"/>
      <c r="BLH23" s="21"/>
      <c r="BLI23" s="21"/>
      <c r="BLJ23" s="21"/>
      <c r="BLK23" s="21"/>
      <c r="BLL23" s="21"/>
      <c r="BLM23" s="21"/>
      <c r="BLN23" s="21"/>
      <c r="BLO23" s="21"/>
      <c r="BLP23" s="21"/>
      <c r="BLQ23" s="21"/>
      <c r="BLR23" s="21"/>
      <c r="BLS23" s="21"/>
      <c r="BLT23" s="21"/>
      <c r="BLU23" s="21"/>
      <c r="BLV23" s="21"/>
      <c r="BLW23" s="21"/>
      <c r="BLX23" s="21"/>
      <c r="BLY23" s="21"/>
      <c r="BLZ23" s="21"/>
      <c r="BMA23" s="21"/>
      <c r="BMB23" s="21"/>
      <c r="BMC23" s="21"/>
      <c r="BMD23" s="21"/>
      <c r="BME23" s="21"/>
      <c r="BMF23" s="21"/>
      <c r="BMG23" s="21"/>
      <c r="BMH23" s="21"/>
      <c r="BMI23" s="21"/>
      <c r="BMJ23" s="21"/>
      <c r="BMK23" s="21"/>
      <c r="BML23" s="21"/>
      <c r="BMM23" s="21"/>
      <c r="BMN23" s="21"/>
      <c r="BMO23" s="21"/>
      <c r="BMP23" s="21"/>
      <c r="BMQ23" s="21"/>
      <c r="BMR23" s="21"/>
      <c r="BMS23" s="21"/>
      <c r="BMT23" s="21"/>
      <c r="BMU23" s="21"/>
      <c r="BMV23" s="21"/>
      <c r="BMW23" s="21"/>
      <c r="BMX23" s="21"/>
      <c r="BMY23" s="21"/>
      <c r="BMZ23" s="21"/>
      <c r="BNA23" s="21"/>
      <c r="BNB23" s="21"/>
      <c r="BNC23" s="21"/>
      <c r="BND23" s="21"/>
      <c r="BNE23" s="21"/>
      <c r="BNF23" s="21"/>
      <c r="BNG23" s="21"/>
      <c r="BNH23" s="21"/>
      <c r="BNI23" s="21"/>
      <c r="BNJ23" s="21"/>
      <c r="BNK23" s="21"/>
      <c r="BNL23" s="21"/>
      <c r="BNM23" s="21"/>
      <c r="BNN23" s="21"/>
      <c r="BNO23" s="21"/>
      <c r="BNP23" s="21"/>
      <c r="BNQ23" s="21"/>
      <c r="BNR23" s="21"/>
      <c r="BNS23" s="21"/>
      <c r="BNT23" s="21"/>
      <c r="BNU23" s="21"/>
      <c r="BNV23" s="21"/>
      <c r="BNW23" s="21"/>
      <c r="BNX23" s="21"/>
      <c r="BNY23" s="21"/>
      <c r="BNZ23" s="21"/>
      <c r="BOA23" s="21"/>
      <c r="BOB23" s="21"/>
      <c r="BOC23" s="21"/>
      <c r="BOD23" s="21"/>
      <c r="BOE23" s="21"/>
      <c r="BOF23" s="21"/>
      <c r="BOG23" s="21"/>
      <c r="BOH23" s="21"/>
      <c r="BOI23" s="21"/>
      <c r="BOJ23" s="21"/>
      <c r="BOK23" s="21"/>
      <c r="BOL23" s="21"/>
      <c r="BOM23" s="21"/>
      <c r="BON23" s="21"/>
      <c r="BOO23" s="21"/>
      <c r="BOP23" s="21"/>
      <c r="BOQ23" s="21"/>
      <c r="BOR23" s="21"/>
      <c r="BOS23" s="21"/>
      <c r="BOT23" s="21"/>
      <c r="BOU23" s="21"/>
      <c r="BOV23" s="21"/>
      <c r="BOW23" s="21"/>
      <c r="BOX23" s="21"/>
      <c r="BOY23" s="21"/>
      <c r="BOZ23" s="21"/>
      <c r="BPA23" s="21"/>
      <c r="BPB23" s="21"/>
      <c r="BPC23" s="21"/>
      <c r="BPD23" s="21"/>
      <c r="BPE23" s="21"/>
      <c r="BPF23" s="21"/>
      <c r="BPG23" s="21"/>
      <c r="BPH23" s="21"/>
      <c r="BPI23" s="21"/>
      <c r="BPJ23" s="21"/>
      <c r="BPK23" s="21"/>
      <c r="BPL23" s="21"/>
      <c r="BPM23" s="21"/>
      <c r="BPN23" s="21"/>
      <c r="BPO23" s="21"/>
      <c r="BPP23" s="21"/>
      <c r="BPQ23" s="21"/>
      <c r="BPR23" s="21"/>
      <c r="BPS23" s="21"/>
      <c r="BPT23" s="21"/>
      <c r="BPU23" s="21"/>
      <c r="BPV23" s="21"/>
      <c r="BPW23" s="21"/>
      <c r="BPX23" s="21"/>
      <c r="BPY23" s="21"/>
      <c r="BPZ23" s="21"/>
      <c r="BQA23" s="21"/>
      <c r="BQB23" s="21"/>
      <c r="BQC23" s="21"/>
      <c r="BQD23" s="21"/>
      <c r="BQE23" s="21"/>
      <c r="BQF23" s="21"/>
      <c r="BQG23" s="21"/>
      <c r="BQH23" s="21"/>
      <c r="BQI23" s="21"/>
      <c r="BQJ23" s="21"/>
      <c r="BQK23" s="21"/>
      <c r="BQL23" s="21"/>
      <c r="BQM23" s="21"/>
      <c r="BQN23" s="21"/>
      <c r="BQO23" s="21"/>
      <c r="BQP23" s="21"/>
      <c r="BQQ23" s="21"/>
      <c r="BQR23" s="21"/>
      <c r="BQS23" s="21"/>
      <c r="BQT23" s="21"/>
      <c r="BQU23" s="21"/>
      <c r="BQV23" s="21"/>
      <c r="BQW23" s="21"/>
      <c r="BQX23" s="21"/>
      <c r="BQY23" s="21"/>
      <c r="BQZ23" s="21"/>
      <c r="BRA23" s="21"/>
      <c r="BRB23" s="21"/>
      <c r="BRC23" s="21"/>
      <c r="BRD23" s="21"/>
      <c r="BRE23" s="21"/>
      <c r="BRF23" s="21"/>
      <c r="BRG23" s="21"/>
      <c r="BRH23" s="21"/>
      <c r="BRI23" s="21"/>
      <c r="BRJ23" s="21"/>
      <c r="BRK23" s="21"/>
      <c r="BRL23" s="21"/>
      <c r="BRM23" s="21"/>
      <c r="BRN23" s="21"/>
      <c r="BRO23" s="21"/>
      <c r="BRP23" s="21"/>
      <c r="BRQ23" s="21"/>
      <c r="BRR23" s="21"/>
      <c r="BRS23" s="21"/>
      <c r="BRT23" s="21"/>
      <c r="BRU23" s="21"/>
      <c r="BRV23" s="21"/>
      <c r="BRW23" s="21"/>
      <c r="BRX23" s="21"/>
      <c r="BRY23" s="21"/>
      <c r="BRZ23" s="21"/>
      <c r="BSA23" s="21"/>
      <c r="BSB23" s="21"/>
      <c r="BSC23" s="21"/>
      <c r="BSD23" s="21"/>
      <c r="BSE23" s="21"/>
      <c r="BSF23" s="21"/>
      <c r="BSG23" s="21"/>
      <c r="BSH23" s="21"/>
      <c r="BSI23" s="21"/>
      <c r="BSJ23" s="21"/>
      <c r="BSK23" s="21"/>
      <c r="BSL23" s="21"/>
      <c r="BSM23" s="21"/>
      <c r="BSN23" s="21"/>
      <c r="BSO23" s="21"/>
      <c r="BSP23" s="21"/>
      <c r="BSQ23" s="21"/>
      <c r="BSR23" s="21"/>
      <c r="BSS23" s="21"/>
      <c r="BST23" s="21"/>
      <c r="BSU23" s="21"/>
      <c r="BSV23" s="21"/>
      <c r="BSW23" s="21"/>
      <c r="BSX23" s="21"/>
      <c r="BSY23" s="21"/>
      <c r="BSZ23" s="21"/>
      <c r="BTA23" s="21"/>
      <c r="BTB23" s="21"/>
      <c r="BTC23" s="21"/>
      <c r="BTD23" s="21"/>
      <c r="BTE23" s="21"/>
      <c r="BTF23" s="21"/>
      <c r="BTG23" s="21"/>
      <c r="BTH23" s="21"/>
      <c r="BTI23" s="21"/>
      <c r="BTJ23" s="21"/>
      <c r="BTK23" s="21"/>
      <c r="BTL23" s="21"/>
      <c r="BTM23" s="21"/>
      <c r="BTN23" s="21"/>
      <c r="BTO23" s="21"/>
      <c r="BTP23" s="21"/>
      <c r="BTQ23" s="21"/>
      <c r="BTR23" s="21"/>
      <c r="BTS23" s="21"/>
      <c r="BTT23" s="21"/>
      <c r="BTU23" s="21"/>
      <c r="BTV23" s="21"/>
      <c r="BTW23" s="21"/>
      <c r="BTX23" s="21"/>
      <c r="BTY23" s="21"/>
      <c r="BTZ23" s="21"/>
      <c r="BUA23" s="21"/>
      <c r="BUB23" s="21"/>
      <c r="BUC23" s="21"/>
      <c r="BUD23" s="21"/>
      <c r="BUE23" s="21"/>
      <c r="BUF23" s="21"/>
      <c r="BUG23" s="21"/>
      <c r="BUH23" s="21"/>
      <c r="BUI23" s="21"/>
      <c r="BUJ23" s="21"/>
      <c r="BUK23" s="21"/>
      <c r="BUL23" s="21"/>
      <c r="BUM23" s="21"/>
      <c r="BUN23" s="21"/>
      <c r="BUO23" s="21"/>
      <c r="BUP23" s="21"/>
      <c r="BUQ23" s="21"/>
      <c r="BUR23" s="21"/>
      <c r="BUS23" s="21"/>
      <c r="BUT23" s="21"/>
      <c r="BUU23" s="21"/>
      <c r="BUV23" s="21"/>
      <c r="BUW23" s="21"/>
      <c r="BUX23" s="21"/>
      <c r="BUY23" s="21"/>
      <c r="BUZ23" s="21"/>
      <c r="BVA23" s="21"/>
      <c r="BVB23" s="21"/>
      <c r="BVC23" s="21"/>
      <c r="BVD23" s="21"/>
      <c r="BVE23" s="21"/>
      <c r="BVF23" s="21"/>
      <c r="BVG23" s="21"/>
      <c r="BVH23" s="21"/>
      <c r="BVI23" s="21"/>
      <c r="BVJ23" s="21"/>
      <c r="BVK23" s="21"/>
      <c r="BVL23" s="21"/>
      <c r="BVM23" s="21"/>
      <c r="BVN23" s="21"/>
      <c r="BVO23" s="21"/>
      <c r="BVP23" s="21"/>
      <c r="BVQ23" s="21"/>
      <c r="BVR23" s="21"/>
      <c r="BVS23" s="21"/>
      <c r="BVT23" s="21"/>
      <c r="BVU23" s="21"/>
      <c r="BVV23" s="21"/>
      <c r="BVW23" s="21"/>
      <c r="BVX23" s="21"/>
      <c r="BVY23" s="21"/>
      <c r="BVZ23" s="21"/>
      <c r="BWA23" s="21"/>
      <c r="BWB23" s="21"/>
      <c r="BWC23" s="21"/>
      <c r="BWD23" s="21"/>
      <c r="BWE23" s="21"/>
      <c r="BWF23" s="21"/>
      <c r="BWG23" s="21"/>
      <c r="BWH23" s="21"/>
      <c r="BWI23" s="21"/>
      <c r="BWJ23" s="21"/>
      <c r="BWK23" s="21"/>
      <c r="BWL23" s="21"/>
      <c r="BWM23" s="21"/>
      <c r="BWN23" s="21"/>
      <c r="BWO23" s="21"/>
      <c r="BWP23" s="21"/>
      <c r="BWQ23" s="21"/>
      <c r="BWR23" s="21"/>
      <c r="BWS23" s="21"/>
      <c r="BWT23" s="21"/>
      <c r="BWU23" s="21"/>
      <c r="BWV23" s="21"/>
      <c r="BWW23" s="21"/>
      <c r="BWX23" s="21"/>
      <c r="BWY23" s="21"/>
      <c r="BWZ23" s="21"/>
      <c r="BXA23" s="21"/>
      <c r="BXB23" s="21"/>
      <c r="BXC23" s="21"/>
      <c r="BXD23" s="21"/>
      <c r="BXE23" s="21"/>
      <c r="BXF23" s="21"/>
      <c r="BXG23" s="21"/>
      <c r="BXH23" s="21"/>
      <c r="BXI23" s="21"/>
      <c r="BXJ23" s="21"/>
      <c r="BXK23" s="21"/>
      <c r="BXL23" s="21"/>
      <c r="BXM23" s="21"/>
      <c r="BXN23" s="21"/>
      <c r="BXO23" s="21"/>
      <c r="BXP23" s="21"/>
      <c r="BXQ23" s="21"/>
      <c r="BXR23" s="21"/>
      <c r="BXS23" s="21"/>
      <c r="BXT23" s="21"/>
      <c r="BXU23" s="21"/>
      <c r="BXV23" s="21"/>
      <c r="BXW23" s="21"/>
      <c r="BXX23" s="21"/>
      <c r="BXY23" s="21"/>
      <c r="BXZ23" s="21"/>
      <c r="BYA23" s="21"/>
      <c r="BYB23" s="21"/>
      <c r="BYC23" s="21"/>
      <c r="BYD23" s="21"/>
      <c r="BYE23" s="21"/>
      <c r="BYF23" s="21"/>
      <c r="BYG23" s="21"/>
      <c r="BYH23" s="21"/>
      <c r="BYI23" s="21"/>
      <c r="BYJ23" s="21"/>
      <c r="BYK23" s="21"/>
      <c r="BYL23" s="21"/>
      <c r="BYM23" s="21"/>
      <c r="BYN23" s="21"/>
      <c r="BYO23" s="21"/>
      <c r="BYP23" s="21"/>
      <c r="BYQ23" s="21"/>
      <c r="BYR23" s="21"/>
      <c r="BYS23" s="21"/>
      <c r="BYT23" s="21"/>
      <c r="BYU23" s="21"/>
      <c r="BYV23" s="21"/>
      <c r="BYW23" s="21"/>
      <c r="BYX23" s="21"/>
      <c r="BYY23" s="21"/>
      <c r="BYZ23" s="21"/>
      <c r="BZA23" s="21"/>
      <c r="BZB23" s="21"/>
      <c r="BZC23" s="21"/>
      <c r="BZD23" s="21"/>
      <c r="BZE23" s="21"/>
      <c r="BZF23" s="21"/>
      <c r="BZG23" s="21"/>
      <c r="BZH23" s="21"/>
      <c r="BZI23" s="21"/>
      <c r="BZJ23" s="21"/>
      <c r="BZK23" s="21"/>
      <c r="BZL23" s="21"/>
      <c r="BZM23" s="21"/>
      <c r="BZN23" s="21"/>
      <c r="BZO23" s="21"/>
      <c r="BZP23" s="21"/>
      <c r="BZQ23" s="21"/>
      <c r="BZR23" s="21"/>
      <c r="BZS23" s="21"/>
      <c r="BZT23" s="21"/>
      <c r="BZU23" s="21"/>
      <c r="BZV23" s="21"/>
      <c r="BZW23" s="21"/>
      <c r="BZX23" s="21"/>
      <c r="BZY23" s="21"/>
      <c r="BZZ23" s="21"/>
      <c r="CAA23" s="21"/>
      <c r="CAB23" s="21"/>
      <c r="CAC23" s="21"/>
      <c r="CAD23" s="21"/>
      <c r="CAE23" s="21"/>
      <c r="CAF23" s="21"/>
      <c r="CAG23" s="21"/>
      <c r="CAH23" s="21"/>
      <c r="CAI23" s="21"/>
      <c r="CAJ23" s="21"/>
      <c r="CAK23" s="21"/>
      <c r="CAL23" s="21"/>
      <c r="CAM23" s="21"/>
      <c r="CAN23" s="21"/>
      <c r="CAO23" s="21"/>
      <c r="CAP23" s="21"/>
      <c r="CAQ23" s="21"/>
      <c r="CAR23" s="21"/>
      <c r="CAS23" s="21"/>
      <c r="CAT23" s="21"/>
      <c r="CAU23" s="21"/>
      <c r="CAV23" s="21"/>
      <c r="CAW23" s="21"/>
      <c r="CAX23" s="21"/>
      <c r="CAY23" s="21"/>
      <c r="CAZ23" s="21"/>
      <c r="CBA23" s="21"/>
      <c r="CBB23" s="21"/>
      <c r="CBC23" s="21"/>
      <c r="CBD23" s="21"/>
      <c r="CBE23" s="21"/>
      <c r="CBF23" s="21"/>
      <c r="CBG23" s="21"/>
      <c r="CBH23" s="21"/>
      <c r="CBI23" s="21"/>
      <c r="CBJ23" s="21"/>
      <c r="CBK23" s="21"/>
      <c r="CBL23" s="21"/>
      <c r="CBM23" s="21"/>
      <c r="CBN23" s="21"/>
      <c r="CBO23" s="21"/>
      <c r="CBP23" s="21"/>
      <c r="CBQ23" s="21"/>
      <c r="CBR23" s="21"/>
      <c r="CBS23" s="21"/>
      <c r="CBT23" s="21"/>
      <c r="CBU23" s="21"/>
      <c r="CBV23" s="21"/>
      <c r="CBW23" s="21"/>
      <c r="CBX23" s="21"/>
      <c r="CBY23" s="21"/>
      <c r="CBZ23" s="21"/>
      <c r="CCA23" s="21"/>
      <c r="CCB23" s="21"/>
      <c r="CCC23" s="21"/>
      <c r="CCD23" s="21"/>
      <c r="CCE23" s="21"/>
      <c r="CCF23" s="21"/>
      <c r="CCG23" s="21"/>
      <c r="CCH23" s="21"/>
      <c r="CCI23" s="21"/>
      <c r="CCJ23" s="21"/>
      <c r="CCK23" s="21"/>
      <c r="CCL23" s="21"/>
      <c r="CCM23" s="21"/>
      <c r="CCN23" s="21"/>
      <c r="CCO23" s="21"/>
      <c r="CCP23" s="21"/>
      <c r="CCQ23" s="21"/>
      <c r="CCR23" s="21"/>
      <c r="CCS23" s="21"/>
      <c r="CCT23" s="21"/>
      <c r="CCU23" s="21"/>
      <c r="CCV23" s="21"/>
      <c r="CCW23" s="21"/>
      <c r="CCX23" s="21"/>
      <c r="CCY23" s="21"/>
      <c r="CCZ23" s="21"/>
      <c r="CDA23" s="21"/>
      <c r="CDB23" s="21"/>
      <c r="CDC23" s="21"/>
      <c r="CDD23" s="21"/>
      <c r="CDE23" s="21"/>
      <c r="CDF23" s="21"/>
      <c r="CDG23" s="21"/>
      <c r="CDH23" s="21"/>
      <c r="CDI23" s="21"/>
      <c r="CDJ23" s="21"/>
      <c r="CDK23" s="21"/>
      <c r="CDL23" s="21"/>
      <c r="CDM23" s="21"/>
      <c r="CDN23" s="21"/>
      <c r="CDO23" s="21"/>
      <c r="CDP23" s="21"/>
      <c r="CDQ23" s="21"/>
      <c r="CDR23" s="21"/>
      <c r="CDS23" s="21"/>
      <c r="CDT23" s="21"/>
      <c r="CDU23" s="21"/>
      <c r="CDV23" s="21"/>
      <c r="CDW23" s="21"/>
      <c r="CDX23" s="21"/>
      <c r="CDY23" s="21"/>
      <c r="CDZ23" s="21"/>
      <c r="CEA23" s="21"/>
      <c r="CEB23" s="21"/>
      <c r="CEC23" s="21"/>
      <c r="CED23" s="21"/>
      <c r="CEE23" s="21"/>
      <c r="CEF23" s="21"/>
      <c r="CEG23" s="21"/>
      <c r="CEH23" s="21"/>
      <c r="CEI23" s="21"/>
      <c r="CEJ23" s="21"/>
      <c r="CEK23" s="21"/>
      <c r="CEL23" s="21"/>
      <c r="CEM23" s="21"/>
      <c r="CEN23" s="21"/>
      <c r="CEO23" s="21"/>
      <c r="CEP23" s="21"/>
      <c r="CEQ23" s="21"/>
      <c r="CER23" s="21"/>
      <c r="CES23" s="21"/>
      <c r="CET23" s="21"/>
      <c r="CEU23" s="21"/>
      <c r="CEV23" s="21"/>
      <c r="CEW23" s="21"/>
      <c r="CEX23" s="21"/>
      <c r="CEY23" s="21"/>
      <c r="CEZ23" s="21"/>
      <c r="CFA23" s="21"/>
      <c r="CFB23" s="21"/>
      <c r="CFC23" s="21"/>
      <c r="CFD23" s="21"/>
      <c r="CFE23" s="21"/>
      <c r="CFF23" s="21"/>
      <c r="CFG23" s="21"/>
      <c r="CFH23" s="21"/>
      <c r="CFI23" s="21"/>
      <c r="CFJ23" s="21"/>
      <c r="CFK23" s="21"/>
      <c r="CFL23" s="21"/>
      <c r="CFM23" s="21"/>
      <c r="CFN23" s="21"/>
      <c r="CFO23" s="21"/>
      <c r="CFP23" s="21"/>
      <c r="CFQ23" s="21"/>
      <c r="CFR23" s="21"/>
      <c r="CFS23" s="21"/>
      <c r="CFT23" s="21"/>
      <c r="CFU23" s="21"/>
      <c r="CFV23" s="21"/>
      <c r="CFW23" s="21"/>
      <c r="CFX23" s="21"/>
      <c r="CFY23" s="21"/>
      <c r="CFZ23" s="21"/>
      <c r="CGA23" s="21"/>
      <c r="CGB23" s="21"/>
      <c r="CGC23" s="21"/>
      <c r="CGD23" s="21"/>
      <c r="CGE23" s="21"/>
      <c r="CGF23" s="21"/>
      <c r="CGG23" s="21"/>
      <c r="CGH23" s="21"/>
      <c r="CGI23" s="21"/>
      <c r="CGJ23" s="21"/>
      <c r="CGK23" s="21"/>
      <c r="CGL23" s="21"/>
      <c r="CGM23" s="21"/>
      <c r="CGN23" s="21"/>
      <c r="CGO23" s="21"/>
      <c r="CGP23" s="21"/>
      <c r="CGQ23" s="21"/>
      <c r="CGR23" s="21"/>
      <c r="CGS23" s="21"/>
      <c r="CGT23" s="21"/>
      <c r="CGU23" s="21"/>
      <c r="CGV23" s="21"/>
      <c r="CGW23" s="21"/>
      <c r="CGX23" s="21"/>
      <c r="CGY23" s="21"/>
      <c r="CGZ23" s="21"/>
      <c r="CHA23" s="21"/>
      <c r="CHB23" s="21"/>
      <c r="CHC23" s="21"/>
      <c r="CHD23" s="21"/>
      <c r="CHE23" s="21"/>
      <c r="CHF23" s="21"/>
      <c r="CHG23" s="21"/>
      <c r="CHH23" s="21"/>
      <c r="CHI23" s="21"/>
      <c r="CHJ23" s="21"/>
      <c r="CHK23" s="21"/>
      <c r="CHL23" s="21"/>
      <c r="CHM23" s="21"/>
      <c r="CHN23" s="21"/>
      <c r="CHO23" s="21"/>
      <c r="CHP23" s="21"/>
      <c r="CHQ23" s="21"/>
      <c r="CHR23" s="21"/>
      <c r="CHS23" s="21"/>
      <c r="CHT23" s="21"/>
      <c r="CHU23" s="21"/>
      <c r="CHV23" s="21"/>
      <c r="CHW23" s="21"/>
      <c r="CHX23" s="21"/>
      <c r="CHY23" s="21"/>
      <c r="CHZ23" s="21"/>
      <c r="CIA23" s="21"/>
      <c r="CIB23" s="21"/>
      <c r="CIC23" s="21"/>
      <c r="CID23" s="21"/>
      <c r="CIE23" s="21"/>
      <c r="CIF23" s="21"/>
      <c r="CIG23" s="21"/>
      <c r="CIH23" s="21"/>
      <c r="CII23" s="21"/>
      <c r="CIJ23" s="21"/>
      <c r="CIK23" s="21"/>
      <c r="CIL23" s="21"/>
      <c r="CIM23" s="21"/>
      <c r="CIN23" s="21"/>
      <c r="CIO23" s="21"/>
      <c r="CIP23" s="21"/>
      <c r="CIQ23" s="21"/>
      <c r="CIR23" s="21"/>
      <c r="CIS23" s="21"/>
      <c r="CIT23" s="21"/>
      <c r="CIU23" s="21"/>
      <c r="CIV23" s="21"/>
      <c r="CIW23" s="21"/>
      <c r="CIX23" s="21"/>
      <c r="CIY23" s="21"/>
      <c r="CIZ23" s="21"/>
      <c r="CJA23" s="21"/>
      <c r="CJB23" s="21"/>
      <c r="CJC23" s="21"/>
      <c r="CJD23" s="21"/>
      <c r="CJE23" s="21"/>
      <c r="CJF23" s="21"/>
      <c r="CJG23" s="21"/>
      <c r="CJH23" s="21"/>
      <c r="CJI23" s="21"/>
      <c r="CJJ23" s="21"/>
      <c r="CJK23" s="21"/>
      <c r="CJL23" s="21"/>
      <c r="CJM23" s="21"/>
      <c r="CJN23" s="21"/>
      <c r="CJO23" s="21"/>
      <c r="CJP23" s="21"/>
      <c r="CJQ23" s="21"/>
      <c r="CJR23" s="21"/>
      <c r="CJS23" s="21"/>
      <c r="CJT23" s="21"/>
      <c r="CJU23" s="21"/>
      <c r="CJV23" s="21"/>
      <c r="CJW23" s="21"/>
      <c r="CJX23" s="21"/>
      <c r="CJY23" s="21"/>
      <c r="CJZ23" s="21"/>
      <c r="CKA23" s="21"/>
      <c r="CKB23" s="21"/>
      <c r="CKC23" s="21"/>
      <c r="CKD23" s="21"/>
      <c r="CKE23" s="21"/>
      <c r="CKF23" s="21"/>
      <c r="CKG23" s="21"/>
      <c r="CKH23" s="21"/>
      <c r="CKI23" s="21"/>
      <c r="CKJ23" s="21"/>
      <c r="CKK23" s="21"/>
      <c r="CKL23" s="21"/>
      <c r="CKM23" s="21"/>
      <c r="CKN23" s="21"/>
      <c r="CKO23" s="21"/>
      <c r="CKP23" s="21"/>
      <c r="CKQ23" s="21"/>
      <c r="CKR23" s="21"/>
      <c r="CKS23" s="21"/>
      <c r="CKT23" s="21"/>
      <c r="CKU23" s="21"/>
      <c r="CKV23" s="21"/>
      <c r="CKW23" s="21"/>
      <c r="CKX23" s="21"/>
      <c r="CKY23" s="21"/>
      <c r="CKZ23" s="21"/>
      <c r="CLA23" s="21"/>
      <c r="CLB23" s="21"/>
      <c r="CLC23" s="21"/>
      <c r="CLD23" s="21"/>
      <c r="CLE23" s="21"/>
      <c r="CLF23" s="21"/>
      <c r="CLG23" s="21"/>
      <c r="CLH23" s="21"/>
      <c r="CLI23" s="21"/>
      <c r="CLJ23" s="21"/>
      <c r="CLK23" s="21"/>
      <c r="CLL23" s="21"/>
      <c r="CLM23" s="21"/>
      <c r="CLN23" s="21"/>
      <c r="CLO23" s="21"/>
      <c r="CLP23" s="21"/>
      <c r="CLQ23" s="21"/>
      <c r="CLR23" s="21"/>
      <c r="CLS23" s="21"/>
      <c r="CLT23" s="21"/>
      <c r="CLU23" s="21"/>
      <c r="CLV23" s="21"/>
      <c r="CLW23" s="21"/>
      <c r="CLX23" s="21"/>
      <c r="CLY23" s="21"/>
      <c r="CLZ23" s="21"/>
      <c r="CMA23" s="21"/>
      <c r="CMB23" s="21"/>
      <c r="CMC23" s="21"/>
      <c r="CMD23" s="21"/>
      <c r="CME23" s="21"/>
      <c r="CMF23" s="21"/>
      <c r="CMG23" s="21"/>
      <c r="CMH23" s="21"/>
      <c r="CMI23" s="21"/>
      <c r="CMJ23" s="21"/>
      <c r="CMK23" s="21"/>
      <c r="CML23" s="21"/>
      <c r="CMM23" s="21"/>
      <c r="CMN23" s="21"/>
      <c r="CMO23" s="21"/>
      <c r="CMP23" s="21"/>
      <c r="CMQ23" s="21"/>
      <c r="CMR23" s="21"/>
      <c r="CMS23" s="21"/>
      <c r="CMT23" s="21"/>
      <c r="CMU23" s="21"/>
      <c r="CMV23" s="21"/>
      <c r="CMW23" s="21"/>
      <c r="CMX23" s="21"/>
      <c r="CMY23" s="21"/>
      <c r="CMZ23" s="21"/>
      <c r="CNA23" s="21"/>
      <c r="CNB23" s="21"/>
      <c r="CNC23" s="21"/>
      <c r="CND23" s="21"/>
      <c r="CNE23" s="21"/>
      <c r="CNF23" s="21"/>
      <c r="CNG23" s="21"/>
      <c r="CNH23" s="21"/>
      <c r="CNI23" s="21"/>
      <c r="CNJ23" s="21"/>
      <c r="CNK23" s="21"/>
      <c r="CNL23" s="21"/>
      <c r="CNM23" s="21"/>
      <c r="CNN23" s="21"/>
      <c r="CNO23" s="21"/>
      <c r="CNP23" s="21"/>
      <c r="CNQ23" s="21"/>
      <c r="CNR23" s="21"/>
      <c r="CNS23" s="21"/>
      <c r="CNT23" s="21"/>
      <c r="CNU23" s="21"/>
      <c r="CNV23" s="21"/>
      <c r="CNW23" s="21"/>
      <c r="CNX23" s="21"/>
      <c r="CNY23" s="21"/>
      <c r="CNZ23" s="21"/>
      <c r="COA23" s="21"/>
      <c r="COB23" s="21"/>
      <c r="COC23" s="21"/>
      <c r="COD23" s="21"/>
      <c r="COE23" s="21"/>
      <c r="COF23" s="21"/>
      <c r="COG23" s="21"/>
      <c r="COH23" s="21"/>
      <c r="COI23" s="21"/>
      <c r="COJ23" s="21"/>
      <c r="COK23" s="21"/>
      <c r="COL23" s="21"/>
      <c r="COM23" s="21"/>
      <c r="CON23" s="21"/>
      <c r="COO23" s="21"/>
      <c r="COP23" s="21"/>
      <c r="COQ23" s="21"/>
      <c r="COR23" s="21"/>
      <c r="COS23" s="21"/>
      <c r="COT23" s="21"/>
      <c r="COU23" s="21"/>
      <c r="COV23" s="21"/>
      <c r="COW23" s="21"/>
      <c r="COX23" s="21"/>
      <c r="COY23" s="21"/>
      <c r="COZ23" s="21"/>
      <c r="CPA23" s="21"/>
      <c r="CPB23" s="21"/>
      <c r="CPC23" s="21"/>
      <c r="CPD23" s="21"/>
      <c r="CPE23" s="21"/>
      <c r="CPF23" s="21"/>
      <c r="CPG23" s="21"/>
      <c r="CPH23" s="21"/>
      <c r="CPI23" s="21"/>
      <c r="CPJ23" s="21"/>
      <c r="CPK23" s="21"/>
      <c r="CPL23" s="21"/>
      <c r="CPM23" s="21"/>
      <c r="CPN23" s="21"/>
      <c r="CPO23" s="21"/>
      <c r="CPP23" s="21"/>
      <c r="CPQ23" s="21"/>
      <c r="CPR23" s="21"/>
      <c r="CPS23" s="21"/>
      <c r="CPT23" s="21"/>
      <c r="CPU23" s="21"/>
      <c r="CPV23" s="21"/>
      <c r="CPW23" s="21"/>
      <c r="CPX23" s="21"/>
      <c r="CPY23" s="21"/>
      <c r="CPZ23" s="21"/>
      <c r="CQA23" s="21"/>
      <c r="CQB23" s="21"/>
      <c r="CQC23" s="21"/>
      <c r="CQD23" s="21"/>
      <c r="CQE23" s="21"/>
      <c r="CQF23" s="21"/>
      <c r="CQG23" s="21"/>
      <c r="CQH23" s="21"/>
      <c r="CQI23" s="21"/>
      <c r="CQJ23" s="21"/>
      <c r="CQK23" s="21"/>
      <c r="CQL23" s="21"/>
      <c r="CQM23" s="21"/>
      <c r="CQN23" s="21"/>
      <c r="CQO23" s="21"/>
      <c r="CQP23" s="21"/>
      <c r="CQQ23" s="21"/>
      <c r="CQR23" s="21"/>
      <c r="CQS23" s="21"/>
      <c r="CQT23" s="21"/>
      <c r="CQU23" s="21"/>
      <c r="CQV23" s="21"/>
      <c r="CQW23" s="21"/>
      <c r="CQX23" s="21"/>
      <c r="CQY23" s="21"/>
      <c r="CQZ23" s="21"/>
      <c r="CRA23" s="21"/>
      <c r="CRB23" s="21"/>
      <c r="CRC23" s="21"/>
      <c r="CRD23" s="21"/>
      <c r="CRE23" s="21"/>
      <c r="CRF23" s="21"/>
      <c r="CRG23" s="21"/>
      <c r="CRH23" s="21"/>
      <c r="CRI23" s="21"/>
      <c r="CRJ23" s="21"/>
      <c r="CRK23" s="21"/>
      <c r="CRL23" s="21"/>
      <c r="CRM23" s="21"/>
      <c r="CRN23" s="21"/>
      <c r="CRO23" s="21"/>
      <c r="CRP23" s="21"/>
      <c r="CRQ23" s="21"/>
      <c r="CRR23" s="21"/>
      <c r="CRS23" s="21"/>
      <c r="CRT23" s="21"/>
      <c r="CRU23" s="21"/>
      <c r="CRV23" s="21"/>
      <c r="CRW23" s="21"/>
      <c r="CRX23" s="21"/>
      <c r="CRY23" s="21"/>
      <c r="CRZ23" s="21"/>
      <c r="CSA23" s="21"/>
      <c r="CSB23" s="21"/>
      <c r="CSC23" s="21"/>
      <c r="CSD23" s="21"/>
      <c r="CSE23" s="21"/>
      <c r="CSF23" s="21"/>
      <c r="CSG23" s="21"/>
      <c r="CSH23" s="21"/>
      <c r="CSI23" s="21"/>
      <c r="CSJ23" s="21"/>
      <c r="CSK23" s="21"/>
      <c r="CSL23" s="21"/>
      <c r="CSM23" s="21"/>
      <c r="CSN23" s="21"/>
      <c r="CSO23" s="21"/>
      <c r="CSP23" s="21"/>
      <c r="CSQ23" s="21"/>
      <c r="CSR23" s="21"/>
      <c r="CSS23" s="21"/>
      <c r="CST23" s="21"/>
      <c r="CSU23" s="21"/>
      <c r="CSV23" s="21"/>
      <c r="CSW23" s="21"/>
      <c r="CSX23" s="21"/>
      <c r="CSY23" s="21"/>
      <c r="CSZ23" s="21"/>
      <c r="CTA23" s="21"/>
      <c r="CTB23" s="21"/>
      <c r="CTC23" s="21"/>
      <c r="CTD23" s="21"/>
      <c r="CTE23" s="21"/>
      <c r="CTF23" s="21"/>
      <c r="CTG23" s="21"/>
      <c r="CTH23" s="21"/>
      <c r="CTI23" s="21"/>
      <c r="CTJ23" s="21"/>
      <c r="CTK23" s="21"/>
      <c r="CTL23" s="21"/>
      <c r="CTM23" s="21"/>
      <c r="CTN23" s="21"/>
      <c r="CTO23" s="21"/>
      <c r="CTP23" s="21"/>
      <c r="CTQ23" s="21"/>
      <c r="CTR23" s="21"/>
      <c r="CTS23" s="21"/>
      <c r="CTT23" s="21"/>
      <c r="CTU23" s="21"/>
      <c r="CTV23" s="21"/>
      <c r="CTW23" s="21"/>
      <c r="CTX23" s="21"/>
      <c r="CTY23" s="21"/>
      <c r="CTZ23" s="21"/>
      <c r="CUA23" s="21"/>
      <c r="CUB23" s="21"/>
      <c r="CUC23" s="21"/>
      <c r="CUD23" s="21"/>
      <c r="CUE23" s="21"/>
      <c r="CUF23" s="21"/>
      <c r="CUG23" s="21"/>
      <c r="CUH23" s="21"/>
      <c r="CUI23" s="21"/>
      <c r="CUJ23" s="21"/>
      <c r="CUK23" s="21"/>
      <c r="CUL23" s="21"/>
      <c r="CUM23" s="21"/>
      <c r="CUN23" s="21"/>
      <c r="CUO23" s="21"/>
      <c r="CUP23" s="21"/>
      <c r="CUQ23" s="21"/>
      <c r="CUR23" s="21"/>
      <c r="CUS23" s="21"/>
      <c r="CUT23" s="21"/>
      <c r="CUU23" s="21"/>
      <c r="CUV23" s="21"/>
      <c r="CUW23" s="21"/>
      <c r="CUX23" s="21"/>
      <c r="CUY23" s="21"/>
      <c r="CUZ23" s="21"/>
      <c r="CVA23" s="21"/>
      <c r="CVB23" s="21"/>
      <c r="CVC23" s="21"/>
      <c r="CVD23" s="21"/>
      <c r="CVE23" s="21"/>
      <c r="CVF23" s="21"/>
      <c r="CVG23" s="21"/>
      <c r="CVH23" s="21"/>
      <c r="CVI23" s="21"/>
      <c r="CVJ23" s="21"/>
      <c r="CVK23" s="21"/>
      <c r="CVL23" s="21"/>
      <c r="CVM23" s="21"/>
      <c r="CVN23" s="21"/>
      <c r="CVO23" s="21"/>
      <c r="CVP23" s="21"/>
      <c r="CVQ23" s="21"/>
      <c r="CVR23" s="21"/>
      <c r="CVS23" s="21"/>
      <c r="CVT23" s="21"/>
      <c r="CVU23" s="21"/>
      <c r="CVV23" s="21"/>
      <c r="CVW23" s="21"/>
      <c r="CVX23" s="21"/>
      <c r="CVY23" s="21"/>
      <c r="CVZ23" s="21"/>
      <c r="CWA23" s="21"/>
      <c r="CWB23" s="21"/>
      <c r="CWC23" s="21"/>
      <c r="CWD23" s="21"/>
      <c r="CWE23" s="21"/>
      <c r="CWF23" s="21"/>
      <c r="CWG23" s="21"/>
      <c r="CWH23" s="21"/>
      <c r="CWI23" s="21"/>
      <c r="CWJ23" s="21"/>
      <c r="CWK23" s="21"/>
      <c r="CWL23" s="21"/>
      <c r="CWM23" s="21"/>
      <c r="CWN23" s="21"/>
      <c r="CWO23" s="21"/>
      <c r="CWP23" s="21"/>
      <c r="CWQ23" s="21"/>
      <c r="CWR23" s="21"/>
      <c r="CWS23" s="21"/>
      <c r="CWT23" s="21"/>
      <c r="CWU23" s="21"/>
      <c r="CWV23" s="21"/>
      <c r="CWW23" s="21"/>
      <c r="CWX23" s="21"/>
      <c r="CWY23" s="21"/>
      <c r="CWZ23" s="21"/>
      <c r="CXA23" s="21"/>
      <c r="CXB23" s="21"/>
      <c r="CXC23" s="21"/>
      <c r="CXD23" s="21"/>
      <c r="CXE23" s="21"/>
      <c r="CXF23" s="21"/>
      <c r="CXG23" s="21"/>
      <c r="CXH23" s="21"/>
      <c r="CXI23" s="21"/>
      <c r="CXJ23" s="21"/>
      <c r="CXK23" s="21"/>
      <c r="CXL23" s="21"/>
      <c r="CXM23" s="21"/>
      <c r="CXN23" s="21"/>
      <c r="CXO23" s="21"/>
      <c r="CXP23" s="21"/>
      <c r="CXQ23" s="21"/>
      <c r="CXR23" s="21"/>
      <c r="CXS23" s="21"/>
      <c r="CXT23" s="21"/>
      <c r="CXU23" s="21"/>
      <c r="CXV23" s="21"/>
      <c r="CXW23" s="21"/>
      <c r="CXX23" s="21"/>
      <c r="CXY23" s="21"/>
      <c r="CXZ23" s="21"/>
      <c r="CYA23" s="21"/>
      <c r="CYB23" s="21"/>
      <c r="CYC23" s="21"/>
      <c r="CYD23" s="21"/>
      <c r="CYE23" s="21"/>
      <c r="CYF23" s="21"/>
      <c r="CYG23" s="21"/>
      <c r="CYH23" s="21"/>
      <c r="CYI23" s="21"/>
      <c r="CYJ23" s="21"/>
      <c r="CYK23" s="21"/>
      <c r="CYL23" s="21"/>
      <c r="CYM23" s="21"/>
      <c r="CYN23" s="21"/>
      <c r="CYO23" s="21"/>
      <c r="CYP23" s="21"/>
      <c r="CYQ23" s="21"/>
      <c r="CYR23" s="21"/>
      <c r="CYS23" s="21"/>
      <c r="CYT23" s="21"/>
      <c r="CYU23" s="21"/>
      <c r="CYV23" s="21"/>
      <c r="CYW23" s="21"/>
      <c r="CYX23" s="21"/>
      <c r="CYY23" s="21"/>
      <c r="CYZ23" s="21"/>
      <c r="CZA23" s="21"/>
      <c r="CZB23" s="21"/>
      <c r="CZC23" s="21"/>
      <c r="CZD23" s="21"/>
      <c r="CZE23" s="21"/>
      <c r="CZF23" s="21"/>
      <c r="CZG23" s="21"/>
      <c r="CZH23" s="21"/>
      <c r="CZI23" s="21"/>
      <c r="CZJ23" s="21"/>
      <c r="CZK23" s="21"/>
      <c r="CZL23" s="21"/>
      <c r="CZM23" s="21"/>
      <c r="CZN23" s="21"/>
      <c r="CZO23" s="21"/>
      <c r="CZP23" s="21"/>
      <c r="CZQ23" s="21"/>
      <c r="CZR23" s="21"/>
      <c r="CZS23" s="21"/>
      <c r="CZT23" s="21"/>
      <c r="CZU23" s="21"/>
      <c r="CZV23" s="21"/>
      <c r="CZW23" s="21"/>
      <c r="CZX23" s="21"/>
      <c r="CZY23" s="21"/>
      <c r="CZZ23" s="21"/>
      <c r="DAA23" s="21"/>
      <c r="DAB23" s="21"/>
      <c r="DAC23" s="21"/>
      <c r="DAD23" s="21"/>
      <c r="DAE23" s="21"/>
      <c r="DAF23" s="21"/>
      <c r="DAG23" s="21"/>
      <c r="DAH23" s="21"/>
      <c r="DAI23" s="21"/>
      <c r="DAJ23" s="21"/>
      <c r="DAK23" s="21"/>
      <c r="DAL23" s="21"/>
      <c r="DAM23" s="21"/>
      <c r="DAN23" s="21"/>
      <c r="DAO23" s="21"/>
      <c r="DAP23" s="21"/>
      <c r="DAQ23" s="21"/>
      <c r="DAR23" s="21"/>
      <c r="DAS23" s="21"/>
      <c r="DAT23" s="21"/>
      <c r="DAU23" s="21"/>
      <c r="DAV23" s="21"/>
      <c r="DAW23" s="21"/>
      <c r="DAX23" s="21"/>
      <c r="DAY23" s="21"/>
      <c r="DAZ23" s="21"/>
      <c r="DBA23" s="21"/>
      <c r="DBB23" s="21"/>
      <c r="DBC23" s="21"/>
      <c r="DBD23" s="21"/>
      <c r="DBE23" s="21"/>
      <c r="DBF23" s="21"/>
      <c r="DBG23" s="21"/>
      <c r="DBH23" s="21"/>
      <c r="DBI23" s="21"/>
      <c r="DBJ23" s="21"/>
      <c r="DBK23" s="21"/>
      <c r="DBL23" s="21"/>
      <c r="DBM23" s="21"/>
      <c r="DBN23" s="21"/>
      <c r="DBO23" s="21"/>
      <c r="DBP23" s="21"/>
      <c r="DBQ23" s="21"/>
      <c r="DBR23" s="21"/>
      <c r="DBS23" s="21"/>
      <c r="DBT23" s="21"/>
      <c r="DBU23" s="21"/>
      <c r="DBV23" s="21"/>
      <c r="DBW23" s="21"/>
      <c r="DBX23" s="21"/>
      <c r="DBY23" s="21"/>
      <c r="DBZ23" s="21"/>
      <c r="DCA23" s="21"/>
      <c r="DCB23" s="21"/>
      <c r="DCC23" s="21"/>
      <c r="DCD23" s="21"/>
      <c r="DCE23" s="21"/>
      <c r="DCF23" s="21"/>
      <c r="DCG23" s="21"/>
      <c r="DCH23" s="21"/>
      <c r="DCI23" s="21"/>
      <c r="DCJ23" s="21"/>
      <c r="DCK23" s="21"/>
      <c r="DCL23" s="21"/>
      <c r="DCM23" s="21"/>
      <c r="DCN23" s="21"/>
      <c r="DCO23" s="21"/>
      <c r="DCP23" s="21"/>
      <c r="DCQ23" s="21"/>
      <c r="DCR23" s="21"/>
      <c r="DCS23" s="21"/>
      <c r="DCT23" s="21"/>
      <c r="DCU23" s="21"/>
      <c r="DCV23" s="21"/>
      <c r="DCW23" s="21"/>
      <c r="DCX23" s="21"/>
      <c r="DCY23" s="21"/>
      <c r="DCZ23" s="21"/>
      <c r="DDA23" s="21"/>
      <c r="DDB23" s="21"/>
      <c r="DDC23" s="21"/>
      <c r="DDD23" s="21"/>
      <c r="DDE23" s="21"/>
      <c r="DDF23" s="21"/>
      <c r="DDG23" s="21"/>
      <c r="DDH23" s="21"/>
      <c r="DDI23" s="21"/>
      <c r="DDJ23" s="21"/>
      <c r="DDK23" s="21"/>
      <c r="DDL23" s="21"/>
      <c r="DDM23" s="21"/>
      <c r="DDN23" s="21"/>
      <c r="DDO23" s="21"/>
      <c r="DDP23" s="21"/>
      <c r="DDQ23" s="21"/>
      <c r="DDR23" s="21"/>
      <c r="DDS23" s="21"/>
      <c r="DDT23" s="21"/>
      <c r="DDU23" s="21"/>
      <c r="DDV23" s="21"/>
      <c r="DDW23" s="21"/>
      <c r="DDX23" s="21"/>
      <c r="DDY23" s="21"/>
      <c r="DDZ23" s="21"/>
      <c r="DEA23" s="21"/>
      <c r="DEB23" s="21"/>
      <c r="DEC23" s="21"/>
      <c r="DED23" s="21"/>
      <c r="DEE23" s="21"/>
      <c r="DEF23" s="21"/>
      <c r="DEG23" s="21"/>
      <c r="DEH23" s="21"/>
      <c r="DEI23" s="21"/>
      <c r="DEJ23" s="21"/>
      <c r="DEK23" s="21"/>
      <c r="DEL23" s="21"/>
      <c r="DEM23" s="21"/>
      <c r="DEN23" s="21"/>
      <c r="DEO23" s="21"/>
      <c r="DEP23" s="21"/>
      <c r="DEQ23" s="21"/>
      <c r="DER23" s="21"/>
      <c r="DES23" s="21"/>
      <c r="DET23" s="21"/>
      <c r="DEU23" s="21"/>
      <c r="DEV23" s="21"/>
      <c r="DEW23" s="21"/>
      <c r="DEX23" s="21"/>
      <c r="DEY23" s="21"/>
      <c r="DEZ23" s="21"/>
      <c r="DFA23" s="21"/>
      <c r="DFB23" s="21"/>
      <c r="DFC23" s="21"/>
      <c r="DFD23" s="21"/>
      <c r="DFE23" s="21"/>
      <c r="DFF23" s="21"/>
      <c r="DFG23" s="21"/>
      <c r="DFH23" s="21"/>
      <c r="DFI23" s="21"/>
      <c r="DFJ23" s="21"/>
      <c r="DFK23" s="21"/>
      <c r="DFL23" s="21"/>
      <c r="DFM23" s="21"/>
      <c r="DFN23" s="21"/>
      <c r="DFO23" s="21"/>
      <c r="DFP23" s="21"/>
      <c r="DFQ23" s="21"/>
      <c r="DFR23" s="21"/>
      <c r="DFS23" s="21"/>
      <c r="DFT23" s="21"/>
      <c r="DFU23" s="21"/>
      <c r="DFV23" s="21"/>
      <c r="DFW23" s="21"/>
      <c r="DFX23" s="21"/>
      <c r="DFY23" s="21"/>
      <c r="DFZ23" s="21"/>
      <c r="DGA23" s="21"/>
      <c r="DGB23" s="21"/>
      <c r="DGC23" s="21"/>
      <c r="DGD23" s="21"/>
      <c r="DGE23" s="21"/>
      <c r="DGF23" s="21"/>
      <c r="DGG23" s="21"/>
      <c r="DGH23" s="21"/>
      <c r="DGI23" s="21"/>
      <c r="DGJ23" s="21"/>
      <c r="DGK23" s="21"/>
      <c r="DGL23" s="21"/>
      <c r="DGM23" s="21"/>
      <c r="DGN23" s="21"/>
      <c r="DGO23" s="21"/>
      <c r="DGP23" s="21"/>
      <c r="DGQ23" s="21"/>
      <c r="DGR23" s="21"/>
      <c r="DGS23" s="21"/>
      <c r="DGT23" s="21"/>
      <c r="DGU23" s="21"/>
      <c r="DGV23" s="21"/>
      <c r="DGW23" s="21"/>
      <c r="DGX23" s="21"/>
      <c r="DGY23" s="21"/>
      <c r="DGZ23" s="21"/>
      <c r="DHA23" s="21"/>
      <c r="DHB23" s="21"/>
      <c r="DHC23" s="21"/>
      <c r="DHD23" s="21"/>
      <c r="DHE23" s="21"/>
      <c r="DHF23" s="21"/>
      <c r="DHG23" s="21"/>
      <c r="DHH23" s="21"/>
      <c r="DHI23" s="21"/>
      <c r="DHJ23" s="21"/>
      <c r="DHK23" s="21"/>
      <c r="DHL23" s="21"/>
      <c r="DHM23" s="21"/>
      <c r="DHN23" s="21"/>
      <c r="DHO23" s="21"/>
      <c r="DHP23" s="21"/>
      <c r="DHQ23" s="21"/>
      <c r="DHR23" s="21"/>
      <c r="DHS23" s="21"/>
      <c r="DHT23" s="21"/>
      <c r="DHU23" s="21"/>
      <c r="DHV23" s="21"/>
      <c r="DHW23" s="21"/>
      <c r="DHX23" s="21"/>
      <c r="DHY23" s="21"/>
      <c r="DHZ23" s="21"/>
      <c r="DIA23" s="21"/>
      <c r="DIB23" s="21"/>
      <c r="DIC23" s="21"/>
      <c r="DID23" s="21"/>
      <c r="DIE23" s="21"/>
      <c r="DIF23" s="21"/>
      <c r="DIG23" s="21"/>
      <c r="DIH23" s="21"/>
      <c r="DII23" s="21"/>
      <c r="DIJ23" s="21"/>
      <c r="DIK23" s="21"/>
      <c r="DIL23" s="21"/>
      <c r="DIM23" s="21"/>
      <c r="DIN23" s="21"/>
      <c r="DIO23" s="21"/>
      <c r="DIP23" s="21"/>
      <c r="DIQ23" s="21"/>
      <c r="DIR23" s="21"/>
      <c r="DIS23" s="21"/>
      <c r="DIT23" s="21"/>
      <c r="DIU23" s="21"/>
      <c r="DIV23" s="21"/>
      <c r="DIW23" s="21"/>
      <c r="DIX23" s="21"/>
      <c r="DIY23" s="21"/>
      <c r="DIZ23" s="21"/>
      <c r="DJA23" s="21"/>
      <c r="DJB23" s="21"/>
      <c r="DJC23" s="21"/>
      <c r="DJD23" s="21"/>
      <c r="DJE23" s="21"/>
      <c r="DJF23" s="21"/>
      <c r="DJG23" s="21"/>
      <c r="DJH23" s="21"/>
      <c r="DJI23" s="21"/>
      <c r="DJJ23" s="21"/>
      <c r="DJK23" s="21"/>
      <c r="DJL23" s="21"/>
      <c r="DJM23" s="21"/>
      <c r="DJN23" s="21"/>
      <c r="DJO23" s="21"/>
      <c r="DJP23" s="21"/>
      <c r="DJQ23" s="21"/>
      <c r="DJR23" s="21"/>
      <c r="DJS23" s="21"/>
      <c r="DJT23" s="21"/>
      <c r="DJU23" s="21"/>
      <c r="DJV23" s="21"/>
      <c r="DJW23" s="21"/>
      <c r="DJX23" s="21"/>
      <c r="DJY23" s="21"/>
      <c r="DJZ23" s="21"/>
      <c r="DKA23" s="21"/>
      <c r="DKB23" s="21"/>
      <c r="DKC23" s="21"/>
      <c r="DKD23" s="21"/>
      <c r="DKE23" s="21"/>
      <c r="DKF23" s="21"/>
      <c r="DKG23" s="21"/>
      <c r="DKH23" s="21"/>
      <c r="DKI23" s="21"/>
      <c r="DKJ23" s="21"/>
      <c r="DKK23" s="21"/>
      <c r="DKL23" s="21"/>
      <c r="DKM23" s="21"/>
      <c r="DKN23" s="21"/>
      <c r="DKO23" s="21"/>
      <c r="DKP23" s="21"/>
      <c r="DKQ23" s="21"/>
      <c r="DKR23" s="21"/>
      <c r="DKS23" s="21"/>
      <c r="DKT23" s="21"/>
      <c r="DKU23" s="21"/>
      <c r="DKV23" s="21"/>
      <c r="DKW23" s="21"/>
      <c r="DKX23" s="21"/>
      <c r="DKY23" s="21"/>
      <c r="DKZ23" s="21"/>
      <c r="DLA23" s="21"/>
      <c r="DLB23" s="21"/>
      <c r="DLC23" s="21"/>
      <c r="DLD23" s="21"/>
      <c r="DLE23" s="21"/>
      <c r="DLF23" s="21"/>
      <c r="DLG23" s="21"/>
      <c r="DLH23" s="21"/>
      <c r="DLI23" s="21"/>
      <c r="DLJ23" s="21"/>
      <c r="DLK23" s="21"/>
      <c r="DLL23" s="21"/>
      <c r="DLM23" s="21"/>
      <c r="DLN23" s="21"/>
      <c r="DLO23" s="21"/>
      <c r="DLP23" s="21"/>
      <c r="DLQ23" s="21"/>
      <c r="DLR23" s="21"/>
      <c r="DLS23" s="21"/>
      <c r="DLT23" s="21"/>
      <c r="DLU23" s="21"/>
      <c r="DLV23" s="21"/>
      <c r="DLW23" s="21"/>
      <c r="DLX23" s="21"/>
      <c r="DLY23" s="21"/>
      <c r="DLZ23" s="21"/>
      <c r="DMA23" s="21"/>
      <c r="DMB23" s="21"/>
      <c r="DMC23" s="21"/>
      <c r="DMD23" s="21"/>
      <c r="DME23" s="21"/>
      <c r="DMF23" s="21"/>
      <c r="DMG23" s="21"/>
      <c r="DMH23" s="21"/>
      <c r="DMI23" s="21"/>
      <c r="DMJ23" s="21"/>
      <c r="DMK23" s="21"/>
      <c r="DML23" s="21"/>
      <c r="DMM23" s="21"/>
      <c r="DMN23" s="21"/>
      <c r="DMO23" s="21"/>
      <c r="DMP23" s="21"/>
      <c r="DMQ23" s="21"/>
      <c r="DMR23" s="21"/>
      <c r="DMS23" s="21"/>
      <c r="DMT23" s="21"/>
      <c r="DMU23" s="21"/>
      <c r="DMV23" s="21"/>
      <c r="DMW23" s="21"/>
      <c r="DMX23" s="21"/>
      <c r="DMY23" s="21"/>
      <c r="DMZ23" s="21"/>
      <c r="DNA23" s="21"/>
      <c r="DNB23" s="21"/>
      <c r="DNC23" s="21"/>
      <c r="DND23" s="21"/>
      <c r="DNE23" s="21"/>
      <c r="DNF23" s="21"/>
      <c r="DNG23" s="21"/>
      <c r="DNH23" s="21"/>
      <c r="DNI23" s="21"/>
      <c r="DNJ23" s="21"/>
      <c r="DNK23" s="21"/>
      <c r="DNL23" s="21"/>
      <c r="DNM23" s="21"/>
      <c r="DNN23" s="21"/>
      <c r="DNO23" s="21"/>
      <c r="DNP23" s="21"/>
      <c r="DNQ23" s="21"/>
      <c r="DNR23" s="21"/>
      <c r="DNS23" s="21"/>
      <c r="DNT23" s="21"/>
      <c r="DNU23" s="21"/>
      <c r="DNV23" s="21"/>
      <c r="DNW23" s="21"/>
      <c r="DNX23" s="21"/>
      <c r="DNY23" s="21"/>
      <c r="DNZ23" s="21"/>
      <c r="DOA23" s="21"/>
      <c r="DOB23" s="21"/>
      <c r="DOC23" s="21"/>
      <c r="DOD23" s="21"/>
      <c r="DOE23" s="21"/>
      <c r="DOF23" s="21"/>
      <c r="DOG23" s="21"/>
      <c r="DOH23" s="21"/>
      <c r="DOI23" s="21"/>
      <c r="DOJ23" s="21"/>
      <c r="DOK23" s="21"/>
      <c r="DOL23" s="21"/>
      <c r="DOM23" s="21"/>
      <c r="DON23" s="21"/>
      <c r="DOO23" s="21"/>
      <c r="DOP23" s="21"/>
      <c r="DOQ23" s="21"/>
      <c r="DOR23" s="21"/>
      <c r="DOS23" s="21"/>
      <c r="DOT23" s="21"/>
      <c r="DOU23" s="21"/>
      <c r="DOV23" s="21"/>
      <c r="DOW23" s="21"/>
      <c r="DOX23" s="21"/>
      <c r="DOY23" s="21"/>
      <c r="DOZ23" s="21"/>
      <c r="DPA23" s="21"/>
      <c r="DPB23" s="21"/>
      <c r="DPC23" s="21"/>
      <c r="DPD23" s="21"/>
      <c r="DPE23" s="21"/>
      <c r="DPF23" s="21"/>
      <c r="DPG23" s="21"/>
      <c r="DPH23" s="21"/>
      <c r="DPI23" s="21"/>
      <c r="DPJ23" s="21"/>
      <c r="DPK23" s="21"/>
      <c r="DPL23" s="21"/>
      <c r="DPM23" s="21"/>
      <c r="DPN23" s="21"/>
      <c r="DPO23" s="21"/>
      <c r="DPP23" s="21"/>
      <c r="DPQ23" s="21"/>
      <c r="DPR23" s="21"/>
      <c r="DPS23" s="21"/>
      <c r="DPT23" s="21"/>
      <c r="DPU23" s="21"/>
      <c r="DPV23" s="21"/>
      <c r="DPW23" s="21"/>
      <c r="DPX23" s="21"/>
      <c r="DPY23" s="21"/>
      <c r="DPZ23" s="21"/>
      <c r="DQA23" s="21"/>
      <c r="DQB23" s="21"/>
      <c r="DQC23" s="21"/>
      <c r="DQD23" s="21"/>
      <c r="DQE23" s="21"/>
      <c r="DQF23" s="21"/>
      <c r="DQG23" s="21"/>
      <c r="DQH23" s="21"/>
      <c r="DQI23" s="21"/>
      <c r="DQJ23" s="21"/>
      <c r="DQK23" s="21"/>
      <c r="DQL23" s="21"/>
      <c r="DQM23" s="21"/>
      <c r="DQN23" s="21"/>
      <c r="DQO23" s="21"/>
      <c r="DQP23" s="21"/>
      <c r="DQQ23" s="21"/>
      <c r="DQR23" s="21"/>
      <c r="DQS23" s="21"/>
      <c r="DQT23" s="21"/>
      <c r="DQU23" s="21"/>
      <c r="DQV23" s="21"/>
      <c r="DQW23" s="21"/>
      <c r="DQX23" s="21"/>
      <c r="DQY23" s="21"/>
      <c r="DQZ23" s="21"/>
      <c r="DRA23" s="21"/>
      <c r="DRB23" s="21"/>
      <c r="DRC23" s="21"/>
      <c r="DRD23" s="21"/>
      <c r="DRE23" s="21"/>
      <c r="DRF23" s="21"/>
      <c r="DRG23" s="21"/>
      <c r="DRH23" s="21"/>
      <c r="DRI23" s="21"/>
      <c r="DRJ23" s="21"/>
      <c r="DRK23" s="21"/>
      <c r="DRL23" s="21"/>
      <c r="DRM23" s="21"/>
      <c r="DRN23" s="21"/>
      <c r="DRO23" s="21"/>
      <c r="DRP23" s="21"/>
      <c r="DRQ23" s="21"/>
      <c r="DRR23" s="21"/>
      <c r="DRS23" s="21"/>
      <c r="DRT23" s="21"/>
      <c r="DRU23" s="21"/>
      <c r="DRV23" s="21"/>
      <c r="DRW23" s="21"/>
      <c r="DRX23" s="21"/>
      <c r="DRY23" s="21"/>
      <c r="DRZ23" s="21"/>
      <c r="DSA23" s="21"/>
      <c r="DSB23" s="21"/>
      <c r="DSC23" s="21"/>
      <c r="DSD23" s="21"/>
      <c r="DSE23" s="21"/>
      <c r="DSF23" s="21"/>
      <c r="DSG23" s="21"/>
      <c r="DSH23" s="21"/>
      <c r="DSI23" s="21"/>
      <c r="DSJ23" s="21"/>
      <c r="DSK23" s="21"/>
      <c r="DSL23" s="21"/>
      <c r="DSM23" s="21"/>
      <c r="DSN23" s="21"/>
      <c r="DSO23" s="21"/>
      <c r="DSP23" s="21"/>
      <c r="DSQ23" s="21"/>
      <c r="DSR23" s="21"/>
      <c r="DSS23" s="21"/>
      <c r="DST23" s="21"/>
      <c r="DSU23" s="21"/>
      <c r="DSV23" s="21"/>
      <c r="DSW23" s="21"/>
      <c r="DSX23" s="21"/>
      <c r="DSY23" s="21"/>
      <c r="DSZ23" s="21"/>
      <c r="DTA23" s="21"/>
      <c r="DTB23" s="21"/>
      <c r="DTC23" s="21"/>
      <c r="DTD23" s="21"/>
      <c r="DTE23" s="21"/>
      <c r="DTF23" s="21"/>
      <c r="DTG23" s="21"/>
      <c r="DTH23" s="21"/>
      <c r="DTI23" s="21"/>
      <c r="DTJ23" s="21"/>
      <c r="DTK23" s="21"/>
      <c r="DTL23" s="21"/>
      <c r="DTM23" s="21"/>
      <c r="DTN23" s="21"/>
      <c r="DTO23" s="21"/>
      <c r="DTP23" s="21"/>
      <c r="DTQ23" s="21"/>
      <c r="DTR23" s="21"/>
      <c r="DTS23" s="21"/>
      <c r="DTT23" s="21"/>
      <c r="DTU23" s="21"/>
      <c r="DTV23" s="21"/>
      <c r="DTW23" s="21"/>
      <c r="DTX23" s="21"/>
      <c r="DTY23" s="21"/>
      <c r="DTZ23" s="21"/>
      <c r="DUA23" s="21"/>
      <c r="DUB23" s="21"/>
      <c r="DUC23" s="21"/>
      <c r="DUD23" s="21"/>
      <c r="DUE23" s="21"/>
      <c r="DUF23" s="21"/>
      <c r="DUG23" s="21"/>
      <c r="DUH23" s="21"/>
      <c r="DUI23" s="21"/>
      <c r="DUJ23" s="21"/>
      <c r="DUK23" s="21"/>
      <c r="DUL23" s="21"/>
      <c r="DUM23" s="21"/>
      <c r="DUN23" s="21"/>
      <c r="DUO23" s="21"/>
      <c r="DUP23" s="21"/>
      <c r="DUQ23" s="21"/>
      <c r="DUR23" s="21"/>
      <c r="DUS23" s="21"/>
      <c r="DUT23" s="21"/>
      <c r="DUU23" s="21"/>
      <c r="DUV23" s="21"/>
      <c r="DUW23" s="21"/>
      <c r="DUX23" s="21"/>
      <c r="DUY23" s="21"/>
      <c r="DUZ23" s="21"/>
      <c r="DVA23" s="21"/>
      <c r="DVB23" s="21"/>
      <c r="DVC23" s="21"/>
      <c r="DVD23" s="21"/>
      <c r="DVE23" s="21"/>
      <c r="DVF23" s="21"/>
      <c r="DVG23" s="21"/>
      <c r="DVH23" s="21"/>
      <c r="DVI23" s="21"/>
      <c r="DVJ23" s="21"/>
      <c r="DVK23" s="21"/>
      <c r="DVL23" s="21"/>
      <c r="DVM23" s="21"/>
      <c r="DVN23" s="21"/>
      <c r="DVO23" s="21"/>
      <c r="DVP23" s="21"/>
      <c r="DVQ23" s="21"/>
      <c r="DVR23" s="21"/>
      <c r="DVS23" s="21"/>
      <c r="DVT23" s="21"/>
      <c r="DVU23" s="21"/>
      <c r="DVV23" s="21"/>
      <c r="DVW23" s="21"/>
      <c r="DVX23" s="21"/>
      <c r="DVY23" s="21"/>
      <c r="DVZ23" s="21"/>
      <c r="DWA23" s="21"/>
      <c r="DWB23" s="21"/>
      <c r="DWC23" s="21"/>
      <c r="DWD23" s="21"/>
      <c r="DWE23" s="21"/>
      <c r="DWF23" s="21"/>
      <c r="DWG23" s="21"/>
      <c r="DWH23" s="21"/>
      <c r="DWI23" s="21"/>
      <c r="DWJ23" s="21"/>
      <c r="DWK23" s="21"/>
      <c r="DWL23" s="21"/>
      <c r="DWM23" s="21"/>
      <c r="DWN23" s="21"/>
      <c r="DWO23" s="21"/>
      <c r="DWP23" s="21"/>
      <c r="DWQ23" s="21"/>
      <c r="DWR23" s="21"/>
      <c r="DWS23" s="21"/>
      <c r="DWT23" s="21"/>
      <c r="DWU23" s="21"/>
      <c r="DWV23" s="21"/>
      <c r="DWW23" s="21"/>
      <c r="DWX23" s="21"/>
      <c r="DWY23" s="21"/>
      <c r="DWZ23" s="21"/>
      <c r="DXA23" s="21"/>
      <c r="DXB23" s="21"/>
      <c r="DXC23" s="21"/>
      <c r="DXD23" s="21"/>
      <c r="DXE23" s="21"/>
      <c r="DXF23" s="21"/>
      <c r="DXG23" s="21"/>
      <c r="DXH23" s="21"/>
      <c r="DXI23" s="21"/>
      <c r="DXJ23" s="21"/>
      <c r="DXK23" s="21"/>
      <c r="DXL23" s="21"/>
      <c r="DXM23" s="21"/>
      <c r="DXN23" s="21"/>
      <c r="DXO23" s="21"/>
      <c r="DXP23" s="21"/>
      <c r="DXQ23" s="21"/>
      <c r="DXR23" s="21"/>
      <c r="DXS23" s="21"/>
      <c r="DXT23" s="21"/>
      <c r="DXU23" s="21"/>
      <c r="DXV23" s="21"/>
      <c r="DXW23" s="21"/>
      <c r="DXX23" s="21"/>
      <c r="DXY23" s="21"/>
      <c r="DXZ23" s="21"/>
      <c r="DYA23" s="21"/>
      <c r="DYB23" s="21"/>
      <c r="DYC23" s="21"/>
      <c r="DYD23" s="21"/>
      <c r="DYE23" s="21"/>
      <c r="DYF23" s="21"/>
      <c r="DYG23" s="21"/>
      <c r="DYH23" s="21"/>
      <c r="DYI23" s="21"/>
      <c r="DYJ23" s="21"/>
      <c r="DYK23" s="21"/>
      <c r="DYL23" s="21"/>
      <c r="DYM23" s="21"/>
      <c r="DYN23" s="21"/>
      <c r="DYO23" s="21"/>
      <c r="DYP23" s="21"/>
      <c r="DYQ23" s="21"/>
      <c r="DYR23" s="21"/>
      <c r="DYS23" s="21"/>
      <c r="DYT23" s="21"/>
      <c r="DYU23" s="21"/>
      <c r="DYV23" s="21"/>
      <c r="DYW23" s="21"/>
      <c r="DYX23" s="21"/>
      <c r="DYY23" s="21"/>
      <c r="DYZ23" s="21"/>
      <c r="DZA23" s="21"/>
      <c r="DZB23" s="21"/>
      <c r="DZC23" s="21"/>
      <c r="DZD23" s="21"/>
      <c r="DZE23" s="21"/>
      <c r="DZF23" s="21"/>
      <c r="DZG23" s="21"/>
      <c r="DZH23" s="21"/>
      <c r="DZI23" s="21"/>
      <c r="DZJ23" s="21"/>
      <c r="DZK23" s="21"/>
      <c r="DZL23" s="21"/>
      <c r="DZM23" s="21"/>
      <c r="DZN23" s="21"/>
      <c r="DZO23" s="21"/>
      <c r="DZP23" s="21"/>
      <c r="DZQ23" s="21"/>
      <c r="DZR23" s="21"/>
      <c r="DZS23" s="21"/>
      <c r="DZT23" s="21"/>
      <c r="DZU23" s="21"/>
      <c r="DZV23" s="21"/>
      <c r="DZW23" s="21"/>
      <c r="DZX23" s="21"/>
      <c r="DZY23" s="21"/>
      <c r="DZZ23" s="21"/>
      <c r="EAA23" s="21"/>
      <c r="EAB23" s="21"/>
      <c r="EAC23" s="21"/>
      <c r="EAD23" s="21"/>
      <c r="EAE23" s="21"/>
      <c r="EAF23" s="21"/>
      <c r="EAG23" s="21"/>
      <c r="EAH23" s="21"/>
      <c r="EAI23" s="21"/>
      <c r="EAJ23" s="21"/>
      <c r="EAK23" s="21"/>
      <c r="EAL23" s="21"/>
      <c r="EAM23" s="21"/>
      <c r="EAN23" s="21"/>
      <c r="EAO23" s="21"/>
      <c r="EAP23" s="21"/>
      <c r="EAQ23" s="21"/>
      <c r="EAR23" s="21"/>
      <c r="EAS23" s="21"/>
      <c r="EAT23" s="21"/>
      <c r="EAU23" s="21"/>
      <c r="EAV23" s="21"/>
      <c r="EAW23" s="21"/>
      <c r="EAX23" s="21"/>
      <c r="EAY23" s="21"/>
      <c r="EAZ23" s="21"/>
      <c r="EBA23" s="21"/>
      <c r="EBB23" s="21"/>
      <c r="EBC23" s="21"/>
      <c r="EBD23" s="21"/>
      <c r="EBE23" s="21"/>
      <c r="EBF23" s="21"/>
      <c r="EBG23" s="21"/>
      <c r="EBH23" s="21"/>
      <c r="EBI23" s="21"/>
      <c r="EBJ23" s="21"/>
      <c r="EBK23" s="21"/>
      <c r="EBL23" s="21"/>
      <c r="EBM23" s="21"/>
      <c r="EBN23" s="21"/>
      <c r="EBO23" s="21"/>
      <c r="EBP23" s="21"/>
      <c r="EBQ23" s="21"/>
      <c r="EBR23" s="21"/>
      <c r="EBS23" s="21"/>
      <c r="EBT23" s="21"/>
      <c r="EBU23" s="21"/>
      <c r="EBV23" s="21"/>
      <c r="EBW23" s="21"/>
      <c r="EBX23" s="21"/>
      <c r="EBY23" s="21"/>
      <c r="EBZ23" s="21"/>
      <c r="ECA23" s="21"/>
      <c r="ECB23" s="21"/>
      <c r="ECC23" s="21"/>
      <c r="ECD23" s="21"/>
      <c r="ECE23" s="21"/>
      <c r="ECF23" s="21"/>
      <c r="ECG23" s="21"/>
      <c r="ECH23" s="21"/>
      <c r="ECI23" s="21"/>
      <c r="ECJ23" s="21"/>
      <c r="ECK23" s="21"/>
      <c r="ECL23" s="21"/>
      <c r="ECM23" s="21"/>
      <c r="ECN23" s="21"/>
      <c r="ECO23" s="21"/>
      <c r="ECP23" s="21"/>
      <c r="ECQ23" s="21"/>
      <c r="ECR23" s="21"/>
      <c r="ECS23" s="21"/>
      <c r="ECT23" s="21"/>
      <c r="ECU23" s="21"/>
      <c r="ECV23" s="21"/>
      <c r="ECW23" s="21"/>
      <c r="ECX23" s="21"/>
      <c r="ECY23" s="21"/>
      <c r="ECZ23" s="21"/>
      <c r="EDA23" s="21"/>
      <c r="EDB23" s="21"/>
      <c r="EDC23" s="21"/>
      <c r="EDD23" s="21"/>
      <c r="EDE23" s="21"/>
      <c r="EDF23" s="21"/>
      <c r="EDG23" s="21"/>
      <c r="EDH23" s="21"/>
      <c r="EDI23" s="21"/>
      <c r="EDJ23" s="21"/>
      <c r="EDK23" s="21"/>
      <c r="EDL23" s="21"/>
      <c r="EDM23" s="21"/>
      <c r="EDN23" s="21"/>
      <c r="EDO23" s="21"/>
      <c r="EDP23" s="21"/>
      <c r="EDQ23" s="21"/>
      <c r="EDR23" s="21"/>
      <c r="EDS23" s="21"/>
      <c r="EDT23" s="21"/>
      <c r="EDU23" s="21"/>
      <c r="EDV23" s="21"/>
      <c r="EDW23" s="21"/>
      <c r="EDX23" s="21"/>
      <c r="EDY23" s="21"/>
      <c r="EDZ23" s="21"/>
      <c r="EEA23" s="21"/>
      <c r="EEB23" s="21"/>
      <c r="EEC23" s="21"/>
      <c r="EED23" s="21"/>
      <c r="EEE23" s="21"/>
      <c r="EEF23" s="21"/>
      <c r="EEG23" s="21"/>
      <c r="EEH23" s="21"/>
      <c r="EEI23" s="21"/>
      <c r="EEJ23" s="21"/>
      <c r="EEK23" s="21"/>
      <c r="EEL23" s="21"/>
      <c r="EEM23" s="21"/>
      <c r="EEN23" s="21"/>
      <c r="EEO23" s="21"/>
      <c r="EEP23" s="21"/>
      <c r="EEQ23" s="21"/>
      <c r="EER23" s="21"/>
      <c r="EES23" s="21"/>
      <c r="EET23" s="21"/>
      <c r="EEU23" s="21"/>
      <c r="EEV23" s="21"/>
      <c r="EEW23" s="21"/>
      <c r="EEX23" s="21"/>
      <c r="EEY23" s="21"/>
      <c r="EEZ23" s="21"/>
      <c r="EFA23" s="21"/>
      <c r="EFB23" s="21"/>
      <c r="EFC23" s="21"/>
      <c r="EFD23" s="21"/>
      <c r="EFE23" s="21"/>
      <c r="EFF23" s="21"/>
      <c r="EFG23" s="21"/>
      <c r="EFH23" s="21"/>
      <c r="EFI23" s="21"/>
      <c r="EFJ23" s="21"/>
      <c r="EFK23" s="21"/>
      <c r="EFL23" s="21"/>
      <c r="EFM23" s="21"/>
      <c r="EFN23" s="21"/>
      <c r="EFO23" s="21"/>
      <c r="EFP23" s="21"/>
      <c r="EFQ23" s="21"/>
      <c r="EFR23" s="21"/>
      <c r="EFS23" s="21"/>
      <c r="EFT23" s="21"/>
      <c r="EFU23" s="21"/>
      <c r="EFV23" s="21"/>
      <c r="EFW23" s="21"/>
      <c r="EFX23" s="21"/>
      <c r="EFY23" s="21"/>
      <c r="EFZ23" s="21"/>
      <c r="EGA23" s="21"/>
      <c r="EGB23" s="21"/>
      <c r="EGC23" s="21"/>
      <c r="EGD23" s="21"/>
      <c r="EGE23" s="21"/>
      <c r="EGF23" s="21"/>
      <c r="EGG23" s="21"/>
      <c r="EGH23" s="21"/>
      <c r="EGI23" s="21"/>
      <c r="EGJ23" s="21"/>
      <c r="EGK23" s="21"/>
      <c r="EGL23" s="21"/>
      <c r="EGM23" s="21"/>
      <c r="EGN23" s="21"/>
      <c r="EGO23" s="21"/>
      <c r="EGP23" s="21"/>
      <c r="EGQ23" s="21"/>
      <c r="EGR23" s="21"/>
      <c r="EGS23" s="21"/>
      <c r="EGT23" s="21"/>
      <c r="EGU23" s="21"/>
      <c r="EGV23" s="21"/>
      <c r="EGW23" s="21"/>
      <c r="EGX23" s="21"/>
      <c r="EGY23" s="21"/>
      <c r="EGZ23" s="21"/>
      <c r="EHA23" s="21"/>
      <c r="EHB23" s="21"/>
      <c r="EHC23" s="21"/>
      <c r="EHD23" s="21"/>
      <c r="EHE23" s="21"/>
      <c r="EHF23" s="21"/>
      <c r="EHG23" s="21"/>
      <c r="EHH23" s="21"/>
      <c r="EHI23" s="21"/>
      <c r="EHJ23" s="21"/>
      <c r="EHK23" s="21"/>
      <c r="EHL23" s="21"/>
      <c r="EHM23" s="21"/>
      <c r="EHN23" s="21"/>
      <c r="EHO23" s="21"/>
      <c r="EHP23" s="21"/>
      <c r="EHQ23" s="21"/>
      <c r="EHR23" s="21"/>
      <c r="EHS23" s="21"/>
      <c r="EHT23" s="21"/>
      <c r="EHU23" s="21"/>
      <c r="EHV23" s="21"/>
      <c r="EHW23" s="21"/>
      <c r="EHX23" s="21"/>
      <c r="EHY23" s="21"/>
      <c r="EHZ23" s="21"/>
      <c r="EIA23" s="21"/>
      <c r="EIB23" s="21"/>
      <c r="EIC23" s="21"/>
      <c r="EID23" s="21"/>
      <c r="EIE23" s="21"/>
      <c r="EIF23" s="21"/>
      <c r="EIG23" s="21"/>
      <c r="EIH23" s="21"/>
      <c r="EII23" s="21"/>
      <c r="EIJ23" s="21"/>
      <c r="EIK23" s="21"/>
      <c r="EIL23" s="21"/>
      <c r="EIM23" s="21"/>
      <c r="EIN23" s="21"/>
      <c r="EIO23" s="21"/>
      <c r="EIP23" s="21"/>
      <c r="EIQ23" s="21"/>
      <c r="EIR23" s="21"/>
      <c r="EIS23" s="21"/>
      <c r="EIT23" s="21"/>
      <c r="EIU23" s="21"/>
      <c r="EIV23" s="21"/>
      <c r="EIW23" s="21"/>
      <c r="EIX23" s="21"/>
      <c r="EIY23" s="21"/>
      <c r="EIZ23" s="21"/>
      <c r="EJA23" s="21"/>
      <c r="EJB23" s="21"/>
      <c r="EJC23" s="21"/>
      <c r="EJD23" s="21"/>
      <c r="EJE23" s="21"/>
      <c r="EJF23" s="21"/>
      <c r="EJG23" s="21"/>
      <c r="EJH23" s="21"/>
      <c r="EJI23" s="21"/>
      <c r="EJJ23" s="21"/>
      <c r="EJK23" s="21"/>
      <c r="EJL23" s="21"/>
      <c r="EJM23" s="21"/>
      <c r="EJN23" s="21"/>
      <c r="EJO23" s="21"/>
      <c r="EJP23" s="21"/>
      <c r="EJQ23" s="21"/>
      <c r="EJR23" s="21"/>
      <c r="EJS23" s="21"/>
      <c r="EJT23" s="21"/>
      <c r="EJU23" s="21"/>
      <c r="EJV23" s="21"/>
      <c r="EJW23" s="21"/>
      <c r="EJX23" s="21"/>
      <c r="EJY23" s="21"/>
      <c r="EJZ23" s="21"/>
      <c r="EKA23" s="21"/>
      <c r="EKB23" s="21"/>
      <c r="EKC23" s="21"/>
      <c r="EKD23" s="21"/>
      <c r="EKE23" s="21"/>
      <c r="EKF23" s="21"/>
      <c r="EKG23" s="21"/>
      <c r="EKH23" s="21"/>
      <c r="EKI23" s="21"/>
      <c r="EKJ23" s="21"/>
      <c r="EKK23" s="21"/>
      <c r="EKL23" s="21"/>
      <c r="EKM23" s="21"/>
      <c r="EKN23" s="21"/>
      <c r="EKO23" s="21"/>
      <c r="EKP23" s="21"/>
      <c r="EKQ23" s="21"/>
      <c r="EKR23" s="21"/>
      <c r="EKS23" s="21"/>
      <c r="EKT23" s="21"/>
      <c r="EKU23" s="21"/>
      <c r="EKV23" s="21"/>
      <c r="EKW23" s="21"/>
      <c r="EKX23" s="21"/>
      <c r="EKY23" s="21"/>
      <c r="EKZ23" s="21"/>
      <c r="ELA23" s="21"/>
      <c r="ELB23" s="21"/>
      <c r="ELC23" s="21"/>
      <c r="ELD23" s="21"/>
      <c r="ELE23" s="21"/>
      <c r="ELF23" s="21"/>
      <c r="ELG23" s="21"/>
      <c r="ELH23" s="21"/>
      <c r="ELI23" s="21"/>
      <c r="ELJ23" s="21"/>
      <c r="ELK23" s="21"/>
      <c r="ELL23" s="21"/>
      <c r="ELM23" s="21"/>
      <c r="ELN23" s="21"/>
      <c r="ELO23" s="21"/>
      <c r="ELP23" s="21"/>
      <c r="ELQ23" s="21"/>
      <c r="ELR23" s="21"/>
      <c r="ELS23" s="21"/>
      <c r="ELT23" s="21"/>
      <c r="ELU23" s="21"/>
      <c r="ELV23" s="21"/>
      <c r="ELW23" s="21"/>
      <c r="ELX23" s="21"/>
      <c r="ELY23" s="21"/>
      <c r="ELZ23" s="21"/>
      <c r="EMA23" s="21"/>
      <c r="EMB23" s="21"/>
      <c r="EMC23" s="21"/>
      <c r="EMD23" s="21"/>
      <c r="EME23" s="21"/>
      <c r="EMF23" s="21"/>
      <c r="EMG23" s="21"/>
      <c r="EMH23" s="21"/>
      <c r="EMI23" s="21"/>
      <c r="EMJ23" s="21"/>
      <c r="EMK23" s="21"/>
      <c r="EML23" s="21"/>
      <c r="EMM23" s="21"/>
      <c r="EMN23" s="21"/>
      <c r="EMO23" s="21"/>
      <c r="EMP23" s="21"/>
      <c r="EMQ23" s="21"/>
      <c r="EMR23" s="21"/>
      <c r="EMS23" s="21"/>
      <c r="EMT23" s="21"/>
      <c r="EMU23" s="21"/>
      <c r="EMV23" s="21"/>
      <c r="EMW23" s="21"/>
      <c r="EMX23" s="21"/>
      <c r="EMY23" s="21"/>
      <c r="EMZ23" s="21"/>
      <c r="ENA23" s="21"/>
      <c r="ENB23" s="21"/>
      <c r="ENC23" s="21"/>
      <c r="END23" s="21"/>
      <c r="ENE23" s="21"/>
      <c r="ENF23" s="21"/>
      <c r="ENG23" s="21"/>
      <c r="ENH23" s="21"/>
      <c r="ENI23" s="21"/>
      <c r="ENJ23" s="21"/>
      <c r="ENK23" s="21"/>
      <c r="ENL23" s="21"/>
      <c r="ENM23" s="21"/>
      <c r="ENN23" s="21"/>
      <c r="ENO23" s="21"/>
      <c r="ENP23" s="21"/>
      <c r="ENQ23" s="21"/>
      <c r="ENR23" s="21"/>
      <c r="ENS23" s="21"/>
      <c r="ENT23" s="21"/>
      <c r="ENU23" s="21"/>
      <c r="ENV23" s="21"/>
      <c r="ENW23" s="21"/>
      <c r="ENX23" s="21"/>
      <c r="ENY23" s="21"/>
      <c r="ENZ23" s="21"/>
      <c r="EOA23" s="21"/>
      <c r="EOB23" s="21"/>
      <c r="EOC23" s="21"/>
      <c r="EOD23" s="21"/>
      <c r="EOE23" s="21"/>
      <c r="EOF23" s="21"/>
      <c r="EOG23" s="21"/>
      <c r="EOH23" s="21"/>
      <c r="EOI23" s="21"/>
      <c r="EOJ23" s="21"/>
      <c r="EOK23" s="21"/>
      <c r="EOL23" s="21"/>
      <c r="EOM23" s="21"/>
      <c r="EON23" s="21"/>
      <c r="EOO23" s="21"/>
      <c r="EOP23" s="21"/>
      <c r="EOQ23" s="21"/>
      <c r="EOR23" s="21"/>
      <c r="EOS23" s="21"/>
      <c r="EOT23" s="21"/>
      <c r="EOU23" s="21"/>
      <c r="EOV23" s="21"/>
      <c r="EOW23" s="21"/>
      <c r="EOX23" s="21"/>
      <c r="EOY23" s="21"/>
      <c r="EOZ23" s="21"/>
      <c r="EPA23" s="21"/>
      <c r="EPB23" s="21"/>
      <c r="EPC23" s="21"/>
      <c r="EPD23" s="21"/>
      <c r="EPE23" s="21"/>
      <c r="EPF23" s="21"/>
      <c r="EPG23" s="21"/>
      <c r="EPH23" s="21"/>
      <c r="EPI23" s="21"/>
      <c r="EPJ23" s="21"/>
      <c r="EPK23" s="21"/>
      <c r="EPL23" s="21"/>
      <c r="EPM23" s="21"/>
      <c r="EPN23" s="21"/>
      <c r="EPO23" s="21"/>
      <c r="EPP23" s="21"/>
      <c r="EPQ23" s="21"/>
      <c r="EPR23" s="21"/>
      <c r="EPS23" s="21"/>
      <c r="EPT23" s="21"/>
      <c r="EPU23" s="21"/>
      <c r="EPV23" s="21"/>
      <c r="EPW23" s="21"/>
      <c r="EPX23" s="21"/>
      <c r="EPY23" s="21"/>
      <c r="EPZ23" s="21"/>
      <c r="EQA23" s="21"/>
      <c r="EQB23" s="21"/>
      <c r="EQC23" s="21"/>
      <c r="EQD23" s="21"/>
      <c r="EQE23" s="21"/>
      <c r="EQF23" s="21"/>
      <c r="EQG23" s="21"/>
      <c r="EQH23" s="21"/>
      <c r="EQI23" s="21"/>
      <c r="EQJ23" s="21"/>
      <c r="EQK23" s="21"/>
      <c r="EQL23" s="21"/>
      <c r="EQM23" s="21"/>
      <c r="EQN23" s="21"/>
      <c r="EQO23" s="21"/>
      <c r="EQP23" s="21"/>
      <c r="EQQ23" s="21"/>
      <c r="EQR23" s="21"/>
      <c r="EQS23" s="21"/>
      <c r="EQT23" s="21"/>
      <c r="EQU23" s="21"/>
      <c r="EQV23" s="21"/>
      <c r="EQW23" s="21"/>
      <c r="EQX23" s="21"/>
      <c r="EQY23" s="21"/>
      <c r="EQZ23" s="21"/>
      <c r="ERA23" s="21"/>
      <c r="ERB23" s="21"/>
      <c r="ERC23" s="21"/>
      <c r="ERD23" s="21"/>
      <c r="ERE23" s="21"/>
      <c r="ERF23" s="21"/>
      <c r="ERG23" s="21"/>
      <c r="ERH23" s="21"/>
      <c r="ERI23" s="21"/>
      <c r="ERJ23" s="21"/>
      <c r="ERK23" s="21"/>
      <c r="ERL23" s="21"/>
      <c r="ERM23" s="21"/>
      <c r="ERN23" s="21"/>
      <c r="ERO23" s="21"/>
      <c r="ERP23" s="21"/>
      <c r="ERQ23" s="21"/>
      <c r="ERR23" s="21"/>
      <c r="ERS23" s="21"/>
      <c r="ERT23" s="21"/>
      <c r="ERU23" s="21"/>
      <c r="ERV23" s="21"/>
      <c r="ERW23" s="21"/>
      <c r="ERX23" s="21"/>
      <c r="ERY23" s="21"/>
      <c r="ERZ23" s="21"/>
      <c r="ESA23" s="21"/>
      <c r="ESB23" s="21"/>
      <c r="ESC23" s="21"/>
      <c r="ESD23" s="21"/>
      <c r="ESE23" s="21"/>
      <c r="ESF23" s="21"/>
      <c r="ESG23" s="21"/>
      <c r="ESH23" s="21"/>
      <c r="ESI23" s="21"/>
      <c r="ESJ23" s="21"/>
      <c r="ESK23" s="21"/>
      <c r="ESL23" s="21"/>
      <c r="ESM23" s="21"/>
      <c r="ESN23" s="21"/>
      <c r="ESO23" s="21"/>
      <c r="ESP23" s="21"/>
      <c r="ESQ23" s="21"/>
      <c r="ESR23" s="21"/>
      <c r="ESS23" s="21"/>
      <c r="EST23" s="21"/>
      <c r="ESU23" s="21"/>
      <c r="ESV23" s="21"/>
      <c r="ESW23" s="21"/>
      <c r="ESX23" s="21"/>
      <c r="ESY23" s="21"/>
      <c r="ESZ23" s="21"/>
      <c r="ETA23" s="21"/>
      <c r="ETB23" s="21"/>
      <c r="ETC23" s="21"/>
      <c r="ETD23" s="21"/>
      <c r="ETE23" s="21"/>
      <c r="ETF23" s="21"/>
      <c r="ETG23" s="21"/>
      <c r="ETH23" s="21"/>
      <c r="ETI23" s="21"/>
      <c r="ETJ23" s="21"/>
      <c r="ETK23" s="21"/>
      <c r="ETL23" s="21"/>
      <c r="ETM23" s="21"/>
      <c r="ETN23" s="21"/>
      <c r="ETO23" s="21"/>
      <c r="ETP23" s="21"/>
      <c r="ETQ23" s="21"/>
      <c r="ETR23" s="21"/>
      <c r="ETS23" s="21"/>
      <c r="ETT23" s="21"/>
      <c r="ETU23" s="21"/>
      <c r="ETV23" s="21"/>
      <c r="ETW23" s="21"/>
      <c r="ETX23" s="21"/>
      <c r="ETY23" s="21"/>
      <c r="ETZ23" s="21"/>
      <c r="EUA23" s="21"/>
      <c r="EUB23" s="21"/>
      <c r="EUC23" s="21"/>
      <c r="EUD23" s="21"/>
      <c r="EUE23" s="21"/>
      <c r="EUF23" s="21"/>
      <c r="EUG23" s="21"/>
      <c r="EUH23" s="21"/>
      <c r="EUI23" s="21"/>
      <c r="EUJ23" s="21"/>
      <c r="EUK23" s="21"/>
      <c r="EUL23" s="21"/>
      <c r="EUM23" s="21"/>
      <c r="EUN23" s="21"/>
      <c r="EUO23" s="21"/>
      <c r="EUP23" s="21"/>
      <c r="EUQ23" s="21"/>
      <c r="EUR23" s="21"/>
      <c r="EUS23" s="21"/>
      <c r="EUT23" s="21"/>
      <c r="EUU23" s="21"/>
      <c r="EUV23" s="21"/>
      <c r="EUW23" s="21"/>
      <c r="EUX23" s="21"/>
      <c r="EUY23" s="21"/>
      <c r="EUZ23" s="21"/>
      <c r="EVA23" s="21"/>
      <c r="EVB23" s="21"/>
      <c r="EVC23" s="21"/>
      <c r="EVD23" s="21"/>
      <c r="EVE23" s="21"/>
      <c r="EVF23" s="21"/>
      <c r="EVG23" s="21"/>
      <c r="EVH23" s="21"/>
      <c r="EVI23" s="21"/>
      <c r="EVJ23" s="21"/>
      <c r="EVK23" s="21"/>
      <c r="EVL23" s="21"/>
      <c r="EVM23" s="21"/>
      <c r="EVN23" s="21"/>
      <c r="EVO23" s="21"/>
      <c r="EVP23" s="21"/>
      <c r="EVQ23" s="21"/>
      <c r="EVR23" s="21"/>
      <c r="EVS23" s="21"/>
      <c r="EVT23" s="21"/>
      <c r="EVU23" s="21"/>
      <c r="EVV23" s="21"/>
      <c r="EVW23" s="21"/>
      <c r="EVX23" s="21"/>
      <c r="EVY23" s="21"/>
      <c r="EVZ23" s="21"/>
      <c r="EWA23" s="21"/>
      <c r="EWB23" s="21"/>
      <c r="EWC23" s="21"/>
      <c r="EWD23" s="21"/>
      <c r="EWE23" s="21"/>
      <c r="EWF23" s="21"/>
      <c r="EWG23" s="21"/>
      <c r="EWH23" s="21"/>
      <c r="EWI23" s="21"/>
      <c r="EWJ23" s="21"/>
      <c r="EWK23" s="21"/>
      <c r="EWL23" s="21"/>
      <c r="EWM23" s="21"/>
      <c r="EWN23" s="21"/>
      <c r="EWO23" s="21"/>
      <c r="EWP23" s="21"/>
      <c r="EWQ23" s="21"/>
      <c r="EWR23" s="21"/>
      <c r="EWS23" s="21"/>
      <c r="EWT23" s="21"/>
      <c r="EWU23" s="21"/>
      <c r="EWV23" s="21"/>
      <c r="EWW23" s="21"/>
      <c r="EWX23" s="21"/>
      <c r="EWY23" s="21"/>
      <c r="EWZ23" s="21"/>
      <c r="EXA23" s="21"/>
      <c r="EXB23" s="21"/>
      <c r="EXC23" s="21"/>
      <c r="EXD23" s="21"/>
      <c r="EXE23" s="21"/>
      <c r="EXF23" s="21"/>
      <c r="EXG23" s="21"/>
      <c r="EXH23" s="21"/>
      <c r="EXI23" s="21"/>
      <c r="EXJ23" s="21"/>
      <c r="EXK23" s="21"/>
      <c r="EXL23" s="21"/>
      <c r="EXM23" s="21"/>
      <c r="EXN23" s="21"/>
      <c r="EXO23" s="21"/>
      <c r="EXP23" s="21"/>
      <c r="EXQ23" s="21"/>
      <c r="EXR23" s="21"/>
      <c r="EXS23" s="21"/>
      <c r="EXT23" s="21"/>
      <c r="EXU23" s="21"/>
      <c r="EXV23" s="21"/>
      <c r="EXW23" s="21"/>
      <c r="EXX23" s="21"/>
      <c r="EXY23" s="21"/>
      <c r="EXZ23" s="21"/>
      <c r="EYA23" s="21"/>
      <c r="EYB23" s="21"/>
      <c r="EYC23" s="21"/>
      <c r="EYD23" s="21"/>
      <c r="EYE23" s="21"/>
      <c r="EYF23" s="21"/>
      <c r="EYG23" s="21"/>
      <c r="EYH23" s="21"/>
      <c r="EYI23" s="21"/>
      <c r="EYJ23" s="21"/>
      <c r="EYK23" s="21"/>
      <c r="EYL23" s="21"/>
      <c r="EYM23" s="21"/>
      <c r="EYN23" s="21"/>
      <c r="EYO23" s="21"/>
      <c r="EYP23" s="21"/>
      <c r="EYQ23" s="21"/>
      <c r="EYR23" s="21"/>
      <c r="EYS23" s="21"/>
      <c r="EYT23" s="21"/>
      <c r="EYU23" s="21"/>
      <c r="EYV23" s="21"/>
      <c r="EYW23" s="21"/>
      <c r="EYX23" s="21"/>
      <c r="EYY23" s="21"/>
      <c r="EYZ23" s="21"/>
      <c r="EZA23" s="21"/>
      <c r="EZB23" s="21"/>
      <c r="EZC23" s="21"/>
      <c r="EZD23" s="21"/>
      <c r="EZE23" s="21"/>
      <c r="EZF23" s="21"/>
      <c r="EZG23" s="21"/>
      <c r="EZH23" s="21"/>
      <c r="EZI23" s="21"/>
      <c r="EZJ23" s="21"/>
      <c r="EZK23" s="21"/>
      <c r="EZL23" s="21"/>
      <c r="EZM23" s="21"/>
      <c r="EZN23" s="21"/>
      <c r="EZO23" s="21"/>
      <c r="EZP23" s="21"/>
      <c r="EZQ23" s="21"/>
      <c r="EZR23" s="21"/>
      <c r="EZS23" s="21"/>
      <c r="EZT23" s="21"/>
      <c r="EZU23" s="21"/>
      <c r="EZV23" s="21"/>
      <c r="EZW23" s="21"/>
      <c r="EZX23" s="21"/>
      <c r="EZY23" s="21"/>
      <c r="EZZ23" s="21"/>
      <c r="FAA23" s="21"/>
      <c r="FAB23" s="21"/>
      <c r="FAC23" s="21"/>
      <c r="FAD23" s="21"/>
      <c r="FAE23" s="21"/>
      <c r="FAF23" s="21"/>
      <c r="FAG23" s="21"/>
      <c r="FAH23" s="21"/>
      <c r="FAI23" s="21"/>
      <c r="FAJ23" s="21"/>
      <c r="FAK23" s="21"/>
      <c r="FAL23" s="21"/>
      <c r="FAM23" s="21"/>
      <c r="FAN23" s="21"/>
      <c r="FAO23" s="21"/>
      <c r="FAP23" s="21"/>
      <c r="FAQ23" s="21"/>
      <c r="FAR23" s="21"/>
      <c r="FAS23" s="21"/>
      <c r="FAT23" s="21"/>
      <c r="FAU23" s="21"/>
      <c r="FAV23" s="21"/>
      <c r="FAW23" s="21"/>
      <c r="FAX23" s="21"/>
      <c r="FAY23" s="21"/>
      <c r="FAZ23" s="21"/>
      <c r="FBA23" s="21"/>
      <c r="FBB23" s="21"/>
      <c r="FBC23" s="21"/>
      <c r="FBD23" s="21"/>
      <c r="FBE23" s="21"/>
      <c r="FBF23" s="21"/>
      <c r="FBG23" s="21"/>
      <c r="FBH23" s="21"/>
      <c r="FBI23" s="21"/>
      <c r="FBJ23" s="21"/>
      <c r="FBK23" s="21"/>
      <c r="FBL23" s="21"/>
      <c r="FBM23" s="21"/>
      <c r="FBN23" s="21"/>
      <c r="FBO23" s="21"/>
      <c r="FBP23" s="21"/>
      <c r="FBQ23" s="21"/>
      <c r="FBR23" s="21"/>
      <c r="FBS23" s="21"/>
      <c r="FBT23" s="21"/>
      <c r="FBU23" s="21"/>
      <c r="FBV23" s="21"/>
      <c r="FBW23" s="21"/>
      <c r="FBX23" s="21"/>
      <c r="FBY23" s="21"/>
      <c r="FBZ23" s="21"/>
      <c r="FCA23" s="21"/>
      <c r="FCB23" s="21"/>
      <c r="FCC23" s="21"/>
      <c r="FCD23" s="21"/>
      <c r="FCE23" s="21"/>
      <c r="FCF23" s="21"/>
      <c r="FCG23" s="21"/>
      <c r="FCH23" s="21"/>
      <c r="FCI23" s="21"/>
      <c r="FCJ23" s="21"/>
      <c r="FCK23" s="21"/>
      <c r="FCL23" s="21"/>
      <c r="FCM23" s="21"/>
      <c r="FCN23" s="21"/>
      <c r="FCO23" s="21"/>
      <c r="FCP23" s="21"/>
      <c r="FCQ23" s="21"/>
      <c r="FCR23" s="21"/>
      <c r="FCS23" s="21"/>
      <c r="FCT23" s="21"/>
      <c r="FCU23" s="21"/>
      <c r="FCV23" s="21"/>
      <c r="FCW23" s="21"/>
      <c r="FCX23" s="21"/>
      <c r="FCY23" s="21"/>
      <c r="FCZ23" s="21"/>
      <c r="FDA23" s="21"/>
      <c r="FDB23" s="21"/>
      <c r="FDC23" s="21"/>
      <c r="FDD23" s="21"/>
      <c r="FDE23" s="21"/>
      <c r="FDF23" s="21"/>
      <c r="FDG23" s="21"/>
      <c r="FDH23" s="21"/>
      <c r="FDI23" s="21"/>
      <c r="FDJ23" s="21"/>
      <c r="FDK23" s="21"/>
      <c r="FDL23" s="21"/>
      <c r="FDM23" s="21"/>
      <c r="FDN23" s="21"/>
      <c r="FDO23" s="21"/>
      <c r="FDP23" s="21"/>
      <c r="FDQ23" s="21"/>
      <c r="FDR23" s="21"/>
      <c r="FDS23" s="21"/>
      <c r="FDT23" s="21"/>
      <c r="FDU23" s="21"/>
      <c r="FDV23" s="21"/>
      <c r="FDW23" s="21"/>
      <c r="FDX23" s="21"/>
      <c r="FDY23" s="21"/>
      <c r="FDZ23" s="21"/>
      <c r="FEA23" s="21"/>
      <c r="FEB23" s="21"/>
      <c r="FEC23" s="21"/>
      <c r="FED23" s="21"/>
      <c r="FEE23" s="21"/>
      <c r="FEF23" s="21"/>
      <c r="FEG23" s="21"/>
      <c r="FEH23" s="21"/>
      <c r="FEI23" s="21"/>
      <c r="FEJ23" s="21"/>
      <c r="FEK23" s="21"/>
      <c r="FEL23" s="21"/>
      <c r="FEM23" s="21"/>
      <c r="FEN23" s="21"/>
      <c r="FEO23" s="21"/>
      <c r="FEP23" s="21"/>
      <c r="FEQ23" s="21"/>
      <c r="FER23" s="21"/>
      <c r="FES23" s="21"/>
      <c r="FET23" s="21"/>
      <c r="FEU23" s="21"/>
      <c r="FEV23" s="21"/>
      <c r="FEW23" s="21"/>
      <c r="FEX23" s="21"/>
      <c r="FEY23" s="21"/>
      <c r="FEZ23" s="21"/>
      <c r="FFA23" s="21"/>
      <c r="FFB23" s="21"/>
      <c r="FFC23" s="21"/>
      <c r="FFD23" s="21"/>
      <c r="FFE23" s="21"/>
      <c r="FFF23" s="21"/>
      <c r="FFG23" s="21"/>
      <c r="FFH23" s="21"/>
      <c r="FFI23" s="21"/>
      <c r="FFJ23" s="21"/>
      <c r="FFK23" s="21"/>
      <c r="FFL23" s="21"/>
      <c r="FFM23" s="21"/>
      <c r="FFN23" s="21"/>
      <c r="FFO23" s="21"/>
      <c r="FFP23" s="21"/>
      <c r="FFQ23" s="21"/>
      <c r="FFR23" s="21"/>
      <c r="FFS23" s="21"/>
      <c r="FFT23" s="21"/>
      <c r="FFU23" s="21"/>
      <c r="FFV23" s="21"/>
      <c r="FFW23" s="21"/>
      <c r="FFX23" s="21"/>
      <c r="FFY23" s="21"/>
      <c r="FFZ23" s="21"/>
      <c r="FGA23" s="21"/>
      <c r="FGB23" s="21"/>
      <c r="FGC23" s="21"/>
      <c r="FGD23" s="21"/>
      <c r="FGE23" s="21"/>
      <c r="FGF23" s="21"/>
      <c r="FGG23" s="21"/>
      <c r="FGH23" s="21"/>
      <c r="FGI23" s="21"/>
      <c r="FGJ23" s="21"/>
      <c r="FGK23" s="21"/>
      <c r="FGL23" s="21"/>
      <c r="FGM23" s="21"/>
      <c r="FGN23" s="21"/>
      <c r="FGO23" s="21"/>
      <c r="FGP23" s="21"/>
      <c r="FGQ23" s="21"/>
      <c r="FGR23" s="21"/>
      <c r="FGS23" s="21"/>
      <c r="FGT23" s="21"/>
      <c r="FGU23" s="21"/>
      <c r="FGV23" s="21"/>
      <c r="FGW23" s="21"/>
      <c r="FGX23" s="21"/>
      <c r="FGY23" s="21"/>
      <c r="FGZ23" s="21"/>
      <c r="FHA23" s="21"/>
      <c r="FHB23" s="21"/>
      <c r="FHC23" s="21"/>
      <c r="FHD23" s="21"/>
      <c r="FHE23" s="21"/>
      <c r="FHF23" s="21"/>
      <c r="FHG23" s="21"/>
      <c r="FHH23" s="21"/>
      <c r="FHI23" s="21"/>
      <c r="FHJ23" s="21"/>
      <c r="FHK23" s="21"/>
      <c r="FHL23" s="21"/>
      <c r="FHM23" s="21"/>
      <c r="FHN23" s="21"/>
      <c r="FHO23" s="21"/>
      <c r="FHP23" s="21"/>
      <c r="FHQ23" s="21"/>
      <c r="FHR23" s="21"/>
      <c r="FHS23" s="21"/>
      <c r="FHT23" s="21"/>
      <c r="FHU23" s="21"/>
      <c r="FHV23" s="21"/>
      <c r="FHW23" s="21"/>
      <c r="FHX23" s="21"/>
      <c r="FHY23" s="21"/>
      <c r="FHZ23" s="21"/>
      <c r="FIA23" s="21"/>
      <c r="FIB23" s="21"/>
      <c r="FIC23" s="21"/>
      <c r="FID23" s="21"/>
      <c r="FIE23" s="21"/>
      <c r="FIF23" s="21"/>
      <c r="FIG23" s="21"/>
      <c r="FIH23" s="21"/>
      <c r="FII23" s="21"/>
      <c r="FIJ23" s="21"/>
      <c r="FIK23" s="21"/>
      <c r="FIL23" s="21"/>
      <c r="FIM23" s="21"/>
      <c r="FIN23" s="21"/>
      <c r="FIO23" s="21"/>
      <c r="FIP23" s="21"/>
      <c r="FIQ23" s="21"/>
      <c r="FIR23" s="21"/>
      <c r="FIS23" s="21"/>
      <c r="FIT23" s="21"/>
      <c r="FIU23" s="21"/>
      <c r="FIV23" s="21"/>
      <c r="FIW23" s="21"/>
      <c r="FIX23" s="21"/>
      <c r="FIY23" s="21"/>
      <c r="FIZ23" s="21"/>
      <c r="FJA23" s="21"/>
      <c r="FJB23" s="21"/>
      <c r="FJC23" s="21"/>
      <c r="FJD23" s="21"/>
      <c r="FJE23" s="21"/>
      <c r="FJF23" s="21"/>
      <c r="FJG23" s="21"/>
      <c r="FJH23" s="21"/>
      <c r="FJI23" s="21"/>
      <c r="FJJ23" s="21"/>
      <c r="FJK23" s="21"/>
      <c r="FJL23" s="21"/>
      <c r="FJM23" s="21"/>
      <c r="FJN23" s="21"/>
      <c r="FJO23" s="21"/>
      <c r="FJP23" s="21"/>
      <c r="FJQ23" s="21"/>
      <c r="FJR23" s="21"/>
      <c r="FJS23" s="21"/>
      <c r="FJT23" s="21"/>
      <c r="FJU23" s="21"/>
      <c r="FJV23" s="21"/>
      <c r="FJW23" s="21"/>
      <c r="FJX23" s="21"/>
      <c r="FJY23" s="21"/>
      <c r="FJZ23" s="21"/>
      <c r="FKA23" s="21"/>
      <c r="FKB23" s="21"/>
      <c r="FKC23" s="21"/>
      <c r="FKD23" s="21"/>
      <c r="FKE23" s="21"/>
      <c r="FKF23" s="21"/>
      <c r="FKG23" s="21"/>
      <c r="FKH23" s="21"/>
      <c r="FKI23" s="21"/>
      <c r="FKJ23" s="21"/>
      <c r="FKK23" s="21"/>
      <c r="FKL23" s="21"/>
      <c r="FKM23" s="21"/>
      <c r="FKN23" s="21"/>
      <c r="FKO23" s="21"/>
      <c r="FKP23" s="21"/>
      <c r="FKQ23" s="21"/>
      <c r="FKR23" s="21"/>
      <c r="FKS23" s="21"/>
      <c r="FKT23" s="21"/>
      <c r="FKU23" s="21"/>
      <c r="FKV23" s="21"/>
      <c r="FKW23" s="21"/>
      <c r="FKX23" s="21"/>
      <c r="FKY23" s="21"/>
      <c r="FKZ23" s="21"/>
      <c r="FLA23" s="21"/>
      <c r="FLB23" s="21"/>
      <c r="FLC23" s="21"/>
      <c r="FLD23" s="21"/>
      <c r="FLE23" s="21"/>
      <c r="FLF23" s="21"/>
      <c r="FLG23" s="21"/>
      <c r="FLH23" s="21"/>
      <c r="FLI23" s="21"/>
      <c r="FLJ23" s="21"/>
      <c r="FLK23" s="21"/>
      <c r="FLL23" s="21"/>
      <c r="FLM23" s="21"/>
      <c r="FLN23" s="21"/>
      <c r="FLO23" s="21"/>
      <c r="FLP23" s="21"/>
      <c r="FLQ23" s="21"/>
      <c r="FLR23" s="21"/>
      <c r="FLS23" s="21"/>
      <c r="FLT23" s="21"/>
      <c r="FLU23" s="21"/>
      <c r="FLV23" s="21"/>
      <c r="FLW23" s="21"/>
      <c r="FLX23" s="21"/>
      <c r="FLY23" s="21"/>
      <c r="FLZ23" s="21"/>
      <c r="FMA23" s="21"/>
      <c r="FMB23" s="21"/>
      <c r="FMC23" s="21"/>
      <c r="FMD23" s="21"/>
      <c r="FME23" s="21"/>
      <c r="FMF23" s="21"/>
      <c r="FMG23" s="21"/>
      <c r="FMH23" s="21"/>
      <c r="FMI23" s="21"/>
      <c r="FMJ23" s="21"/>
      <c r="FMK23" s="21"/>
      <c r="FML23" s="21"/>
      <c r="FMM23" s="21"/>
      <c r="FMN23" s="21"/>
      <c r="FMO23" s="21"/>
      <c r="FMP23" s="21"/>
      <c r="FMQ23" s="21"/>
      <c r="FMR23" s="21"/>
      <c r="FMS23" s="21"/>
      <c r="FMT23" s="21"/>
      <c r="FMU23" s="21"/>
      <c r="FMV23" s="21"/>
      <c r="FMW23" s="21"/>
      <c r="FMX23" s="21"/>
      <c r="FMY23" s="21"/>
      <c r="FMZ23" s="21"/>
      <c r="FNA23" s="21"/>
      <c r="FNB23" s="21"/>
      <c r="FNC23" s="21"/>
      <c r="FND23" s="21"/>
      <c r="FNE23" s="21"/>
      <c r="FNF23" s="21"/>
      <c r="FNG23" s="21"/>
      <c r="FNH23" s="21"/>
      <c r="FNI23" s="21"/>
      <c r="FNJ23" s="21"/>
      <c r="FNK23" s="21"/>
      <c r="FNL23" s="21"/>
      <c r="FNM23" s="21"/>
      <c r="FNN23" s="21"/>
      <c r="FNO23" s="21"/>
      <c r="FNP23" s="21"/>
      <c r="FNQ23" s="21"/>
      <c r="FNR23" s="21"/>
      <c r="FNS23" s="21"/>
      <c r="FNT23" s="21"/>
      <c r="FNU23" s="21"/>
      <c r="FNV23" s="21"/>
      <c r="FNW23" s="21"/>
      <c r="FNX23" s="21"/>
      <c r="FNY23" s="21"/>
      <c r="FNZ23" s="21"/>
      <c r="FOA23" s="21"/>
      <c r="FOB23" s="21"/>
      <c r="FOC23" s="21"/>
      <c r="FOD23" s="21"/>
      <c r="FOE23" s="21"/>
      <c r="FOF23" s="21"/>
      <c r="FOG23" s="21"/>
      <c r="FOH23" s="21"/>
      <c r="FOI23" s="21"/>
      <c r="FOJ23" s="21"/>
      <c r="FOK23" s="21"/>
      <c r="FOL23" s="21"/>
      <c r="FOM23" s="21"/>
      <c r="FON23" s="21"/>
      <c r="FOO23" s="21"/>
      <c r="FOP23" s="21"/>
      <c r="FOQ23" s="21"/>
      <c r="FOR23" s="21"/>
      <c r="FOS23" s="21"/>
      <c r="FOT23" s="21"/>
      <c r="FOU23" s="21"/>
      <c r="FOV23" s="21"/>
      <c r="FOW23" s="21"/>
      <c r="FOX23" s="21"/>
      <c r="FOY23" s="21"/>
      <c r="FOZ23" s="21"/>
      <c r="FPA23" s="21"/>
      <c r="FPB23" s="21"/>
      <c r="FPC23" s="21"/>
      <c r="FPD23" s="21"/>
      <c r="FPE23" s="21"/>
      <c r="FPF23" s="21"/>
      <c r="FPG23" s="21"/>
      <c r="FPH23" s="21"/>
      <c r="FPI23" s="21"/>
      <c r="FPJ23" s="21"/>
      <c r="FPK23" s="21"/>
      <c r="FPL23" s="21"/>
      <c r="FPM23" s="21"/>
      <c r="FPN23" s="21"/>
      <c r="FPO23" s="21"/>
      <c r="FPP23" s="21"/>
      <c r="FPQ23" s="21"/>
      <c r="FPR23" s="21"/>
      <c r="FPS23" s="21"/>
      <c r="FPT23" s="21"/>
      <c r="FPU23" s="21"/>
      <c r="FPV23" s="21"/>
      <c r="FPW23" s="21"/>
      <c r="FPX23" s="21"/>
      <c r="FPY23" s="21"/>
      <c r="FPZ23" s="21"/>
      <c r="FQA23" s="21"/>
      <c r="FQB23" s="21"/>
      <c r="FQC23" s="21"/>
      <c r="FQD23" s="21"/>
      <c r="FQE23" s="21"/>
      <c r="FQF23" s="21"/>
      <c r="FQG23" s="21"/>
      <c r="FQH23" s="21"/>
      <c r="FQI23" s="21"/>
      <c r="FQJ23" s="21"/>
      <c r="FQK23" s="21"/>
      <c r="FQL23" s="21"/>
      <c r="FQM23" s="21"/>
      <c r="FQN23" s="21"/>
      <c r="FQO23" s="21"/>
      <c r="FQP23" s="21"/>
      <c r="FQQ23" s="21"/>
      <c r="FQR23" s="21"/>
      <c r="FQS23" s="21"/>
      <c r="FQT23" s="21"/>
      <c r="FQU23" s="21"/>
      <c r="FQV23" s="21"/>
      <c r="FQW23" s="21"/>
      <c r="FQX23" s="21"/>
      <c r="FQY23" s="21"/>
      <c r="FQZ23" s="21"/>
      <c r="FRA23" s="21"/>
      <c r="FRB23" s="21"/>
      <c r="FRC23" s="21"/>
      <c r="FRD23" s="21"/>
      <c r="FRE23" s="21"/>
      <c r="FRF23" s="21"/>
      <c r="FRG23" s="21"/>
      <c r="FRH23" s="21"/>
      <c r="FRI23" s="21"/>
      <c r="FRJ23" s="21"/>
      <c r="FRK23" s="21"/>
      <c r="FRL23" s="21"/>
      <c r="FRM23" s="21"/>
      <c r="FRN23" s="21"/>
      <c r="FRO23" s="21"/>
      <c r="FRP23" s="21"/>
      <c r="FRQ23" s="21"/>
      <c r="FRR23" s="21"/>
      <c r="FRS23" s="21"/>
      <c r="FRT23" s="21"/>
      <c r="FRU23" s="21"/>
      <c r="FRV23" s="21"/>
      <c r="FRW23" s="21"/>
      <c r="FRX23" s="21"/>
      <c r="FRY23" s="21"/>
      <c r="FRZ23" s="21"/>
      <c r="FSA23" s="21"/>
      <c r="FSB23" s="21"/>
      <c r="FSC23" s="21"/>
      <c r="FSD23" s="21"/>
      <c r="FSE23" s="21"/>
      <c r="FSF23" s="21"/>
      <c r="FSG23" s="21"/>
      <c r="FSH23" s="21"/>
      <c r="FSI23" s="21"/>
      <c r="FSJ23" s="21"/>
      <c r="FSK23" s="21"/>
      <c r="FSL23" s="21"/>
      <c r="FSM23" s="21"/>
      <c r="FSN23" s="21"/>
      <c r="FSO23" s="21"/>
      <c r="FSP23" s="21"/>
      <c r="FSQ23" s="21"/>
      <c r="FSR23" s="21"/>
      <c r="FSS23" s="21"/>
      <c r="FST23" s="21"/>
      <c r="FSU23" s="21"/>
      <c r="FSV23" s="21"/>
      <c r="FSW23" s="21"/>
      <c r="FSX23" s="21"/>
      <c r="FSY23" s="21"/>
      <c r="FSZ23" s="21"/>
      <c r="FTA23" s="21"/>
      <c r="FTB23" s="21"/>
      <c r="FTC23" s="21"/>
      <c r="FTD23" s="21"/>
      <c r="FTE23" s="21"/>
      <c r="FTF23" s="21"/>
      <c r="FTG23" s="21"/>
      <c r="FTH23" s="21"/>
      <c r="FTI23" s="21"/>
      <c r="FTJ23" s="21"/>
      <c r="FTK23" s="21"/>
      <c r="FTL23" s="21"/>
      <c r="FTM23" s="21"/>
      <c r="FTN23" s="21"/>
      <c r="FTO23" s="21"/>
      <c r="FTP23" s="21"/>
      <c r="FTQ23" s="21"/>
      <c r="FTR23" s="21"/>
      <c r="FTS23" s="21"/>
      <c r="FTT23" s="21"/>
      <c r="FTU23" s="21"/>
      <c r="FTV23" s="21"/>
      <c r="FTW23" s="21"/>
      <c r="FTX23" s="21"/>
      <c r="FTY23" s="21"/>
      <c r="FTZ23" s="21"/>
      <c r="FUA23" s="21"/>
      <c r="FUB23" s="21"/>
      <c r="FUC23" s="21"/>
      <c r="FUD23" s="21"/>
      <c r="FUE23" s="21"/>
      <c r="FUF23" s="21"/>
      <c r="FUG23" s="21"/>
      <c r="FUH23" s="21"/>
      <c r="FUI23" s="21"/>
      <c r="FUJ23" s="21"/>
      <c r="FUK23" s="21"/>
      <c r="FUL23" s="21"/>
      <c r="FUM23" s="21"/>
      <c r="FUN23" s="21"/>
      <c r="FUO23" s="21"/>
      <c r="FUP23" s="21"/>
      <c r="FUQ23" s="21"/>
      <c r="FUR23" s="21"/>
      <c r="FUS23" s="21"/>
      <c r="FUT23" s="21"/>
      <c r="FUU23" s="21"/>
      <c r="FUV23" s="21"/>
      <c r="FUW23" s="21"/>
      <c r="FUX23" s="21"/>
      <c r="FUY23" s="21"/>
      <c r="FUZ23" s="21"/>
      <c r="FVA23" s="21"/>
      <c r="FVB23" s="21"/>
      <c r="FVC23" s="21"/>
      <c r="FVD23" s="21"/>
      <c r="FVE23" s="21"/>
      <c r="FVF23" s="21"/>
      <c r="FVG23" s="21"/>
      <c r="FVH23" s="21"/>
      <c r="FVI23" s="21"/>
      <c r="FVJ23" s="21"/>
      <c r="FVK23" s="21"/>
      <c r="FVL23" s="21"/>
      <c r="FVM23" s="21"/>
      <c r="FVN23" s="21"/>
      <c r="FVO23" s="21"/>
      <c r="FVP23" s="21"/>
      <c r="FVQ23" s="21"/>
      <c r="FVR23" s="21"/>
      <c r="FVS23" s="21"/>
      <c r="FVT23" s="21"/>
      <c r="FVU23" s="21"/>
      <c r="FVV23" s="21"/>
      <c r="FVW23" s="21"/>
      <c r="FVX23" s="21"/>
      <c r="FVY23" s="21"/>
      <c r="FVZ23" s="21"/>
      <c r="FWA23" s="21"/>
      <c r="FWB23" s="21"/>
      <c r="FWC23" s="21"/>
      <c r="FWD23" s="21"/>
      <c r="FWE23" s="21"/>
      <c r="FWF23" s="21"/>
      <c r="FWG23" s="21"/>
      <c r="FWH23" s="21"/>
      <c r="FWI23" s="21"/>
      <c r="FWJ23" s="21"/>
      <c r="FWK23" s="21"/>
      <c r="FWL23" s="21"/>
      <c r="FWM23" s="21"/>
      <c r="FWN23" s="21"/>
      <c r="FWO23" s="21"/>
      <c r="FWP23" s="21"/>
      <c r="FWQ23" s="21"/>
      <c r="FWR23" s="21"/>
      <c r="FWS23" s="21"/>
      <c r="FWT23" s="21"/>
      <c r="FWU23" s="21"/>
      <c r="FWV23" s="21"/>
      <c r="FWW23" s="21"/>
      <c r="FWX23" s="21"/>
      <c r="FWY23" s="21"/>
      <c r="FWZ23" s="21"/>
      <c r="FXA23" s="21"/>
      <c r="FXB23" s="21"/>
      <c r="FXC23" s="21"/>
      <c r="FXD23" s="21"/>
      <c r="FXE23" s="21"/>
      <c r="FXF23" s="21"/>
      <c r="FXG23" s="21"/>
      <c r="FXH23" s="21"/>
      <c r="FXI23" s="21"/>
      <c r="FXJ23" s="21"/>
      <c r="FXK23" s="21"/>
      <c r="FXL23" s="21"/>
      <c r="FXM23" s="21"/>
      <c r="FXN23" s="21"/>
      <c r="FXO23" s="21"/>
      <c r="FXP23" s="21"/>
      <c r="FXQ23" s="21"/>
      <c r="FXR23" s="21"/>
      <c r="FXS23" s="21"/>
      <c r="FXT23" s="21"/>
      <c r="FXU23" s="21"/>
      <c r="FXV23" s="21"/>
      <c r="FXW23" s="21"/>
      <c r="FXX23" s="21"/>
      <c r="FXY23" s="21"/>
      <c r="FXZ23" s="21"/>
      <c r="FYA23" s="21"/>
      <c r="FYB23" s="21"/>
      <c r="FYC23" s="21"/>
      <c r="FYD23" s="21"/>
      <c r="FYE23" s="21"/>
      <c r="FYF23" s="21"/>
      <c r="FYG23" s="21"/>
      <c r="FYH23" s="21"/>
      <c r="FYI23" s="21"/>
      <c r="FYJ23" s="21"/>
      <c r="FYK23" s="21"/>
      <c r="FYL23" s="21"/>
      <c r="FYM23" s="21"/>
      <c r="FYN23" s="21"/>
      <c r="FYO23" s="21"/>
      <c r="FYP23" s="21"/>
      <c r="FYQ23" s="21"/>
      <c r="FYR23" s="21"/>
      <c r="FYS23" s="21"/>
      <c r="FYT23" s="21"/>
      <c r="FYU23" s="21"/>
      <c r="FYV23" s="21"/>
      <c r="FYW23" s="21"/>
      <c r="FYX23" s="21"/>
      <c r="FYY23" s="21"/>
      <c r="FYZ23" s="21"/>
      <c r="FZA23" s="21"/>
      <c r="FZB23" s="21"/>
      <c r="FZC23" s="21"/>
      <c r="FZD23" s="21"/>
      <c r="FZE23" s="21"/>
      <c r="FZF23" s="21"/>
      <c r="FZG23" s="21"/>
      <c r="FZH23" s="21"/>
      <c r="FZI23" s="21"/>
      <c r="FZJ23" s="21"/>
      <c r="FZK23" s="21"/>
      <c r="FZL23" s="21"/>
      <c r="FZM23" s="21"/>
      <c r="FZN23" s="21"/>
      <c r="FZO23" s="21"/>
      <c r="FZP23" s="21"/>
      <c r="FZQ23" s="21"/>
      <c r="FZR23" s="21"/>
      <c r="FZS23" s="21"/>
      <c r="FZT23" s="21"/>
      <c r="FZU23" s="21"/>
      <c r="FZV23" s="21"/>
      <c r="FZW23" s="21"/>
      <c r="FZX23" s="21"/>
      <c r="FZY23" s="21"/>
      <c r="FZZ23" s="21"/>
      <c r="GAA23" s="21"/>
      <c r="GAB23" s="21"/>
      <c r="GAC23" s="21"/>
      <c r="GAD23" s="21"/>
      <c r="GAE23" s="21"/>
      <c r="GAF23" s="21"/>
      <c r="GAG23" s="21"/>
      <c r="GAH23" s="21"/>
      <c r="GAI23" s="21"/>
      <c r="GAJ23" s="21"/>
      <c r="GAK23" s="21"/>
      <c r="GAL23" s="21"/>
      <c r="GAM23" s="21"/>
      <c r="GAN23" s="21"/>
      <c r="GAO23" s="21"/>
      <c r="GAP23" s="21"/>
      <c r="GAQ23" s="21"/>
      <c r="GAR23" s="21"/>
      <c r="GAS23" s="21"/>
      <c r="GAT23" s="21"/>
      <c r="GAU23" s="21"/>
      <c r="GAV23" s="21"/>
      <c r="GAW23" s="21"/>
      <c r="GAX23" s="21"/>
      <c r="GAY23" s="21"/>
      <c r="GAZ23" s="21"/>
      <c r="GBA23" s="21"/>
      <c r="GBB23" s="21"/>
      <c r="GBC23" s="21"/>
      <c r="GBD23" s="21"/>
      <c r="GBE23" s="21"/>
      <c r="GBF23" s="21"/>
      <c r="GBG23" s="21"/>
      <c r="GBH23" s="21"/>
      <c r="GBI23" s="21"/>
      <c r="GBJ23" s="21"/>
      <c r="GBK23" s="21"/>
      <c r="GBL23" s="21"/>
      <c r="GBM23" s="21"/>
      <c r="GBN23" s="21"/>
      <c r="GBO23" s="21"/>
      <c r="GBP23" s="21"/>
      <c r="GBQ23" s="21"/>
      <c r="GBR23" s="21"/>
      <c r="GBS23" s="21"/>
      <c r="GBT23" s="21"/>
      <c r="GBU23" s="21"/>
      <c r="GBV23" s="21"/>
      <c r="GBW23" s="21"/>
      <c r="GBX23" s="21"/>
      <c r="GBY23" s="21"/>
      <c r="GBZ23" s="21"/>
      <c r="GCA23" s="21"/>
      <c r="GCB23" s="21"/>
      <c r="GCC23" s="21"/>
      <c r="GCD23" s="21"/>
      <c r="GCE23" s="21"/>
      <c r="GCF23" s="21"/>
      <c r="GCG23" s="21"/>
      <c r="GCH23" s="21"/>
      <c r="GCI23" s="21"/>
      <c r="GCJ23" s="21"/>
      <c r="GCK23" s="21"/>
      <c r="GCL23" s="21"/>
      <c r="GCM23" s="21"/>
      <c r="GCN23" s="21"/>
      <c r="GCO23" s="21"/>
      <c r="GCP23" s="21"/>
      <c r="GCQ23" s="21"/>
      <c r="GCR23" s="21"/>
      <c r="GCS23" s="21"/>
      <c r="GCT23" s="21"/>
      <c r="GCU23" s="21"/>
      <c r="GCV23" s="21"/>
      <c r="GCW23" s="21"/>
      <c r="GCX23" s="21"/>
      <c r="GCY23" s="21"/>
      <c r="GCZ23" s="21"/>
      <c r="GDA23" s="21"/>
      <c r="GDB23" s="21"/>
      <c r="GDC23" s="21"/>
      <c r="GDD23" s="21"/>
      <c r="GDE23" s="21"/>
      <c r="GDF23" s="21"/>
      <c r="GDG23" s="21"/>
      <c r="GDH23" s="21"/>
      <c r="GDI23" s="21"/>
      <c r="GDJ23" s="21"/>
      <c r="GDK23" s="21"/>
      <c r="GDL23" s="21"/>
      <c r="GDM23" s="21"/>
      <c r="GDN23" s="21"/>
      <c r="GDO23" s="21"/>
      <c r="GDP23" s="21"/>
      <c r="GDQ23" s="21"/>
      <c r="GDR23" s="21"/>
      <c r="GDS23" s="21"/>
      <c r="GDT23" s="21"/>
      <c r="GDU23" s="21"/>
      <c r="GDV23" s="21"/>
      <c r="GDW23" s="21"/>
      <c r="GDX23" s="21"/>
      <c r="GDY23" s="21"/>
      <c r="GDZ23" s="21"/>
      <c r="GEA23" s="21"/>
      <c r="GEB23" s="21"/>
      <c r="GEC23" s="21"/>
      <c r="GED23" s="21"/>
      <c r="GEE23" s="21"/>
      <c r="GEF23" s="21"/>
      <c r="GEG23" s="21"/>
      <c r="GEH23" s="21"/>
      <c r="GEI23" s="21"/>
      <c r="GEJ23" s="21"/>
      <c r="GEK23" s="21"/>
      <c r="GEL23" s="21"/>
      <c r="GEM23" s="21"/>
      <c r="GEN23" s="21"/>
      <c r="GEO23" s="21"/>
      <c r="GEP23" s="21"/>
      <c r="GEQ23" s="21"/>
      <c r="GER23" s="21"/>
      <c r="GES23" s="21"/>
      <c r="GET23" s="21"/>
      <c r="GEU23" s="21"/>
      <c r="GEV23" s="21"/>
      <c r="GEW23" s="21"/>
      <c r="GEX23" s="21"/>
      <c r="GEY23" s="21"/>
      <c r="GEZ23" s="21"/>
      <c r="GFA23" s="21"/>
      <c r="GFB23" s="21"/>
      <c r="GFC23" s="21"/>
      <c r="GFD23" s="21"/>
      <c r="GFE23" s="21"/>
      <c r="GFF23" s="21"/>
      <c r="GFG23" s="21"/>
      <c r="GFH23" s="21"/>
      <c r="GFI23" s="21"/>
      <c r="GFJ23" s="21"/>
      <c r="GFK23" s="21"/>
      <c r="GFL23" s="21"/>
      <c r="GFM23" s="21"/>
      <c r="GFN23" s="21"/>
      <c r="GFO23" s="21"/>
      <c r="GFP23" s="21"/>
      <c r="GFQ23" s="21"/>
      <c r="GFR23" s="21"/>
      <c r="GFS23" s="21"/>
      <c r="GFT23" s="21"/>
      <c r="GFU23" s="21"/>
      <c r="GFV23" s="21"/>
      <c r="GFW23" s="21"/>
      <c r="GFX23" s="21"/>
      <c r="GFY23" s="21"/>
      <c r="GFZ23" s="21"/>
      <c r="GGA23" s="21"/>
      <c r="GGB23" s="21"/>
      <c r="GGC23" s="21"/>
      <c r="GGD23" s="21"/>
      <c r="GGE23" s="21"/>
      <c r="GGF23" s="21"/>
      <c r="GGG23" s="21"/>
      <c r="GGH23" s="21"/>
      <c r="GGI23" s="21"/>
      <c r="GGJ23" s="21"/>
      <c r="GGK23" s="21"/>
      <c r="GGL23" s="21"/>
      <c r="GGM23" s="21"/>
      <c r="GGN23" s="21"/>
      <c r="GGO23" s="21"/>
      <c r="GGP23" s="21"/>
      <c r="GGQ23" s="21"/>
      <c r="GGR23" s="21"/>
      <c r="GGS23" s="21"/>
      <c r="GGT23" s="21"/>
      <c r="GGU23" s="21"/>
      <c r="GGV23" s="21"/>
      <c r="GGW23" s="21"/>
      <c r="GGX23" s="21"/>
      <c r="GGY23" s="21"/>
      <c r="GGZ23" s="21"/>
      <c r="GHA23" s="21"/>
      <c r="GHB23" s="21"/>
      <c r="GHC23" s="21"/>
      <c r="GHD23" s="21"/>
      <c r="GHE23" s="21"/>
      <c r="GHF23" s="21"/>
      <c r="GHG23" s="21"/>
      <c r="GHH23" s="21"/>
      <c r="GHI23" s="21"/>
      <c r="GHJ23" s="21"/>
      <c r="GHK23" s="21"/>
      <c r="GHL23" s="21"/>
      <c r="GHM23" s="21"/>
      <c r="GHN23" s="21"/>
      <c r="GHO23" s="21"/>
      <c r="GHP23" s="21"/>
      <c r="GHQ23" s="21"/>
      <c r="GHR23" s="21"/>
      <c r="GHS23" s="21"/>
      <c r="GHT23" s="21"/>
      <c r="GHU23" s="21"/>
      <c r="GHV23" s="21"/>
      <c r="GHW23" s="21"/>
      <c r="GHX23" s="21"/>
      <c r="GHY23" s="21"/>
      <c r="GHZ23" s="21"/>
      <c r="GIA23" s="21"/>
      <c r="GIB23" s="21"/>
      <c r="GIC23" s="21"/>
      <c r="GID23" s="21"/>
      <c r="GIE23" s="21"/>
      <c r="GIF23" s="21"/>
      <c r="GIG23" s="21"/>
      <c r="GIH23" s="21"/>
      <c r="GII23" s="21"/>
      <c r="GIJ23" s="21"/>
      <c r="GIK23" s="21"/>
      <c r="GIL23" s="21"/>
      <c r="GIM23" s="21"/>
      <c r="GIN23" s="21"/>
      <c r="GIO23" s="21"/>
      <c r="GIP23" s="21"/>
      <c r="GIQ23" s="21"/>
      <c r="GIR23" s="21"/>
      <c r="GIS23" s="21"/>
      <c r="GIT23" s="21"/>
      <c r="GIU23" s="21"/>
      <c r="GIV23" s="21"/>
      <c r="GIW23" s="21"/>
      <c r="GIX23" s="21"/>
      <c r="GIY23" s="21"/>
      <c r="GIZ23" s="21"/>
      <c r="GJA23" s="21"/>
      <c r="GJB23" s="21"/>
      <c r="GJC23" s="21"/>
      <c r="GJD23" s="21"/>
      <c r="GJE23" s="21"/>
      <c r="GJF23" s="21"/>
      <c r="GJG23" s="21"/>
      <c r="GJH23" s="21"/>
      <c r="GJI23" s="21"/>
      <c r="GJJ23" s="21"/>
      <c r="GJK23" s="21"/>
      <c r="GJL23" s="21"/>
      <c r="GJM23" s="21"/>
      <c r="GJN23" s="21"/>
      <c r="GJO23" s="21"/>
      <c r="GJP23" s="21"/>
      <c r="GJQ23" s="21"/>
      <c r="GJR23" s="21"/>
      <c r="GJS23" s="21"/>
      <c r="GJT23" s="21"/>
      <c r="GJU23" s="21"/>
      <c r="GJV23" s="21"/>
      <c r="GJW23" s="21"/>
      <c r="GJX23" s="21"/>
      <c r="GJY23" s="21"/>
      <c r="GJZ23" s="21"/>
      <c r="GKA23" s="21"/>
      <c r="GKB23" s="21"/>
      <c r="GKC23" s="21"/>
      <c r="GKD23" s="21"/>
      <c r="GKE23" s="21"/>
      <c r="GKF23" s="21"/>
      <c r="GKG23" s="21"/>
      <c r="GKH23" s="21"/>
      <c r="GKI23" s="21"/>
      <c r="GKJ23" s="21"/>
      <c r="GKK23" s="21"/>
      <c r="GKL23" s="21"/>
      <c r="GKM23" s="21"/>
      <c r="GKN23" s="21"/>
      <c r="GKO23" s="21"/>
      <c r="GKP23" s="21"/>
      <c r="GKQ23" s="21"/>
      <c r="GKR23" s="21"/>
      <c r="GKS23" s="21"/>
      <c r="GKT23" s="21"/>
      <c r="GKU23" s="21"/>
      <c r="GKV23" s="21"/>
      <c r="GKW23" s="21"/>
      <c r="GKX23" s="21"/>
      <c r="GKY23" s="21"/>
      <c r="GKZ23" s="21"/>
      <c r="GLA23" s="21"/>
      <c r="GLB23" s="21"/>
      <c r="GLC23" s="21"/>
      <c r="GLD23" s="21"/>
      <c r="GLE23" s="21"/>
      <c r="GLF23" s="21"/>
      <c r="GLG23" s="21"/>
      <c r="GLH23" s="21"/>
      <c r="GLI23" s="21"/>
      <c r="GLJ23" s="21"/>
      <c r="GLK23" s="21"/>
      <c r="GLL23" s="21"/>
      <c r="GLM23" s="21"/>
      <c r="GLN23" s="21"/>
      <c r="GLO23" s="21"/>
      <c r="GLP23" s="21"/>
      <c r="GLQ23" s="21"/>
      <c r="GLR23" s="21"/>
      <c r="GLS23" s="21"/>
      <c r="GLT23" s="21"/>
      <c r="GLU23" s="21"/>
      <c r="GLV23" s="21"/>
      <c r="GLW23" s="21"/>
      <c r="GLX23" s="21"/>
      <c r="GLY23" s="21"/>
      <c r="GLZ23" s="21"/>
      <c r="GMA23" s="21"/>
      <c r="GMB23" s="21"/>
      <c r="GMC23" s="21"/>
      <c r="GMD23" s="21"/>
      <c r="GME23" s="21"/>
      <c r="GMF23" s="21"/>
      <c r="GMG23" s="21"/>
      <c r="GMH23" s="21"/>
      <c r="GMI23" s="21"/>
      <c r="GMJ23" s="21"/>
      <c r="GMK23" s="21"/>
      <c r="GML23" s="21"/>
      <c r="GMM23" s="21"/>
      <c r="GMN23" s="21"/>
      <c r="GMO23" s="21"/>
      <c r="GMP23" s="21"/>
      <c r="GMQ23" s="21"/>
      <c r="GMR23" s="21"/>
      <c r="GMS23" s="21"/>
      <c r="GMT23" s="21"/>
      <c r="GMU23" s="21"/>
      <c r="GMV23" s="21"/>
      <c r="GMW23" s="21"/>
      <c r="GMX23" s="21"/>
      <c r="GMY23" s="21"/>
      <c r="GMZ23" s="21"/>
      <c r="GNA23" s="21"/>
      <c r="GNB23" s="21"/>
      <c r="GNC23" s="21"/>
      <c r="GND23" s="21"/>
      <c r="GNE23" s="21"/>
      <c r="GNF23" s="21"/>
      <c r="GNG23" s="21"/>
      <c r="GNH23" s="21"/>
      <c r="GNI23" s="21"/>
      <c r="GNJ23" s="21"/>
      <c r="GNK23" s="21"/>
      <c r="GNL23" s="21"/>
      <c r="GNM23" s="21"/>
      <c r="GNN23" s="21"/>
      <c r="GNO23" s="21"/>
      <c r="GNP23" s="21"/>
      <c r="GNQ23" s="21"/>
      <c r="GNR23" s="21"/>
      <c r="GNS23" s="21"/>
      <c r="GNT23" s="21"/>
      <c r="GNU23" s="21"/>
      <c r="GNV23" s="21"/>
      <c r="GNW23" s="21"/>
      <c r="GNX23" s="21"/>
      <c r="GNY23" s="21"/>
      <c r="GNZ23" s="21"/>
      <c r="GOA23" s="21"/>
      <c r="GOB23" s="21"/>
      <c r="GOC23" s="21"/>
      <c r="GOD23" s="21"/>
      <c r="GOE23" s="21"/>
      <c r="GOF23" s="21"/>
      <c r="GOG23" s="21"/>
      <c r="GOH23" s="21"/>
      <c r="GOI23" s="21"/>
      <c r="GOJ23" s="21"/>
      <c r="GOK23" s="21"/>
      <c r="GOL23" s="21"/>
      <c r="GOM23" s="21"/>
      <c r="GON23" s="21"/>
      <c r="GOO23" s="21"/>
      <c r="GOP23" s="21"/>
      <c r="GOQ23" s="21"/>
      <c r="GOR23" s="21"/>
      <c r="GOS23" s="21"/>
      <c r="GOT23" s="21"/>
      <c r="GOU23" s="21"/>
      <c r="GOV23" s="21"/>
      <c r="GOW23" s="21"/>
      <c r="GOX23" s="21"/>
      <c r="GOY23" s="21"/>
      <c r="GOZ23" s="21"/>
      <c r="GPA23" s="21"/>
      <c r="GPB23" s="21"/>
      <c r="GPC23" s="21"/>
      <c r="GPD23" s="21"/>
      <c r="GPE23" s="21"/>
      <c r="GPF23" s="21"/>
      <c r="GPG23" s="21"/>
      <c r="GPH23" s="21"/>
      <c r="GPI23" s="21"/>
      <c r="GPJ23" s="21"/>
      <c r="GPK23" s="21"/>
      <c r="GPL23" s="21"/>
      <c r="GPM23" s="21"/>
      <c r="GPN23" s="21"/>
      <c r="GPO23" s="21"/>
      <c r="GPP23" s="21"/>
      <c r="GPQ23" s="21"/>
      <c r="GPR23" s="21"/>
      <c r="GPS23" s="21"/>
      <c r="GPT23" s="21"/>
      <c r="GPU23" s="21"/>
      <c r="GPV23" s="21"/>
      <c r="GPW23" s="21"/>
      <c r="GPX23" s="21"/>
      <c r="GPY23" s="21"/>
      <c r="GPZ23" s="21"/>
      <c r="GQA23" s="21"/>
      <c r="GQB23" s="21"/>
      <c r="GQC23" s="21"/>
      <c r="GQD23" s="21"/>
      <c r="GQE23" s="21"/>
      <c r="GQF23" s="21"/>
      <c r="GQG23" s="21"/>
      <c r="GQH23" s="21"/>
      <c r="GQI23" s="21"/>
      <c r="GQJ23" s="21"/>
      <c r="GQK23" s="21"/>
      <c r="GQL23" s="21"/>
      <c r="GQM23" s="21"/>
      <c r="GQN23" s="21"/>
      <c r="GQO23" s="21"/>
      <c r="GQP23" s="21"/>
      <c r="GQQ23" s="21"/>
      <c r="GQR23" s="21"/>
      <c r="GQS23" s="21"/>
      <c r="GQT23" s="21"/>
      <c r="GQU23" s="21"/>
      <c r="GQV23" s="21"/>
      <c r="GQW23" s="21"/>
      <c r="GQX23" s="21"/>
      <c r="GQY23" s="21"/>
      <c r="GQZ23" s="21"/>
      <c r="GRA23" s="21"/>
      <c r="GRB23" s="21"/>
      <c r="GRC23" s="21"/>
      <c r="GRD23" s="21"/>
      <c r="GRE23" s="21"/>
      <c r="GRF23" s="21"/>
      <c r="GRG23" s="21"/>
      <c r="GRH23" s="21"/>
      <c r="GRI23" s="21"/>
      <c r="GRJ23" s="21"/>
      <c r="GRK23" s="21"/>
      <c r="GRL23" s="21"/>
      <c r="GRM23" s="21"/>
      <c r="GRN23" s="21"/>
      <c r="GRO23" s="21"/>
      <c r="GRP23" s="21"/>
      <c r="GRQ23" s="21"/>
      <c r="GRR23" s="21"/>
      <c r="GRS23" s="21"/>
      <c r="GRT23" s="21"/>
      <c r="GRU23" s="21"/>
      <c r="GRV23" s="21"/>
      <c r="GRW23" s="21"/>
      <c r="GRX23" s="21"/>
      <c r="GRY23" s="21"/>
      <c r="GRZ23" s="21"/>
      <c r="GSA23" s="21"/>
      <c r="GSB23" s="21"/>
      <c r="GSC23" s="21"/>
      <c r="GSD23" s="21"/>
      <c r="GSE23" s="21"/>
      <c r="GSF23" s="21"/>
      <c r="GSG23" s="21"/>
      <c r="GSH23" s="21"/>
      <c r="GSI23" s="21"/>
      <c r="GSJ23" s="21"/>
      <c r="GSK23" s="21"/>
      <c r="GSL23" s="21"/>
      <c r="GSM23" s="21"/>
      <c r="GSN23" s="21"/>
      <c r="GSO23" s="21"/>
      <c r="GSP23" s="21"/>
      <c r="GSQ23" s="21"/>
      <c r="GSR23" s="21"/>
      <c r="GSS23" s="21"/>
      <c r="GST23" s="21"/>
      <c r="GSU23" s="21"/>
      <c r="GSV23" s="21"/>
      <c r="GSW23" s="21"/>
      <c r="GSX23" s="21"/>
      <c r="GSY23" s="21"/>
      <c r="GSZ23" s="21"/>
      <c r="GTA23" s="21"/>
      <c r="GTB23" s="21"/>
      <c r="GTC23" s="21"/>
      <c r="GTD23" s="21"/>
      <c r="GTE23" s="21"/>
      <c r="GTF23" s="21"/>
      <c r="GTG23" s="21"/>
      <c r="GTH23" s="21"/>
      <c r="GTI23" s="21"/>
      <c r="GTJ23" s="21"/>
      <c r="GTK23" s="21"/>
      <c r="GTL23" s="21"/>
      <c r="GTM23" s="21"/>
      <c r="GTN23" s="21"/>
      <c r="GTO23" s="21"/>
      <c r="GTP23" s="21"/>
      <c r="GTQ23" s="21"/>
      <c r="GTR23" s="21"/>
      <c r="GTS23" s="21"/>
      <c r="GTT23" s="21"/>
      <c r="GTU23" s="21"/>
      <c r="GTV23" s="21"/>
      <c r="GTW23" s="21"/>
      <c r="GTX23" s="21"/>
      <c r="GTY23" s="21"/>
      <c r="GTZ23" s="21"/>
      <c r="GUA23" s="21"/>
      <c r="GUB23" s="21"/>
      <c r="GUC23" s="21"/>
      <c r="GUD23" s="21"/>
      <c r="GUE23" s="21"/>
      <c r="GUF23" s="21"/>
      <c r="GUG23" s="21"/>
      <c r="GUH23" s="21"/>
      <c r="GUI23" s="21"/>
      <c r="GUJ23" s="21"/>
      <c r="GUK23" s="21"/>
      <c r="GUL23" s="21"/>
      <c r="GUM23" s="21"/>
      <c r="GUN23" s="21"/>
      <c r="GUO23" s="21"/>
      <c r="GUP23" s="21"/>
      <c r="GUQ23" s="21"/>
      <c r="GUR23" s="21"/>
      <c r="GUS23" s="21"/>
      <c r="GUT23" s="21"/>
      <c r="GUU23" s="21"/>
      <c r="GUV23" s="21"/>
      <c r="GUW23" s="21"/>
      <c r="GUX23" s="21"/>
      <c r="GUY23" s="21"/>
      <c r="GUZ23" s="21"/>
      <c r="GVA23" s="21"/>
      <c r="GVB23" s="21"/>
      <c r="GVC23" s="21"/>
      <c r="GVD23" s="21"/>
      <c r="GVE23" s="21"/>
      <c r="GVF23" s="21"/>
      <c r="GVG23" s="21"/>
      <c r="GVH23" s="21"/>
      <c r="GVI23" s="21"/>
      <c r="GVJ23" s="21"/>
      <c r="GVK23" s="21"/>
      <c r="GVL23" s="21"/>
      <c r="GVM23" s="21"/>
      <c r="GVN23" s="21"/>
      <c r="GVO23" s="21"/>
      <c r="GVP23" s="21"/>
      <c r="GVQ23" s="21"/>
      <c r="GVR23" s="21"/>
      <c r="GVS23" s="21"/>
      <c r="GVT23" s="21"/>
      <c r="GVU23" s="21"/>
      <c r="GVV23" s="21"/>
      <c r="GVW23" s="21"/>
      <c r="GVX23" s="21"/>
      <c r="GVY23" s="21"/>
      <c r="GVZ23" s="21"/>
      <c r="GWA23" s="21"/>
      <c r="GWB23" s="21"/>
      <c r="GWC23" s="21"/>
      <c r="GWD23" s="21"/>
      <c r="GWE23" s="21"/>
      <c r="GWF23" s="21"/>
      <c r="GWG23" s="21"/>
      <c r="GWH23" s="21"/>
      <c r="GWI23" s="21"/>
      <c r="GWJ23" s="21"/>
      <c r="GWK23" s="21"/>
      <c r="GWL23" s="21"/>
      <c r="GWM23" s="21"/>
      <c r="GWN23" s="21"/>
      <c r="GWO23" s="21"/>
      <c r="GWP23" s="21"/>
      <c r="GWQ23" s="21"/>
      <c r="GWR23" s="21"/>
      <c r="GWS23" s="21"/>
      <c r="GWT23" s="21"/>
      <c r="GWU23" s="21"/>
      <c r="GWV23" s="21"/>
      <c r="GWW23" s="21"/>
      <c r="GWX23" s="21"/>
      <c r="GWY23" s="21"/>
      <c r="GWZ23" s="21"/>
      <c r="GXA23" s="21"/>
      <c r="GXB23" s="21"/>
      <c r="GXC23" s="21"/>
      <c r="GXD23" s="21"/>
      <c r="GXE23" s="21"/>
      <c r="GXF23" s="21"/>
      <c r="GXG23" s="21"/>
      <c r="GXH23" s="21"/>
      <c r="GXI23" s="21"/>
      <c r="GXJ23" s="21"/>
      <c r="GXK23" s="21"/>
      <c r="GXL23" s="21"/>
      <c r="GXM23" s="21"/>
      <c r="GXN23" s="21"/>
      <c r="GXO23" s="21"/>
      <c r="GXP23" s="21"/>
      <c r="GXQ23" s="21"/>
      <c r="GXR23" s="21"/>
      <c r="GXS23" s="21"/>
      <c r="GXT23" s="21"/>
      <c r="GXU23" s="21"/>
      <c r="GXV23" s="21"/>
      <c r="GXW23" s="21"/>
      <c r="GXX23" s="21"/>
      <c r="GXY23" s="21"/>
      <c r="GXZ23" s="21"/>
      <c r="GYA23" s="21"/>
      <c r="GYB23" s="21"/>
      <c r="GYC23" s="21"/>
      <c r="GYD23" s="21"/>
      <c r="GYE23" s="21"/>
      <c r="GYF23" s="21"/>
      <c r="GYG23" s="21"/>
      <c r="GYH23" s="21"/>
      <c r="GYI23" s="21"/>
      <c r="GYJ23" s="21"/>
      <c r="GYK23" s="21"/>
      <c r="GYL23" s="21"/>
      <c r="GYM23" s="21"/>
      <c r="GYN23" s="21"/>
      <c r="GYO23" s="21"/>
      <c r="GYP23" s="21"/>
      <c r="GYQ23" s="21"/>
      <c r="GYR23" s="21"/>
      <c r="GYS23" s="21"/>
      <c r="GYT23" s="21"/>
      <c r="GYU23" s="21"/>
      <c r="GYV23" s="21"/>
      <c r="GYW23" s="21"/>
      <c r="GYX23" s="21"/>
      <c r="GYY23" s="21"/>
      <c r="GYZ23" s="21"/>
      <c r="GZA23" s="21"/>
      <c r="GZB23" s="21"/>
      <c r="GZC23" s="21"/>
      <c r="GZD23" s="21"/>
      <c r="GZE23" s="21"/>
      <c r="GZF23" s="21"/>
      <c r="GZG23" s="21"/>
      <c r="GZH23" s="21"/>
      <c r="GZI23" s="21"/>
      <c r="GZJ23" s="21"/>
      <c r="GZK23" s="21"/>
      <c r="GZL23" s="21"/>
      <c r="GZM23" s="21"/>
      <c r="GZN23" s="21"/>
      <c r="GZO23" s="21"/>
      <c r="GZP23" s="21"/>
      <c r="GZQ23" s="21"/>
      <c r="GZR23" s="21"/>
      <c r="GZS23" s="21"/>
      <c r="GZT23" s="21"/>
      <c r="GZU23" s="21"/>
      <c r="GZV23" s="21"/>
      <c r="GZW23" s="21"/>
      <c r="GZX23" s="21"/>
      <c r="GZY23" s="21"/>
      <c r="GZZ23" s="21"/>
      <c r="HAA23" s="21"/>
      <c r="HAB23" s="21"/>
      <c r="HAC23" s="21"/>
      <c r="HAD23" s="21"/>
      <c r="HAE23" s="21"/>
      <c r="HAF23" s="21"/>
      <c r="HAG23" s="21"/>
      <c r="HAH23" s="21"/>
      <c r="HAI23" s="21"/>
      <c r="HAJ23" s="21"/>
      <c r="HAK23" s="21"/>
      <c r="HAL23" s="21"/>
      <c r="HAM23" s="21"/>
      <c r="HAN23" s="21"/>
      <c r="HAO23" s="21"/>
      <c r="HAP23" s="21"/>
      <c r="HAQ23" s="21"/>
      <c r="HAR23" s="21"/>
      <c r="HAS23" s="21"/>
      <c r="HAT23" s="21"/>
      <c r="HAU23" s="21"/>
      <c r="HAV23" s="21"/>
      <c r="HAW23" s="21"/>
      <c r="HAX23" s="21"/>
      <c r="HAY23" s="21"/>
      <c r="HAZ23" s="21"/>
      <c r="HBA23" s="21"/>
      <c r="HBB23" s="21"/>
      <c r="HBC23" s="21"/>
      <c r="HBD23" s="21"/>
      <c r="HBE23" s="21"/>
      <c r="HBF23" s="21"/>
      <c r="HBG23" s="21"/>
      <c r="HBH23" s="21"/>
      <c r="HBI23" s="21"/>
      <c r="HBJ23" s="21"/>
      <c r="HBK23" s="21"/>
      <c r="HBL23" s="21"/>
      <c r="HBM23" s="21"/>
      <c r="HBN23" s="21"/>
      <c r="HBO23" s="21"/>
      <c r="HBP23" s="21"/>
      <c r="HBQ23" s="21"/>
      <c r="HBR23" s="21"/>
      <c r="HBS23" s="21"/>
      <c r="HBT23" s="21"/>
      <c r="HBU23" s="21"/>
      <c r="HBV23" s="21"/>
      <c r="HBW23" s="21"/>
      <c r="HBX23" s="21"/>
      <c r="HBY23" s="21"/>
      <c r="HBZ23" s="21"/>
      <c r="HCA23" s="21"/>
      <c r="HCB23" s="21"/>
      <c r="HCC23" s="21"/>
      <c r="HCD23" s="21"/>
      <c r="HCE23" s="21"/>
      <c r="HCF23" s="21"/>
      <c r="HCG23" s="21"/>
      <c r="HCH23" s="21"/>
      <c r="HCI23" s="21"/>
      <c r="HCJ23" s="21"/>
      <c r="HCK23" s="21"/>
      <c r="HCL23" s="21"/>
      <c r="HCM23" s="21"/>
      <c r="HCN23" s="21"/>
      <c r="HCO23" s="21"/>
      <c r="HCP23" s="21"/>
      <c r="HCQ23" s="21"/>
      <c r="HCR23" s="21"/>
      <c r="HCS23" s="21"/>
      <c r="HCT23" s="21"/>
      <c r="HCU23" s="21"/>
      <c r="HCV23" s="21"/>
      <c r="HCW23" s="21"/>
      <c r="HCX23" s="21"/>
      <c r="HCY23" s="21"/>
      <c r="HCZ23" s="21"/>
      <c r="HDA23" s="21"/>
      <c r="HDB23" s="21"/>
      <c r="HDC23" s="21"/>
      <c r="HDD23" s="21"/>
      <c r="HDE23" s="21"/>
      <c r="HDF23" s="21"/>
      <c r="HDG23" s="21"/>
      <c r="HDH23" s="21"/>
      <c r="HDI23" s="21"/>
      <c r="HDJ23" s="21"/>
      <c r="HDK23" s="21"/>
      <c r="HDL23" s="21"/>
      <c r="HDM23" s="21"/>
      <c r="HDN23" s="21"/>
      <c r="HDO23" s="21"/>
      <c r="HDP23" s="21"/>
      <c r="HDQ23" s="21"/>
      <c r="HDR23" s="21"/>
      <c r="HDS23" s="21"/>
      <c r="HDT23" s="21"/>
      <c r="HDU23" s="21"/>
      <c r="HDV23" s="21"/>
      <c r="HDW23" s="21"/>
      <c r="HDX23" s="21"/>
      <c r="HDY23" s="21"/>
      <c r="HDZ23" s="21"/>
      <c r="HEA23" s="21"/>
      <c r="HEB23" s="21"/>
      <c r="HEC23" s="21"/>
      <c r="HED23" s="21"/>
      <c r="HEE23" s="21"/>
      <c r="HEF23" s="21"/>
      <c r="HEG23" s="21"/>
      <c r="HEH23" s="21"/>
      <c r="HEI23" s="21"/>
      <c r="HEJ23" s="21"/>
      <c r="HEK23" s="21"/>
      <c r="HEL23" s="21"/>
      <c r="HEM23" s="21"/>
      <c r="HEN23" s="21"/>
      <c r="HEO23" s="21"/>
      <c r="HEP23" s="21"/>
      <c r="HEQ23" s="21"/>
      <c r="HER23" s="21"/>
      <c r="HES23" s="21"/>
      <c r="HET23" s="21"/>
      <c r="HEU23" s="21"/>
      <c r="HEV23" s="21"/>
      <c r="HEW23" s="21"/>
      <c r="HEX23" s="21"/>
      <c r="HEY23" s="21"/>
      <c r="HEZ23" s="21"/>
      <c r="HFA23" s="21"/>
      <c r="HFB23" s="21"/>
      <c r="HFC23" s="21"/>
      <c r="HFD23" s="21"/>
      <c r="HFE23" s="21"/>
      <c r="HFF23" s="21"/>
      <c r="HFG23" s="21"/>
      <c r="HFH23" s="21"/>
      <c r="HFI23" s="21"/>
      <c r="HFJ23" s="21"/>
      <c r="HFK23" s="21"/>
      <c r="HFL23" s="21"/>
      <c r="HFM23" s="21"/>
      <c r="HFN23" s="21"/>
      <c r="HFO23" s="21"/>
      <c r="HFP23" s="21"/>
      <c r="HFQ23" s="21"/>
      <c r="HFR23" s="21"/>
      <c r="HFS23" s="21"/>
      <c r="HFT23" s="21"/>
      <c r="HFU23" s="21"/>
      <c r="HFV23" s="21"/>
      <c r="HFW23" s="21"/>
      <c r="HFX23" s="21"/>
      <c r="HFY23" s="21"/>
      <c r="HFZ23" s="21"/>
      <c r="HGA23" s="21"/>
      <c r="HGB23" s="21"/>
      <c r="HGC23" s="21"/>
      <c r="HGD23" s="21"/>
      <c r="HGE23" s="21"/>
      <c r="HGF23" s="21"/>
      <c r="HGG23" s="21"/>
      <c r="HGH23" s="21"/>
      <c r="HGI23" s="21"/>
      <c r="HGJ23" s="21"/>
      <c r="HGK23" s="21"/>
      <c r="HGL23" s="21"/>
      <c r="HGM23" s="21"/>
      <c r="HGN23" s="21"/>
      <c r="HGO23" s="21"/>
      <c r="HGP23" s="21"/>
      <c r="HGQ23" s="21"/>
      <c r="HGR23" s="21"/>
      <c r="HGS23" s="21"/>
      <c r="HGT23" s="21"/>
      <c r="HGU23" s="21"/>
      <c r="HGV23" s="21"/>
      <c r="HGW23" s="21"/>
      <c r="HGX23" s="21"/>
      <c r="HGY23" s="21"/>
      <c r="HGZ23" s="21"/>
      <c r="HHA23" s="21"/>
      <c r="HHB23" s="21"/>
      <c r="HHC23" s="21"/>
      <c r="HHD23" s="21"/>
      <c r="HHE23" s="21"/>
      <c r="HHF23" s="21"/>
      <c r="HHG23" s="21"/>
      <c r="HHH23" s="21"/>
      <c r="HHI23" s="21"/>
      <c r="HHJ23" s="21"/>
      <c r="HHK23" s="21"/>
      <c r="HHL23" s="21"/>
      <c r="HHM23" s="21"/>
      <c r="HHN23" s="21"/>
      <c r="HHO23" s="21"/>
      <c r="HHP23" s="21"/>
      <c r="HHQ23" s="21"/>
      <c r="HHR23" s="21"/>
      <c r="HHS23" s="21"/>
      <c r="HHT23" s="21"/>
      <c r="HHU23" s="21"/>
      <c r="HHV23" s="21"/>
      <c r="HHW23" s="21"/>
      <c r="HHX23" s="21"/>
      <c r="HHY23" s="21"/>
      <c r="HHZ23" s="21"/>
      <c r="HIA23" s="21"/>
      <c r="HIB23" s="21"/>
      <c r="HIC23" s="21"/>
      <c r="HID23" s="21"/>
      <c r="HIE23" s="21"/>
      <c r="HIF23" s="21"/>
      <c r="HIG23" s="21"/>
      <c r="HIH23" s="21"/>
      <c r="HII23" s="21"/>
      <c r="HIJ23" s="21"/>
      <c r="HIK23" s="21"/>
      <c r="HIL23" s="21"/>
      <c r="HIM23" s="21"/>
      <c r="HIN23" s="21"/>
      <c r="HIO23" s="21"/>
      <c r="HIP23" s="21"/>
      <c r="HIQ23" s="21"/>
      <c r="HIR23" s="21"/>
      <c r="HIS23" s="21"/>
      <c r="HIT23" s="21"/>
      <c r="HIU23" s="21"/>
      <c r="HIV23" s="21"/>
      <c r="HIW23" s="21"/>
      <c r="HIX23" s="21"/>
      <c r="HIY23" s="21"/>
      <c r="HIZ23" s="21"/>
      <c r="HJA23" s="21"/>
      <c r="HJB23" s="21"/>
      <c r="HJC23" s="21"/>
      <c r="HJD23" s="21"/>
      <c r="HJE23" s="21"/>
      <c r="HJF23" s="21"/>
      <c r="HJG23" s="21"/>
      <c r="HJH23" s="21"/>
      <c r="HJI23" s="21"/>
      <c r="HJJ23" s="21"/>
      <c r="HJK23" s="21"/>
      <c r="HJL23" s="21"/>
      <c r="HJM23" s="21"/>
      <c r="HJN23" s="21"/>
      <c r="HJO23" s="21"/>
      <c r="HJP23" s="21"/>
      <c r="HJQ23" s="21"/>
      <c r="HJR23" s="21"/>
      <c r="HJS23" s="21"/>
      <c r="HJT23" s="21"/>
      <c r="HJU23" s="21"/>
      <c r="HJV23" s="21"/>
      <c r="HJW23" s="21"/>
      <c r="HJX23" s="21"/>
      <c r="HJY23" s="21"/>
      <c r="HJZ23" s="21"/>
      <c r="HKA23" s="21"/>
      <c r="HKB23" s="21"/>
      <c r="HKC23" s="21"/>
      <c r="HKD23" s="21"/>
      <c r="HKE23" s="21"/>
      <c r="HKF23" s="21"/>
      <c r="HKG23" s="21"/>
      <c r="HKH23" s="21"/>
      <c r="HKI23" s="21"/>
      <c r="HKJ23" s="21"/>
      <c r="HKK23" s="21"/>
      <c r="HKL23" s="21"/>
      <c r="HKM23" s="21"/>
      <c r="HKN23" s="21"/>
      <c r="HKO23" s="21"/>
      <c r="HKP23" s="21"/>
      <c r="HKQ23" s="21"/>
      <c r="HKR23" s="21"/>
      <c r="HKS23" s="21"/>
      <c r="HKT23" s="21"/>
      <c r="HKU23" s="21"/>
      <c r="HKV23" s="21"/>
      <c r="HKW23" s="21"/>
      <c r="HKX23" s="21"/>
      <c r="HKY23" s="21"/>
      <c r="HKZ23" s="21"/>
      <c r="HLA23" s="21"/>
      <c r="HLB23" s="21"/>
      <c r="HLC23" s="21"/>
      <c r="HLD23" s="21"/>
      <c r="HLE23" s="21"/>
      <c r="HLF23" s="21"/>
      <c r="HLG23" s="21"/>
      <c r="HLH23" s="21"/>
      <c r="HLI23" s="21"/>
      <c r="HLJ23" s="21"/>
      <c r="HLK23" s="21"/>
      <c r="HLL23" s="21"/>
      <c r="HLM23" s="21"/>
      <c r="HLN23" s="21"/>
      <c r="HLO23" s="21"/>
      <c r="HLP23" s="21"/>
      <c r="HLQ23" s="21"/>
      <c r="HLR23" s="21"/>
      <c r="HLS23" s="21"/>
      <c r="HLT23" s="21"/>
      <c r="HLU23" s="21"/>
      <c r="HLV23" s="21"/>
      <c r="HLW23" s="21"/>
      <c r="HLX23" s="21"/>
      <c r="HLY23" s="21"/>
      <c r="HLZ23" s="21"/>
      <c r="HMA23" s="21"/>
      <c r="HMB23" s="21"/>
      <c r="HMC23" s="21"/>
      <c r="HMD23" s="21"/>
      <c r="HME23" s="21"/>
      <c r="HMF23" s="21"/>
      <c r="HMG23" s="21"/>
      <c r="HMH23" s="21"/>
      <c r="HMI23" s="21"/>
      <c r="HMJ23" s="21"/>
      <c r="HMK23" s="21"/>
      <c r="HML23" s="21"/>
      <c r="HMM23" s="21"/>
      <c r="HMN23" s="21"/>
      <c r="HMO23" s="21"/>
      <c r="HMP23" s="21"/>
      <c r="HMQ23" s="21"/>
      <c r="HMR23" s="21"/>
      <c r="HMS23" s="21"/>
      <c r="HMT23" s="21"/>
      <c r="HMU23" s="21"/>
      <c r="HMV23" s="21"/>
      <c r="HMW23" s="21"/>
      <c r="HMX23" s="21"/>
      <c r="HMY23" s="21"/>
      <c r="HMZ23" s="21"/>
      <c r="HNA23" s="21"/>
      <c r="HNB23" s="21"/>
      <c r="HNC23" s="21"/>
      <c r="HND23" s="21"/>
      <c r="HNE23" s="21"/>
      <c r="HNF23" s="21"/>
      <c r="HNG23" s="21"/>
      <c r="HNH23" s="21"/>
      <c r="HNI23" s="21"/>
      <c r="HNJ23" s="21"/>
      <c r="HNK23" s="21"/>
      <c r="HNL23" s="21"/>
      <c r="HNM23" s="21"/>
      <c r="HNN23" s="21"/>
      <c r="HNO23" s="21"/>
      <c r="HNP23" s="21"/>
      <c r="HNQ23" s="21"/>
      <c r="HNR23" s="21"/>
      <c r="HNS23" s="21"/>
      <c r="HNT23" s="21"/>
      <c r="HNU23" s="21"/>
      <c r="HNV23" s="21"/>
      <c r="HNW23" s="21"/>
      <c r="HNX23" s="21"/>
      <c r="HNY23" s="21"/>
      <c r="HNZ23" s="21"/>
      <c r="HOA23" s="21"/>
      <c r="HOB23" s="21"/>
      <c r="HOC23" s="21"/>
      <c r="HOD23" s="21"/>
      <c r="HOE23" s="21"/>
      <c r="HOF23" s="21"/>
      <c r="HOG23" s="21"/>
      <c r="HOH23" s="21"/>
      <c r="HOI23" s="21"/>
      <c r="HOJ23" s="21"/>
      <c r="HOK23" s="21"/>
      <c r="HOL23" s="21"/>
      <c r="HOM23" s="21"/>
      <c r="HON23" s="21"/>
      <c r="HOO23" s="21"/>
      <c r="HOP23" s="21"/>
      <c r="HOQ23" s="21"/>
      <c r="HOR23" s="21"/>
      <c r="HOS23" s="21"/>
      <c r="HOT23" s="21"/>
      <c r="HOU23" s="21"/>
      <c r="HOV23" s="21"/>
      <c r="HOW23" s="21"/>
      <c r="HOX23" s="21"/>
      <c r="HOY23" s="21"/>
      <c r="HOZ23" s="21"/>
      <c r="HPA23" s="21"/>
      <c r="HPB23" s="21"/>
      <c r="HPC23" s="21"/>
      <c r="HPD23" s="21"/>
      <c r="HPE23" s="21"/>
      <c r="HPF23" s="21"/>
      <c r="HPG23" s="21"/>
      <c r="HPH23" s="21"/>
      <c r="HPI23" s="21"/>
      <c r="HPJ23" s="21"/>
      <c r="HPK23" s="21"/>
      <c r="HPL23" s="21"/>
      <c r="HPM23" s="21"/>
      <c r="HPN23" s="21"/>
      <c r="HPO23" s="21"/>
      <c r="HPP23" s="21"/>
      <c r="HPQ23" s="21"/>
      <c r="HPR23" s="21"/>
      <c r="HPS23" s="21"/>
      <c r="HPT23" s="21"/>
      <c r="HPU23" s="21"/>
      <c r="HPV23" s="21"/>
      <c r="HPW23" s="21"/>
      <c r="HPX23" s="21"/>
      <c r="HPY23" s="21"/>
      <c r="HPZ23" s="21"/>
      <c r="HQA23" s="21"/>
      <c r="HQB23" s="21"/>
      <c r="HQC23" s="21"/>
      <c r="HQD23" s="21"/>
      <c r="HQE23" s="21"/>
      <c r="HQF23" s="21"/>
      <c r="HQG23" s="21"/>
      <c r="HQH23" s="21"/>
      <c r="HQI23" s="21"/>
      <c r="HQJ23" s="21"/>
      <c r="HQK23" s="21"/>
      <c r="HQL23" s="21"/>
      <c r="HQM23" s="21"/>
      <c r="HQN23" s="21"/>
      <c r="HQO23" s="21"/>
      <c r="HQP23" s="21"/>
      <c r="HQQ23" s="21"/>
      <c r="HQR23" s="21"/>
      <c r="HQS23" s="21"/>
      <c r="HQT23" s="21"/>
      <c r="HQU23" s="21"/>
      <c r="HQV23" s="21"/>
      <c r="HQW23" s="21"/>
      <c r="HQX23" s="21"/>
      <c r="HQY23" s="21"/>
      <c r="HQZ23" s="21"/>
      <c r="HRA23" s="21"/>
      <c r="HRB23" s="21"/>
      <c r="HRC23" s="21"/>
      <c r="HRD23" s="21"/>
      <c r="HRE23" s="21"/>
      <c r="HRF23" s="21"/>
      <c r="HRG23" s="21"/>
      <c r="HRH23" s="21"/>
      <c r="HRI23" s="21"/>
      <c r="HRJ23" s="21"/>
      <c r="HRK23" s="21"/>
      <c r="HRL23" s="21"/>
      <c r="HRM23" s="21"/>
      <c r="HRN23" s="21"/>
      <c r="HRO23" s="21"/>
      <c r="HRP23" s="21"/>
      <c r="HRQ23" s="21"/>
      <c r="HRR23" s="21"/>
      <c r="HRS23" s="21"/>
      <c r="HRT23" s="21"/>
      <c r="HRU23" s="21"/>
      <c r="HRV23" s="21"/>
      <c r="HRW23" s="21"/>
      <c r="HRX23" s="21"/>
      <c r="HRY23" s="21"/>
      <c r="HRZ23" s="21"/>
      <c r="HSA23" s="21"/>
      <c r="HSB23" s="21"/>
      <c r="HSC23" s="21"/>
      <c r="HSD23" s="21"/>
      <c r="HSE23" s="21"/>
      <c r="HSF23" s="21"/>
      <c r="HSG23" s="21"/>
      <c r="HSH23" s="21"/>
      <c r="HSI23" s="21"/>
      <c r="HSJ23" s="21"/>
      <c r="HSK23" s="21"/>
      <c r="HSL23" s="21"/>
      <c r="HSM23" s="21"/>
      <c r="HSN23" s="21"/>
      <c r="HSO23" s="21"/>
      <c r="HSP23" s="21"/>
      <c r="HSQ23" s="21"/>
      <c r="HSR23" s="21"/>
      <c r="HSS23" s="21"/>
      <c r="HST23" s="21"/>
      <c r="HSU23" s="21"/>
      <c r="HSV23" s="21"/>
      <c r="HSW23" s="21"/>
      <c r="HSX23" s="21"/>
      <c r="HSY23" s="21"/>
      <c r="HSZ23" s="21"/>
      <c r="HTA23" s="21"/>
      <c r="HTB23" s="21"/>
      <c r="HTC23" s="21"/>
      <c r="HTD23" s="21"/>
      <c r="HTE23" s="21"/>
      <c r="HTF23" s="21"/>
      <c r="HTG23" s="21"/>
      <c r="HTH23" s="21"/>
      <c r="HTI23" s="21"/>
      <c r="HTJ23" s="21"/>
      <c r="HTK23" s="21"/>
      <c r="HTL23" s="21"/>
      <c r="HTM23" s="21"/>
      <c r="HTN23" s="21"/>
      <c r="HTO23" s="21"/>
      <c r="HTP23" s="21"/>
      <c r="HTQ23" s="21"/>
      <c r="HTR23" s="21"/>
      <c r="HTS23" s="21"/>
      <c r="HTT23" s="21"/>
      <c r="HTU23" s="21"/>
      <c r="HTV23" s="21"/>
      <c r="HTW23" s="21"/>
      <c r="HTX23" s="21"/>
      <c r="HTY23" s="21"/>
      <c r="HTZ23" s="21"/>
      <c r="HUA23" s="21"/>
      <c r="HUB23" s="21"/>
      <c r="HUC23" s="21"/>
      <c r="HUD23" s="21"/>
      <c r="HUE23" s="21"/>
      <c r="HUF23" s="21"/>
      <c r="HUG23" s="21"/>
      <c r="HUH23" s="21"/>
      <c r="HUI23" s="21"/>
      <c r="HUJ23" s="21"/>
      <c r="HUK23" s="21"/>
      <c r="HUL23" s="21"/>
      <c r="HUM23" s="21"/>
      <c r="HUN23" s="21"/>
      <c r="HUO23" s="21"/>
      <c r="HUP23" s="21"/>
      <c r="HUQ23" s="21"/>
      <c r="HUR23" s="21"/>
      <c r="HUS23" s="21"/>
      <c r="HUT23" s="21"/>
      <c r="HUU23" s="21"/>
      <c r="HUV23" s="21"/>
      <c r="HUW23" s="21"/>
      <c r="HUX23" s="21"/>
      <c r="HUY23" s="21"/>
      <c r="HUZ23" s="21"/>
      <c r="HVA23" s="21"/>
      <c r="HVB23" s="21"/>
      <c r="HVC23" s="21"/>
      <c r="HVD23" s="21"/>
      <c r="HVE23" s="21"/>
      <c r="HVF23" s="21"/>
      <c r="HVG23" s="21"/>
      <c r="HVH23" s="21"/>
      <c r="HVI23" s="21"/>
      <c r="HVJ23" s="21"/>
      <c r="HVK23" s="21"/>
      <c r="HVL23" s="21"/>
      <c r="HVM23" s="21"/>
      <c r="HVN23" s="21"/>
      <c r="HVO23" s="21"/>
      <c r="HVP23" s="21"/>
      <c r="HVQ23" s="21"/>
      <c r="HVR23" s="21"/>
      <c r="HVS23" s="21"/>
      <c r="HVT23" s="21"/>
      <c r="HVU23" s="21"/>
      <c r="HVV23" s="21"/>
      <c r="HVW23" s="21"/>
      <c r="HVX23" s="21"/>
      <c r="HVY23" s="21"/>
      <c r="HVZ23" s="21"/>
      <c r="HWA23" s="21"/>
      <c r="HWB23" s="21"/>
      <c r="HWC23" s="21"/>
      <c r="HWD23" s="21"/>
      <c r="HWE23" s="21"/>
      <c r="HWF23" s="21"/>
      <c r="HWG23" s="21"/>
      <c r="HWH23" s="21"/>
      <c r="HWI23" s="21"/>
      <c r="HWJ23" s="21"/>
      <c r="HWK23" s="21"/>
      <c r="HWL23" s="21"/>
      <c r="HWM23" s="21"/>
      <c r="HWN23" s="21"/>
      <c r="HWO23" s="21"/>
      <c r="HWP23" s="21"/>
      <c r="HWQ23" s="21"/>
      <c r="HWR23" s="21"/>
      <c r="HWS23" s="21"/>
      <c r="HWT23" s="21"/>
      <c r="HWU23" s="21"/>
      <c r="HWV23" s="21"/>
      <c r="HWW23" s="21"/>
      <c r="HWX23" s="21"/>
      <c r="HWY23" s="21"/>
      <c r="HWZ23" s="21"/>
      <c r="HXA23" s="21"/>
      <c r="HXB23" s="21"/>
      <c r="HXC23" s="21"/>
      <c r="HXD23" s="21"/>
      <c r="HXE23" s="21"/>
      <c r="HXF23" s="21"/>
      <c r="HXG23" s="21"/>
      <c r="HXH23" s="21"/>
      <c r="HXI23" s="21"/>
      <c r="HXJ23" s="21"/>
      <c r="HXK23" s="21"/>
      <c r="HXL23" s="21"/>
      <c r="HXM23" s="21"/>
      <c r="HXN23" s="21"/>
      <c r="HXO23" s="21"/>
      <c r="HXP23" s="21"/>
      <c r="HXQ23" s="21"/>
      <c r="HXR23" s="21"/>
      <c r="HXS23" s="21"/>
      <c r="HXT23" s="21"/>
      <c r="HXU23" s="21"/>
      <c r="HXV23" s="21"/>
      <c r="HXW23" s="21"/>
      <c r="HXX23" s="21"/>
      <c r="HXY23" s="21"/>
      <c r="HXZ23" s="21"/>
      <c r="HYA23" s="21"/>
      <c r="HYB23" s="21"/>
      <c r="HYC23" s="21"/>
      <c r="HYD23" s="21"/>
      <c r="HYE23" s="21"/>
      <c r="HYF23" s="21"/>
      <c r="HYG23" s="21"/>
      <c r="HYH23" s="21"/>
      <c r="HYI23" s="21"/>
      <c r="HYJ23" s="21"/>
      <c r="HYK23" s="21"/>
      <c r="HYL23" s="21"/>
      <c r="HYM23" s="21"/>
      <c r="HYN23" s="21"/>
      <c r="HYO23" s="21"/>
      <c r="HYP23" s="21"/>
      <c r="HYQ23" s="21"/>
      <c r="HYR23" s="21"/>
      <c r="HYS23" s="21"/>
      <c r="HYT23" s="21"/>
      <c r="HYU23" s="21"/>
      <c r="HYV23" s="21"/>
      <c r="HYW23" s="21"/>
      <c r="HYX23" s="21"/>
      <c r="HYY23" s="21"/>
      <c r="HYZ23" s="21"/>
      <c r="HZA23" s="21"/>
      <c r="HZB23" s="21"/>
      <c r="HZC23" s="21"/>
      <c r="HZD23" s="21"/>
      <c r="HZE23" s="21"/>
      <c r="HZF23" s="21"/>
      <c r="HZG23" s="21"/>
      <c r="HZH23" s="21"/>
      <c r="HZI23" s="21"/>
      <c r="HZJ23" s="21"/>
      <c r="HZK23" s="21"/>
      <c r="HZL23" s="21"/>
      <c r="HZM23" s="21"/>
      <c r="HZN23" s="21"/>
      <c r="HZO23" s="21"/>
      <c r="HZP23" s="21"/>
      <c r="HZQ23" s="21"/>
      <c r="HZR23" s="21"/>
      <c r="HZS23" s="21"/>
      <c r="HZT23" s="21"/>
      <c r="HZU23" s="21"/>
      <c r="HZV23" s="21"/>
      <c r="HZW23" s="21"/>
      <c r="HZX23" s="21"/>
      <c r="HZY23" s="21"/>
      <c r="HZZ23" s="21"/>
      <c r="IAA23" s="21"/>
      <c r="IAB23" s="21"/>
      <c r="IAC23" s="21"/>
      <c r="IAD23" s="21"/>
      <c r="IAE23" s="21"/>
      <c r="IAF23" s="21"/>
      <c r="IAG23" s="21"/>
      <c r="IAH23" s="21"/>
      <c r="IAI23" s="21"/>
      <c r="IAJ23" s="21"/>
      <c r="IAK23" s="21"/>
      <c r="IAL23" s="21"/>
      <c r="IAM23" s="21"/>
      <c r="IAN23" s="21"/>
      <c r="IAO23" s="21"/>
      <c r="IAP23" s="21"/>
      <c r="IAQ23" s="21"/>
      <c r="IAR23" s="21"/>
      <c r="IAS23" s="21"/>
      <c r="IAT23" s="21"/>
      <c r="IAU23" s="21"/>
      <c r="IAV23" s="21"/>
      <c r="IAW23" s="21"/>
      <c r="IAX23" s="21"/>
      <c r="IAY23" s="21"/>
      <c r="IAZ23" s="21"/>
      <c r="IBA23" s="21"/>
      <c r="IBB23" s="21"/>
      <c r="IBC23" s="21"/>
      <c r="IBD23" s="21"/>
      <c r="IBE23" s="21"/>
      <c r="IBF23" s="21"/>
      <c r="IBG23" s="21"/>
      <c r="IBH23" s="21"/>
      <c r="IBI23" s="21"/>
      <c r="IBJ23" s="21"/>
      <c r="IBK23" s="21"/>
      <c r="IBL23" s="21"/>
      <c r="IBM23" s="21"/>
      <c r="IBN23" s="21"/>
      <c r="IBO23" s="21"/>
      <c r="IBP23" s="21"/>
      <c r="IBQ23" s="21"/>
      <c r="IBR23" s="21"/>
      <c r="IBS23" s="21"/>
      <c r="IBT23" s="21"/>
      <c r="IBU23" s="21"/>
      <c r="IBV23" s="21"/>
      <c r="IBW23" s="21"/>
      <c r="IBX23" s="21"/>
      <c r="IBY23" s="21"/>
      <c r="IBZ23" s="21"/>
      <c r="ICA23" s="21"/>
      <c r="ICB23" s="21"/>
      <c r="ICC23" s="21"/>
      <c r="ICD23" s="21"/>
      <c r="ICE23" s="21"/>
      <c r="ICF23" s="21"/>
      <c r="ICG23" s="21"/>
      <c r="ICH23" s="21"/>
      <c r="ICI23" s="21"/>
      <c r="ICJ23" s="21"/>
      <c r="ICK23" s="21"/>
      <c r="ICL23" s="21"/>
      <c r="ICM23" s="21"/>
      <c r="ICN23" s="21"/>
      <c r="ICO23" s="21"/>
      <c r="ICP23" s="21"/>
      <c r="ICQ23" s="21"/>
      <c r="ICR23" s="21"/>
      <c r="ICS23" s="21"/>
      <c r="ICT23" s="21"/>
      <c r="ICU23" s="21"/>
      <c r="ICV23" s="21"/>
      <c r="ICW23" s="21"/>
      <c r="ICX23" s="21"/>
      <c r="ICY23" s="21"/>
      <c r="ICZ23" s="21"/>
      <c r="IDA23" s="21"/>
      <c r="IDB23" s="21"/>
      <c r="IDC23" s="21"/>
      <c r="IDD23" s="21"/>
      <c r="IDE23" s="21"/>
      <c r="IDF23" s="21"/>
      <c r="IDG23" s="21"/>
      <c r="IDH23" s="21"/>
      <c r="IDI23" s="21"/>
      <c r="IDJ23" s="21"/>
      <c r="IDK23" s="21"/>
      <c r="IDL23" s="21"/>
      <c r="IDM23" s="21"/>
      <c r="IDN23" s="21"/>
      <c r="IDO23" s="21"/>
      <c r="IDP23" s="21"/>
      <c r="IDQ23" s="21"/>
      <c r="IDR23" s="21"/>
      <c r="IDS23" s="21"/>
      <c r="IDT23" s="21"/>
      <c r="IDU23" s="21"/>
      <c r="IDV23" s="21"/>
      <c r="IDW23" s="21"/>
      <c r="IDX23" s="21"/>
      <c r="IDY23" s="21"/>
      <c r="IDZ23" s="21"/>
      <c r="IEA23" s="21"/>
      <c r="IEB23" s="21"/>
      <c r="IEC23" s="21"/>
      <c r="IED23" s="21"/>
      <c r="IEE23" s="21"/>
      <c r="IEF23" s="21"/>
      <c r="IEG23" s="21"/>
      <c r="IEH23" s="21"/>
      <c r="IEI23" s="21"/>
      <c r="IEJ23" s="21"/>
      <c r="IEK23" s="21"/>
      <c r="IEL23" s="21"/>
      <c r="IEM23" s="21"/>
      <c r="IEN23" s="21"/>
      <c r="IEO23" s="21"/>
      <c r="IEP23" s="21"/>
      <c r="IEQ23" s="21"/>
      <c r="IER23" s="21"/>
      <c r="IES23" s="21"/>
      <c r="IET23" s="21"/>
      <c r="IEU23" s="21"/>
      <c r="IEV23" s="21"/>
      <c r="IEW23" s="21"/>
      <c r="IEX23" s="21"/>
      <c r="IEY23" s="21"/>
      <c r="IEZ23" s="21"/>
      <c r="IFA23" s="21"/>
      <c r="IFB23" s="21"/>
      <c r="IFC23" s="21"/>
      <c r="IFD23" s="21"/>
      <c r="IFE23" s="21"/>
      <c r="IFF23" s="21"/>
      <c r="IFG23" s="21"/>
      <c r="IFH23" s="21"/>
      <c r="IFI23" s="21"/>
      <c r="IFJ23" s="21"/>
      <c r="IFK23" s="21"/>
      <c r="IFL23" s="21"/>
      <c r="IFM23" s="21"/>
      <c r="IFN23" s="21"/>
      <c r="IFO23" s="21"/>
      <c r="IFP23" s="21"/>
      <c r="IFQ23" s="21"/>
      <c r="IFR23" s="21"/>
      <c r="IFS23" s="21"/>
      <c r="IFT23" s="21"/>
      <c r="IFU23" s="21"/>
      <c r="IFV23" s="21"/>
      <c r="IFW23" s="21"/>
      <c r="IFX23" s="21"/>
      <c r="IFY23" s="21"/>
      <c r="IFZ23" s="21"/>
      <c r="IGA23" s="21"/>
      <c r="IGB23" s="21"/>
      <c r="IGC23" s="21"/>
      <c r="IGD23" s="21"/>
      <c r="IGE23" s="21"/>
      <c r="IGF23" s="21"/>
      <c r="IGG23" s="21"/>
      <c r="IGH23" s="21"/>
      <c r="IGI23" s="21"/>
      <c r="IGJ23" s="21"/>
      <c r="IGK23" s="21"/>
      <c r="IGL23" s="21"/>
      <c r="IGM23" s="21"/>
      <c r="IGN23" s="21"/>
      <c r="IGO23" s="21"/>
      <c r="IGP23" s="21"/>
      <c r="IGQ23" s="21"/>
      <c r="IGR23" s="21"/>
      <c r="IGS23" s="21"/>
      <c r="IGT23" s="21"/>
      <c r="IGU23" s="21"/>
      <c r="IGV23" s="21"/>
      <c r="IGW23" s="21"/>
      <c r="IGX23" s="21"/>
      <c r="IGY23" s="21"/>
      <c r="IGZ23" s="21"/>
      <c r="IHA23" s="21"/>
      <c r="IHB23" s="21"/>
      <c r="IHC23" s="21"/>
      <c r="IHD23" s="21"/>
      <c r="IHE23" s="21"/>
      <c r="IHF23" s="21"/>
      <c r="IHG23" s="21"/>
      <c r="IHH23" s="21"/>
      <c r="IHI23" s="21"/>
      <c r="IHJ23" s="21"/>
      <c r="IHK23" s="21"/>
      <c r="IHL23" s="21"/>
      <c r="IHM23" s="21"/>
      <c r="IHN23" s="21"/>
      <c r="IHO23" s="21"/>
      <c r="IHP23" s="21"/>
      <c r="IHQ23" s="21"/>
      <c r="IHR23" s="21"/>
      <c r="IHS23" s="21"/>
      <c r="IHT23" s="21"/>
      <c r="IHU23" s="21"/>
      <c r="IHV23" s="21"/>
      <c r="IHW23" s="21"/>
      <c r="IHX23" s="21"/>
      <c r="IHY23" s="21"/>
      <c r="IHZ23" s="21"/>
      <c r="IIA23" s="21"/>
      <c r="IIB23" s="21"/>
      <c r="IIC23" s="21"/>
      <c r="IID23" s="21"/>
      <c r="IIE23" s="21"/>
      <c r="IIF23" s="21"/>
      <c r="IIG23" s="21"/>
      <c r="IIH23" s="21"/>
      <c r="III23" s="21"/>
      <c r="IIJ23" s="21"/>
      <c r="IIK23" s="21"/>
      <c r="IIL23" s="21"/>
      <c r="IIM23" s="21"/>
      <c r="IIN23" s="21"/>
      <c r="IIO23" s="21"/>
      <c r="IIP23" s="21"/>
      <c r="IIQ23" s="21"/>
      <c r="IIR23" s="21"/>
      <c r="IIS23" s="21"/>
      <c r="IIT23" s="21"/>
      <c r="IIU23" s="21"/>
      <c r="IIV23" s="21"/>
      <c r="IIW23" s="21"/>
      <c r="IIX23" s="21"/>
      <c r="IIY23" s="21"/>
      <c r="IIZ23" s="21"/>
      <c r="IJA23" s="21"/>
      <c r="IJB23" s="21"/>
      <c r="IJC23" s="21"/>
      <c r="IJD23" s="21"/>
      <c r="IJE23" s="21"/>
      <c r="IJF23" s="21"/>
      <c r="IJG23" s="21"/>
      <c r="IJH23" s="21"/>
      <c r="IJI23" s="21"/>
      <c r="IJJ23" s="21"/>
      <c r="IJK23" s="21"/>
      <c r="IJL23" s="21"/>
      <c r="IJM23" s="21"/>
      <c r="IJN23" s="21"/>
      <c r="IJO23" s="21"/>
      <c r="IJP23" s="21"/>
      <c r="IJQ23" s="21"/>
      <c r="IJR23" s="21"/>
      <c r="IJS23" s="21"/>
      <c r="IJT23" s="21"/>
      <c r="IJU23" s="21"/>
      <c r="IJV23" s="21"/>
      <c r="IJW23" s="21"/>
      <c r="IJX23" s="21"/>
      <c r="IJY23" s="21"/>
      <c r="IJZ23" s="21"/>
      <c r="IKA23" s="21"/>
      <c r="IKB23" s="21"/>
      <c r="IKC23" s="21"/>
      <c r="IKD23" s="21"/>
      <c r="IKE23" s="21"/>
      <c r="IKF23" s="21"/>
      <c r="IKG23" s="21"/>
      <c r="IKH23" s="21"/>
      <c r="IKI23" s="21"/>
      <c r="IKJ23" s="21"/>
      <c r="IKK23" s="21"/>
      <c r="IKL23" s="21"/>
      <c r="IKM23" s="21"/>
      <c r="IKN23" s="21"/>
      <c r="IKO23" s="21"/>
      <c r="IKP23" s="21"/>
      <c r="IKQ23" s="21"/>
      <c r="IKR23" s="21"/>
      <c r="IKS23" s="21"/>
      <c r="IKT23" s="21"/>
      <c r="IKU23" s="21"/>
      <c r="IKV23" s="21"/>
      <c r="IKW23" s="21"/>
      <c r="IKX23" s="21"/>
      <c r="IKY23" s="21"/>
      <c r="IKZ23" s="21"/>
      <c r="ILA23" s="21"/>
      <c r="ILB23" s="21"/>
      <c r="ILC23" s="21"/>
      <c r="ILD23" s="21"/>
      <c r="ILE23" s="21"/>
      <c r="ILF23" s="21"/>
      <c r="ILG23" s="21"/>
      <c r="ILH23" s="21"/>
      <c r="ILI23" s="21"/>
      <c r="ILJ23" s="21"/>
      <c r="ILK23" s="21"/>
      <c r="ILL23" s="21"/>
      <c r="ILM23" s="21"/>
      <c r="ILN23" s="21"/>
      <c r="ILO23" s="21"/>
      <c r="ILP23" s="21"/>
      <c r="ILQ23" s="21"/>
      <c r="ILR23" s="21"/>
      <c r="ILS23" s="21"/>
      <c r="ILT23" s="21"/>
      <c r="ILU23" s="21"/>
      <c r="ILV23" s="21"/>
      <c r="ILW23" s="21"/>
      <c r="ILX23" s="21"/>
      <c r="ILY23" s="21"/>
      <c r="ILZ23" s="21"/>
      <c r="IMA23" s="21"/>
      <c r="IMB23" s="21"/>
      <c r="IMC23" s="21"/>
      <c r="IMD23" s="21"/>
      <c r="IME23" s="21"/>
      <c r="IMF23" s="21"/>
      <c r="IMG23" s="21"/>
      <c r="IMH23" s="21"/>
      <c r="IMI23" s="21"/>
      <c r="IMJ23" s="21"/>
      <c r="IMK23" s="21"/>
      <c r="IML23" s="21"/>
      <c r="IMM23" s="21"/>
      <c r="IMN23" s="21"/>
      <c r="IMO23" s="21"/>
      <c r="IMP23" s="21"/>
      <c r="IMQ23" s="21"/>
      <c r="IMR23" s="21"/>
      <c r="IMS23" s="21"/>
      <c r="IMT23" s="21"/>
      <c r="IMU23" s="21"/>
      <c r="IMV23" s="21"/>
      <c r="IMW23" s="21"/>
      <c r="IMX23" s="21"/>
      <c r="IMY23" s="21"/>
      <c r="IMZ23" s="21"/>
      <c r="INA23" s="21"/>
      <c r="INB23" s="21"/>
      <c r="INC23" s="21"/>
      <c r="IND23" s="21"/>
      <c r="INE23" s="21"/>
      <c r="INF23" s="21"/>
      <c r="ING23" s="21"/>
      <c r="INH23" s="21"/>
      <c r="INI23" s="21"/>
      <c r="INJ23" s="21"/>
      <c r="INK23" s="21"/>
      <c r="INL23" s="21"/>
      <c r="INM23" s="21"/>
      <c r="INN23" s="21"/>
      <c r="INO23" s="21"/>
      <c r="INP23" s="21"/>
      <c r="INQ23" s="21"/>
      <c r="INR23" s="21"/>
      <c r="INS23" s="21"/>
      <c r="INT23" s="21"/>
      <c r="INU23" s="21"/>
      <c r="INV23" s="21"/>
      <c r="INW23" s="21"/>
      <c r="INX23" s="21"/>
      <c r="INY23" s="21"/>
      <c r="INZ23" s="21"/>
      <c r="IOA23" s="21"/>
      <c r="IOB23" s="21"/>
      <c r="IOC23" s="21"/>
      <c r="IOD23" s="21"/>
      <c r="IOE23" s="21"/>
      <c r="IOF23" s="21"/>
      <c r="IOG23" s="21"/>
      <c r="IOH23" s="21"/>
      <c r="IOI23" s="21"/>
      <c r="IOJ23" s="21"/>
      <c r="IOK23" s="21"/>
      <c r="IOL23" s="21"/>
      <c r="IOM23" s="21"/>
      <c r="ION23" s="21"/>
      <c r="IOO23" s="21"/>
      <c r="IOP23" s="21"/>
      <c r="IOQ23" s="21"/>
      <c r="IOR23" s="21"/>
      <c r="IOS23" s="21"/>
      <c r="IOT23" s="21"/>
      <c r="IOU23" s="21"/>
      <c r="IOV23" s="21"/>
      <c r="IOW23" s="21"/>
      <c r="IOX23" s="21"/>
      <c r="IOY23" s="21"/>
      <c r="IOZ23" s="21"/>
      <c r="IPA23" s="21"/>
      <c r="IPB23" s="21"/>
      <c r="IPC23" s="21"/>
      <c r="IPD23" s="21"/>
      <c r="IPE23" s="21"/>
      <c r="IPF23" s="21"/>
      <c r="IPG23" s="21"/>
      <c r="IPH23" s="21"/>
      <c r="IPI23" s="21"/>
      <c r="IPJ23" s="21"/>
      <c r="IPK23" s="21"/>
      <c r="IPL23" s="21"/>
      <c r="IPM23" s="21"/>
      <c r="IPN23" s="21"/>
      <c r="IPO23" s="21"/>
      <c r="IPP23" s="21"/>
      <c r="IPQ23" s="21"/>
      <c r="IPR23" s="21"/>
      <c r="IPS23" s="21"/>
      <c r="IPT23" s="21"/>
      <c r="IPU23" s="21"/>
      <c r="IPV23" s="21"/>
      <c r="IPW23" s="21"/>
      <c r="IPX23" s="21"/>
      <c r="IPY23" s="21"/>
      <c r="IPZ23" s="21"/>
      <c r="IQA23" s="21"/>
      <c r="IQB23" s="21"/>
      <c r="IQC23" s="21"/>
      <c r="IQD23" s="21"/>
      <c r="IQE23" s="21"/>
      <c r="IQF23" s="21"/>
      <c r="IQG23" s="21"/>
      <c r="IQH23" s="21"/>
      <c r="IQI23" s="21"/>
      <c r="IQJ23" s="21"/>
      <c r="IQK23" s="21"/>
      <c r="IQL23" s="21"/>
      <c r="IQM23" s="21"/>
      <c r="IQN23" s="21"/>
      <c r="IQO23" s="21"/>
      <c r="IQP23" s="21"/>
      <c r="IQQ23" s="21"/>
      <c r="IQR23" s="21"/>
      <c r="IQS23" s="21"/>
      <c r="IQT23" s="21"/>
      <c r="IQU23" s="21"/>
      <c r="IQV23" s="21"/>
      <c r="IQW23" s="21"/>
      <c r="IQX23" s="21"/>
      <c r="IQY23" s="21"/>
      <c r="IQZ23" s="21"/>
      <c r="IRA23" s="21"/>
      <c r="IRB23" s="21"/>
      <c r="IRC23" s="21"/>
      <c r="IRD23" s="21"/>
      <c r="IRE23" s="21"/>
      <c r="IRF23" s="21"/>
      <c r="IRG23" s="21"/>
      <c r="IRH23" s="21"/>
      <c r="IRI23" s="21"/>
      <c r="IRJ23" s="21"/>
      <c r="IRK23" s="21"/>
      <c r="IRL23" s="21"/>
      <c r="IRM23" s="21"/>
      <c r="IRN23" s="21"/>
      <c r="IRO23" s="21"/>
      <c r="IRP23" s="21"/>
      <c r="IRQ23" s="21"/>
      <c r="IRR23" s="21"/>
      <c r="IRS23" s="21"/>
      <c r="IRT23" s="21"/>
      <c r="IRU23" s="21"/>
      <c r="IRV23" s="21"/>
      <c r="IRW23" s="21"/>
      <c r="IRX23" s="21"/>
      <c r="IRY23" s="21"/>
      <c r="IRZ23" s="21"/>
      <c r="ISA23" s="21"/>
      <c r="ISB23" s="21"/>
      <c r="ISC23" s="21"/>
      <c r="ISD23" s="21"/>
      <c r="ISE23" s="21"/>
      <c r="ISF23" s="21"/>
      <c r="ISG23" s="21"/>
      <c r="ISH23" s="21"/>
      <c r="ISI23" s="21"/>
      <c r="ISJ23" s="21"/>
      <c r="ISK23" s="21"/>
      <c r="ISL23" s="21"/>
      <c r="ISM23" s="21"/>
      <c r="ISN23" s="21"/>
      <c r="ISO23" s="21"/>
      <c r="ISP23" s="21"/>
      <c r="ISQ23" s="21"/>
      <c r="ISR23" s="21"/>
      <c r="ISS23" s="21"/>
      <c r="IST23" s="21"/>
      <c r="ISU23" s="21"/>
      <c r="ISV23" s="21"/>
      <c r="ISW23" s="21"/>
      <c r="ISX23" s="21"/>
      <c r="ISY23" s="21"/>
      <c r="ISZ23" s="21"/>
      <c r="ITA23" s="21"/>
      <c r="ITB23" s="21"/>
      <c r="ITC23" s="21"/>
      <c r="ITD23" s="21"/>
      <c r="ITE23" s="21"/>
      <c r="ITF23" s="21"/>
      <c r="ITG23" s="21"/>
      <c r="ITH23" s="21"/>
      <c r="ITI23" s="21"/>
      <c r="ITJ23" s="21"/>
      <c r="ITK23" s="21"/>
      <c r="ITL23" s="21"/>
      <c r="ITM23" s="21"/>
      <c r="ITN23" s="21"/>
      <c r="ITO23" s="21"/>
      <c r="ITP23" s="21"/>
      <c r="ITQ23" s="21"/>
      <c r="ITR23" s="21"/>
      <c r="ITS23" s="21"/>
      <c r="ITT23" s="21"/>
      <c r="ITU23" s="21"/>
      <c r="ITV23" s="21"/>
      <c r="ITW23" s="21"/>
      <c r="ITX23" s="21"/>
      <c r="ITY23" s="21"/>
      <c r="ITZ23" s="21"/>
      <c r="IUA23" s="21"/>
      <c r="IUB23" s="21"/>
      <c r="IUC23" s="21"/>
      <c r="IUD23" s="21"/>
      <c r="IUE23" s="21"/>
      <c r="IUF23" s="21"/>
      <c r="IUG23" s="21"/>
      <c r="IUH23" s="21"/>
      <c r="IUI23" s="21"/>
      <c r="IUJ23" s="21"/>
      <c r="IUK23" s="21"/>
      <c r="IUL23" s="21"/>
      <c r="IUM23" s="21"/>
      <c r="IUN23" s="21"/>
      <c r="IUO23" s="21"/>
      <c r="IUP23" s="21"/>
      <c r="IUQ23" s="21"/>
      <c r="IUR23" s="21"/>
      <c r="IUS23" s="21"/>
      <c r="IUT23" s="21"/>
      <c r="IUU23" s="21"/>
      <c r="IUV23" s="21"/>
      <c r="IUW23" s="21"/>
      <c r="IUX23" s="21"/>
      <c r="IUY23" s="21"/>
      <c r="IUZ23" s="21"/>
      <c r="IVA23" s="21"/>
      <c r="IVB23" s="21"/>
      <c r="IVC23" s="21"/>
      <c r="IVD23" s="21"/>
      <c r="IVE23" s="21"/>
      <c r="IVF23" s="21"/>
      <c r="IVG23" s="21"/>
      <c r="IVH23" s="21"/>
      <c r="IVI23" s="21"/>
      <c r="IVJ23" s="21"/>
      <c r="IVK23" s="21"/>
      <c r="IVL23" s="21"/>
      <c r="IVM23" s="21"/>
      <c r="IVN23" s="21"/>
      <c r="IVO23" s="21"/>
      <c r="IVP23" s="21"/>
      <c r="IVQ23" s="21"/>
      <c r="IVR23" s="21"/>
      <c r="IVS23" s="21"/>
      <c r="IVT23" s="21"/>
      <c r="IVU23" s="21"/>
      <c r="IVV23" s="21"/>
      <c r="IVW23" s="21"/>
      <c r="IVX23" s="21"/>
      <c r="IVY23" s="21"/>
      <c r="IVZ23" s="21"/>
      <c r="IWA23" s="21"/>
      <c r="IWB23" s="21"/>
      <c r="IWC23" s="21"/>
      <c r="IWD23" s="21"/>
      <c r="IWE23" s="21"/>
      <c r="IWF23" s="21"/>
      <c r="IWG23" s="21"/>
      <c r="IWH23" s="21"/>
      <c r="IWI23" s="21"/>
      <c r="IWJ23" s="21"/>
      <c r="IWK23" s="21"/>
      <c r="IWL23" s="21"/>
      <c r="IWM23" s="21"/>
      <c r="IWN23" s="21"/>
      <c r="IWO23" s="21"/>
      <c r="IWP23" s="21"/>
      <c r="IWQ23" s="21"/>
      <c r="IWR23" s="21"/>
      <c r="IWS23" s="21"/>
      <c r="IWT23" s="21"/>
      <c r="IWU23" s="21"/>
      <c r="IWV23" s="21"/>
      <c r="IWW23" s="21"/>
      <c r="IWX23" s="21"/>
      <c r="IWY23" s="21"/>
      <c r="IWZ23" s="21"/>
      <c r="IXA23" s="21"/>
      <c r="IXB23" s="21"/>
      <c r="IXC23" s="21"/>
      <c r="IXD23" s="21"/>
      <c r="IXE23" s="21"/>
      <c r="IXF23" s="21"/>
      <c r="IXG23" s="21"/>
      <c r="IXH23" s="21"/>
      <c r="IXI23" s="21"/>
      <c r="IXJ23" s="21"/>
      <c r="IXK23" s="21"/>
      <c r="IXL23" s="21"/>
      <c r="IXM23" s="21"/>
      <c r="IXN23" s="21"/>
      <c r="IXO23" s="21"/>
      <c r="IXP23" s="21"/>
      <c r="IXQ23" s="21"/>
      <c r="IXR23" s="21"/>
      <c r="IXS23" s="21"/>
      <c r="IXT23" s="21"/>
      <c r="IXU23" s="21"/>
      <c r="IXV23" s="21"/>
      <c r="IXW23" s="21"/>
      <c r="IXX23" s="21"/>
      <c r="IXY23" s="21"/>
      <c r="IXZ23" s="21"/>
      <c r="IYA23" s="21"/>
      <c r="IYB23" s="21"/>
      <c r="IYC23" s="21"/>
      <c r="IYD23" s="21"/>
      <c r="IYE23" s="21"/>
      <c r="IYF23" s="21"/>
      <c r="IYG23" s="21"/>
      <c r="IYH23" s="21"/>
      <c r="IYI23" s="21"/>
      <c r="IYJ23" s="21"/>
      <c r="IYK23" s="21"/>
      <c r="IYL23" s="21"/>
      <c r="IYM23" s="21"/>
      <c r="IYN23" s="21"/>
      <c r="IYO23" s="21"/>
      <c r="IYP23" s="21"/>
      <c r="IYQ23" s="21"/>
      <c r="IYR23" s="21"/>
      <c r="IYS23" s="21"/>
      <c r="IYT23" s="21"/>
      <c r="IYU23" s="21"/>
      <c r="IYV23" s="21"/>
      <c r="IYW23" s="21"/>
      <c r="IYX23" s="21"/>
      <c r="IYY23" s="21"/>
      <c r="IYZ23" s="21"/>
      <c r="IZA23" s="21"/>
      <c r="IZB23" s="21"/>
      <c r="IZC23" s="21"/>
      <c r="IZD23" s="21"/>
      <c r="IZE23" s="21"/>
      <c r="IZF23" s="21"/>
      <c r="IZG23" s="21"/>
      <c r="IZH23" s="21"/>
      <c r="IZI23" s="21"/>
      <c r="IZJ23" s="21"/>
      <c r="IZK23" s="21"/>
      <c r="IZL23" s="21"/>
      <c r="IZM23" s="21"/>
      <c r="IZN23" s="21"/>
      <c r="IZO23" s="21"/>
      <c r="IZP23" s="21"/>
      <c r="IZQ23" s="21"/>
      <c r="IZR23" s="21"/>
      <c r="IZS23" s="21"/>
      <c r="IZT23" s="21"/>
      <c r="IZU23" s="21"/>
      <c r="IZV23" s="21"/>
      <c r="IZW23" s="21"/>
      <c r="IZX23" s="21"/>
      <c r="IZY23" s="21"/>
      <c r="IZZ23" s="21"/>
      <c r="JAA23" s="21"/>
      <c r="JAB23" s="21"/>
      <c r="JAC23" s="21"/>
      <c r="JAD23" s="21"/>
      <c r="JAE23" s="21"/>
      <c r="JAF23" s="21"/>
      <c r="JAG23" s="21"/>
      <c r="JAH23" s="21"/>
      <c r="JAI23" s="21"/>
      <c r="JAJ23" s="21"/>
      <c r="JAK23" s="21"/>
      <c r="JAL23" s="21"/>
      <c r="JAM23" s="21"/>
      <c r="JAN23" s="21"/>
      <c r="JAO23" s="21"/>
      <c r="JAP23" s="21"/>
      <c r="JAQ23" s="21"/>
      <c r="JAR23" s="21"/>
      <c r="JAS23" s="21"/>
      <c r="JAT23" s="21"/>
      <c r="JAU23" s="21"/>
      <c r="JAV23" s="21"/>
      <c r="JAW23" s="21"/>
      <c r="JAX23" s="21"/>
      <c r="JAY23" s="21"/>
      <c r="JAZ23" s="21"/>
      <c r="JBA23" s="21"/>
      <c r="JBB23" s="21"/>
      <c r="JBC23" s="21"/>
      <c r="JBD23" s="21"/>
      <c r="JBE23" s="21"/>
      <c r="JBF23" s="21"/>
      <c r="JBG23" s="21"/>
      <c r="JBH23" s="21"/>
      <c r="JBI23" s="21"/>
      <c r="JBJ23" s="21"/>
      <c r="JBK23" s="21"/>
      <c r="JBL23" s="21"/>
      <c r="JBM23" s="21"/>
      <c r="JBN23" s="21"/>
      <c r="JBO23" s="21"/>
      <c r="JBP23" s="21"/>
      <c r="JBQ23" s="21"/>
      <c r="JBR23" s="21"/>
      <c r="JBS23" s="21"/>
      <c r="JBT23" s="21"/>
      <c r="JBU23" s="21"/>
      <c r="JBV23" s="21"/>
      <c r="JBW23" s="21"/>
      <c r="JBX23" s="21"/>
      <c r="JBY23" s="21"/>
      <c r="JBZ23" s="21"/>
      <c r="JCA23" s="21"/>
      <c r="JCB23" s="21"/>
      <c r="JCC23" s="21"/>
      <c r="JCD23" s="21"/>
      <c r="JCE23" s="21"/>
      <c r="JCF23" s="21"/>
      <c r="JCG23" s="21"/>
      <c r="JCH23" s="21"/>
      <c r="JCI23" s="21"/>
      <c r="JCJ23" s="21"/>
      <c r="JCK23" s="21"/>
      <c r="JCL23" s="21"/>
      <c r="JCM23" s="21"/>
      <c r="JCN23" s="21"/>
      <c r="JCO23" s="21"/>
      <c r="JCP23" s="21"/>
      <c r="JCQ23" s="21"/>
      <c r="JCR23" s="21"/>
      <c r="JCS23" s="21"/>
      <c r="JCT23" s="21"/>
      <c r="JCU23" s="21"/>
      <c r="JCV23" s="21"/>
      <c r="JCW23" s="21"/>
      <c r="JCX23" s="21"/>
      <c r="JCY23" s="21"/>
      <c r="JCZ23" s="21"/>
      <c r="JDA23" s="21"/>
      <c r="JDB23" s="21"/>
      <c r="JDC23" s="21"/>
      <c r="JDD23" s="21"/>
      <c r="JDE23" s="21"/>
      <c r="JDF23" s="21"/>
      <c r="JDG23" s="21"/>
      <c r="JDH23" s="21"/>
      <c r="JDI23" s="21"/>
      <c r="JDJ23" s="21"/>
      <c r="JDK23" s="21"/>
      <c r="JDL23" s="21"/>
      <c r="JDM23" s="21"/>
      <c r="JDN23" s="21"/>
      <c r="JDO23" s="21"/>
      <c r="JDP23" s="21"/>
      <c r="JDQ23" s="21"/>
      <c r="JDR23" s="21"/>
      <c r="JDS23" s="21"/>
      <c r="JDT23" s="21"/>
      <c r="JDU23" s="21"/>
      <c r="JDV23" s="21"/>
      <c r="JDW23" s="21"/>
      <c r="JDX23" s="21"/>
      <c r="JDY23" s="21"/>
      <c r="JDZ23" s="21"/>
      <c r="JEA23" s="21"/>
      <c r="JEB23" s="21"/>
      <c r="JEC23" s="21"/>
      <c r="JED23" s="21"/>
      <c r="JEE23" s="21"/>
      <c r="JEF23" s="21"/>
      <c r="JEG23" s="21"/>
      <c r="JEH23" s="21"/>
      <c r="JEI23" s="21"/>
      <c r="JEJ23" s="21"/>
      <c r="JEK23" s="21"/>
      <c r="JEL23" s="21"/>
      <c r="JEM23" s="21"/>
      <c r="JEN23" s="21"/>
      <c r="JEO23" s="21"/>
      <c r="JEP23" s="21"/>
      <c r="JEQ23" s="21"/>
      <c r="JER23" s="21"/>
      <c r="JES23" s="21"/>
      <c r="JET23" s="21"/>
      <c r="JEU23" s="21"/>
      <c r="JEV23" s="21"/>
      <c r="JEW23" s="21"/>
      <c r="JEX23" s="21"/>
      <c r="JEY23" s="21"/>
      <c r="JEZ23" s="21"/>
      <c r="JFA23" s="21"/>
      <c r="JFB23" s="21"/>
      <c r="JFC23" s="21"/>
      <c r="JFD23" s="21"/>
      <c r="JFE23" s="21"/>
      <c r="JFF23" s="21"/>
      <c r="JFG23" s="21"/>
      <c r="JFH23" s="21"/>
      <c r="JFI23" s="21"/>
      <c r="JFJ23" s="21"/>
      <c r="JFK23" s="21"/>
      <c r="JFL23" s="21"/>
      <c r="JFM23" s="21"/>
      <c r="JFN23" s="21"/>
      <c r="JFO23" s="21"/>
      <c r="JFP23" s="21"/>
      <c r="JFQ23" s="21"/>
      <c r="JFR23" s="21"/>
      <c r="JFS23" s="21"/>
      <c r="JFT23" s="21"/>
      <c r="JFU23" s="21"/>
      <c r="JFV23" s="21"/>
      <c r="JFW23" s="21"/>
      <c r="JFX23" s="21"/>
      <c r="JFY23" s="21"/>
      <c r="JFZ23" s="21"/>
      <c r="JGA23" s="21"/>
      <c r="JGB23" s="21"/>
      <c r="JGC23" s="21"/>
      <c r="JGD23" s="21"/>
      <c r="JGE23" s="21"/>
      <c r="JGF23" s="21"/>
      <c r="JGG23" s="21"/>
      <c r="JGH23" s="21"/>
      <c r="JGI23" s="21"/>
      <c r="JGJ23" s="21"/>
      <c r="JGK23" s="21"/>
      <c r="JGL23" s="21"/>
      <c r="JGM23" s="21"/>
      <c r="JGN23" s="21"/>
      <c r="JGO23" s="21"/>
      <c r="JGP23" s="21"/>
      <c r="JGQ23" s="21"/>
      <c r="JGR23" s="21"/>
      <c r="JGS23" s="21"/>
      <c r="JGT23" s="21"/>
      <c r="JGU23" s="21"/>
      <c r="JGV23" s="21"/>
      <c r="JGW23" s="21"/>
      <c r="JGX23" s="21"/>
      <c r="JGY23" s="21"/>
      <c r="JGZ23" s="21"/>
      <c r="JHA23" s="21"/>
      <c r="JHB23" s="21"/>
      <c r="JHC23" s="21"/>
      <c r="JHD23" s="21"/>
      <c r="JHE23" s="21"/>
      <c r="JHF23" s="21"/>
      <c r="JHG23" s="21"/>
      <c r="JHH23" s="21"/>
      <c r="JHI23" s="21"/>
      <c r="JHJ23" s="21"/>
      <c r="JHK23" s="21"/>
      <c r="JHL23" s="21"/>
      <c r="JHM23" s="21"/>
      <c r="JHN23" s="21"/>
      <c r="JHO23" s="21"/>
      <c r="JHP23" s="21"/>
      <c r="JHQ23" s="21"/>
      <c r="JHR23" s="21"/>
      <c r="JHS23" s="21"/>
      <c r="JHT23" s="21"/>
      <c r="JHU23" s="21"/>
      <c r="JHV23" s="21"/>
      <c r="JHW23" s="21"/>
      <c r="JHX23" s="21"/>
      <c r="JHY23" s="21"/>
      <c r="JHZ23" s="21"/>
      <c r="JIA23" s="21"/>
      <c r="JIB23" s="21"/>
      <c r="JIC23" s="21"/>
      <c r="JID23" s="21"/>
      <c r="JIE23" s="21"/>
      <c r="JIF23" s="21"/>
      <c r="JIG23" s="21"/>
      <c r="JIH23" s="21"/>
      <c r="JII23" s="21"/>
      <c r="JIJ23" s="21"/>
      <c r="JIK23" s="21"/>
      <c r="JIL23" s="21"/>
      <c r="JIM23" s="21"/>
      <c r="JIN23" s="21"/>
      <c r="JIO23" s="21"/>
      <c r="JIP23" s="21"/>
      <c r="JIQ23" s="21"/>
      <c r="JIR23" s="21"/>
      <c r="JIS23" s="21"/>
      <c r="JIT23" s="21"/>
      <c r="JIU23" s="21"/>
      <c r="JIV23" s="21"/>
      <c r="JIW23" s="21"/>
      <c r="JIX23" s="21"/>
      <c r="JIY23" s="21"/>
      <c r="JIZ23" s="21"/>
      <c r="JJA23" s="21"/>
      <c r="JJB23" s="21"/>
      <c r="JJC23" s="21"/>
      <c r="JJD23" s="21"/>
      <c r="JJE23" s="21"/>
      <c r="JJF23" s="21"/>
      <c r="JJG23" s="21"/>
      <c r="JJH23" s="21"/>
      <c r="JJI23" s="21"/>
      <c r="JJJ23" s="21"/>
      <c r="JJK23" s="21"/>
      <c r="JJL23" s="21"/>
      <c r="JJM23" s="21"/>
      <c r="JJN23" s="21"/>
      <c r="JJO23" s="21"/>
      <c r="JJP23" s="21"/>
      <c r="JJQ23" s="21"/>
      <c r="JJR23" s="21"/>
      <c r="JJS23" s="21"/>
      <c r="JJT23" s="21"/>
      <c r="JJU23" s="21"/>
      <c r="JJV23" s="21"/>
      <c r="JJW23" s="21"/>
      <c r="JJX23" s="21"/>
      <c r="JJY23" s="21"/>
      <c r="JJZ23" s="21"/>
      <c r="JKA23" s="21"/>
      <c r="JKB23" s="21"/>
      <c r="JKC23" s="21"/>
      <c r="JKD23" s="21"/>
      <c r="JKE23" s="21"/>
      <c r="JKF23" s="21"/>
      <c r="JKG23" s="21"/>
      <c r="JKH23" s="21"/>
      <c r="JKI23" s="21"/>
      <c r="JKJ23" s="21"/>
      <c r="JKK23" s="21"/>
      <c r="JKL23" s="21"/>
      <c r="JKM23" s="21"/>
      <c r="JKN23" s="21"/>
      <c r="JKO23" s="21"/>
      <c r="JKP23" s="21"/>
      <c r="JKQ23" s="21"/>
      <c r="JKR23" s="21"/>
      <c r="JKS23" s="21"/>
      <c r="JKT23" s="21"/>
      <c r="JKU23" s="21"/>
      <c r="JKV23" s="21"/>
      <c r="JKW23" s="21"/>
      <c r="JKX23" s="21"/>
      <c r="JKY23" s="21"/>
      <c r="JKZ23" s="21"/>
      <c r="JLA23" s="21"/>
      <c r="JLB23" s="21"/>
      <c r="JLC23" s="21"/>
      <c r="JLD23" s="21"/>
      <c r="JLE23" s="21"/>
      <c r="JLF23" s="21"/>
      <c r="JLG23" s="21"/>
      <c r="JLH23" s="21"/>
      <c r="JLI23" s="21"/>
      <c r="JLJ23" s="21"/>
      <c r="JLK23" s="21"/>
      <c r="JLL23" s="21"/>
      <c r="JLM23" s="21"/>
      <c r="JLN23" s="21"/>
      <c r="JLO23" s="21"/>
      <c r="JLP23" s="21"/>
      <c r="JLQ23" s="21"/>
      <c r="JLR23" s="21"/>
      <c r="JLS23" s="21"/>
      <c r="JLT23" s="21"/>
      <c r="JLU23" s="21"/>
      <c r="JLV23" s="21"/>
      <c r="JLW23" s="21"/>
      <c r="JLX23" s="21"/>
      <c r="JLY23" s="21"/>
      <c r="JLZ23" s="21"/>
      <c r="JMA23" s="21"/>
      <c r="JMB23" s="21"/>
      <c r="JMC23" s="21"/>
      <c r="JMD23" s="21"/>
      <c r="JME23" s="21"/>
      <c r="JMF23" s="21"/>
      <c r="JMG23" s="21"/>
      <c r="JMH23" s="21"/>
      <c r="JMI23" s="21"/>
      <c r="JMJ23" s="21"/>
      <c r="JMK23" s="21"/>
      <c r="JML23" s="21"/>
      <c r="JMM23" s="21"/>
      <c r="JMN23" s="21"/>
      <c r="JMO23" s="21"/>
      <c r="JMP23" s="21"/>
      <c r="JMQ23" s="21"/>
      <c r="JMR23" s="21"/>
      <c r="JMS23" s="21"/>
      <c r="JMT23" s="21"/>
      <c r="JMU23" s="21"/>
      <c r="JMV23" s="21"/>
      <c r="JMW23" s="21"/>
      <c r="JMX23" s="21"/>
      <c r="JMY23" s="21"/>
      <c r="JMZ23" s="21"/>
      <c r="JNA23" s="21"/>
      <c r="JNB23" s="21"/>
      <c r="JNC23" s="21"/>
      <c r="JND23" s="21"/>
      <c r="JNE23" s="21"/>
      <c r="JNF23" s="21"/>
      <c r="JNG23" s="21"/>
      <c r="JNH23" s="21"/>
      <c r="JNI23" s="21"/>
      <c r="JNJ23" s="21"/>
      <c r="JNK23" s="21"/>
      <c r="JNL23" s="21"/>
      <c r="JNM23" s="21"/>
      <c r="JNN23" s="21"/>
      <c r="JNO23" s="21"/>
      <c r="JNP23" s="21"/>
      <c r="JNQ23" s="21"/>
      <c r="JNR23" s="21"/>
      <c r="JNS23" s="21"/>
      <c r="JNT23" s="21"/>
      <c r="JNU23" s="21"/>
      <c r="JNV23" s="21"/>
      <c r="JNW23" s="21"/>
      <c r="JNX23" s="21"/>
      <c r="JNY23" s="21"/>
      <c r="JNZ23" s="21"/>
      <c r="JOA23" s="21"/>
      <c r="JOB23" s="21"/>
      <c r="JOC23" s="21"/>
      <c r="JOD23" s="21"/>
      <c r="JOE23" s="21"/>
      <c r="JOF23" s="21"/>
      <c r="JOG23" s="21"/>
      <c r="JOH23" s="21"/>
      <c r="JOI23" s="21"/>
      <c r="JOJ23" s="21"/>
      <c r="JOK23" s="21"/>
      <c r="JOL23" s="21"/>
      <c r="JOM23" s="21"/>
      <c r="JON23" s="21"/>
      <c r="JOO23" s="21"/>
      <c r="JOP23" s="21"/>
      <c r="JOQ23" s="21"/>
      <c r="JOR23" s="21"/>
      <c r="JOS23" s="21"/>
      <c r="JOT23" s="21"/>
      <c r="JOU23" s="21"/>
      <c r="JOV23" s="21"/>
      <c r="JOW23" s="21"/>
      <c r="JOX23" s="21"/>
      <c r="JOY23" s="21"/>
      <c r="JOZ23" s="21"/>
      <c r="JPA23" s="21"/>
      <c r="JPB23" s="21"/>
      <c r="JPC23" s="21"/>
      <c r="JPD23" s="21"/>
      <c r="JPE23" s="21"/>
      <c r="JPF23" s="21"/>
      <c r="JPG23" s="21"/>
      <c r="JPH23" s="21"/>
      <c r="JPI23" s="21"/>
      <c r="JPJ23" s="21"/>
      <c r="JPK23" s="21"/>
      <c r="JPL23" s="21"/>
      <c r="JPM23" s="21"/>
      <c r="JPN23" s="21"/>
      <c r="JPO23" s="21"/>
      <c r="JPP23" s="21"/>
      <c r="JPQ23" s="21"/>
      <c r="JPR23" s="21"/>
      <c r="JPS23" s="21"/>
      <c r="JPT23" s="21"/>
      <c r="JPU23" s="21"/>
      <c r="JPV23" s="21"/>
      <c r="JPW23" s="21"/>
      <c r="JPX23" s="21"/>
      <c r="JPY23" s="21"/>
      <c r="JPZ23" s="21"/>
      <c r="JQA23" s="21"/>
      <c r="JQB23" s="21"/>
      <c r="JQC23" s="21"/>
      <c r="JQD23" s="21"/>
      <c r="JQE23" s="21"/>
      <c r="JQF23" s="21"/>
      <c r="JQG23" s="21"/>
      <c r="JQH23" s="21"/>
      <c r="JQI23" s="21"/>
      <c r="JQJ23" s="21"/>
      <c r="JQK23" s="21"/>
      <c r="JQL23" s="21"/>
      <c r="JQM23" s="21"/>
      <c r="JQN23" s="21"/>
      <c r="JQO23" s="21"/>
      <c r="JQP23" s="21"/>
      <c r="JQQ23" s="21"/>
      <c r="JQR23" s="21"/>
      <c r="JQS23" s="21"/>
      <c r="JQT23" s="21"/>
      <c r="JQU23" s="21"/>
      <c r="JQV23" s="21"/>
      <c r="JQW23" s="21"/>
      <c r="JQX23" s="21"/>
      <c r="JQY23" s="21"/>
      <c r="JQZ23" s="21"/>
      <c r="JRA23" s="21"/>
      <c r="JRB23" s="21"/>
      <c r="JRC23" s="21"/>
      <c r="JRD23" s="21"/>
      <c r="JRE23" s="21"/>
      <c r="JRF23" s="21"/>
      <c r="JRG23" s="21"/>
      <c r="JRH23" s="21"/>
      <c r="JRI23" s="21"/>
      <c r="JRJ23" s="21"/>
      <c r="JRK23" s="21"/>
      <c r="JRL23" s="21"/>
      <c r="JRM23" s="21"/>
      <c r="JRN23" s="21"/>
      <c r="JRO23" s="21"/>
      <c r="JRP23" s="21"/>
      <c r="JRQ23" s="21"/>
      <c r="JRR23" s="21"/>
      <c r="JRS23" s="21"/>
      <c r="JRT23" s="21"/>
      <c r="JRU23" s="21"/>
      <c r="JRV23" s="21"/>
      <c r="JRW23" s="21"/>
      <c r="JRX23" s="21"/>
      <c r="JRY23" s="21"/>
      <c r="JRZ23" s="21"/>
      <c r="JSA23" s="21"/>
      <c r="JSB23" s="21"/>
      <c r="JSC23" s="21"/>
      <c r="JSD23" s="21"/>
      <c r="JSE23" s="21"/>
      <c r="JSF23" s="21"/>
      <c r="JSG23" s="21"/>
      <c r="JSH23" s="21"/>
      <c r="JSI23" s="21"/>
      <c r="JSJ23" s="21"/>
      <c r="JSK23" s="21"/>
      <c r="JSL23" s="21"/>
      <c r="JSM23" s="21"/>
      <c r="JSN23" s="21"/>
      <c r="JSO23" s="21"/>
      <c r="JSP23" s="21"/>
      <c r="JSQ23" s="21"/>
      <c r="JSR23" s="21"/>
      <c r="JSS23" s="21"/>
      <c r="JST23" s="21"/>
      <c r="JSU23" s="21"/>
      <c r="JSV23" s="21"/>
      <c r="JSW23" s="21"/>
      <c r="JSX23" s="21"/>
      <c r="JSY23" s="21"/>
      <c r="JSZ23" s="21"/>
      <c r="JTA23" s="21"/>
      <c r="JTB23" s="21"/>
      <c r="JTC23" s="21"/>
      <c r="JTD23" s="21"/>
      <c r="JTE23" s="21"/>
      <c r="JTF23" s="21"/>
      <c r="JTG23" s="21"/>
      <c r="JTH23" s="21"/>
      <c r="JTI23" s="21"/>
      <c r="JTJ23" s="21"/>
      <c r="JTK23" s="21"/>
      <c r="JTL23" s="21"/>
      <c r="JTM23" s="21"/>
      <c r="JTN23" s="21"/>
      <c r="JTO23" s="21"/>
      <c r="JTP23" s="21"/>
      <c r="JTQ23" s="21"/>
      <c r="JTR23" s="21"/>
      <c r="JTS23" s="21"/>
      <c r="JTT23" s="21"/>
      <c r="JTU23" s="21"/>
      <c r="JTV23" s="21"/>
      <c r="JTW23" s="21"/>
      <c r="JTX23" s="21"/>
      <c r="JTY23" s="21"/>
      <c r="JTZ23" s="21"/>
      <c r="JUA23" s="21"/>
      <c r="JUB23" s="21"/>
      <c r="JUC23" s="21"/>
      <c r="JUD23" s="21"/>
      <c r="JUE23" s="21"/>
      <c r="JUF23" s="21"/>
      <c r="JUG23" s="21"/>
      <c r="JUH23" s="21"/>
      <c r="JUI23" s="21"/>
      <c r="JUJ23" s="21"/>
      <c r="JUK23" s="21"/>
      <c r="JUL23" s="21"/>
      <c r="JUM23" s="21"/>
      <c r="JUN23" s="21"/>
      <c r="JUO23" s="21"/>
      <c r="JUP23" s="21"/>
      <c r="JUQ23" s="21"/>
      <c r="JUR23" s="21"/>
      <c r="JUS23" s="21"/>
      <c r="JUT23" s="21"/>
      <c r="JUU23" s="21"/>
      <c r="JUV23" s="21"/>
      <c r="JUW23" s="21"/>
      <c r="JUX23" s="21"/>
      <c r="JUY23" s="21"/>
      <c r="JUZ23" s="21"/>
      <c r="JVA23" s="21"/>
      <c r="JVB23" s="21"/>
      <c r="JVC23" s="21"/>
      <c r="JVD23" s="21"/>
      <c r="JVE23" s="21"/>
      <c r="JVF23" s="21"/>
      <c r="JVG23" s="21"/>
      <c r="JVH23" s="21"/>
      <c r="JVI23" s="21"/>
      <c r="JVJ23" s="21"/>
      <c r="JVK23" s="21"/>
      <c r="JVL23" s="21"/>
      <c r="JVM23" s="21"/>
      <c r="JVN23" s="21"/>
      <c r="JVO23" s="21"/>
      <c r="JVP23" s="21"/>
      <c r="JVQ23" s="21"/>
      <c r="JVR23" s="21"/>
      <c r="JVS23" s="21"/>
      <c r="JVT23" s="21"/>
      <c r="JVU23" s="21"/>
      <c r="JVV23" s="21"/>
      <c r="JVW23" s="21"/>
      <c r="JVX23" s="21"/>
      <c r="JVY23" s="21"/>
      <c r="JVZ23" s="21"/>
      <c r="JWA23" s="21"/>
      <c r="JWB23" s="21"/>
      <c r="JWC23" s="21"/>
      <c r="JWD23" s="21"/>
      <c r="JWE23" s="21"/>
      <c r="JWF23" s="21"/>
      <c r="JWG23" s="21"/>
      <c r="JWH23" s="21"/>
      <c r="JWI23" s="21"/>
      <c r="JWJ23" s="21"/>
      <c r="JWK23" s="21"/>
      <c r="JWL23" s="21"/>
      <c r="JWM23" s="21"/>
      <c r="JWN23" s="21"/>
      <c r="JWO23" s="21"/>
      <c r="JWP23" s="21"/>
      <c r="JWQ23" s="21"/>
      <c r="JWR23" s="21"/>
      <c r="JWS23" s="21"/>
      <c r="JWT23" s="21"/>
      <c r="JWU23" s="21"/>
      <c r="JWV23" s="21"/>
      <c r="JWW23" s="21"/>
      <c r="JWX23" s="21"/>
      <c r="JWY23" s="21"/>
      <c r="JWZ23" s="21"/>
      <c r="JXA23" s="21"/>
      <c r="JXB23" s="21"/>
      <c r="JXC23" s="21"/>
      <c r="JXD23" s="21"/>
      <c r="JXE23" s="21"/>
      <c r="JXF23" s="21"/>
      <c r="JXG23" s="21"/>
      <c r="JXH23" s="21"/>
      <c r="JXI23" s="21"/>
      <c r="JXJ23" s="21"/>
      <c r="JXK23" s="21"/>
      <c r="JXL23" s="21"/>
      <c r="JXM23" s="21"/>
      <c r="JXN23" s="21"/>
      <c r="JXO23" s="21"/>
      <c r="JXP23" s="21"/>
      <c r="JXQ23" s="21"/>
      <c r="JXR23" s="21"/>
      <c r="JXS23" s="21"/>
      <c r="JXT23" s="21"/>
      <c r="JXU23" s="21"/>
      <c r="JXV23" s="21"/>
      <c r="JXW23" s="21"/>
      <c r="JXX23" s="21"/>
      <c r="JXY23" s="21"/>
      <c r="JXZ23" s="21"/>
      <c r="JYA23" s="21"/>
      <c r="JYB23" s="21"/>
      <c r="JYC23" s="21"/>
      <c r="JYD23" s="21"/>
      <c r="JYE23" s="21"/>
      <c r="JYF23" s="21"/>
      <c r="JYG23" s="21"/>
      <c r="JYH23" s="21"/>
      <c r="JYI23" s="21"/>
      <c r="JYJ23" s="21"/>
      <c r="JYK23" s="21"/>
      <c r="JYL23" s="21"/>
      <c r="JYM23" s="21"/>
      <c r="JYN23" s="21"/>
      <c r="JYO23" s="21"/>
      <c r="JYP23" s="21"/>
      <c r="JYQ23" s="21"/>
      <c r="JYR23" s="21"/>
      <c r="JYS23" s="21"/>
      <c r="JYT23" s="21"/>
      <c r="JYU23" s="21"/>
      <c r="JYV23" s="21"/>
      <c r="JYW23" s="21"/>
      <c r="JYX23" s="21"/>
      <c r="JYY23" s="21"/>
      <c r="JYZ23" s="21"/>
      <c r="JZA23" s="21"/>
      <c r="JZB23" s="21"/>
      <c r="JZC23" s="21"/>
      <c r="JZD23" s="21"/>
      <c r="JZE23" s="21"/>
      <c r="JZF23" s="21"/>
      <c r="JZG23" s="21"/>
      <c r="JZH23" s="21"/>
      <c r="JZI23" s="21"/>
      <c r="JZJ23" s="21"/>
      <c r="JZK23" s="21"/>
      <c r="JZL23" s="21"/>
      <c r="JZM23" s="21"/>
      <c r="JZN23" s="21"/>
      <c r="JZO23" s="21"/>
      <c r="JZP23" s="21"/>
      <c r="JZQ23" s="21"/>
      <c r="JZR23" s="21"/>
      <c r="JZS23" s="21"/>
      <c r="JZT23" s="21"/>
      <c r="JZU23" s="21"/>
      <c r="JZV23" s="21"/>
      <c r="JZW23" s="21"/>
      <c r="JZX23" s="21"/>
      <c r="JZY23" s="21"/>
      <c r="JZZ23" s="21"/>
      <c r="KAA23" s="21"/>
      <c r="KAB23" s="21"/>
      <c r="KAC23" s="21"/>
      <c r="KAD23" s="21"/>
      <c r="KAE23" s="21"/>
      <c r="KAF23" s="21"/>
      <c r="KAG23" s="21"/>
      <c r="KAH23" s="21"/>
      <c r="KAI23" s="21"/>
      <c r="KAJ23" s="21"/>
      <c r="KAK23" s="21"/>
      <c r="KAL23" s="21"/>
      <c r="KAM23" s="21"/>
      <c r="KAN23" s="21"/>
      <c r="KAO23" s="21"/>
      <c r="KAP23" s="21"/>
      <c r="KAQ23" s="21"/>
      <c r="KAR23" s="21"/>
      <c r="KAS23" s="21"/>
      <c r="KAT23" s="21"/>
      <c r="KAU23" s="21"/>
      <c r="KAV23" s="21"/>
      <c r="KAW23" s="21"/>
      <c r="KAX23" s="21"/>
      <c r="KAY23" s="21"/>
      <c r="KAZ23" s="21"/>
      <c r="KBA23" s="21"/>
      <c r="KBB23" s="21"/>
      <c r="KBC23" s="21"/>
      <c r="KBD23" s="21"/>
      <c r="KBE23" s="21"/>
      <c r="KBF23" s="21"/>
      <c r="KBG23" s="21"/>
      <c r="KBH23" s="21"/>
      <c r="KBI23" s="21"/>
      <c r="KBJ23" s="21"/>
      <c r="KBK23" s="21"/>
      <c r="KBL23" s="21"/>
      <c r="KBM23" s="21"/>
      <c r="KBN23" s="21"/>
      <c r="KBO23" s="21"/>
      <c r="KBP23" s="21"/>
      <c r="KBQ23" s="21"/>
      <c r="KBR23" s="21"/>
      <c r="KBS23" s="21"/>
      <c r="KBT23" s="21"/>
      <c r="KBU23" s="21"/>
      <c r="KBV23" s="21"/>
      <c r="KBW23" s="21"/>
      <c r="KBX23" s="21"/>
      <c r="KBY23" s="21"/>
      <c r="KBZ23" s="21"/>
      <c r="KCA23" s="21"/>
      <c r="KCB23" s="21"/>
      <c r="KCC23" s="21"/>
      <c r="KCD23" s="21"/>
      <c r="KCE23" s="21"/>
      <c r="KCF23" s="21"/>
      <c r="KCG23" s="21"/>
      <c r="KCH23" s="21"/>
      <c r="KCI23" s="21"/>
      <c r="KCJ23" s="21"/>
      <c r="KCK23" s="21"/>
      <c r="KCL23" s="21"/>
      <c r="KCM23" s="21"/>
      <c r="KCN23" s="21"/>
      <c r="KCO23" s="21"/>
      <c r="KCP23" s="21"/>
      <c r="KCQ23" s="21"/>
      <c r="KCR23" s="21"/>
      <c r="KCS23" s="21"/>
      <c r="KCT23" s="21"/>
      <c r="KCU23" s="21"/>
      <c r="KCV23" s="21"/>
      <c r="KCW23" s="21"/>
      <c r="KCX23" s="21"/>
      <c r="KCY23" s="21"/>
      <c r="KCZ23" s="21"/>
      <c r="KDA23" s="21"/>
      <c r="KDB23" s="21"/>
      <c r="KDC23" s="21"/>
      <c r="KDD23" s="21"/>
      <c r="KDE23" s="21"/>
      <c r="KDF23" s="21"/>
      <c r="KDG23" s="21"/>
      <c r="KDH23" s="21"/>
      <c r="KDI23" s="21"/>
      <c r="KDJ23" s="21"/>
      <c r="KDK23" s="21"/>
      <c r="KDL23" s="21"/>
      <c r="KDM23" s="21"/>
      <c r="KDN23" s="21"/>
      <c r="KDO23" s="21"/>
      <c r="KDP23" s="21"/>
      <c r="KDQ23" s="21"/>
      <c r="KDR23" s="21"/>
      <c r="KDS23" s="21"/>
      <c r="KDT23" s="21"/>
      <c r="KDU23" s="21"/>
      <c r="KDV23" s="21"/>
      <c r="KDW23" s="21"/>
      <c r="KDX23" s="21"/>
      <c r="KDY23" s="21"/>
      <c r="KDZ23" s="21"/>
      <c r="KEA23" s="21"/>
      <c r="KEB23" s="21"/>
      <c r="KEC23" s="21"/>
      <c r="KED23" s="21"/>
      <c r="KEE23" s="21"/>
      <c r="KEF23" s="21"/>
      <c r="KEG23" s="21"/>
      <c r="KEH23" s="21"/>
      <c r="KEI23" s="21"/>
      <c r="KEJ23" s="21"/>
      <c r="KEK23" s="21"/>
      <c r="KEL23" s="21"/>
      <c r="KEM23" s="21"/>
      <c r="KEN23" s="21"/>
      <c r="KEO23" s="21"/>
      <c r="KEP23" s="21"/>
      <c r="KEQ23" s="21"/>
      <c r="KER23" s="21"/>
      <c r="KES23" s="21"/>
      <c r="KET23" s="21"/>
      <c r="KEU23" s="21"/>
      <c r="KEV23" s="21"/>
      <c r="KEW23" s="21"/>
      <c r="KEX23" s="21"/>
      <c r="KEY23" s="21"/>
      <c r="KEZ23" s="21"/>
      <c r="KFA23" s="21"/>
      <c r="KFB23" s="21"/>
      <c r="KFC23" s="21"/>
      <c r="KFD23" s="21"/>
      <c r="KFE23" s="21"/>
      <c r="KFF23" s="21"/>
      <c r="KFG23" s="21"/>
      <c r="KFH23" s="21"/>
      <c r="KFI23" s="21"/>
      <c r="KFJ23" s="21"/>
      <c r="KFK23" s="21"/>
      <c r="KFL23" s="21"/>
      <c r="KFM23" s="21"/>
      <c r="KFN23" s="21"/>
      <c r="KFO23" s="21"/>
      <c r="KFP23" s="21"/>
      <c r="KFQ23" s="21"/>
      <c r="KFR23" s="21"/>
      <c r="KFS23" s="21"/>
      <c r="KFT23" s="21"/>
      <c r="KFU23" s="21"/>
      <c r="KFV23" s="21"/>
      <c r="KFW23" s="21"/>
      <c r="KFX23" s="21"/>
      <c r="KFY23" s="21"/>
      <c r="KFZ23" s="21"/>
      <c r="KGA23" s="21"/>
      <c r="KGB23" s="21"/>
      <c r="KGC23" s="21"/>
      <c r="KGD23" s="21"/>
      <c r="KGE23" s="21"/>
      <c r="KGF23" s="21"/>
      <c r="KGG23" s="21"/>
      <c r="KGH23" s="21"/>
      <c r="KGI23" s="21"/>
      <c r="KGJ23" s="21"/>
      <c r="KGK23" s="21"/>
      <c r="KGL23" s="21"/>
      <c r="KGM23" s="21"/>
      <c r="KGN23" s="21"/>
      <c r="KGO23" s="21"/>
      <c r="KGP23" s="21"/>
      <c r="KGQ23" s="21"/>
      <c r="KGR23" s="21"/>
      <c r="KGS23" s="21"/>
      <c r="KGT23" s="21"/>
      <c r="KGU23" s="21"/>
      <c r="KGV23" s="21"/>
      <c r="KGW23" s="21"/>
      <c r="KGX23" s="21"/>
      <c r="KGY23" s="21"/>
      <c r="KGZ23" s="21"/>
      <c r="KHA23" s="21"/>
      <c r="KHB23" s="21"/>
      <c r="KHC23" s="21"/>
      <c r="KHD23" s="21"/>
      <c r="KHE23" s="21"/>
      <c r="KHF23" s="21"/>
      <c r="KHG23" s="21"/>
      <c r="KHH23" s="21"/>
      <c r="KHI23" s="21"/>
      <c r="KHJ23" s="21"/>
      <c r="KHK23" s="21"/>
      <c r="KHL23" s="21"/>
      <c r="KHM23" s="21"/>
      <c r="KHN23" s="21"/>
      <c r="KHO23" s="21"/>
      <c r="KHP23" s="21"/>
      <c r="KHQ23" s="21"/>
      <c r="KHR23" s="21"/>
      <c r="KHS23" s="21"/>
      <c r="KHT23" s="21"/>
      <c r="KHU23" s="21"/>
      <c r="KHV23" s="21"/>
      <c r="KHW23" s="21"/>
      <c r="KHX23" s="21"/>
      <c r="KHY23" s="21"/>
      <c r="KHZ23" s="21"/>
      <c r="KIA23" s="21"/>
      <c r="KIB23" s="21"/>
      <c r="KIC23" s="21"/>
      <c r="KID23" s="21"/>
      <c r="KIE23" s="21"/>
      <c r="KIF23" s="21"/>
      <c r="KIG23" s="21"/>
      <c r="KIH23" s="21"/>
      <c r="KII23" s="21"/>
      <c r="KIJ23" s="21"/>
      <c r="KIK23" s="21"/>
      <c r="KIL23" s="21"/>
      <c r="KIM23" s="21"/>
      <c r="KIN23" s="21"/>
      <c r="KIO23" s="21"/>
      <c r="KIP23" s="21"/>
      <c r="KIQ23" s="21"/>
      <c r="KIR23" s="21"/>
      <c r="KIS23" s="21"/>
      <c r="KIT23" s="21"/>
      <c r="KIU23" s="21"/>
      <c r="KIV23" s="21"/>
      <c r="KIW23" s="21"/>
      <c r="KIX23" s="21"/>
      <c r="KIY23" s="21"/>
      <c r="KIZ23" s="21"/>
      <c r="KJA23" s="21"/>
      <c r="KJB23" s="21"/>
      <c r="KJC23" s="21"/>
      <c r="KJD23" s="21"/>
      <c r="KJE23" s="21"/>
      <c r="KJF23" s="21"/>
      <c r="KJG23" s="21"/>
      <c r="KJH23" s="21"/>
      <c r="KJI23" s="21"/>
      <c r="KJJ23" s="21"/>
      <c r="KJK23" s="21"/>
      <c r="KJL23" s="21"/>
      <c r="KJM23" s="21"/>
      <c r="KJN23" s="21"/>
      <c r="KJO23" s="21"/>
      <c r="KJP23" s="21"/>
      <c r="KJQ23" s="21"/>
      <c r="KJR23" s="21"/>
      <c r="KJS23" s="21"/>
      <c r="KJT23" s="21"/>
      <c r="KJU23" s="21"/>
      <c r="KJV23" s="21"/>
      <c r="KJW23" s="21"/>
      <c r="KJX23" s="21"/>
      <c r="KJY23" s="21"/>
      <c r="KJZ23" s="21"/>
      <c r="KKA23" s="21"/>
      <c r="KKB23" s="21"/>
      <c r="KKC23" s="21"/>
      <c r="KKD23" s="21"/>
      <c r="KKE23" s="21"/>
      <c r="KKF23" s="21"/>
      <c r="KKG23" s="21"/>
      <c r="KKH23" s="21"/>
      <c r="KKI23" s="21"/>
      <c r="KKJ23" s="21"/>
      <c r="KKK23" s="21"/>
      <c r="KKL23" s="21"/>
      <c r="KKM23" s="21"/>
      <c r="KKN23" s="21"/>
      <c r="KKO23" s="21"/>
      <c r="KKP23" s="21"/>
      <c r="KKQ23" s="21"/>
      <c r="KKR23" s="21"/>
      <c r="KKS23" s="21"/>
      <c r="KKT23" s="21"/>
      <c r="KKU23" s="21"/>
      <c r="KKV23" s="21"/>
      <c r="KKW23" s="21"/>
      <c r="KKX23" s="21"/>
      <c r="KKY23" s="21"/>
      <c r="KKZ23" s="21"/>
      <c r="KLA23" s="21"/>
      <c r="KLB23" s="21"/>
      <c r="KLC23" s="21"/>
      <c r="KLD23" s="21"/>
      <c r="KLE23" s="21"/>
      <c r="KLF23" s="21"/>
      <c r="KLG23" s="21"/>
      <c r="KLH23" s="21"/>
      <c r="KLI23" s="21"/>
      <c r="KLJ23" s="21"/>
      <c r="KLK23" s="21"/>
      <c r="KLL23" s="21"/>
      <c r="KLM23" s="21"/>
      <c r="KLN23" s="21"/>
      <c r="KLO23" s="21"/>
      <c r="KLP23" s="21"/>
      <c r="KLQ23" s="21"/>
      <c r="KLR23" s="21"/>
      <c r="KLS23" s="21"/>
      <c r="KLT23" s="21"/>
      <c r="KLU23" s="21"/>
      <c r="KLV23" s="21"/>
      <c r="KLW23" s="21"/>
      <c r="KLX23" s="21"/>
      <c r="KLY23" s="21"/>
      <c r="KLZ23" s="21"/>
      <c r="KMA23" s="21"/>
      <c r="KMB23" s="21"/>
      <c r="KMC23" s="21"/>
      <c r="KMD23" s="21"/>
      <c r="KME23" s="21"/>
      <c r="KMF23" s="21"/>
      <c r="KMG23" s="21"/>
      <c r="KMH23" s="21"/>
      <c r="KMI23" s="21"/>
      <c r="KMJ23" s="21"/>
      <c r="KMK23" s="21"/>
      <c r="KML23" s="21"/>
      <c r="KMM23" s="21"/>
      <c r="KMN23" s="21"/>
      <c r="KMO23" s="21"/>
      <c r="KMP23" s="21"/>
      <c r="KMQ23" s="21"/>
      <c r="KMR23" s="21"/>
      <c r="KMS23" s="21"/>
      <c r="KMT23" s="21"/>
      <c r="KMU23" s="21"/>
      <c r="KMV23" s="21"/>
      <c r="KMW23" s="21"/>
      <c r="KMX23" s="21"/>
      <c r="KMY23" s="21"/>
      <c r="KMZ23" s="21"/>
      <c r="KNA23" s="21"/>
      <c r="KNB23" s="21"/>
      <c r="KNC23" s="21"/>
      <c r="KND23" s="21"/>
      <c r="KNE23" s="21"/>
      <c r="KNF23" s="21"/>
      <c r="KNG23" s="21"/>
      <c r="KNH23" s="21"/>
      <c r="KNI23" s="21"/>
      <c r="KNJ23" s="21"/>
      <c r="KNK23" s="21"/>
      <c r="KNL23" s="21"/>
      <c r="KNM23" s="21"/>
      <c r="KNN23" s="21"/>
      <c r="KNO23" s="21"/>
      <c r="KNP23" s="21"/>
      <c r="KNQ23" s="21"/>
      <c r="KNR23" s="21"/>
      <c r="KNS23" s="21"/>
      <c r="KNT23" s="21"/>
      <c r="KNU23" s="21"/>
      <c r="KNV23" s="21"/>
      <c r="KNW23" s="21"/>
      <c r="KNX23" s="21"/>
      <c r="KNY23" s="21"/>
      <c r="KNZ23" s="21"/>
      <c r="KOA23" s="21"/>
      <c r="KOB23" s="21"/>
      <c r="KOC23" s="21"/>
      <c r="KOD23" s="21"/>
      <c r="KOE23" s="21"/>
      <c r="KOF23" s="21"/>
      <c r="KOG23" s="21"/>
      <c r="KOH23" s="21"/>
      <c r="KOI23" s="21"/>
      <c r="KOJ23" s="21"/>
      <c r="KOK23" s="21"/>
      <c r="KOL23" s="21"/>
      <c r="KOM23" s="21"/>
      <c r="KON23" s="21"/>
      <c r="KOO23" s="21"/>
      <c r="KOP23" s="21"/>
      <c r="KOQ23" s="21"/>
      <c r="KOR23" s="21"/>
      <c r="KOS23" s="21"/>
      <c r="KOT23" s="21"/>
      <c r="KOU23" s="21"/>
      <c r="KOV23" s="21"/>
      <c r="KOW23" s="21"/>
      <c r="KOX23" s="21"/>
      <c r="KOY23" s="21"/>
      <c r="KOZ23" s="21"/>
      <c r="KPA23" s="21"/>
      <c r="KPB23" s="21"/>
      <c r="KPC23" s="21"/>
      <c r="KPD23" s="21"/>
      <c r="KPE23" s="21"/>
      <c r="KPF23" s="21"/>
      <c r="KPG23" s="21"/>
      <c r="KPH23" s="21"/>
      <c r="KPI23" s="21"/>
      <c r="KPJ23" s="21"/>
      <c r="KPK23" s="21"/>
      <c r="KPL23" s="21"/>
      <c r="KPM23" s="21"/>
      <c r="KPN23" s="21"/>
      <c r="KPO23" s="21"/>
      <c r="KPP23" s="21"/>
      <c r="KPQ23" s="21"/>
      <c r="KPR23" s="21"/>
      <c r="KPS23" s="21"/>
      <c r="KPT23" s="21"/>
      <c r="KPU23" s="21"/>
      <c r="KPV23" s="21"/>
      <c r="KPW23" s="21"/>
      <c r="KPX23" s="21"/>
      <c r="KPY23" s="21"/>
      <c r="KPZ23" s="21"/>
      <c r="KQA23" s="21"/>
      <c r="KQB23" s="21"/>
      <c r="KQC23" s="21"/>
      <c r="KQD23" s="21"/>
      <c r="KQE23" s="21"/>
      <c r="KQF23" s="21"/>
      <c r="KQG23" s="21"/>
      <c r="KQH23" s="21"/>
      <c r="KQI23" s="21"/>
      <c r="KQJ23" s="21"/>
      <c r="KQK23" s="21"/>
      <c r="KQL23" s="21"/>
      <c r="KQM23" s="21"/>
      <c r="KQN23" s="21"/>
      <c r="KQO23" s="21"/>
      <c r="KQP23" s="21"/>
      <c r="KQQ23" s="21"/>
      <c r="KQR23" s="21"/>
      <c r="KQS23" s="21"/>
      <c r="KQT23" s="21"/>
      <c r="KQU23" s="21"/>
      <c r="KQV23" s="21"/>
      <c r="KQW23" s="21"/>
      <c r="KQX23" s="21"/>
      <c r="KQY23" s="21"/>
      <c r="KQZ23" s="21"/>
      <c r="KRA23" s="21"/>
      <c r="KRB23" s="21"/>
      <c r="KRC23" s="21"/>
      <c r="KRD23" s="21"/>
      <c r="KRE23" s="21"/>
      <c r="KRF23" s="21"/>
      <c r="KRG23" s="21"/>
      <c r="KRH23" s="21"/>
      <c r="KRI23" s="21"/>
      <c r="KRJ23" s="21"/>
      <c r="KRK23" s="21"/>
      <c r="KRL23" s="21"/>
      <c r="KRM23" s="21"/>
      <c r="KRN23" s="21"/>
      <c r="KRO23" s="21"/>
      <c r="KRP23" s="21"/>
      <c r="KRQ23" s="21"/>
      <c r="KRR23" s="21"/>
      <c r="KRS23" s="21"/>
      <c r="KRT23" s="21"/>
      <c r="KRU23" s="21"/>
      <c r="KRV23" s="21"/>
      <c r="KRW23" s="21"/>
      <c r="KRX23" s="21"/>
      <c r="KRY23" s="21"/>
      <c r="KRZ23" s="21"/>
      <c r="KSA23" s="21"/>
      <c r="KSB23" s="21"/>
      <c r="KSC23" s="21"/>
      <c r="KSD23" s="21"/>
      <c r="KSE23" s="21"/>
      <c r="KSF23" s="21"/>
      <c r="KSG23" s="21"/>
      <c r="KSH23" s="21"/>
      <c r="KSI23" s="21"/>
      <c r="KSJ23" s="21"/>
      <c r="KSK23" s="21"/>
      <c r="KSL23" s="21"/>
      <c r="KSM23" s="21"/>
      <c r="KSN23" s="21"/>
      <c r="KSO23" s="21"/>
      <c r="KSP23" s="21"/>
      <c r="KSQ23" s="21"/>
      <c r="KSR23" s="21"/>
      <c r="KSS23" s="21"/>
      <c r="KST23" s="21"/>
      <c r="KSU23" s="21"/>
      <c r="KSV23" s="21"/>
      <c r="KSW23" s="21"/>
      <c r="KSX23" s="21"/>
      <c r="KSY23" s="21"/>
      <c r="KSZ23" s="21"/>
      <c r="KTA23" s="21"/>
      <c r="KTB23" s="21"/>
      <c r="KTC23" s="21"/>
      <c r="KTD23" s="21"/>
      <c r="KTE23" s="21"/>
      <c r="KTF23" s="21"/>
      <c r="KTG23" s="21"/>
      <c r="KTH23" s="21"/>
      <c r="KTI23" s="21"/>
      <c r="KTJ23" s="21"/>
      <c r="KTK23" s="21"/>
      <c r="KTL23" s="21"/>
      <c r="KTM23" s="21"/>
      <c r="KTN23" s="21"/>
      <c r="KTO23" s="21"/>
      <c r="KTP23" s="21"/>
      <c r="KTQ23" s="21"/>
      <c r="KTR23" s="21"/>
      <c r="KTS23" s="21"/>
      <c r="KTT23" s="21"/>
      <c r="KTU23" s="21"/>
      <c r="KTV23" s="21"/>
      <c r="KTW23" s="21"/>
      <c r="KTX23" s="21"/>
      <c r="KTY23" s="21"/>
      <c r="KTZ23" s="21"/>
      <c r="KUA23" s="21"/>
      <c r="KUB23" s="21"/>
      <c r="KUC23" s="21"/>
      <c r="KUD23" s="21"/>
      <c r="KUE23" s="21"/>
      <c r="KUF23" s="21"/>
      <c r="KUG23" s="21"/>
      <c r="KUH23" s="21"/>
      <c r="KUI23" s="21"/>
      <c r="KUJ23" s="21"/>
      <c r="KUK23" s="21"/>
      <c r="KUL23" s="21"/>
      <c r="KUM23" s="21"/>
      <c r="KUN23" s="21"/>
      <c r="KUO23" s="21"/>
      <c r="KUP23" s="21"/>
      <c r="KUQ23" s="21"/>
      <c r="KUR23" s="21"/>
      <c r="KUS23" s="21"/>
      <c r="KUT23" s="21"/>
      <c r="KUU23" s="21"/>
      <c r="KUV23" s="21"/>
      <c r="KUW23" s="21"/>
      <c r="KUX23" s="21"/>
      <c r="KUY23" s="21"/>
      <c r="KUZ23" s="21"/>
      <c r="KVA23" s="21"/>
      <c r="KVB23" s="21"/>
      <c r="KVC23" s="21"/>
      <c r="KVD23" s="21"/>
      <c r="KVE23" s="21"/>
      <c r="KVF23" s="21"/>
      <c r="KVG23" s="21"/>
      <c r="KVH23" s="21"/>
      <c r="KVI23" s="21"/>
      <c r="KVJ23" s="21"/>
      <c r="KVK23" s="21"/>
      <c r="KVL23" s="21"/>
      <c r="KVM23" s="21"/>
      <c r="KVN23" s="21"/>
      <c r="KVO23" s="21"/>
      <c r="KVP23" s="21"/>
      <c r="KVQ23" s="21"/>
      <c r="KVR23" s="21"/>
      <c r="KVS23" s="21"/>
      <c r="KVT23" s="21"/>
      <c r="KVU23" s="21"/>
      <c r="KVV23" s="21"/>
      <c r="KVW23" s="21"/>
      <c r="KVX23" s="21"/>
      <c r="KVY23" s="21"/>
      <c r="KVZ23" s="21"/>
      <c r="KWA23" s="21"/>
      <c r="KWB23" s="21"/>
      <c r="KWC23" s="21"/>
      <c r="KWD23" s="21"/>
      <c r="KWE23" s="21"/>
      <c r="KWF23" s="21"/>
      <c r="KWG23" s="21"/>
      <c r="KWH23" s="21"/>
      <c r="KWI23" s="21"/>
      <c r="KWJ23" s="21"/>
      <c r="KWK23" s="21"/>
      <c r="KWL23" s="21"/>
      <c r="KWM23" s="21"/>
      <c r="KWN23" s="21"/>
      <c r="KWO23" s="21"/>
      <c r="KWP23" s="21"/>
      <c r="KWQ23" s="21"/>
      <c r="KWR23" s="21"/>
      <c r="KWS23" s="21"/>
      <c r="KWT23" s="21"/>
      <c r="KWU23" s="21"/>
      <c r="KWV23" s="21"/>
      <c r="KWW23" s="21"/>
      <c r="KWX23" s="21"/>
      <c r="KWY23" s="21"/>
      <c r="KWZ23" s="21"/>
      <c r="KXA23" s="21"/>
      <c r="KXB23" s="21"/>
      <c r="KXC23" s="21"/>
      <c r="KXD23" s="21"/>
      <c r="KXE23" s="21"/>
      <c r="KXF23" s="21"/>
      <c r="KXG23" s="21"/>
      <c r="KXH23" s="21"/>
      <c r="KXI23" s="21"/>
      <c r="KXJ23" s="21"/>
      <c r="KXK23" s="21"/>
      <c r="KXL23" s="21"/>
      <c r="KXM23" s="21"/>
      <c r="KXN23" s="21"/>
      <c r="KXO23" s="21"/>
      <c r="KXP23" s="21"/>
      <c r="KXQ23" s="21"/>
      <c r="KXR23" s="21"/>
      <c r="KXS23" s="21"/>
      <c r="KXT23" s="21"/>
      <c r="KXU23" s="21"/>
      <c r="KXV23" s="21"/>
      <c r="KXW23" s="21"/>
      <c r="KXX23" s="21"/>
      <c r="KXY23" s="21"/>
      <c r="KXZ23" s="21"/>
      <c r="KYA23" s="21"/>
      <c r="KYB23" s="21"/>
      <c r="KYC23" s="21"/>
      <c r="KYD23" s="21"/>
      <c r="KYE23" s="21"/>
      <c r="KYF23" s="21"/>
      <c r="KYG23" s="21"/>
      <c r="KYH23" s="21"/>
      <c r="KYI23" s="21"/>
      <c r="KYJ23" s="21"/>
      <c r="KYK23" s="21"/>
      <c r="KYL23" s="21"/>
      <c r="KYM23" s="21"/>
      <c r="KYN23" s="21"/>
      <c r="KYO23" s="21"/>
      <c r="KYP23" s="21"/>
      <c r="KYQ23" s="21"/>
      <c r="KYR23" s="21"/>
      <c r="KYS23" s="21"/>
      <c r="KYT23" s="21"/>
      <c r="KYU23" s="21"/>
      <c r="KYV23" s="21"/>
      <c r="KYW23" s="21"/>
      <c r="KYX23" s="21"/>
      <c r="KYY23" s="21"/>
      <c r="KYZ23" s="21"/>
      <c r="KZA23" s="21"/>
      <c r="KZB23" s="21"/>
      <c r="KZC23" s="21"/>
      <c r="KZD23" s="21"/>
      <c r="KZE23" s="21"/>
      <c r="KZF23" s="21"/>
      <c r="KZG23" s="21"/>
      <c r="KZH23" s="21"/>
      <c r="KZI23" s="21"/>
      <c r="KZJ23" s="21"/>
      <c r="KZK23" s="21"/>
      <c r="KZL23" s="21"/>
      <c r="KZM23" s="21"/>
      <c r="KZN23" s="21"/>
      <c r="KZO23" s="21"/>
      <c r="KZP23" s="21"/>
      <c r="KZQ23" s="21"/>
      <c r="KZR23" s="21"/>
      <c r="KZS23" s="21"/>
      <c r="KZT23" s="21"/>
      <c r="KZU23" s="21"/>
      <c r="KZV23" s="21"/>
      <c r="KZW23" s="21"/>
      <c r="KZX23" s="21"/>
      <c r="KZY23" s="21"/>
      <c r="KZZ23" s="21"/>
      <c r="LAA23" s="21"/>
      <c r="LAB23" s="21"/>
      <c r="LAC23" s="21"/>
      <c r="LAD23" s="21"/>
      <c r="LAE23" s="21"/>
      <c r="LAF23" s="21"/>
      <c r="LAG23" s="21"/>
      <c r="LAH23" s="21"/>
      <c r="LAI23" s="21"/>
      <c r="LAJ23" s="21"/>
      <c r="LAK23" s="21"/>
      <c r="LAL23" s="21"/>
      <c r="LAM23" s="21"/>
      <c r="LAN23" s="21"/>
      <c r="LAO23" s="21"/>
      <c r="LAP23" s="21"/>
      <c r="LAQ23" s="21"/>
      <c r="LAR23" s="21"/>
      <c r="LAS23" s="21"/>
      <c r="LAT23" s="21"/>
      <c r="LAU23" s="21"/>
      <c r="LAV23" s="21"/>
      <c r="LAW23" s="21"/>
      <c r="LAX23" s="21"/>
      <c r="LAY23" s="21"/>
      <c r="LAZ23" s="21"/>
      <c r="LBA23" s="21"/>
      <c r="LBB23" s="21"/>
      <c r="LBC23" s="21"/>
      <c r="LBD23" s="21"/>
      <c r="LBE23" s="21"/>
      <c r="LBF23" s="21"/>
      <c r="LBG23" s="21"/>
      <c r="LBH23" s="21"/>
      <c r="LBI23" s="21"/>
      <c r="LBJ23" s="21"/>
      <c r="LBK23" s="21"/>
      <c r="LBL23" s="21"/>
      <c r="LBM23" s="21"/>
      <c r="LBN23" s="21"/>
      <c r="LBO23" s="21"/>
      <c r="LBP23" s="21"/>
      <c r="LBQ23" s="21"/>
      <c r="LBR23" s="21"/>
      <c r="LBS23" s="21"/>
      <c r="LBT23" s="21"/>
      <c r="LBU23" s="21"/>
      <c r="LBV23" s="21"/>
      <c r="LBW23" s="21"/>
      <c r="LBX23" s="21"/>
      <c r="LBY23" s="21"/>
      <c r="LBZ23" s="21"/>
      <c r="LCA23" s="21"/>
      <c r="LCB23" s="21"/>
      <c r="LCC23" s="21"/>
      <c r="LCD23" s="21"/>
      <c r="LCE23" s="21"/>
      <c r="LCF23" s="21"/>
      <c r="LCG23" s="21"/>
      <c r="LCH23" s="21"/>
      <c r="LCI23" s="21"/>
      <c r="LCJ23" s="21"/>
      <c r="LCK23" s="21"/>
      <c r="LCL23" s="21"/>
      <c r="LCM23" s="21"/>
      <c r="LCN23" s="21"/>
      <c r="LCO23" s="21"/>
      <c r="LCP23" s="21"/>
      <c r="LCQ23" s="21"/>
      <c r="LCR23" s="21"/>
      <c r="LCS23" s="21"/>
      <c r="LCT23" s="21"/>
      <c r="LCU23" s="21"/>
      <c r="LCV23" s="21"/>
      <c r="LCW23" s="21"/>
      <c r="LCX23" s="21"/>
      <c r="LCY23" s="21"/>
      <c r="LCZ23" s="21"/>
      <c r="LDA23" s="21"/>
      <c r="LDB23" s="21"/>
      <c r="LDC23" s="21"/>
      <c r="LDD23" s="21"/>
      <c r="LDE23" s="21"/>
      <c r="LDF23" s="21"/>
      <c r="LDG23" s="21"/>
      <c r="LDH23" s="21"/>
      <c r="LDI23" s="21"/>
      <c r="LDJ23" s="21"/>
      <c r="LDK23" s="21"/>
      <c r="LDL23" s="21"/>
      <c r="LDM23" s="21"/>
      <c r="LDN23" s="21"/>
      <c r="LDO23" s="21"/>
      <c r="LDP23" s="21"/>
      <c r="LDQ23" s="21"/>
      <c r="LDR23" s="21"/>
      <c r="LDS23" s="21"/>
      <c r="LDT23" s="21"/>
      <c r="LDU23" s="21"/>
      <c r="LDV23" s="21"/>
      <c r="LDW23" s="21"/>
      <c r="LDX23" s="21"/>
      <c r="LDY23" s="21"/>
      <c r="LDZ23" s="21"/>
      <c r="LEA23" s="21"/>
      <c r="LEB23" s="21"/>
      <c r="LEC23" s="21"/>
      <c r="LED23" s="21"/>
      <c r="LEE23" s="21"/>
      <c r="LEF23" s="21"/>
      <c r="LEG23" s="21"/>
      <c r="LEH23" s="21"/>
      <c r="LEI23" s="21"/>
      <c r="LEJ23" s="21"/>
      <c r="LEK23" s="21"/>
      <c r="LEL23" s="21"/>
      <c r="LEM23" s="21"/>
      <c r="LEN23" s="21"/>
      <c r="LEO23" s="21"/>
      <c r="LEP23" s="21"/>
      <c r="LEQ23" s="21"/>
      <c r="LER23" s="21"/>
      <c r="LES23" s="21"/>
      <c r="LET23" s="21"/>
      <c r="LEU23" s="21"/>
      <c r="LEV23" s="21"/>
      <c r="LEW23" s="21"/>
      <c r="LEX23" s="21"/>
      <c r="LEY23" s="21"/>
      <c r="LEZ23" s="21"/>
      <c r="LFA23" s="21"/>
      <c r="LFB23" s="21"/>
      <c r="LFC23" s="21"/>
      <c r="LFD23" s="21"/>
      <c r="LFE23" s="21"/>
      <c r="LFF23" s="21"/>
      <c r="LFG23" s="21"/>
      <c r="LFH23" s="21"/>
      <c r="LFI23" s="21"/>
      <c r="LFJ23" s="21"/>
      <c r="LFK23" s="21"/>
      <c r="LFL23" s="21"/>
      <c r="LFM23" s="21"/>
      <c r="LFN23" s="21"/>
      <c r="LFO23" s="21"/>
      <c r="LFP23" s="21"/>
      <c r="LFQ23" s="21"/>
      <c r="LFR23" s="21"/>
      <c r="LFS23" s="21"/>
      <c r="LFT23" s="21"/>
      <c r="LFU23" s="21"/>
      <c r="LFV23" s="21"/>
      <c r="LFW23" s="21"/>
      <c r="LFX23" s="21"/>
      <c r="LFY23" s="21"/>
      <c r="LFZ23" s="21"/>
      <c r="LGA23" s="21"/>
      <c r="LGB23" s="21"/>
      <c r="LGC23" s="21"/>
      <c r="LGD23" s="21"/>
      <c r="LGE23" s="21"/>
      <c r="LGF23" s="21"/>
      <c r="LGG23" s="21"/>
      <c r="LGH23" s="21"/>
      <c r="LGI23" s="21"/>
      <c r="LGJ23" s="21"/>
      <c r="LGK23" s="21"/>
      <c r="LGL23" s="21"/>
      <c r="LGM23" s="21"/>
      <c r="LGN23" s="21"/>
      <c r="LGO23" s="21"/>
      <c r="LGP23" s="21"/>
      <c r="LGQ23" s="21"/>
      <c r="LGR23" s="21"/>
      <c r="LGS23" s="21"/>
      <c r="LGT23" s="21"/>
      <c r="LGU23" s="21"/>
      <c r="LGV23" s="21"/>
      <c r="LGW23" s="21"/>
      <c r="LGX23" s="21"/>
      <c r="LGY23" s="21"/>
      <c r="LGZ23" s="21"/>
      <c r="LHA23" s="21"/>
      <c r="LHB23" s="21"/>
      <c r="LHC23" s="21"/>
      <c r="LHD23" s="21"/>
      <c r="LHE23" s="21"/>
      <c r="LHF23" s="21"/>
      <c r="LHG23" s="21"/>
      <c r="LHH23" s="21"/>
      <c r="LHI23" s="21"/>
      <c r="LHJ23" s="21"/>
      <c r="LHK23" s="21"/>
      <c r="LHL23" s="21"/>
      <c r="LHM23" s="21"/>
      <c r="LHN23" s="21"/>
      <c r="LHO23" s="21"/>
      <c r="LHP23" s="21"/>
      <c r="LHQ23" s="21"/>
      <c r="LHR23" s="21"/>
      <c r="LHS23" s="21"/>
      <c r="LHT23" s="21"/>
      <c r="LHU23" s="21"/>
      <c r="LHV23" s="21"/>
      <c r="LHW23" s="21"/>
      <c r="LHX23" s="21"/>
      <c r="LHY23" s="21"/>
      <c r="LHZ23" s="21"/>
      <c r="LIA23" s="21"/>
      <c r="LIB23" s="21"/>
      <c r="LIC23" s="21"/>
      <c r="LID23" s="21"/>
      <c r="LIE23" s="21"/>
      <c r="LIF23" s="21"/>
      <c r="LIG23" s="21"/>
      <c r="LIH23" s="21"/>
      <c r="LII23" s="21"/>
      <c r="LIJ23" s="21"/>
      <c r="LIK23" s="21"/>
      <c r="LIL23" s="21"/>
      <c r="LIM23" s="21"/>
      <c r="LIN23" s="21"/>
      <c r="LIO23" s="21"/>
      <c r="LIP23" s="21"/>
      <c r="LIQ23" s="21"/>
      <c r="LIR23" s="21"/>
      <c r="LIS23" s="21"/>
      <c r="LIT23" s="21"/>
      <c r="LIU23" s="21"/>
      <c r="LIV23" s="21"/>
      <c r="LIW23" s="21"/>
      <c r="LIX23" s="21"/>
      <c r="LIY23" s="21"/>
      <c r="LIZ23" s="21"/>
      <c r="LJA23" s="21"/>
      <c r="LJB23" s="21"/>
      <c r="LJC23" s="21"/>
      <c r="LJD23" s="21"/>
      <c r="LJE23" s="21"/>
      <c r="LJF23" s="21"/>
      <c r="LJG23" s="21"/>
      <c r="LJH23" s="21"/>
      <c r="LJI23" s="21"/>
      <c r="LJJ23" s="21"/>
      <c r="LJK23" s="21"/>
      <c r="LJL23" s="21"/>
      <c r="LJM23" s="21"/>
      <c r="LJN23" s="21"/>
      <c r="LJO23" s="21"/>
      <c r="LJP23" s="21"/>
      <c r="LJQ23" s="21"/>
      <c r="LJR23" s="21"/>
      <c r="LJS23" s="21"/>
      <c r="LJT23" s="21"/>
      <c r="LJU23" s="21"/>
      <c r="LJV23" s="21"/>
      <c r="LJW23" s="21"/>
      <c r="LJX23" s="21"/>
      <c r="LJY23" s="21"/>
      <c r="LJZ23" s="21"/>
      <c r="LKA23" s="21"/>
      <c r="LKB23" s="21"/>
      <c r="LKC23" s="21"/>
      <c r="LKD23" s="21"/>
      <c r="LKE23" s="21"/>
      <c r="LKF23" s="21"/>
      <c r="LKG23" s="21"/>
      <c r="LKH23" s="21"/>
      <c r="LKI23" s="21"/>
      <c r="LKJ23" s="21"/>
      <c r="LKK23" s="21"/>
      <c r="LKL23" s="21"/>
      <c r="LKM23" s="21"/>
      <c r="LKN23" s="21"/>
      <c r="LKO23" s="21"/>
      <c r="LKP23" s="21"/>
      <c r="LKQ23" s="21"/>
      <c r="LKR23" s="21"/>
      <c r="LKS23" s="21"/>
      <c r="LKT23" s="21"/>
      <c r="LKU23" s="21"/>
      <c r="LKV23" s="21"/>
      <c r="LKW23" s="21"/>
      <c r="LKX23" s="21"/>
      <c r="LKY23" s="21"/>
      <c r="LKZ23" s="21"/>
      <c r="LLA23" s="21"/>
      <c r="LLB23" s="21"/>
      <c r="LLC23" s="21"/>
      <c r="LLD23" s="21"/>
      <c r="LLE23" s="21"/>
      <c r="LLF23" s="21"/>
      <c r="LLG23" s="21"/>
      <c r="LLH23" s="21"/>
      <c r="LLI23" s="21"/>
      <c r="LLJ23" s="21"/>
      <c r="LLK23" s="21"/>
      <c r="LLL23" s="21"/>
      <c r="LLM23" s="21"/>
      <c r="LLN23" s="21"/>
      <c r="LLO23" s="21"/>
      <c r="LLP23" s="21"/>
      <c r="LLQ23" s="21"/>
      <c r="LLR23" s="21"/>
      <c r="LLS23" s="21"/>
      <c r="LLT23" s="21"/>
      <c r="LLU23" s="21"/>
      <c r="LLV23" s="21"/>
      <c r="LLW23" s="21"/>
      <c r="LLX23" s="21"/>
      <c r="LLY23" s="21"/>
      <c r="LLZ23" s="21"/>
      <c r="LMA23" s="21"/>
      <c r="LMB23" s="21"/>
      <c r="LMC23" s="21"/>
      <c r="LMD23" s="21"/>
      <c r="LME23" s="21"/>
      <c r="LMF23" s="21"/>
      <c r="LMG23" s="21"/>
      <c r="LMH23" s="21"/>
      <c r="LMI23" s="21"/>
      <c r="LMJ23" s="21"/>
      <c r="LMK23" s="21"/>
      <c r="LML23" s="21"/>
      <c r="LMM23" s="21"/>
      <c r="LMN23" s="21"/>
      <c r="LMO23" s="21"/>
      <c r="LMP23" s="21"/>
      <c r="LMQ23" s="21"/>
      <c r="LMR23" s="21"/>
      <c r="LMS23" s="21"/>
      <c r="LMT23" s="21"/>
      <c r="LMU23" s="21"/>
      <c r="LMV23" s="21"/>
      <c r="LMW23" s="21"/>
      <c r="LMX23" s="21"/>
      <c r="LMY23" s="21"/>
      <c r="LMZ23" s="21"/>
      <c r="LNA23" s="21"/>
      <c r="LNB23" s="21"/>
      <c r="LNC23" s="21"/>
      <c r="LND23" s="21"/>
      <c r="LNE23" s="21"/>
      <c r="LNF23" s="21"/>
      <c r="LNG23" s="21"/>
      <c r="LNH23" s="21"/>
      <c r="LNI23" s="21"/>
      <c r="LNJ23" s="21"/>
      <c r="LNK23" s="21"/>
      <c r="LNL23" s="21"/>
      <c r="LNM23" s="21"/>
      <c r="LNN23" s="21"/>
      <c r="LNO23" s="21"/>
      <c r="LNP23" s="21"/>
      <c r="LNQ23" s="21"/>
      <c r="LNR23" s="21"/>
      <c r="LNS23" s="21"/>
      <c r="LNT23" s="21"/>
      <c r="LNU23" s="21"/>
      <c r="LNV23" s="21"/>
      <c r="LNW23" s="21"/>
      <c r="LNX23" s="21"/>
      <c r="LNY23" s="21"/>
      <c r="LNZ23" s="21"/>
      <c r="LOA23" s="21"/>
      <c r="LOB23" s="21"/>
      <c r="LOC23" s="21"/>
      <c r="LOD23" s="21"/>
      <c r="LOE23" s="21"/>
      <c r="LOF23" s="21"/>
      <c r="LOG23" s="21"/>
      <c r="LOH23" s="21"/>
      <c r="LOI23" s="21"/>
      <c r="LOJ23" s="21"/>
      <c r="LOK23" s="21"/>
      <c r="LOL23" s="21"/>
      <c r="LOM23" s="21"/>
      <c r="LON23" s="21"/>
      <c r="LOO23" s="21"/>
      <c r="LOP23" s="21"/>
      <c r="LOQ23" s="21"/>
      <c r="LOR23" s="21"/>
      <c r="LOS23" s="21"/>
      <c r="LOT23" s="21"/>
      <c r="LOU23" s="21"/>
      <c r="LOV23" s="21"/>
      <c r="LOW23" s="21"/>
      <c r="LOX23" s="21"/>
      <c r="LOY23" s="21"/>
      <c r="LOZ23" s="21"/>
      <c r="LPA23" s="21"/>
      <c r="LPB23" s="21"/>
      <c r="LPC23" s="21"/>
      <c r="LPD23" s="21"/>
      <c r="LPE23" s="21"/>
      <c r="LPF23" s="21"/>
      <c r="LPG23" s="21"/>
      <c r="LPH23" s="21"/>
      <c r="LPI23" s="21"/>
      <c r="LPJ23" s="21"/>
      <c r="LPK23" s="21"/>
      <c r="LPL23" s="21"/>
      <c r="LPM23" s="21"/>
      <c r="LPN23" s="21"/>
      <c r="LPO23" s="21"/>
      <c r="LPP23" s="21"/>
      <c r="LPQ23" s="21"/>
      <c r="LPR23" s="21"/>
      <c r="LPS23" s="21"/>
      <c r="LPT23" s="21"/>
      <c r="LPU23" s="21"/>
      <c r="LPV23" s="21"/>
      <c r="LPW23" s="21"/>
      <c r="LPX23" s="21"/>
      <c r="LPY23" s="21"/>
      <c r="LPZ23" s="21"/>
      <c r="LQA23" s="21"/>
      <c r="LQB23" s="21"/>
      <c r="LQC23" s="21"/>
      <c r="LQD23" s="21"/>
      <c r="LQE23" s="21"/>
      <c r="LQF23" s="21"/>
      <c r="LQG23" s="21"/>
      <c r="LQH23" s="21"/>
      <c r="LQI23" s="21"/>
      <c r="LQJ23" s="21"/>
      <c r="LQK23" s="21"/>
      <c r="LQL23" s="21"/>
      <c r="LQM23" s="21"/>
      <c r="LQN23" s="21"/>
      <c r="LQO23" s="21"/>
      <c r="LQP23" s="21"/>
      <c r="LQQ23" s="21"/>
      <c r="LQR23" s="21"/>
      <c r="LQS23" s="21"/>
      <c r="LQT23" s="21"/>
      <c r="LQU23" s="21"/>
      <c r="LQV23" s="21"/>
      <c r="LQW23" s="21"/>
      <c r="LQX23" s="21"/>
      <c r="LQY23" s="21"/>
      <c r="LQZ23" s="21"/>
      <c r="LRA23" s="21"/>
      <c r="LRB23" s="21"/>
      <c r="LRC23" s="21"/>
      <c r="LRD23" s="21"/>
      <c r="LRE23" s="21"/>
      <c r="LRF23" s="21"/>
      <c r="LRG23" s="21"/>
      <c r="LRH23" s="21"/>
      <c r="LRI23" s="21"/>
      <c r="LRJ23" s="21"/>
      <c r="LRK23" s="21"/>
      <c r="LRL23" s="21"/>
      <c r="LRM23" s="21"/>
      <c r="LRN23" s="21"/>
      <c r="LRO23" s="21"/>
      <c r="LRP23" s="21"/>
      <c r="LRQ23" s="21"/>
      <c r="LRR23" s="21"/>
      <c r="LRS23" s="21"/>
      <c r="LRT23" s="21"/>
      <c r="LRU23" s="21"/>
      <c r="LRV23" s="21"/>
      <c r="LRW23" s="21"/>
      <c r="LRX23" s="21"/>
      <c r="LRY23" s="21"/>
      <c r="LRZ23" s="21"/>
      <c r="LSA23" s="21"/>
      <c r="LSB23" s="21"/>
      <c r="LSC23" s="21"/>
      <c r="LSD23" s="21"/>
      <c r="LSE23" s="21"/>
      <c r="LSF23" s="21"/>
      <c r="LSG23" s="21"/>
      <c r="LSH23" s="21"/>
      <c r="LSI23" s="21"/>
      <c r="LSJ23" s="21"/>
      <c r="LSK23" s="21"/>
      <c r="LSL23" s="21"/>
      <c r="LSM23" s="21"/>
      <c r="LSN23" s="21"/>
      <c r="LSO23" s="21"/>
      <c r="LSP23" s="21"/>
      <c r="LSQ23" s="21"/>
      <c r="LSR23" s="21"/>
      <c r="LSS23" s="21"/>
      <c r="LST23" s="21"/>
      <c r="LSU23" s="21"/>
      <c r="LSV23" s="21"/>
      <c r="LSW23" s="21"/>
      <c r="LSX23" s="21"/>
      <c r="LSY23" s="21"/>
      <c r="LSZ23" s="21"/>
      <c r="LTA23" s="21"/>
      <c r="LTB23" s="21"/>
      <c r="LTC23" s="21"/>
      <c r="LTD23" s="21"/>
      <c r="LTE23" s="21"/>
      <c r="LTF23" s="21"/>
      <c r="LTG23" s="21"/>
      <c r="LTH23" s="21"/>
      <c r="LTI23" s="21"/>
      <c r="LTJ23" s="21"/>
      <c r="LTK23" s="21"/>
      <c r="LTL23" s="21"/>
      <c r="LTM23" s="21"/>
      <c r="LTN23" s="21"/>
      <c r="LTO23" s="21"/>
      <c r="LTP23" s="21"/>
      <c r="LTQ23" s="21"/>
      <c r="LTR23" s="21"/>
      <c r="LTS23" s="21"/>
      <c r="LTT23" s="21"/>
      <c r="LTU23" s="21"/>
      <c r="LTV23" s="21"/>
      <c r="LTW23" s="21"/>
      <c r="LTX23" s="21"/>
      <c r="LTY23" s="21"/>
      <c r="LTZ23" s="21"/>
      <c r="LUA23" s="21"/>
      <c r="LUB23" s="21"/>
      <c r="LUC23" s="21"/>
      <c r="LUD23" s="21"/>
      <c r="LUE23" s="21"/>
      <c r="LUF23" s="21"/>
      <c r="LUG23" s="21"/>
      <c r="LUH23" s="21"/>
      <c r="LUI23" s="21"/>
      <c r="LUJ23" s="21"/>
      <c r="LUK23" s="21"/>
      <c r="LUL23" s="21"/>
      <c r="LUM23" s="21"/>
      <c r="LUN23" s="21"/>
      <c r="LUO23" s="21"/>
      <c r="LUP23" s="21"/>
      <c r="LUQ23" s="21"/>
      <c r="LUR23" s="21"/>
      <c r="LUS23" s="21"/>
      <c r="LUT23" s="21"/>
      <c r="LUU23" s="21"/>
      <c r="LUV23" s="21"/>
      <c r="LUW23" s="21"/>
      <c r="LUX23" s="21"/>
      <c r="LUY23" s="21"/>
      <c r="LUZ23" s="21"/>
      <c r="LVA23" s="21"/>
      <c r="LVB23" s="21"/>
      <c r="LVC23" s="21"/>
      <c r="LVD23" s="21"/>
      <c r="LVE23" s="21"/>
      <c r="LVF23" s="21"/>
      <c r="LVG23" s="21"/>
      <c r="LVH23" s="21"/>
      <c r="LVI23" s="21"/>
      <c r="LVJ23" s="21"/>
      <c r="LVK23" s="21"/>
      <c r="LVL23" s="21"/>
      <c r="LVM23" s="21"/>
      <c r="LVN23" s="21"/>
      <c r="LVO23" s="21"/>
      <c r="LVP23" s="21"/>
      <c r="LVQ23" s="21"/>
      <c r="LVR23" s="21"/>
      <c r="LVS23" s="21"/>
      <c r="LVT23" s="21"/>
      <c r="LVU23" s="21"/>
      <c r="LVV23" s="21"/>
      <c r="LVW23" s="21"/>
      <c r="LVX23" s="21"/>
      <c r="LVY23" s="21"/>
      <c r="LVZ23" s="21"/>
      <c r="LWA23" s="21"/>
      <c r="LWB23" s="21"/>
      <c r="LWC23" s="21"/>
      <c r="LWD23" s="21"/>
      <c r="LWE23" s="21"/>
      <c r="LWF23" s="21"/>
      <c r="LWG23" s="21"/>
      <c r="LWH23" s="21"/>
      <c r="LWI23" s="21"/>
      <c r="LWJ23" s="21"/>
      <c r="LWK23" s="21"/>
      <c r="LWL23" s="21"/>
      <c r="LWM23" s="21"/>
      <c r="LWN23" s="21"/>
      <c r="LWO23" s="21"/>
      <c r="LWP23" s="21"/>
      <c r="LWQ23" s="21"/>
      <c r="LWR23" s="21"/>
      <c r="LWS23" s="21"/>
      <c r="LWT23" s="21"/>
      <c r="LWU23" s="21"/>
      <c r="LWV23" s="21"/>
      <c r="LWW23" s="21"/>
      <c r="LWX23" s="21"/>
      <c r="LWY23" s="21"/>
      <c r="LWZ23" s="21"/>
      <c r="LXA23" s="21"/>
      <c r="LXB23" s="21"/>
      <c r="LXC23" s="21"/>
      <c r="LXD23" s="21"/>
      <c r="LXE23" s="21"/>
      <c r="LXF23" s="21"/>
      <c r="LXG23" s="21"/>
      <c r="LXH23" s="21"/>
      <c r="LXI23" s="21"/>
      <c r="LXJ23" s="21"/>
      <c r="LXK23" s="21"/>
      <c r="LXL23" s="21"/>
      <c r="LXM23" s="21"/>
      <c r="LXN23" s="21"/>
      <c r="LXO23" s="21"/>
      <c r="LXP23" s="21"/>
      <c r="LXQ23" s="21"/>
      <c r="LXR23" s="21"/>
      <c r="LXS23" s="21"/>
      <c r="LXT23" s="21"/>
      <c r="LXU23" s="21"/>
      <c r="LXV23" s="21"/>
      <c r="LXW23" s="21"/>
      <c r="LXX23" s="21"/>
      <c r="LXY23" s="21"/>
      <c r="LXZ23" s="21"/>
      <c r="LYA23" s="21"/>
      <c r="LYB23" s="21"/>
      <c r="LYC23" s="21"/>
      <c r="LYD23" s="21"/>
      <c r="LYE23" s="21"/>
      <c r="LYF23" s="21"/>
      <c r="LYG23" s="21"/>
      <c r="LYH23" s="21"/>
      <c r="LYI23" s="21"/>
      <c r="LYJ23" s="21"/>
      <c r="LYK23" s="21"/>
      <c r="LYL23" s="21"/>
      <c r="LYM23" s="21"/>
      <c r="LYN23" s="21"/>
      <c r="LYO23" s="21"/>
      <c r="LYP23" s="21"/>
      <c r="LYQ23" s="21"/>
      <c r="LYR23" s="21"/>
      <c r="LYS23" s="21"/>
      <c r="LYT23" s="21"/>
      <c r="LYU23" s="21"/>
      <c r="LYV23" s="21"/>
      <c r="LYW23" s="21"/>
      <c r="LYX23" s="21"/>
      <c r="LYY23" s="21"/>
      <c r="LYZ23" s="21"/>
      <c r="LZA23" s="21"/>
      <c r="LZB23" s="21"/>
      <c r="LZC23" s="21"/>
      <c r="LZD23" s="21"/>
      <c r="LZE23" s="21"/>
      <c r="LZF23" s="21"/>
      <c r="LZG23" s="21"/>
      <c r="LZH23" s="21"/>
      <c r="LZI23" s="21"/>
      <c r="LZJ23" s="21"/>
      <c r="LZK23" s="21"/>
      <c r="LZL23" s="21"/>
      <c r="LZM23" s="21"/>
      <c r="LZN23" s="21"/>
      <c r="LZO23" s="21"/>
      <c r="LZP23" s="21"/>
      <c r="LZQ23" s="21"/>
      <c r="LZR23" s="21"/>
      <c r="LZS23" s="21"/>
      <c r="LZT23" s="21"/>
      <c r="LZU23" s="21"/>
      <c r="LZV23" s="21"/>
      <c r="LZW23" s="21"/>
      <c r="LZX23" s="21"/>
      <c r="LZY23" s="21"/>
      <c r="LZZ23" s="21"/>
      <c r="MAA23" s="21"/>
      <c r="MAB23" s="21"/>
      <c r="MAC23" s="21"/>
      <c r="MAD23" s="21"/>
      <c r="MAE23" s="21"/>
      <c r="MAF23" s="21"/>
      <c r="MAG23" s="21"/>
      <c r="MAH23" s="21"/>
      <c r="MAI23" s="21"/>
      <c r="MAJ23" s="21"/>
      <c r="MAK23" s="21"/>
      <c r="MAL23" s="21"/>
      <c r="MAM23" s="21"/>
      <c r="MAN23" s="21"/>
      <c r="MAO23" s="21"/>
      <c r="MAP23" s="21"/>
      <c r="MAQ23" s="21"/>
      <c r="MAR23" s="21"/>
      <c r="MAS23" s="21"/>
      <c r="MAT23" s="21"/>
      <c r="MAU23" s="21"/>
      <c r="MAV23" s="21"/>
      <c r="MAW23" s="21"/>
      <c r="MAX23" s="21"/>
      <c r="MAY23" s="21"/>
      <c r="MAZ23" s="21"/>
      <c r="MBA23" s="21"/>
      <c r="MBB23" s="21"/>
      <c r="MBC23" s="21"/>
      <c r="MBD23" s="21"/>
      <c r="MBE23" s="21"/>
      <c r="MBF23" s="21"/>
      <c r="MBG23" s="21"/>
      <c r="MBH23" s="21"/>
      <c r="MBI23" s="21"/>
      <c r="MBJ23" s="21"/>
      <c r="MBK23" s="21"/>
      <c r="MBL23" s="21"/>
      <c r="MBM23" s="21"/>
      <c r="MBN23" s="21"/>
      <c r="MBO23" s="21"/>
      <c r="MBP23" s="21"/>
      <c r="MBQ23" s="21"/>
      <c r="MBR23" s="21"/>
      <c r="MBS23" s="21"/>
      <c r="MBT23" s="21"/>
      <c r="MBU23" s="21"/>
      <c r="MBV23" s="21"/>
      <c r="MBW23" s="21"/>
      <c r="MBX23" s="21"/>
      <c r="MBY23" s="21"/>
      <c r="MBZ23" s="21"/>
      <c r="MCA23" s="21"/>
      <c r="MCB23" s="21"/>
      <c r="MCC23" s="21"/>
      <c r="MCD23" s="21"/>
      <c r="MCE23" s="21"/>
      <c r="MCF23" s="21"/>
      <c r="MCG23" s="21"/>
      <c r="MCH23" s="21"/>
      <c r="MCI23" s="21"/>
      <c r="MCJ23" s="21"/>
      <c r="MCK23" s="21"/>
      <c r="MCL23" s="21"/>
      <c r="MCM23" s="21"/>
      <c r="MCN23" s="21"/>
      <c r="MCO23" s="21"/>
      <c r="MCP23" s="21"/>
      <c r="MCQ23" s="21"/>
      <c r="MCR23" s="21"/>
      <c r="MCS23" s="21"/>
      <c r="MCT23" s="21"/>
      <c r="MCU23" s="21"/>
      <c r="MCV23" s="21"/>
      <c r="MCW23" s="21"/>
      <c r="MCX23" s="21"/>
      <c r="MCY23" s="21"/>
      <c r="MCZ23" s="21"/>
      <c r="MDA23" s="21"/>
      <c r="MDB23" s="21"/>
      <c r="MDC23" s="21"/>
      <c r="MDD23" s="21"/>
      <c r="MDE23" s="21"/>
      <c r="MDF23" s="21"/>
      <c r="MDG23" s="21"/>
      <c r="MDH23" s="21"/>
      <c r="MDI23" s="21"/>
      <c r="MDJ23" s="21"/>
      <c r="MDK23" s="21"/>
      <c r="MDL23" s="21"/>
      <c r="MDM23" s="21"/>
      <c r="MDN23" s="21"/>
      <c r="MDO23" s="21"/>
      <c r="MDP23" s="21"/>
      <c r="MDQ23" s="21"/>
      <c r="MDR23" s="21"/>
      <c r="MDS23" s="21"/>
      <c r="MDT23" s="21"/>
      <c r="MDU23" s="21"/>
      <c r="MDV23" s="21"/>
      <c r="MDW23" s="21"/>
      <c r="MDX23" s="21"/>
      <c r="MDY23" s="21"/>
      <c r="MDZ23" s="21"/>
      <c r="MEA23" s="21"/>
      <c r="MEB23" s="21"/>
      <c r="MEC23" s="21"/>
      <c r="MED23" s="21"/>
      <c r="MEE23" s="21"/>
      <c r="MEF23" s="21"/>
      <c r="MEG23" s="21"/>
      <c r="MEH23" s="21"/>
      <c r="MEI23" s="21"/>
      <c r="MEJ23" s="21"/>
      <c r="MEK23" s="21"/>
      <c r="MEL23" s="21"/>
      <c r="MEM23" s="21"/>
      <c r="MEN23" s="21"/>
      <c r="MEO23" s="21"/>
      <c r="MEP23" s="21"/>
      <c r="MEQ23" s="21"/>
      <c r="MER23" s="21"/>
      <c r="MES23" s="21"/>
      <c r="MET23" s="21"/>
      <c r="MEU23" s="21"/>
      <c r="MEV23" s="21"/>
      <c r="MEW23" s="21"/>
      <c r="MEX23" s="21"/>
      <c r="MEY23" s="21"/>
      <c r="MEZ23" s="21"/>
      <c r="MFA23" s="21"/>
      <c r="MFB23" s="21"/>
      <c r="MFC23" s="21"/>
      <c r="MFD23" s="21"/>
      <c r="MFE23" s="21"/>
      <c r="MFF23" s="21"/>
      <c r="MFG23" s="21"/>
      <c r="MFH23" s="21"/>
      <c r="MFI23" s="21"/>
      <c r="MFJ23" s="21"/>
      <c r="MFK23" s="21"/>
      <c r="MFL23" s="21"/>
      <c r="MFM23" s="21"/>
      <c r="MFN23" s="21"/>
      <c r="MFO23" s="21"/>
      <c r="MFP23" s="21"/>
      <c r="MFQ23" s="21"/>
      <c r="MFR23" s="21"/>
      <c r="MFS23" s="21"/>
      <c r="MFT23" s="21"/>
      <c r="MFU23" s="21"/>
      <c r="MFV23" s="21"/>
      <c r="MFW23" s="21"/>
      <c r="MFX23" s="21"/>
      <c r="MFY23" s="21"/>
      <c r="MFZ23" s="21"/>
      <c r="MGA23" s="21"/>
      <c r="MGB23" s="21"/>
      <c r="MGC23" s="21"/>
      <c r="MGD23" s="21"/>
      <c r="MGE23" s="21"/>
      <c r="MGF23" s="21"/>
      <c r="MGG23" s="21"/>
      <c r="MGH23" s="21"/>
      <c r="MGI23" s="21"/>
      <c r="MGJ23" s="21"/>
      <c r="MGK23" s="21"/>
      <c r="MGL23" s="21"/>
      <c r="MGM23" s="21"/>
      <c r="MGN23" s="21"/>
      <c r="MGO23" s="21"/>
      <c r="MGP23" s="21"/>
      <c r="MGQ23" s="21"/>
      <c r="MGR23" s="21"/>
      <c r="MGS23" s="21"/>
      <c r="MGT23" s="21"/>
      <c r="MGU23" s="21"/>
      <c r="MGV23" s="21"/>
      <c r="MGW23" s="21"/>
      <c r="MGX23" s="21"/>
      <c r="MGY23" s="21"/>
      <c r="MGZ23" s="21"/>
      <c r="MHA23" s="21"/>
      <c r="MHB23" s="21"/>
      <c r="MHC23" s="21"/>
      <c r="MHD23" s="21"/>
      <c r="MHE23" s="21"/>
      <c r="MHF23" s="21"/>
      <c r="MHG23" s="21"/>
      <c r="MHH23" s="21"/>
      <c r="MHI23" s="21"/>
      <c r="MHJ23" s="21"/>
      <c r="MHK23" s="21"/>
      <c r="MHL23" s="21"/>
      <c r="MHM23" s="21"/>
      <c r="MHN23" s="21"/>
      <c r="MHO23" s="21"/>
      <c r="MHP23" s="21"/>
      <c r="MHQ23" s="21"/>
      <c r="MHR23" s="21"/>
      <c r="MHS23" s="21"/>
      <c r="MHT23" s="21"/>
      <c r="MHU23" s="21"/>
      <c r="MHV23" s="21"/>
      <c r="MHW23" s="21"/>
      <c r="MHX23" s="21"/>
      <c r="MHY23" s="21"/>
      <c r="MHZ23" s="21"/>
      <c r="MIA23" s="21"/>
      <c r="MIB23" s="21"/>
      <c r="MIC23" s="21"/>
      <c r="MID23" s="21"/>
      <c r="MIE23" s="21"/>
      <c r="MIF23" s="21"/>
      <c r="MIG23" s="21"/>
      <c r="MIH23" s="21"/>
      <c r="MII23" s="21"/>
      <c r="MIJ23" s="21"/>
      <c r="MIK23" s="21"/>
      <c r="MIL23" s="21"/>
      <c r="MIM23" s="21"/>
      <c r="MIN23" s="21"/>
      <c r="MIO23" s="21"/>
      <c r="MIP23" s="21"/>
      <c r="MIQ23" s="21"/>
      <c r="MIR23" s="21"/>
      <c r="MIS23" s="21"/>
      <c r="MIT23" s="21"/>
      <c r="MIU23" s="21"/>
      <c r="MIV23" s="21"/>
      <c r="MIW23" s="21"/>
      <c r="MIX23" s="21"/>
      <c r="MIY23" s="21"/>
      <c r="MIZ23" s="21"/>
      <c r="MJA23" s="21"/>
      <c r="MJB23" s="21"/>
      <c r="MJC23" s="21"/>
      <c r="MJD23" s="21"/>
      <c r="MJE23" s="21"/>
      <c r="MJF23" s="21"/>
      <c r="MJG23" s="21"/>
      <c r="MJH23" s="21"/>
      <c r="MJI23" s="21"/>
      <c r="MJJ23" s="21"/>
      <c r="MJK23" s="21"/>
      <c r="MJL23" s="21"/>
      <c r="MJM23" s="21"/>
      <c r="MJN23" s="21"/>
      <c r="MJO23" s="21"/>
      <c r="MJP23" s="21"/>
      <c r="MJQ23" s="21"/>
      <c r="MJR23" s="21"/>
      <c r="MJS23" s="21"/>
      <c r="MJT23" s="21"/>
      <c r="MJU23" s="21"/>
      <c r="MJV23" s="21"/>
      <c r="MJW23" s="21"/>
      <c r="MJX23" s="21"/>
      <c r="MJY23" s="21"/>
      <c r="MJZ23" s="21"/>
      <c r="MKA23" s="21"/>
      <c r="MKB23" s="21"/>
      <c r="MKC23" s="21"/>
      <c r="MKD23" s="21"/>
      <c r="MKE23" s="21"/>
      <c r="MKF23" s="21"/>
      <c r="MKG23" s="21"/>
      <c r="MKH23" s="21"/>
      <c r="MKI23" s="21"/>
      <c r="MKJ23" s="21"/>
      <c r="MKK23" s="21"/>
      <c r="MKL23" s="21"/>
      <c r="MKM23" s="21"/>
      <c r="MKN23" s="21"/>
      <c r="MKO23" s="21"/>
      <c r="MKP23" s="21"/>
      <c r="MKQ23" s="21"/>
      <c r="MKR23" s="21"/>
      <c r="MKS23" s="21"/>
      <c r="MKT23" s="21"/>
      <c r="MKU23" s="21"/>
      <c r="MKV23" s="21"/>
      <c r="MKW23" s="21"/>
      <c r="MKX23" s="21"/>
      <c r="MKY23" s="21"/>
      <c r="MKZ23" s="21"/>
      <c r="MLA23" s="21"/>
      <c r="MLB23" s="21"/>
      <c r="MLC23" s="21"/>
      <c r="MLD23" s="21"/>
      <c r="MLE23" s="21"/>
      <c r="MLF23" s="21"/>
      <c r="MLG23" s="21"/>
      <c r="MLH23" s="21"/>
      <c r="MLI23" s="21"/>
      <c r="MLJ23" s="21"/>
      <c r="MLK23" s="21"/>
      <c r="MLL23" s="21"/>
      <c r="MLM23" s="21"/>
      <c r="MLN23" s="21"/>
      <c r="MLO23" s="21"/>
      <c r="MLP23" s="21"/>
      <c r="MLQ23" s="21"/>
      <c r="MLR23" s="21"/>
      <c r="MLS23" s="21"/>
      <c r="MLT23" s="21"/>
      <c r="MLU23" s="21"/>
      <c r="MLV23" s="21"/>
      <c r="MLW23" s="21"/>
      <c r="MLX23" s="21"/>
      <c r="MLY23" s="21"/>
      <c r="MLZ23" s="21"/>
      <c r="MMA23" s="21"/>
      <c r="MMB23" s="21"/>
      <c r="MMC23" s="21"/>
      <c r="MMD23" s="21"/>
      <c r="MME23" s="21"/>
      <c r="MMF23" s="21"/>
      <c r="MMG23" s="21"/>
      <c r="MMH23" s="21"/>
      <c r="MMI23" s="21"/>
      <c r="MMJ23" s="21"/>
      <c r="MMK23" s="21"/>
      <c r="MML23" s="21"/>
      <c r="MMM23" s="21"/>
      <c r="MMN23" s="21"/>
      <c r="MMO23" s="21"/>
      <c r="MMP23" s="21"/>
      <c r="MMQ23" s="21"/>
      <c r="MMR23" s="21"/>
      <c r="MMS23" s="21"/>
      <c r="MMT23" s="21"/>
      <c r="MMU23" s="21"/>
      <c r="MMV23" s="21"/>
      <c r="MMW23" s="21"/>
      <c r="MMX23" s="21"/>
      <c r="MMY23" s="21"/>
      <c r="MMZ23" s="21"/>
      <c r="MNA23" s="21"/>
      <c r="MNB23" s="21"/>
      <c r="MNC23" s="21"/>
      <c r="MND23" s="21"/>
      <c r="MNE23" s="21"/>
      <c r="MNF23" s="21"/>
      <c r="MNG23" s="21"/>
      <c r="MNH23" s="21"/>
      <c r="MNI23" s="21"/>
      <c r="MNJ23" s="21"/>
      <c r="MNK23" s="21"/>
      <c r="MNL23" s="21"/>
      <c r="MNM23" s="21"/>
      <c r="MNN23" s="21"/>
      <c r="MNO23" s="21"/>
      <c r="MNP23" s="21"/>
      <c r="MNQ23" s="21"/>
      <c r="MNR23" s="21"/>
      <c r="MNS23" s="21"/>
      <c r="MNT23" s="21"/>
      <c r="MNU23" s="21"/>
      <c r="MNV23" s="21"/>
      <c r="MNW23" s="21"/>
      <c r="MNX23" s="21"/>
      <c r="MNY23" s="21"/>
      <c r="MNZ23" s="21"/>
      <c r="MOA23" s="21"/>
      <c r="MOB23" s="21"/>
      <c r="MOC23" s="21"/>
      <c r="MOD23" s="21"/>
      <c r="MOE23" s="21"/>
      <c r="MOF23" s="21"/>
      <c r="MOG23" s="21"/>
      <c r="MOH23" s="21"/>
      <c r="MOI23" s="21"/>
      <c r="MOJ23" s="21"/>
      <c r="MOK23" s="21"/>
      <c r="MOL23" s="21"/>
      <c r="MOM23" s="21"/>
      <c r="MON23" s="21"/>
      <c r="MOO23" s="21"/>
      <c r="MOP23" s="21"/>
      <c r="MOQ23" s="21"/>
      <c r="MOR23" s="21"/>
      <c r="MOS23" s="21"/>
      <c r="MOT23" s="21"/>
      <c r="MOU23" s="21"/>
      <c r="MOV23" s="21"/>
      <c r="MOW23" s="21"/>
      <c r="MOX23" s="21"/>
      <c r="MOY23" s="21"/>
      <c r="MOZ23" s="21"/>
      <c r="MPA23" s="21"/>
      <c r="MPB23" s="21"/>
      <c r="MPC23" s="21"/>
      <c r="MPD23" s="21"/>
      <c r="MPE23" s="21"/>
      <c r="MPF23" s="21"/>
      <c r="MPG23" s="21"/>
      <c r="MPH23" s="21"/>
      <c r="MPI23" s="21"/>
      <c r="MPJ23" s="21"/>
      <c r="MPK23" s="21"/>
      <c r="MPL23" s="21"/>
      <c r="MPM23" s="21"/>
      <c r="MPN23" s="21"/>
      <c r="MPO23" s="21"/>
      <c r="MPP23" s="21"/>
      <c r="MPQ23" s="21"/>
      <c r="MPR23" s="21"/>
      <c r="MPS23" s="21"/>
      <c r="MPT23" s="21"/>
      <c r="MPU23" s="21"/>
      <c r="MPV23" s="21"/>
      <c r="MPW23" s="21"/>
      <c r="MPX23" s="21"/>
      <c r="MPY23" s="21"/>
      <c r="MPZ23" s="21"/>
      <c r="MQA23" s="21"/>
      <c r="MQB23" s="21"/>
      <c r="MQC23" s="21"/>
      <c r="MQD23" s="21"/>
      <c r="MQE23" s="21"/>
      <c r="MQF23" s="21"/>
      <c r="MQG23" s="21"/>
      <c r="MQH23" s="21"/>
      <c r="MQI23" s="21"/>
      <c r="MQJ23" s="21"/>
      <c r="MQK23" s="21"/>
      <c r="MQL23" s="21"/>
      <c r="MQM23" s="21"/>
      <c r="MQN23" s="21"/>
      <c r="MQO23" s="21"/>
      <c r="MQP23" s="21"/>
      <c r="MQQ23" s="21"/>
      <c r="MQR23" s="21"/>
      <c r="MQS23" s="21"/>
      <c r="MQT23" s="21"/>
      <c r="MQU23" s="21"/>
      <c r="MQV23" s="21"/>
      <c r="MQW23" s="21"/>
      <c r="MQX23" s="21"/>
      <c r="MQY23" s="21"/>
      <c r="MQZ23" s="21"/>
      <c r="MRA23" s="21"/>
      <c r="MRB23" s="21"/>
      <c r="MRC23" s="21"/>
      <c r="MRD23" s="21"/>
      <c r="MRE23" s="21"/>
      <c r="MRF23" s="21"/>
      <c r="MRG23" s="21"/>
      <c r="MRH23" s="21"/>
      <c r="MRI23" s="21"/>
      <c r="MRJ23" s="21"/>
      <c r="MRK23" s="21"/>
      <c r="MRL23" s="21"/>
      <c r="MRM23" s="21"/>
      <c r="MRN23" s="21"/>
      <c r="MRO23" s="21"/>
      <c r="MRP23" s="21"/>
      <c r="MRQ23" s="21"/>
      <c r="MRR23" s="21"/>
      <c r="MRS23" s="21"/>
      <c r="MRT23" s="21"/>
      <c r="MRU23" s="21"/>
      <c r="MRV23" s="21"/>
      <c r="MRW23" s="21"/>
      <c r="MRX23" s="21"/>
      <c r="MRY23" s="21"/>
      <c r="MRZ23" s="21"/>
      <c r="MSA23" s="21"/>
      <c r="MSB23" s="21"/>
      <c r="MSC23" s="21"/>
      <c r="MSD23" s="21"/>
      <c r="MSE23" s="21"/>
      <c r="MSF23" s="21"/>
      <c r="MSG23" s="21"/>
      <c r="MSH23" s="21"/>
      <c r="MSI23" s="21"/>
      <c r="MSJ23" s="21"/>
      <c r="MSK23" s="21"/>
      <c r="MSL23" s="21"/>
      <c r="MSM23" s="21"/>
      <c r="MSN23" s="21"/>
      <c r="MSO23" s="21"/>
      <c r="MSP23" s="21"/>
      <c r="MSQ23" s="21"/>
      <c r="MSR23" s="21"/>
      <c r="MSS23" s="21"/>
      <c r="MST23" s="21"/>
      <c r="MSU23" s="21"/>
      <c r="MSV23" s="21"/>
      <c r="MSW23" s="21"/>
      <c r="MSX23" s="21"/>
      <c r="MSY23" s="21"/>
      <c r="MSZ23" s="21"/>
      <c r="MTA23" s="21"/>
      <c r="MTB23" s="21"/>
      <c r="MTC23" s="21"/>
      <c r="MTD23" s="21"/>
      <c r="MTE23" s="21"/>
      <c r="MTF23" s="21"/>
      <c r="MTG23" s="21"/>
      <c r="MTH23" s="21"/>
      <c r="MTI23" s="21"/>
      <c r="MTJ23" s="21"/>
      <c r="MTK23" s="21"/>
      <c r="MTL23" s="21"/>
      <c r="MTM23" s="21"/>
      <c r="MTN23" s="21"/>
      <c r="MTO23" s="21"/>
      <c r="MTP23" s="21"/>
      <c r="MTQ23" s="21"/>
      <c r="MTR23" s="21"/>
      <c r="MTS23" s="21"/>
      <c r="MTT23" s="21"/>
      <c r="MTU23" s="21"/>
      <c r="MTV23" s="21"/>
      <c r="MTW23" s="21"/>
      <c r="MTX23" s="21"/>
      <c r="MTY23" s="21"/>
      <c r="MTZ23" s="21"/>
      <c r="MUA23" s="21"/>
      <c r="MUB23" s="21"/>
      <c r="MUC23" s="21"/>
      <c r="MUD23" s="21"/>
      <c r="MUE23" s="21"/>
      <c r="MUF23" s="21"/>
      <c r="MUG23" s="21"/>
      <c r="MUH23" s="21"/>
      <c r="MUI23" s="21"/>
      <c r="MUJ23" s="21"/>
      <c r="MUK23" s="21"/>
      <c r="MUL23" s="21"/>
      <c r="MUM23" s="21"/>
      <c r="MUN23" s="21"/>
      <c r="MUO23" s="21"/>
      <c r="MUP23" s="21"/>
      <c r="MUQ23" s="21"/>
      <c r="MUR23" s="21"/>
      <c r="MUS23" s="21"/>
      <c r="MUT23" s="21"/>
      <c r="MUU23" s="21"/>
      <c r="MUV23" s="21"/>
      <c r="MUW23" s="21"/>
      <c r="MUX23" s="21"/>
      <c r="MUY23" s="21"/>
      <c r="MUZ23" s="21"/>
      <c r="MVA23" s="21"/>
      <c r="MVB23" s="21"/>
      <c r="MVC23" s="21"/>
      <c r="MVD23" s="21"/>
      <c r="MVE23" s="21"/>
      <c r="MVF23" s="21"/>
      <c r="MVG23" s="21"/>
      <c r="MVH23" s="21"/>
      <c r="MVI23" s="21"/>
      <c r="MVJ23" s="21"/>
      <c r="MVK23" s="21"/>
      <c r="MVL23" s="21"/>
      <c r="MVM23" s="21"/>
      <c r="MVN23" s="21"/>
      <c r="MVO23" s="21"/>
      <c r="MVP23" s="21"/>
      <c r="MVQ23" s="21"/>
      <c r="MVR23" s="21"/>
      <c r="MVS23" s="21"/>
      <c r="MVT23" s="21"/>
      <c r="MVU23" s="21"/>
      <c r="MVV23" s="21"/>
      <c r="MVW23" s="21"/>
      <c r="MVX23" s="21"/>
      <c r="MVY23" s="21"/>
      <c r="MVZ23" s="21"/>
      <c r="MWA23" s="21"/>
      <c r="MWB23" s="21"/>
      <c r="MWC23" s="21"/>
      <c r="MWD23" s="21"/>
      <c r="MWE23" s="21"/>
      <c r="MWF23" s="21"/>
      <c r="MWG23" s="21"/>
      <c r="MWH23" s="21"/>
      <c r="MWI23" s="21"/>
      <c r="MWJ23" s="21"/>
      <c r="MWK23" s="21"/>
      <c r="MWL23" s="21"/>
      <c r="MWM23" s="21"/>
      <c r="MWN23" s="21"/>
      <c r="MWO23" s="21"/>
      <c r="MWP23" s="21"/>
      <c r="MWQ23" s="21"/>
      <c r="MWR23" s="21"/>
      <c r="MWS23" s="21"/>
      <c r="MWT23" s="21"/>
      <c r="MWU23" s="21"/>
      <c r="MWV23" s="21"/>
      <c r="MWW23" s="21"/>
      <c r="MWX23" s="21"/>
      <c r="MWY23" s="21"/>
      <c r="MWZ23" s="21"/>
      <c r="MXA23" s="21"/>
      <c r="MXB23" s="21"/>
      <c r="MXC23" s="21"/>
      <c r="MXD23" s="21"/>
      <c r="MXE23" s="21"/>
      <c r="MXF23" s="21"/>
      <c r="MXG23" s="21"/>
      <c r="MXH23" s="21"/>
      <c r="MXI23" s="21"/>
      <c r="MXJ23" s="21"/>
      <c r="MXK23" s="21"/>
      <c r="MXL23" s="21"/>
      <c r="MXM23" s="21"/>
      <c r="MXN23" s="21"/>
      <c r="MXO23" s="21"/>
      <c r="MXP23" s="21"/>
      <c r="MXQ23" s="21"/>
      <c r="MXR23" s="21"/>
      <c r="MXS23" s="21"/>
      <c r="MXT23" s="21"/>
      <c r="MXU23" s="21"/>
      <c r="MXV23" s="21"/>
      <c r="MXW23" s="21"/>
      <c r="MXX23" s="21"/>
      <c r="MXY23" s="21"/>
      <c r="MXZ23" s="21"/>
      <c r="MYA23" s="21"/>
      <c r="MYB23" s="21"/>
      <c r="MYC23" s="21"/>
      <c r="MYD23" s="21"/>
      <c r="MYE23" s="21"/>
      <c r="MYF23" s="21"/>
      <c r="MYG23" s="21"/>
      <c r="MYH23" s="21"/>
      <c r="MYI23" s="21"/>
      <c r="MYJ23" s="21"/>
      <c r="MYK23" s="21"/>
      <c r="MYL23" s="21"/>
      <c r="MYM23" s="21"/>
      <c r="MYN23" s="21"/>
      <c r="MYO23" s="21"/>
      <c r="MYP23" s="21"/>
      <c r="MYQ23" s="21"/>
      <c r="MYR23" s="21"/>
      <c r="MYS23" s="21"/>
      <c r="MYT23" s="21"/>
      <c r="MYU23" s="21"/>
      <c r="MYV23" s="21"/>
      <c r="MYW23" s="21"/>
      <c r="MYX23" s="21"/>
      <c r="MYY23" s="21"/>
      <c r="MYZ23" s="21"/>
      <c r="MZA23" s="21"/>
      <c r="MZB23" s="21"/>
      <c r="MZC23" s="21"/>
      <c r="MZD23" s="21"/>
      <c r="MZE23" s="21"/>
      <c r="MZF23" s="21"/>
      <c r="MZG23" s="21"/>
      <c r="MZH23" s="21"/>
      <c r="MZI23" s="21"/>
      <c r="MZJ23" s="21"/>
      <c r="MZK23" s="21"/>
      <c r="MZL23" s="21"/>
      <c r="MZM23" s="21"/>
      <c r="MZN23" s="21"/>
      <c r="MZO23" s="21"/>
      <c r="MZP23" s="21"/>
      <c r="MZQ23" s="21"/>
      <c r="MZR23" s="21"/>
      <c r="MZS23" s="21"/>
      <c r="MZT23" s="21"/>
      <c r="MZU23" s="21"/>
      <c r="MZV23" s="21"/>
      <c r="MZW23" s="21"/>
      <c r="MZX23" s="21"/>
      <c r="MZY23" s="21"/>
      <c r="MZZ23" s="21"/>
      <c r="NAA23" s="21"/>
      <c r="NAB23" s="21"/>
      <c r="NAC23" s="21"/>
      <c r="NAD23" s="21"/>
      <c r="NAE23" s="21"/>
      <c r="NAF23" s="21"/>
      <c r="NAG23" s="21"/>
      <c r="NAH23" s="21"/>
      <c r="NAI23" s="21"/>
      <c r="NAJ23" s="21"/>
      <c r="NAK23" s="21"/>
      <c r="NAL23" s="21"/>
      <c r="NAM23" s="21"/>
      <c r="NAN23" s="21"/>
      <c r="NAO23" s="21"/>
      <c r="NAP23" s="21"/>
      <c r="NAQ23" s="21"/>
      <c r="NAR23" s="21"/>
      <c r="NAS23" s="21"/>
      <c r="NAT23" s="21"/>
      <c r="NAU23" s="21"/>
      <c r="NAV23" s="21"/>
      <c r="NAW23" s="21"/>
      <c r="NAX23" s="21"/>
      <c r="NAY23" s="21"/>
      <c r="NAZ23" s="21"/>
      <c r="NBA23" s="21"/>
      <c r="NBB23" s="21"/>
      <c r="NBC23" s="21"/>
      <c r="NBD23" s="21"/>
      <c r="NBE23" s="21"/>
      <c r="NBF23" s="21"/>
      <c r="NBG23" s="21"/>
      <c r="NBH23" s="21"/>
      <c r="NBI23" s="21"/>
      <c r="NBJ23" s="21"/>
      <c r="NBK23" s="21"/>
      <c r="NBL23" s="21"/>
      <c r="NBM23" s="21"/>
      <c r="NBN23" s="21"/>
      <c r="NBO23" s="21"/>
      <c r="NBP23" s="21"/>
      <c r="NBQ23" s="21"/>
      <c r="NBR23" s="21"/>
      <c r="NBS23" s="21"/>
      <c r="NBT23" s="21"/>
      <c r="NBU23" s="21"/>
      <c r="NBV23" s="21"/>
      <c r="NBW23" s="21"/>
      <c r="NBX23" s="21"/>
      <c r="NBY23" s="21"/>
      <c r="NBZ23" s="21"/>
      <c r="NCA23" s="21"/>
      <c r="NCB23" s="21"/>
      <c r="NCC23" s="21"/>
      <c r="NCD23" s="21"/>
      <c r="NCE23" s="21"/>
      <c r="NCF23" s="21"/>
      <c r="NCG23" s="21"/>
      <c r="NCH23" s="21"/>
      <c r="NCI23" s="21"/>
      <c r="NCJ23" s="21"/>
      <c r="NCK23" s="21"/>
      <c r="NCL23" s="21"/>
      <c r="NCM23" s="21"/>
      <c r="NCN23" s="21"/>
      <c r="NCO23" s="21"/>
      <c r="NCP23" s="21"/>
      <c r="NCQ23" s="21"/>
      <c r="NCR23" s="21"/>
      <c r="NCS23" s="21"/>
      <c r="NCT23" s="21"/>
      <c r="NCU23" s="21"/>
      <c r="NCV23" s="21"/>
      <c r="NCW23" s="21"/>
      <c r="NCX23" s="21"/>
      <c r="NCY23" s="21"/>
      <c r="NCZ23" s="21"/>
      <c r="NDA23" s="21"/>
      <c r="NDB23" s="21"/>
      <c r="NDC23" s="21"/>
      <c r="NDD23" s="21"/>
      <c r="NDE23" s="21"/>
      <c r="NDF23" s="21"/>
      <c r="NDG23" s="21"/>
      <c r="NDH23" s="21"/>
      <c r="NDI23" s="21"/>
      <c r="NDJ23" s="21"/>
      <c r="NDK23" s="21"/>
      <c r="NDL23" s="21"/>
      <c r="NDM23" s="21"/>
      <c r="NDN23" s="21"/>
      <c r="NDO23" s="21"/>
      <c r="NDP23" s="21"/>
      <c r="NDQ23" s="21"/>
      <c r="NDR23" s="21"/>
      <c r="NDS23" s="21"/>
      <c r="NDT23" s="21"/>
      <c r="NDU23" s="21"/>
      <c r="NDV23" s="21"/>
      <c r="NDW23" s="21"/>
      <c r="NDX23" s="21"/>
      <c r="NDY23" s="21"/>
      <c r="NDZ23" s="21"/>
      <c r="NEA23" s="21"/>
      <c r="NEB23" s="21"/>
      <c r="NEC23" s="21"/>
      <c r="NED23" s="21"/>
      <c r="NEE23" s="21"/>
      <c r="NEF23" s="21"/>
      <c r="NEG23" s="21"/>
      <c r="NEH23" s="21"/>
      <c r="NEI23" s="21"/>
      <c r="NEJ23" s="21"/>
      <c r="NEK23" s="21"/>
      <c r="NEL23" s="21"/>
      <c r="NEM23" s="21"/>
      <c r="NEN23" s="21"/>
      <c r="NEO23" s="21"/>
      <c r="NEP23" s="21"/>
      <c r="NEQ23" s="21"/>
      <c r="NER23" s="21"/>
      <c r="NES23" s="21"/>
      <c r="NET23" s="21"/>
      <c r="NEU23" s="21"/>
      <c r="NEV23" s="21"/>
      <c r="NEW23" s="21"/>
      <c r="NEX23" s="21"/>
      <c r="NEY23" s="21"/>
      <c r="NEZ23" s="21"/>
      <c r="NFA23" s="21"/>
      <c r="NFB23" s="21"/>
      <c r="NFC23" s="21"/>
      <c r="NFD23" s="21"/>
      <c r="NFE23" s="21"/>
      <c r="NFF23" s="21"/>
      <c r="NFG23" s="21"/>
      <c r="NFH23" s="21"/>
      <c r="NFI23" s="21"/>
      <c r="NFJ23" s="21"/>
      <c r="NFK23" s="21"/>
      <c r="NFL23" s="21"/>
      <c r="NFM23" s="21"/>
      <c r="NFN23" s="21"/>
      <c r="NFO23" s="21"/>
      <c r="NFP23" s="21"/>
      <c r="NFQ23" s="21"/>
      <c r="NFR23" s="21"/>
      <c r="NFS23" s="21"/>
      <c r="NFT23" s="21"/>
      <c r="NFU23" s="21"/>
      <c r="NFV23" s="21"/>
      <c r="NFW23" s="21"/>
      <c r="NFX23" s="21"/>
      <c r="NFY23" s="21"/>
      <c r="NFZ23" s="21"/>
      <c r="NGA23" s="21"/>
      <c r="NGB23" s="21"/>
      <c r="NGC23" s="21"/>
      <c r="NGD23" s="21"/>
      <c r="NGE23" s="21"/>
      <c r="NGF23" s="21"/>
      <c r="NGG23" s="21"/>
      <c r="NGH23" s="21"/>
      <c r="NGI23" s="21"/>
      <c r="NGJ23" s="21"/>
      <c r="NGK23" s="21"/>
      <c r="NGL23" s="21"/>
      <c r="NGM23" s="21"/>
      <c r="NGN23" s="21"/>
      <c r="NGO23" s="21"/>
      <c r="NGP23" s="21"/>
      <c r="NGQ23" s="21"/>
      <c r="NGR23" s="21"/>
      <c r="NGS23" s="21"/>
      <c r="NGT23" s="21"/>
      <c r="NGU23" s="21"/>
      <c r="NGV23" s="21"/>
      <c r="NGW23" s="21"/>
      <c r="NGX23" s="21"/>
      <c r="NGY23" s="21"/>
      <c r="NGZ23" s="21"/>
      <c r="NHA23" s="21"/>
      <c r="NHB23" s="21"/>
      <c r="NHC23" s="21"/>
      <c r="NHD23" s="21"/>
      <c r="NHE23" s="21"/>
      <c r="NHF23" s="21"/>
      <c r="NHG23" s="21"/>
      <c r="NHH23" s="21"/>
      <c r="NHI23" s="21"/>
      <c r="NHJ23" s="21"/>
      <c r="NHK23" s="21"/>
      <c r="NHL23" s="21"/>
      <c r="NHM23" s="21"/>
      <c r="NHN23" s="21"/>
      <c r="NHO23" s="21"/>
      <c r="NHP23" s="21"/>
      <c r="NHQ23" s="21"/>
      <c r="NHR23" s="21"/>
      <c r="NHS23" s="21"/>
      <c r="NHT23" s="21"/>
      <c r="NHU23" s="21"/>
      <c r="NHV23" s="21"/>
      <c r="NHW23" s="21"/>
      <c r="NHX23" s="21"/>
      <c r="NHY23" s="21"/>
      <c r="NHZ23" s="21"/>
      <c r="NIA23" s="21"/>
      <c r="NIB23" s="21"/>
      <c r="NIC23" s="21"/>
      <c r="NID23" s="21"/>
      <c r="NIE23" s="21"/>
      <c r="NIF23" s="21"/>
      <c r="NIG23" s="21"/>
      <c r="NIH23" s="21"/>
      <c r="NII23" s="21"/>
      <c r="NIJ23" s="21"/>
      <c r="NIK23" s="21"/>
      <c r="NIL23" s="21"/>
      <c r="NIM23" s="21"/>
      <c r="NIN23" s="21"/>
      <c r="NIO23" s="21"/>
      <c r="NIP23" s="21"/>
      <c r="NIQ23" s="21"/>
      <c r="NIR23" s="21"/>
      <c r="NIS23" s="21"/>
      <c r="NIT23" s="21"/>
      <c r="NIU23" s="21"/>
      <c r="NIV23" s="21"/>
      <c r="NIW23" s="21"/>
      <c r="NIX23" s="21"/>
      <c r="NIY23" s="21"/>
      <c r="NIZ23" s="21"/>
      <c r="NJA23" s="21"/>
      <c r="NJB23" s="21"/>
      <c r="NJC23" s="21"/>
      <c r="NJD23" s="21"/>
      <c r="NJE23" s="21"/>
      <c r="NJF23" s="21"/>
      <c r="NJG23" s="21"/>
      <c r="NJH23" s="21"/>
      <c r="NJI23" s="21"/>
      <c r="NJJ23" s="21"/>
      <c r="NJK23" s="21"/>
      <c r="NJL23" s="21"/>
      <c r="NJM23" s="21"/>
      <c r="NJN23" s="21"/>
      <c r="NJO23" s="21"/>
      <c r="NJP23" s="21"/>
      <c r="NJQ23" s="21"/>
      <c r="NJR23" s="21"/>
      <c r="NJS23" s="21"/>
      <c r="NJT23" s="21"/>
      <c r="NJU23" s="21"/>
      <c r="NJV23" s="21"/>
      <c r="NJW23" s="21"/>
      <c r="NJX23" s="21"/>
      <c r="NJY23" s="21"/>
      <c r="NJZ23" s="21"/>
      <c r="NKA23" s="21"/>
      <c r="NKB23" s="21"/>
      <c r="NKC23" s="21"/>
      <c r="NKD23" s="21"/>
      <c r="NKE23" s="21"/>
      <c r="NKF23" s="21"/>
      <c r="NKG23" s="21"/>
      <c r="NKH23" s="21"/>
      <c r="NKI23" s="21"/>
      <c r="NKJ23" s="21"/>
      <c r="NKK23" s="21"/>
      <c r="NKL23" s="21"/>
      <c r="NKM23" s="21"/>
      <c r="NKN23" s="21"/>
      <c r="NKO23" s="21"/>
      <c r="NKP23" s="21"/>
      <c r="NKQ23" s="21"/>
      <c r="NKR23" s="21"/>
      <c r="NKS23" s="21"/>
      <c r="NKT23" s="21"/>
      <c r="NKU23" s="21"/>
      <c r="NKV23" s="21"/>
      <c r="NKW23" s="21"/>
      <c r="NKX23" s="21"/>
      <c r="NKY23" s="21"/>
      <c r="NKZ23" s="21"/>
      <c r="NLA23" s="21"/>
      <c r="NLB23" s="21"/>
      <c r="NLC23" s="21"/>
      <c r="NLD23" s="21"/>
      <c r="NLE23" s="21"/>
      <c r="NLF23" s="21"/>
      <c r="NLG23" s="21"/>
      <c r="NLH23" s="21"/>
      <c r="NLI23" s="21"/>
      <c r="NLJ23" s="21"/>
      <c r="NLK23" s="21"/>
      <c r="NLL23" s="21"/>
      <c r="NLM23" s="21"/>
      <c r="NLN23" s="21"/>
      <c r="NLO23" s="21"/>
      <c r="NLP23" s="21"/>
      <c r="NLQ23" s="21"/>
      <c r="NLR23" s="21"/>
      <c r="NLS23" s="21"/>
      <c r="NLT23" s="21"/>
      <c r="NLU23" s="21"/>
      <c r="NLV23" s="21"/>
      <c r="NLW23" s="21"/>
      <c r="NLX23" s="21"/>
      <c r="NLY23" s="21"/>
      <c r="NLZ23" s="21"/>
      <c r="NMA23" s="21"/>
      <c r="NMB23" s="21"/>
      <c r="NMC23" s="21"/>
      <c r="NMD23" s="21"/>
      <c r="NME23" s="21"/>
      <c r="NMF23" s="21"/>
      <c r="NMG23" s="21"/>
      <c r="NMH23" s="21"/>
      <c r="NMI23" s="21"/>
      <c r="NMJ23" s="21"/>
      <c r="NMK23" s="21"/>
      <c r="NML23" s="21"/>
      <c r="NMM23" s="21"/>
      <c r="NMN23" s="21"/>
      <c r="NMO23" s="21"/>
      <c r="NMP23" s="21"/>
      <c r="NMQ23" s="21"/>
      <c r="NMR23" s="21"/>
      <c r="NMS23" s="21"/>
      <c r="NMT23" s="21"/>
      <c r="NMU23" s="21"/>
      <c r="NMV23" s="21"/>
      <c r="NMW23" s="21"/>
      <c r="NMX23" s="21"/>
      <c r="NMY23" s="21"/>
      <c r="NMZ23" s="21"/>
      <c r="NNA23" s="21"/>
      <c r="NNB23" s="21"/>
      <c r="NNC23" s="21"/>
      <c r="NND23" s="21"/>
      <c r="NNE23" s="21"/>
      <c r="NNF23" s="21"/>
      <c r="NNG23" s="21"/>
      <c r="NNH23" s="21"/>
      <c r="NNI23" s="21"/>
      <c r="NNJ23" s="21"/>
      <c r="NNK23" s="21"/>
      <c r="NNL23" s="21"/>
      <c r="NNM23" s="21"/>
      <c r="NNN23" s="21"/>
      <c r="NNO23" s="21"/>
      <c r="NNP23" s="21"/>
      <c r="NNQ23" s="21"/>
      <c r="NNR23" s="21"/>
      <c r="NNS23" s="21"/>
      <c r="NNT23" s="21"/>
      <c r="NNU23" s="21"/>
      <c r="NNV23" s="21"/>
      <c r="NNW23" s="21"/>
      <c r="NNX23" s="21"/>
      <c r="NNY23" s="21"/>
      <c r="NNZ23" s="21"/>
      <c r="NOA23" s="21"/>
      <c r="NOB23" s="21"/>
      <c r="NOC23" s="21"/>
      <c r="NOD23" s="21"/>
      <c r="NOE23" s="21"/>
      <c r="NOF23" s="21"/>
      <c r="NOG23" s="21"/>
      <c r="NOH23" s="21"/>
      <c r="NOI23" s="21"/>
      <c r="NOJ23" s="21"/>
      <c r="NOK23" s="21"/>
      <c r="NOL23" s="21"/>
      <c r="NOM23" s="21"/>
      <c r="NON23" s="21"/>
      <c r="NOO23" s="21"/>
      <c r="NOP23" s="21"/>
      <c r="NOQ23" s="21"/>
      <c r="NOR23" s="21"/>
      <c r="NOS23" s="21"/>
      <c r="NOT23" s="21"/>
      <c r="NOU23" s="21"/>
      <c r="NOV23" s="21"/>
      <c r="NOW23" s="21"/>
      <c r="NOX23" s="21"/>
      <c r="NOY23" s="21"/>
      <c r="NOZ23" s="21"/>
      <c r="NPA23" s="21"/>
      <c r="NPB23" s="21"/>
      <c r="NPC23" s="21"/>
      <c r="NPD23" s="21"/>
      <c r="NPE23" s="21"/>
      <c r="NPF23" s="21"/>
      <c r="NPG23" s="21"/>
      <c r="NPH23" s="21"/>
      <c r="NPI23" s="21"/>
      <c r="NPJ23" s="21"/>
      <c r="NPK23" s="21"/>
      <c r="NPL23" s="21"/>
      <c r="NPM23" s="21"/>
      <c r="NPN23" s="21"/>
      <c r="NPO23" s="21"/>
      <c r="NPP23" s="21"/>
      <c r="NPQ23" s="21"/>
      <c r="NPR23" s="21"/>
      <c r="NPS23" s="21"/>
      <c r="NPT23" s="21"/>
      <c r="NPU23" s="21"/>
      <c r="NPV23" s="21"/>
      <c r="NPW23" s="21"/>
      <c r="NPX23" s="21"/>
      <c r="NPY23" s="21"/>
      <c r="NPZ23" s="21"/>
      <c r="NQA23" s="21"/>
      <c r="NQB23" s="21"/>
      <c r="NQC23" s="21"/>
      <c r="NQD23" s="21"/>
      <c r="NQE23" s="21"/>
      <c r="NQF23" s="21"/>
      <c r="NQG23" s="21"/>
      <c r="NQH23" s="21"/>
      <c r="NQI23" s="21"/>
      <c r="NQJ23" s="21"/>
      <c r="NQK23" s="21"/>
      <c r="NQL23" s="21"/>
      <c r="NQM23" s="21"/>
      <c r="NQN23" s="21"/>
      <c r="NQO23" s="21"/>
      <c r="NQP23" s="21"/>
      <c r="NQQ23" s="21"/>
      <c r="NQR23" s="21"/>
      <c r="NQS23" s="21"/>
      <c r="NQT23" s="21"/>
      <c r="NQU23" s="21"/>
      <c r="NQV23" s="21"/>
      <c r="NQW23" s="21"/>
      <c r="NQX23" s="21"/>
      <c r="NQY23" s="21"/>
      <c r="NQZ23" s="21"/>
      <c r="NRA23" s="21"/>
      <c r="NRB23" s="21"/>
      <c r="NRC23" s="21"/>
      <c r="NRD23" s="21"/>
      <c r="NRE23" s="21"/>
      <c r="NRF23" s="21"/>
      <c r="NRG23" s="21"/>
      <c r="NRH23" s="21"/>
      <c r="NRI23" s="21"/>
      <c r="NRJ23" s="21"/>
      <c r="NRK23" s="21"/>
      <c r="NRL23" s="21"/>
      <c r="NRM23" s="21"/>
      <c r="NRN23" s="21"/>
      <c r="NRO23" s="21"/>
      <c r="NRP23" s="21"/>
      <c r="NRQ23" s="21"/>
      <c r="NRR23" s="21"/>
      <c r="NRS23" s="21"/>
      <c r="NRT23" s="21"/>
      <c r="NRU23" s="21"/>
      <c r="NRV23" s="21"/>
      <c r="NRW23" s="21"/>
      <c r="NRX23" s="21"/>
      <c r="NRY23" s="21"/>
      <c r="NRZ23" s="21"/>
      <c r="NSA23" s="21"/>
      <c r="NSB23" s="21"/>
      <c r="NSC23" s="21"/>
      <c r="NSD23" s="21"/>
      <c r="NSE23" s="21"/>
      <c r="NSF23" s="21"/>
      <c r="NSG23" s="21"/>
      <c r="NSH23" s="21"/>
      <c r="NSI23" s="21"/>
      <c r="NSJ23" s="21"/>
      <c r="NSK23" s="21"/>
      <c r="NSL23" s="21"/>
      <c r="NSM23" s="21"/>
      <c r="NSN23" s="21"/>
      <c r="NSO23" s="21"/>
      <c r="NSP23" s="21"/>
      <c r="NSQ23" s="21"/>
      <c r="NSR23" s="21"/>
      <c r="NSS23" s="21"/>
      <c r="NST23" s="21"/>
      <c r="NSU23" s="21"/>
      <c r="NSV23" s="21"/>
      <c r="NSW23" s="21"/>
      <c r="NSX23" s="21"/>
      <c r="NSY23" s="21"/>
      <c r="NSZ23" s="21"/>
      <c r="NTA23" s="21"/>
      <c r="NTB23" s="21"/>
      <c r="NTC23" s="21"/>
      <c r="NTD23" s="21"/>
      <c r="NTE23" s="21"/>
      <c r="NTF23" s="21"/>
      <c r="NTG23" s="21"/>
      <c r="NTH23" s="21"/>
      <c r="NTI23" s="21"/>
      <c r="NTJ23" s="21"/>
      <c r="NTK23" s="21"/>
      <c r="NTL23" s="21"/>
      <c r="NTM23" s="21"/>
      <c r="NTN23" s="21"/>
      <c r="NTO23" s="21"/>
      <c r="NTP23" s="21"/>
      <c r="NTQ23" s="21"/>
      <c r="NTR23" s="21"/>
      <c r="NTS23" s="21"/>
      <c r="NTT23" s="21"/>
      <c r="NTU23" s="21"/>
      <c r="NTV23" s="21"/>
      <c r="NTW23" s="21"/>
      <c r="NTX23" s="21"/>
      <c r="NTY23" s="21"/>
      <c r="NTZ23" s="21"/>
      <c r="NUA23" s="21"/>
      <c r="NUB23" s="21"/>
      <c r="NUC23" s="21"/>
      <c r="NUD23" s="21"/>
      <c r="NUE23" s="21"/>
      <c r="NUF23" s="21"/>
      <c r="NUG23" s="21"/>
      <c r="NUH23" s="21"/>
      <c r="NUI23" s="21"/>
      <c r="NUJ23" s="21"/>
      <c r="NUK23" s="21"/>
      <c r="NUL23" s="21"/>
      <c r="NUM23" s="21"/>
      <c r="NUN23" s="21"/>
      <c r="NUO23" s="21"/>
      <c r="NUP23" s="21"/>
      <c r="NUQ23" s="21"/>
      <c r="NUR23" s="21"/>
      <c r="NUS23" s="21"/>
      <c r="NUT23" s="21"/>
      <c r="NUU23" s="21"/>
      <c r="NUV23" s="21"/>
      <c r="NUW23" s="21"/>
      <c r="NUX23" s="21"/>
      <c r="NUY23" s="21"/>
      <c r="NUZ23" s="21"/>
      <c r="NVA23" s="21"/>
      <c r="NVB23" s="21"/>
      <c r="NVC23" s="21"/>
      <c r="NVD23" s="21"/>
      <c r="NVE23" s="21"/>
      <c r="NVF23" s="21"/>
      <c r="NVG23" s="21"/>
      <c r="NVH23" s="21"/>
      <c r="NVI23" s="21"/>
      <c r="NVJ23" s="21"/>
      <c r="NVK23" s="21"/>
      <c r="NVL23" s="21"/>
      <c r="NVM23" s="21"/>
      <c r="NVN23" s="21"/>
      <c r="NVO23" s="21"/>
      <c r="NVP23" s="21"/>
      <c r="NVQ23" s="21"/>
      <c r="NVR23" s="21"/>
      <c r="NVS23" s="21"/>
      <c r="NVT23" s="21"/>
      <c r="NVU23" s="21"/>
      <c r="NVV23" s="21"/>
      <c r="NVW23" s="21"/>
      <c r="NVX23" s="21"/>
      <c r="NVY23" s="21"/>
      <c r="NVZ23" s="21"/>
      <c r="NWA23" s="21"/>
      <c r="NWB23" s="21"/>
      <c r="NWC23" s="21"/>
      <c r="NWD23" s="21"/>
      <c r="NWE23" s="21"/>
      <c r="NWF23" s="21"/>
      <c r="NWG23" s="21"/>
      <c r="NWH23" s="21"/>
      <c r="NWI23" s="21"/>
      <c r="NWJ23" s="21"/>
      <c r="NWK23" s="21"/>
      <c r="NWL23" s="21"/>
      <c r="NWM23" s="21"/>
      <c r="NWN23" s="21"/>
      <c r="NWO23" s="21"/>
      <c r="NWP23" s="21"/>
      <c r="NWQ23" s="21"/>
      <c r="NWR23" s="21"/>
      <c r="NWS23" s="21"/>
      <c r="NWT23" s="21"/>
      <c r="NWU23" s="21"/>
      <c r="NWV23" s="21"/>
      <c r="NWW23" s="21"/>
      <c r="NWX23" s="21"/>
      <c r="NWY23" s="21"/>
      <c r="NWZ23" s="21"/>
      <c r="NXA23" s="21"/>
      <c r="NXB23" s="21"/>
      <c r="NXC23" s="21"/>
      <c r="NXD23" s="21"/>
      <c r="NXE23" s="21"/>
      <c r="NXF23" s="21"/>
      <c r="NXG23" s="21"/>
      <c r="NXH23" s="21"/>
      <c r="NXI23" s="21"/>
      <c r="NXJ23" s="21"/>
      <c r="NXK23" s="21"/>
      <c r="NXL23" s="21"/>
      <c r="NXM23" s="21"/>
      <c r="NXN23" s="21"/>
      <c r="NXO23" s="21"/>
      <c r="NXP23" s="21"/>
      <c r="NXQ23" s="21"/>
      <c r="NXR23" s="21"/>
      <c r="NXS23" s="21"/>
      <c r="NXT23" s="21"/>
      <c r="NXU23" s="21"/>
      <c r="NXV23" s="21"/>
      <c r="NXW23" s="21"/>
      <c r="NXX23" s="21"/>
      <c r="NXY23" s="21"/>
      <c r="NXZ23" s="21"/>
      <c r="NYA23" s="21"/>
      <c r="NYB23" s="21"/>
      <c r="NYC23" s="21"/>
      <c r="NYD23" s="21"/>
      <c r="NYE23" s="21"/>
      <c r="NYF23" s="21"/>
      <c r="NYG23" s="21"/>
      <c r="NYH23" s="21"/>
      <c r="NYI23" s="21"/>
      <c r="NYJ23" s="21"/>
      <c r="NYK23" s="21"/>
      <c r="NYL23" s="21"/>
      <c r="NYM23" s="21"/>
      <c r="NYN23" s="21"/>
      <c r="NYO23" s="21"/>
      <c r="NYP23" s="21"/>
      <c r="NYQ23" s="21"/>
      <c r="NYR23" s="21"/>
      <c r="NYS23" s="21"/>
      <c r="NYT23" s="21"/>
      <c r="NYU23" s="21"/>
      <c r="NYV23" s="21"/>
      <c r="NYW23" s="21"/>
      <c r="NYX23" s="21"/>
      <c r="NYY23" s="21"/>
      <c r="NYZ23" s="21"/>
      <c r="NZA23" s="21"/>
      <c r="NZB23" s="21"/>
      <c r="NZC23" s="21"/>
      <c r="NZD23" s="21"/>
      <c r="NZE23" s="21"/>
      <c r="NZF23" s="21"/>
      <c r="NZG23" s="21"/>
      <c r="NZH23" s="21"/>
      <c r="NZI23" s="21"/>
      <c r="NZJ23" s="21"/>
      <c r="NZK23" s="21"/>
      <c r="NZL23" s="21"/>
      <c r="NZM23" s="21"/>
      <c r="NZN23" s="21"/>
      <c r="NZO23" s="21"/>
      <c r="NZP23" s="21"/>
      <c r="NZQ23" s="21"/>
      <c r="NZR23" s="21"/>
      <c r="NZS23" s="21"/>
      <c r="NZT23" s="21"/>
      <c r="NZU23" s="21"/>
      <c r="NZV23" s="21"/>
      <c r="NZW23" s="21"/>
      <c r="NZX23" s="21"/>
      <c r="NZY23" s="21"/>
      <c r="NZZ23" s="21"/>
      <c r="OAA23" s="21"/>
      <c r="OAB23" s="21"/>
      <c r="OAC23" s="21"/>
      <c r="OAD23" s="21"/>
      <c r="OAE23" s="21"/>
      <c r="OAF23" s="21"/>
      <c r="OAG23" s="21"/>
      <c r="OAH23" s="21"/>
      <c r="OAI23" s="21"/>
      <c r="OAJ23" s="21"/>
      <c r="OAK23" s="21"/>
      <c r="OAL23" s="21"/>
      <c r="OAM23" s="21"/>
      <c r="OAN23" s="21"/>
      <c r="OAO23" s="21"/>
      <c r="OAP23" s="21"/>
      <c r="OAQ23" s="21"/>
      <c r="OAR23" s="21"/>
      <c r="OAS23" s="21"/>
      <c r="OAT23" s="21"/>
      <c r="OAU23" s="21"/>
      <c r="OAV23" s="21"/>
      <c r="OAW23" s="21"/>
      <c r="OAX23" s="21"/>
      <c r="OAY23" s="21"/>
      <c r="OAZ23" s="21"/>
      <c r="OBA23" s="21"/>
      <c r="OBB23" s="21"/>
      <c r="OBC23" s="21"/>
      <c r="OBD23" s="21"/>
      <c r="OBE23" s="21"/>
      <c r="OBF23" s="21"/>
      <c r="OBG23" s="21"/>
      <c r="OBH23" s="21"/>
      <c r="OBI23" s="21"/>
      <c r="OBJ23" s="21"/>
      <c r="OBK23" s="21"/>
      <c r="OBL23" s="21"/>
      <c r="OBM23" s="21"/>
      <c r="OBN23" s="21"/>
      <c r="OBO23" s="21"/>
      <c r="OBP23" s="21"/>
      <c r="OBQ23" s="21"/>
      <c r="OBR23" s="21"/>
      <c r="OBS23" s="21"/>
      <c r="OBT23" s="21"/>
      <c r="OBU23" s="21"/>
      <c r="OBV23" s="21"/>
      <c r="OBW23" s="21"/>
      <c r="OBX23" s="21"/>
      <c r="OBY23" s="21"/>
      <c r="OBZ23" s="21"/>
      <c r="OCA23" s="21"/>
      <c r="OCB23" s="21"/>
      <c r="OCC23" s="21"/>
      <c r="OCD23" s="21"/>
      <c r="OCE23" s="21"/>
      <c r="OCF23" s="21"/>
      <c r="OCG23" s="21"/>
      <c r="OCH23" s="21"/>
      <c r="OCI23" s="21"/>
      <c r="OCJ23" s="21"/>
      <c r="OCK23" s="21"/>
      <c r="OCL23" s="21"/>
      <c r="OCM23" s="21"/>
      <c r="OCN23" s="21"/>
      <c r="OCO23" s="21"/>
      <c r="OCP23" s="21"/>
      <c r="OCQ23" s="21"/>
      <c r="OCR23" s="21"/>
      <c r="OCS23" s="21"/>
      <c r="OCT23" s="21"/>
      <c r="OCU23" s="21"/>
      <c r="OCV23" s="21"/>
      <c r="OCW23" s="21"/>
      <c r="OCX23" s="21"/>
      <c r="OCY23" s="21"/>
      <c r="OCZ23" s="21"/>
      <c r="ODA23" s="21"/>
      <c r="ODB23" s="21"/>
      <c r="ODC23" s="21"/>
      <c r="ODD23" s="21"/>
      <c r="ODE23" s="21"/>
      <c r="ODF23" s="21"/>
      <c r="ODG23" s="21"/>
      <c r="ODH23" s="21"/>
      <c r="ODI23" s="21"/>
      <c r="ODJ23" s="21"/>
      <c r="ODK23" s="21"/>
      <c r="ODL23" s="21"/>
      <c r="ODM23" s="21"/>
      <c r="ODN23" s="21"/>
      <c r="ODO23" s="21"/>
      <c r="ODP23" s="21"/>
      <c r="ODQ23" s="21"/>
      <c r="ODR23" s="21"/>
      <c r="ODS23" s="21"/>
      <c r="ODT23" s="21"/>
      <c r="ODU23" s="21"/>
      <c r="ODV23" s="21"/>
      <c r="ODW23" s="21"/>
      <c r="ODX23" s="21"/>
      <c r="ODY23" s="21"/>
      <c r="ODZ23" s="21"/>
      <c r="OEA23" s="21"/>
      <c r="OEB23" s="21"/>
      <c r="OEC23" s="21"/>
      <c r="OED23" s="21"/>
      <c r="OEE23" s="21"/>
      <c r="OEF23" s="21"/>
      <c r="OEG23" s="21"/>
      <c r="OEH23" s="21"/>
      <c r="OEI23" s="21"/>
      <c r="OEJ23" s="21"/>
      <c r="OEK23" s="21"/>
      <c r="OEL23" s="21"/>
      <c r="OEM23" s="21"/>
      <c r="OEN23" s="21"/>
      <c r="OEO23" s="21"/>
      <c r="OEP23" s="21"/>
      <c r="OEQ23" s="21"/>
      <c r="OER23" s="21"/>
      <c r="OES23" s="21"/>
      <c r="OET23" s="21"/>
      <c r="OEU23" s="21"/>
      <c r="OEV23" s="21"/>
      <c r="OEW23" s="21"/>
      <c r="OEX23" s="21"/>
      <c r="OEY23" s="21"/>
      <c r="OEZ23" s="21"/>
      <c r="OFA23" s="21"/>
      <c r="OFB23" s="21"/>
      <c r="OFC23" s="21"/>
      <c r="OFD23" s="21"/>
      <c r="OFE23" s="21"/>
      <c r="OFF23" s="21"/>
      <c r="OFG23" s="21"/>
      <c r="OFH23" s="21"/>
      <c r="OFI23" s="21"/>
      <c r="OFJ23" s="21"/>
      <c r="OFK23" s="21"/>
      <c r="OFL23" s="21"/>
      <c r="OFM23" s="21"/>
      <c r="OFN23" s="21"/>
      <c r="OFO23" s="21"/>
      <c r="OFP23" s="21"/>
      <c r="OFQ23" s="21"/>
      <c r="OFR23" s="21"/>
      <c r="OFS23" s="21"/>
      <c r="OFT23" s="21"/>
      <c r="OFU23" s="21"/>
      <c r="OFV23" s="21"/>
      <c r="OFW23" s="21"/>
      <c r="OFX23" s="21"/>
      <c r="OFY23" s="21"/>
      <c r="OFZ23" s="21"/>
      <c r="OGA23" s="21"/>
      <c r="OGB23" s="21"/>
      <c r="OGC23" s="21"/>
      <c r="OGD23" s="21"/>
      <c r="OGE23" s="21"/>
      <c r="OGF23" s="21"/>
      <c r="OGG23" s="21"/>
      <c r="OGH23" s="21"/>
      <c r="OGI23" s="21"/>
      <c r="OGJ23" s="21"/>
      <c r="OGK23" s="21"/>
      <c r="OGL23" s="21"/>
      <c r="OGM23" s="21"/>
      <c r="OGN23" s="21"/>
      <c r="OGO23" s="21"/>
      <c r="OGP23" s="21"/>
      <c r="OGQ23" s="21"/>
      <c r="OGR23" s="21"/>
      <c r="OGS23" s="21"/>
      <c r="OGT23" s="21"/>
      <c r="OGU23" s="21"/>
      <c r="OGV23" s="21"/>
      <c r="OGW23" s="21"/>
      <c r="OGX23" s="21"/>
      <c r="OGY23" s="21"/>
      <c r="OGZ23" s="21"/>
      <c r="OHA23" s="21"/>
      <c r="OHB23" s="21"/>
      <c r="OHC23" s="21"/>
      <c r="OHD23" s="21"/>
      <c r="OHE23" s="21"/>
      <c r="OHF23" s="21"/>
      <c r="OHG23" s="21"/>
      <c r="OHH23" s="21"/>
      <c r="OHI23" s="21"/>
      <c r="OHJ23" s="21"/>
      <c r="OHK23" s="21"/>
      <c r="OHL23" s="21"/>
      <c r="OHM23" s="21"/>
      <c r="OHN23" s="21"/>
      <c r="OHO23" s="21"/>
      <c r="OHP23" s="21"/>
      <c r="OHQ23" s="21"/>
      <c r="OHR23" s="21"/>
      <c r="OHS23" s="21"/>
      <c r="OHT23" s="21"/>
      <c r="OHU23" s="21"/>
      <c r="OHV23" s="21"/>
      <c r="OHW23" s="21"/>
      <c r="OHX23" s="21"/>
      <c r="OHY23" s="21"/>
      <c r="OHZ23" s="21"/>
      <c r="OIA23" s="21"/>
      <c r="OIB23" s="21"/>
      <c r="OIC23" s="21"/>
      <c r="OID23" s="21"/>
      <c r="OIE23" s="21"/>
      <c r="OIF23" s="21"/>
      <c r="OIG23" s="21"/>
      <c r="OIH23" s="21"/>
      <c r="OII23" s="21"/>
      <c r="OIJ23" s="21"/>
      <c r="OIK23" s="21"/>
      <c r="OIL23" s="21"/>
      <c r="OIM23" s="21"/>
      <c r="OIN23" s="21"/>
      <c r="OIO23" s="21"/>
      <c r="OIP23" s="21"/>
      <c r="OIQ23" s="21"/>
      <c r="OIR23" s="21"/>
      <c r="OIS23" s="21"/>
      <c r="OIT23" s="21"/>
      <c r="OIU23" s="21"/>
      <c r="OIV23" s="21"/>
      <c r="OIW23" s="21"/>
      <c r="OIX23" s="21"/>
      <c r="OIY23" s="21"/>
      <c r="OIZ23" s="21"/>
      <c r="OJA23" s="21"/>
      <c r="OJB23" s="21"/>
      <c r="OJC23" s="21"/>
      <c r="OJD23" s="21"/>
      <c r="OJE23" s="21"/>
      <c r="OJF23" s="21"/>
      <c r="OJG23" s="21"/>
      <c r="OJH23" s="21"/>
      <c r="OJI23" s="21"/>
      <c r="OJJ23" s="21"/>
      <c r="OJK23" s="21"/>
      <c r="OJL23" s="21"/>
      <c r="OJM23" s="21"/>
      <c r="OJN23" s="21"/>
      <c r="OJO23" s="21"/>
      <c r="OJP23" s="21"/>
      <c r="OJQ23" s="21"/>
      <c r="OJR23" s="21"/>
      <c r="OJS23" s="21"/>
      <c r="OJT23" s="21"/>
      <c r="OJU23" s="21"/>
      <c r="OJV23" s="21"/>
      <c r="OJW23" s="21"/>
      <c r="OJX23" s="21"/>
      <c r="OJY23" s="21"/>
      <c r="OJZ23" s="21"/>
      <c r="OKA23" s="21"/>
      <c r="OKB23" s="21"/>
      <c r="OKC23" s="21"/>
      <c r="OKD23" s="21"/>
      <c r="OKE23" s="21"/>
      <c r="OKF23" s="21"/>
      <c r="OKG23" s="21"/>
      <c r="OKH23" s="21"/>
      <c r="OKI23" s="21"/>
      <c r="OKJ23" s="21"/>
      <c r="OKK23" s="21"/>
      <c r="OKL23" s="21"/>
      <c r="OKM23" s="21"/>
      <c r="OKN23" s="21"/>
      <c r="OKO23" s="21"/>
      <c r="OKP23" s="21"/>
      <c r="OKQ23" s="21"/>
      <c r="OKR23" s="21"/>
      <c r="OKS23" s="21"/>
      <c r="OKT23" s="21"/>
      <c r="OKU23" s="21"/>
      <c r="OKV23" s="21"/>
      <c r="OKW23" s="21"/>
      <c r="OKX23" s="21"/>
      <c r="OKY23" s="21"/>
      <c r="OKZ23" s="21"/>
      <c r="OLA23" s="21"/>
      <c r="OLB23" s="21"/>
      <c r="OLC23" s="21"/>
      <c r="OLD23" s="21"/>
      <c r="OLE23" s="21"/>
      <c r="OLF23" s="21"/>
      <c r="OLG23" s="21"/>
      <c r="OLH23" s="21"/>
      <c r="OLI23" s="21"/>
      <c r="OLJ23" s="21"/>
      <c r="OLK23" s="21"/>
      <c r="OLL23" s="21"/>
      <c r="OLM23" s="21"/>
      <c r="OLN23" s="21"/>
      <c r="OLO23" s="21"/>
      <c r="OLP23" s="21"/>
      <c r="OLQ23" s="21"/>
      <c r="OLR23" s="21"/>
      <c r="OLS23" s="21"/>
      <c r="OLT23" s="21"/>
      <c r="OLU23" s="21"/>
      <c r="OLV23" s="21"/>
      <c r="OLW23" s="21"/>
      <c r="OLX23" s="21"/>
      <c r="OLY23" s="21"/>
      <c r="OLZ23" s="21"/>
      <c r="OMA23" s="21"/>
      <c r="OMB23" s="21"/>
      <c r="OMC23" s="21"/>
      <c r="OMD23" s="21"/>
      <c r="OME23" s="21"/>
      <c r="OMF23" s="21"/>
      <c r="OMG23" s="21"/>
      <c r="OMH23" s="21"/>
      <c r="OMI23" s="21"/>
      <c r="OMJ23" s="21"/>
      <c r="OMK23" s="21"/>
      <c r="OML23" s="21"/>
      <c r="OMM23" s="21"/>
      <c r="OMN23" s="21"/>
      <c r="OMO23" s="21"/>
      <c r="OMP23" s="21"/>
      <c r="OMQ23" s="21"/>
      <c r="OMR23" s="21"/>
      <c r="OMS23" s="21"/>
      <c r="OMT23" s="21"/>
      <c r="OMU23" s="21"/>
      <c r="OMV23" s="21"/>
      <c r="OMW23" s="21"/>
      <c r="OMX23" s="21"/>
      <c r="OMY23" s="21"/>
      <c r="OMZ23" s="21"/>
      <c r="ONA23" s="21"/>
      <c r="ONB23" s="21"/>
      <c r="ONC23" s="21"/>
      <c r="OND23" s="21"/>
      <c r="ONE23" s="21"/>
      <c r="ONF23" s="21"/>
      <c r="ONG23" s="21"/>
      <c r="ONH23" s="21"/>
      <c r="ONI23" s="21"/>
      <c r="ONJ23" s="21"/>
      <c r="ONK23" s="21"/>
      <c r="ONL23" s="21"/>
      <c r="ONM23" s="21"/>
      <c r="ONN23" s="21"/>
      <c r="ONO23" s="21"/>
      <c r="ONP23" s="21"/>
      <c r="ONQ23" s="21"/>
      <c r="ONR23" s="21"/>
      <c r="ONS23" s="21"/>
      <c r="ONT23" s="21"/>
      <c r="ONU23" s="21"/>
      <c r="ONV23" s="21"/>
      <c r="ONW23" s="21"/>
      <c r="ONX23" s="21"/>
      <c r="ONY23" s="21"/>
      <c r="ONZ23" s="21"/>
      <c r="OOA23" s="21"/>
      <c r="OOB23" s="21"/>
      <c r="OOC23" s="21"/>
      <c r="OOD23" s="21"/>
      <c r="OOE23" s="21"/>
      <c r="OOF23" s="21"/>
      <c r="OOG23" s="21"/>
      <c r="OOH23" s="21"/>
      <c r="OOI23" s="21"/>
      <c r="OOJ23" s="21"/>
      <c r="OOK23" s="21"/>
      <c r="OOL23" s="21"/>
      <c r="OOM23" s="21"/>
      <c r="OON23" s="21"/>
      <c r="OOO23" s="21"/>
      <c r="OOP23" s="21"/>
      <c r="OOQ23" s="21"/>
      <c r="OOR23" s="21"/>
      <c r="OOS23" s="21"/>
      <c r="OOT23" s="21"/>
      <c r="OOU23" s="21"/>
      <c r="OOV23" s="21"/>
      <c r="OOW23" s="21"/>
      <c r="OOX23" s="21"/>
      <c r="OOY23" s="21"/>
      <c r="OOZ23" s="21"/>
      <c r="OPA23" s="21"/>
      <c r="OPB23" s="21"/>
      <c r="OPC23" s="21"/>
      <c r="OPD23" s="21"/>
      <c r="OPE23" s="21"/>
      <c r="OPF23" s="21"/>
      <c r="OPG23" s="21"/>
      <c r="OPH23" s="21"/>
      <c r="OPI23" s="21"/>
      <c r="OPJ23" s="21"/>
      <c r="OPK23" s="21"/>
      <c r="OPL23" s="21"/>
      <c r="OPM23" s="21"/>
      <c r="OPN23" s="21"/>
      <c r="OPO23" s="21"/>
      <c r="OPP23" s="21"/>
      <c r="OPQ23" s="21"/>
      <c r="OPR23" s="21"/>
      <c r="OPS23" s="21"/>
      <c r="OPT23" s="21"/>
      <c r="OPU23" s="21"/>
      <c r="OPV23" s="21"/>
      <c r="OPW23" s="21"/>
      <c r="OPX23" s="21"/>
      <c r="OPY23" s="21"/>
      <c r="OPZ23" s="21"/>
      <c r="OQA23" s="21"/>
      <c r="OQB23" s="21"/>
      <c r="OQC23" s="21"/>
      <c r="OQD23" s="21"/>
      <c r="OQE23" s="21"/>
      <c r="OQF23" s="21"/>
      <c r="OQG23" s="21"/>
      <c r="OQH23" s="21"/>
      <c r="OQI23" s="21"/>
      <c r="OQJ23" s="21"/>
      <c r="OQK23" s="21"/>
      <c r="OQL23" s="21"/>
      <c r="OQM23" s="21"/>
      <c r="OQN23" s="21"/>
      <c r="OQO23" s="21"/>
      <c r="OQP23" s="21"/>
      <c r="OQQ23" s="21"/>
      <c r="OQR23" s="21"/>
      <c r="OQS23" s="21"/>
      <c r="OQT23" s="21"/>
      <c r="OQU23" s="21"/>
      <c r="OQV23" s="21"/>
      <c r="OQW23" s="21"/>
      <c r="OQX23" s="21"/>
      <c r="OQY23" s="21"/>
      <c r="OQZ23" s="21"/>
      <c r="ORA23" s="21"/>
      <c r="ORB23" s="21"/>
      <c r="ORC23" s="21"/>
      <c r="ORD23" s="21"/>
      <c r="ORE23" s="21"/>
      <c r="ORF23" s="21"/>
      <c r="ORG23" s="21"/>
      <c r="ORH23" s="21"/>
      <c r="ORI23" s="21"/>
      <c r="ORJ23" s="21"/>
      <c r="ORK23" s="21"/>
      <c r="ORL23" s="21"/>
      <c r="ORM23" s="21"/>
      <c r="ORN23" s="21"/>
      <c r="ORO23" s="21"/>
      <c r="ORP23" s="21"/>
      <c r="ORQ23" s="21"/>
      <c r="ORR23" s="21"/>
      <c r="ORS23" s="21"/>
      <c r="ORT23" s="21"/>
      <c r="ORU23" s="21"/>
      <c r="ORV23" s="21"/>
      <c r="ORW23" s="21"/>
      <c r="ORX23" s="21"/>
      <c r="ORY23" s="21"/>
      <c r="ORZ23" s="21"/>
      <c r="OSA23" s="21"/>
      <c r="OSB23" s="21"/>
      <c r="OSC23" s="21"/>
      <c r="OSD23" s="21"/>
      <c r="OSE23" s="21"/>
      <c r="OSF23" s="21"/>
      <c r="OSG23" s="21"/>
      <c r="OSH23" s="21"/>
      <c r="OSI23" s="21"/>
      <c r="OSJ23" s="21"/>
      <c r="OSK23" s="21"/>
      <c r="OSL23" s="21"/>
      <c r="OSM23" s="21"/>
      <c r="OSN23" s="21"/>
      <c r="OSO23" s="21"/>
      <c r="OSP23" s="21"/>
      <c r="OSQ23" s="21"/>
      <c r="OSR23" s="21"/>
      <c r="OSS23" s="21"/>
      <c r="OST23" s="21"/>
      <c r="OSU23" s="21"/>
      <c r="OSV23" s="21"/>
      <c r="OSW23" s="21"/>
      <c r="OSX23" s="21"/>
      <c r="OSY23" s="21"/>
      <c r="OSZ23" s="21"/>
      <c r="OTA23" s="21"/>
      <c r="OTB23" s="21"/>
      <c r="OTC23" s="21"/>
      <c r="OTD23" s="21"/>
      <c r="OTE23" s="21"/>
      <c r="OTF23" s="21"/>
      <c r="OTG23" s="21"/>
      <c r="OTH23" s="21"/>
      <c r="OTI23" s="21"/>
      <c r="OTJ23" s="21"/>
      <c r="OTK23" s="21"/>
      <c r="OTL23" s="21"/>
      <c r="OTM23" s="21"/>
      <c r="OTN23" s="21"/>
      <c r="OTO23" s="21"/>
      <c r="OTP23" s="21"/>
      <c r="OTQ23" s="21"/>
      <c r="OTR23" s="21"/>
      <c r="OTS23" s="21"/>
      <c r="OTT23" s="21"/>
      <c r="OTU23" s="21"/>
      <c r="OTV23" s="21"/>
      <c r="OTW23" s="21"/>
      <c r="OTX23" s="21"/>
      <c r="OTY23" s="21"/>
      <c r="OTZ23" s="21"/>
      <c r="OUA23" s="21"/>
      <c r="OUB23" s="21"/>
      <c r="OUC23" s="21"/>
      <c r="OUD23" s="21"/>
      <c r="OUE23" s="21"/>
      <c r="OUF23" s="21"/>
      <c r="OUG23" s="21"/>
      <c r="OUH23" s="21"/>
      <c r="OUI23" s="21"/>
      <c r="OUJ23" s="21"/>
      <c r="OUK23" s="21"/>
      <c r="OUL23" s="21"/>
      <c r="OUM23" s="21"/>
      <c r="OUN23" s="21"/>
      <c r="OUO23" s="21"/>
      <c r="OUP23" s="21"/>
      <c r="OUQ23" s="21"/>
      <c r="OUR23" s="21"/>
      <c r="OUS23" s="21"/>
      <c r="OUT23" s="21"/>
      <c r="OUU23" s="21"/>
      <c r="OUV23" s="21"/>
      <c r="OUW23" s="21"/>
      <c r="OUX23" s="21"/>
      <c r="OUY23" s="21"/>
      <c r="OUZ23" s="21"/>
      <c r="OVA23" s="21"/>
      <c r="OVB23" s="21"/>
      <c r="OVC23" s="21"/>
      <c r="OVD23" s="21"/>
      <c r="OVE23" s="21"/>
      <c r="OVF23" s="21"/>
      <c r="OVG23" s="21"/>
      <c r="OVH23" s="21"/>
      <c r="OVI23" s="21"/>
      <c r="OVJ23" s="21"/>
      <c r="OVK23" s="21"/>
      <c r="OVL23" s="21"/>
      <c r="OVM23" s="21"/>
      <c r="OVN23" s="21"/>
      <c r="OVO23" s="21"/>
      <c r="OVP23" s="21"/>
      <c r="OVQ23" s="21"/>
      <c r="OVR23" s="21"/>
      <c r="OVS23" s="21"/>
      <c r="OVT23" s="21"/>
      <c r="OVU23" s="21"/>
      <c r="OVV23" s="21"/>
      <c r="OVW23" s="21"/>
      <c r="OVX23" s="21"/>
      <c r="OVY23" s="21"/>
      <c r="OVZ23" s="21"/>
      <c r="OWA23" s="21"/>
      <c r="OWB23" s="21"/>
      <c r="OWC23" s="21"/>
      <c r="OWD23" s="21"/>
      <c r="OWE23" s="21"/>
      <c r="OWF23" s="21"/>
      <c r="OWG23" s="21"/>
      <c r="OWH23" s="21"/>
      <c r="OWI23" s="21"/>
      <c r="OWJ23" s="21"/>
      <c r="OWK23" s="21"/>
      <c r="OWL23" s="21"/>
      <c r="OWM23" s="21"/>
      <c r="OWN23" s="21"/>
      <c r="OWO23" s="21"/>
      <c r="OWP23" s="21"/>
      <c r="OWQ23" s="21"/>
      <c r="OWR23" s="21"/>
      <c r="OWS23" s="21"/>
      <c r="OWT23" s="21"/>
      <c r="OWU23" s="21"/>
      <c r="OWV23" s="21"/>
      <c r="OWW23" s="21"/>
      <c r="OWX23" s="21"/>
      <c r="OWY23" s="21"/>
      <c r="OWZ23" s="21"/>
      <c r="OXA23" s="21"/>
      <c r="OXB23" s="21"/>
      <c r="OXC23" s="21"/>
      <c r="OXD23" s="21"/>
      <c r="OXE23" s="21"/>
      <c r="OXF23" s="21"/>
      <c r="OXG23" s="21"/>
      <c r="OXH23" s="21"/>
      <c r="OXI23" s="21"/>
      <c r="OXJ23" s="21"/>
      <c r="OXK23" s="21"/>
      <c r="OXL23" s="21"/>
      <c r="OXM23" s="21"/>
      <c r="OXN23" s="21"/>
      <c r="OXO23" s="21"/>
      <c r="OXP23" s="21"/>
      <c r="OXQ23" s="21"/>
      <c r="OXR23" s="21"/>
      <c r="OXS23" s="21"/>
      <c r="OXT23" s="21"/>
      <c r="OXU23" s="21"/>
      <c r="OXV23" s="21"/>
      <c r="OXW23" s="21"/>
      <c r="OXX23" s="21"/>
      <c r="OXY23" s="21"/>
      <c r="OXZ23" s="21"/>
      <c r="OYA23" s="21"/>
      <c r="OYB23" s="21"/>
      <c r="OYC23" s="21"/>
      <c r="OYD23" s="21"/>
      <c r="OYE23" s="21"/>
      <c r="OYF23" s="21"/>
      <c r="OYG23" s="21"/>
      <c r="OYH23" s="21"/>
      <c r="OYI23" s="21"/>
      <c r="OYJ23" s="21"/>
      <c r="OYK23" s="21"/>
      <c r="OYL23" s="21"/>
      <c r="OYM23" s="21"/>
      <c r="OYN23" s="21"/>
      <c r="OYO23" s="21"/>
      <c r="OYP23" s="21"/>
      <c r="OYQ23" s="21"/>
      <c r="OYR23" s="21"/>
      <c r="OYS23" s="21"/>
      <c r="OYT23" s="21"/>
      <c r="OYU23" s="21"/>
      <c r="OYV23" s="21"/>
      <c r="OYW23" s="21"/>
      <c r="OYX23" s="21"/>
      <c r="OYY23" s="21"/>
      <c r="OYZ23" s="21"/>
      <c r="OZA23" s="21"/>
      <c r="OZB23" s="21"/>
      <c r="OZC23" s="21"/>
      <c r="OZD23" s="21"/>
      <c r="OZE23" s="21"/>
      <c r="OZF23" s="21"/>
      <c r="OZG23" s="21"/>
      <c r="OZH23" s="21"/>
      <c r="OZI23" s="21"/>
      <c r="OZJ23" s="21"/>
      <c r="OZK23" s="21"/>
      <c r="OZL23" s="21"/>
      <c r="OZM23" s="21"/>
      <c r="OZN23" s="21"/>
      <c r="OZO23" s="21"/>
      <c r="OZP23" s="21"/>
      <c r="OZQ23" s="21"/>
      <c r="OZR23" s="21"/>
      <c r="OZS23" s="21"/>
      <c r="OZT23" s="21"/>
      <c r="OZU23" s="21"/>
      <c r="OZV23" s="21"/>
      <c r="OZW23" s="21"/>
      <c r="OZX23" s="21"/>
      <c r="OZY23" s="21"/>
      <c r="OZZ23" s="21"/>
      <c r="PAA23" s="21"/>
      <c r="PAB23" s="21"/>
      <c r="PAC23" s="21"/>
      <c r="PAD23" s="21"/>
      <c r="PAE23" s="21"/>
      <c r="PAF23" s="21"/>
      <c r="PAG23" s="21"/>
      <c r="PAH23" s="21"/>
      <c r="PAI23" s="21"/>
      <c r="PAJ23" s="21"/>
      <c r="PAK23" s="21"/>
      <c r="PAL23" s="21"/>
      <c r="PAM23" s="21"/>
      <c r="PAN23" s="21"/>
      <c r="PAO23" s="21"/>
      <c r="PAP23" s="21"/>
      <c r="PAQ23" s="21"/>
      <c r="PAR23" s="21"/>
      <c r="PAS23" s="21"/>
      <c r="PAT23" s="21"/>
      <c r="PAU23" s="21"/>
      <c r="PAV23" s="21"/>
      <c r="PAW23" s="21"/>
      <c r="PAX23" s="21"/>
      <c r="PAY23" s="21"/>
      <c r="PAZ23" s="21"/>
      <c r="PBA23" s="21"/>
      <c r="PBB23" s="21"/>
      <c r="PBC23" s="21"/>
      <c r="PBD23" s="21"/>
      <c r="PBE23" s="21"/>
      <c r="PBF23" s="21"/>
      <c r="PBG23" s="21"/>
      <c r="PBH23" s="21"/>
      <c r="PBI23" s="21"/>
      <c r="PBJ23" s="21"/>
      <c r="PBK23" s="21"/>
      <c r="PBL23" s="21"/>
      <c r="PBM23" s="21"/>
      <c r="PBN23" s="21"/>
      <c r="PBO23" s="21"/>
      <c r="PBP23" s="21"/>
      <c r="PBQ23" s="21"/>
      <c r="PBR23" s="21"/>
      <c r="PBS23" s="21"/>
      <c r="PBT23" s="21"/>
      <c r="PBU23" s="21"/>
      <c r="PBV23" s="21"/>
      <c r="PBW23" s="21"/>
      <c r="PBX23" s="21"/>
      <c r="PBY23" s="21"/>
      <c r="PBZ23" s="21"/>
      <c r="PCA23" s="21"/>
      <c r="PCB23" s="21"/>
      <c r="PCC23" s="21"/>
      <c r="PCD23" s="21"/>
      <c r="PCE23" s="21"/>
      <c r="PCF23" s="21"/>
      <c r="PCG23" s="21"/>
      <c r="PCH23" s="21"/>
      <c r="PCI23" s="21"/>
      <c r="PCJ23" s="21"/>
      <c r="PCK23" s="21"/>
      <c r="PCL23" s="21"/>
      <c r="PCM23" s="21"/>
      <c r="PCN23" s="21"/>
      <c r="PCO23" s="21"/>
      <c r="PCP23" s="21"/>
      <c r="PCQ23" s="21"/>
      <c r="PCR23" s="21"/>
      <c r="PCS23" s="21"/>
      <c r="PCT23" s="21"/>
      <c r="PCU23" s="21"/>
      <c r="PCV23" s="21"/>
      <c r="PCW23" s="21"/>
      <c r="PCX23" s="21"/>
      <c r="PCY23" s="21"/>
      <c r="PCZ23" s="21"/>
      <c r="PDA23" s="21"/>
      <c r="PDB23" s="21"/>
      <c r="PDC23" s="21"/>
      <c r="PDD23" s="21"/>
      <c r="PDE23" s="21"/>
      <c r="PDF23" s="21"/>
      <c r="PDG23" s="21"/>
      <c r="PDH23" s="21"/>
      <c r="PDI23" s="21"/>
      <c r="PDJ23" s="21"/>
      <c r="PDK23" s="21"/>
      <c r="PDL23" s="21"/>
      <c r="PDM23" s="21"/>
      <c r="PDN23" s="21"/>
      <c r="PDO23" s="21"/>
      <c r="PDP23" s="21"/>
      <c r="PDQ23" s="21"/>
      <c r="PDR23" s="21"/>
      <c r="PDS23" s="21"/>
      <c r="PDT23" s="21"/>
      <c r="PDU23" s="21"/>
      <c r="PDV23" s="21"/>
      <c r="PDW23" s="21"/>
      <c r="PDX23" s="21"/>
      <c r="PDY23" s="21"/>
      <c r="PDZ23" s="21"/>
      <c r="PEA23" s="21"/>
      <c r="PEB23" s="21"/>
      <c r="PEC23" s="21"/>
      <c r="PED23" s="21"/>
      <c r="PEE23" s="21"/>
      <c r="PEF23" s="21"/>
      <c r="PEG23" s="21"/>
      <c r="PEH23" s="21"/>
      <c r="PEI23" s="21"/>
      <c r="PEJ23" s="21"/>
      <c r="PEK23" s="21"/>
      <c r="PEL23" s="21"/>
      <c r="PEM23" s="21"/>
      <c r="PEN23" s="21"/>
      <c r="PEO23" s="21"/>
      <c r="PEP23" s="21"/>
      <c r="PEQ23" s="21"/>
      <c r="PER23" s="21"/>
      <c r="PES23" s="21"/>
      <c r="PET23" s="21"/>
      <c r="PEU23" s="21"/>
      <c r="PEV23" s="21"/>
      <c r="PEW23" s="21"/>
      <c r="PEX23" s="21"/>
      <c r="PEY23" s="21"/>
      <c r="PEZ23" s="21"/>
      <c r="PFA23" s="21"/>
      <c r="PFB23" s="21"/>
      <c r="PFC23" s="21"/>
      <c r="PFD23" s="21"/>
      <c r="PFE23" s="21"/>
      <c r="PFF23" s="21"/>
      <c r="PFG23" s="21"/>
      <c r="PFH23" s="21"/>
      <c r="PFI23" s="21"/>
      <c r="PFJ23" s="21"/>
      <c r="PFK23" s="21"/>
      <c r="PFL23" s="21"/>
      <c r="PFM23" s="21"/>
      <c r="PFN23" s="21"/>
      <c r="PFO23" s="21"/>
      <c r="PFP23" s="21"/>
      <c r="PFQ23" s="21"/>
      <c r="PFR23" s="21"/>
      <c r="PFS23" s="21"/>
      <c r="PFT23" s="21"/>
      <c r="PFU23" s="21"/>
      <c r="PFV23" s="21"/>
      <c r="PFW23" s="21"/>
      <c r="PFX23" s="21"/>
      <c r="PFY23" s="21"/>
      <c r="PFZ23" s="21"/>
      <c r="PGA23" s="21"/>
      <c r="PGB23" s="21"/>
      <c r="PGC23" s="21"/>
      <c r="PGD23" s="21"/>
      <c r="PGE23" s="21"/>
      <c r="PGF23" s="21"/>
      <c r="PGG23" s="21"/>
      <c r="PGH23" s="21"/>
      <c r="PGI23" s="21"/>
      <c r="PGJ23" s="21"/>
      <c r="PGK23" s="21"/>
      <c r="PGL23" s="21"/>
      <c r="PGM23" s="21"/>
      <c r="PGN23" s="21"/>
      <c r="PGO23" s="21"/>
      <c r="PGP23" s="21"/>
      <c r="PGQ23" s="21"/>
      <c r="PGR23" s="21"/>
      <c r="PGS23" s="21"/>
      <c r="PGT23" s="21"/>
      <c r="PGU23" s="21"/>
      <c r="PGV23" s="21"/>
      <c r="PGW23" s="21"/>
      <c r="PGX23" s="21"/>
      <c r="PGY23" s="21"/>
      <c r="PGZ23" s="21"/>
      <c r="PHA23" s="21"/>
      <c r="PHB23" s="21"/>
      <c r="PHC23" s="21"/>
      <c r="PHD23" s="21"/>
      <c r="PHE23" s="21"/>
      <c r="PHF23" s="21"/>
      <c r="PHG23" s="21"/>
      <c r="PHH23" s="21"/>
      <c r="PHI23" s="21"/>
      <c r="PHJ23" s="21"/>
      <c r="PHK23" s="21"/>
      <c r="PHL23" s="21"/>
      <c r="PHM23" s="21"/>
      <c r="PHN23" s="21"/>
      <c r="PHO23" s="21"/>
      <c r="PHP23" s="21"/>
      <c r="PHQ23" s="21"/>
      <c r="PHR23" s="21"/>
      <c r="PHS23" s="21"/>
      <c r="PHT23" s="21"/>
      <c r="PHU23" s="21"/>
      <c r="PHV23" s="21"/>
      <c r="PHW23" s="21"/>
      <c r="PHX23" s="21"/>
      <c r="PHY23" s="21"/>
      <c r="PHZ23" s="21"/>
      <c r="PIA23" s="21"/>
      <c r="PIB23" s="21"/>
      <c r="PIC23" s="21"/>
      <c r="PID23" s="21"/>
      <c r="PIE23" s="21"/>
      <c r="PIF23" s="21"/>
      <c r="PIG23" s="21"/>
      <c r="PIH23" s="21"/>
      <c r="PII23" s="21"/>
      <c r="PIJ23" s="21"/>
      <c r="PIK23" s="21"/>
      <c r="PIL23" s="21"/>
      <c r="PIM23" s="21"/>
      <c r="PIN23" s="21"/>
      <c r="PIO23" s="21"/>
      <c r="PIP23" s="21"/>
      <c r="PIQ23" s="21"/>
      <c r="PIR23" s="21"/>
      <c r="PIS23" s="21"/>
      <c r="PIT23" s="21"/>
      <c r="PIU23" s="21"/>
      <c r="PIV23" s="21"/>
      <c r="PIW23" s="21"/>
      <c r="PIX23" s="21"/>
      <c r="PIY23" s="21"/>
      <c r="PIZ23" s="21"/>
      <c r="PJA23" s="21"/>
      <c r="PJB23" s="21"/>
      <c r="PJC23" s="21"/>
      <c r="PJD23" s="21"/>
      <c r="PJE23" s="21"/>
      <c r="PJF23" s="21"/>
      <c r="PJG23" s="21"/>
      <c r="PJH23" s="21"/>
      <c r="PJI23" s="21"/>
      <c r="PJJ23" s="21"/>
      <c r="PJK23" s="21"/>
      <c r="PJL23" s="21"/>
      <c r="PJM23" s="21"/>
      <c r="PJN23" s="21"/>
      <c r="PJO23" s="21"/>
      <c r="PJP23" s="21"/>
      <c r="PJQ23" s="21"/>
      <c r="PJR23" s="21"/>
      <c r="PJS23" s="21"/>
      <c r="PJT23" s="21"/>
      <c r="PJU23" s="21"/>
      <c r="PJV23" s="21"/>
      <c r="PJW23" s="21"/>
      <c r="PJX23" s="21"/>
      <c r="PJY23" s="21"/>
      <c r="PJZ23" s="21"/>
      <c r="PKA23" s="21"/>
      <c r="PKB23" s="21"/>
      <c r="PKC23" s="21"/>
      <c r="PKD23" s="21"/>
      <c r="PKE23" s="21"/>
      <c r="PKF23" s="21"/>
      <c r="PKG23" s="21"/>
      <c r="PKH23" s="21"/>
      <c r="PKI23" s="21"/>
      <c r="PKJ23" s="21"/>
      <c r="PKK23" s="21"/>
      <c r="PKL23" s="21"/>
      <c r="PKM23" s="21"/>
      <c r="PKN23" s="21"/>
      <c r="PKO23" s="21"/>
      <c r="PKP23" s="21"/>
      <c r="PKQ23" s="21"/>
      <c r="PKR23" s="21"/>
      <c r="PKS23" s="21"/>
      <c r="PKT23" s="21"/>
      <c r="PKU23" s="21"/>
      <c r="PKV23" s="21"/>
      <c r="PKW23" s="21"/>
      <c r="PKX23" s="21"/>
      <c r="PKY23" s="21"/>
      <c r="PKZ23" s="21"/>
      <c r="PLA23" s="21"/>
      <c r="PLB23" s="21"/>
      <c r="PLC23" s="21"/>
      <c r="PLD23" s="21"/>
      <c r="PLE23" s="21"/>
      <c r="PLF23" s="21"/>
      <c r="PLG23" s="21"/>
      <c r="PLH23" s="21"/>
      <c r="PLI23" s="21"/>
      <c r="PLJ23" s="21"/>
      <c r="PLK23" s="21"/>
      <c r="PLL23" s="21"/>
      <c r="PLM23" s="21"/>
      <c r="PLN23" s="21"/>
      <c r="PLO23" s="21"/>
      <c r="PLP23" s="21"/>
      <c r="PLQ23" s="21"/>
      <c r="PLR23" s="21"/>
      <c r="PLS23" s="21"/>
      <c r="PLT23" s="21"/>
      <c r="PLU23" s="21"/>
      <c r="PLV23" s="21"/>
      <c r="PLW23" s="21"/>
      <c r="PLX23" s="21"/>
      <c r="PLY23" s="21"/>
      <c r="PLZ23" s="21"/>
      <c r="PMA23" s="21"/>
      <c r="PMB23" s="21"/>
      <c r="PMC23" s="21"/>
      <c r="PMD23" s="21"/>
      <c r="PME23" s="21"/>
      <c r="PMF23" s="21"/>
      <c r="PMG23" s="21"/>
      <c r="PMH23" s="21"/>
      <c r="PMI23" s="21"/>
      <c r="PMJ23" s="21"/>
      <c r="PMK23" s="21"/>
      <c r="PML23" s="21"/>
      <c r="PMM23" s="21"/>
      <c r="PMN23" s="21"/>
      <c r="PMO23" s="21"/>
      <c r="PMP23" s="21"/>
      <c r="PMQ23" s="21"/>
      <c r="PMR23" s="21"/>
      <c r="PMS23" s="21"/>
      <c r="PMT23" s="21"/>
      <c r="PMU23" s="21"/>
      <c r="PMV23" s="21"/>
      <c r="PMW23" s="21"/>
      <c r="PMX23" s="21"/>
      <c r="PMY23" s="21"/>
      <c r="PMZ23" s="21"/>
      <c r="PNA23" s="21"/>
      <c r="PNB23" s="21"/>
      <c r="PNC23" s="21"/>
      <c r="PND23" s="21"/>
      <c r="PNE23" s="21"/>
      <c r="PNF23" s="21"/>
      <c r="PNG23" s="21"/>
      <c r="PNH23" s="21"/>
      <c r="PNI23" s="21"/>
      <c r="PNJ23" s="21"/>
      <c r="PNK23" s="21"/>
      <c r="PNL23" s="21"/>
      <c r="PNM23" s="21"/>
      <c r="PNN23" s="21"/>
      <c r="PNO23" s="21"/>
      <c r="PNP23" s="21"/>
      <c r="PNQ23" s="21"/>
      <c r="PNR23" s="21"/>
      <c r="PNS23" s="21"/>
      <c r="PNT23" s="21"/>
      <c r="PNU23" s="21"/>
      <c r="PNV23" s="21"/>
      <c r="PNW23" s="21"/>
      <c r="PNX23" s="21"/>
      <c r="PNY23" s="21"/>
      <c r="PNZ23" s="21"/>
      <c r="POA23" s="21"/>
      <c r="POB23" s="21"/>
      <c r="POC23" s="21"/>
      <c r="POD23" s="21"/>
      <c r="POE23" s="21"/>
      <c r="POF23" s="21"/>
      <c r="POG23" s="21"/>
      <c r="POH23" s="21"/>
      <c r="POI23" s="21"/>
      <c r="POJ23" s="21"/>
      <c r="POK23" s="21"/>
      <c r="POL23" s="21"/>
      <c r="POM23" s="21"/>
      <c r="PON23" s="21"/>
      <c r="POO23" s="21"/>
      <c r="POP23" s="21"/>
      <c r="POQ23" s="21"/>
      <c r="POR23" s="21"/>
      <c r="POS23" s="21"/>
      <c r="POT23" s="21"/>
      <c r="POU23" s="21"/>
      <c r="POV23" s="21"/>
      <c r="POW23" s="21"/>
      <c r="POX23" s="21"/>
      <c r="POY23" s="21"/>
      <c r="POZ23" s="21"/>
      <c r="PPA23" s="21"/>
      <c r="PPB23" s="21"/>
      <c r="PPC23" s="21"/>
      <c r="PPD23" s="21"/>
      <c r="PPE23" s="21"/>
      <c r="PPF23" s="21"/>
      <c r="PPG23" s="21"/>
      <c r="PPH23" s="21"/>
      <c r="PPI23" s="21"/>
      <c r="PPJ23" s="21"/>
      <c r="PPK23" s="21"/>
      <c r="PPL23" s="21"/>
      <c r="PPM23" s="21"/>
      <c r="PPN23" s="21"/>
      <c r="PPO23" s="21"/>
      <c r="PPP23" s="21"/>
      <c r="PPQ23" s="21"/>
      <c r="PPR23" s="21"/>
      <c r="PPS23" s="21"/>
      <c r="PPT23" s="21"/>
      <c r="PPU23" s="21"/>
      <c r="PPV23" s="21"/>
      <c r="PPW23" s="21"/>
      <c r="PPX23" s="21"/>
      <c r="PPY23" s="21"/>
      <c r="PPZ23" s="21"/>
      <c r="PQA23" s="21"/>
      <c r="PQB23" s="21"/>
      <c r="PQC23" s="21"/>
      <c r="PQD23" s="21"/>
      <c r="PQE23" s="21"/>
      <c r="PQF23" s="21"/>
      <c r="PQG23" s="21"/>
      <c r="PQH23" s="21"/>
      <c r="PQI23" s="21"/>
      <c r="PQJ23" s="21"/>
      <c r="PQK23" s="21"/>
      <c r="PQL23" s="21"/>
      <c r="PQM23" s="21"/>
      <c r="PQN23" s="21"/>
      <c r="PQO23" s="21"/>
      <c r="PQP23" s="21"/>
      <c r="PQQ23" s="21"/>
      <c r="PQR23" s="21"/>
      <c r="PQS23" s="21"/>
      <c r="PQT23" s="21"/>
      <c r="PQU23" s="21"/>
      <c r="PQV23" s="21"/>
      <c r="PQW23" s="21"/>
      <c r="PQX23" s="21"/>
      <c r="PQY23" s="21"/>
      <c r="PQZ23" s="21"/>
      <c r="PRA23" s="21"/>
      <c r="PRB23" s="21"/>
      <c r="PRC23" s="21"/>
      <c r="PRD23" s="21"/>
      <c r="PRE23" s="21"/>
      <c r="PRF23" s="21"/>
      <c r="PRG23" s="21"/>
      <c r="PRH23" s="21"/>
      <c r="PRI23" s="21"/>
      <c r="PRJ23" s="21"/>
      <c r="PRK23" s="21"/>
      <c r="PRL23" s="21"/>
      <c r="PRM23" s="21"/>
      <c r="PRN23" s="21"/>
      <c r="PRO23" s="21"/>
      <c r="PRP23" s="21"/>
      <c r="PRQ23" s="21"/>
      <c r="PRR23" s="21"/>
      <c r="PRS23" s="21"/>
      <c r="PRT23" s="21"/>
      <c r="PRU23" s="21"/>
      <c r="PRV23" s="21"/>
      <c r="PRW23" s="21"/>
      <c r="PRX23" s="21"/>
      <c r="PRY23" s="21"/>
      <c r="PRZ23" s="21"/>
      <c r="PSA23" s="21"/>
      <c r="PSB23" s="21"/>
      <c r="PSC23" s="21"/>
      <c r="PSD23" s="21"/>
      <c r="PSE23" s="21"/>
      <c r="PSF23" s="21"/>
      <c r="PSG23" s="21"/>
      <c r="PSH23" s="21"/>
      <c r="PSI23" s="21"/>
      <c r="PSJ23" s="21"/>
      <c r="PSK23" s="21"/>
      <c r="PSL23" s="21"/>
      <c r="PSM23" s="21"/>
      <c r="PSN23" s="21"/>
      <c r="PSO23" s="21"/>
      <c r="PSP23" s="21"/>
      <c r="PSQ23" s="21"/>
      <c r="PSR23" s="21"/>
      <c r="PSS23" s="21"/>
      <c r="PST23" s="21"/>
      <c r="PSU23" s="21"/>
      <c r="PSV23" s="21"/>
      <c r="PSW23" s="21"/>
      <c r="PSX23" s="21"/>
      <c r="PSY23" s="21"/>
      <c r="PSZ23" s="21"/>
      <c r="PTA23" s="21"/>
      <c r="PTB23" s="21"/>
      <c r="PTC23" s="21"/>
      <c r="PTD23" s="21"/>
      <c r="PTE23" s="21"/>
      <c r="PTF23" s="21"/>
      <c r="PTG23" s="21"/>
      <c r="PTH23" s="21"/>
      <c r="PTI23" s="21"/>
      <c r="PTJ23" s="21"/>
      <c r="PTK23" s="21"/>
      <c r="PTL23" s="21"/>
      <c r="PTM23" s="21"/>
      <c r="PTN23" s="21"/>
      <c r="PTO23" s="21"/>
      <c r="PTP23" s="21"/>
      <c r="PTQ23" s="21"/>
      <c r="PTR23" s="21"/>
      <c r="PTS23" s="21"/>
      <c r="PTT23" s="21"/>
      <c r="PTU23" s="21"/>
      <c r="PTV23" s="21"/>
      <c r="PTW23" s="21"/>
      <c r="PTX23" s="21"/>
      <c r="PTY23" s="21"/>
      <c r="PTZ23" s="21"/>
      <c r="PUA23" s="21"/>
      <c r="PUB23" s="21"/>
      <c r="PUC23" s="21"/>
      <c r="PUD23" s="21"/>
      <c r="PUE23" s="21"/>
      <c r="PUF23" s="21"/>
      <c r="PUG23" s="21"/>
      <c r="PUH23" s="21"/>
      <c r="PUI23" s="21"/>
      <c r="PUJ23" s="21"/>
      <c r="PUK23" s="21"/>
      <c r="PUL23" s="21"/>
      <c r="PUM23" s="21"/>
      <c r="PUN23" s="21"/>
      <c r="PUO23" s="21"/>
      <c r="PUP23" s="21"/>
      <c r="PUQ23" s="21"/>
      <c r="PUR23" s="21"/>
      <c r="PUS23" s="21"/>
      <c r="PUT23" s="21"/>
      <c r="PUU23" s="21"/>
      <c r="PUV23" s="21"/>
      <c r="PUW23" s="21"/>
      <c r="PUX23" s="21"/>
      <c r="PUY23" s="21"/>
      <c r="PUZ23" s="21"/>
      <c r="PVA23" s="21"/>
      <c r="PVB23" s="21"/>
      <c r="PVC23" s="21"/>
      <c r="PVD23" s="21"/>
      <c r="PVE23" s="21"/>
      <c r="PVF23" s="21"/>
      <c r="PVG23" s="21"/>
      <c r="PVH23" s="21"/>
      <c r="PVI23" s="21"/>
      <c r="PVJ23" s="21"/>
      <c r="PVK23" s="21"/>
      <c r="PVL23" s="21"/>
      <c r="PVM23" s="21"/>
      <c r="PVN23" s="21"/>
      <c r="PVO23" s="21"/>
      <c r="PVP23" s="21"/>
      <c r="PVQ23" s="21"/>
      <c r="PVR23" s="21"/>
      <c r="PVS23" s="21"/>
      <c r="PVT23" s="21"/>
      <c r="PVU23" s="21"/>
      <c r="PVV23" s="21"/>
      <c r="PVW23" s="21"/>
      <c r="PVX23" s="21"/>
      <c r="PVY23" s="21"/>
      <c r="PVZ23" s="21"/>
      <c r="PWA23" s="21"/>
      <c r="PWB23" s="21"/>
      <c r="PWC23" s="21"/>
      <c r="PWD23" s="21"/>
      <c r="PWE23" s="21"/>
      <c r="PWF23" s="21"/>
      <c r="PWG23" s="21"/>
      <c r="PWH23" s="21"/>
      <c r="PWI23" s="21"/>
      <c r="PWJ23" s="21"/>
      <c r="PWK23" s="21"/>
      <c r="PWL23" s="21"/>
      <c r="PWM23" s="21"/>
      <c r="PWN23" s="21"/>
      <c r="PWO23" s="21"/>
      <c r="PWP23" s="21"/>
      <c r="PWQ23" s="21"/>
      <c r="PWR23" s="21"/>
      <c r="PWS23" s="21"/>
      <c r="PWT23" s="21"/>
      <c r="PWU23" s="21"/>
      <c r="PWV23" s="21"/>
      <c r="PWW23" s="21"/>
      <c r="PWX23" s="21"/>
      <c r="PWY23" s="21"/>
      <c r="PWZ23" s="21"/>
      <c r="PXA23" s="21"/>
      <c r="PXB23" s="21"/>
      <c r="PXC23" s="21"/>
      <c r="PXD23" s="21"/>
      <c r="PXE23" s="21"/>
      <c r="PXF23" s="21"/>
      <c r="PXG23" s="21"/>
      <c r="PXH23" s="21"/>
      <c r="PXI23" s="21"/>
      <c r="PXJ23" s="21"/>
      <c r="PXK23" s="21"/>
      <c r="PXL23" s="21"/>
      <c r="PXM23" s="21"/>
      <c r="PXN23" s="21"/>
      <c r="PXO23" s="21"/>
      <c r="PXP23" s="21"/>
      <c r="PXQ23" s="21"/>
      <c r="PXR23" s="21"/>
      <c r="PXS23" s="21"/>
      <c r="PXT23" s="21"/>
      <c r="PXU23" s="21"/>
      <c r="PXV23" s="21"/>
      <c r="PXW23" s="21"/>
      <c r="PXX23" s="21"/>
      <c r="PXY23" s="21"/>
      <c r="PXZ23" s="21"/>
      <c r="PYA23" s="21"/>
      <c r="PYB23" s="21"/>
      <c r="PYC23" s="21"/>
      <c r="PYD23" s="21"/>
      <c r="PYE23" s="21"/>
      <c r="PYF23" s="21"/>
      <c r="PYG23" s="21"/>
      <c r="PYH23" s="21"/>
      <c r="PYI23" s="21"/>
      <c r="PYJ23" s="21"/>
      <c r="PYK23" s="21"/>
      <c r="PYL23" s="21"/>
      <c r="PYM23" s="21"/>
      <c r="PYN23" s="21"/>
      <c r="PYO23" s="21"/>
      <c r="PYP23" s="21"/>
      <c r="PYQ23" s="21"/>
      <c r="PYR23" s="21"/>
      <c r="PYS23" s="21"/>
      <c r="PYT23" s="21"/>
      <c r="PYU23" s="21"/>
      <c r="PYV23" s="21"/>
      <c r="PYW23" s="21"/>
      <c r="PYX23" s="21"/>
      <c r="PYY23" s="21"/>
      <c r="PYZ23" s="21"/>
      <c r="PZA23" s="21"/>
      <c r="PZB23" s="21"/>
      <c r="PZC23" s="21"/>
      <c r="PZD23" s="21"/>
      <c r="PZE23" s="21"/>
      <c r="PZF23" s="21"/>
      <c r="PZG23" s="21"/>
      <c r="PZH23" s="21"/>
      <c r="PZI23" s="21"/>
      <c r="PZJ23" s="21"/>
      <c r="PZK23" s="21"/>
      <c r="PZL23" s="21"/>
      <c r="PZM23" s="21"/>
      <c r="PZN23" s="21"/>
      <c r="PZO23" s="21"/>
      <c r="PZP23" s="21"/>
      <c r="PZQ23" s="21"/>
      <c r="PZR23" s="21"/>
      <c r="PZS23" s="21"/>
      <c r="PZT23" s="21"/>
      <c r="PZU23" s="21"/>
      <c r="PZV23" s="21"/>
      <c r="PZW23" s="21"/>
      <c r="PZX23" s="21"/>
      <c r="PZY23" s="21"/>
      <c r="PZZ23" s="21"/>
      <c r="QAA23" s="21"/>
      <c r="QAB23" s="21"/>
      <c r="QAC23" s="21"/>
      <c r="QAD23" s="21"/>
      <c r="QAE23" s="21"/>
      <c r="QAF23" s="21"/>
      <c r="QAG23" s="21"/>
      <c r="QAH23" s="21"/>
      <c r="QAI23" s="21"/>
      <c r="QAJ23" s="21"/>
      <c r="QAK23" s="21"/>
      <c r="QAL23" s="21"/>
      <c r="QAM23" s="21"/>
      <c r="QAN23" s="21"/>
      <c r="QAO23" s="21"/>
      <c r="QAP23" s="21"/>
      <c r="QAQ23" s="21"/>
      <c r="QAR23" s="21"/>
      <c r="QAS23" s="21"/>
      <c r="QAT23" s="21"/>
      <c r="QAU23" s="21"/>
      <c r="QAV23" s="21"/>
      <c r="QAW23" s="21"/>
      <c r="QAX23" s="21"/>
      <c r="QAY23" s="21"/>
      <c r="QAZ23" s="21"/>
      <c r="QBA23" s="21"/>
      <c r="QBB23" s="21"/>
      <c r="QBC23" s="21"/>
      <c r="QBD23" s="21"/>
      <c r="QBE23" s="21"/>
      <c r="QBF23" s="21"/>
      <c r="QBG23" s="21"/>
      <c r="QBH23" s="21"/>
      <c r="QBI23" s="21"/>
      <c r="QBJ23" s="21"/>
      <c r="QBK23" s="21"/>
      <c r="QBL23" s="21"/>
      <c r="QBM23" s="21"/>
      <c r="QBN23" s="21"/>
      <c r="QBO23" s="21"/>
      <c r="QBP23" s="21"/>
      <c r="QBQ23" s="21"/>
      <c r="QBR23" s="21"/>
      <c r="QBS23" s="21"/>
      <c r="QBT23" s="21"/>
      <c r="QBU23" s="21"/>
      <c r="QBV23" s="21"/>
      <c r="QBW23" s="21"/>
      <c r="QBX23" s="21"/>
      <c r="QBY23" s="21"/>
      <c r="QBZ23" s="21"/>
      <c r="QCA23" s="21"/>
      <c r="QCB23" s="21"/>
      <c r="QCC23" s="21"/>
      <c r="QCD23" s="21"/>
      <c r="QCE23" s="21"/>
      <c r="QCF23" s="21"/>
      <c r="QCG23" s="21"/>
      <c r="QCH23" s="21"/>
      <c r="QCI23" s="21"/>
      <c r="QCJ23" s="21"/>
      <c r="QCK23" s="21"/>
      <c r="QCL23" s="21"/>
      <c r="QCM23" s="21"/>
      <c r="QCN23" s="21"/>
      <c r="QCO23" s="21"/>
      <c r="QCP23" s="21"/>
      <c r="QCQ23" s="21"/>
      <c r="QCR23" s="21"/>
      <c r="QCS23" s="21"/>
      <c r="QCT23" s="21"/>
      <c r="QCU23" s="21"/>
      <c r="QCV23" s="21"/>
      <c r="QCW23" s="21"/>
      <c r="QCX23" s="21"/>
      <c r="QCY23" s="21"/>
      <c r="QCZ23" s="21"/>
      <c r="QDA23" s="21"/>
      <c r="QDB23" s="21"/>
      <c r="QDC23" s="21"/>
      <c r="QDD23" s="21"/>
      <c r="QDE23" s="21"/>
      <c r="QDF23" s="21"/>
      <c r="QDG23" s="21"/>
      <c r="QDH23" s="21"/>
      <c r="QDI23" s="21"/>
      <c r="QDJ23" s="21"/>
      <c r="QDK23" s="21"/>
      <c r="QDL23" s="21"/>
      <c r="QDM23" s="21"/>
      <c r="QDN23" s="21"/>
      <c r="QDO23" s="21"/>
      <c r="QDP23" s="21"/>
      <c r="QDQ23" s="21"/>
      <c r="QDR23" s="21"/>
      <c r="QDS23" s="21"/>
      <c r="QDT23" s="21"/>
      <c r="QDU23" s="21"/>
      <c r="QDV23" s="21"/>
      <c r="QDW23" s="21"/>
      <c r="QDX23" s="21"/>
      <c r="QDY23" s="21"/>
      <c r="QDZ23" s="21"/>
      <c r="QEA23" s="21"/>
      <c r="QEB23" s="21"/>
      <c r="QEC23" s="21"/>
      <c r="QED23" s="21"/>
      <c r="QEE23" s="21"/>
      <c r="QEF23" s="21"/>
      <c r="QEG23" s="21"/>
      <c r="QEH23" s="21"/>
      <c r="QEI23" s="21"/>
      <c r="QEJ23" s="21"/>
      <c r="QEK23" s="21"/>
      <c r="QEL23" s="21"/>
      <c r="QEM23" s="21"/>
      <c r="QEN23" s="21"/>
      <c r="QEO23" s="21"/>
      <c r="QEP23" s="21"/>
      <c r="QEQ23" s="21"/>
      <c r="QER23" s="21"/>
      <c r="QES23" s="21"/>
      <c r="QET23" s="21"/>
      <c r="QEU23" s="21"/>
      <c r="QEV23" s="21"/>
      <c r="QEW23" s="21"/>
      <c r="QEX23" s="21"/>
      <c r="QEY23" s="21"/>
      <c r="QEZ23" s="21"/>
      <c r="QFA23" s="21"/>
      <c r="QFB23" s="21"/>
      <c r="QFC23" s="21"/>
      <c r="QFD23" s="21"/>
      <c r="QFE23" s="21"/>
      <c r="QFF23" s="21"/>
      <c r="QFG23" s="21"/>
      <c r="QFH23" s="21"/>
      <c r="QFI23" s="21"/>
      <c r="QFJ23" s="21"/>
      <c r="QFK23" s="21"/>
      <c r="QFL23" s="21"/>
      <c r="QFM23" s="21"/>
      <c r="QFN23" s="21"/>
      <c r="QFO23" s="21"/>
      <c r="QFP23" s="21"/>
      <c r="QFQ23" s="21"/>
      <c r="QFR23" s="21"/>
      <c r="QFS23" s="21"/>
      <c r="QFT23" s="21"/>
      <c r="QFU23" s="21"/>
      <c r="QFV23" s="21"/>
      <c r="QFW23" s="21"/>
      <c r="QFX23" s="21"/>
      <c r="QFY23" s="21"/>
      <c r="QFZ23" s="21"/>
      <c r="QGA23" s="21"/>
      <c r="QGB23" s="21"/>
      <c r="QGC23" s="21"/>
      <c r="QGD23" s="21"/>
      <c r="QGE23" s="21"/>
      <c r="QGF23" s="21"/>
      <c r="QGG23" s="21"/>
      <c r="QGH23" s="21"/>
      <c r="QGI23" s="21"/>
      <c r="QGJ23" s="21"/>
      <c r="QGK23" s="21"/>
      <c r="QGL23" s="21"/>
      <c r="QGM23" s="21"/>
      <c r="QGN23" s="21"/>
      <c r="QGO23" s="21"/>
      <c r="QGP23" s="21"/>
      <c r="QGQ23" s="21"/>
      <c r="QGR23" s="21"/>
      <c r="QGS23" s="21"/>
      <c r="QGT23" s="21"/>
      <c r="QGU23" s="21"/>
      <c r="QGV23" s="21"/>
      <c r="QGW23" s="21"/>
      <c r="QGX23" s="21"/>
      <c r="QGY23" s="21"/>
      <c r="QGZ23" s="21"/>
      <c r="QHA23" s="21"/>
      <c r="QHB23" s="21"/>
      <c r="QHC23" s="21"/>
      <c r="QHD23" s="21"/>
      <c r="QHE23" s="21"/>
      <c r="QHF23" s="21"/>
      <c r="QHG23" s="21"/>
      <c r="QHH23" s="21"/>
      <c r="QHI23" s="21"/>
      <c r="QHJ23" s="21"/>
      <c r="QHK23" s="21"/>
      <c r="QHL23" s="21"/>
      <c r="QHM23" s="21"/>
      <c r="QHN23" s="21"/>
      <c r="QHO23" s="21"/>
      <c r="QHP23" s="21"/>
      <c r="QHQ23" s="21"/>
      <c r="QHR23" s="21"/>
      <c r="QHS23" s="21"/>
      <c r="QHT23" s="21"/>
      <c r="QHU23" s="21"/>
      <c r="QHV23" s="21"/>
      <c r="QHW23" s="21"/>
      <c r="QHX23" s="21"/>
      <c r="QHY23" s="21"/>
      <c r="QHZ23" s="21"/>
      <c r="QIA23" s="21"/>
      <c r="QIB23" s="21"/>
      <c r="QIC23" s="21"/>
      <c r="QID23" s="21"/>
      <c r="QIE23" s="21"/>
      <c r="QIF23" s="21"/>
      <c r="QIG23" s="21"/>
      <c r="QIH23" s="21"/>
      <c r="QII23" s="21"/>
      <c r="QIJ23" s="21"/>
      <c r="QIK23" s="21"/>
      <c r="QIL23" s="21"/>
      <c r="QIM23" s="21"/>
      <c r="QIN23" s="21"/>
      <c r="QIO23" s="21"/>
      <c r="QIP23" s="21"/>
      <c r="QIQ23" s="21"/>
      <c r="QIR23" s="21"/>
      <c r="QIS23" s="21"/>
      <c r="QIT23" s="21"/>
      <c r="QIU23" s="21"/>
      <c r="QIV23" s="21"/>
      <c r="QIW23" s="21"/>
      <c r="QIX23" s="21"/>
      <c r="QIY23" s="21"/>
      <c r="QIZ23" s="21"/>
      <c r="QJA23" s="21"/>
      <c r="QJB23" s="21"/>
      <c r="QJC23" s="21"/>
      <c r="QJD23" s="21"/>
      <c r="QJE23" s="21"/>
      <c r="QJF23" s="21"/>
      <c r="QJG23" s="21"/>
      <c r="QJH23" s="21"/>
      <c r="QJI23" s="21"/>
      <c r="QJJ23" s="21"/>
      <c r="QJK23" s="21"/>
      <c r="QJL23" s="21"/>
      <c r="QJM23" s="21"/>
      <c r="QJN23" s="21"/>
      <c r="QJO23" s="21"/>
      <c r="QJP23" s="21"/>
      <c r="QJQ23" s="21"/>
      <c r="QJR23" s="21"/>
      <c r="QJS23" s="21"/>
      <c r="QJT23" s="21"/>
      <c r="QJU23" s="21"/>
      <c r="QJV23" s="21"/>
      <c r="QJW23" s="21"/>
      <c r="QJX23" s="21"/>
      <c r="QJY23" s="21"/>
      <c r="QJZ23" s="21"/>
      <c r="QKA23" s="21"/>
      <c r="QKB23" s="21"/>
      <c r="QKC23" s="21"/>
      <c r="QKD23" s="21"/>
      <c r="QKE23" s="21"/>
      <c r="QKF23" s="21"/>
      <c r="QKG23" s="21"/>
      <c r="QKH23" s="21"/>
      <c r="QKI23" s="21"/>
      <c r="QKJ23" s="21"/>
      <c r="QKK23" s="21"/>
      <c r="QKL23" s="21"/>
      <c r="QKM23" s="21"/>
      <c r="QKN23" s="21"/>
      <c r="QKO23" s="21"/>
      <c r="QKP23" s="21"/>
      <c r="QKQ23" s="21"/>
      <c r="QKR23" s="21"/>
      <c r="QKS23" s="21"/>
      <c r="QKT23" s="21"/>
      <c r="QKU23" s="21"/>
      <c r="QKV23" s="21"/>
      <c r="QKW23" s="21"/>
      <c r="QKX23" s="21"/>
      <c r="QKY23" s="21"/>
      <c r="QKZ23" s="21"/>
      <c r="QLA23" s="21"/>
      <c r="QLB23" s="21"/>
      <c r="QLC23" s="21"/>
      <c r="QLD23" s="21"/>
      <c r="QLE23" s="21"/>
      <c r="QLF23" s="21"/>
      <c r="QLG23" s="21"/>
      <c r="QLH23" s="21"/>
      <c r="QLI23" s="21"/>
      <c r="QLJ23" s="21"/>
      <c r="QLK23" s="21"/>
      <c r="QLL23" s="21"/>
      <c r="QLM23" s="21"/>
      <c r="QLN23" s="21"/>
      <c r="QLO23" s="21"/>
      <c r="QLP23" s="21"/>
      <c r="QLQ23" s="21"/>
      <c r="QLR23" s="21"/>
      <c r="QLS23" s="21"/>
      <c r="QLT23" s="21"/>
      <c r="QLU23" s="21"/>
      <c r="QLV23" s="21"/>
      <c r="QLW23" s="21"/>
      <c r="QLX23" s="21"/>
      <c r="QLY23" s="21"/>
      <c r="QLZ23" s="21"/>
      <c r="QMA23" s="21"/>
      <c r="QMB23" s="21"/>
      <c r="QMC23" s="21"/>
      <c r="QMD23" s="21"/>
      <c r="QME23" s="21"/>
      <c r="QMF23" s="21"/>
      <c r="QMG23" s="21"/>
      <c r="QMH23" s="21"/>
      <c r="QMI23" s="21"/>
      <c r="QMJ23" s="21"/>
      <c r="QMK23" s="21"/>
      <c r="QML23" s="21"/>
      <c r="QMM23" s="21"/>
      <c r="QMN23" s="21"/>
      <c r="QMO23" s="21"/>
      <c r="QMP23" s="21"/>
      <c r="QMQ23" s="21"/>
      <c r="QMR23" s="21"/>
      <c r="QMS23" s="21"/>
      <c r="QMT23" s="21"/>
      <c r="QMU23" s="21"/>
      <c r="QMV23" s="21"/>
      <c r="QMW23" s="21"/>
      <c r="QMX23" s="21"/>
      <c r="QMY23" s="21"/>
      <c r="QMZ23" s="21"/>
      <c r="QNA23" s="21"/>
      <c r="QNB23" s="21"/>
      <c r="QNC23" s="21"/>
      <c r="QND23" s="21"/>
      <c r="QNE23" s="21"/>
      <c r="QNF23" s="21"/>
      <c r="QNG23" s="21"/>
      <c r="QNH23" s="21"/>
      <c r="QNI23" s="21"/>
      <c r="QNJ23" s="21"/>
      <c r="QNK23" s="21"/>
      <c r="QNL23" s="21"/>
      <c r="QNM23" s="21"/>
      <c r="QNN23" s="21"/>
      <c r="QNO23" s="21"/>
      <c r="QNP23" s="21"/>
      <c r="QNQ23" s="21"/>
      <c r="QNR23" s="21"/>
      <c r="QNS23" s="21"/>
      <c r="QNT23" s="21"/>
      <c r="QNU23" s="21"/>
      <c r="QNV23" s="21"/>
      <c r="QNW23" s="21"/>
      <c r="QNX23" s="21"/>
      <c r="QNY23" s="21"/>
      <c r="QNZ23" s="21"/>
      <c r="QOA23" s="21"/>
      <c r="QOB23" s="21"/>
      <c r="QOC23" s="21"/>
      <c r="QOD23" s="21"/>
      <c r="QOE23" s="21"/>
      <c r="QOF23" s="21"/>
      <c r="QOG23" s="21"/>
      <c r="QOH23" s="21"/>
      <c r="QOI23" s="21"/>
      <c r="QOJ23" s="21"/>
      <c r="QOK23" s="21"/>
      <c r="QOL23" s="21"/>
      <c r="QOM23" s="21"/>
      <c r="QON23" s="21"/>
      <c r="QOO23" s="21"/>
      <c r="QOP23" s="21"/>
      <c r="QOQ23" s="21"/>
      <c r="QOR23" s="21"/>
      <c r="QOS23" s="21"/>
      <c r="QOT23" s="21"/>
      <c r="QOU23" s="21"/>
      <c r="QOV23" s="21"/>
      <c r="QOW23" s="21"/>
      <c r="QOX23" s="21"/>
      <c r="QOY23" s="21"/>
      <c r="QOZ23" s="21"/>
      <c r="QPA23" s="21"/>
      <c r="QPB23" s="21"/>
      <c r="QPC23" s="21"/>
      <c r="QPD23" s="21"/>
      <c r="QPE23" s="21"/>
      <c r="QPF23" s="21"/>
      <c r="QPG23" s="21"/>
      <c r="QPH23" s="21"/>
      <c r="QPI23" s="21"/>
      <c r="QPJ23" s="21"/>
      <c r="QPK23" s="21"/>
      <c r="QPL23" s="21"/>
      <c r="QPM23" s="21"/>
      <c r="QPN23" s="21"/>
      <c r="QPO23" s="21"/>
      <c r="QPP23" s="21"/>
      <c r="QPQ23" s="21"/>
      <c r="QPR23" s="21"/>
      <c r="QPS23" s="21"/>
      <c r="QPT23" s="21"/>
      <c r="QPU23" s="21"/>
      <c r="QPV23" s="21"/>
      <c r="QPW23" s="21"/>
      <c r="QPX23" s="21"/>
      <c r="QPY23" s="21"/>
      <c r="QPZ23" s="21"/>
      <c r="QQA23" s="21"/>
      <c r="QQB23" s="21"/>
      <c r="QQC23" s="21"/>
      <c r="QQD23" s="21"/>
      <c r="QQE23" s="21"/>
      <c r="QQF23" s="21"/>
      <c r="QQG23" s="21"/>
      <c r="QQH23" s="21"/>
      <c r="QQI23" s="21"/>
      <c r="QQJ23" s="21"/>
      <c r="QQK23" s="21"/>
      <c r="QQL23" s="21"/>
      <c r="QQM23" s="21"/>
      <c r="QQN23" s="21"/>
      <c r="QQO23" s="21"/>
      <c r="QQP23" s="21"/>
      <c r="QQQ23" s="21"/>
      <c r="QQR23" s="21"/>
      <c r="QQS23" s="21"/>
      <c r="QQT23" s="21"/>
      <c r="QQU23" s="21"/>
      <c r="QQV23" s="21"/>
      <c r="QQW23" s="21"/>
      <c r="QQX23" s="21"/>
      <c r="QQY23" s="21"/>
      <c r="QQZ23" s="21"/>
      <c r="QRA23" s="21"/>
      <c r="QRB23" s="21"/>
      <c r="QRC23" s="21"/>
      <c r="QRD23" s="21"/>
      <c r="QRE23" s="21"/>
      <c r="QRF23" s="21"/>
      <c r="QRG23" s="21"/>
      <c r="QRH23" s="21"/>
      <c r="QRI23" s="21"/>
      <c r="QRJ23" s="21"/>
      <c r="QRK23" s="21"/>
      <c r="QRL23" s="21"/>
      <c r="QRM23" s="21"/>
      <c r="QRN23" s="21"/>
      <c r="QRO23" s="21"/>
      <c r="QRP23" s="21"/>
      <c r="QRQ23" s="21"/>
      <c r="QRR23" s="21"/>
      <c r="QRS23" s="21"/>
      <c r="QRT23" s="21"/>
      <c r="QRU23" s="21"/>
      <c r="QRV23" s="21"/>
      <c r="QRW23" s="21"/>
      <c r="QRX23" s="21"/>
      <c r="QRY23" s="21"/>
      <c r="QRZ23" s="21"/>
      <c r="QSA23" s="21"/>
      <c r="QSB23" s="21"/>
      <c r="QSC23" s="21"/>
      <c r="QSD23" s="21"/>
      <c r="QSE23" s="21"/>
      <c r="QSF23" s="21"/>
      <c r="QSG23" s="21"/>
      <c r="QSH23" s="21"/>
      <c r="QSI23" s="21"/>
      <c r="QSJ23" s="21"/>
      <c r="QSK23" s="21"/>
      <c r="QSL23" s="21"/>
      <c r="QSM23" s="21"/>
      <c r="QSN23" s="21"/>
      <c r="QSO23" s="21"/>
      <c r="QSP23" s="21"/>
      <c r="QSQ23" s="21"/>
      <c r="QSR23" s="21"/>
      <c r="QSS23" s="21"/>
      <c r="QST23" s="21"/>
      <c r="QSU23" s="21"/>
      <c r="QSV23" s="21"/>
      <c r="QSW23" s="21"/>
      <c r="QSX23" s="21"/>
      <c r="QSY23" s="21"/>
      <c r="QSZ23" s="21"/>
      <c r="QTA23" s="21"/>
      <c r="QTB23" s="21"/>
      <c r="QTC23" s="21"/>
      <c r="QTD23" s="21"/>
      <c r="QTE23" s="21"/>
      <c r="QTF23" s="21"/>
      <c r="QTG23" s="21"/>
      <c r="QTH23" s="21"/>
      <c r="QTI23" s="21"/>
      <c r="QTJ23" s="21"/>
      <c r="QTK23" s="21"/>
      <c r="QTL23" s="21"/>
      <c r="QTM23" s="21"/>
      <c r="QTN23" s="21"/>
      <c r="QTO23" s="21"/>
      <c r="QTP23" s="21"/>
      <c r="QTQ23" s="21"/>
      <c r="QTR23" s="21"/>
      <c r="QTS23" s="21"/>
      <c r="QTT23" s="21"/>
      <c r="QTU23" s="21"/>
      <c r="QTV23" s="21"/>
      <c r="QTW23" s="21"/>
      <c r="QTX23" s="21"/>
      <c r="QTY23" s="21"/>
      <c r="QTZ23" s="21"/>
      <c r="QUA23" s="21"/>
      <c r="QUB23" s="21"/>
      <c r="QUC23" s="21"/>
      <c r="QUD23" s="21"/>
      <c r="QUE23" s="21"/>
      <c r="QUF23" s="21"/>
      <c r="QUG23" s="21"/>
      <c r="QUH23" s="21"/>
      <c r="QUI23" s="21"/>
      <c r="QUJ23" s="21"/>
      <c r="QUK23" s="21"/>
      <c r="QUL23" s="21"/>
      <c r="QUM23" s="21"/>
      <c r="QUN23" s="21"/>
      <c r="QUO23" s="21"/>
      <c r="QUP23" s="21"/>
      <c r="QUQ23" s="21"/>
      <c r="QUR23" s="21"/>
      <c r="QUS23" s="21"/>
      <c r="QUT23" s="21"/>
      <c r="QUU23" s="21"/>
      <c r="QUV23" s="21"/>
      <c r="QUW23" s="21"/>
      <c r="QUX23" s="21"/>
      <c r="QUY23" s="21"/>
      <c r="QUZ23" s="21"/>
      <c r="QVA23" s="21"/>
      <c r="QVB23" s="21"/>
      <c r="QVC23" s="21"/>
      <c r="QVD23" s="21"/>
      <c r="QVE23" s="21"/>
      <c r="QVF23" s="21"/>
      <c r="QVG23" s="21"/>
      <c r="QVH23" s="21"/>
      <c r="QVI23" s="21"/>
      <c r="QVJ23" s="21"/>
      <c r="QVK23" s="21"/>
      <c r="QVL23" s="21"/>
      <c r="QVM23" s="21"/>
      <c r="QVN23" s="21"/>
      <c r="QVO23" s="21"/>
      <c r="QVP23" s="21"/>
      <c r="QVQ23" s="21"/>
      <c r="QVR23" s="21"/>
      <c r="QVS23" s="21"/>
      <c r="QVT23" s="21"/>
      <c r="QVU23" s="21"/>
      <c r="QVV23" s="21"/>
      <c r="QVW23" s="21"/>
      <c r="QVX23" s="21"/>
      <c r="QVY23" s="21"/>
      <c r="QVZ23" s="21"/>
      <c r="QWA23" s="21"/>
      <c r="QWB23" s="21"/>
      <c r="QWC23" s="21"/>
      <c r="QWD23" s="21"/>
      <c r="QWE23" s="21"/>
      <c r="QWF23" s="21"/>
      <c r="QWG23" s="21"/>
      <c r="QWH23" s="21"/>
      <c r="QWI23" s="21"/>
      <c r="QWJ23" s="21"/>
      <c r="QWK23" s="21"/>
      <c r="QWL23" s="21"/>
      <c r="QWM23" s="21"/>
      <c r="QWN23" s="21"/>
      <c r="QWO23" s="21"/>
      <c r="QWP23" s="21"/>
      <c r="QWQ23" s="21"/>
      <c r="QWR23" s="21"/>
      <c r="QWS23" s="21"/>
      <c r="QWT23" s="21"/>
      <c r="QWU23" s="21"/>
      <c r="QWV23" s="21"/>
      <c r="QWW23" s="21"/>
      <c r="QWX23" s="21"/>
      <c r="QWY23" s="21"/>
      <c r="QWZ23" s="21"/>
      <c r="QXA23" s="21"/>
      <c r="QXB23" s="21"/>
      <c r="QXC23" s="21"/>
      <c r="QXD23" s="21"/>
      <c r="QXE23" s="21"/>
      <c r="QXF23" s="21"/>
      <c r="QXG23" s="21"/>
      <c r="QXH23" s="21"/>
      <c r="QXI23" s="21"/>
      <c r="QXJ23" s="21"/>
      <c r="QXK23" s="21"/>
      <c r="QXL23" s="21"/>
      <c r="QXM23" s="21"/>
      <c r="QXN23" s="21"/>
      <c r="QXO23" s="21"/>
      <c r="QXP23" s="21"/>
      <c r="QXQ23" s="21"/>
      <c r="QXR23" s="21"/>
      <c r="QXS23" s="21"/>
      <c r="QXT23" s="21"/>
      <c r="QXU23" s="21"/>
      <c r="QXV23" s="21"/>
      <c r="QXW23" s="21"/>
      <c r="QXX23" s="21"/>
      <c r="QXY23" s="21"/>
      <c r="QXZ23" s="21"/>
      <c r="QYA23" s="21"/>
      <c r="QYB23" s="21"/>
      <c r="QYC23" s="21"/>
      <c r="QYD23" s="21"/>
      <c r="QYE23" s="21"/>
      <c r="QYF23" s="21"/>
      <c r="QYG23" s="21"/>
      <c r="QYH23" s="21"/>
      <c r="QYI23" s="21"/>
      <c r="QYJ23" s="21"/>
      <c r="QYK23" s="21"/>
      <c r="QYL23" s="21"/>
      <c r="QYM23" s="21"/>
      <c r="QYN23" s="21"/>
      <c r="QYO23" s="21"/>
      <c r="QYP23" s="21"/>
      <c r="QYQ23" s="21"/>
      <c r="QYR23" s="21"/>
      <c r="QYS23" s="21"/>
      <c r="QYT23" s="21"/>
      <c r="QYU23" s="21"/>
      <c r="QYV23" s="21"/>
      <c r="QYW23" s="21"/>
      <c r="QYX23" s="21"/>
      <c r="QYY23" s="21"/>
      <c r="QYZ23" s="21"/>
      <c r="QZA23" s="21"/>
      <c r="QZB23" s="21"/>
      <c r="QZC23" s="21"/>
      <c r="QZD23" s="21"/>
      <c r="QZE23" s="21"/>
      <c r="QZF23" s="21"/>
      <c r="QZG23" s="21"/>
      <c r="QZH23" s="21"/>
      <c r="QZI23" s="21"/>
      <c r="QZJ23" s="21"/>
      <c r="QZK23" s="21"/>
      <c r="QZL23" s="21"/>
      <c r="QZM23" s="21"/>
      <c r="QZN23" s="21"/>
      <c r="QZO23" s="21"/>
      <c r="QZP23" s="21"/>
      <c r="QZQ23" s="21"/>
      <c r="QZR23" s="21"/>
      <c r="QZS23" s="21"/>
      <c r="QZT23" s="21"/>
      <c r="QZU23" s="21"/>
      <c r="QZV23" s="21"/>
      <c r="QZW23" s="21"/>
      <c r="QZX23" s="21"/>
      <c r="QZY23" s="21"/>
      <c r="QZZ23" s="21"/>
      <c r="RAA23" s="21"/>
      <c r="RAB23" s="21"/>
      <c r="RAC23" s="21"/>
      <c r="RAD23" s="21"/>
      <c r="RAE23" s="21"/>
      <c r="RAF23" s="21"/>
      <c r="RAG23" s="21"/>
      <c r="RAH23" s="21"/>
      <c r="RAI23" s="21"/>
      <c r="RAJ23" s="21"/>
      <c r="RAK23" s="21"/>
      <c r="RAL23" s="21"/>
      <c r="RAM23" s="21"/>
      <c r="RAN23" s="21"/>
      <c r="RAO23" s="21"/>
      <c r="RAP23" s="21"/>
      <c r="RAQ23" s="21"/>
      <c r="RAR23" s="21"/>
      <c r="RAS23" s="21"/>
      <c r="RAT23" s="21"/>
      <c r="RAU23" s="21"/>
      <c r="RAV23" s="21"/>
      <c r="RAW23" s="21"/>
      <c r="RAX23" s="21"/>
      <c r="RAY23" s="21"/>
      <c r="RAZ23" s="21"/>
      <c r="RBA23" s="21"/>
      <c r="RBB23" s="21"/>
      <c r="RBC23" s="21"/>
      <c r="RBD23" s="21"/>
      <c r="RBE23" s="21"/>
      <c r="RBF23" s="21"/>
      <c r="RBG23" s="21"/>
      <c r="RBH23" s="21"/>
      <c r="RBI23" s="21"/>
      <c r="RBJ23" s="21"/>
      <c r="RBK23" s="21"/>
      <c r="RBL23" s="21"/>
      <c r="RBM23" s="21"/>
      <c r="RBN23" s="21"/>
      <c r="RBO23" s="21"/>
      <c r="RBP23" s="21"/>
      <c r="RBQ23" s="21"/>
      <c r="RBR23" s="21"/>
      <c r="RBS23" s="21"/>
      <c r="RBT23" s="21"/>
      <c r="RBU23" s="21"/>
      <c r="RBV23" s="21"/>
      <c r="RBW23" s="21"/>
      <c r="RBX23" s="21"/>
      <c r="RBY23" s="21"/>
      <c r="RBZ23" s="21"/>
      <c r="RCA23" s="21"/>
      <c r="RCB23" s="21"/>
      <c r="RCC23" s="21"/>
      <c r="RCD23" s="21"/>
      <c r="RCE23" s="21"/>
      <c r="RCF23" s="21"/>
      <c r="RCG23" s="21"/>
      <c r="RCH23" s="21"/>
      <c r="RCI23" s="21"/>
      <c r="RCJ23" s="21"/>
      <c r="RCK23" s="21"/>
      <c r="RCL23" s="21"/>
      <c r="RCM23" s="21"/>
      <c r="RCN23" s="21"/>
      <c r="RCO23" s="21"/>
      <c r="RCP23" s="21"/>
      <c r="RCQ23" s="21"/>
      <c r="RCR23" s="21"/>
      <c r="RCS23" s="21"/>
      <c r="RCT23" s="21"/>
      <c r="RCU23" s="21"/>
      <c r="RCV23" s="21"/>
      <c r="RCW23" s="21"/>
      <c r="RCX23" s="21"/>
      <c r="RCY23" s="21"/>
      <c r="RCZ23" s="21"/>
      <c r="RDA23" s="21"/>
      <c r="RDB23" s="21"/>
      <c r="RDC23" s="21"/>
      <c r="RDD23" s="21"/>
      <c r="RDE23" s="21"/>
      <c r="RDF23" s="21"/>
      <c r="RDG23" s="21"/>
      <c r="RDH23" s="21"/>
      <c r="RDI23" s="21"/>
      <c r="RDJ23" s="21"/>
      <c r="RDK23" s="21"/>
      <c r="RDL23" s="21"/>
      <c r="RDM23" s="21"/>
      <c r="RDN23" s="21"/>
      <c r="RDO23" s="21"/>
      <c r="RDP23" s="21"/>
      <c r="RDQ23" s="21"/>
      <c r="RDR23" s="21"/>
      <c r="RDS23" s="21"/>
      <c r="RDT23" s="21"/>
      <c r="RDU23" s="21"/>
      <c r="RDV23" s="21"/>
      <c r="RDW23" s="21"/>
      <c r="RDX23" s="21"/>
      <c r="RDY23" s="21"/>
      <c r="RDZ23" s="21"/>
      <c r="REA23" s="21"/>
      <c r="REB23" s="21"/>
      <c r="REC23" s="21"/>
      <c r="RED23" s="21"/>
      <c r="REE23" s="21"/>
      <c r="REF23" s="21"/>
      <c r="REG23" s="21"/>
      <c r="REH23" s="21"/>
      <c r="REI23" s="21"/>
      <c r="REJ23" s="21"/>
      <c r="REK23" s="21"/>
      <c r="REL23" s="21"/>
      <c r="REM23" s="21"/>
      <c r="REN23" s="21"/>
      <c r="REO23" s="21"/>
      <c r="REP23" s="21"/>
      <c r="REQ23" s="21"/>
      <c r="RER23" s="21"/>
      <c r="RES23" s="21"/>
      <c r="RET23" s="21"/>
      <c r="REU23" s="21"/>
      <c r="REV23" s="21"/>
      <c r="REW23" s="21"/>
      <c r="REX23" s="21"/>
      <c r="REY23" s="21"/>
      <c r="REZ23" s="21"/>
      <c r="RFA23" s="21"/>
      <c r="RFB23" s="21"/>
      <c r="RFC23" s="21"/>
      <c r="RFD23" s="21"/>
      <c r="RFE23" s="21"/>
      <c r="RFF23" s="21"/>
      <c r="RFG23" s="21"/>
      <c r="RFH23" s="21"/>
      <c r="RFI23" s="21"/>
      <c r="RFJ23" s="21"/>
      <c r="RFK23" s="21"/>
      <c r="RFL23" s="21"/>
      <c r="RFM23" s="21"/>
      <c r="RFN23" s="21"/>
      <c r="RFO23" s="21"/>
      <c r="RFP23" s="21"/>
      <c r="RFQ23" s="21"/>
      <c r="RFR23" s="21"/>
      <c r="RFS23" s="21"/>
      <c r="RFT23" s="21"/>
      <c r="RFU23" s="21"/>
      <c r="RFV23" s="21"/>
      <c r="RFW23" s="21"/>
      <c r="RFX23" s="21"/>
      <c r="RFY23" s="21"/>
      <c r="RFZ23" s="21"/>
      <c r="RGA23" s="21"/>
      <c r="RGB23" s="21"/>
      <c r="RGC23" s="21"/>
      <c r="RGD23" s="21"/>
      <c r="RGE23" s="21"/>
      <c r="RGF23" s="21"/>
      <c r="RGG23" s="21"/>
      <c r="RGH23" s="21"/>
      <c r="RGI23" s="21"/>
      <c r="RGJ23" s="21"/>
      <c r="RGK23" s="21"/>
      <c r="RGL23" s="21"/>
      <c r="RGM23" s="21"/>
      <c r="RGN23" s="21"/>
      <c r="RGO23" s="21"/>
      <c r="RGP23" s="21"/>
      <c r="RGQ23" s="21"/>
      <c r="RGR23" s="21"/>
      <c r="RGS23" s="21"/>
      <c r="RGT23" s="21"/>
      <c r="RGU23" s="21"/>
      <c r="RGV23" s="21"/>
      <c r="RGW23" s="21"/>
      <c r="RGX23" s="21"/>
      <c r="RGY23" s="21"/>
      <c r="RGZ23" s="21"/>
      <c r="RHA23" s="21"/>
      <c r="RHB23" s="21"/>
      <c r="RHC23" s="21"/>
      <c r="RHD23" s="21"/>
      <c r="RHE23" s="21"/>
      <c r="RHF23" s="21"/>
      <c r="RHG23" s="21"/>
      <c r="RHH23" s="21"/>
      <c r="RHI23" s="21"/>
      <c r="RHJ23" s="21"/>
      <c r="RHK23" s="21"/>
      <c r="RHL23" s="21"/>
      <c r="RHM23" s="21"/>
      <c r="RHN23" s="21"/>
      <c r="RHO23" s="21"/>
      <c r="RHP23" s="21"/>
      <c r="RHQ23" s="21"/>
      <c r="RHR23" s="21"/>
      <c r="RHS23" s="21"/>
      <c r="RHT23" s="21"/>
      <c r="RHU23" s="21"/>
      <c r="RHV23" s="21"/>
      <c r="RHW23" s="21"/>
      <c r="RHX23" s="21"/>
      <c r="RHY23" s="21"/>
      <c r="RHZ23" s="21"/>
      <c r="RIA23" s="21"/>
      <c r="RIB23" s="21"/>
      <c r="RIC23" s="21"/>
      <c r="RID23" s="21"/>
      <c r="RIE23" s="21"/>
      <c r="RIF23" s="21"/>
      <c r="RIG23" s="21"/>
      <c r="RIH23" s="21"/>
      <c r="RII23" s="21"/>
      <c r="RIJ23" s="21"/>
      <c r="RIK23" s="21"/>
      <c r="RIL23" s="21"/>
      <c r="RIM23" s="21"/>
      <c r="RIN23" s="21"/>
      <c r="RIO23" s="21"/>
      <c r="RIP23" s="21"/>
      <c r="RIQ23" s="21"/>
      <c r="RIR23" s="21"/>
      <c r="RIS23" s="21"/>
      <c r="RIT23" s="21"/>
      <c r="RIU23" s="21"/>
      <c r="RIV23" s="21"/>
      <c r="RIW23" s="21"/>
      <c r="RIX23" s="21"/>
      <c r="RIY23" s="21"/>
      <c r="RIZ23" s="21"/>
      <c r="RJA23" s="21"/>
      <c r="RJB23" s="21"/>
      <c r="RJC23" s="21"/>
      <c r="RJD23" s="21"/>
      <c r="RJE23" s="21"/>
      <c r="RJF23" s="21"/>
      <c r="RJG23" s="21"/>
      <c r="RJH23" s="21"/>
      <c r="RJI23" s="21"/>
      <c r="RJJ23" s="21"/>
      <c r="RJK23" s="21"/>
      <c r="RJL23" s="21"/>
      <c r="RJM23" s="21"/>
      <c r="RJN23" s="21"/>
      <c r="RJO23" s="21"/>
      <c r="RJP23" s="21"/>
      <c r="RJQ23" s="21"/>
      <c r="RJR23" s="21"/>
      <c r="RJS23" s="21"/>
      <c r="RJT23" s="21"/>
      <c r="RJU23" s="21"/>
      <c r="RJV23" s="21"/>
      <c r="RJW23" s="21"/>
      <c r="RJX23" s="21"/>
      <c r="RJY23" s="21"/>
      <c r="RJZ23" s="21"/>
      <c r="RKA23" s="21"/>
      <c r="RKB23" s="21"/>
      <c r="RKC23" s="21"/>
      <c r="RKD23" s="21"/>
      <c r="RKE23" s="21"/>
      <c r="RKF23" s="21"/>
      <c r="RKG23" s="21"/>
      <c r="RKH23" s="21"/>
      <c r="RKI23" s="21"/>
      <c r="RKJ23" s="21"/>
      <c r="RKK23" s="21"/>
      <c r="RKL23" s="21"/>
      <c r="RKM23" s="21"/>
      <c r="RKN23" s="21"/>
      <c r="RKO23" s="21"/>
      <c r="RKP23" s="21"/>
      <c r="RKQ23" s="21"/>
      <c r="RKR23" s="21"/>
      <c r="RKS23" s="21"/>
      <c r="RKT23" s="21"/>
      <c r="RKU23" s="21"/>
      <c r="RKV23" s="21"/>
      <c r="RKW23" s="21"/>
      <c r="RKX23" s="21"/>
      <c r="RKY23" s="21"/>
      <c r="RKZ23" s="21"/>
      <c r="RLA23" s="21"/>
      <c r="RLB23" s="21"/>
      <c r="RLC23" s="21"/>
      <c r="RLD23" s="21"/>
      <c r="RLE23" s="21"/>
      <c r="RLF23" s="21"/>
      <c r="RLG23" s="21"/>
      <c r="RLH23" s="21"/>
      <c r="RLI23" s="21"/>
      <c r="RLJ23" s="21"/>
      <c r="RLK23" s="21"/>
      <c r="RLL23" s="21"/>
      <c r="RLM23" s="21"/>
      <c r="RLN23" s="21"/>
      <c r="RLO23" s="21"/>
      <c r="RLP23" s="21"/>
      <c r="RLQ23" s="21"/>
      <c r="RLR23" s="21"/>
      <c r="RLS23" s="21"/>
      <c r="RLT23" s="21"/>
      <c r="RLU23" s="21"/>
      <c r="RLV23" s="21"/>
      <c r="RLW23" s="21"/>
      <c r="RLX23" s="21"/>
      <c r="RLY23" s="21"/>
      <c r="RLZ23" s="21"/>
      <c r="RMA23" s="21"/>
      <c r="RMB23" s="21"/>
      <c r="RMC23" s="21"/>
      <c r="RMD23" s="21"/>
      <c r="RME23" s="21"/>
      <c r="RMF23" s="21"/>
      <c r="RMG23" s="21"/>
      <c r="RMH23" s="21"/>
      <c r="RMI23" s="21"/>
      <c r="RMJ23" s="21"/>
      <c r="RMK23" s="21"/>
      <c r="RML23" s="21"/>
      <c r="RMM23" s="21"/>
      <c r="RMN23" s="21"/>
      <c r="RMO23" s="21"/>
      <c r="RMP23" s="21"/>
      <c r="RMQ23" s="21"/>
      <c r="RMR23" s="21"/>
      <c r="RMS23" s="21"/>
      <c r="RMT23" s="21"/>
      <c r="RMU23" s="21"/>
      <c r="RMV23" s="21"/>
      <c r="RMW23" s="21"/>
      <c r="RMX23" s="21"/>
      <c r="RMY23" s="21"/>
      <c r="RMZ23" s="21"/>
      <c r="RNA23" s="21"/>
      <c r="RNB23" s="21"/>
      <c r="RNC23" s="21"/>
      <c r="RND23" s="21"/>
      <c r="RNE23" s="21"/>
      <c r="RNF23" s="21"/>
      <c r="RNG23" s="21"/>
      <c r="RNH23" s="21"/>
      <c r="RNI23" s="21"/>
      <c r="RNJ23" s="21"/>
      <c r="RNK23" s="21"/>
      <c r="RNL23" s="21"/>
      <c r="RNM23" s="21"/>
      <c r="RNN23" s="21"/>
      <c r="RNO23" s="21"/>
      <c r="RNP23" s="21"/>
      <c r="RNQ23" s="21"/>
      <c r="RNR23" s="21"/>
      <c r="RNS23" s="21"/>
      <c r="RNT23" s="21"/>
      <c r="RNU23" s="21"/>
      <c r="RNV23" s="21"/>
      <c r="RNW23" s="21"/>
      <c r="RNX23" s="21"/>
      <c r="RNY23" s="21"/>
      <c r="RNZ23" s="21"/>
      <c r="ROA23" s="21"/>
      <c r="ROB23" s="21"/>
      <c r="ROC23" s="21"/>
      <c r="ROD23" s="21"/>
      <c r="ROE23" s="21"/>
      <c r="ROF23" s="21"/>
      <c r="ROG23" s="21"/>
      <c r="ROH23" s="21"/>
      <c r="ROI23" s="21"/>
      <c r="ROJ23" s="21"/>
      <c r="ROK23" s="21"/>
      <c r="ROL23" s="21"/>
      <c r="ROM23" s="21"/>
      <c r="RON23" s="21"/>
      <c r="ROO23" s="21"/>
      <c r="ROP23" s="21"/>
      <c r="ROQ23" s="21"/>
      <c r="ROR23" s="21"/>
      <c r="ROS23" s="21"/>
      <c r="ROT23" s="21"/>
      <c r="ROU23" s="21"/>
      <c r="ROV23" s="21"/>
      <c r="ROW23" s="21"/>
      <c r="ROX23" s="21"/>
      <c r="ROY23" s="21"/>
      <c r="ROZ23" s="21"/>
      <c r="RPA23" s="21"/>
      <c r="RPB23" s="21"/>
      <c r="RPC23" s="21"/>
      <c r="RPD23" s="21"/>
      <c r="RPE23" s="21"/>
      <c r="RPF23" s="21"/>
      <c r="RPG23" s="21"/>
      <c r="RPH23" s="21"/>
      <c r="RPI23" s="21"/>
      <c r="RPJ23" s="21"/>
      <c r="RPK23" s="21"/>
      <c r="RPL23" s="21"/>
      <c r="RPM23" s="21"/>
      <c r="RPN23" s="21"/>
      <c r="RPO23" s="21"/>
      <c r="RPP23" s="21"/>
      <c r="RPQ23" s="21"/>
      <c r="RPR23" s="21"/>
      <c r="RPS23" s="21"/>
      <c r="RPT23" s="21"/>
      <c r="RPU23" s="21"/>
      <c r="RPV23" s="21"/>
      <c r="RPW23" s="21"/>
      <c r="RPX23" s="21"/>
      <c r="RPY23" s="21"/>
      <c r="RPZ23" s="21"/>
      <c r="RQA23" s="21"/>
      <c r="RQB23" s="21"/>
      <c r="RQC23" s="21"/>
      <c r="RQD23" s="21"/>
      <c r="RQE23" s="21"/>
      <c r="RQF23" s="21"/>
      <c r="RQG23" s="21"/>
      <c r="RQH23" s="21"/>
      <c r="RQI23" s="21"/>
      <c r="RQJ23" s="21"/>
      <c r="RQK23" s="21"/>
      <c r="RQL23" s="21"/>
      <c r="RQM23" s="21"/>
      <c r="RQN23" s="21"/>
      <c r="RQO23" s="21"/>
      <c r="RQP23" s="21"/>
      <c r="RQQ23" s="21"/>
      <c r="RQR23" s="21"/>
      <c r="RQS23" s="21"/>
      <c r="RQT23" s="21"/>
      <c r="RQU23" s="21"/>
      <c r="RQV23" s="21"/>
      <c r="RQW23" s="21"/>
      <c r="RQX23" s="21"/>
      <c r="RQY23" s="21"/>
      <c r="RQZ23" s="21"/>
      <c r="RRA23" s="21"/>
      <c r="RRB23" s="21"/>
      <c r="RRC23" s="21"/>
      <c r="RRD23" s="21"/>
      <c r="RRE23" s="21"/>
      <c r="RRF23" s="21"/>
      <c r="RRG23" s="21"/>
      <c r="RRH23" s="21"/>
      <c r="RRI23" s="21"/>
      <c r="RRJ23" s="21"/>
      <c r="RRK23" s="21"/>
      <c r="RRL23" s="21"/>
      <c r="RRM23" s="21"/>
      <c r="RRN23" s="21"/>
      <c r="RRO23" s="21"/>
      <c r="RRP23" s="21"/>
      <c r="RRQ23" s="21"/>
      <c r="RRR23" s="21"/>
      <c r="RRS23" s="21"/>
      <c r="RRT23" s="21"/>
      <c r="RRU23" s="21"/>
      <c r="RRV23" s="21"/>
      <c r="RRW23" s="21"/>
      <c r="RRX23" s="21"/>
      <c r="RRY23" s="21"/>
      <c r="RRZ23" s="21"/>
      <c r="RSA23" s="21"/>
      <c r="RSB23" s="21"/>
      <c r="RSC23" s="21"/>
      <c r="RSD23" s="21"/>
      <c r="RSE23" s="21"/>
      <c r="RSF23" s="21"/>
      <c r="RSG23" s="21"/>
      <c r="RSH23" s="21"/>
      <c r="RSI23" s="21"/>
      <c r="RSJ23" s="21"/>
      <c r="RSK23" s="21"/>
      <c r="RSL23" s="21"/>
      <c r="RSM23" s="21"/>
      <c r="RSN23" s="21"/>
      <c r="RSO23" s="21"/>
      <c r="RSP23" s="21"/>
      <c r="RSQ23" s="21"/>
      <c r="RSR23" s="21"/>
      <c r="RSS23" s="21"/>
      <c r="RST23" s="21"/>
      <c r="RSU23" s="21"/>
      <c r="RSV23" s="21"/>
      <c r="RSW23" s="21"/>
      <c r="RSX23" s="21"/>
      <c r="RSY23" s="21"/>
      <c r="RSZ23" s="21"/>
      <c r="RTA23" s="21"/>
      <c r="RTB23" s="21"/>
      <c r="RTC23" s="21"/>
      <c r="RTD23" s="21"/>
      <c r="RTE23" s="21"/>
      <c r="RTF23" s="21"/>
      <c r="RTG23" s="21"/>
      <c r="RTH23" s="21"/>
      <c r="RTI23" s="21"/>
      <c r="RTJ23" s="21"/>
      <c r="RTK23" s="21"/>
      <c r="RTL23" s="21"/>
      <c r="RTM23" s="21"/>
      <c r="RTN23" s="21"/>
      <c r="RTO23" s="21"/>
      <c r="RTP23" s="21"/>
      <c r="RTQ23" s="21"/>
      <c r="RTR23" s="21"/>
      <c r="RTS23" s="21"/>
      <c r="RTT23" s="21"/>
      <c r="RTU23" s="21"/>
      <c r="RTV23" s="21"/>
      <c r="RTW23" s="21"/>
      <c r="RTX23" s="21"/>
      <c r="RTY23" s="21"/>
      <c r="RTZ23" s="21"/>
      <c r="RUA23" s="21"/>
      <c r="RUB23" s="21"/>
      <c r="RUC23" s="21"/>
      <c r="RUD23" s="21"/>
      <c r="RUE23" s="21"/>
      <c r="RUF23" s="21"/>
      <c r="RUG23" s="21"/>
      <c r="RUH23" s="21"/>
      <c r="RUI23" s="21"/>
      <c r="RUJ23" s="21"/>
      <c r="RUK23" s="21"/>
      <c r="RUL23" s="21"/>
      <c r="RUM23" s="21"/>
      <c r="RUN23" s="21"/>
      <c r="RUO23" s="21"/>
      <c r="RUP23" s="21"/>
      <c r="RUQ23" s="21"/>
      <c r="RUR23" s="21"/>
      <c r="RUS23" s="21"/>
      <c r="RUT23" s="21"/>
      <c r="RUU23" s="21"/>
      <c r="RUV23" s="21"/>
      <c r="RUW23" s="21"/>
      <c r="RUX23" s="21"/>
      <c r="RUY23" s="21"/>
      <c r="RUZ23" s="21"/>
      <c r="RVA23" s="21"/>
      <c r="RVB23" s="21"/>
      <c r="RVC23" s="21"/>
      <c r="RVD23" s="21"/>
      <c r="RVE23" s="21"/>
      <c r="RVF23" s="21"/>
      <c r="RVG23" s="21"/>
      <c r="RVH23" s="21"/>
      <c r="RVI23" s="21"/>
      <c r="RVJ23" s="21"/>
      <c r="RVK23" s="21"/>
      <c r="RVL23" s="21"/>
      <c r="RVM23" s="21"/>
      <c r="RVN23" s="21"/>
      <c r="RVO23" s="21"/>
      <c r="RVP23" s="21"/>
      <c r="RVQ23" s="21"/>
      <c r="RVR23" s="21"/>
      <c r="RVS23" s="21"/>
      <c r="RVT23" s="21"/>
      <c r="RVU23" s="21"/>
      <c r="RVV23" s="21"/>
      <c r="RVW23" s="21"/>
      <c r="RVX23" s="21"/>
      <c r="RVY23" s="21"/>
      <c r="RVZ23" s="21"/>
      <c r="RWA23" s="21"/>
      <c r="RWB23" s="21"/>
      <c r="RWC23" s="21"/>
      <c r="RWD23" s="21"/>
      <c r="RWE23" s="21"/>
      <c r="RWF23" s="21"/>
      <c r="RWG23" s="21"/>
      <c r="RWH23" s="21"/>
      <c r="RWI23" s="21"/>
      <c r="RWJ23" s="21"/>
      <c r="RWK23" s="21"/>
      <c r="RWL23" s="21"/>
      <c r="RWM23" s="21"/>
      <c r="RWN23" s="21"/>
      <c r="RWO23" s="21"/>
      <c r="RWP23" s="21"/>
      <c r="RWQ23" s="21"/>
      <c r="RWR23" s="21"/>
      <c r="RWS23" s="21"/>
      <c r="RWT23" s="21"/>
      <c r="RWU23" s="21"/>
      <c r="RWV23" s="21"/>
      <c r="RWW23" s="21"/>
      <c r="RWX23" s="21"/>
      <c r="RWY23" s="21"/>
      <c r="RWZ23" s="21"/>
      <c r="RXA23" s="21"/>
      <c r="RXB23" s="21"/>
      <c r="RXC23" s="21"/>
      <c r="RXD23" s="21"/>
      <c r="RXE23" s="21"/>
      <c r="RXF23" s="21"/>
      <c r="RXG23" s="21"/>
      <c r="RXH23" s="21"/>
      <c r="RXI23" s="21"/>
      <c r="RXJ23" s="21"/>
      <c r="RXK23" s="21"/>
      <c r="RXL23" s="21"/>
      <c r="RXM23" s="21"/>
      <c r="RXN23" s="21"/>
      <c r="RXO23" s="21"/>
      <c r="RXP23" s="21"/>
      <c r="RXQ23" s="21"/>
      <c r="RXR23" s="21"/>
      <c r="RXS23" s="21"/>
      <c r="RXT23" s="21"/>
      <c r="RXU23" s="21"/>
      <c r="RXV23" s="21"/>
      <c r="RXW23" s="21"/>
      <c r="RXX23" s="21"/>
      <c r="RXY23" s="21"/>
      <c r="RXZ23" s="21"/>
      <c r="RYA23" s="21"/>
      <c r="RYB23" s="21"/>
      <c r="RYC23" s="21"/>
      <c r="RYD23" s="21"/>
      <c r="RYE23" s="21"/>
      <c r="RYF23" s="21"/>
      <c r="RYG23" s="21"/>
      <c r="RYH23" s="21"/>
      <c r="RYI23" s="21"/>
      <c r="RYJ23" s="21"/>
      <c r="RYK23" s="21"/>
      <c r="RYL23" s="21"/>
      <c r="RYM23" s="21"/>
      <c r="RYN23" s="21"/>
      <c r="RYO23" s="21"/>
      <c r="RYP23" s="21"/>
      <c r="RYQ23" s="21"/>
      <c r="RYR23" s="21"/>
      <c r="RYS23" s="21"/>
      <c r="RYT23" s="21"/>
      <c r="RYU23" s="21"/>
      <c r="RYV23" s="21"/>
      <c r="RYW23" s="21"/>
      <c r="RYX23" s="21"/>
      <c r="RYY23" s="21"/>
      <c r="RYZ23" s="21"/>
      <c r="RZA23" s="21"/>
      <c r="RZB23" s="21"/>
      <c r="RZC23" s="21"/>
      <c r="RZD23" s="21"/>
      <c r="RZE23" s="21"/>
      <c r="RZF23" s="21"/>
      <c r="RZG23" s="21"/>
      <c r="RZH23" s="21"/>
      <c r="RZI23" s="21"/>
      <c r="RZJ23" s="21"/>
      <c r="RZK23" s="21"/>
      <c r="RZL23" s="21"/>
      <c r="RZM23" s="21"/>
      <c r="RZN23" s="21"/>
      <c r="RZO23" s="21"/>
      <c r="RZP23" s="21"/>
      <c r="RZQ23" s="21"/>
      <c r="RZR23" s="21"/>
      <c r="RZS23" s="21"/>
      <c r="RZT23" s="21"/>
      <c r="RZU23" s="21"/>
      <c r="RZV23" s="21"/>
      <c r="RZW23" s="21"/>
      <c r="RZX23" s="21"/>
      <c r="RZY23" s="21"/>
      <c r="RZZ23" s="21"/>
      <c r="SAA23" s="21"/>
      <c r="SAB23" s="21"/>
      <c r="SAC23" s="21"/>
      <c r="SAD23" s="21"/>
      <c r="SAE23" s="21"/>
      <c r="SAF23" s="21"/>
      <c r="SAG23" s="21"/>
      <c r="SAH23" s="21"/>
      <c r="SAI23" s="21"/>
      <c r="SAJ23" s="21"/>
      <c r="SAK23" s="21"/>
      <c r="SAL23" s="21"/>
      <c r="SAM23" s="21"/>
      <c r="SAN23" s="21"/>
      <c r="SAO23" s="21"/>
      <c r="SAP23" s="21"/>
      <c r="SAQ23" s="21"/>
      <c r="SAR23" s="21"/>
      <c r="SAS23" s="21"/>
      <c r="SAT23" s="21"/>
      <c r="SAU23" s="21"/>
      <c r="SAV23" s="21"/>
      <c r="SAW23" s="21"/>
      <c r="SAX23" s="21"/>
      <c r="SAY23" s="21"/>
      <c r="SAZ23" s="21"/>
      <c r="SBA23" s="21"/>
      <c r="SBB23" s="21"/>
      <c r="SBC23" s="21"/>
      <c r="SBD23" s="21"/>
      <c r="SBE23" s="21"/>
      <c r="SBF23" s="21"/>
      <c r="SBG23" s="21"/>
      <c r="SBH23" s="21"/>
      <c r="SBI23" s="21"/>
      <c r="SBJ23" s="21"/>
      <c r="SBK23" s="21"/>
      <c r="SBL23" s="21"/>
      <c r="SBM23" s="21"/>
      <c r="SBN23" s="21"/>
      <c r="SBO23" s="21"/>
      <c r="SBP23" s="21"/>
      <c r="SBQ23" s="21"/>
      <c r="SBR23" s="21"/>
      <c r="SBS23" s="21"/>
      <c r="SBT23" s="21"/>
      <c r="SBU23" s="21"/>
      <c r="SBV23" s="21"/>
      <c r="SBW23" s="21"/>
      <c r="SBX23" s="21"/>
      <c r="SBY23" s="21"/>
      <c r="SBZ23" s="21"/>
      <c r="SCA23" s="21"/>
      <c r="SCB23" s="21"/>
      <c r="SCC23" s="21"/>
      <c r="SCD23" s="21"/>
      <c r="SCE23" s="21"/>
      <c r="SCF23" s="21"/>
      <c r="SCG23" s="21"/>
      <c r="SCH23" s="21"/>
      <c r="SCI23" s="21"/>
      <c r="SCJ23" s="21"/>
      <c r="SCK23" s="21"/>
      <c r="SCL23" s="21"/>
      <c r="SCM23" s="21"/>
      <c r="SCN23" s="21"/>
      <c r="SCO23" s="21"/>
      <c r="SCP23" s="21"/>
      <c r="SCQ23" s="21"/>
      <c r="SCR23" s="21"/>
      <c r="SCS23" s="21"/>
      <c r="SCT23" s="21"/>
      <c r="SCU23" s="21"/>
      <c r="SCV23" s="21"/>
      <c r="SCW23" s="21"/>
      <c r="SCX23" s="21"/>
      <c r="SCY23" s="21"/>
      <c r="SCZ23" s="21"/>
      <c r="SDA23" s="21"/>
      <c r="SDB23" s="21"/>
      <c r="SDC23" s="21"/>
      <c r="SDD23" s="21"/>
      <c r="SDE23" s="21"/>
      <c r="SDF23" s="21"/>
      <c r="SDG23" s="21"/>
      <c r="SDH23" s="21"/>
      <c r="SDI23" s="21"/>
      <c r="SDJ23" s="21"/>
      <c r="SDK23" s="21"/>
      <c r="SDL23" s="21"/>
      <c r="SDM23" s="21"/>
      <c r="SDN23" s="21"/>
      <c r="SDO23" s="21"/>
      <c r="SDP23" s="21"/>
      <c r="SDQ23" s="21"/>
      <c r="SDR23" s="21"/>
      <c r="SDS23" s="21"/>
      <c r="SDT23" s="21"/>
      <c r="SDU23" s="21"/>
      <c r="SDV23" s="21"/>
      <c r="SDW23" s="21"/>
      <c r="SDX23" s="21"/>
      <c r="SDY23" s="21"/>
      <c r="SDZ23" s="21"/>
      <c r="SEA23" s="21"/>
      <c r="SEB23" s="21"/>
      <c r="SEC23" s="21"/>
      <c r="SED23" s="21"/>
      <c r="SEE23" s="21"/>
      <c r="SEF23" s="21"/>
      <c r="SEG23" s="21"/>
      <c r="SEH23" s="21"/>
      <c r="SEI23" s="21"/>
      <c r="SEJ23" s="21"/>
      <c r="SEK23" s="21"/>
      <c r="SEL23" s="21"/>
      <c r="SEM23" s="21"/>
      <c r="SEN23" s="21"/>
      <c r="SEO23" s="21"/>
      <c r="SEP23" s="21"/>
      <c r="SEQ23" s="21"/>
      <c r="SER23" s="21"/>
      <c r="SES23" s="21"/>
      <c r="SET23" s="21"/>
      <c r="SEU23" s="21"/>
      <c r="SEV23" s="21"/>
      <c r="SEW23" s="21"/>
      <c r="SEX23" s="21"/>
      <c r="SEY23" s="21"/>
      <c r="SEZ23" s="21"/>
      <c r="SFA23" s="21"/>
      <c r="SFB23" s="21"/>
      <c r="SFC23" s="21"/>
      <c r="SFD23" s="21"/>
      <c r="SFE23" s="21"/>
      <c r="SFF23" s="21"/>
      <c r="SFG23" s="21"/>
      <c r="SFH23" s="21"/>
      <c r="SFI23" s="21"/>
      <c r="SFJ23" s="21"/>
      <c r="SFK23" s="21"/>
      <c r="SFL23" s="21"/>
      <c r="SFM23" s="21"/>
      <c r="SFN23" s="21"/>
      <c r="SFO23" s="21"/>
      <c r="SFP23" s="21"/>
      <c r="SFQ23" s="21"/>
      <c r="SFR23" s="21"/>
      <c r="SFS23" s="21"/>
      <c r="SFT23" s="21"/>
      <c r="SFU23" s="21"/>
      <c r="SFV23" s="21"/>
      <c r="SFW23" s="21"/>
      <c r="SFX23" s="21"/>
      <c r="SFY23" s="21"/>
      <c r="SFZ23" s="21"/>
      <c r="SGA23" s="21"/>
      <c r="SGB23" s="21"/>
      <c r="SGC23" s="21"/>
      <c r="SGD23" s="21"/>
      <c r="SGE23" s="21"/>
      <c r="SGF23" s="21"/>
      <c r="SGG23" s="21"/>
      <c r="SGH23" s="21"/>
      <c r="SGI23" s="21"/>
      <c r="SGJ23" s="21"/>
      <c r="SGK23" s="21"/>
      <c r="SGL23" s="21"/>
      <c r="SGM23" s="21"/>
      <c r="SGN23" s="21"/>
      <c r="SGO23" s="21"/>
      <c r="SGP23" s="21"/>
      <c r="SGQ23" s="21"/>
      <c r="SGR23" s="21"/>
      <c r="SGS23" s="21"/>
      <c r="SGT23" s="21"/>
      <c r="SGU23" s="21"/>
      <c r="SGV23" s="21"/>
      <c r="SGW23" s="21"/>
      <c r="SGX23" s="21"/>
      <c r="SGY23" s="21"/>
      <c r="SGZ23" s="21"/>
      <c r="SHA23" s="21"/>
      <c r="SHB23" s="21"/>
      <c r="SHC23" s="21"/>
      <c r="SHD23" s="21"/>
      <c r="SHE23" s="21"/>
      <c r="SHF23" s="21"/>
      <c r="SHG23" s="21"/>
      <c r="SHH23" s="21"/>
      <c r="SHI23" s="21"/>
      <c r="SHJ23" s="21"/>
      <c r="SHK23" s="21"/>
      <c r="SHL23" s="21"/>
      <c r="SHM23" s="21"/>
      <c r="SHN23" s="21"/>
      <c r="SHO23" s="21"/>
      <c r="SHP23" s="21"/>
      <c r="SHQ23" s="21"/>
      <c r="SHR23" s="21"/>
      <c r="SHS23" s="21"/>
      <c r="SHT23" s="21"/>
      <c r="SHU23" s="21"/>
      <c r="SHV23" s="21"/>
      <c r="SHW23" s="21"/>
      <c r="SHX23" s="21"/>
      <c r="SHY23" s="21"/>
      <c r="SHZ23" s="21"/>
      <c r="SIA23" s="21"/>
      <c r="SIB23" s="21"/>
      <c r="SIC23" s="21"/>
      <c r="SID23" s="21"/>
      <c r="SIE23" s="21"/>
      <c r="SIF23" s="21"/>
      <c r="SIG23" s="21"/>
      <c r="SIH23" s="21"/>
      <c r="SII23" s="21"/>
      <c r="SIJ23" s="21"/>
      <c r="SIK23" s="21"/>
      <c r="SIL23" s="21"/>
      <c r="SIM23" s="21"/>
      <c r="SIN23" s="21"/>
      <c r="SIO23" s="21"/>
      <c r="SIP23" s="21"/>
      <c r="SIQ23" s="21"/>
      <c r="SIR23" s="21"/>
      <c r="SIS23" s="21"/>
      <c r="SIT23" s="21"/>
      <c r="SIU23" s="21"/>
      <c r="SIV23" s="21"/>
      <c r="SIW23" s="21"/>
      <c r="SIX23" s="21"/>
      <c r="SIY23" s="21"/>
      <c r="SIZ23" s="21"/>
      <c r="SJA23" s="21"/>
      <c r="SJB23" s="21"/>
      <c r="SJC23" s="21"/>
      <c r="SJD23" s="21"/>
      <c r="SJE23" s="21"/>
      <c r="SJF23" s="21"/>
      <c r="SJG23" s="21"/>
      <c r="SJH23" s="21"/>
      <c r="SJI23" s="21"/>
      <c r="SJJ23" s="21"/>
      <c r="SJK23" s="21"/>
      <c r="SJL23" s="21"/>
      <c r="SJM23" s="21"/>
      <c r="SJN23" s="21"/>
      <c r="SJO23" s="21"/>
      <c r="SJP23" s="21"/>
      <c r="SJQ23" s="21"/>
      <c r="SJR23" s="21"/>
      <c r="SJS23" s="21"/>
      <c r="SJT23" s="21"/>
      <c r="SJU23" s="21"/>
      <c r="SJV23" s="21"/>
      <c r="SJW23" s="21"/>
      <c r="SJX23" s="21"/>
      <c r="SJY23" s="21"/>
      <c r="SJZ23" s="21"/>
      <c r="SKA23" s="21"/>
      <c r="SKB23" s="21"/>
      <c r="SKC23" s="21"/>
      <c r="SKD23" s="21"/>
      <c r="SKE23" s="21"/>
      <c r="SKF23" s="21"/>
      <c r="SKG23" s="21"/>
      <c r="SKH23" s="21"/>
      <c r="SKI23" s="21"/>
      <c r="SKJ23" s="21"/>
      <c r="SKK23" s="21"/>
      <c r="SKL23" s="21"/>
      <c r="SKM23" s="21"/>
      <c r="SKN23" s="21"/>
      <c r="SKO23" s="21"/>
      <c r="SKP23" s="21"/>
      <c r="SKQ23" s="21"/>
      <c r="SKR23" s="21"/>
      <c r="SKS23" s="21"/>
      <c r="SKT23" s="21"/>
      <c r="SKU23" s="21"/>
      <c r="SKV23" s="21"/>
      <c r="SKW23" s="21"/>
      <c r="SKX23" s="21"/>
      <c r="SKY23" s="21"/>
      <c r="SKZ23" s="21"/>
      <c r="SLA23" s="21"/>
      <c r="SLB23" s="21"/>
      <c r="SLC23" s="21"/>
      <c r="SLD23" s="21"/>
      <c r="SLE23" s="21"/>
      <c r="SLF23" s="21"/>
      <c r="SLG23" s="21"/>
      <c r="SLH23" s="21"/>
      <c r="SLI23" s="21"/>
      <c r="SLJ23" s="21"/>
      <c r="SLK23" s="21"/>
      <c r="SLL23" s="21"/>
      <c r="SLM23" s="21"/>
      <c r="SLN23" s="21"/>
      <c r="SLO23" s="21"/>
      <c r="SLP23" s="21"/>
      <c r="SLQ23" s="21"/>
      <c r="SLR23" s="21"/>
      <c r="SLS23" s="21"/>
      <c r="SLT23" s="21"/>
      <c r="SLU23" s="21"/>
      <c r="SLV23" s="21"/>
      <c r="SLW23" s="21"/>
      <c r="SLX23" s="21"/>
      <c r="SLY23" s="21"/>
      <c r="SLZ23" s="21"/>
      <c r="SMA23" s="21"/>
      <c r="SMB23" s="21"/>
      <c r="SMC23" s="21"/>
      <c r="SMD23" s="21"/>
      <c r="SME23" s="21"/>
      <c r="SMF23" s="21"/>
      <c r="SMG23" s="21"/>
      <c r="SMH23" s="21"/>
      <c r="SMI23" s="21"/>
      <c r="SMJ23" s="21"/>
      <c r="SMK23" s="21"/>
      <c r="SML23" s="21"/>
      <c r="SMM23" s="21"/>
      <c r="SMN23" s="21"/>
      <c r="SMO23" s="21"/>
      <c r="SMP23" s="21"/>
      <c r="SMQ23" s="21"/>
      <c r="SMR23" s="21"/>
      <c r="SMS23" s="21"/>
      <c r="SMT23" s="21"/>
      <c r="SMU23" s="21"/>
      <c r="SMV23" s="21"/>
      <c r="SMW23" s="21"/>
      <c r="SMX23" s="21"/>
      <c r="SMY23" s="21"/>
      <c r="SMZ23" s="21"/>
      <c r="SNA23" s="21"/>
      <c r="SNB23" s="21"/>
      <c r="SNC23" s="21"/>
      <c r="SND23" s="21"/>
      <c r="SNE23" s="21"/>
      <c r="SNF23" s="21"/>
      <c r="SNG23" s="21"/>
      <c r="SNH23" s="21"/>
      <c r="SNI23" s="21"/>
      <c r="SNJ23" s="21"/>
      <c r="SNK23" s="21"/>
      <c r="SNL23" s="21"/>
      <c r="SNM23" s="21"/>
      <c r="SNN23" s="21"/>
      <c r="SNO23" s="21"/>
      <c r="SNP23" s="21"/>
      <c r="SNQ23" s="21"/>
      <c r="SNR23" s="21"/>
      <c r="SNS23" s="21"/>
      <c r="SNT23" s="21"/>
      <c r="SNU23" s="21"/>
      <c r="SNV23" s="21"/>
      <c r="SNW23" s="21"/>
      <c r="SNX23" s="21"/>
      <c r="SNY23" s="21"/>
      <c r="SNZ23" s="21"/>
      <c r="SOA23" s="21"/>
      <c r="SOB23" s="21"/>
      <c r="SOC23" s="21"/>
      <c r="SOD23" s="21"/>
      <c r="SOE23" s="21"/>
      <c r="SOF23" s="21"/>
      <c r="SOG23" s="21"/>
      <c r="SOH23" s="21"/>
      <c r="SOI23" s="21"/>
      <c r="SOJ23" s="21"/>
      <c r="SOK23" s="21"/>
      <c r="SOL23" s="21"/>
      <c r="SOM23" s="21"/>
      <c r="SON23" s="21"/>
      <c r="SOO23" s="21"/>
      <c r="SOP23" s="21"/>
      <c r="SOQ23" s="21"/>
      <c r="SOR23" s="21"/>
      <c r="SOS23" s="21"/>
      <c r="SOT23" s="21"/>
      <c r="SOU23" s="21"/>
      <c r="SOV23" s="21"/>
      <c r="SOW23" s="21"/>
      <c r="SOX23" s="21"/>
      <c r="SOY23" s="21"/>
      <c r="SOZ23" s="21"/>
      <c r="SPA23" s="21"/>
      <c r="SPB23" s="21"/>
      <c r="SPC23" s="21"/>
      <c r="SPD23" s="21"/>
      <c r="SPE23" s="21"/>
      <c r="SPF23" s="21"/>
      <c r="SPG23" s="21"/>
      <c r="SPH23" s="21"/>
      <c r="SPI23" s="21"/>
      <c r="SPJ23" s="21"/>
      <c r="SPK23" s="21"/>
      <c r="SPL23" s="21"/>
      <c r="SPM23" s="21"/>
      <c r="SPN23" s="21"/>
      <c r="SPO23" s="21"/>
      <c r="SPP23" s="21"/>
      <c r="SPQ23" s="21"/>
      <c r="SPR23" s="21"/>
      <c r="SPS23" s="21"/>
      <c r="SPT23" s="21"/>
      <c r="SPU23" s="21"/>
      <c r="SPV23" s="21"/>
      <c r="SPW23" s="21"/>
      <c r="SPX23" s="21"/>
      <c r="SPY23" s="21"/>
      <c r="SPZ23" s="21"/>
      <c r="SQA23" s="21"/>
      <c r="SQB23" s="21"/>
      <c r="SQC23" s="21"/>
      <c r="SQD23" s="21"/>
      <c r="SQE23" s="21"/>
      <c r="SQF23" s="21"/>
      <c r="SQG23" s="21"/>
      <c r="SQH23" s="21"/>
      <c r="SQI23" s="21"/>
      <c r="SQJ23" s="21"/>
      <c r="SQK23" s="21"/>
      <c r="SQL23" s="21"/>
      <c r="SQM23" s="21"/>
      <c r="SQN23" s="21"/>
      <c r="SQO23" s="21"/>
      <c r="SQP23" s="21"/>
      <c r="SQQ23" s="21"/>
      <c r="SQR23" s="21"/>
      <c r="SQS23" s="21"/>
      <c r="SQT23" s="21"/>
      <c r="SQU23" s="21"/>
      <c r="SQV23" s="21"/>
      <c r="SQW23" s="21"/>
      <c r="SQX23" s="21"/>
      <c r="SQY23" s="21"/>
      <c r="SQZ23" s="21"/>
      <c r="SRA23" s="21"/>
      <c r="SRB23" s="21"/>
      <c r="SRC23" s="21"/>
      <c r="SRD23" s="21"/>
      <c r="SRE23" s="21"/>
      <c r="SRF23" s="21"/>
      <c r="SRG23" s="21"/>
      <c r="SRH23" s="21"/>
      <c r="SRI23" s="21"/>
      <c r="SRJ23" s="21"/>
      <c r="SRK23" s="21"/>
      <c r="SRL23" s="21"/>
      <c r="SRM23" s="21"/>
      <c r="SRN23" s="21"/>
      <c r="SRO23" s="21"/>
      <c r="SRP23" s="21"/>
      <c r="SRQ23" s="21"/>
      <c r="SRR23" s="21"/>
      <c r="SRS23" s="21"/>
      <c r="SRT23" s="21"/>
      <c r="SRU23" s="21"/>
      <c r="SRV23" s="21"/>
      <c r="SRW23" s="21"/>
      <c r="SRX23" s="21"/>
      <c r="SRY23" s="21"/>
      <c r="SRZ23" s="21"/>
      <c r="SSA23" s="21"/>
      <c r="SSB23" s="21"/>
      <c r="SSC23" s="21"/>
      <c r="SSD23" s="21"/>
      <c r="SSE23" s="21"/>
      <c r="SSF23" s="21"/>
      <c r="SSG23" s="21"/>
      <c r="SSH23" s="21"/>
      <c r="SSI23" s="21"/>
      <c r="SSJ23" s="21"/>
      <c r="SSK23" s="21"/>
      <c r="SSL23" s="21"/>
      <c r="SSM23" s="21"/>
      <c r="SSN23" s="21"/>
      <c r="SSO23" s="21"/>
      <c r="SSP23" s="21"/>
      <c r="SSQ23" s="21"/>
      <c r="SSR23" s="21"/>
      <c r="SSS23" s="21"/>
      <c r="SST23" s="21"/>
      <c r="SSU23" s="21"/>
      <c r="SSV23" s="21"/>
      <c r="SSW23" s="21"/>
      <c r="SSX23" s="21"/>
      <c r="SSY23" s="21"/>
      <c r="SSZ23" s="21"/>
      <c r="STA23" s="21"/>
      <c r="STB23" s="21"/>
      <c r="STC23" s="21"/>
      <c r="STD23" s="21"/>
      <c r="STE23" s="21"/>
      <c r="STF23" s="21"/>
      <c r="STG23" s="21"/>
      <c r="STH23" s="21"/>
      <c r="STI23" s="21"/>
      <c r="STJ23" s="21"/>
      <c r="STK23" s="21"/>
      <c r="STL23" s="21"/>
      <c r="STM23" s="21"/>
      <c r="STN23" s="21"/>
      <c r="STO23" s="21"/>
      <c r="STP23" s="21"/>
      <c r="STQ23" s="21"/>
      <c r="STR23" s="21"/>
      <c r="STS23" s="21"/>
      <c r="STT23" s="21"/>
      <c r="STU23" s="21"/>
      <c r="STV23" s="21"/>
      <c r="STW23" s="21"/>
      <c r="STX23" s="21"/>
      <c r="STY23" s="21"/>
      <c r="STZ23" s="21"/>
      <c r="SUA23" s="21"/>
      <c r="SUB23" s="21"/>
      <c r="SUC23" s="21"/>
      <c r="SUD23" s="21"/>
      <c r="SUE23" s="21"/>
      <c r="SUF23" s="21"/>
      <c r="SUG23" s="21"/>
      <c r="SUH23" s="21"/>
      <c r="SUI23" s="21"/>
      <c r="SUJ23" s="21"/>
      <c r="SUK23" s="21"/>
      <c r="SUL23" s="21"/>
      <c r="SUM23" s="21"/>
      <c r="SUN23" s="21"/>
      <c r="SUO23" s="21"/>
      <c r="SUP23" s="21"/>
      <c r="SUQ23" s="21"/>
      <c r="SUR23" s="21"/>
      <c r="SUS23" s="21"/>
      <c r="SUT23" s="21"/>
      <c r="SUU23" s="21"/>
      <c r="SUV23" s="21"/>
      <c r="SUW23" s="21"/>
      <c r="SUX23" s="21"/>
      <c r="SUY23" s="21"/>
      <c r="SUZ23" s="21"/>
      <c r="SVA23" s="21"/>
      <c r="SVB23" s="21"/>
      <c r="SVC23" s="21"/>
      <c r="SVD23" s="21"/>
      <c r="SVE23" s="21"/>
      <c r="SVF23" s="21"/>
      <c r="SVG23" s="21"/>
      <c r="SVH23" s="21"/>
      <c r="SVI23" s="21"/>
      <c r="SVJ23" s="21"/>
      <c r="SVK23" s="21"/>
      <c r="SVL23" s="21"/>
      <c r="SVM23" s="21"/>
      <c r="SVN23" s="21"/>
      <c r="SVO23" s="21"/>
      <c r="SVP23" s="21"/>
      <c r="SVQ23" s="21"/>
      <c r="SVR23" s="21"/>
      <c r="SVS23" s="21"/>
      <c r="SVT23" s="21"/>
      <c r="SVU23" s="21"/>
      <c r="SVV23" s="21"/>
      <c r="SVW23" s="21"/>
      <c r="SVX23" s="21"/>
      <c r="SVY23" s="21"/>
      <c r="SVZ23" s="21"/>
      <c r="SWA23" s="21"/>
      <c r="SWB23" s="21"/>
      <c r="SWC23" s="21"/>
      <c r="SWD23" s="21"/>
      <c r="SWE23" s="21"/>
      <c r="SWF23" s="21"/>
      <c r="SWG23" s="21"/>
      <c r="SWH23" s="21"/>
      <c r="SWI23" s="21"/>
      <c r="SWJ23" s="21"/>
      <c r="SWK23" s="21"/>
      <c r="SWL23" s="21"/>
      <c r="SWM23" s="21"/>
      <c r="SWN23" s="21"/>
      <c r="SWO23" s="21"/>
      <c r="SWP23" s="21"/>
      <c r="SWQ23" s="21"/>
      <c r="SWR23" s="21"/>
      <c r="SWS23" s="21"/>
      <c r="SWT23" s="21"/>
      <c r="SWU23" s="21"/>
      <c r="SWV23" s="21"/>
      <c r="SWW23" s="21"/>
      <c r="SWX23" s="21"/>
      <c r="SWY23" s="21"/>
      <c r="SWZ23" s="21"/>
      <c r="SXA23" s="21"/>
      <c r="SXB23" s="21"/>
      <c r="SXC23" s="21"/>
      <c r="SXD23" s="21"/>
      <c r="SXE23" s="21"/>
      <c r="SXF23" s="21"/>
      <c r="SXG23" s="21"/>
      <c r="SXH23" s="21"/>
      <c r="SXI23" s="21"/>
      <c r="SXJ23" s="21"/>
      <c r="SXK23" s="21"/>
      <c r="SXL23" s="21"/>
      <c r="SXM23" s="21"/>
      <c r="SXN23" s="21"/>
      <c r="SXO23" s="21"/>
      <c r="SXP23" s="21"/>
      <c r="SXQ23" s="21"/>
      <c r="SXR23" s="21"/>
      <c r="SXS23" s="21"/>
      <c r="SXT23" s="21"/>
      <c r="SXU23" s="21"/>
      <c r="SXV23" s="21"/>
      <c r="SXW23" s="21"/>
      <c r="SXX23" s="21"/>
      <c r="SXY23" s="21"/>
      <c r="SXZ23" s="21"/>
      <c r="SYA23" s="21"/>
      <c r="SYB23" s="21"/>
      <c r="SYC23" s="21"/>
      <c r="SYD23" s="21"/>
      <c r="SYE23" s="21"/>
      <c r="SYF23" s="21"/>
      <c r="SYG23" s="21"/>
      <c r="SYH23" s="21"/>
      <c r="SYI23" s="21"/>
      <c r="SYJ23" s="21"/>
      <c r="SYK23" s="21"/>
      <c r="SYL23" s="21"/>
      <c r="SYM23" s="21"/>
      <c r="SYN23" s="21"/>
      <c r="SYO23" s="21"/>
      <c r="SYP23" s="21"/>
      <c r="SYQ23" s="21"/>
      <c r="SYR23" s="21"/>
      <c r="SYS23" s="21"/>
      <c r="SYT23" s="21"/>
      <c r="SYU23" s="21"/>
      <c r="SYV23" s="21"/>
      <c r="SYW23" s="21"/>
      <c r="SYX23" s="21"/>
      <c r="SYY23" s="21"/>
      <c r="SYZ23" s="21"/>
      <c r="SZA23" s="21"/>
      <c r="SZB23" s="21"/>
      <c r="SZC23" s="21"/>
      <c r="SZD23" s="21"/>
      <c r="SZE23" s="21"/>
      <c r="SZF23" s="21"/>
      <c r="SZG23" s="21"/>
      <c r="SZH23" s="21"/>
      <c r="SZI23" s="21"/>
      <c r="SZJ23" s="21"/>
      <c r="SZK23" s="21"/>
      <c r="SZL23" s="21"/>
      <c r="SZM23" s="21"/>
      <c r="SZN23" s="21"/>
      <c r="SZO23" s="21"/>
      <c r="SZP23" s="21"/>
      <c r="SZQ23" s="21"/>
      <c r="SZR23" s="21"/>
      <c r="SZS23" s="21"/>
      <c r="SZT23" s="21"/>
      <c r="SZU23" s="21"/>
      <c r="SZV23" s="21"/>
      <c r="SZW23" s="21"/>
      <c r="SZX23" s="21"/>
      <c r="SZY23" s="21"/>
      <c r="SZZ23" s="21"/>
      <c r="TAA23" s="21"/>
      <c r="TAB23" s="21"/>
      <c r="TAC23" s="21"/>
      <c r="TAD23" s="21"/>
      <c r="TAE23" s="21"/>
      <c r="TAF23" s="21"/>
      <c r="TAG23" s="21"/>
      <c r="TAH23" s="21"/>
      <c r="TAI23" s="21"/>
      <c r="TAJ23" s="21"/>
      <c r="TAK23" s="21"/>
      <c r="TAL23" s="21"/>
      <c r="TAM23" s="21"/>
      <c r="TAN23" s="21"/>
      <c r="TAO23" s="21"/>
      <c r="TAP23" s="21"/>
      <c r="TAQ23" s="21"/>
      <c r="TAR23" s="21"/>
      <c r="TAS23" s="21"/>
      <c r="TAT23" s="21"/>
      <c r="TAU23" s="21"/>
      <c r="TAV23" s="21"/>
      <c r="TAW23" s="21"/>
      <c r="TAX23" s="21"/>
      <c r="TAY23" s="21"/>
      <c r="TAZ23" s="21"/>
      <c r="TBA23" s="21"/>
      <c r="TBB23" s="21"/>
      <c r="TBC23" s="21"/>
      <c r="TBD23" s="21"/>
      <c r="TBE23" s="21"/>
      <c r="TBF23" s="21"/>
      <c r="TBG23" s="21"/>
      <c r="TBH23" s="21"/>
      <c r="TBI23" s="21"/>
      <c r="TBJ23" s="21"/>
      <c r="TBK23" s="21"/>
      <c r="TBL23" s="21"/>
      <c r="TBM23" s="21"/>
      <c r="TBN23" s="21"/>
      <c r="TBO23" s="21"/>
      <c r="TBP23" s="21"/>
      <c r="TBQ23" s="21"/>
      <c r="TBR23" s="21"/>
      <c r="TBS23" s="21"/>
      <c r="TBT23" s="21"/>
      <c r="TBU23" s="21"/>
      <c r="TBV23" s="21"/>
      <c r="TBW23" s="21"/>
      <c r="TBX23" s="21"/>
      <c r="TBY23" s="21"/>
      <c r="TBZ23" s="21"/>
      <c r="TCA23" s="21"/>
      <c r="TCB23" s="21"/>
      <c r="TCC23" s="21"/>
      <c r="TCD23" s="21"/>
      <c r="TCE23" s="21"/>
      <c r="TCF23" s="21"/>
      <c r="TCG23" s="21"/>
      <c r="TCH23" s="21"/>
      <c r="TCI23" s="21"/>
      <c r="TCJ23" s="21"/>
      <c r="TCK23" s="21"/>
      <c r="TCL23" s="21"/>
      <c r="TCM23" s="21"/>
      <c r="TCN23" s="21"/>
      <c r="TCO23" s="21"/>
      <c r="TCP23" s="21"/>
      <c r="TCQ23" s="21"/>
      <c r="TCR23" s="21"/>
      <c r="TCS23" s="21"/>
      <c r="TCT23" s="21"/>
      <c r="TCU23" s="21"/>
      <c r="TCV23" s="21"/>
      <c r="TCW23" s="21"/>
      <c r="TCX23" s="21"/>
      <c r="TCY23" s="21"/>
      <c r="TCZ23" s="21"/>
      <c r="TDA23" s="21"/>
      <c r="TDB23" s="21"/>
      <c r="TDC23" s="21"/>
      <c r="TDD23" s="21"/>
      <c r="TDE23" s="21"/>
      <c r="TDF23" s="21"/>
      <c r="TDG23" s="21"/>
      <c r="TDH23" s="21"/>
      <c r="TDI23" s="21"/>
      <c r="TDJ23" s="21"/>
      <c r="TDK23" s="21"/>
      <c r="TDL23" s="21"/>
      <c r="TDM23" s="21"/>
      <c r="TDN23" s="21"/>
      <c r="TDO23" s="21"/>
      <c r="TDP23" s="21"/>
      <c r="TDQ23" s="21"/>
      <c r="TDR23" s="21"/>
      <c r="TDS23" s="21"/>
      <c r="TDT23" s="21"/>
      <c r="TDU23" s="21"/>
      <c r="TDV23" s="21"/>
      <c r="TDW23" s="21"/>
      <c r="TDX23" s="21"/>
      <c r="TDY23" s="21"/>
      <c r="TDZ23" s="21"/>
      <c r="TEA23" s="21"/>
      <c r="TEB23" s="21"/>
      <c r="TEC23" s="21"/>
      <c r="TED23" s="21"/>
      <c r="TEE23" s="21"/>
      <c r="TEF23" s="21"/>
      <c r="TEG23" s="21"/>
      <c r="TEH23" s="21"/>
      <c r="TEI23" s="21"/>
      <c r="TEJ23" s="21"/>
      <c r="TEK23" s="21"/>
      <c r="TEL23" s="21"/>
      <c r="TEM23" s="21"/>
      <c r="TEN23" s="21"/>
      <c r="TEO23" s="21"/>
      <c r="TEP23" s="21"/>
      <c r="TEQ23" s="21"/>
      <c r="TER23" s="21"/>
      <c r="TES23" s="21"/>
      <c r="TET23" s="21"/>
      <c r="TEU23" s="21"/>
      <c r="TEV23" s="21"/>
      <c r="TEW23" s="21"/>
      <c r="TEX23" s="21"/>
      <c r="TEY23" s="21"/>
      <c r="TEZ23" s="21"/>
      <c r="TFA23" s="21"/>
      <c r="TFB23" s="21"/>
      <c r="TFC23" s="21"/>
      <c r="TFD23" s="21"/>
      <c r="TFE23" s="21"/>
      <c r="TFF23" s="21"/>
      <c r="TFG23" s="21"/>
      <c r="TFH23" s="21"/>
      <c r="TFI23" s="21"/>
      <c r="TFJ23" s="21"/>
      <c r="TFK23" s="21"/>
      <c r="TFL23" s="21"/>
      <c r="TFM23" s="21"/>
      <c r="TFN23" s="21"/>
      <c r="TFO23" s="21"/>
      <c r="TFP23" s="21"/>
      <c r="TFQ23" s="21"/>
      <c r="TFR23" s="21"/>
      <c r="TFS23" s="21"/>
      <c r="TFT23" s="21"/>
      <c r="TFU23" s="21"/>
      <c r="TFV23" s="21"/>
      <c r="TFW23" s="21"/>
      <c r="TFX23" s="21"/>
      <c r="TFY23" s="21"/>
      <c r="TFZ23" s="21"/>
      <c r="TGA23" s="21"/>
      <c r="TGB23" s="21"/>
      <c r="TGC23" s="21"/>
      <c r="TGD23" s="21"/>
      <c r="TGE23" s="21"/>
      <c r="TGF23" s="21"/>
      <c r="TGG23" s="21"/>
      <c r="TGH23" s="21"/>
      <c r="TGI23" s="21"/>
      <c r="TGJ23" s="21"/>
      <c r="TGK23" s="21"/>
      <c r="TGL23" s="21"/>
      <c r="TGM23" s="21"/>
      <c r="TGN23" s="21"/>
      <c r="TGO23" s="21"/>
      <c r="TGP23" s="21"/>
      <c r="TGQ23" s="21"/>
      <c r="TGR23" s="21"/>
      <c r="TGS23" s="21"/>
      <c r="TGT23" s="21"/>
      <c r="TGU23" s="21"/>
      <c r="TGV23" s="21"/>
      <c r="TGW23" s="21"/>
      <c r="TGX23" s="21"/>
      <c r="TGY23" s="21"/>
      <c r="TGZ23" s="21"/>
      <c r="THA23" s="21"/>
      <c r="THB23" s="21"/>
      <c r="THC23" s="21"/>
      <c r="THD23" s="21"/>
      <c r="THE23" s="21"/>
      <c r="THF23" s="21"/>
      <c r="THG23" s="21"/>
      <c r="THH23" s="21"/>
      <c r="THI23" s="21"/>
      <c r="THJ23" s="21"/>
      <c r="THK23" s="21"/>
      <c r="THL23" s="21"/>
      <c r="THM23" s="21"/>
      <c r="THN23" s="21"/>
      <c r="THO23" s="21"/>
      <c r="THP23" s="21"/>
      <c r="THQ23" s="21"/>
      <c r="THR23" s="21"/>
      <c r="THS23" s="21"/>
      <c r="THT23" s="21"/>
      <c r="THU23" s="21"/>
      <c r="THV23" s="21"/>
      <c r="THW23" s="21"/>
      <c r="THX23" s="21"/>
      <c r="THY23" s="21"/>
      <c r="THZ23" s="21"/>
      <c r="TIA23" s="21"/>
      <c r="TIB23" s="21"/>
      <c r="TIC23" s="21"/>
      <c r="TID23" s="21"/>
      <c r="TIE23" s="21"/>
      <c r="TIF23" s="21"/>
      <c r="TIG23" s="21"/>
      <c r="TIH23" s="21"/>
      <c r="TII23" s="21"/>
      <c r="TIJ23" s="21"/>
      <c r="TIK23" s="21"/>
      <c r="TIL23" s="21"/>
      <c r="TIM23" s="21"/>
      <c r="TIN23" s="21"/>
      <c r="TIO23" s="21"/>
      <c r="TIP23" s="21"/>
      <c r="TIQ23" s="21"/>
      <c r="TIR23" s="21"/>
      <c r="TIS23" s="21"/>
      <c r="TIT23" s="21"/>
      <c r="TIU23" s="21"/>
      <c r="TIV23" s="21"/>
      <c r="TIW23" s="21"/>
      <c r="TIX23" s="21"/>
      <c r="TIY23" s="21"/>
      <c r="TIZ23" s="21"/>
      <c r="TJA23" s="21"/>
      <c r="TJB23" s="21"/>
      <c r="TJC23" s="21"/>
      <c r="TJD23" s="21"/>
      <c r="TJE23" s="21"/>
      <c r="TJF23" s="21"/>
      <c r="TJG23" s="21"/>
      <c r="TJH23" s="21"/>
      <c r="TJI23" s="21"/>
      <c r="TJJ23" s="21"/>
      <c r="TJK23" s="21"/>
      <c r="TJL23" s="21"/>
      <c r="TJM23" s="21"/>
      <c r="TJN23" s="21"/>
      <c r="TJO23" s="21"/>
      <c r="TJP23" s="21"/>
      <c r="TJQ23" s="21"/>
      <c r="TJR23" s="21"/>
      <c r="TJS23" s="21"/>
      <c r="TJT23" s="21"/>
      <c r="TJU23" s="21"/>
      <c r="TJV23" s="21"/>
      <c r="TJW23" s="21"/>
      <c r="TJX23" s="21"/>
      <c r="TJY23" s="21"/>
      <c r="TJZ23" s="21"/>
      <c r="TKA23" s="21"/>
      <c r="TKB23" s="21"/>
      <c r="TKC23" s="21"/>
      <c r="TKD23" s="21"/>
      <c r="TKE23" s="21"/>
      <c r="TKF23" s="21"/>
      <c r="TKG23" s="21"/>
      <c r="TKH23" s="21"/>
      <c r="TKI23" s="21"/>
      <c r="TKJ23" s="21"/>
      <c r="TKK23" s="21"/>
      <c r="TKL23" s="21"/>
      <c r="TKM23" s="21"/>
      <c r="TKN23" s="21"/>
      <c r="TKO23" s="21"/>
      <c r="TKP23" s="21"/>
      <c r="TKQ23" s="21"/>
      <c r="TKR23" s="21"/>
      <c r="TKS23" s="21"/>
      <c r="TKT23" s="21"/>
      <c r="TKU23" s="21"/>
      <c r="TKV23" s="21"/>
      <c r="TKW23" s="21"/>
      <c r="TKX23" s="21"/>
      <c r="TKY23" s="21"/>
      <c r="TKZ23" s="21"/>
      <c r="TLA23" s="21"/>
      <c r="TLB23" s="21"/>
      <c r="TLC23" s="21"/>
      <c r="TLD23" s="21"/>
      <c r="TLE23" s="21"/>
      <c r="TLF23" s="21"/>
      <c r="TLG23" s="21"/>
      <c r="TLH23" s="21"/>
      <c r="TLI23" s="21"/>
      <c r="TLJ23" s="21"/>
      <c r="TLK23" s="21"/>
      <c r="TLL23" s="21"/>
      <c r="TLM23" s="21"/>
      <c r="TLN23" s="21"/>
      <c r="TLO23" s="21"/>
      <c r="TLP23" s="21"/>
      <c r="TLQ23" s="21"/>
      <c r="TLR23" s="21"/>
      <c r="TLS23" s="21"/>
      <c r="TLT23" s="21"/>
      <c r="TLU23" s="21"/>
      <c r="TLV23" s="21"/>
      <c r="TLW23" s="21"/>
      <c r="TLX23" s="21"/>
      <c r="TLY23" s="21"/>
      <c r="TLZ23" s="21"/>
      <c r="TMA23" s="21"/>
      <c r="TMB23" s="21"/>
      <c r="TMC23" s="21"/>
      <c r="TMD23" s="21"/>
      <c r="TME23" s="21"/>
      <c r="TMF23" s="21"/>
      <c r="TMG23" s="21"/>
      <c r="TMH23" s="21"/>
      <c r="TMI23" s="21"/>
      <c r="TMJ23" s="21"/>
      <c r="TMK23" s="21"/>
      <c r="TML23" s="21"/>
      <c r="TMM23" s="21"/>
      <c r="TMN23" s="21"/>
      <c r="TMO23" s="21"/>
      <c r="TMP23" s="21"/>
      <c r="TMQ23" s="21"/>
      <c r="TMR23" s="21"/>
      <c r="TMS23" s="21"/>
      <c r="TMT23" s="21"/>
      <c r="TMU23" s="21"/>
      <c r="TMV23" s="21"/>
      <c r="TMW23" s="21"/>
      <c r="TMX23" s="21"/>
      <c r="TMY23" s="21"/>
      <c r="TMZ23" s="21"/>
      <c r="TNA23" s="21"/>
      <c r="TNB23" s="21"/>
      <c r="TNC23" s="21"/>
      <c r="TND23" s="21"/>
      <c r="TNE23" s="21"/>
      <c r="TNF23" s="21"/>
      <c r="TNG23" s="21"/>
      <c r="TNH23" s="21"/>
      <c r="TNI23" s="21"/>
      <c r="TNJ23" s="21"/>
      <c r="TNK23" s="21"/>
      <c r="TNL23" s="21"/>
      <c r="TNM23" s="21"/>
      <c r="TNN23" s="21"/>
      <c r="TNO23" s="21"/>
      <c r="TNP23" s="21"/>
      <c r="TNQ23" s="21"/>
      <c r="TNR23" s="21"/>
      <c r="TNS23" s="21"/>
      <c r="TNT23" s="21"/>
      <c r="TNU23" s="21"/>
      <c r="TNV23" s="21"/>
      <c r="TNW23" s="21"/>
      <c r="TNX23" s="21"/>
      <c r="TNY23" s="21"/>
      <c r="TNZ23" s="21"/>
      <c r="TOA23" s="21"/>
      <c r="TOB23" s="21"/>
      <c r="TOC23" s="21"/>
      <c r="TOD23" s="21"/>
      <c r="TOE23" s="21"/>
      <c r="TOF23" s="21"/>
      <c r="TOG23" s="21"/>
      <c r="TOH23" s="21"/>
      <c r="TOI23" s="21"/>
      <c r="TOJ23" s="21"/>
      <c r="TOK23" s="21"/>
      <c r="TOL23" s="21"/>
      <c r="TOM23" s="21"/>
      <c r="TON23" s="21"/>
      <c r="TOO23" s="21"/>
      <c r="TOP23" s="21"/>
      <c r="TOQ23" s="21"/>
      <c r="TOR23" s="21"/>
      <c r="TOS23" s="21"/>
      <c r="TOT23" s="21"/>
      <c r="TOU23" s="21"/>
      <c r="TOV23" s="21"/>
      <c r="TOW23" s="21"/>
      <c r="TOX23" s="21"/>
      <c r="TOY23" s="21"/>
      <c r="TOZ23" s="21"/>
      <c r="TPA23" s="21"/>
      <c r="TPB23" s="21"/>
      <c r="TPC23" s="21"/>
      <c r="TPD23" s="21"/>
      <c r="TPE23" s="21"/>
      <c r="TPF23" s="21"/>
      <c r="TPG23" s="21"/>
      <c r="TPH23" s="21"/>
      <c r="TPI23" s="21"/>
      <c r="TPJ23" s="21"/>
      <c r="TPK23" s="21"/>
      <c r="TPL23" s="21"/>
      <c r="TPM23" s="21"/>
      <c r="TPN23" s="21"/>
      <c r="TPO23" s="21"/>
      <c r="TPP23" s="21"/>
      <c r="TPQ23" s="21"/>
      <c r="TPR23" s="21"/>
      <c r="TPS23" s="21"/>
      <c r="TPT23" s="21"/>
      <c r="TPU23" s="21"/>
      <c r="TPV23" s="21"/>
      <c r="TPW23" s="21"/>
      <c r="TPX23" s="21"/>
      <c r="TPY23" s="21"/>
      <c r="TPZ23" s="21"/>
      <c r="TQA23" s="21"/>
      <c r="TQB23" s="21"/>
      <c r="TQC23" s="21"/>
      <c r="TQD23" s="21"/>
      <c r="TQE23" s="21"/>
      <c r="TQF23" s="21"/>
      <c r="TQG23" s="21"/>
      <c r="TQH23" s="21"/>
      <c r="TQI23" s="21"/>
      <c r="TQJ23" s="21"/>
      <c r="TQK23" s="21"/>
      <c r="TQL23" s="21"/>
      <c r="TQM23" s="21"/>
      <c r="TQN23" s="21"/>
      <c r="TQO23" s="21"/>
      <c r="TQP23" s="21"/>
      <c r="TQQ23" s="21"/>
      <c r="TQR23" s="21"/>
      <c r="TQS23" s="21"/>
      <c r="TQT23" s="21"/>
      <c r="TQU23" s="21"/>
      <c r="TQV23" s="21"/>
      <c r="TQW23" s="21"/>
      <c r="TQX23" s="21"/>
      <c r="TQY23" s="21"/>
      <c r="TQZ23" s="21"/>
      <c r="TRA23" s="21"/>
      <c r="TRB23" s="21"/>
      <c r="TRC23" s="21"/>
      <c r="TRD23" s="21"/>
      <c r="TRE23" s="21"/>
      <c r="TRF23" s="21"/>
      <c r="TRG23" s="21"/>
      <c r="TRH23" s="21"/>
      <c r="TRI23" s="21"/>
      <c r="TRJ23" s="21"/>
      <c r="TRK23" s="21"/>
      <c r="TRL23" s="21"/>
      <c r="TRM23" s="21"/>
      <c r="TRN23" s="21"/>
      <c r="TRO23" s="21"/>
      <c r="TRP23" s="21"/>
      <c r="TRQ23" s="21"/>
      <c r="TRR23" s="21"/>
      <c r="TRS23" s="21"/>
      <c r="TRT23" s="21"/>
      <c r="TRU23" s="21"/>
      <c r="TRV23" s="21"/>
      <c r="TRW23" s="21"/>
      <c r="TRX23" s="21"/>
      <c r="TRY23" s="21"/>
      <c r="TRZ23" s="21"/>
      <c r="TSA23" s="21"/>
      <c r="TSB23" s="21"/>
      <c r="TSC23" s="21"/>
      <c r="TSD23" s="21"/>
      <c r="TSE23" s="21"/>
      <c r="TSF23" s="21"/>
      <c r="TSG23" s="21"/>
      <c r="TSH23" s="21"/>
      <c r="TSI23" s="21"/>
      <c r="TSJ23" s="21"/>
      <c r="TSK23" s="21"/>
      <c r="TSL23" s="21"/>
      <c r="TSM23" s="21"/>
      <c r="TSN23" s="21"/>
      <c r="TSO23" s="21"/>
      <c r="TSP23" s="21"/>
      <c r="TSQ23" s="21"/>
      <c r="TSR23" s="21"/>
      <c r="TSS23" s="21"/>
      <c r="TST23" s="21"/>
      <c r="TSU23" s="21"/>
      <c r="TSV23" s="21"/>
      <c r="TSW23" s="21"/>
      <c r="TSX23" s="21"/>
      <c r="TSY23" s="21"/>
      <c r="TSZ23" s="21"/>
      <c r="TTA23" s="21"/>
      <c r="TTB23" s="21"/>
      <c r="TTC23" s="21"/>
      <c r="TTD23" s="21"/>
      <c r="TTE23" s="21"/>
      <c r="TTF23" s="21"/>
      <c r="TTG23" s="21"/>
      <c r="TTH23" s="21"/>
      <c r="TTI23" s="21"/>
      <c r="TTJ23" s="21"/>
      <c r="TTK23" s="21"/>
      <c r="TTL23" s="21"/>
      <c r="TTM23" s="21"/>
      <c r="TTN23" s="21"/>
      <c r="TTO23" s="21"/>
      <c r="TTP23" s="21"/>
      <c r="TTQ23" s="21"/>
      <c r="TTR23" s="21"/>
      <c r="TTS23" s="21"/>
      <c r="TTT23" s="21"/>
      <c r="TTU23" s="21"/>
      <c r="TTV23" s="21"/>
      <c r="TTW23" s="21"/>
      <c r="TTX23" s="21"/>
      <c r="TTY23" s="21"/>
      <c r="TTZ23" s="21"/>
      <c r="TUA23" s="21"/>
      <c r="TUB23" s="21"/>
      <c r="TUC23" s="21"/>
      <c r="TUD23" s="21"/>
      <c r="TUE23" s="21"/>
      <c r="TUF23" s="21"/>
      <c r="TUG23" s="21"/>
      <c r="TUH23" s="21"/>
      <c r="TUI23" s="21"/>
      <c r="TUJ23" s="21"/>
      <c r="TUK23" s="21"/>
      <c r="TUL23" s="21"/>
      <c r="TUM23" s="21"/>
      <c r="TUN23" s="21"/>
      <c r="TUO23" s="21"/>
      <c r="TUP23" s="21"/>
      <c r="TUQ23" s="21"/>
      <c r="TUR23" s="21"/>
      <c r="TUS23" s="21"/>
      <c r="TUT23" s="21"/>
      <c r="TUU23" s="21"/>
      <c r="TUV23" s="21"/>
      <c r="TUW23" s="21"/>
      <c r="TUX23" s="21"/>
      <c r="TUY23" s="21"/>
      <c r="TUZ23" s="21"/>
      <c r="TVA23" s="21"/>
      <c r="TVB23" s="21"/>
      <c r="TVC23" s="21"/>
      <c r="TVD23" s="21"/>
      <c r="TVE23" s="21"/>
      <c r="TVF23" s="21"/>
      <c r="TVG23" s="21"/>
      <c r="TVH23" s="21"/>
      <c r="TVI23" s="21"/>
      <c r="TVJ23" s="21"/>
      <c r="TVK23" s="21"/>
      <c r="TVL23" s="21"/>
      <c r="TVM23" s="21"/>
      <c r="TVN23" s="21"/>
      <c r="TVO23" s="21"/>
      <c r="TVP23" s="21"/>
      <c r="TVQ23" s="21"/>
      <c r="TVR23" s="21"/>
      <c r="TVS23" s="21"/>
      <c r="TVT23" s="21"/>
      <c r="TVU23" s="21"/>
      <c r="TVV23" s="21"/>
      <c r="TVW23" s="21"/>
      <c r="TVX23" s="21"/>
      <c r="TVY23" s="21"/>
      <c r="TVZ23" s="21"/>
      <c r="TWA23" s="21"/>
      <c r="TWB23" s="21"/>
      <c r="TWC23" s="21"/>
      <c r="TWD23" s="21"/>
      <c r="TWE23" s="21"/>
      <c r="TWF23" s="21"/>
      <c r="TWG23" s="21"/>
      <c r="TWH23" s="21"/>
      <c r="TWI23" s="21"/>
      <c r="TWJ23" s="21"/>
      <c r="TWK23" s="21"/>
      <c r="TWL23" s="21"/>
      <c r="TWM23" s="21"/>
      <c r="TWN23" s="21"/>
      <c r="TWO23" s="21"/>
      <c r="TWP23" s="21"/>
      <c r="TWQ23" s="21"/>
      <c r="TWR23" s="21"/>
      <c r="TWS23" s="21"/>
      <c r="TWT23" s="21"/>
      <c r="TWU23" s="21"/>
      <c r="TWV23" s="21"/>
      <c r="TWW23" s="21"/>
      <c r="TWX23" s="21"/>
      <c r="TWY23" s="21"/>
      <c r="TWZ23" s="21"/>
      <c r="TXA23" s="21"/>
      <c r="TXB23" s="21"/>
      <c r="TXC23" s="21"/>
      <c r="TXD23" s="21"/>
      <c r="TXE23" s="21"/>
      <c r="TXF23" s="21"/>
      <c r="TXG23" s="21"/>
      <c r="TXH23" s="21"/>
      <c r="TXI23" s="21"/>
      <c r="TXJ23" s="21"/>
      <c r="TXK23" s="21"/>
      <c r="TXL23" s="21"/>
      <c r="TXM23" s="21"/>
      <c r="TXN23" s="21"/>
      <c r="TXO23" s="21"/>
      <c r="TXP23" s="21"/>
      <c r="TXQ23" s="21"/>
      <c r="TXR23" s="21"/>
      <c r="TXS23" s="21"/>
      <c r="TXT23" s="21"/>
      <c r="TXU23" s="21"/>
      <c r="TXV23" s="21"/>
      <c r="TXW23" s="21"/>
      <c r="TXX23" s="21"/>
      <c r="TXY23" s="21"/>
      <c r="TXZ23" s="21"/>
      <c r="TYA23" s="21"/>
      <c r="TYB23" s="21"/>
      <c r="TYC23" s="21"/>
      <c r="TYD23" s="21"/>
      <c r="TYE23" s="21"/>
      <c r="TYF23" s="21"/>
      <c r="TYG23" s="21"/>
      <c r="TYH23" s="21"/>
      <c r="TYI23" s="21"/>
      <c r="TYJ23" s="21"/>
      <c r="TYK23" s="21"/>
      <c r="TYL23" s="21"/>
      <c r="TYM23" s="21"/>
      <c r="TYN23" s="21"/>
      <c r="TYO23" s="21"/>
      <c r="TYP23" s="21"/>
      <c r="TYQ23" s="21"/>
      <c r="TYR23" s="21"/>
      <c r="TYS23" s="21"/>
      <c r="TYT23" s="21"/>
      <c r="TYU23" s="21"/>
      <c r="TYV23" s="21"/>
      <c r="TYW23" s="21"/>
      <c r="TYX23" s="21"/>
      <c r="TYY23" s="21"/>
      <c r="TYZ23" s="21"/>
      <c r="TZA23" s="21"/>
      <c r="TZB23" s="21"/>
      <c r="TZC23" s="21"/>
      <c r="TZD23" s="21"/>
      <c r="TZE23" s="21"/>
      <c r="TZF23" s="21"/>
      <c r="TZG23" s="21"/>
      <c r="TZH23" s="21"/>
      <c r="TZI23" s="21"/>
      <c r="TZJ23" s="21"/>
      <c r="TZK23" s="21"/>
      <c r="TZL23" s="21"/>
      <c r="TZM23" s="21"/>
      <c r="TZN23" s="21"/>
      <c r="TZO23" s="21"/>
      <c r="TZP23" s="21"/>
      <c r="TZQ23" s="21"/>
      <c r="TZR23" s="21"/>
      <c r="TZS23" s="21"/>
      <c r="TZT23" s="21"/>
      <c r="TZU23" s="21"/>
      <c r="TZV23" s="21"/>
      <c r="TZW23" s="21"/>
      <c r="TZX23" s="21"/>
      <c r="TZY23" s="21"/>
      <c r="TZZ23" s="21"/>
      <c r="UAA23" s="21"/>
      <c r="UAB23" s="21"/>
      <c r="UAC23" s="21"/>
      <c r="UAD23" s="21"/>
      <c r="UAE23" s="21"/>
      <c r="UAF23" s="21"/>
      <c r="UAG23" s="21"/>
      <c r="UAH23" s="21"/>
      <c r="UAI23" s="21"/>
      <c r="UAJ23" s="21"/>
      <c r="UAK23" s="21"/>
      <c r="UAL23" s="21"/>
      <c r="UAM23" s="21"/>
      <c r="UAN23" s="21"/>
      <c r="UAO23" s="21"/>
      <c r="UAP23" s="21"/>
      <c r="UAQ23" s="21"/>
      <c r="UAR23" s="21"/>
      <c r="UAS23" s="21"/>
      <c r="UAT23" s="21"/>
      <c r="UAU23" s="21"/>
      <c r="UAV23" s="21"/>
      <c r="UAW23" s="21"/>
      <c r="UAX23" s="21"/>
      <c r="UAY23" s="21"/>
      <c r="UAZ23" s="21"/>
      <c r="UBA23" s="21"/>
      <c r="UBB23" s="21"/>
      <c r="UBC23" s="21"/>
      <c r="UBD23" s="21"/>
      <c r="UBE23" s="21"/>
      <c r="UBF23" s="21"/>
      <c r="UBG23" s="21"/>
      <c r="UBH23" s="21"/>
      <c r="UBI23" s="21"/>
      <c r="UBJ23" s="21"/>
      <c r="UBK23" s="21"/>
      <c r="UBL23" s="21"/>
      <c r="UBM23" s="21"/>
      <c r="UBN23" s="21"/>
      <c r="UBO23" s="21"/>
      <c r="UBP23" s="21"/>
      <c r="UBQ23" s="21"/>
      <c r="UBR23" s="21"/>
      <c r="UBS23" s="21"/>
      <c r="UBT23" s="21"/>
      <c r="UBU23" s="21"/>
      <c r="UBV23" s="21"/>
      <c r="UBW23" s="21"/>
      <c r="UBX23" s="21"/>
      <c r="UBY23" s="21"/>
      <c r="UBZ23" s="21"/>
      <c r="UCA23" s="21"/>
      <c r="UCB23" s="21"/>
      <c r="UCC23" s="21"/>
      <c r="UCD23" s="21"/>
      <c r="UCE23" s="21"/>
      <c r="UCF23" s="21"/>
      <c r="UCG23" s="21"/>
      <c r="UCH23" s="21"/>
      <c r="UCI23" s="21"/>
      <c r="UCJ23" s="21"/>
      <c r="UCK23" s="21"/>
      <c r="UCL23" s="21"/>
      <c r="UCM23" s="21"/>
      <c r="UCN23" s="21"/>
      <c r="UCO23" s="21"/>
      <c r="UCP23" s="21"/>
      <c r="UCQ23" s="21"/>
      <c r="UCR23" s="21"/>
      <c r="UCS23" s="21"/>
      <c r="UCT23" s="21"/>
      <c r="UCU23" s="21"/>
      <c r="UCV23" s="21"/>
      <c r="UCW23" s="21"/>
      <c r="UCX23" s="21"/>
      <c r="UCY23" s="21"/>
      <c r="UCZ23" s="21"/>
      <c r="UDA23" s="21"/>
      <c r="UDB23" s="21"/>
      <c r="UDC23" s="21"/>
      <c r="UDD23" s="21"/>
      <c r="UDE23" s="21"/>
      <c r="UDF23" s="21"/>
      <c r="UDG23" s="21"/>
      <c r="UDH23" s="21"/>
      <c r="UDI23" s="21"/>
      <c r="UDJ23" s="21"/>
      <c r="UDK23" s="21"/>
      <c r="UDL23" s="21"/>
      <c r="UDM23" s="21"/>
      <c r="UDN23" s="21"/>
      <c r="UDO23" s="21"/>
      <c r="UDP23" s="21"/>
      <c r="UDQ23" s="21"/>
      <c r="UDR23" s="21"/>
      <c r="UDS23" s="21"/>
      <c r="UDT23" s="21"/>
      <c r="UDU23" s="21"/>
      <c r="UDV23" s="21"/>
      <c r="UDW23" s="21"/>
      <c r="UDX23" s="21"/>
      <c r="UDY23" s="21"/>
      <c r="UDZ23" s="21"/>
      <c r="UEA23" s="21"/>
      <c r="UEB23" s="21"/>
      <c r="UEC23" s="21"/>
      <c r="UED23" s="21"/>
      <c r="UEE23" s="21"/>
      <c r="UEF23" s="21"/>
      <c r="UEG23" s="21"/>
      <c r="UEH23" s="21"/>
      <c r="UEI23" s="21"/>
      <c r="UEJ23" s="21"/>
      <c r="UEK23" s="21"/>
      <c r="UEL23" s="21"/>
      <c r="UEM23" s="21"/>
      <c r="UEN23" s="21"/>
      <c r="UEO23" s="21"/>
      <c r="UEP23" s="21"/>
      <c r="UEQ23" s="21"/>
      <c r="UER23" s="21"/>
      <c r="UES23" s="21"/>
      <c r="UET23" s="21"/>
      <c r="UEU23" s="21"/>
      <c r="UEV23" s="21"/>
      <c r="UEW23" s="21"/>
      <c r="UEX23" s="21"/>
      <c r="UEY23" s="21"/>
      <c r="UEZ23" s="21"/>
      <c r="UFA23" s="21"/>
      <c r="UFB23" s="21"/>
      <c r="UFC23" s="21"/>
      <c r="UFD23" s="21"/>
      <c r="UFE23" s="21"/>
      <c r="UFF23" s="21"/>
      <c r="UFG23" s="21"/>
      <c r="UFH23" s="21"/>
      <c r="UFI23" s="21"/>
      <c r="UFJ23" s="21"/>
      <c r="UFK23" s="21"/>
      <c r="UFL23" s="21"/>
      <c r="UFM23" s="21"/>
      <c r="UFN23" s="21"/>
      <c r="UFO23" s="21"/>
      <c r="UFP23" s="21"/>
      <c r="UFQ23" s="21"/>
      <c r="UFR23" s="21"/>
      <c r="UFS23" s="21"/>
      <c r="UFT23" s="21"/>
      <c r="UFU23" s="21"/>
      <c r="UFV23" s="21"/>
      <c r="UFW23" s="21"/>
      <c r="UFX23" s="21"/>
      <c r="UFY23" s="21"/>
      <c r="UFZ23" s="21"/>
      <c r="UGA23" s="21"/>
      <c r="UGB23" s="21"/>
      <c r="UGC23" s="21"/>
      <c r="UGD23" s="21"/>
      <c r="UGE23" s="21"/>
      <c r="UGF23" s="21"/>
      <c r="UGG23" s="21"/>
      <c r="UGH23" s="21"/>
      <c r="UGI23" s="21"/>
      <c r="UGJ23" s="21"/>
      <c r="UGK23" s="21"/>
      <c r="UGL23" s="21"/>
      <c r="UGM23" s="21"/>
      <c r="UGN23" s="21"/>
      <c r="UGO23" s="21"/>
      <c r="UGP23" s="21"/>
      <c r="UGQ23" s="21"/>
      <c r="UGR23" s="21"/>
      <c r="UGS23" s="21"/>
      <c r="UGT23" s="21"/>
      <c r="UGU23" s="21"/>
      <c r="UGV23" s="21"/>
      <c r="UGW23" s="21"/>
      <c r="UGX23" s="21"/>
      <c r="UGY23" s="21"/>
      <c r="UGZ23" s="21"/>
      <c r="UHA23" s="21"/>
      <c r="UHB23" s="21"/>
      <c r="UHC23" s="21"/>
      <c r="UHD23" s="21"/>
      <c r="UHE23" s="21"/>
      <c r="UHF23" s="21"/>
      <c r="UHG23" s="21"/>
      <c r="UHH23" s="21"/>
      <c r="UHI23" s="21"/>
      <c r="UHJ23" s="21"/>
      <c r="UHK23" s="21"/>
      <c r="UHL23" s="21"/>
      <c r="UHM23" s="21"/>
      <c r="UHN23" s="21"/>
      <c r="UHO23" s="21"/>
      <c r="UHP23" s="21"/>
      <c r="UHQ23" s="21"/>
      <c r="UHR23" s="21"/>
      <c r="UHS23" s="21"/>
      <c r="UHT23" s="21"/>
      <c r="UHU23" s="21"/>
      <c r="UHV23" s="21"/>
      <c r="UHW23" s="21"/>
      <c r="UHX23" s="21"/>
      <c r="UHY23" s="21"/>
      <c r="UHZ23" s="21"/>
      <c r="UIA23" s="21"/>
      <c r="UIB23" s="21"/>
      <c r="UIC23" s="21"/>
      <c r="UID23" s="21"/>
      <c r="UIE23" s="21"/>
      <c r="UIF23" s="21"/>
      <c r="UIG23" s="21"/>
      <c r="UIH23" s="21"/>
      <c r="UII23" s="21"/>
      <c r="UIJ23" s="21"/>
      <c r="UIK23" s="21"/>
      <c r="UIL23" s="21"/>
      <c r="UIM23" s="21"/>
      <c r="UIN23" s="21"/>
      <c r="UIO23" s="21"/>
      <c r="UIP23" s="21"/>
      <c r="UIQ23" s="21"/>
      <c r="UIR23" s="21"/>
      <c r="UIS23" s="21"/>
      <c r="UIT23" s="21"/>
      <c r="UIU23" s="21"/>
      <c r="UIV23" s="21"/>
      <c r="UIW23" s="21"/>
      <c r="UIX23" s="21"/>
      <c r="UIY23" s="21"/>
      <c r="UIZ23" s="21"/>
      <c r="UJA23" s="21"/>
      <c r="UJB23" s="21"/>
      <c r="UJC23" s="21"/>
      <c r="UJD23" s="21"/>
      <c r="UJE23" s="21"/>
      <c r="UJF23" s="21"/>
      <c r="UJG23" s="21"/>
      <c r="UJH23" s="21"/>
      <c r="UJI23" s="21"/>
      <c r="UJJ23" s="21"/>
      <c r="UJK23" s="21"/>
      <c r="UJL23" s="21"/>
      <c r="UJM23" s="21"/>
      <c r="UJN23" s="21"/>
      <c r="UJO23" s="21"/>
      <c r="UJP23" s="21"/>
      <c r="UJQ23" s="21"/>
      <c r="UJR23" s="21"/>
      <c r="UJS23" s="21"/>
      <c r="UJT23" s="21"/>
      <c r="UJU23" s="21"/>
      <c r="UJV23" s="21"/>
      <c r="UJW23" s="21"/>
      <c r="UJX23" s="21"/>
      <c r="UJY23" s="21"/>
      <c r="UJZ23" s="21"/>
      <c r="UKA23" s="21"/>
      <c r="UKB23" s="21"/>
      <c r="UKC23" s="21"/>
      <c r="UKD23" s="21"/>
      <c r="UKE23" s="21"/>
      <c r="UKF23" s="21"/>
      <c r="UKG23" s="21"/>
      <c r="UKH23" s="21"/>
      <c r="UKI23" s="21"/>
      <c r="UKJ23" s="21"/>
      <c r="UKK23" s="21"/>
      <c r="UKL23" s="21"/>
      <c r="UKM23" s="21"/>
      <c r="UKN23" s="21"/>
      <c r="UKO23" s="21"/>
      <c r="UKP23" s="21"/>
      <c r="UKQ23" s="21"/>
      <c r="UKR23" s="21"/>
      <c r="UKS23" s="21"/>
      <c r="UKT23" s="21"/>
      <c r="UKU23" s="21"/>
      <c r="UKV23" s="21"/>
      <c r="UKW23" s="21"/>
      <c r="UKX23" s="21"/>
      <c r="UKY23" s="21"/>
      <c r="UKZ23" s="21"/>
      <c r="ULA23" s="21"/>
      <c r="ULB23" s="21"/>
      <c r="ULC23" s="21"/>
      <c r="ULD23" s="21"/>
      <c r="ULE23" s="21"/>
      <c r="ULF23" s="21"/>
      <c r="ULG23" s="21"/>
      <c r="ULH23" s="21"/>
      <c r="ULI23" s="21"/>
      <c r="ULJ23" s="21"/>
      <c r="ULK23" s="21"/>
      <c r="ULL23" s="21"/>
      <c r="ULM23" s="21"/>
      <c r="ULN23" s="21"/>
      <c r="ULO23" s="21"/>
      <c r="ULP23" s="21"/>
      <c r="ULQ23" s="21"/>
      <c r="ULR23" s="21"/>
      <c r="ULS23" s="21"/>
      <c r="ULT23" s="21"/>
      <c r="ULU23" s="21"/>
      <c r="ULV23" s="21"/>
      <c r="ULW23" s="21"/>
      <c r="ULX23" s="21"/>
      <c r="ULY23" s="21"/>
      <c r="ULZ23" s="21"/>
      <c r="UMA23" s="21"/>
      <c r="UMB23" s="21"/>
      <c r="UMC23" s="21"/>
      <c r="UMD23" s="21"/>
      <c r="UME23" s="21"/>
      <c r="UMF23" s="21"/>
      <c r="UMG23" s="21"/>
      <c r="UMH23" s="21"/>
      <c r="UMI23" s="21"/>
      <c r="UMJ23" s="21"/>
      <c r="UMK23" s="21"/>
      <c r="UML23" s="21"/>
      <c r="UMM23" s="21"/>
      <c r="UMN23" s="21"/>
      <c r="UMO23" s="21"/>
      <c r="UMP23" s="21"/>
      <c r="UMQ23" s="21"/>
      <c r="UMR23" s="21"/>
      <c r="UMS23" s="21"/>
      <c r="UMT23" s="21"/>
      <c r="UMU23" s="21"/>
      <c r="UMV23" s="21"/>
      <c r="UMW23" s="21"/>
      <c r="UMX23" s="21"/>
      <c r="UMY23" s="21"/>
      <c r="UMZ23" s="21"/>
      <c r="UNA23" s="21"/>
      <c r="UNB23" s="21"/>
      <c r="UNC23" s="21"/>
      <c r="UND23" s="21"/>
      <c r="UNE23" s="21"/>
      <c r="UNF23" s="21"/>
      <c r="UNG23" s="21"/>
      <c r="UNH23" s="21"/>
      <c r="UNI23" s="21"/>
      <c r="UNJ23" s="21"/>
      <c r="UNK23" s="21"/>
      <c r="UNL23" s="21"/>
      <c r="UNM23" s="21"/>
      <c r="UNN23" s="21"/>
      <c r="UNO23" s="21"/>
      <c r="UNP23" s="21"/>
      <c r="UNQ23" s="21"/>
      <c r="UNR23" s="21"/>
      <c r="UNS23" s="21"/>
      <c r="UNT23" s="21"/>
      <c r="UNU23" s="21"/>
      <c r="UNV23" s="21"/>
      <c r="UNW23" s="21"/>
      <c r="UNX23" s="21"/>
      <c r="UNY23" s="21"/>
      <c r="UNZ23" s="21"/>
      <c r="UOA23" s="21"/>
      <c r="UOB23" s="21"/>
      <c r="UOC23" s="21"/>
      <c r="UOD23" s="21"/>
      <c r="UOE23" s="21"/>
      <c r="UOF23" s="21"/>
      <c r="UOG23" s="21"/>
      <c r="UOH23" s="21"/>
      <c r="UOI23" s="21"/>
      <c r="UOJ23" s="21"/>
      <c r="UOK23" s="21"/>
      <c r="UOL23" s="21"/>
      <c r="UOM23" s="21"/>
      <c r="UON23" s="21"/>
      <c r="UOO23" s="21"/>
      <c r="UOP23" s="21"/>
      <c r="UOQ23" s="21"/>
      <c r="UOR23" s="21"/>
      <c r="UOS23" s="21"/>
      <c r="UOT23" s="21"/>
      <c r="UOU23" s="21"/>
      <c r="UOV23" s="21"/>
      <c r="UOW23" s="21"/>
      <c r="UOX23" s="21"/>
      <c r="UOY23" s="21"/>
      <c r="UOZ23" s="21"/>
      <c r="UPA23" s="21"/>
      <c r="UPB23" s="21"/>
      <c r="UPC23" s="21"/>
      <c r="UPD23" s="21"/>
      <c r="UPE23" s="21"/>
      <c r="UPF23" s="21"/>
      <c r="UPG23" s="21"/>
      <c r="UPH23" s="21"/>
      <c r="UPI23" s="21"/>
      <c r="UPJ23" s="21"/>
      <c r="UPK23" s="21"/>
      <c r="UPL23" s="21"/>
      <c r="UPM23" s="21"/>
      <c r="UPN23" s="21"/>
      <c r="UPO23" s="21"/>
      <c r="UPP23" s="21"/>
      <c r="UPQ23" s="21"/>
      <c r="UPR23" s="21"/>
      <c r="UPS23" s="21"/>
      <c r="UPT23" s="21"/>
      <c r="UPU23" s="21"/>
      <c r="UPV23" s="21"/>
      <c r="UPW23" s="21"/>
      <c r="UPX23" s="21"/>
      <c r="UPY23" s="21"/>
      <c r="UPZ23" s="21"/>
      <c r="UQA23" s="21"/>
      <c r="UQB23" s="21"/>
      <c r="UQC23" s="21"/>
      <c r="UQD23" s="21"/>
      <c r="UQE23" s="21"/>
      <c r="UQF23" s="21"/>
      <c r="UQG23" s="21"/>
      <c r="UQH23" s="21"/>
      <c r="UQI23" s="21"/>
      <c r="UQJ23" s="21"/>
      <c r="UQK23" s="21"/>
      <c r="UQL23" s="21"/>
      <c r="UQM23" s="21"/>
      <c r="UQN23" s="21"/>
      <c r="UQO23" s="21"/>
      <c r="UQP23" s="21"/>
      <c r="UQQ23" s="21"/>
      <c r="UQR23" s="21"/>
      <c r="UQS23" s="21"/>
      <c r="UQT23" s="21"/>
      <c r="UQU23" s="21"/>
      <c r="UQV23" s="21"/>
      <c r="UQW23" s="21"/>
      <c r="UQX23" s="21"/>
      <c r="UQY23" s="21"/>
      <c r="UQZ23" s="21"/>
      <c r="URA23" s="21"/>
      <c r="URB23" s="21"/>
      <c r="URC23" s="21"/>
      <c r="URD23" s="21"/>
      <c r="URE23" s="21"/>
      <c r="URF23" s="21"/>
      <c r="URG23" s="21"/>
      <c r="URH23" s="21"/>
      <c r="URI23" s="21"/>
      <c r="URJ23" s="21"/>
      <c r="URK23" s="21"/>
      <c r="URL23" s="21"/>
      <c r="URM23" s="21"/>
      <c r="URN23" s="21"/>
      <c r="URO23" s="21"/>
      <c r="URP23" s="21"/>
      <c r="URQ23" s="21"/>
      <c r="URR23" s="21"/>
      <c r="URS23" s="21"/>
      <c r="URT23" s="21"/>
      <c r="URU23" s="21"/>
      <c r="URV23" s="21"/>
      <c r="URW23" s="21"/>
      <c r="URX23" s="21"/>
      <c r="URY23" s="21"/>
      <c r="URZ23" s="21"/>
      <c r="USA23" s="21"/>
      <c r="USB23" s="21"/>
      <c r="USC23" s="21"/>
      <c r="USD23" s="21"/>
      <c r="USE23" s="21"/>
      <c r="USF23" s="21"/>
      <c r="USG23" s="21"/>
      <c r="USH23" s="21"/>
      <c r="USI23" s="21"/>
      <c r="USJ23" s="21"/>
      <c r="USK23" s="21"/>
      <c r="USL23" s="21"/>
      <c r="USM23" s="21"/>
      <c r="USN23" s="21"/>
      <c r="USO23" s="21"/>
      <c r="USP23" s="21"/>
      <c r="USQ23" s="21"/>
      <c r="USR23" s="21"/>
      <c r="USS23" s="21"/>
      <c r="UST23" s="21"/>
      <c r="USU23" s="21"/>
      <c r="USV23" s="21"/>
      <c r="USW23" s="21"/>
      <c r="USX23" s="21"/>
      <c r="USY23" s="21"/>
      <c r="USZ23" s="21"/>
      <c r="UTA23" s="21"/>
      <c r="UTB23" s="21"/>
      <c r="UTC23" s="21"/>
      <c r="UTD23" s="21"/>
      <c r="UTE23" s="21"/>
      <c r="UTF23" s="21"/>
      <c r="UTG23" s="21"/>
      <c r="UTH23" s="21"/>
      <c r="UTI23" s="21"/>
      <c r="UTJ23" s="21"/>
      <c r="UTK23" s="21"/>
      <c r="UTL23" s="21"/>
      <c r="UTM23" s="21"/>
      <c r="UTN23" s="21"/>
      <c r="UTO23" s="21"/>
      <c r="UTP23" s="21"/>
      <c r="UTQ23" s="21"/>
      <c r="UTR23" s="21"/>
      <c r="UTS23" s="21"/>
      <c r="UTT23" s="21"/>
      <c r="UTU23" s="21"/>
      <c r="UTV23" s="21"/>
      <c r="UTW23" s="21"/>
      <c r="UTX23" s="21"/>
      <c r="UTY23" s="21"/>
      <c r="UTZ23" s="21"/>
      <c r="UUA23" s="21"/>
      <c r="UUB23" s="21"/>
      <c r="UUC23" s="21"/>
      <c r="UUD23" s="21"/>
      <c r="UUE23" s="21"/>
      <c r="UUF23" s="21"/>
      <c r="UUG23" s="21"/>
      <c r="UUH23" s="21"/>
      <c r="UUI23" s="21"/>
      <c r="UUJ23" s="21"/>
      <c r="UUK23" s="21"/>
      <c r="UUL23" s="21"/>
      <c r="UUM23" s="21"/>
      <c r="UUN23" s="21"/>
      <c r="UUO23" s="21"/>
      <c r="UUP23" s="21"/>
      <c r="UUQ23" s="21"/>
      <c r="UUR23" s="21"/>
      <c r="UUS23" s="21"/>
      <c r="UUT23" s="21"/>
      <c r="UUU23" s="21"/>
      <c r="UUV23" s="21"/>
      <c r="UUW23" s="21"/>
      <c r="UUX23" s="21"/>
      <c r="UUY23" s="21"/>
      <c r="UUZ23" s="21"/>
      <c r="UVA23" s="21"/>
      <c r="UVB23" s="21"/>
      <c r="UVC23" s="21"/>
      <c r="UVD23" s="21"/>
      <c r="UVE23" s="21"/>
      <c r="UVF23" s="21"/>
      <c r="UVG23" s="21"/>
      <c r="UVH23" s="21"/>
      <c r="UVI23" s="21"/>
      <c r="UVJ23" s="21"/>
      <c r="UVK23" s="21"/>
      <c r="UVL23" s="21"/>
      <c r="UVM23" s="21"/>
      <c r="UVN23" s="21"/>
      <c r="UVO23" s="21"/>
      <c r="UVP23" s="21"/>
      <c r="UVQ23" s="21"/>
      <c r="UVR23" s="21"/>
      <c r="UVS23" s="21"/>
      <c r="UVT23" s="21"/>
      <c r="UVU23" s="21"/>
      <c r="UVV23" s="21"/>
      <c r="UVW23" s="21"/>
      <c r="UVX23" s="21"/>
      <c r="UVY23" s="21"/>
      <c r="UVZ23" s="21"/>
      <c r="UWA23" s="21"/>
      <c r="UWB23" s="21"/>
      <c r="UWC23" s="21"/>
      <c r="UWD23" s="21"/>
      <c r="UWE23" s="21"/>
      <c r="UWF23" s="21"/>
      <c r="UWG23" s="21"/>
      <c r="UWH23" s="21"/>
      <c r="UWI23" s="21"/>
      <c r="UWJ23" s="21"/>
      <c r="UWK23" s="21"/>
      <c r="UWL23" s="21"/>
      <c r="UWM23" s="21"/>
      <c r="UWN23" s="21"/>
      <c r="UWO23" s="21"/>
      <c r="UWP23" s="21"/>
      <c r="UWQ23" s="21"/>
      <c r="UWR23" s="21"/>
      <c r="UWS23" s="21"/>
      <c r="UWT23" s="21"/>
      <c r="UWU23" s="21"/>
      <c r="UWV23" s="21"/>
      <c r="UWW23" s="21"/>
      <c r="UWX23" s="21"/>
      <c r="UWY23" s="21"/>
      <c r="UWZ23" s="21"/>
      <c r="UXA23" s="21"/>
      <c r="UXB23" s="21"/>
      <c r="UXC23" s="21"/>
      <c r="UXD23" s="21"/>
      <c r="UXE23" s="21"/>
      <c r="UXF23" s="21"/>
      <c r="UXG23" s="21"/>
      <c r="UXH23" s="21"/>
      <c r="UXI23" s="21"/>
      <c r="UXJ23" s="21"/>
      <c r="UXK23" s="21"/>
      <c r="UXL23" s="21"/>
      <c r="UXM23" s="21"/>
      <c r="UXN23" s="21"/>
      <c r="UXO23" s="21"/>
      <c r="UXP23" s="21"/>
      <c r="UXQ23" s="21"/>
      <c r="UXR23" s="21"/>
      <c r="UXS23" s="21"/>
      <c r="UXT23" s="21"/>
      <c r="UXU23" s="21"/>
      <c r="UXV23" s="21"/>
      <c r="UXW23" s="21"/>
      <c r="UXX23" s="21"/>
      <c r="UXY23" s="21"/>
      <c r="UXZ23" s="21"/>
      <c r="UYA23" s="21"/>
      <c r="UYB23" s="21"/>
      <c r="UYC23" s="21"/>
      <c r="UYD23" s="21"/>
      <c r="UYE23" s="21"/>
      <c r="UYF23" s="21"/>
      <c r="UYG23" s="21"/>
      <c r="UYH23" s="21"/>
      <c r="UYI23" s="21"/>
      <c r="UYJ23" s="21"/>
      <c r="UYK23" s="21"/>
      <c r="UYL23" s="21"/>
      <c r="UYM23" s="21"/>
      <c r="UYN23" s="21"/>
      <c r="UYO23" s="21"/>
      <c r="UYP23" s="21"/>
      <c r="UYQ23" s="21"/>
      <c r="UYR23" s="21"/>
      <c r="UYS23" s="21"/>
      <c r="UYT23" s="21"/>
      <c r="UYU23" s="21"/>
      <c r="UYV23" s="21"/>
      <c r="UYW23" s="21"/>
      <c r="UYX23" s="21"/>
      <c r="UYY23" s="21"/>
      <c r="UYZ23" s="21"/>
      <c r="UZA23" s="21"/>
      <c r="UZB23" s="21"/>
      <c r="UZC23" s="21"/>
      <c r="UZD23" s="21"/>
      <c r="UZE23" s="21"/>
      <c r="UZF23" s="21"/>
      <c r="UZG23" s="21"/>
      <c r="UZH23" s="21"/>
      <c r="UZI23" s="21"/>
      <c r="UZJ23" s="21"/>
      <c r="UZK23" s="21"/>
      <c r="UZL23" s="21"/>
      <c r="UZM23" s="21"/>
      <c r="UZN23" s="21"/>
      <c r="UZO23" s="21"/>
      <c r="UZP23" s="21"/>
      <c r="UZQ23" s="21"/>
      <c r="UZR23" s="21"/>
      <c r="UZS23" s="21"/>
      <c r="UZT23" s="21"/>
      <c r="UZU23" s="21"/>
      <c r="UZV23" s="21"/>
      <c r="UZW23" s="21"/>
      <c r="UZX23" s="21"/>
      <c r="UZY23" s="21"/>
      <c r="UZZ23" s="21"/>
      <c r="VAA23" s="21"/>
      <c r="VAB23" s="21"/>
      <c r="VAC23" s="21"/>
      <c r="VAD23" s="21"/>
      <c r="VAE23" s="21"/>
      <c r="VAF23" s="21"/>
      <c r="VAG23" s="21"/>
      <c r="VAH23" s="21"/>
      <c r="VAI23" s="21"/>
      <c r="VAJ23" s="21"/>
      <c r="VAK23" s="21"/>
      <c r="VAL23" s="21"/>
      <c r="VAM23" s="21"/>
      <c r="VAN23" s="21"/>
      <c r="VAO23" s="21"/>
      <c r="VAP23" s="21"/>
      <c r="VAQ23" s="21"/>
      <c r="VAR23" s="21"/>
      <c r="VAS23" s="21"/>
      <c r="VAT23" s="21"/>
      <c r="VAU23" s="21"/>
      <c r="VAV23" s="21"/>
      <c r="VAW23" s="21"/>
      <c r="VAX23" s="21"/>
      <c r="VAY23" s="21"/>
      <c r="VAZ23" s="21"/>
      <c r="VBA23" s="21"/>
      <c r="VBB23" s="21"/>
      <c r="VBC23" s="21"/>
      <c r="VBD23" s="21"/>
      <c r="VBE23" s="21"/>
      <c r="VBF23" s="21"/>
      <c r="VBG23" s="21"/>
      <c r="VBH23" s="21"/>
      <c r="VBI23" s="21"/>
      <c r="VBJ23" s="21"/>
      <c r="VBK23" s="21"/>
      <c r="VBL23" s="21"/>
      <c r="VBM23" s="21"/>
      <c r="VBN23" s="21"/>
      <c r="VBO23" s="21"/>
      <c r="VBP23" s="21"/>
      <c r="VBQ23" s="21"/>
      <c r="VBR23" s="21"/>
      <c r="VBS23" s="21"/>
      <c r="VBT23" s="21"/>
      <c r="VBU23" s="21"/>
      <c r="VBV23" s="21"/>
      <c r="VBW23" s="21"/>
      <c r="VBX23" s="21"/>
      <c r="VBY23" s="21"/>
      <c r="VBZ23" s="21"/>
      <c r="VCA23" s="21"/>
      <c r="VCB23" s="21"/>
      <c r="VCC23" s="21"/>
      <c r="VCD23" s="21"/>
      <c r="VCE23" s="21"/>
      <c r="VCF23" s="21"/>
      <c r="VCG23" s="21"/>
      <c r="VCH23" s="21"/>
      <c r="VCI23" s="21"/>
      <c r="VCJ23" s="21"/>
      <c r="VCK23" s="21"/>
      <c r="VCL23" s="21"/>
      <c r="VCM23" s="21"/>
      <c r="VCN23" s="21"/>
      <c r="VCO23" s="21"/>
      <c r="VCP23" s="21"/>
      <c r="VCQ23" s="21"/>
      <c r="VCR23" s="21"/>
      <c r="VCS23" s="21"/>
      <c r="VCT23" s="21"/>
      <c r="VCU23" s="21"/>
      <c r="VCV23" s="21"/>
      <c r="VCW23" s="21"/>
      <c r="VCX23" s="21"/>
      <c r="VCY23" s="21"/>
      <c r="VCZ23" s="21"/>
      <c r="VDA23" s="21"/>
      <c r="VDB23" s="21"/>
      <c r="VDC23" s="21"/>
      <c r="VDD23" s="21"/>
      <c r="VDE23" s="21"/>
      <c r="VDF23" s="21"/>
      <c r="VDG23" s="21"/>
      <c r="VDH23" s="21"/>
      <c r="VDI23" s="21"/>
      <c r="VDJ23" s="21"/>
      <c r="VDK23" s="21"/>
      <c r="VDL23" s="21"/>
      <c r="VDM23" s="21"/>
      <c r="VDN23" s="21"/>
      <c r="VDO23" s="21"/>
      <c r="VDP23" s="21"/>
      <c r="VDQ23" s="21"/>
      <c r="VDR23" s="21"/>
      <c r="VDS23" s="21"/>
      <c r="VDT23" s="21"/>
      <c r="VDU23" s="21"/>
      <c r="VDV23" s="21"/>
      <c r="VDW23" s="21"/>
      <c r="VDX23" s="21"/>
      <c r="VDY23" s="21"/>
      <c r="VDZ23" s="21"/>
      <c r="VEA23" s="21"/>
      <c r="VEB23" s="21"/>
      <c r="VEC23" s="21"/>
      <c r="VED23" s="21"/>
      <c r="VEE23" s="21"/>
      <c r="VEF23" s="21"/>
      <c r="VEG23" s="21"/>
      <c r="VEH23" s="21"/>
      <c r="VEI23" s="21"/>
      <c r="VEJ23" s="21"/>
      <c r="VEK23" s="21"/>
      <c r="VEL23" s="21"/>
      <c r="VEM23" s="21"/>
      <c r="VEN23" s="21"/>
      <c r="VEO23" s="21"/>
      <c r="VEP23" s="21"/>
      <c r="VEQ23" s="21"/>
      <c r="VER23" s="21"/>
      <c r="VES23" s="21"/>
      <c r="VET23" s="21"/>
      <c r="VEU23" s="21"/>
      <c r="VEV23" s="21"/>
      <c r="VEW23" s="21"/>
      <c r="VEX23" s="21"/>
      <c r="VEY23" s="21"/>
      <c r="VEZ23" s="21"/>
      <c r="VFA23" s="21"/>
      <c r="VFB23" s="21"/>
      <c r="VFC23" s="21"/>
      <c r="VFD23" s="21"/>
      <c r="VFE23" s="21"/>
      <c r="VFF23" s="21"/>
      <c r="VFG23" s="21"/>
      <c r="VFH23" s="21"/>
      <c r="VFI23" s="21"/>
      <c r="VFJ23" s="21"/>
      <c r="VFK23" s="21"/>
      <c r="VFL23" s="21"/>
      <c r="VFM23" s="21"/>
      <c r="VFN23" s="21"/>
      <c r="VFO23" s="21"/>
      <c r="VFP23" s="21"/>
      <c r="VFQ23" s="21"/>
      <c r="VFR23" s="21"/>
      <c r="VFS23" s="21"/>
      <c r="VFT23" s="21"/>
      <c r="VFU23" s="21"/>
      <c r="VFV23" s="21"/>
      <c r="VFW23" s="21"/>
      <c r="VFX23" s="21"/>
      <c r="VFY23" s="21"/>
      <c r="VFZ23" s="21"/>
      <c r="VGA23" s="21"/>
      <c r="VGB23" s="21"/>
      <c r="VGC23" s="21"/>
      <c r="VGD23" s="21"/>
      <c r="VGE23" s="21"/>
      <c r="VGF23" s="21"/>
      <c r="VGG23" s="21"/>
      <c r="VGH23" s="21"/>
      <c r="VGI23" s="21"/>
      <c r="VGJ23" s="21"/>
      <c r="VGK23" s="21"/>
      <c r="VGL23" s="21"/>
      <c r="VGM23" s="21"/>
      <c r="VGN23" s="21"/>
      <c r="VGO23" s="21"/>
      <c r="VGP23" s="21"/>
      <c r="VGQ23" s="21"/>
      <c r="VGR23" s="21"/>
      <c r="VGS23" s="21"/>
      <c r="VGT23" s="21"/>
      <c r="VGU23" s="21"/>
      <c r="VGV23" s="21"/>
      <c r="VGW23" s="21"/>
      <c r="VGX23" s="21"/>
      <c r="VGY23" s="21"/>
      <c r="VGZ23" s="21"/>
      <c r="VHA23" s="21"/>
      <c r="VHB23" s="21"/>
      <c r="VHC23" s="21"/>
      <c r="VHD23" s="21"/>
      <c r="VHE23" s="21"/>
      <c r="VHF23" s="21"/>
      <c r="VHG23" s="21"/>
      <c r="VHH23" s="21"/>
      <c r="VHI23" s="21"/>
      <c r="VHJ23" s="21"/>
      <c r="VHK23" s="21"/>
      <c r="VHL23" s="21"/>
      <c r="VHM23" s="21"/>
      <c r="VHN23" s="21"/>
      <c r="VHO23" s="21"/>
      <c r="VHP23" s="21"/>
      <c r="VHQ23" s="21"/>
      <c r="VHR23" s="21"/>
      <c r="VHS23" s="21"/>
      <c r="VHT23" s="21"/>
      <c r="VHU23" s="21"/>
      <c r="VHV23" s="21"/>
      <c r="VHW23" s="21"/>
      <c r="VHX23" s="21"/>
      <c r="VHY23" s="21"/>
      <c r="VHZ23" s="21"/>
      <c r="VIA23" s="21"/>
      <c r="VIB23" s="21"/>
      <c r="VIC23" s="21"/>
      <c r="VID23" s="21"/>
      <c r="VIE23" s="21"/>
      <c r="VIF23" s="21"/>
      <c r="VIG23" s="21"/>
      <c r="VIH23" s="21"/>
      <c r="VII23" s="21"/>
      <c r="VIJ23" s="21"/>
      <c r="VIK23" s="21"/>
      <c r="VIL23" s="21"/>
      <c r="VIM23" s="21"/>
      <c r="VIN23" s="21"/>
      <c r="VIO23" s="21"/>
      <c r="VIP23" s="21"/>
      <c r="VIQ23" s="21"/>
      <c r="VIR23" s="21"/>
      <c r="VIS23" s="21"/>
      <c r="VIT23" s="21"/>
      <c r="VIU23" s="21"/>
      <c r="VIV23" s="21"/>
      <c r="VIW23" s="21"/>
      <c r="VIX23" s="21"/>
      <c r="VIY23" s="21"/>
      <c r="VIZ23" s="21"/>
      <c r="VJA23" s="21"/>
      <c r="VJB23" s="21"/>
      <c r="VJC23" s="21"/>
      <c r="VJD23" s="21"/>
      <c r="VJE23" s="21"/>
      <c r="VJF23" s="21"/>
      <c r="VJG23" s="21"/>
      <c r="VJH23" s="21"/>
      <c r="VJI23" s="21"/>
      <c r="VJJ23" s="21"/>
      <c r="VJK23" s="21"/>
      <c r="VJL23" s="21"/>
      <c r="VJM23" s="21"/>
      <c r="VJN23" s="21"/>
      <c r="VJO23" s="21"/>
      <c r="VJP23" s="21"/>
      <c r="VJQ23" s="21"/>
      <c r="VJR23" s="21"/>
      <c r="VJS23" s="21"/>
      <c r="VJT23" s="21"/>
      <c r="VJU23" s="21"/>
      <c r="VJV23" s="21"/>
      <c r="VJW23" s="21"/>
      <c r="VJX23" s="21"/>
      <c r="VJY23" s="21"/>
      <c r="VJZ23" s="21"/>
      <c r="VKA23" s="21"/>
      <c r="VKB23" s="21"/>
      <c r="VKC23" s="21"/>
      <c r="VKD23" s="21"/>
      <c r="VKE23" s="21"/>
      <c r="VKF23" s="21"/>
      <c r="VKG23" s="21"/>
      <c r="VKH23" s="21"/>
      <c r="VKI23" s="21"/>
      <c r="VKJ23" s="21"/>
      <c r="VKK23" s="21"/>
      <c r="VKL23" s="21"/>
      <c r="VKM23" s="21"/>
      <c r="VKN23" s="21"/>
      <c r="VKO23" s="21"/>
      <c r="VKP23" s="21"/>
      <c r="VKQ23" s="21"/>
      <c r="VKR23" s="21"/>
      <c r="VKS23" s="21"/>
      <c r="VKT23" s="21"/>
      <c r="VKU23" s="21"/>
      <c r="VKV23" s="21"/>
      <c r="VKW23" s="21"/>
      <c r="VKX23" s="21"/>
      <c r="VKY23" s="21"/>
      <c r="VKZ23" s="21"/>
      <c r="VLA23" s="21"/>
      <c r="VLB23" s="21"/>
      <c r="VLC23" s="21"/>
      <c r="VLD23" s="21"/>
      <c r="VLE23" s="21"/>
      <c r="VLF23" s="21"/>
      <c r="VLG23" s="21"/>
      <c r="VLH23" s="21"/>
      <c r="VLI23" s="21"/>
      <c r="VLJ23" s="21"/>
      <c r="VLK23" s="21"/>
      <c r="VLL23" s="21"/>
      <c r="VLM23" s="21"/>
      <c r="VLN23" s="21"/>
      <c r="VLO23" s="21"/>
      <c r="VLP23" s="21"/>
      <c r="VLQ23" s="21"/>
      <c r="VLR23" s="21"/>
      <c r="VLS23" s="21"/>
      <c r="VLT23" s="21"/>
      <c r="VLU23" s="21"/>
      <c r="VLV23" s="21"/>
      <c r="VLW23" s="21"/>
      <c r="VLX23" s="21"/>
      <c r="VLY23" s="21"/>
      <c r="VLZ23" s="21"/>
      <c r="VMA23" s="21"/>
      <c r="VMB23" s="21"/>
      <c r="VMC23" s="21"/>
      <c r="VMD23" s="21"/>
      <c r="VME23" s="21"/>
      <c r="VMF23" s="21"/>
      <c r="VMG23" s="21"/>
      <c r="VMH23" s="21"/>
      <c r="VMI23" s="21"/>
      <c r="VMJ23" s="21"/>
      <c r="VMK23" s="21"/>
      <c r="VML23" s="21"/>
      <c r="VMM23" s="21"/>
      <c r="VMN23" s="21"/>
      <c r="VMO23" s="21"/>
      <c r="VMP23" s="21"/>
      <c r="VMQ23" s="21"/>
      <c r="VMR23" s="21"/>
      <c r="VMS23" s="21"/>
      <c r="VMT23" s="21"/>
      <c r="VMU23" s="21"/>
      <c r="VMV23" s="21"/>
      <c r="VMW23" s="21"/>
      <c r="VMX23" s="21"/>
      <c r="VMY23" s="21"/>
      <c r="VMZ23" s="21"/>
      <c r="VNA23" s="21"/>
      <c r="VNB23" s="21"/>
      <c r="VNC23" s="21"/>
      <c r="VND23" s="21"/>
      <c r="VNE23" s="21"/>
      <c r="VNF23" s="21"/>
      <c r="VNG23" s="21"/>
      <c r="VNH23" s="21"/>
      <c r="VNI23" s="21"/>
      <c r="VNJ23" s="21"/>
      <c r="VNK23" s="21"/>
      <c r="VNL23" s="21"/>
      <c r="VNM23" s="21"/>
      <c r="VNN23" s="21"/>
      <c r="VNO23" s="21"/>
      <c r="VNP23" s="21"/>
      <c r="VNQ23" s="21"/>
      <c r="VNR23" s="21"/>
      <c r="VNS23" s="21"/>
      <c r="VNT23" s="21"/>
      <c r="VNU23" s="21"/>
      <c r="VNV23" s="21"/>
      <c r="VNW23" s="21"/>
      <c r="VNX23" s="21"/>
      <c r="VNY23" s="21"/>
      <c r="VNZ23" s="21"/>
      <c r="VOA23" s="21"/>
      <c r="VOB23" s="21"/>
      <c r="VOC23" s="21"/>
      <c r="VOD23" s="21"/>
      <c r="VOE23" s="21"/>
      <c r="VOF23" s="21"/>
      <c r="VOG23" s="21"/>
      <c r="VOH23" s="21"/>
      <c r="VOI23" s="21"/>
      <c r="VOJ23" s="21"/>
      <c r="VOK23" s="21"/>
      <c r="VOL23" s="21"/>
      <c r="VOM23" s="21"/>
      <c r="VON23" s="21"/>
      <c r="VOO23" s="21"/>
      <c r="VOP23" s="21"/>
      <c r="VOQ23" s="21"/>
      <c r="VOR23" s="21"/>
      <c r="VOS23" s="21"/>
      <c r="VOT23" s="21"/>
      <c r="VOU23" s="21"/>
      <c r="VOV23" s="21"/>
      <c r="VOW23" s="21"/>
      <c r="VOX23" s="21"/>
      <c r="VOY23" s="21"/>
      <c r="VOZ23" s="21"/>
      <c r="VPA23" s="21"/>
      <c r="VPB23" s="21"/>
      <c r="VPC23" s="21"/>
      <c r="VPD23" s="21"/>
      <c r="VPE23" s="21"/>
      <c r="VPF23" s="21"/>
      <c r="VPG23" s="21"/>
      <c r="VPH23" s="21"/>
      <c r="VPI23" s="21"/>
      <c r="VPJ23" s="21"/>
      <c r="VPK23" s="21"/>
      <c r="VPL23" s="21"/>
      <c r="VPM23" s="21"/>
      <c r="VPN23" s="21"/>
      <c r="VPO23" s="21"/>
      <c r="VPP23" s="21"/>
      <c r="VPQ23" s="21"/>
      <c r="VPR23" s="21"/>
      <c r="VPS23" s="21"/>
      <c r="VPT23" s="21"/>
      <c r="VPU23" s="21"/>
      <c r="VPV23" s="21"/>
      <c r="VPW23" s="21"/>
      <c r="VPX23" s="21"/>
      <c r="VPY23" s="21"/>
      <c r="VPZ23" s="21"/>
      <c r="VQA23" s="21"/>
      <c r="VQB23" s="21"/>
      <c r="VQC23" s="21"/>
      <c r="VQD23" s="21"/>
      <c r="VQE23" s="21"/>
      <c r="VQF23" s="21"/>
      <c r="VQG23" s="21"/>
      <c r="VQH23" s="21"/>
      <c r="VQI23" s="21"/>
      <c r="VQJ23" s="21"/>
      <c r="VQK23" s="21"/>
      <c r="VQL23" s="21"/>
      <c r="VQM23" s="21"/>
      <c r="VQN23" s="21"/>
      <c r="VQO23" s="21"/>
      <c r="VQP23" s="21"/>
      <c r="VQQ23" s="21"/>
      <c r="VQR23" s="21"/>
      <c r="VQS23" s="21"/>
      <c r="VQT23" s="21"/>
      <c r="VQU23" s="21"/>
      <c r="VQV23" s="21"/>
      <c r="VQW23" s="21"/>
      <c r="VQX23" s="21"/>
      <c r="VQY23" s="21"/>
      <c r="VQZ23" s="21"/>
      <c r="VRA23" s="21"/>
      <c r="VRB23" s="21"/>
      <c r="VRC23" s="21"/>
      <c r="VRD23" s="21"/>
      <c r="VRE23" s="21"/>
      <c r="VRF23" s="21"/>
      <c r="VRG23" s="21"/>
      <c r="VRH23" s="21"/>
      <c r="VRI23" s="21"/>
      <c r="VRJ23" s="21"/>
      <c r="VRK23" s="21"/>
      <c r="VRL23" s="21"/>
      <c r="VRM23" s="21"/>
      <c r="VRN23" s="21"/>
      <c r="VRO23" s="21"/>
      <c r="VRP23" s="21"/>
      <c r="VRQ23" s="21"/>
      <c r="VRR23" s="21"/>
      <c r="VRS23" s="21"/>
      <c r="VRT23" s="21"/>
      <c r="VRU23" s="21"/>
      <c r="VRV23" s="21"/>
      <c r="VRW23" s="21"/>
      <c r="VRX23" s="21"/>
      <c r="VRY23" s="21"/>
      <c r="VRZ23" s="21"/>
      <c r="VSA23" s="21"/>
      <c r="VSB23" s="21"/>
      <c r="VSC23" s="21"/>
      <c r="VSD23" s="21"/>
      <c r="VSE23" s="21"/>
      <c r="VSF23" s="21"/>
      <c r="VSG23" s="21"/>
      <c r="VSH23" s="21"/>
      <c r="VSI23" s="21"/>
      <c r="VSJ23" s="21"/>
      <c r="VSK23" s="21"/>
      <c r="VSL23" s="21"/>
      <c r="VSM23" s="21"/>
      <c r="VSN23" s="21"/>
      <c r="VSO23" s="21"/>
      <c r="VSP23" s="21"/>
      <c r="VSQ23" s="21"/>
      <c r="VSR23" s="21"/>
      <c r="VSS23" s="21"/>
      <c r="VST23" s="21"/>
      <c r="VSU23" s="21"/>
      <c r="VSV23" s="21"/>
      <c r="VSW23" s="21"/>
      <c r="VSX23" s="21"/>
      <c r="VSY23" s="21"/>
      <c r="VSZ23" s="21"/>
      <c r="VTA23" s="21"/>
      <c r="VTB23" s="21"/>
      <c r="VTC23" s="21"/>
      <c r="VTD23" s="21"/>
      <c r="VTE23" s="21"/>
      <c r="VTF23" s="21"/>
      <c r="VTG23" s="21"/>
      <c r="VTH23" s="21"/>
      <c r="VTI23" s="21"/>
      <c r="VTJ23" s="21"/>
      <c r="VTK23" s="21"/>
      <c r="VTL23" s="21"/>
      <c r="VTM23" s="21"/>
      <c r="VTN23" s="21"/>
      <c r="VTO23" s="21"/>
      <c r="VTP23" s="21"/>
      <c r="VTQ23" s="21"/>
      <c r="VTR23" s="21"/>
      <c r="VTS23" s="21"/>
      <c r="VTT23" s="21"/>
      <c r="VTU23" s="21"/>
      <c r="VTV23" s="21"/>
      <c r="VTW23" s="21"/>
      <c r="VTX23" s="21"/>
      <c r="VTY23" s="21"/>
      <c r="VTZ23" s="21"/>
      <c r="VUA23" s="21"/>
      <c r="VUB23" s="21"/>
      <c r="VUC23" s="21"/>
      <c r="VUD23" s="21"/>
      <c r="VUE23" s="21"/>
      <c r="VUF23" s="21"/>
      <c r="VUG23" s="21"/>
      <c r="VUH23" s="21"/>
      <c r="VUI23" s="21"/>
      <c r="VUJ23" s="21"/>
      <c r="VUK23" s="21"/>
      <c r="VUL23" s="21"/>
      <c r="VUM23" s="21"/>
      <c r="VUN23" s="21"/>
      <c r="VUO23" s="21"/>
      <c r="VUP23" s="21"/>
      <c r="VUQ23" s="21"/>
      <c r="VUR23" s="21"/>
      <c r="VUS23" s="21"/>
      <c r="VUT23" s="21"/>
      <c r="VUU23" s="21"/>
      <c r="VUV23" s="21"/>
      <c r="VUW23" s="21"/>
      <c r="VUX23" s="21"/>
      <c r="VUY23" s="21"/>
      <c r="VUZ23" s="21"/>
      <c r="VVA23" s="21"/>
      <c r="VVB23" s="21"/>
      <c r="VVC23" s="21"/>
      <c r="VVD23" s="21"/>
      <c r="VVE23" s="21"/>
      <c r="VVF23" s="21"/>
      <c r="VVG23" s="21"/>
      <c r="VVH23" s="21"/>
      <c r="VVI23" s="21"/>
      <c r="VVJ23" s="21"/>
      <c r="VVK23" s="21"/>
      <c r="VVL23" s="21"/>
      <c r="VVM23" s="21"/>
      <c r="VVN23" s="21"/>
      <c r="VVO23" s="21"/>
      <c r="VVP23" s="21"/>
      <c r="VVQ23" s="21"/>
      <c r="VVR23" s="21"/>
      <c r="VVS23" s="21"/>
      <c r="VVT23" s="21"/>
      <c r="VVU23" s="21"/>
      <c r="VVV23" s="21"/>
      <c r="VVW23" s="21"/>
      <c r="VVX23" s="21"/>
      <c r="VVY23" s="21"/>
      <c r="VVZ23" s="21"/>
      <c r="VWA23" s="21"/>
      <c r="VWB23" s="21"/>
      <c r="VWC23" s="21"/>
      <c r="VWD23" s="21"/>
      <c r="VWE23" s="21"/>
      <c r="VWF23" s="21"/>
      <c r="VWG23" s="21"/>
      <c r="VWH23" s="21"/>
      <c r="VWI23" s="21"/>
      <c r="VWJ23" s="21"/>
      <c r="VWK23" s="21"/>
      <c r="VWL23" s="21"/>
      <c r="VWM23" s="21"/>
      <c r="VWN23" s="21"/>
      <c r="VWO23" s="21"/>
      <c r="VWP23" s="21"/>
      <c r="VWQ23" s="21"/>
      <c r="VWR23" s="21"/>
      <c r="VWS23" s="21"/>
      <c r="VWT23" s="21"/>
      <c r="VWU23" s="21"/>
      <c r="VWV23" s="21"/>
      <c r="VWW23" s="21"/>
      <c r="VWX23" s="21"/>
      <c r="VWY23" s="21"/>
      <c r="VWZ23" s="21"/>
      <c r="VXA23" s="21"/>
      <c r="VXB23" s="21"/>
      <c r="VXC23" s="21"/>
      <c r="VXD23" s="21"/>
      <c r="VXE23" s="21"/>
      <c r="VXF23" s="21"/>
      <c r="VXG23" s="21"/>
      <c r="VXH23" s="21"/>
      <c r="VXI23" s="21"/>
      <c r="VXJ23" s="21"/>
      <c r="VXK23" s="21"/>
      <c r="VXL23" s="21"/>
      <c r="VXM23" s="21"/>
      <c r="VXN23" s="21"/>
      <c r="VXO23" s="21"/>
      <c r="VXP23" s="21"/>
      <c r="VXQ23" s="21"/>
      <c r="VXR23" s="21"/>
      <c r="VXS23" s="21"/>
      <c r="VXT23" s="21"/>
      <c r="VXU23" s="21"/>
      <c r="VXV23" s="21"/>
      <c r="VXW23" s="21"/>
      <c r="VXX23" s="21"/>
      <c r="VXY23" s="21"/>
      <c r="VXZ23" s="21"/>
      <c r="VYA23" s="21"/>
      <c r="VYB23" s="21"/>
      <c r="VYC23" s="21"/>
      <c r="VYD23" s="21"/>
      <c r="VYE23" s="21"/>
      <c r="VYF23" s="21"/>
      <c r="VYG23" s="21"/>
      <c r="VYH23" s="21"/>
      <c r="VYI23" s="21"/>
      <c r="VYJ23" s="21"/>
      <c r="VYK23" s="21"/>
      <c r="VYL23" s="21"/>
      <c r="VYM23" s="21"/>
      <c r="VYN23" s="21"/>
      <c r="VYO23" s="21"/>
      <c r="VYP23" s="21"/>
      <c r="VYQ23" s="21"/>
      <c r="VYR23" s="21"/>
      <c r="VYS23" s="21"/>
      <c r="VYT23" s="21"/>
      <c r="VYU23" s="21"/>
      <c r="VYV23" s="21"/>
      <c r="VYW23" s="21"/>
      <c r="VYX23" s="21"/>
      <c r="VYY23" s="21"/>
      <c r="VYZ23" s="21"/>
      <c r="VZA23" s="21"/>
      <c r="VZB23" s="21"/>
      <c r="VZC23" s="21"/>
      <c r="VZD23" s="21"/>
      <c r="VZE23" s="21"/>
      <c r="VZF23" s="21"/>
      <c r="VZG23" s="21"/>
      <c r="VZH23" s="21"/>
      <c r="VZI23" s="21"/>
      <c r="VZJ23" s="21"/>
      <c r="VZK23" s="21"/>
      <c r="VZL23" s="21"/>
      <c r="VZM23" s="21"/>
      <c r="VZN23" s="21"/>
      <c r="VZO23" s="21"/>
      <c r="VZP23" s="21"/>
      <c r="VZQ23" s="21"/>
      <c r="VZR23" s="21"/>
      <c r="VZS23" s="21"/>
      <c r="VZT23" s="21"/>
      <c r="VZU23" s="21"/>
      <c r="VZV23" s="21"/>
      <c r="VZW23" s="21"/>
      <c r="VZX23" s="21"/>
      <c r="VZY23" s="21"/>
      <c r="VZZ23" s="21"/>
      <c r="WAA23" s="21"/>
      <c r="WAB23" s="21"/>
      <c r="WAC23" s="21"/>
      <c r="WAD23" s="21"/>
      <c r="WAE23" s="21"/>
      <c r="WAF23" s="21"/>
      <c r="WAG23" s="21"/>
      <c r="WAH23" s="21"/>
      <c r="WAI23" s="21"/>
      <c r="WAJ23" s="21"/>
      <c r="WAK23" s="21"/>
      <c r="WAL23" s="21"/>
      <c r="WAM23" s="21"/>
      <c r="WAN23" s="21"/>
      <c r="WAO23" s="21"/>
      <c r="WAP23" s="21"/>
      <c r="WAQ23" s="21"/>
      <c r="WAR23" s="21"/>
      <c r="WAS23" s="21"/>
      <c r="WAT23" s="21"/>
      <c r="WAU23" s="21"/>
      <c r="WAV23" s="21"/>
      <c r="WAW23" s="21"/>
      <c r="WAX23" s="21"/>
      <c r="WAY23" s="21"/>
      <c r="WAZ23" s="21"/>
      <c r="WBA23" s="21"/>
      <c r="WBB23" s="21"/>
      <c r="WBC23" s="21"/>
      <c r="WBD23" s="21"/>
      <c r="WBE23" s="21"/>
      <c r="WBF23" s="21"/>
      <c r="WBG23" s="21"/>
      <c r="WBH23" s="21"/>
      <c r="WBI23" s="21"/>
      <c r="WBJ23" s="21"/>
      <c r="WBK23" s="21"/>
      <c r="WBL23" s="21"/>
      <c r="WBM23" s="21"/>
      <c r="WBN23" s="21"/>
      <c r="WBO23" s="21"/>
      <c r="WBP23" s="21"/>
      <c r="WBQ23" s="21"/>
      <c r="WBR23" s="21"/>
      <c r="WBS23" s="21"/>
      <c r="WBT23" s="21"/>
      <c r="WBU23" s="21"/>
      <c r="WBV23" s="21"/>
      <c r="WBW23" s="21"/>
      <c r="WBX23" s="21"/>
      <c r="WBY23" s="21"/>
      <c r="WBZ23" s="21"/>
      <c r="WCA23" s="21"/>
      <c r="WCB23" s="21"/>
      <c r="WCC23" s="21"/>
      <c r="WCD23" s="21"/>
      <c r="WCE23" s="21"/>
      <c r="WCF23" s="21"/>
      <c r="WCG23" s="21"/>
      <c r="WCH23" s="21"/>
      <c r="WCI23" s="21"/>
      <c r="WCJ23" s="21"/>
      <c r="WCK23" s="21"/>
      <c r="WCL23" s="21"/>
      <c r="WCM23" s="21"/>
      <c r="WCN23" s="21"/>
      <c r="WCO23" s="21"/>
      <c r="WCP23" s="21"/>
      <c r="WCQ23" s="21"/>
      <c r="WCR23" s="21"/>
      <c r="WCS23" s="21"/>
      <c r="WCT23" s="21"/>
      <c r="WCU23" s="21"/>
      <c r="WCV23" s="21"/>
      <c r="WCW23" s="21"/>
      <c r="WCX23" s="21"/>
      <c r="WCY23" s="21"/>
      <c r="WCZ23" s="21"/>
      <c r="WDA23" s="21"/>
      <c r="WDB23" s="21"/>
      <c r="WDC23" s="21"/>
      <c r="WDD23" s="21"/>
      <c r="WDE23" s="21"/>
      <c r="WDF23" s="21"/>
      <c r="WDG23" s="21"/>
      <c r="WDH23" s="21"/>
      <c r="WDI23" s="21"/>
      <c r="WDJ23" s="21"/>
      <c r="WDK23" s="21"/>
      <c r="WDL23" s="21"/>
      <c r="WDM23" s="21"/>
      <c r="WDN23" s="21"/>
      <c r="WDO23" s="21"/>
      <c r="WDP23" s="21"/>
      <c r="WDQ23" s="21"/>
      <c r="WDR23" s="21"/>
      <c r="WDS23" s="21"/>
      <c r="WDT23" s="21"/>
      <c r="WDU23" s="21"/>
      <c r="WDV23" s="21"/>
      <c r="WDW23" s="21"/>
      <c r="WDX23" s="21"/>
      <c r="WDY23" s="21"/>
      <c r="WDZ23" s="21"/>
      <c r="WEA23" s="21"/>
      <c r="WEB23" s="21"/>
      <c r="WEC23" s="21"/>
      <c r="WED23" s="21"/>
      <c r="WEE23" s="21"/>
      <c r="WEF23" s="21"/>
      <c r="WEG23" s="21"/>
      <c r="WEH23" s="21"/>
      <c r="WEI23" s="21"/>
      <c r="WEJ23" s="21"/>
      <c r="WEK23" s="21"/>
      <c r="WEL23" s="21"/>
      <c r="WEM23" s="21"/>
      <c r="WEN23" s="21"/>
      <c r="WEO23" s="21"/>
      <c r="WEP23" s="21"/>
      <c r="WEQ23" s="21"/>
      <c r="WER23" s="21"/>
      <c r="WES23" s="21"/>
      <c r="WET23" s="21"/>
      <c r="WEU23" s="21"/>
      <c r="WEV23" s="21"/>
      <c r="WEW23" s="21"/>
      <c r="WEX23" s="21"/>
      <c r="WEY23" s="21"/>
      <c r="WEZ23" s="21"/>
      <c r="WFA23" s="21"/>
      <c r="WFB23" s="21"/>
      <c r="WFC23" s="21"/>
      <c r="WFD23" s="21"/>
      <c r="WFE23" s="21"/>
      <c r="WFF23" s="21"/>
      <c r="WFG23" s="21"/>
      <c r="WFH23" s="21"/>
      <c r="WFI23" s="21"/>
      <c r="WFJ23" s="21"/>
      <c r="WFK23" s="21"/>
      <c r="WFL23" s="21"/>
      <c r="WFM23" s="21"/>
      <c r="WFN23" s="21"/>
      <c r="WFO23" s="21"/>
      <c r="WFP23" s="21"/>
      <c r="WFQ23" s="21"/>
      <c r="WFR23" s="21"/>
      <c r="WFS23" s="21"/>
      <c r="WFT23" s="21"/>
      <c r="WFU23" s="21"/>
      <c r="WFV23" s="21"/>
      <c r="WFW23" s="21"/>
      <c r="WFX23" s="21"/>
      <c r="WFY23" s="21"/>
      <c r="WFZ23" s="21"/>
      <c r="WGA23" s="21"/>
      <c r="WGB23" s="21"/>
      <c r="WGC23" s="21"/>
      <c r="WGD23" s="21"/>
      <c r="WGE23" s="21"/>
      <c r="WGF23" s="21"/>
      <c r="WGG23" s="21"/>
      <c r="WGH23" s="21"/>
      <c r="WGI23" s="21"/>
      <c r="WGJ23" s="21"/>
      <c r="WGK23" s="21"/>
      <c r="WGL23" s="21"/>
      <c r="WGM23" s="21"/>
      <c r="WGN23" s="21"/>
      <c r="WGO23" s="21"/>
      <c r="WGP23" s="21"/>
      <c r="WGQ23" s="21"/>
      <c r="WGR23" s="21"/>
      <c r="WGS23" s="21"/>
      <c r="WGT23" s="21"/>
      <c r="WGU23" s="21"/>
      <c r="WGV23" s="21"/>
      <c r="WGW23" s="21"/>
      <c r="WGX23" s="21"/>
      <c r="WGY23" s="21"/>
      <c r="WGZ23" s="21"/>
      <c r="WHA23" s="21"/>
      <c r="WHB23" s="21"/>
      <c r="WHC23" s="21"/>
      <c r="WHD23" s="21"/>
      <c r="WHE23" s="21"/>
      <c r="WHF23" s="21"/>
      <c r="WHG23" s="21"/>
      <c r="WHH23" s="21"/>
      <c r="WHI23" s="21"/>
      <c r="WHJ23" s="21"/>
      <c r="WHK23" s="21"/>
      <c r="WHL23" s="21"/>
      <c r="WHM23" s="21"/>
      <c r="WHN23" s="21"/>
      <c r="WHO23" s="21"/>
      <c r="WHP23" s="21"/>
      <c r="WHQ23" s="21"/>
      <c r="WHR23" s="21"/>
      <c r="WHS23" s="21"/>
      <c r="WHT23" s="21"/>
      <c r="WHU23" s="21"/>
      <c r="WHV23" s="21"/>
      <c r="WHW23" s="21"/>
      <c r="WHX23" s="21"/>
      <c r="WHY23" s="21"/>
      <c r="WHZ23" s="21"/>
      <c r="WIA23" s="21"/>
      <c r="WIB23" s="21"/>
      <c r="WIC23" s="21"/>
      <c r="WID23" s="21"/>
      <c r="WIE23" s="21"/>
      <c r="WIF23" s="21"/>
      <c r="WIG23" s="21"/>
      <c r="WIH23" s="21"/>
      <c r="WII23" s="21"/>
      <c r="WIJ23" s="21"/>
      <c r="WIK23" s="21"/>
      <c r="WIL23" s="21"/>
      <c r="WIM23" s="21"/>
      <c r="WIN23" s="21"/>
      <c r="WIO23" s="21"/>
      <c r="WIP23" s="21"/>
      <c r="WIQ23" s="21"/>
      <c r="WIR23" s="21"/>
      <c r="WIS23" s="21"/>
      <c r="WIT23" s="21"/>
      <c r="WIU23" s="21"/>
      <c r="WIV23" s="21"/>
      <c r="WIW23" s="21"/>
      <c r="WIX23" s="21"/>
      <c r="WIY23" s="21"/>
      <c r="WIZ23" s="21"/>
      <c r="WJA23" s="21"/>
      <c r="WJB23" s="21"/>
      <c r="WJC23" s="21"/>
      <c r="WJD23" s="21"/>
      <c r="WJE23" s="21"/>
      <c r="WJF23" s="21"/>
      <c r="WJG23" s="21"/>
      <c r="WJH23" s="21"/>
      <c r="WJI23" s="21"/>
      <c r="WJJ23" s="21"/>
      <c r="WJK23" s="21"/>
      <c r="WJL23" s="21"/>
      <c r="WJM23" s="21"/>
      <c r="WJN23" s="21"/>
      <c r="WJO23" s="21"/>
      <c r="WJP23" s="21"/>
      <c r="WJQ23" s="21"/>
      <c r="WJR23" s="21"/>
      <c r="WJS23" s="21"/>
      <c r="WJT23" s="21"/>
      <c r="WJU23" s="21"/>
      <c r="WJV23" s="21"/>
      <c r="WJW23" s="21"/>
      <c r="WJX23" s="21"/>
      <c r="WJY23" s="21"/>
      <c r="WJZ23" s="21"/>
      <c r="WKA23" s="21"/>
      <c r="WKB23" s="21"/>
      <c r="WKC23" s="21"/>
      <c r="WKD23" s="21"/>
      <c r="WKE23" s="21"/>
      <c r="WKF23" s="21"/>
      <c r="WKG23" s="21"/>
      <c r="WKH23" s="21"/>
      <c r="WKI23" s="21"/>
      <c r="WKJ23" s="21"/>
      <c r="WKK23" s="21"/>
      <c r="WKL23" s="21"/>
      <c r="WKM23" s="21"/>
      <c r="WKN23" s="21"/>
      <c r="WKO23" s="21"/>
      <c r="WKP23" s="21"/>
      <c r="WKQ23" s="21"/>
      <c r="WKR23" s="21"/>
      <c r="WKS23" s="21"/>
      <c r="WKT23" s="21"/>
      <c r="WKU23" s="21"/>
      <c r="WKV23" s="21"/>
      <c r="WKW23" s="21"/>
      <c r="WKX23" s="21"/>
      <c r="WKY23" s="21"/>
      <c r="WKZ23" s="21"/>
      <c r="WLA23" s="21"/>
      <c r="WLB23" s="21"/>
      <c r="WLC23" s="21"/>
      <c r="WLD23" s="21"/>
      <c r="WLE23" s="21"/>
      <c r="WLF23" s="21"/>
      <c r="WLG23" s="21"/>
      <c r="WLH23" s="21"/>
      <c r="WLI23" s="21"/>
      <c r="WLJ23" s="21"/>
      <c r="WLK23" s="21"/>
      <c r="WLL23" s="21"/>
      <c r="WLM23" s="21"/>
      <c r="WLN23" s="21"/>
      <c r="WLO23" s="21"/>
      <c r="WLP23" s="21"/>
      <c r="WLQ23" s="21"/>
      <c r="WLR23" s="21"/>
      <c r="WLS23" s="21"/>
      <c r="WLT23" s="21"/>
      <c r="WLU23" s="21"/>
      <c r="WLV23" s="21"/>
      <c r="WLW23" s="21"/>
      <c r="WLX23" s="21"/>
      <c r="WLY23" s="21"/>
      <c r="WLZ23" s="21"/>
      <c r="WMA23" s="21"/>
      <c r="WMB23" s="21"/>
      <c r="WMC23" s="21"/>
      <c r="WMD23" s="21"/>
      <c r="WME23" s="21"/>
      <c r="WMF23" s="21"/>
      <c r="WMG23" s="21"/>
      <c r="WMH23" s="21"/>
      <c r="WMI23" s="21"/>
      <c r="WMJ23" s="21"/>
      <c r="WMK23" s="21"/>
      <c r="WML23" s="21"/>
      <c r="WMM23" s="21"/>
      <c r="WMN23" s="21"/>
      <c r="WMO23" s="21"/>
      <c r="WMP23" s="21"/>
      <c r="WMQ23" s="21"/>
      <c r="WMR23" s="21"/>
      <c r="WMS23" s="21"/>
      <c r="WMT23" s="21"/>
      <c r="WMU23" s="21"/>
      <c r="WMV23" s="21"/>
      <c r="WMW23" s="21"/>
      <c r="WMX23" s="21"/>
      <c r="WMY23" s="21"/>
      <c r="WMZ23" s="21"/>
      <c r="WNA23" s="21"/>
      <c r="WNB23" s="21"/>
      <c r="WNC23" s="21"/>
      <c r="WND23" s="21"/>
      <c r="WNE23" s="21"/>
      <c r="WNF23" s="21"/>
      <c r="WNG23" s="21"/>
      <c r="WNH23" s="21"/>
      <c r="WNI23" s="21"/>
      <c r="WNJ23" s="21"/>
      <c r="WNK23" s="21"/>
      <c r="WNL23" s="21"/>
      <c r="WNM23" s="21"/>
      <c r="WNN23" s="21"/>
      <c r="WNO23" s="21"/>
      <c r="WNP23" s="21"/>
      <c r="WNQ23" s="21"/>
      <c r="WNR23" s="21"/>
      <c r="WNS23" s="21"/>
      <c r="WNT23" s="21"/>
      <c r="WNU23" s="21"/>
      <c r="WNV23" s="21"/>
      <c r="WNW23" s="21"/>
      <c r="WNX23" s="21"/>
      <c r="WNY23" s="21"/>
      <c r="WNZ23" s="21"/>
      <c r="WOA23" s="21"/>
      <c r="WOB23" s="21"/>
      <c r="WOC23" s="21"/>
      <c r="WOD23" s="21"/>
      <c r="WOE23" s="21"/>
      <c r="WOF23" s="21"/>
      <c r="WOG23" s="21"/>
      <c r="WOH23" s="21"/>
      <c r="WOI23" s="21"/>
      <c r="WOJ23" s="21"/>
      <c r="WOK23" s="21"/>
      <c r="WOL23" s="21"/>
      <c r="WOM23" s="21"/>
      <c r="WON23" s="21"/>
      <c r="WOO23" s="21"/>
      <c r="WOP23" s="21"/>
      <c r="WOQ23" s="21"/>
      <c r="WOR23" s="21"/>
      <c r="WOS23" s="21"/>
      <c r="WOT23" s="21"/>
      <c r="WOU23" s="21"/>
      <c r="WOV23" s="21"/>
      <c r="WOW23" s="21"/>
      <c r="WOX23" s="21"/>
      <c r="WOY23" s="21"/>
      <c r="WOZ23" s="21"/>
      <c r="WPA23" s="21"/>
      <c r="WPB23" s="21"/>
      <c r="WPC23" s="21"/>
      <c r="WPD23" s="21"/>
      <c r="WPE23" s="21"/>
      <c r="WPF23" s="21"/>
      <c r="WPG23" s="21"/>
      <c r="WPH23" s="21"/>
      <c r="WPI23" s="21"/>
      <c r="WPJ23" s="21"/>
      <c r="WPK23" s="21"/>
      <c r="WPL23" s="21"/>
      <c r="WPM23" s="21"/>
      <c r="WPN23" s="21"/>
      <c r="WPO23" s="21"/>
      <c r="WPP23" s="21"/>
      <c r="WPQ23" s="21"/>
      <c r="WPR23" s="21"/>
      <c r="WPS23" s="21"/>
      <c r="WPT23" s="21"/>
      <c r="WPU23" s="21"/>
      <c r="WPV23" s="21"/>
      <c r="WPW23" s="21"/>
      <c r="WPX23" s="21"/>
      <c r="WPY23" s="21"/>
      <c r="WPZ23" s="21"/>
      <c r="WQA23" s="21"/>
      <c r="WQB23" s="21"/>
      <c r="WQC23" s="21"/>
      <c r="WQD23" s="21"/>
      <c r="WQE23" s="21"/>
      <c r="WQF23" s="21"/>
      <c r="WQG23" s="21"/>
      <c r="WQH23" s="21"/>
      <c r="WQI23" s="21"/>
      <c r="WQJ23" s="21"/>
      <c r="WQK23" s="21"/>
      <c r="WQL23" s="21"/>
      <c r="WQM23" s="21"/>
      <c r="WQN23" s="21"/>
      <c r="WQO23" s="21"/>
      <c r="WQP23" s="21"/>
      <c r="WQQ23" s="21"/>
      <c r="WQR23" s="21"/>
      <c r="WQS23" s="21"/>
      <c r="WQT23" s="21"/>
      <c r="WQU23" s="21"/>
      <c r="WQV23" s="21"/>
      <c r="WQW23" s="21"/>
      <c r="WQX23" s="21"/>
      <c r="WQY23" s="21"/>
      <c r="WQZ23" s="21"/>
      <c r="WRA23" s="21"/>
      <c r="WRB23" s="21"/>
      <c r="WRC23" s="21"/>
      <c r="WRD23" s="21"/>
      <c r="WRE23" s="21"/>
      <c r="WRF23" s="21"/>
      <c r="WRG23" s="21"/>
      <c r="WRH23" s="21"/>
      <c r="WRI23" s="21"/>
      <c r="WRJ23" s="21"/>
      <c r="WRK23" s="21"/>
      <c r="WRL23" s="21"/>
      <c r="WRM23" s="21"/>
      <c r="WRN23" s="21"/>
      <c r="WRO23" s="21"/>
      <c r="WRP23" s="21"/>
      <c r="WRQ23" s="21"/>
      <c r="WRR23" s="21"/>
      <c r="WRS23" s="21"/>
      <c r="WRT23" s="21"/>
      <c r="WRU23" s="21"/>
      <c r="WRV23" s="21"/>
      <c r="WRW23" s="21"/>
      <c r="WRX23" s="21"/>
      <c r="WRY23" s="21"/>
      <c r="WRZ23" s="21"/>
      <c r="WSA23" s="21"/>
      <c r="WSB23" s="21"/>
      <c r="WSC23" s="21"/>
      <c r="WSD23" s="21"/>
      <c r="WSE23" s="21"/>
      <c r="WSF23" s="21"/>
      <c r="WSG23" s="21"/>
      <c r="WSH23" s="21"/>
      <c r="WSI23" s="21"/>
      <c r="WSJ23" s="21"/>
      <c r="WSK23" s="21"/>
      <c r="WSL23" s="21"/>
      <c r="WSM23" s="21"/>
      <c r="WSN23" s="21"/>
      <c r="WSO23" s="21"/>
    </row>
    <row r="24" spans="1:16384" s="1" customFormat="1" ht="14.25"/>
    <row r="25" spans="1:16384" s="1" customFormat="1">
      <c r="A25" s="3"/>
      <c r="B25" s="289" t="s">
        <v>131</v>
      </c>
      <c r="C25" s="290"/>
      <c r="D25" s="291"/>
      <c r="E25" s="292" t="s">
        <v>132</v>
      </c>
      <c r="F25" s="292"/>
      <c r="G25" s="292" t="s">
        <v>133</v>
      </c>
      <c r="H25" s="29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  <c r="FAN25" s="3"/>
      <c r="FAO25" s="3"/>
      <c r="FAP25" s="3"/>
      <c r="FAQ25" s="3"/>
      <c r="FAR25" s="3"/>
      <c r="FAS25" s="3"/>
      <c r="FAT25" s="3"/>
      <c r="FAU25" s="3"/>
      <c r="FAV25" s="3"/>
      <c r="FAW25" s="3"/>
      <c r="FAX25" s="3"/>
      <c r="FAY25" s="3"/>
      <c r="FAZ25" s="3"/>
      <c r="FBA25" s="3"/>
      <c r="FBB25" s="3"/>
      <c r="FBC25" s="3"/>
      <c r="FBD25" s="3"/>
      <c r="FBE25" s="3"/>
      <c r="FBF25" s="3"/>
      <c r="FBG25" s="3"/>
      <c r="FBH25" s="3"/>
      <c r="FBI25" s="3"/>
      <c r="FBJ25" s="3"/>
      <c r="FBK25" s="3"/>
      <c r="FBL25" s="3"/>
      <c r="FBM25" s="3"/>
      <c r="FBN25" s="3"/>
      <c r="FBO25" s="3"/>
      <c r="FBP25" s="3"/>
      <c r="FBQ25" s="3"/>
      <c r="FBR25" s="3"/>
      <c r="FBS25" s="3"/>
      <c r="FBT25" s="3"/>
      <c r="FBU25" s="3"/>
      <c r="FBV25" s="3"/>
      <c r="FBW25" s="3"/>
      <c r="FBX25" s="3"/>
      <c r="FBY25" s="3"/>
      <c r="FBZ25" s="3"/>
      <c r="FCA25" s="3"/>
      <c r="FCB25" s="3"/>
      <c r="FCC25" s="3"/>
      <c r="FCD25" s="3"/>
      <c r="FCE25" s="3"/>
      <c r="FCF25" s="3"/>
      <c r="FCG25" s="3"/>
      <c r="FCH25" s="3"/>
      <c r="FCI25" s="3"/>
      <c r="FCJ25" s="3"/>
      <c r="FCK25" s="3"/>
      <c r="FCL25" s="3"/>
      <c r="FCM25" s="3"/>
      <c r="FCN25" s="3"/>
      <c r="FCO25" s="3"/>
      <c r="FCP25" s="3"/>
      <c r="FCQ25" s="3"/>
      <c r="FCR25" s="3"/>
      <c r="FCS25" s="3"/>
      <c r="FCT25" s="3"/>
      <c r="FCU25" s="3"/>
      <c r="FCV25" s="3"/>
      <c r="FCW25" s="3"/>
      <c r="FCX25" s="3"/>
      <c r="FCY25" s="3"/>
      <c r="FCZ25" s="3"/>
      <c r="FDA25" s="3"/>
      <c r="FDB25" s="3"/>
      <c r="FDC25" s="3"/>
      <c r="FDD25" s="3"/>
      <c r="FDE25" s="3"/>
      <c r="FDF25" s="3"/>
      <c r="FDG25" s="3"/>
      <c r="FDH25" s="3"/>
      <c r="FDI25" s="3"/>
      <c r="FDJ25" s="3"/>
      <c r="FDK25" s="3"/>
      <c r="FDL25" s="3"/>
      <c r="FDM25" s="3"/>
      <c r="FDN25" s="3"/>
      <c r="FDO25" s="3"/>
      <c r="FDP25" s="3"/>
      <c r="FDQ25" s="3"/>
      <c r="FDR25" s="3"/>
      <c r="FDS25" s="3"/>
      <c r="FDT25" s="3"/>
      <c r="FDU25" s="3"/>
      <c r="FDV25" s="3"/>
      <c r="FDW25" s="3"/>
      <c r="FDX25" s="3"/>
      <c r="FDY25" s="3"/>
      <c r="FDZ25" s="3"/>
      <c r="FEA25" s="3"/>
      <c r="FEB25" s="3"/>
      <c r="FEC25" s="3"/>
      <c r="FED25" s="3"/>
      <c r="FEE25" s="3"/>
      <c r="FEF25" s="3"/>
      <c r="FEG25" s="3"/>
      <c r="FEH25" s="3"/>
      <c r="FEI25" s="3"/>
      <c r="FEJ25" s="3"/>
      <c r="FEK25" s="3"/>
      <c r="FEL25" s="3"/>
      <c r="FEM25" s="3"/>
      <c r="FEN25" s="3"/>
      <c r="FEO25" s="3"/>
      <c r="FEP25" s="3"/>
      <c r="FEQ25" s="3"/>
      <c r="FER25" s="3"/>
      <c r="FES25" s="3"/>
      <c r="FET25" s="3"/>
      <c r="FEU25" s="3"/>
      <c r="FEV25" s="3"/>
      <c r="FEW25" s="3"/>
      <c r="FEX25" s="3"/>
      <c r="FEY25" s="3"/>
      <c r="FEZ25" s="3"/>
      <c r="FFA25" s="3"/>
      <c r="FFB25" s="3"/>
      <c r="FFC25" s="3"/>
      <c r="FFD25" s="3"/>
      <c r="FFE25" s="3"/>
      <c r="FFF25" s="3"/>
      <c r="FFG25" s="3"/>
      <c r="FFH25" s="3"/>
      <c r="FFI25" s="3"/>
      <c r="FFJ25" s="3"/>
      <c r="FFK25" s="3"/>
      <c r="FFL25" s="3"/>
      <c r="FFM25" s="3"/>
      <c r="FFN25" s="3"/>
      <c r="FFO25" s="3"/>
      <c r="FFP25" s="3"/>
      <c r="FFQ25" s="3"/>
      <c r="FFR25" s="3"/>
      <c r="FFS25" s="3"/>
      <c r="FFT25" s="3"/>
      <c r="FFU25" s="3"/>
      <c r="FFV25" s="3"/>
      <c r="FFW25" s="3"/>
      <c r="FFX25" s="3"/>
      <c r="FFY25" s="3"/>
      <c r="FFZ25" s="3"/>
      <c r="FGA25" s="3"/>
      <c r="FGB25" s="3"/>
      <c r="FGC25" s="3"/>
      <c r="FGD25" s="3"/>
      <c r="FGE25" s="3"/>
      <c r="FGF25" s="3"/>
      <c r="FGG25" s="3"/>
      <c r="FGH25" s="3"/>
      <c r="FGI25" s="3"/>
      <c r="FGJ25" s="3"/>
      <c r="FGK25" s="3"/>
      <c r="FGL25" s="3"/>
      <c r="FGM25" s="3"/>
      <c r="FGN25" s="3"/>
      <c r="FGO25" s="3"/>
      <c r="FGP25" s="3"/>
      <c r="FGQ25" s="3"/>
      <c r="FGR25" s="3"/>
      <c r="FGS25" s="3"/>
      <c r="FGT25" s="3"/>
      <c r="FGU25" s="3"/>
      <c r="FGV25" s="3"/>
      <c r="FGW25" s="3"/>
      <c r="FGX25" s="3"/>
      <c r="FGY25" s="3"/>
      <c r="FGZ25" s="3"/>
      <c r="FHA25" s="3"/>
      <c r="FHB25" s="3"/>
      <c r="FHC25" s="3"/>
      <c r="FHD25" s="3"/>
      <c r="FHE25" s="3"/>
      <c r="FHF25" s="3"/>
      <c r="FHG25" s="3"/>
      <c r="FHH25" s="3"/>
      <c r="FHI25" s="3"/>
      <c r="FHJ25" s="3"/>
      <c r="FHK25" s="3"/>
      <c r="FHL25" s="3"/>
      <c r="FHM25" s="3"/>
      <c r="FHN25" s="3"/>
      <c r="FHO25" s="3"/>
      <c r="FHP25" s="3"/>
      <c r="FHQ25" s="3"/>
      <c r="FHR25" s="3"/>
      <c r="FHS25" s="3"/>
      <c r="FHT25" s="3"/>
      <c r="FHU25" s="3"/>
      <c r="FHV25" s="3"/>
      <c r="FHW25" s="3"/>
      <c r="FHX25" s="3"/>
      <c r="FHY25" s="3"/>
      <c r="FHZ25" s="3"/>
      <c r="FIA25" s="3"/>
      <c r="FIB25" s="3"/>
      <c r="FIC25" s="3"/>
      <c r="FID25" s="3"/>
      <c r="FIE25" s="3"/>
      <c r="FIF25" s="3"/>
      <c r="FIG25" s="3"/>
      <c r="FIH25" s="3"/>
      <c r="FII25" s="3"/>
      <c r="FIJ25" s="3"/>
      <c r="FIK25" s="3"/>
      <c r="FIL25" s="3"/>
      <c r="FIM25" s="3"/>
      <c r="FIN25" s="3"/>
      <c r="FIO25" s="3"/>
      <c r="FIP25" s="3"/>
      <c r="FIQ25" s="3"/>
      <c r="FIR25" s="3"/>
      <c r="FIS25" s="3"/>
      <c r="FIT25" s="3"/>
      <c r="FIU25" s="3"/>
      <c r="FIV25" s="3"/>
      <c r="FIW25" s="3"/>
      <c r="FIX25" s="3"/>
      <c r="FIY25" s="3"/>
      <c r="FIZ25" s="3"/>
      <c r="FJA25" s="3"/>
      <c r="FJB25" s="3"/>
      <c r="FJC25" s="3"/>
      <c r="FJD25" s="3"/>
      <c r="FJE25" s="3"/>
      <c r="FJF25" s="3"/>
      <c r="FJG25" s="3"/>
      <c r="FJH25" s="3"/>
      <c r="FJI25" s="3"/>
      <c r="FJJ25" s="3"/>
      <c r="FJK25" s="3"/>
      <c r="FJL25" s="3"/>
      <c r="FJM25" s="3"/>
      <c r="FJN25" s="3"/>
      <c r="FJO25" s="3"/>
      <c r="FJP25" s="3"/>
      <c r="FJQ25" s="3"/>
      <c r="FJR25" s="3"/>
      <c r="FJS25" s="3"/>
      <c r="FJT25" s="3"/>
      <c r="FJU25" s="3"/>
      <c r="FJV25" s="3"/>
      <c r="FJW25" s="3"/>
      <c r="FJX25" s="3"/>
      <c r="FJY25" s="3"/>
      <c r="FJZ25" s="3"/>
      <c r="FKA25" s="3"/>
      <c r="FKB25" s="3"/>
      <c r="FKC25" s="3"/>
      <c r="FKD25" s="3"/>
      <c r="FKE25" s="3"/>
      <c r="FKF25" s="3"/>
      <c r="FKG25" s="3"/>
      <c r="FKH25" s="3"/>
      <c r="FKI25" s="3"/>
      <c r="FKJ25" s="3"/>
      <c r="FKK25" s="3"/>
      <c r="FKL25" s="3"/>
      <c r="FKM25" s="3"/>
      <c r="FKN25" s="3"/>
      <c r="FKO25" s="3"/>
      <c r="FKP25" s="3"/>
      <c r="FKQ25" s="3"/>
      <c r="FKR25" s="3"/>
      <c r="FKS25" s="3"/>
      <c r="FKT25" s="3"/>
      <c r="FKU25" s="3"/>
      <c r="FKV25" s="3"/>
      <c r="FKW25" s="3"/>
      <c r="FKX25" s="3"/>
      <c r="FKY25" s="3"/>
      <c r="FKZ25" s="3"/>
      <c r="FLA25" s="3"/>
      <c r="FLB25" s="3"/>
      <c r="FLC25" s="3"/>
      <c r="FLD25" s="3"/>
      <c r="FLE25" s="3"/>
      <c r="FLF25" s="3"/>
      <c r="FLG25" s="3"/>
      <c r="FLH25" s="3"/>
      <c r="FLI25" s="3"/>
      <c r="FLJ25" s="3"/>
      <c r="FLK25" s="3"/>
      <c r="FLL25" s="3"/>
      <c r="FLM25" s="3"/>
      <c r="FLN25" s="3"/>
      <c r="FLO25" s="3"/>
      <c r="FLP25" s="3"/>
      <c r="FLQ25" s="3"/>
      <c r="FLR25" s="3"/>
      <c r="FLS25" s="3"/>
      <c r="FLT25" s="3"/>
      <c r="FLU25" s="3"/>
      <c r="FLV25" s="3"/>
      <c r="FLW25" s="3"/>
      <c r="FLX25" s="3"/>
      <c r="FLY25" s="3"/>
      <c r="FLZ25" s="3"/>
      <c r="FMA25" s="3"/>
      <c r="FMB25" s="3"/>
      <c r="FMC25" s="3"/>
      <c r="FMD25" s="3"/>
      <c r="FME25" s="3"/>
      <c r="FMF25" s="3"/>
      <c r="FMG25" s="3"/>
      <c r="FMH25" s="3"/>
      <c r="FMI25" s="3"/>
      <c r="FMJ25" s="3"/>
      <c r="FMK25" s="3"/>
      <c r="FML25" s="3"/>
      <c r="FMM25" s="3"/>
      <c r="FMN25" s="3"/>
      <c r="FMO25" s="3"/>
      <c r="FMP25" s="3"/>
      <c r="FMQ25" s="3"/>
      <c r="FMR25" s="3"/>
      <c r="FMS25" s="3"/>
      <c r="FMT25" s="3"/>
      <c r="FMU25" s="3"/>
      <c r="FMV25" s="3"/>
      <c r="FMW25" s="3"/>
      <c r="FMX25" s="3"/>
      <c r="FMY25" s="3"/>
      <c r="FMZ25" s="3"/>
      <c r="FNA25" s="3"/>
      <c r="FNB25" s="3"/>
      <c r="FNC25" s="3"/>
      <c r="FND25" s="3"/>
      <c r="FNE25" s="3"/>
      <c r="FNF25" s="3"/>
      <c r="FNG25" s="3"/>
      <c r="FNH25" s="3"/>
      <c r="FNI25" s="3"/>
      <c r="FNJ25" s="3"/>
      <c r="FNK25" s="3"/>
      <c r="FNL25" s="3"/>
      <c r="FNM25" s="3"/>
      <c r="FNN25" s="3"/>
      <c r="FNO25" s="3"/>
      <c r="FNP25" s="3"/>
      <c r="FNQ25" s="3"/>
      <c r="FNR25" s="3"/>
      <c r="FNS25" s="3"/>
      <c r="FNT25" s="3"/>
      <c r="FNU25" s="3"/>
      <c r="FNV25" s="3"/>
      <c r="FNW25" s="3"/>
      <c r="FNX25" s="3"/>
      <c r="FNY25" s="3"/>
      <c r="FNZ25" s="3"/>
      <c r="FOA25" s="3"/>
      <c r="FOB25" s="3"/>
      <c r="FOC25" s="3"/>
      <c r="FOD25" s="3"/>
      <c r="FOE25" s="3"/>
      <c r="FOF25" s="3"/>
      <c r="FOG25" s="3"/>
      <c r="FOH25" s="3"/>
      <c r="FOI25" s="3"/>
      <c r="FOJ25" s="3"/>
      <c r="FOK25" s="3"/>
      <c r="FOL25" s="3"/>
      <c r="FOM25" s="3"/>
      <c r="FON25" s="3"/>
      <c r="FOO25" s="3"/>
      <c r="FOP25" s="3"/>
      <c r="FOQ25" s="3"/>
      <c r="FOR25" s="3"/>
      <c r="FOS25" s="3"/>
      <c r="FOT25" s="3"/>
      <c r="FOU25" s="3"/>
      <c r="FOV25" s="3"/>
      <c r="FOW25" s="3"/>
      <c r="FOX25" s="3"/>
      <c r="FOY25" s="3"/>
      <c r="FOZ25" s="3"/>
      <c r="FPA25" s="3"/>
      <c r="FPB25" s="3"/>
      <c r="FPC25" s="3"/>
      <c r="FPD25" s="3"/>
      <c r="FPE25" s="3"/>
      <c r="FPF25" s="3"/>
      <c r="FPG25" s="3"/>
      <c r="FPH25" s="3"/>
      <c r="FPI25" s="3"/>
      <c r="FPJ25" s="3"/>
      <c r="FPK25" s="3"/>
      <c r="FPL25" s="3"/>
      <c r="FPM25" s="3"/>
      <c r="FPN25" s="3"/>
      <c r="FPO25" s="3"/>
      <c r="FPP25" s="3"/>
      <c r="FPQ25" s="3"/>
      <c r="FPR25" s="3"/>
      <c r="FPS25" s="3"/>
      <c r="FPT25" s="3"/>
      <c r="FPU25" s="3"/>
      <c r="FPV25" s="3"/>
      <c r="FPW25" s="3"/>
      <c r="FPX25" s="3"/>
      <c r="FPY25" s="3"/>
      <c r="FPZ25" s="3"/>
      <c r="FQA25" s="3"/>
      <c r="FQB25" s="3"/>
      <c r="FQC25" s="3"/>
      <c r="FQD25" s="3"/>
      <c r="FQE25" s="3"/>
      <c r="FQF25" s="3"/>
      <c r="FQG25" s="3"/>
      <c r="FQH25" s="3"/>
      <c r="FQI25" s="3"/>
      <c r="FQJ25" s="3"/>
      <c r="FQK25" s="3"/>
      <c r="FQL25" s="3"/>
      <c r="FQM25" s="3"/>
      <c r="FQN25" s="3"/>
      <c r="FQO25" s="3"/>
      <c r="FQP25" s="3"/>
      <c r="FQQ25" s="3"/>
      <c r="FQR25" s="3"/>
      <c r="FQS25" s="3"/>
      <c r="FQT25" s="3"/>
      <c r="FQU25" s="3"/>
      <c r="FQV25" s="3"/>
      <c r="FQW25" s="3"/>
      <c r="FQX25" s="3"/>
      <c r="FQY25" s="3"/>
      <c r="FQZ25" s="3"/>
      <c r="FRA25" s="3"/>
      <c r="FRB25" s="3"/>
      <c r="FRC25" s="3"/>
      <c r="FRD25" s="3"/>
      <c r="FRE25" s="3"/>
      <c r="FRF25" s="3"/>
      <c r="FRG25" s="3"/>
      <c r="FRH25" s="3"/>
      <c r="FRI25" s="3"/>
      <c r="FRJ25" s="3"/>
      <c r="FRK25" s="3"/>
      <c r="FRL25" s="3"/>
      <c r="FRM25" s="3"/>
      <c r="FRN25" s="3"/>
      <c r="FRO25" s="3"/>
      <c r="FRP25" s="3"/>
      <c r="FRQ25" s="3"/>
      <c r="FRR25" s="3"/>
      <c r="FRS25" s="3"/>
      <c r="FRT25" s="3"/>
      <c r="FRU25" s="3"/>
      <c r="FRV25" s="3"/>
      <c r="FRW25" s="3"/>
      <c r="FRX25" s="3"/>
      <c r="FRY25" s="3"/>
      <c r="FRZ25" s="3"/>
      <c r="FSA25" s="3"/>
      <c r="FSB25" s="3"/>
      <c r="FSC25" s="3"/>
      <c r="FSD25" s="3"/>
      <c r="FSE25" s="3"/>
      <c r="FSF25" s="3"/>
      <c r="FSG25" s="3"/>
      <c r="FSH25" s="3"/>
      <c r="FSI25" s="3"/>
      <c r="FSJ25" s="3"/>
      <c r="FSK25" s="3"/>
      <c r="FSL25" s="3"/>
      <c r="FSM25" s="3"/>
      <c r="FSN25" s="3"/>
      <c r="FSO25" s="3"/>
      <c r="FSP25" s="3"/>
      <c r="FSQ25" s="3"/>
      <c r="FSR25" s="3"/>
      <c r="FSS25" s="3"/>
      <c r="FST25" s="3"/>
      <c r="FSU25" s="3"/>
      <c r="FSV25" s="3"/>
      <c r="FSW25" s="3"/>
      <c r="FSX25" s="3"/>
      <c r="FSY25" s="3"/>
      <c r="FSZ25" s="3"/>
      <c r="FTA25" s="3"/>
      <c r="FTB25" s="3"/>
      <c r="FTC25" s="3"/>
      <c r="FTD25" s="3"/>
      <c r="FTE25" s="3"/>
      <c r="FTF25" s="3"/>
      <c r="FTG25" s="3"/>
      <c r="FTH25" s="3"/>
      <c r="FTI25" s="3"/>
      <c r="FTJ25" s="3"/>
      <c r="FTK25" s="3"/>
      <c r="FTL25" s="3"/>
      <c r="FTM25" s="3"/>
      <c r="FTN25" s="3"/>
      <c r="FTO25" s="3"/>
      <c r="FTP25" s="3"/>
      <c r="FTQ25" s="3"/>
      <c r="FTR25" s="3"/>
      <c r="FTS25" s="3"/>
      <c r="FTT25" s="3"/>
      <c r="FTU25" s="3"/>
      <c r="FTV25" s="3"/>
      <c r="FTW25" s="3"/>
      <c r="FTX25" s="3"/>
      <c r="FTY25" s="3"/>
      <c r="FTZ25" s="3"/>
      <c r="FUA25" s="3"/>
      <c r="FUB25" s="3"/>
      <c r="FUC25" s="3"/>
      <c r="FUD25" s="3"/>
      <c r="FUE25" s="3"/>
      <c r="FUF25" s="3"/>
      <c r="FUG25" s="3"/>
      <c r="FUH25" s="3"/>
      <c r="FUI25" s="3"/>
      <c r="FUJ25" s="3"/>
      <c r="FUK25" s="3"/>
      <c r="FUL25" s="3"/>
      <c r="FUM25" s="3"/>
      <c r="FUN25" s="3"/>
      <c r="FUO25" s="3"/>
      <c r="FUP25" s="3"/>
      <c r="FUQ25" s="3"/>
      <c r="FUR25" s="3"/>
      <c r="FUS25" s="3"/>
      <c r="FUT25" s="3"/>
      <c r="FUU25" s="3"/>
      <c r="FUV25" s="3"/>
      <c r="FUW25" s="3"/>
      <c r="FUX25" s="3"/>
      <c r="FUY25" s="3"/>
      <c r="FUZ25" s="3"/>
      <c r="FVA25" s="3"/>
      <c r="FVB25" s="3"/>
      <c r="FVC25" s="3"/>
      <c r="FVD25" s="3"/>
      <c r="FVE25" s="3"/>
      <c r="FVF25" s="3"/>
      <c r="FVG25" s="3"/>
      <c r="FVH25" s="3"/>
      <c r="FVI25" s="3"/>
      <c r="FVJ25" s="3"/>
      <c r="FVK25" s="3"/>
      <c r="FVL25" s="3"/>
      <c r="FVM25" s="3"/>
      <c r="FVN25" s="3"/>
      <c r="FVO25" s="3"/>
      <c r="FVP25" s="3"/>
      <c r="FVQ25" s="3"/>
      <c r="FVR25" s="3"/>
      <c r="FVS25" s="3"/>
      <c r="FVT25" s="3"/>
      <c r="FVU25" s="3"/>
      <c r="FVV25" s="3"/>
      <c r="FVW25" s="3"/>
      <c r="FVX25" s="3"/>
      <c r="FVY25" s="3"/>
      <c r="FVZ25" s="3"/>
      <c r="FWA25" s="3"/>
      <c r="FWB25" s="3"/>
      <c r="FWC25" s="3"/>
      <c r="FWD25" s="3"/>
      <c r="FWE25" s="3"/>
      <c r="FWF25" s="3"/>
      <c r="FWG25" s="3"/>
      <c r="FWH25" s="3"/>
      <c r="FWI25" s="3"/>
      <c r="FWJ25" s="3"/>
      <c r="FWK25" s="3"/>
      <c r="FWL25" s="3"/>
      <c r="FWM25" s="3"/>
      <c r="FWN25" s="3"/>
      <c r="FWO25" s="3"/>
      <c r="FWP25" s="3"/>
      <c r="FWQ25" s="3"/>
      <c r="FWR25" s="3"/>
      <c r="FWS25" s="3"/>
      <c r="FWT25" s="3"/>
      <c r="FWU25" s="3"/>
      <c r="FWV25" s="3"/>
      <c r="FWW25" s="3"/>
      <c r="FWX25" s="3"/>
      <c r="FWY25" s="3"/>
      <c r="FWZ25" s="3"/>
      <c r="FXA25" s="3"/>
      <c r="FXB25" s="3"/>
      <c r="FXC25" s="3"/>
      <c r="FXD25" s="3"/>
      <c r="FXE25" s="3"/>
      <c r="FXF25" s="3"/>
      <c r="FXG25" s="3"/>
      <c r="FXH25" s="3"/>
      <c r="FXI25" s="3"/>
      <c r="FXJ25" s="3"/>
      <c r="FXK25" s="3"/>
      <c r="FXL25" s="3"/>
      <c r="FXM25" s="3"/>
      <c r="FXN25" s="3"/>
      <c r="FXO25" s="3"/>
      <c r="FXP25" s="3"/>
      <c r="FXQ25" s="3"/>
      <c r="FXR25" s="3"/>
      <c r="FXS25" s="3"/>
      <c r="FXT25" s="3"/>
      <c r="FXU25" s="3"/>
      <c r="FXV25" s="3"/>
      <c r="FXW25" s="3"/>
      <c r="FXX25" s="3"/>
      <c r="FXY25" s="3"/>
      <c r="FXZ25" s="3"/>
      <c r="FYA25" s="3"/>
      <c r="FYB25" s="3"/>
      <c r="FYC25" s="3"/>
      <c r="FYD25" s="3"/>
      <c r="FYE25" s="3"/>
      <c r="FYF25" s="3"/>
      <c r="FYG25" s="3"/>
      <c r="FYH25" s="3"/>
      <c r="FYI25" s="3"/>
      <c r="FYJ25" s="3"/>
      <c r="FYK25" s="3"/>
      <c r="FYL25" s="3"/>
      <c r="FYM25" s="3"/>
      <c r="FYN25" s="3"/>
      <c r="FYO25" s="3"/>
      <c r="FYP25" s="3"/>
      <c r="FYQ25" s="3"/>
      <c r="FYR25" s="3"/>
      <c r="FYS25" s="3"/>
      <c r="FYT25" s="3"/>
      <c r="FYU25" s="3"/>
      <c r="FYV25" s="3"/>
      <c r="FYW25" s="3"/>
      <c r="FYX25" s="3"/>
      <c r="FYY25" s="3"/>
      <c r="FYZ25" s="3"/>
      <c r="FZA25" s="3"/>
      <c r="FZB25" s="3"/>
      <c r="FZC25" s="3"/>
      <c r="FZD25" s="3"/>
      <c r="FZE25" s="3"/>
      <c r="FZF25" s="3"/>
      <c r="FZG25" s="3"/>
      <c r="FZH25" s="3"/>
      <c r="FZI25" s="3"/>
      <c r="FZJ25" s="3"/>
      <c r="FZK25" s="3"/>
      <c r="FZL25" s="3"/>
      <c r="FZM25" s="3"/>
      <c r="FZN25" s="3"/>
      <c r="FZO25" s="3"/>
      <c r="FZP25" s="3"/>
      <c r="FZQ25" s="3"/>
      <c r="FZR25" s="3"/>
      <c r="FZS25" s="3"/>
      <c r="FZT25" s="3"/>
      <c r="FZU25" s="3"/>
      <c r="FZV25" s="3"/>
      <c r="FZW25" s="3"/>
      <c r="FZX25" s="3"/>
      <c r="FZY25" s="3"/>
      <c r="FZZ25" s="3"/>
      <c r="GAA25" s="3"/>
      <c r="GAB25" s="3"/>
      <c r="GAC25" s="3"/>
      <c r="GAD25" s="3"/>
      <c r="GAE25" s="3"/>
      <c r="GAF25" s="3"/>
      <c r="GAG25" s="3"/>
      <c r="GAH25" s="3"/>
      <c r="GAI25" s="3"/>
      <c r="GAJ25" s="3"/>
      <c r="GAK25" s="3"/>
      <c r="GAL25" s="3"/>
      <c r="GAM25" s="3"/>
      <c r="GAN25" s="3"/>
      <c r="GAO25" s="3"/>
      <c r="GAP25" s="3"/>
      <c r="GAQ25" s="3"/>
      <c r="GAR25" s="3"/>
      <c r="GAS25" s="3"/>
      <c r="GAT25" s="3"/>
      <c r="GAU25" s="3"/>
      <c r="GAV25" s="3"/>
      <c r="GAW25" s="3"/>
      <c r="GAX25" s="3"/>
      <c r="GAY25" s="3"/>
      <c r="GAZ25" s="3"/>
      <c r="GBA25" s="3"/>
      <c r="GBB25" s="3"/>
      <c r="GBC25" s="3"/>
      <c r="GBD25" s="3"/>
      <c r="GBE25" s="3"/>
      <c r="GBF25" s="3"/>
      <c r="GBG25" s="3"/>
      <c r="GBH25" s="3"/>
      <c r="GBI25" s="3"/>
      <c r="GBJ25" s="3"/>
      <c r="GBK25" s="3"/>
      <c r="GBL25" s="3"/>
      <c r="GBM25" s="3"/>
      <c r="GBN25" s="3"/>
      <c r="GBO25" s="3"/>
      <c r="GBP25" s="3"/>
      <c r="GBQ25" s="3"/>
      <c r="GBR25" s="3"/>
      <c r="GBS25" s="3"/>
      <c r="GBT25" s="3"/>
      <c r="GBU25" s="3"/>
      <c r="GBV25" s="3"/>
      <c r="GBW25" s="3"/>
      <c r="GBX25" s="3"/>
      <c r="GBY25" s="3"/>
      <c r="GBZ25" s="3"/>
      <c r="GCA25" s="3"/>
      <c r="GCB25" s="3"/>
      <c r="GCC25" s="3"/>
      <c r="GCD25" s="3"/>
      <c r="GCE25" s="3"/>
      <c r="GCF25" s="3"/>
      <c r="GCG25" s="3"/>
      <c r="GCH25" s="3"/>
      <c r="GCI25" s="3"/>
      <c r="GCJ25" s="3"/>
      <c r="GCK25" s="3"/>
      <c r="GCL25" s="3"/>
      <c r="GCM25" s="3"/>
      <c r="GCN25" s="3"/>
      <c r="GCO25" s="3"/>
      <c r="GCP25" s="3"/>
      <c r="GCQ25" s="3"/>
      <c r="GCR25" s="3"/>
      <c r="GCS25" s="3"/>
      <c r="GCT25" s="3"/>
      <c r="GCU25" s="3"/>
      <c r="GCV25" s="3"/>
      <c r="GCW25" s="3"/>
      <c r="GCX25" s="3"/>
      <c r="GCY25" s="3"/>
      <c r="GCZ25" s="3"/>
      <c r="GDA25" s="3"/>
      <c r="GDB25" s="3"/>
      <c r="GDC25" s="3"/>
      <c r="GDD25" s="3"/>
      <c r="GDE25" s="3"/>
      <c r="GDF25" s="3"/>
      <c r="GDG25" s="3"/>
      <c r="GDH25" s="3"/>
      <c r="GDI25" s="3"/>
      <c r="GDJ25" s="3"/>
      <c r="GDK25" s="3"/>
      <c r="GDL25" s="3"/>
      <c r="GDM25" s="3"/>
      <c r="GDN25" s="3"/>
      <c r="GDO25" s="3"/>
      <c r="GDP25" s="3"/>
      <c r="GDQ25" s="3"/>
      <c r="GDR25" s="3"/>
      <c r="GDS25" s="3"/>
      <c r="GDT25" s="3"/>
      <c r="GDU25" s="3"/>
      <c r="GDV25" s="3"/>
      <c r="GDW25" s="3"/>
      <c r="GDX25" s="3"/>
      <c r="GDY25" s="3"/>
      <c r="GDZ25" s="3"/>
      <c r="GEA25" s="3"/>
      <c r="GEB25" s="3"/>
      <c r="GEC25" s="3"/>
      <c r="GED25" s="3"/>
      <c r="GEE25" s="3"/>
      <c r="GEF25" s="3"/>
      <c r="GEG25" s="3"/>
      <c r="GEH25" s="3"/>
      <c r="GEI25" s="3"/>
      <c r="GEJ25" s="3"/>
      <c r="GEK25" s="3"/>
      <c r="GEL25" s="3"/>
      <c r="GEM25" s="3"/>
      <c r="GEN25" s="3"/>
      <c r="GEO25" s="3"/>
      <c r="GEP25" s="3"/>
      <c r="GEQ25" s="3"/>
      <c r="GER25" s="3"/>
      <c r="GES25" s="3"/>
      <c r="GET25" s="3"/>
      <c r="GEU25" s="3"/>
      <c r="GEV25" s="3"/>
      <c r="GEW25" s="3"/>
      <c r="GEX25" s="3"/>
      <c r="GEY25" s="3"/>
      <c r="GEZ25" s="3"/>
      <c r="GFA25" s="3"/>
      <c r="GFB25" s="3"/>
      <c r="GFC25" s="3"/>
      <c r="GFD25" s="3"/>
      <c r="GFE25" s="3"/>
      <c r="GFF25" s="3"/>
      <c r="GFG25" s="3"/>
      <c r="GFH25" s="3"/>
      <c r="GFI25" s="3"/>
      <c r="GFJ25" s="3"/>
      <c r="GFK25" s="3"/>
      <c r="GFL25" s="3"/>
      <c r="GFM25" s="3"/>
      <c r="GFN25" s="3"/>
      <c r="GFO25" s="3"/>
      <c r="GFP25" s="3"/>
      <c r="GFQ25" s="3"/>
      <c r="GFR25" s="3"/>
      <c r="GFS25" s="3"/>
      <c r="GFT25" s="3"/>
      <c r="GFU25" s="3"/>
      <c r="GFV25" s="3"/>
      <c r="GFW25" s="3"/>
      <c r="GFX25" s="3"/>
      <c r="GFY25" s="3"/>
      <c r="GFZ25" s="3"/>
      <c r="GGA25" s="3"/>
      <c r="GGB25" s="3"/>
      <c r="GGC25" s="3"/>
      <c r="GGD25" s="3"/>
      <c r="GGE25" s="3"/>
      <c r="GGF25" s="3"/>
      <c r="GGG25" s="3"/>
      <c r="GGH25" s="3"/>
      <c r="GGI25" s="3"/>
      <c r="GGJ25" s="3"/>
      <c r="GGK25" s="3"/>
      <c r="GGL25" s="3"/>
      <c r="GGM25" s="3"/>
      <c r="GGN25" s="3"/>
      <c r="GGO25" s="3"/>
      <c r="GGP25" s="3"/>
      <c r="GGQ25" s="3"/>
      <c r="GGR25" s="3"/>
      <c r="GGS25" s="3"/>
      <c r="GGT25" s="3"/>
      <c r="GGU25" s="3"/>
      <c r="GGV25" s="3"/>
      <c r="GGW25" s="3"/>
      <c r="GGX25" s="3"/>
      <c r="GGY25" s="3"/>
      <c r="GGZ25" s="3"/>
      <c r="GHA25" s="3"/>
      <c r="GHB25" s="3"/>
      <c r="GHC25" s="3"/>
      <c r="GHD25" s="3"/>
      <c r="GHE25" s="3"/>
      <c r="GHF25" s="3"/>
      <c r="GHG25" s="3"/>
      <c r="GHH25" s="3"/>
      <c r="GHI25" s="3"/>
      <c r="GHJ25" s="3"/>
      <c r="GHK25" s="3"/>
      <c r="GHL25" s="3"/>
      <c r="GHM25" s="3"/>
      <c r="GHN25" s="3"/>
      <c r="GHO25" s="3"/>
      <c r="GHP25" s="3"/>
      <c r="GHQ25" s="3"/>
      <c r="GHR25" s="3"/>
      <c r="GHS25" s="3"/>
      <c r="GHT25" s="3"/>
      <c r="GHU25" s="3"/>
      <c r="GHV25" s="3"/>
      <c r="GHW25" s="3"/>
      <c r="GHX25" s="3"/>
      <c r="GHY25" s="3"/>
      <c r="GHZ25" s="3"/>
      <c r="GIA25" s="3"/>
      <c r="GIB25" s="3"/>
      <c r="GIC25" s="3"/>
      <c r="GID25" s="3"/>
      <c r="GIE25" s="3"/>
      <c r="GIF25" s="3"/>
      <c r="GIG25" s="3"/>
      <c r="GIH25" s="3"/>
      <c r="GII25" s="3"/>
      <c r="GIJ25" s="3"/>
      <c r="GIK25" s="3"/>
      <c r="GIL25" s="3"/>
      <c r="GIM25" s="3"/>
      <c r="GIN25" s="3"/>
      <c r="GIO25" s="3"/>
      <c r="GIP25" s="3"/>
      <c r="GIQ25" s="3"/>
      <c r="GIR25" s="3"/>
      <c r="GIS25" s="3"/>
      <c r="GIT25" s="3"/>
      <c r="GIU25" s="3"/>
      <c r="GIV25" s="3"/>
      <c r="GIW25" s="3"/>
      <c r="GIX25" s="3"/>
      <c r="GIY25" s="3"/>
      <c r="GIZ25" s="3"/>
      <c r="GJA25" s="3"/>
      <c r="GJB25" s="3"/>
      <c r="GJC25" s="3"/>
      <c r="GJD25" s="3"/>
      <c r="GJE25" s="3"/>
      <c r="GJF25" s="3"/>
      <c r="GJG25" s="3"/>
      <c r="GJH25" s="3"/>
      <c r="GJI25" s="3"/>
      <c r="GJJ25" s="3"/>
      <c r="GJK25" s="3"/>
      <c r="GJL25" s="3"/>
      <c r="GJM25" s="3"/>
      <c r="GJN25" s="3"/>
      <c r="GJO25" s="3"/>
      <c r="GJP25" s="3"/>
      <c r="GJQ25" s="3"/>
      <c r="GJR25" s="3"/>
      <c r="GJS25" s="3"/>
      <c r="GJT25" s="3"/>
      <c r="GJU25" s="3"/>
      <c r="GJV25" s="3"/>
      <c r="GJW25" s="3"/>
      <c r="GJX25" s="3"/>
      <c r="GJY25" s="3"/>
      <c r="GJZ25" s="3"/>
      <c r="GKA25" s="3"/>
      <c r="GKB25" s="3"/>
      <c r="GKC25" s="3"/>
      <c r="GKD25" s="3"/>
      <c r="GKE25" s="3"/>
      <c r="GKF25" s="3"/>
      <c r="GKG25" s="3"/>
      <c r="GKH25" s="3"/>
      <c r="GKI25" s="3"/>
      <c r="GKJ25" s="3"/>
      <c r="GKK25" s="3"/>
      <c r="GKL25" s="3"/>
      <c r="GKM25" s="3"/>
      <c r="GKN25" s="3"/>
      <c r="GKO25" s="3"/>
      <c r="GKP25" s="3"/>
      <c r="GKQ25" s="3"/>
      <c r="GKR25" s="3"/>
      <c r="GKS25" s="3"/>
      <c r="GKT25" s="3"/>
      <c r="GKU25" s="3"/>
      <c r="GKV25" s="3"/>
      <c r="GKW25" s="3"/>
      <c r="GKX25" s="3"/>
      <c r="GKY25" s="3"/>
      <c r="GKZ25" s="3"/>
      <c r="GLA25" s="3"/>
      <c r="GLB25" s="3"/>
      <c r="GLC25" s="3"/>
      <c r="GLD25" s="3"/>
      <c r="GLE25" s="3"/>
      <c r="GLF25" s="3"/>
      <c r="GLG25" s="3"/>
      <c r="GLH25" s="3"/>
      <c r="GLI25" s="3"/>
      <c r="GLJ25" s="3"/>
      <c r="GLK25" s="3"/>
      <c r="GLL25" s="3"/>
      <c r="GLM25" s="3"/>
      <c r="GLN25" s="3"/>
      <c r="GLO25" s="3"/>
      <c r="GLP25" s="3"/>
      <c r="GLQ25" s="3"/>
      <c r="GLR25" s="3"/>
      <c r="GLS25" s="3"/>
      <c r="GLT25" s="3"/>
      <c r="GLU25" s="3"/>
      <c r="GLV25" s="3"/>
      <c r="GLW25" s="3"/>
      <c r="GLX25" s="3"/>
      <c r="GLY25" s="3"/>
      <c r="GLZ25" s="3"/>
      <c r="GMA25" s="3"/>
      <c r="GMB25" s="3"/>
      <c r="GMC25" s="3"/>
      <c r="GMD25" s="3"/>
      <c r="GME25" s="3"/>
      <c r="GMF25" s="3"/>
      <c r="GMG25" s="3"/>
      <c r="GMH25" s="3"/>
      <c r="GMI25" s="3"/>
      <c r="GMJ25" s="3"/>
      <c r="GMK25" s="3"/>
      <c r="GML25" s="3"/>
      <c r="GMM25" s="3"/>
      <c r="GMN25" s="3"/>
      <c r="GMO25" s="3"/>
      <c r="GMP25" s="3"/>
      <c r="GMQ25" s="3"/>
      <c r="GMR25" s="3"/>
      <c r="GMS25" s="3"/>
      <c r="GMT25" s="3"/>
      <c r="GMU25" s="3"/>
      <c r="GMV25" s="3"/>
      <c r="GMW25" s="3"/>
      <c r="GMX25" s="3"/>
      <c r="GMY25" s="3"/>
      <c r="GMZ25" s="3"/>
      <c r="GNA25" s="3"/>
      <c r="GNB25" s="3"/>
      <c r="GNC25" s="3"/>
      <c r="GND25" s="3"/>
      <c r="GNE25" s="3"/>
      <c r="GNF25" s="3"/>
      <c r="GNG25" s="3"/>
      <c r="GNH25" s="3"/>
      <c r="GNI25" s="3"/>
      <c r="GNJ25" s="3"/>
      <c r="GNK25" s="3"/>
      <c r="GNL25" s="3"/>
      <c r="GNM25" s="3"/>
      <c r="GNN25" s="3"/>
      <c r="GNO25" s="3"/>
      <c r="GNP25" s="3"/>
      <c r="GNQ25" s="3"/>
      <c r="GNR25" s="3"/>
      <c r="GNS25" s="3"/>
      <c r="GNT25" s="3"/>
      <c r="GNU25" s="3"/>
      <c r="GNV25" s="3"/>
      <c r="GNW25" s="3"/>
      <c r="GNX25" s="3"/>
      <c r="GNY25" s="3"/>
      <c r="GNZ25" s="3"/>
      <c r="GOA25" s="3"/>
      <c r="GOB25" s="3"/>
      <c r="GOC25" s="3"/>
      <c r="GOD25" s="3"/>
      <c r="GOE25" s="3"/>
      <c r="GOF25" s="3"/>
      <c r="GOG25" s="3"/>
      <c r="GOH25" s="3"/>
      <c r="GOI25" s="3"/>
      <c r="GOJ25" s="3"/>
      <c r="GOK25" s="3"/>
      <c r="GOL25" s="3"/>
      <c r="GOM25" s="3"/>
      <c r="GON25" s="3"/>
      <c r="GOO25" s="3"/>
      <c r="GOP25" s="3"/>
      <c r="GOQ25" s="3"/>
      <c r="GOR25" s="3"/>
      <c r="GOS25" s="3"/>
      <c r="GOT25" s="3"/>
      <c r="GOU25" s="3"/>
      <c r="GOV25" s="3"/>
      <c r="GOW25" s="3"/>
      <c r="GOX25" s="3"/>
      <c r="GOY25" s="3"/>
      <c r="GOZ25" s="3"/>
      <c r="GPA25" s="3"/>
      <c r="GPB25" s="3"/>
      <c r="GPC25" s="3"/>
      <c r="GPD25" s="3"/>
      <c r="GPE25" s="3"/>
      <c r="GPF25" s="3"/>
      <c r="GPG25" s="3"/>
      <c r="GPH25" s="3"/>
      <c r="GPI25" s="3"/>
      <c r="GPJ25" s="3"/>
      <c r="GPK25" s="3"/>
      <c r="GPL25" s="3"/>
      <c r="GPM25" s="3"/>
      <c r="GPN25" s="3"/>
      <c r="GPO25" s="3"/>
      <c r="GPP25" s="3"/>
      <c r="GPQ25" s="3"/>
      <c r="GPR25" s="3"/>
      <c r="GPS25" s="3"/>
      <c r="GPT25" s="3"/>
      <c r="GPU25" s="3"/>
      <c r="GPV25" s="3"/>
      <c r="GPW25" s="3"/>
      <c r="GPX25" s="3"/>
      <c r="GPY25" s="3"/>
      <c r="GPZ25" s="3"/>
      <c r="GQA25" s="3"/>
      <c r="GQB25" s="3"/>
      <c r="GQC25" s="3"/>
      <c r="GQD25" s="3"/>
      <c r="GQE25" s="3"/>
      <c r="GQF25" s="3"/>
      <c r="GQG25" s="3"/>
      <c r="GQH25" s="3"/>
      <c r="GQI25" s="3"/>
      <c r="GQJ25" s="3"/>
      <c r="GQK25" s="3"/>
      <c r="GQL25" s="3"/>
      <c r="GQM25" s="3"/>
      <c r="GQN25" s="3"/>
      <c r="GQO25" s="3"/>
      <c r="GQP25" s="3"/>
      <c r="GQQ25" s="3"/>
      <c r="GQR25" s="3"/>
      <c r="GQS25" s="3"/>
      <c r="GQT25" s="3"/>
      <c r="GQU25" s="3"/>
      <c r="GQV25" s="3"/>
      <c r="GQW25" s="3"/>
      <c r="GQX25" s="3"/>
      <c r="GQY25" s="3"/>
      <c r="GQZ25" s="3"/>
      <c r="GRA25" s="3"/>
      <c r="GRB25" s="3"/>
      <c r="GRC25" s="3"/>
      <c r="GRD25" s="3"/>
      <c r="GRE25" s="3"/>
      <c r="GRF25" s="3"/>
      <c r="GRG25" s="3"/>
      <c r="GRH25" s="3"/>
      <c r="GRI25" s="3"/>
      <c r="GRJ25" s="3"/>
      <c r="GRK25" s="3"/>
      <c r="GRL25" s="3"/>
      <c r="GRM25" s="3"/>
      <c r="GRN25" s="3"/>
      <c r="GRO25" s="3"/>
      <c r="GRP25" s="3"/>
      <c r="GRQ25" s="3"/>
      <c r="GRR25" s="3"/>
      <c r="GRS25" s="3"/>
      <c r="GRT25" s="3"/>
      <c r="GRU25" s="3"/>
      <c r="GRV25" s="3"/>
      <c r="GRW25" s="3"/>
      <c r="GRX25" s="3"/>
      <c r="GRY25" s="3"/>
      <c r="GRZ25" s="3"/>
      <c r="GSA25" s="3"/>
      <c r="GSB25" s="3"/>
      <c r="GSC25" s="3"/>
      <c r="GSD25" s="3"/>
      <c r="GSE25" s="3"/>
      <c r="GSF25" s="3"/>
      <c r="GSG25" s="3"/>
      <c r="GSH25" s="3"/>
      <c r="GSI25" s="3"/>
      <c r="GSJ25" s="3"/>
      <c r="GSK25" s="3"/>
      <c r="GSL25" s="3"/>
      <c r="GSM25" s="3"/>
      <c r="GSN25" s="3"/>
      <c r="GSO25" s="3"/>
      <c r="GSP25" s="3"/>
      <c r="GSQ25" s="3"/>
      <c r="GSR25" s="3"/>
      <c r="GSS25" s="3"/>
      <c r="GST25" s="3"/>
      <c r="GSU25" s="3"/>
      <c r="GSV25" s="3"/>
      <c r="GSW25" s="3"/>
      <c r="GSX25" s="3"/>
      <c r="GSY25" s="3"/>
      <c r="GSZ25" s="3"/>
      <c r="GTA25" s="3"/>
      <c r="GTB25" s="3"/>
      <c r="GTC25" s="3"/>
      <c r="GTD25" s="3"/>
      <c r="GTE25" s="3"/>
      <c r="GTF25" s="3"/>
      <c r="GTG25" s="3"/>
      <c r="GTH25" s="3"/>
      <c r="GTI25" s="3"/>
      <c r="GTJ25" s="3"/>
      <c r="GTK25" s="3"/>
      <c r="GTL25" s="3"/>
      <c r="GTM25" s="3"/>
      <c r="GTN25" s="3"/>
      <c r="GTO25" s="3"/>
      <c r="GTP25" s="3"/>
      <c r="GTQ25" s="3"/>
      <c r="GTR25" s="3"/>
      <c r="GTS25" s="3"/>
      <c r="GTT25" s="3"/>
      <c r="GTU25" s="3"/>
      <c r="GTV25" s="3"/>
      <c r="GTW25" s="3"/>
      <c r="GTX25" s="3"/>
      <c r="GTY25" s="3"/>
      <c r="GTZ25" s="3"/>
      <c r="GUA25" s="3"/>
      <c r="GUB25" s="3"/>
      <c r="GUC25" s="3"/>
      <c r="GUD25" s="3"/>
      <c r="GUE25" s="3"/>
      <c r="GUF25" s="3"/>
      <c r="GUG25" s="3"/>
      <c r="GUH25" s="3"/>
      <c r="GUI25" s="3"/>
      <c r="GUJ25" s="3"/>
      <c r="GUK25" s="3"/>
      <c r="GUL25" s="3"/>
      <c r="GUM25" s="3"/>
      <c r="GUN25" s="3"/>
      <c r="GUO25" s="3"/>
      <c r="GUP25" s="3"/>
      <c r="GUQ25" s="3"/>
      <c r="GUR25" s="3"/>
      <c r="GUS25" s="3"/>
      <c r="GUT25" s="3"/>
      <c r="GUU25" s="3"/>
      <c r="GUV25" s="3"/>
      <c r="GUW25" s="3"/>
      <c r="GUX25" s="3"/>
      <c r="GUY25" s="3"/>
      <c r="GUZ25" s="3"/>
      <c r="GVA25" s="3"/>
      <c r="GVB25" s="3"/>
      <c r="GVC25" s="3"/>
      <c r="GVD25" s="3"/>
      <c r="GVE25" s="3"/>
      <c r="GVF25" s="3"/>
      <c r="GVG25" s="3"/>
      <c r="GVH25" s="3"/>
      <c r="GVI25" s="3"/>
      <c r="GVJ25" s="3"/>
      <c r="GVK25" s="3"/>
      <c r="GVL25" s="3"/>
      <c r="GVM25" s="3"/>
      <c r="GVN25" s="3"/>
      <c r="GVO25" s="3"/>
      <c r="GVP25" s="3"/>
      <c r="GVQ25" s="3"/>
      <c r="GVR25" s="3"/>
      <c r="GVS25" s="3"/>
      <c r="GVT25" s="3"/>
      <c r="GVU25" s="3"/>
      <c r="GVV25" s="3"/>
      <c r="GVW25" s="3"/>
      <c r="GVX25" s="3"/>
      <c r="GVY25" s="3"/>
      <c r="GVZ25" s="3"/>
      <c r="GWA25" s="3"/>
      <c r="GWB25" s="3"/>
      <c r="GWC25" s="3"/>
      <c r="GWD25" s="3"/>
      <c r="GWE25" s="3"/>
      <c r="GWF25" s="3"/>
      <c r="GWG25" s="3"/>
      <c r="GWH25" s="3"/>
      <c r="GWI25" s="3"/>
      <c r="GWJ25" s="3"/>
      <c r="GWK25" s="3"/>
      <c r="GWL25" s="3"/>
      <c r="GWM25" s="3"/>
      <c r="GWN25" s="3"/>
      <c r="GWO25" s="3"/>
      <c r="GWP25" s="3"/>
      <c r="GWQ25" s="3"/>
      <c r="GWR25" s="3"/>
      <c r="GWS25" s="3"/>
      <c r="GWT25" s="3"/>
      <c r="GWU25" s="3"/>
      <c r="GWV25" s="3"/>
      <c r="GWW25" s="3"/>
      <c r="GWX25" s="3"/>
      <c r="GWY25" s="3"/>
      <c r="GWZ25" s="3"/>
      <c r="GXA25" s="3"/>
      <c r="GXB25" s="3"/>
      <c r="GXC25" s="3"/>
      <c r="GXD25" s="3"/>
      <c r="GXE25" s="3"/>
      <c r="GXF25" s="3"/>
      <c r="GXG25" s="3"/>
      <c r="GXH25" s="3"/>
      <c r="GXI25" s="3"/>
      <c r="GXJ25" s="3"/>
      <c r="GXK25" s="3"/>
      <c r="GXL25" s="3"/>
      <c r="GXM25" s="3"/>
      <c r="GXN25" s="3"/>
      <c r="GXO25" s="3"/>
      <c r="GXP25" s="3"/>
      <c r="GXQ25" s="3"/>
      <c r="GXR25" s="3"/>
      <c r="GXS25" s="3"/>
      <c r="GXT25" s="3"/>
      <c r="GXU25" s="3"/>
      <c r="GXV25" s="3"/>
      <c r="GXW25" s="3"/>
      <c r="GXX25" s="3"/>
      <c r="GXY25" s="3"/>
      <c r="GXZ25" s="3"/>
      <c r="GYA25" s="3"/>
      <c r="GYB25" s="3"/>
      <c r="GYC25" s="3"/>
      <c r="GYD25" s="3"/>
      <c r="GYE25" s="3"/>
      <c r="GYF25" s="3"/>
      <c r="GYG25" s="3"/>
      <c r="GYH25" s="3"/>
      <c r="GYI25" s="3"/>
      <c r="GYJ25" s="3"/>
      <c r="GYK25" s="3"/>
      <c r="GYL25" s="3"/>
      <c r="GYM25" s="3"/>
      <c r="GYN25" s="3"/>
      <c r="GYO25" s="3"/>
      <c r="GYP25" s="3"/>
      <c r="GYQ25" s="3"/>
      <c r="GYR25" s="3"/>
      <c r="GYS25" s="3"/>
      <c r="GYT25" s="3"/>
      <c r="GYU25" s="3"/>
      <c r="GYV25" s="3"/>
      <c r="GYW25" s="3"/>
      <c r="GYX25" s="3"/>
      <c r="GYY25" s="3"/>
      <c r="GYZ25" s="3"/>
      <c r="GZA25" s="3"/>
      <c r="GZB25" s="3"/>
      <c r="GZC25" s="3"/>
      <c r="GZD25" s="3"/>
      <c r="GZE25" s="3"/>
      <c r="GZF25" s="3"/>
      <c r="GZG25" s="3"/>
      <c r="GZH25" s="3"/>
      <c r="GZI25" s="3"/>
      <c r="GZJ25" s="3"/>
      <c r="GZK25" s="3"/>
      <c r="GZL25" s="3"/>
      <c r="GZM25" s="3"/>
      <c r="GZN25" s="3"/>
      <c r="GZO25" s="3"/>
      <c r="GZP25" s="3"/>
      <c r="GZQ25" s="3"/>
      <c r="GZR25" s="3"/>
      <c r="GZS25" s="3"/>
      <c r="GZT25" s="3"/>
      <c r="GZU25" s="3"/>
      <c r="GZV25" s="3"/>
      <c r="GZW25" s="3"/>
      <c r="GZX25" s="3"/>
      <c r="GZY25" s="3"/>
      <c r="GZZ25" s="3"/>
      <c r="HAA25" s="3"/>
      <c r="HAB25" s="3"/>
      <c r="HAC25" s="3"/>
      <c r="HAD25" s="3"/>
      <c r="HAE25" s="3"/>
      <c r="HAF25" s="3"/>
      <c r="HAG25" s="3"/>
      <c r="HAH25" s="3"/>
      <c r="HAI25" s="3"/>
      <c r="HAJ25" s="3"/>
      <c r="HAK25" s="3"/>
      <c r="HAL25" s="3"/>
      <c r="HAM25" s="3"/>
      <c r="HAN25" s="3"/>
      <c r="HAO25" s="3"/>
      <c r="HAP25" s="3"/>
      <c r="HAQ25" s="3"/>
      <c r="HAR25" s="3"/>
      <c r="HAS25" s="3"/>
      <c r="HAT25" s="3"/>
      <c r="HAU25" s="3"/>
      <c r="HAV25" s="3"/>
      <c r="HAW25" s="3"/>
      <c r="HAX25" s="3"/>
      <c r="HAY25" s="3"/>
      <c r="HAZ25" s="3"/>
      <c r="HBA25" s="3"/>
      <c r="HBB25" s="3"/>
      <c r="HBC25" s="3"/>
      <c r="HBD25" s="3"/>
      <c r="HBE25" s="3"/>
      <c r="HBF25" s="3"/>
      <c r="HBG25" s="3"/>
      <c r="HBH25" s="3"/>
      <c r="HBI25" s="3"/>
      <c r="HBJ25" s="3"/>
      <c r="HBK25" s="3"/>
      <c r="HBL25" s="3"/>
      <c r="HBM25" s="3"/>
      <c r="HBN25" s="3"/>
      <c r="HBO25" s="3"/>
      <c r="HBP25" s="3"/>
      <c r="HBQ25" s="3"/>
      <c r="HBR25" s="3"/>
      <c r="HBS25" s="3"/>
      <c r="HBT25" s="3"/>
      <c r="HBU25" s="3"/>
      <c r="HBV25" s="3"/>
      <c r="HBW25" s="3"/>
      <c r="HBX25" s="3"/>
      <c r="HBY25" s="3"/>
      <c r="HBZ25" s="3"/>
      <c r="HCA25" s="3"/>
      <c r="HCB25" s="3"/>
      <c r="HCC25" s="3"/>
      <c r="HCD25" s="3"/>
      <c r="HCE25" s="3"/>
      <c r="HCF25" s="3"/>
      <c r="HCG25" s="3"/>
      <c r="HCH25" s="3"/>
      <c r="HCI25" s="3"/>
      <c r="HCJ25" s="3"/>
      <c r="HCK25" s="3"/>
      <c r="HCL25" s="3"/>
      <c r="HCM25" s="3"/>
      <c r="HCN25" s="3"/>
      <c r="HCO25" s="3"/>
      <c r="HCP25" s="3"/>
      <c r="HCQ25" s="3"/>
      <c r="HCR25" s="3"/>
      <c r="HCS25" s="3"/>
      <c r="HCT25" s="3"/>
      <c r="HCU25" s="3"/>
      <c r="HCV25" s="3"/>
      <c r="HCW25" s="3"/>
      <c r="HCX25" s="3"/>
      <c r="HCY25" s="3"/>
      <c r="HCZ25" s="3"/>
      <c r="HDA25" s="3"/>
      <c r="HDB25" s="3"/>
      <c r="HDC25" s="3"/>
      <c r="HDD25" s="3"/>
      <c r="HDE25" s="3"/>
      <c r="HDF25" s="3"/>
      <c r="HDG25" s="3"/>
      <c r="HDH25" s="3"/>
      <c r="HDI25" s="3"/>
      <c r="HDJ25" s="3"/>
      <c r="HDK25" s="3"/>
      <c r="HDL25" s="3"/>
      <c r="HDM25" s="3"/>
      <c r="HDN25" s="3"/>
      <c r="HDO25" s="3"/>
      <c r="HDP25" s="3"/>
      <c r="HDQ25" s="3"/>
      <c r="HDR25" s="3"/>
      <c r="HDS25" s="3"/>
      <c r="HDT25" s="3"/>
      <c r="HDU25" s="3"/>
      <c r="HDV25" s="3"/>
      <c r="HDW25" s="3"/>
      <c r="HDX25" s="3"/>
      <c r="HDY25" s="3"/>
      <c r="HDZ25" s="3"/>
      <c r="HEA25" s="3"/>
      <c r="HEB25" s="3"/>
      <c r="HEC25" s="3"/>
      <c r="HED25" s="3"/>
      <c r="HEE25" s="3"/>
      <c r="HEF25" s="3"/>
      <c r="HEG25" s="3"/>
      <c r="HEH25" s="3"/>
      <c r="HEI25" s="3"/>
      <c r="HEJ25" s="3"/>
      <c r="HEK25" s="3"/>
      <c r="HEL25" s="3"/>
      <c r="HEM25" s="3"/>
      <c r="HEN25" s="3"/>
      <c r="HEO25" s="3"/>
      <c r="HEP25" s="3"/>
      <c r="HEQ25" s="3"/>
      <c r="HER25" s="3"/>
      <c r="HES25" s="3"/>
      <c r="HET25" s="3"/>
      <c r="HEU25" s="3"/>
      <c r="HEV25" s="3"/>
      <c r="HEW25" s="3"/>
      <c r="HEX25" s="3"/>
      <c r="HEY25" s="3"/>
      <c r="HEZ25" s="3"/>
      <c r="HFA25" s="3"/>
      <c r="HFB25" s="3"/>
      <c r="HFC25" s="3"/>
      <c r="HFD25" s="3"/>
      <c r="HFE25" s="3"/>
      <c r="HFF25" s="3"/>
      <c r="HFG25" s="3"/>
      <c r="HFH25" s="3"/>
      <c r="HFI25" s="3"/>
      <c r="HFJ25" s="3"/>
      <c r="HFK25" s="3"/>
      <c r="HFL25" s="3"/>
      <c r="HFM25" s="3"/>
      <c r="HFN25" s="3"/>
      <c r="HFO25" s="3"/>
      <c r="HFP25" s="3"/>
      <c r="HFQ25" s="3"/>
      <c r="HFR25" s="3"/>
      <c r="HFS25" s="3"/>
      <c r="HFT25" s="3"/>
      <c r="HFU25" s="3"/>
      <c r="HFV25" s="3"/>
      <c r="HFW25" s="3"/>
      <c r="HFX25" s="3"/>
      <c r="HFY25" s="3"/>
      <c r="HFZ25" s="3"/>
      <c r="HGA25" s="3"/>
      <c r="HGB25" s="3"/>
      <c r="HGC25" s="3"/>
      <c r="HGD25" s="3"/>
      <c r="HGE25" s="3"/>
      <c r="HGF25" s="3"/>
      <c r="HGG25" s="3"/>
      <c r="HGH25" s="3"/>
      <c r="HGI25" s="3"/>
      <c r="HGJ25" s="3"/>
      <c r="HGK25" s="3"/>
      <c r="HGL25" s="3"/>
      <c r="HGM25" s="3"/>
      <c r="HGN25" s="3"/>
      <c r="HGO25" s="3"/>
      <c r="HGP25" s="3"/>
      <c r="HGQ25" s="3"/>
      <c r="HGR25" s="3"/>
      <c r="HGS25" s="3"/>
      <c r="HGT25" s="3"/>
      <c r="HGU25" s="3"/>
      <c r="HGV25" s="3"/>
      <c r="HGW25" s="3"/>
      <c r="HGX25" s="3"/>
      <c r="HGY25" s="3"/>
      <c r="HGZ25" s="3"/>
      <c r="HHA25" s="3"/>
      <c r="HHB25" s="3"/>
      <c r="HHC25" s="3"/>
      <c r="HHD25" s="3"/>
      <c r="HHE25" s="3"/>
      <c r="HHF25" s="3"/>
      <c r="HHG25" s="3"/>
      <c r="HHH25" s="3"/>
      <c r="HHI25" s="3"/>
      <c r="HHJ25" s="3"/>
      <c r="HHK25" s="3"/>
      <c r="HHL25" s="3"/>
      <c r="HHM25" s="3"/>
      <c r="HHN25" s="3"/>
      <c r="HHO25" s="3"/>
      <c r="HHP25" s="3"/>
      <c r="HHQ25" s="3"/>
      <c r="HHR25" s="3"/>
      <c r="HHS25" s="3"/>
      <c r="HHT25" s="3"/>
      <c r="HHU25" s="3"/>
      <c r="HHV25" s="3"/>
      <c r="HHW25" s="3"/>
      <c r="HHX25" s="3"/>
      <c r="HHY25" s="3"/>
      <c r="HHZ25" s="3"/>
      <c r="HIA25" s="3"/>
      <c r="HIB25" s="3"/>
      <c r="HIC25" s="3"/>
      <c r="HID25" s="3"/>
      <c r="HIE25" s="3"/>
      <c r="HIF25" s="3"/>
      <c r="HIG25" s="3"/>
      <c r="HIH25" s="3"/>
      <c r="HII25" s="3"/>
      <c r="HIJ25" s="3"/>
      <c r="HIK25" s="3"/>
      <c r="HIL25" s="3"/>
      <c r="HIM25" s="3"/>
      <c r="HIN25" s="3"/>
      <c r="HIO25" s="3"/>
      <c r="HIP25" s="3"/>
      <c r="HIQ25" s="3"/>
      <c r="HIR25" s="3"/>
      <c r="HIS25" s="3"/>
      <c r="HIT25" s="3"/>
      <c r="HIU25" s="3"/>
      <c r="HIV25" s="3"/>
      <c r="HIW25" s="3"/>
      <c r="HIX25" s="3"/>
      <c r="HIY25" s="3"/>
      <c r="HIZ25" s="3"/>
      <c r="HJA25" s="3"/>
      <c r="HJB25" s="3"/>
      <c r="HJC25" s="3"/>
      <c r="HJD25" s="3"/>
      <c r="HJE25" s="3"/>
      <c r="HJF25" s="3"/>
      <c r="HJG25" s="3"/>
      <c r="HJH25" s="3"/>
      <c r="HJI25" s="3"/>
      <c r="HJJ25" s="3"/>
      <c r="HJK25" s="3"/>
      <c r="HJL25" s="3"/>
      <c r="HJM25" s="3"/>
      <c r="HJN25" s="3"/>
      <c r="HJO25" s="3"/>
      <c r="HJP25" s="3"/>
      <c r="HJQ25" s="3"/>
      <c r="HJR25" s="3"/>
      <c r="HJS25" s="3"/>
      <c r="HJT25" s="3"/>
      <c r="HJU25" s="3"/>
      <c r="HJV25" s="3"/>
      <c r="HJW25" s="3"/>
      <c r="HJX25" s="3"/>
      <c r="HJY25" s="3"/>
      <c r="HJZ25" s="3"/>
      <c r="HKA25" s="3"/>
      <c r="HKB25" s="3"/>
      <c r="HKC25" s="3"/>
      <c r="HKD25" s="3"/>
      <c r="HKE25" s="3"/>
      <c r="HKF25" s="3"/>
      <c r="HKG25" s="3"/>
      <c r="HKH25" s="3"/>
      <c r="HKI25" s="3"/>
      <c r="HKJ25" s="3"/>
      <c r="HKK25" s="3"/>
      <c r="HKL25" s="3"/>
      <c r="HKM25" s="3"/>
      <c r="HKN25" s="3"/>
      <c r="HKO25" s="3"/>
      <c r="HKP25" s="3"/>
      <c r="HKQ25" s="3"/>
      <c r="HKR25" s="3"/>
      <c r="HKS25" s="3"/>
      <c r="HKT25" s="3"/>
      <c r="HKU25" s="3"/>
      <c r="HKV25" s="3"/>
      <c r="HKW25" s="3"/>
      <c r="HKX25" s="3"/>
      <c r="HKY25" s="3"/>
      <c r="HKZ25" s="3"/>
      <c r="HLA25" s="3"/>
      <c r="HLB25" s="3"/>
      <c r="HLC25" s="3"/>
      <c r="HLD25" s="3"/>
      <c r="HLE25" s="3"/>
      <c r="HLF25" s="3"/>
      <c r="HLG25" s="3"/>
      <c r="HLH25" s="3"/>
      <c r="HLI25" s="3"/>
      <c r="HLJ25" s="3"/>
      <c r="HLK25" s="3"/>
      <c r="HLL25" s="3"/>
      <c r="HLM25" s="3"/>
      <c r="HLN25" s="3"/>
      <c r="HLO25" s="3"/>
      <c r="HLP25" s="3"/>
      <c r="HLQ25" s="3"/>
      <c r="HLR25" s="3"/>
      <c r="HLS25" s="3"/>
      <c r="HLT25" s="3"/>
      <c r="HLU25" s="3"/>
      <c r="HLV25" s="3"/>
      <c r="HLW25" s="3"/>
      <c r="HLX25" s="3"/>
      <c r="HLY25" s="3"/>
      <c r="HLZ25" s="3"/>
      <c r="HMA25" s="3"/>
      <c r="HMB25" s="3"/>
      <c r="HMC25" s="3"/>
      <c r="HMD25" s="3"/>
      <c r="HME25" s="3"/>
      <c r="HMF25" s="3"/>
      <c r="HMG25" s="3"/>
      <c r="HMH25" s="3"/>
      <c r="HMI25" s="3"/>
      <c r="HMJ25" s="3"/>
      <c r="HMK25" s="3"/>
      <c r="HML25" s="3"/>
      <c r="HMM25" s="3"/>
      <c r="HMN25" s="3"/>
      <c r="HMO25" s="3"/>
      <c r="HMP25" s="3"/>
      <c r="HMQ25" s="3"/>
      <c r="HMR25" s="3"/>
      <c r="HMS25" s="3"/>
      <c r="HMT25" s="3"/>
      <c r="HMU25" s="3"/>
      <c r="HMV25" s="3"/>
      <c r="HMW25" s="3"/>
      <c r="HMX25" s="3"/>
      <c r="HMY25" s="3"/>
      <c r="HMZ25" s="3"/>
      <c r="HNA25" s="3"/>
      <c r="HNB25" s="3"/>
      <c r="HNC25" s="3"/>
      <c r="HND25" s="3"/>
      <c r="HNE25" s="3"/>
      <c r="HNF25" s="3"/>
      <c r="HNG25" s="3"/>
      <c r="HNH25" s="3"/>
      <c r="HNI25" s="3"/>
      <c r="HNJ25" s="3"/>
      <c r="HNK25" s="3"/>
      <c r="HNL25" s="3"/>
      <c r="HNM25" s="3"/>
      <c r="HNN25" s="3"/>
      <c r="HNO25" s="3"/>
      <c r="HNP25" s="3"/>
      <c r="HNQ25" s="3"/>
      <c r="HNR25" s="3"/>
      <c r="HNS25" s="3"/>
      <c r="HNT25" s="3"/>
      <c r="HNU25" s="3"/>
      <c r="HNV25" s="3"/>
      <c r="HNW25" s="3"/>
      <c r="HNX25" s="3"/>
      <c r="HNY25" s="3"/>
      <c r="HNZ25" s="3"/>
      <c r="HOA25" s="3"/>
      <c r="HOB25" s="3"/>
      <c r="HOC25" s="3"/>
      <c r="HOD25" s="3"/>
      <c r="HOE25" s="3"/>
      <c r="HOF25" s="3"/>
      <c r="HOG25" s="3"/>
      <c r="HOH25" s="3"/>
      <c r="HOI25" s="3"/>
      <c r="HOJ25" s="3"/>
      <c r="HOK25" s="3"/>
      <c r="HOL25" s="3"/>
      <c r="HOM25" s="3"/>
      <c r="HON25" s="3"/>
      <c r="HOO25" s="3"/>
      <c r="HOP25" s="3"/>
      <c r="HOQ25" s="3"/>
      <c r="HOR25" s="3"/>
      <c r="HOS25" s="3"/>
      <c r="HOT25" s="3"/>
      <c r="HOU25" s="3"/>
      <c r="HOV25" s="3"/>
      <c r="HOW25" s="3"/>
      <c r="HOX25" s="3"/>
      <c r="HOY25" s="3"/>
      <c r="HOZ25" s="3"/>
      <c r="HPA25" s="3"/>
      <c r="HPB25" s="3"/>
      <c r="HPC25" s="3"/>
      <c r="HPD25" s="3"/>
      <c r="HPE25" s="3"/>
      <c r="HPF25" s="3"/>
      <c r="HPG25" s="3"/>
      <c r="HPH25" s="3"/>
      <c r="HPI25" s="3"/>
      <c r="HPJ25" s="3"/>
      <c r="HPK25" s="3"/>
      <c r="HPL25" s="3"/>
      <c r="HPM25" s="3"/>
      <c r="HPN25" s="3"/>
      <c r="HPO25" s="3"/>
      <c r="HPP25" s="3"/>
      <c r="HPQ25" s="3"/>
      <c r="HPR25" s="3"/>
      <c r="HPS25" s="3"/>
      <c r="HPT25" s="3"/>
      <c r="HPU25" s="3"/>
      <c r="HPV25" s="3"/>
      <c r="HPW25" s="3"/>
      <c r="HPX25" s="3"/>
      <c r="HPY25" s="3"/>
      <c r="HPZ25" s="3"/>
      <c r="HQA25" s="3"/>
      <c r="HQB25" s="3"/>
      <c r="HQC25" s="3"/>
      <c r="HQD25" s="3"/>
      <c r="HQE25" s="3"/>
      <c r="HQF25" s="3"/>
      <c r="HQG25" s="3"/>
      <c r="HQH25" s="3"/>
      <c r="HQI25" s="3"/>
      <c r="HQJ25" s="3"/>
      <c r="HQK25" s="3"/>
      <c r="HQL25" s="3"/>
      <c r="HQM25" s="3"/>
      <c r="HQN25" s="3"/>
      <c r="HQO25" s="3"/>
      <c r="HQP25" s="3"/>
      <c r="HQQ25" s="3"/>
      <c r="HQR25" s="3"/>
      <c r="HQS25" s="3"/>
      <c r="HQT25" s="3"/>
      <c r="HQU25" s="3"/>
      <c r="HQV25" s="3"/>
      <c r="HQW25" s="3"/>
      <c r="HQX25" s="3"/>
      <c r="HQY25" s="3"/>
      <c r="HQZ25" s="3"/>
      <c r="HRA25" s="3"/>
      <c r="HRB25" s="3"/>
      <c r="HRC25" s="3"/>
      <c r="HRD25" s="3"/>
      <c r="HRE25" s="3"/>
      <c r="HRF25" s="3"/>
      <c r="HRG25" s="3"/>
      <c r="HRH25" s="3"/>
      <c r="HRI25" s="3"/>
      <c r="HRJ25" s="3"/>
      <c r="HRK25" s="3"/>
      <c r="HRL25" s="3"/>
      <c r="HRM25" s="3"/>
      <c r="HRN25" s="3"/>
      <c r="HRO25" s="3"/>
      <c r="HRP25" s="3"/>
      <c r="HRQ25" s="3"/>
      <c r="HRR25" s="3"/>
      <c r="HRS25" s="3"/>
      <c r="HRT25" s="3"/>
      <c r="HRU25" s="3"/>
      <c r="HRV25" s="3"/>
      <c r="HRW25" s="3"/>
      <c r="HRX25" s="3"/>
      <c r="HRY25" s="3"/>
      <c r="HRZ25" s="3"/>
      <c r="HSA25" s="3"/>
      <c r="HSB25" s="3"/>
      <c r="HSC25" s="3"/>
      <c r="HSD25" s="3"/>
      <c r="HSE25" s="3"/>
      <c r="HSF25" s="3"/>
      <c r="HSG25" s="3"/>
      <c r="HSH25" s="3"/>
      <c r="HSI25" s="3"/>
      <c r="HSJ25" s="3"/>
      <c r="HSK25" s="3"/>
      <c r="HSL25" s="3"/>
      <c r="HSM25" s="3"/>
      <c r="HSN25" s="3"/>
      <c r="HSO25" s="3"/>
      <c r="HSP25" s="3"/>
      <c r="HSQ25" s="3"/>
      <c r="HSR25" s="3"/>
      <c r="HSS25" s="3"/>
      <c r="HST25" s="3"/>
      <c r="HSU25" s="3"/>
      <c r="HSV25" s="3"/>
      <c r="HSW25" s="3"/>
      <c r="HSX25" s="3"/>
      <c r="HSY25" s="3"/>
      <c r="HSZ25" s="3"/>
      <c r="HTA25" s="3"/>
      <c r="HTB25" s="3"/>
      <c r="HTC25" s="3"/>
      <c r="HTD25" s="3"/>
      <c r="HTE25" s="3"/>
      <c r="HTF25" s="3"/>
      <c r="HTG25" s="3"/>
      <c r="HTH25" s="3"/>
      <c r="HTI25" s="3"/>
      <c r="HTJ25" s="3"/>
      <c r="HTK25" s="3"/>
      <c r="HTL25" s="3"/>
      <c r="HTM25" s="3"/>
      <c r="HTN25" s="3"/>
      <c r="HTO25" s="3"/>
      <c r="HTP25" s="3"/>
      <c r="HTQ25" s="3"/>
      <c r="HTR25" s="3"/>
      <c r="HTS25" s="3"/>
      <c r="HTT25" s="3"/>
      <c r="HTU25" s="3"/>
      <c r="HTV25" s="3"/>
      <c r="HTW25" s="3"/>
      <c r="HTX25" s="3"/>
      <c r="HTY25" s="3"/>
      <c r="HTZ25" s="3"/>
      <c r="HUA25" s="3"/>
      <c r="HUB25" s="3"/>
      <c r="HUC25" s="3"/>
      <c r="HUD25" s="3"/>
      <c r="HUE25" s="3"/>
      <c r="HUF25" s="3"/>
      <c r="HUG25" s="3"/>
      <c r="HUH25" s="3"/>
      <c r="HUI25" s="3"/>
      <c r="HUJ25" s="3"/>
      <c r="HUK25" s="3"/>
      <c r="HUL25" s="3"/>
      <c r="HUM25" s="3"/>
      <c r="HUN25" s="3"/>
      <c r="HUO25" s="3"/>
      <c r="HUP25" s="3"/>
      <c r="HUQ25" s="3"/>
      <c r="HUR25" s="3"/>
      <c r="HUS25" s="3"/>
      <c r="HUT25" s="3"/>
      <c r="HUU25" s="3"/>
      <c r="HUV25" s="3"/>
      <c r="HUW25" s="3"/>
      <c r="HUX25" s="3"/>
      <c r="HUY25" s="3"/>
      <c r="HUZ25" s="3"/>
      <c r="HVA25" s="3"/>
      <c r="HVB25" s="3"/>
      <c r="HVC25" s="3"/>
      <c r="HVD25" s="3"/>
      <c r="HVE25" s="3"/>
      <c r="HVF25" s="3"/>
      <c r="HVG25" s="3"/>
      <c r="HVH25" s="3"/>
      <c r="HVI25" s="3"/>
      <c r="HVJ25" s="3"/>
      <c r="HVK25" s="3"/>
      <c r="HVL25" s="3"/>
      <c r="HVM25" s="3"/>
      <c r="HVN25" s="3"/>
      <c r="HVO25" s="3"/>
      <c r="HVP25" s="3"/>
      <c r="HVQ25" s="3"/>
      <c r="HVR25" s="3"/>
      <c r="HVS25" s="3"/>
      <c r="HVT25" s="3"/>
      <c r="HVU25" s="3"/>
      <c r="HVV25" s="3"/>
      <c r="HVW25" s="3"/>
      <c r="HVX25" s="3"/>
      <c r="HVY25" s="3"/>
      <c r="HVZ25" s="3"/>
      <c r="HWA25" s="3"/>
      <c r="HWB25" s="3"/>
      <c r="HWC25" s="3"/>
      <c r="HWD25" s="3"/>
      <c r="HWE25" s="3"/>
      <c r="HWF25" s="3"/>
      <c r="HWG25" s="3"/>
      <c r="HWH25" s="3"/>
      <c r="HWI25" s="3"/>
      <c r="HWJ25" s="3"/>
      <c r="HWK25" s="3"/>
      <c r="HWL25" s="3"/>
      <c r="HWM25" s="3"/>
      <c r="HWN25" s="3"/>
      <c r="HWO25" s="3"/>
      <c r="HWP25" s="3"/>
      <c r="HWQ25" s="3"/>
      <c r="HWR25" s="3"/>
      <c r="HWS25" s="3"/>
      <c r="HWT25" s="3"/>
      <c r="HWU25" s="3"/>
      <c r="HWV25" s="3"/>
      <c r="HWW25" s="3"/>
      <c r="HWX25" s="3"/>
      <c r="HWY25" s="3"/>
      <c r="HWZ25" s="3"/>
      <c r="HXA25" s="3"/>
      <c r="HXB25" s="3"/>
      <c r="HXC25" s="3"/>
      <c r="HXD25" s="3"/>
      <c r="HXE25" s="3"/>
      <c r="HXF25" s="3"/>
      <c r="HXG25" s="3"/>
      <c r="HXH25" s="3"/>
      <c r="HXI25" s="3"/>
      <c r="HXJ25" s="3"/>
      <c r="HXK25" s="3"/>
      <c r="HXL25" s="3"/>
      <c r="HXM25" s="3"/>
      <c r="HXN25" s="3"/>
      <c r="HXO25" s="3"/>
      <c r="HXP25" s="3"/>
      <c r="HXQ25" s="3"/>
      <c r="HXR25" s="3"/>
      <c r="HXS25" s="3"/>
      <c r="HXT25" s="3"/>
      <c r="HXU25" s="3"/>
      <c r="HXV25" s="3"/>
      <c r="HXW25" s="3"/>
      <c r="HXX25" s="3"/>
      <c r="HXY25" s="3"/>
      <c r="HXZ25" s="3"/>
      <c r="HYA25" s="3"/>
      <c r="HYB25" s="3"/>
      <c r="HYC25" s="3"/>
      <c r="HYD25" s="3"/>
      <c r="HYE25" s="3"/>
      <c r="HYF25" s="3"/>
      <c r="HYG25" s="3"/>
      <c r="HYH25" s="3"/>
      <c r="HYI25" s="3"/>
      <c r="HYJ25" s="3"/>
      <c r="HYK25" s="3"/>
      <c r="HYL25" s="3"/>
      <c r="HYM25" s="3"/>
      <c r="HYN25" s="3"/>
      <c r="HYO25" s="3"/>
      <c r="HYP25" s="3"/>
      <c r="HYQ25" s="3"/>
      <c r="HYR25" s="3"/>
      <c r="HYS25" s="3"/>
      <c r="HYT25" s="3"/>
      <c r="HYU25" s="3"/>
      <c r="HYV25" s="3"/>
      <c r="HYW25" s="3"/>
      <c r="HYX25" s="3"/>
      <c r="HYY25" s="3"/>
      <c r="HYZ25" s="3"/>
      <c r="HZA25" s="3"/>
      <c r="HZB25" s="3"/>
      <c r="HZC25" s="3"/>
      <c r="HZD25" s="3"/>
      <c r="HZE25" s="3"/>
      <c r="HZF25" s="3"/>
      <c r="HZG25" s="3"/>
      <c r="HZH25" s="3"/>
      <c r="HZI25" s="3"/>
      <c r="HZJ25" s="3"/>
      <c r="HZK25" s="3"/>
      <c r="HZL25" s="3"/>
      <c r="HZM25" s="3"/>
      <c r="HZN25" s="3"/>
      <c r="HZO25" s="3"/>
      <c r="HZP25" s="3"/>
      <c r="HZQ25" s="3"/>
      <c r="HZR25" s="3"/>
      <c r="HZS25" s="3"/>
      <c r="HZT25" s="3"/>
      <c r="HZU25" s="3"/>
      <c r="HZV25" s="3"/>
      <c r="HZW25" s="3"/>
      <c r="HZX25" s="3"/>
      <c r="HZY25" s="3"/>
      <c r="HZZ25" s="3"/>
      <c r="IAA25" s="3"/>
      <c r="IAB25" s="3"/>
      <c r="IAC25" s="3"/>
      <c r="IAD25" s="3"/>
      <c r="IAE25" s="3"/>
      <c r="IAF25" s="3"/>
      <c r="IAG25" s="3"/>
      <c r="IAH25" s="3"/>
      <c r="IAI25" s="3"/>
      <c r="IAJ25" s="3"/>
      <c r="IAK25" s="3"/>
      <c r="IAL25" s="3"/>
      <c r="IAM25" s="3"/>
      <c r="IAN25" s="3"/>
      <c r="IAO25" s="3"/>
      <c r="IAP25" s="3"/>
      <c r="IAQ25" s="3"/>
      <c r="IAR25" s="3"/>
      <c r="IAS25" s="3"/>
      <c r="IAT25" s="3"/>
      <c r="IAU25" s="3"/>
      <c r="IAV25" s="3"/>
      <c r="IAW25" s="3"/>
      <c r="IAX25" s="3"/>
      <c r="IAY25" s="3"/>
      <c r="IAZ25" s="3"/>
      <c r="IBA25" s="3"/>
      <c r="IBB25" s="3"/>
      <c r="IBC25" s="3"/>
      <c r="IBD25" s="3"/>
      <c r="IBE25" s="3"/>
      <c r="IBF25" s="3"/>
      <c r="IBG25" s="3"/>
      <c r="IBH25" s="3"/>
      <c r="IBI25" s="3"/>
      <c r="IBJ25" s="3"/>
      <c r="IBK25" s="3"/>
      <c r="IBL25" s="3"/>
      <c r="IBM25" s="3"/>
      <c r="IBN25" s="3"/>
      <c r="IBO25" s="3"/>
      <c r="IBP25" s="3"/>
      <c r="IBQ25" s="3"/>
      <c r="IBR25" s="3"/>
      <c r="IBS25" s="3"/>
      <c r="IBT25" s="3"/>
      <c r="IBU25" s="3"/>
      <c r="IBV25" s="3"/>
      <c r="IBW25" s="3"/>
      <c r="IBX25" s="3"/>
      <c r="IBY25" s="3"/>
      <c r="IBZ25" s="3"/>
      <c r="ICA25" s="3"/>
      <c r="ICB25" s="3"/>
      <c r="ICC25" s="3"/>
      <c r="ICD25" s="3"/>
      <c r="ICE25" s="3"/>
      <c r="ICF25" s="3"/>
      <c r="ICG25" s="3"/>
      <c r="ICH25" s="3"/>
      <c r="ICI25" s="3"/>
      <c r="ICJ25" s="3"/>
      <c r="ICK25" s="3"/>
      <c r="ICL25" s="3"/>
      <c r="ICM25" s="3"/>
      <c r="ICN25" s="3"/>
      <c r="ICO25" s="3"/>
      <c r="ICP25" s="3"/>
      <c r="ICQ25" s="3"/>
      <c r="ICR25" s="3"/>
      <c r="ICS25" s="3"/>
      <c r="ICT25" s="3"/>
      <c r="ICU25" s="3"/>
      <c r="ICV25" s="3"/>
      <c r="ICW25" s="3"/>
      <c r="ICX25" s="3"/>
      <c r="ICY25" s="3"/>
      <c r="ICZ25" s="3"/>
      <c r="IDA25" s="3"/>
      <c r="IDB25" s="3"/>
      <c r="IDC25" s="3"/>
      <c r="IDD25" s="3"/>
      <c r="IDE25" s="3"/>
      <c r="IDF25" s="3"/>
      <c r="IDG25" s="3"/>
      <c r="IDH25" s="3"/>
      <c r="IDI25" s="3"/>
      <c r="IDJ25" s="3"/>
      <c r="IDK25" s="3"/>
      <c r="IDL25" s="3"/>
      <c r="IDM25" s="3"/>
      <c r="IDN25" s="3"/>
      <c r="IDO25" s="3"/>
      <c r="IDP25" s="3"/>
      <c r="IDQ25" s="3"/>
      <c r="IDR25" s="3"/>
      <c r="IDS25" s="3"/>
      <c r="IDT25" s="3"/>
      <c r="IDU25" s="3"/>
      <c r="IDV25" s="3"/>
      <c r="IDW25" s="3"/>
      <c r="IDX25" s="3"/>
      <c r="IDY25" s="3"/>
      <c r="IDZ25" s="3"/>
      <c r="IEA25" s="3"/>
      <c r="IEB25" s="3"/>
      <c r="IEC25" s="3"/>
      <c r="IED25" s="3"/>
      <c r="IEE25" s="3"/>
      <c r="IEF25" s="3"/>
      <c r="IEG25" s="3"/>
      <c r="IEH25" s="3"/>
      <c r="IEI25" s="3"/>
      <c r="IEJ25" s="3"/>
      <c r="IEK25" s="3"/>
      <c r="IEL25" s="3"/>
      <c r="IEM25" s="3"/>
      <c r="IEN25" s="3"/>
      <c r="IEO25" s="3"/>
      <c r="IEP25" s="3"/>
      <c r="IEQ25" s="3"/>
      <c r="IER25" s="3"/>
      <c r="IES25" s="3"/>
      <c r="IET25" s="3"/>
      <c r="IEU25" s="3"/>
      <c r="IEV25" s="3"/>
      <c r="IEW25" s="3"/>
      <c r="IEX25" s="3"/>
      <c r="IEY25" s="3"/>
      <c r="IEZ25" s="3"/>
      <c r="IFA25" s="3"/>
      <c r="IFB25" s="3"/>
      <c r="IFC25" s="3"/>
      <c r="IFD25" s="3"/>
      <c r="IFE25" s="3"/>
      <c r="IFF25" s="3"/>
      <c r="IFG25" s="3"/>
      <c r="IFH25" s="3"/>
      <c r="IFI25" s="3"/>
      <c r="IFJ25" s="3"/>
      <c r="IFK25" s="3"/>
      <c r="IFL25" s="3"/>
      <c r="IFM25" s="3"/>
      <c r="IFN25" s="3"/>
      <c r="IFO25" s="3"/>
      <c r="IFP25" s="3"/>
      <c r="IFQ25" s="3"/>
      <c r="IFR25" s="3"/>
      <c r="IFS25" s="3"/>
      <c r="IFT25" s="3"/>
      <c r="IFU25" s="3"/>
      <c r="IFV25" s="3"/>
      <c r="IFW25" s="3"/>
      <c r="IFX25" s="3"/>
      <c r="IFY25" s="3"/>
      <c r="IFZ25" s="3"/>
      <c r="IGA25" s="3"/>
      <c r="IGB25" s="3"/>
      <c r="IGC25" s="3"/>
      <c r="IGD25" s="3"/>
      <c r="IGE25" s="3"/>
      <c r="IGF25" s="3"/>
      <c r="IGG25" s="3"/>
      <c r="IGH25" s="3"/>
      <c r="IGI25" s="3"/>
      <c r="IGJ25" s="3"/>
      <c r="IGK25" s="3"/>
      <c r="IGL25" s="3"/>
      <c r="IGM25" s="3"/>
      <c r="IGN25" s="3"/>
      <c r="IGO25" s="3"/>
      <c r="IGP25" s="3"/>
      <c r="IGQ25" s="3"/>
      <c r="IGR25" s="3"/>
      <c r="IGS25" s="3"/>
      <c r="IGT25" s="3"/>
      <c r="IGU25" s="3"/>
      <c r="IGV25" s="3"/>
      <c r="IGW25" s="3"/>
      <c r="IGX25" s="3"/>
      <c r="IGY25" s="3"/>
      <c r="IGZ25" s="3"/>
      <c r="IHA25" s="3"/>
      <c r="IHB25" s="3"/>
      <c r="IHC25" s="3"/>
      <c r="IHD25" s="3"/>
      <c r="IHE25" s="3"/>
      <c r="IHF25" s="3"/>
      <c r="IHG25" s="3"/>
      <c r="IHH25" s="3"/>
      <c r="IHI25" s="3"/>
      <c r="IHJ25" s="3"/>
      <c r="IHK25" s="3"/>
      <c r="IHL25" s="3"/>
      <c r="IHM25" s="3"/>
      <c r="IHN25" s="3"/>
      <c r="IHO25" s="3"/>
      <c r="IHP25" s="3"/>
      <c r="IHQ25" s="3"/>
      <c r="IHR25" s="3"/>
      <c r="IHS25" s="3"/>
      <c r="IHT25" s="3"/>
      <c r="IHU25" s="3"/>
      <c r="IHV25" s="3"/>
      <c r="IHW25" s="3"/>
      <c r="IHX25" s="3"/>
      <c r="IHY25" s="3"/>
      <c r="IHZ25" s="3"/>
      <c r="IIA25" s="3"/>
      <c r="IIB25" s="3"/>
      <c r="IIC25" s="3"/>
      <c r="IID25" s="3"/>
      <c r="IIE25" s="3"/>
      <c r="IIF25" s="3"/>
      <c r="IIG25" s="3"/>
      <c r="IIH25" s="3"/>
      <c r="III25" s="3"/>
      <c r="IIJ25" s="3"/>
      <c r="IIK25" s="3"/>
      <c r="IIL25" s="3"/>
      <c r="IIM25" s="3"/>
      <c r="IIN25" s="3"/>
      <c r="IIO25" s="3"/>
      <c r="IIP25" s="3"/>
      <c r="IIQ25" s="3"/>
      <c r="IIR25" s="3"/>
      <c r="IIS25" s="3"/>
      <c r="IIT25" s="3"/>
      <c r="IIU25" s="3"/>
      <c r="IIV25" s="3"/>
      <c r="IIW25" s="3"/>
      <c r="IIX25" s="3"/>
      <c r="IIY25" s="3"/>
      <c r="IIZ25" s="3"/>
      <c r="IJA25" s="3"/>
      <c r="IJB25" s="3"/>
      <c r="IJC25" s="3"/>
      <c r="IJD25" s="3"/>
      <c r="IJE25" s="3"/>
      <c r="IJF25" s="3"/>
      <c r="IJG25" s="3"/>
      <c r="IJH25" s="3"/>
      <c r="IJI25" s="3"/>
      <c r="IJJ25" s="3"/>
      <c r="IJK25" s="3"/>
      <c r="IJL25" s="3"/>
      <c r="IJM25" s="3"/>
      <c r="IJN25" s="3"/>
      <c r="IJO25" s="3"/>
      <c r="IJP25" s="3"/>
      <c r="IJQ25" s="3"/>
      <c r="IJR25" s="3"/>
      <c r="IJS25" s="3"/>
      <c r="IJT25" s="3"/>
      <c r="IJU25" s="3"/>
      <c r="IJV25" s="3"/>
      <c r="IJW25" s="3"/>
      <c r="IJX25" s="3"/>
      <c r="IJY25" s="3"/>
      <c r="IJZ25" s="3"/>
      <c r="IKA25" s="3"/>
      <c r="IKB25" s="3"/>
      <c r="IKC25" s="3"/>
      <c r="IKD25" s="3"/>
      <c r="IKE25" s="3"/>
      <c r="IKF25" s="3"/>
      <c r="IKG25" s="3"/>
      <c r="IKH25" s="3"/>
      <c r="IKI25" s="3"/>
      <c r="IKJ25" s="3"/>
      <c r="IKK25" s="3"/>
      <c r="IKL25" s="3"/>
      <c r="IKM25" s="3"/>
      <c r="IKN25" s="3"/>
      <c r="IKO25" s="3"/>
      <c r="IKP25" s="3"/>
      <c r="IKQ25" s="3"/>
      <c r="IKR25" s="3"/>
      <c r="IKS25" s="3"/>
      <c r="IKT25" s="3"/>
      <c r="IKU25" s="3"/>
      <c r="IKV25" s="3"/>
      <c r="IKW25" s="3"/>
      <c r="IKX25" s="3"/>
      <c r="IKY25" s="3"/>
      <c r="IKZ25" s="3"/>
      <c r="ILA25" s="3"/>
      <c r="ILB25" s="3"/>
      <c r="ILC25" s="3"/>
      <c r="ILD25" s="3"/>
      <c r="ILE25" s="3"/>
      <c r="ILF25" s="3"/>
      <c r="ILG25" s="3"/>
      <c r="ILH25" s="3"/>
      <c r="ILI25" s="3"/>
      <c r="ILJ25" s="3"/>
      <c r="ILK25" s="3"/>
      <c r="ILL25" s="3"/>
      <c r="ILM25" s="3"/>
      <c r="ILN25" s="3"/>
      <c r="ILO25" s="3"/>
      <c r="ILP25" s="3"/>
      <c r="ILQ25" s="3"/>
      <c r="ILR25" s="3"/>
      <c r="ILS25" s="3"/>
      <c r="ILT25" s="3"/>
      <c r="ILU25" s="3"/>
      <c r="ILV25" s="3"/>
      <c r="ILW25" s="3"/>
      <c r="ILX25" s="3"/>
      <c r="ILY25" s="3"/>
      <c r="ILZ25" s="3"/>
      <c r="IMA25" s="3"/>
      <c r="IMB25" s="3"/>
      <c r="IMC25" s="3"/>
      <c r="IMD25" s="3"/>
      <c r="IME25" s="3"/>
      <c r="IMF25" s="3"/>
      <c r="IMG25" s="3"/>
      <c r="IMH25" s="3"/>
      <c r="IMI25" s="3"/>
      <c r="IMJ25" s="3"/>
      <c r="IMK25" s="3"/>
      <c r="IML25" s="3"/>
      <c r="IMM25" s="3"/>
      <c r="IMN25" s="3"/>
      <c r="IMO25" s="3"/>
      <c r="IMP25" s="3"/>
      <c r="IMQ25" s="3"/>
      <c r="IMR25" s="3"/>
      <c r="IMS25" s="3"/>
      <c r="IMT25" s="3"/>
      <c r="IMU25" s="3"/>
      <c r="IMV25" s="3"/>
      <c r="IMW25" s="3"/>
      <c r="IMX25" s="3"/>
      <c r="IMY25" s="3"/>
      <c r="IMZ25" s="3"/>
      <c r="INA25" s="3"/>
      <c r="INB25" s="3"/>
      <c r="INC25" s="3"/>
      <c r="IND25" s="3"/>
      <c r="INE25" s="3"/>
      <c r="INF25" s="3"/>
      <c r="ING25" s="3"/>
      <c r="INH25" s="3"/>
      <c r="INI25" s="3"/>
      <c r="INJ25" s="3"/>
      <c r="INK25" s="3"/>
      <c r="INL25" s="3"/>
      <c r="INM25" s="3"/>
      <c r="INN25" s="3"/>
      <c r="INO25" s="3"/>
      <c r="INP25" s="3"/>
      <c r="INQ25" s="3"/>
      <c r="INR25" s="3"/>
      <c r="INS25" s="3"/>
      <c r="INT25" s="3"/>
      <c r="INU25" s="3"/>
      <c r="INV25" s="3"/>
      <c r="INW25" s="3"/>
      <c r="INX25" s="3"/>
      <c r="INY25" s="3"/>
      <c r="INZ25" s="3"/>
      <c r="IOA25" s="3"/>
      <c r="IOB25" s="3"/>
      <c r="IOC25" s="3"/>
      <c r="IOD25" s="3"/>
      <c r="IOE25" s="3"/>
      <c r="IOF25" s="3"/>
      <c r="IOG25" s="3"/>
      <c r="IOH25" s="3"/>
      <c r="IOI25" s="3"/>
      <c r="IOJ25" s="3"/>
      <c r="IOK25" s="3"/>
      <c r="IOL25" s="3"/>
      <c r="IOM25" s="3"/>
      <c r="ION25" s="3"/>
      <c r="IOO25" s="3"/>
      <c r="IOP25" s="3"/>
      <c r="IOQ25" s="3"/>
      <c r="IOR25" s="3"/>
      <c r="IOS25" s="3"/>
      <c r="IOT25" s="3"/>
      <c r="IOU25" s="3"/>
      <c r="IOV25" s="3"/>
      <c r="IOW25" s="3"/>
      <c r="IOX25" s="3"/>
      <c r="IOY25" s="3"/>
      <c r="IOZ25" s="3"/>
      <c r="IPA25" s="3"/>
      <c r="IPB25" s="3"/>
      <c r="IPC25" s="3"/>
      <c r="IPD25" s="3"/>
      <c r="IPE25" s="3"/>
      <c r="IPF25" s="3"/>
      <c r="IPG25" s="3"/>
      <c r="IPH25" s="3"/>
      <c r="IPI25" s="3"/>
      <c r="IPJ25" s="3"/>
      <c r="IPK25" s="3"/>
      <c r="IPL25" s="3"/>
      <c r="IPM25" s="3"/>
      <c r="IPN25" s="3"/>
      <c r="IPO25" s="3"/>
      <c r="IPP25" s="3"/>
      <c r="IPQ25" s="3"/>
      <c r="IPR25" s="3"/>
      <c r="IPS25" s="3"/>
      <c r="IPT25" s="3"/>
      <c r="IPU25" s="3"/>
      <c r="IPV25" s="3"/>
      <c r="IPW25" s="3"/>
      <c r="IPX25" s="3"/>
      <c r="IPY25" s="3"/>
      <c r="IPZ25" s="3"/>
      <c r="IQA25" s="3"/>
      <c r="IQB25" s="3"/>
      <c r="IQC25" s="3"/>
      <c r="IQD25" s="3"/>
      <c r="IQE25" s="3"/>
      <c r="IQF25" s="3"/>
      <c r="IQG25" s="3"/>
      <c r="IQH25" s="3"/>
      <c r="IQI25" s="3"/>
      <c r="IQJ25" s="3"/>
      <c r="IQK25" s="3"/>
      <c r="IQL25" s="3"/>
      <c r="IQM25" s="3"/>
      <c r="IQN25" s="3"/>
      <c r="IQO25" s="3"/>
      <c r="IQP25" s="3"/>
      <c r="IQQ25" s="3"/>
      <c r="IQR25" s="3"/>
      <c r="IQS25" s="3"/>
      <c r="IQT25" s="3"/>
      <c r="IQU25" s="3"/>
      <c r="IQV25" s="3"/>
      <c r="IQW25" s="3"/>
      <c r="IQX25" s="3"/>
      <c r="IQY25" s="3"/>
      <c r="IQZ25" s="3"/>
      <c r="IRA25" s="3"/>
      <c r="IRB25" s="3"/>
      <c r="IRC25" s="3"/>
      <c r="IRD25" s="3"/>
      <c r="IRE25" s="3"/>
      <c r="IRF25" s="3"/>
      <c r="IRG25" s="3"/>
      <c r="IRH25" s="3"/>
      <c r="IRI25" s="3"/>
      <c r="IRJ25" s="3"/>
      <c r="IRK25" s="3"/>
      <c r="IRL25" s="3"/>
      <c r="IRM25" s="3"/>
      <c r="IRN25" s="3"/>
      <c r="IRO25" s="3"/>
      <c r="IRP25" s="3"/>
      <c r="IRQ25" s="3"/>
      <c r="IRR25" s="3"/>
      <c r="IRS25" s="3"/>
      <c r="IRT25" s="3"/>
      <c r="IRU25" s="3"/>
      <c r="IRV25" s="3"/>
      <c r="IRW25" s="3"/>
      <c r="IRX25" s="3"/>
      <c r="IRY25" s="3"/>
      <c r="IRZ25" s="3"/>
      <c r="ISA25" s="3"/>
      <c r="ISB25" s="3"/>
      <c r="ISC25" s="3"/>
      <c r="ISD25" s="3"/>
      <c r="ISE25" s="3"/>
      <c r="ISF25" s="3"/>
      <c r="ISG25" s="3"/>
      <c r="ISH25" s="3"/>
      <c r="ISI25" s="3"/>
      <c r="ISJ25" s="3"/>
      <c r="ISK25" s="3"/>
      <c r="ISL25" s="3"/>
      <c r="ISM25" s="3"/>
      <c r="ISN25" s="3"/>
      <c r="ISO25" s="3"/>
      <c r="ISP25" s="3"/>
      <c r="ISQ25" s="3"/>
      <c r="ISR25" s="3"/>
      <c r="ISS25" s="3"/>
      <c r="IST25" s="3"/>
      <c r="ISU25" s="3"/>
      <c r="ISV25" s="3"/>
      <c r="ISW25" s="3"/>
      <c r="ISX25" s="3"/>
      <c r="ISY25" s="3"/>
      <c r="ISZ25" s="3"/>
      <c r="ITA25" s="3"/>
      <c r="ITB25" s="3"/>
      <c r="ITC25" s="3"/>
      <c r="ITD25" s="3"/>
      <c r="ITE25" s="3"/>
      <c r="ITF25" s="3"/>
      <c r="ITG25" s="3"/>
      <c r="ITH25" s="3"/>
      <c r="ITI25" s="3"/>
      <c r="ITJ25" s="3"/>
      <c r="ITK25" s="3"/>
      <c r="ITL25" s="3"/>
      <c r="ITM25" s="3"/>
      <c r="ITN25" s="3"/>
      <c r="ITO25" s="3"/>
      <c r="ITP25" s="3"/>
      <c r="ITQ25" s="3"/>
      <c r="ITR25" s="3"/>
      <c r="ITS25" s="3"/>
      <c r="ITT25" s="3"/>
      <c r="ITU25" s="3"/>
      <c r="ITV25" s="3"/>
      <c r="ITW25" s="3"/>
      <c r="ITX25" s="3"/>
      <c r="ITY25" s="3"/>
      <c r="ITZ25" s="3"/>
      <c r="IUA25" s="3"/>
      <c r="IUB25" s="3"/>
      <c r="IUC25" s="3"/>
      <c r="IUD25" s="3"/>
      <c r="IUE25" s="3"/>
      <c r="IUF25" s="3"/>
      <c r="IUG25" s="3"/>
      <c r="IUH25" s="3"/>
      <c r="IUI25" s="3"/>
      <c r="IUJ25" s="3"/>
      <c r="IUK25" s="3"/>
      <c r="IUL25" s="3"/>
      <c r="IUM25" s="3"/>
      <c r="IUN25" s="3"/>
      <c r="IUO25" s="3"/>
      <c r="IUP25" s="3"/>
      <c r="IUQ25" s="3"/>
      <c r="IUR25" s="3"/>
      <c r="IUS25" s="3"/>
      <c r="IUT25" s="3"/>
      <c r="IUU25" s="3"/>
      <c r="IUV25" s="3"/>
      <c r="IUW25" s="3"/>
      <c r="IUX25" s="3"/>
      <c r="IUY25" s="3"/>
      <c r="IUZ25" s="3"/>
      <c r="IVA25" s="3"/>
      <c r="IVB25" s="3"/>
      <c r="IVC25" s="3"/>
      <c r="IVD25" s="3"/>
      <c r="IVE25" s="3"/>
      <c r="IVF25" s="3"/>
      <c r="IVG25" s="3"/>
      <c r="IVH25" s="3"/>
      <c r="IVI25" s="3"/>
      <c r="IVJ25" s="3"/>
      <c r="IVK25" s="3"/>
      <c r="IVL25" s="3"/>
      <c r="IVM25" s="3"/>
      <c r="IVN25" s="3"/>
      <c r="IVO25" s="3"/>
      <c r="IVP25" s="3"/>
      <c r="IVQ25" s="3"/>
      <c r="IVR25" s="3"/>
      <c r="IVS25" s="3"/>
      <c r="IVT25" s="3"/>
      <c r="IVU25" s="3"/>
      <c r="IVV25" s="3"/>
      <c r="IVW25" s="3"/>
      <c r="IVX25" s="3"/>
      <c r="IVY25" s="3"/>
      <c r="IVZ25" s="3"/>
      <c r="IWA25" s="3"/>
      <c r="IWB25" s="3"/>
      <c r="IWC25" s="3"/>
      <c r="IWD25" s="3"/>
      <c r="IWE25" s="3"/>
      <c r="IWF25" s="3"/>
      <c r="IWG25" s="3"/>
      <c r="IWH25" s="3"/>
      <c r="IWI25" s="3"/>
      <c r="IWJ25" s="3"/>
      <c r="IWK25" s="3"/>
      <c r="IWL25" s="3"/>
      <c r="IWM25" s="3"/>
      <c r="IWN25" s="3"/>
      <c r="IWO25" s="3"/>
      <c r="IWP25" s="3"/>
      <c r="IWQ25" s="3"/>
      <c r="IWR25" s="3"/>
      <c r="IWS25" s="3"/>
      <c r="IWT25" s="3"/>
      <c r="IWU25" s="3"/>
      <c r="IWV25" s="3"/>
      <c r="IWW25" s="3"/>
      <c r="IWX25" s="3"/>
      <c r="IWY25" s="3"/>
      <c r="IWZ25" s="3"/>
      <c r="IXA25" s="3"/>
      <c r="IXB25" s="3"/>
      <c r="IXC25" s="3"/>
      <c r="IXD25" s="3"/>
      <c r="IXE25" s="3"/>
      <c r="IXF25" s="3"/>
      <c r="IXG25" s="3"/>
      <c r="IXH25" s="3"/>
      <c r="IXI25" s="3"/>
      <c r="IXJ25" s="3"/>
      <c r="IXK25" s="3"/>
      <c r="IXL25" s="3"/>
      <c r="IXM25" s="3"/>
      <c r="IXN25" s="3"/>
      <c r="IXO25" s="3"/>
      <c r="IXP25" s="3"/>
      <c r="IXQ25" s="3"/>
      <c r="IXR25" s="3"/>
      <c r="IXS25" s="3"/>
      <c r="IXT25" s="3"/>
      <c r="IXU25" s="3"/>
      <c r="IXV25" s="3"/>
      <c r="IXW25" s="3"/>
      <c r="IXX25" s="3"/>
      <c r="IXY25" s="3"/>
      <c r="IXZ25" s="3"/>
      <c r="IYA25" s="3"/>
      <c r="IYB25" s="3"/>
      <c r="IYC25" s="3"/>
      <c r="IYD25" s="3"/>
      <c r="IYE25" s="3"/>
      <c r="IYF25" s="3"/>
      <c r="IYG25" s="3"/>
      <c r="IYH25" s="3"/>
      <c r="IYI25" s="3"/>
      <c r="IYJ25" s="3"/>
      <c r="IYK25" s="3"/>
      <c r="IYL25" s="3"/>
      <c r="IYM25" s="3"/>
      <c r="IYN25" s="3"/>
      <c r="IYO25" s="3"/>
      <c r="IYP25" s="3"/>
      <c r="IYQ25" s="3"/>
      <c r="IYR25" s="3"/>
      <c r="IYS25" s="3"/>
      <c r="IYT25" s="3"/>
      <c r="IYU25" s="3"/>
      <c r="IYV25" s="3"/>
      <c r="IYW25" s="3"/>
      <c r="IYX25" s="3"/>
      <c r="IYY25" s="3"/>
      <c r="IYZ25" s="3"/>
      <c r="IZA25" s="3"/>
      <c r="IZB25" s="3"/>
      <c r="IZC25" s="3"/>
      <c r="IZD25" s="3"/>
      <c r="IZE25" s="3"/>
      <c r="IZF25" s="3"/>
      <c r="IZG25" s="3"/>
      <c r="IZH25" s="3"/>
      <c r="IZI25" s="3"/>
      <c r="IZJ25" s="3"/>
      <c r="IZK25" s="3"/>
      <c r="IZL25" s="3"/>
      <c r="IZM25" s="3"/>
      <c r="IZN25" s="3"/>
      <c r="IZO25" s="3"/>
      <c r="IZP25" s="3"/>
      <c r="IZQ25" s="3"/>
      <c r="IZR25" s="3"/>
      <c r="IZS25" s="3"/>
      <c r="IZT25" s="3"/>
      <c r="IZU25" s="3"/>
      <c r="IZV25" s="3"/>
      <c r="IZW25" s="3"/>
      <c r="IZX25" s="3"/>
      <c r="IZY25" s="3"/>
      <c r="IZZ25" s="3"/>
      <c r="JAA25" s="3"/>
      <c r="JAB25" s="3"/>
      <c r="JAC25" s="3"/>
      <c r="JAD25" s="3"/>
      <c r="JAE25" s="3"/>
      <c r="JAF25" s="3"/>
      <c r="JAG25" s="3"/>
      <c r="JAH25" s="3"/>
      <c r="JAI25" s="3"/>
      <c r="JAJ25" s="3"/>
      <c r="JAK25" s="3"/>
      <c r="JAL25" s="3"/>
      <c r="JAM25" s="3"/>
      <c r="JAN25" s="3"/>
      <c r="JAO25" s="3"/>
      <c r="JAP25" s="3"/>
      <c r="JAQ25" s="3"/>
      <c r="JAR25" s="3"/>
      <c r="JAS25" s="3"/>
      <c r="JAT25" s="3"/>
      <c r="JAU25" s="3"/>
      <c r="JAV25" s="3"/>
      <c r="JAW25" s="3"/>
      <c r="JAX25" s="3"/>
      <c r="JAY25" s="3"/>
      <c r="JAZ25" s="3"/>
      <c r="JBA25" s="3"/>
      <c r="JBB25" s="3"/>
      <c r="JBC25" s="3"/>
      <c r="JBD25" s="3"/>
      <c r="JBE25" s="3"/>
      <c r="JBF25" s="3"/>
      <c r="JBG25" s="3"/>
      <c r="JBH25" s="3"/>
      <c r="JBI25" s="3"/>
      <c r="JBJ25" s="3"/>
      <c r="JBK25" s="3"/>
      <c r="JBL25" s="3"/>
      <c r="JBM25" s="3"/>
      <c r="JBN25" s="3"/>
      <c r="JBO25" s="3"/>
      <c r="JBP25" s="3"/>
      <c r="JBQ25" s="3"/>
      <c r="JBR25" s="3"/>
      <c r="JBS25" s="3"/>
      <c r="JBT25" s="3"/>
      <c r="JBU25" s="3"/>
      <c r="JBV25" s="3"/>
      <c r="JBW25" s="3"/>
      <c r="JBX25" s="3"/>
      <c r="JBY25" s="3"/>
      <c r="JBZ25" s="3"/>
      <c r="JCA25" s="3"/>
      <c r="JCB25" s="3"/>
      <c r="JCC25" s="3"/>
      <c r="JCD25" s="3"/>
      <c r="JCE25" s="3"/>
      <c r="JCF25" s="3"/>
      <c r="JCG25" s="3"/>
      <c r="JCH25" s="3"/>
      <c r="JCI25" s="3"/>
      <c r="JCJ25" s="3"/>
      <c r="JCK25" s="3"/>
      <c r="JCL25" s="3"/>
      <c r="JCM25" s="3"/>
      <c r="JCN25" s="3"/>
      <c r="JCO25" s="3"/>
      <c r="JCP25" s="3"/>
      <c r="JCQ25" s="3"/>
      <c r="JCR25" s="3"/>
      <c r="JCS25" s="3"/>
      <c r="JCT25" s="3"/>
      <c r="JCU25" s="3"/>
      <c r="JCV25" s="3"/>
      <c r="JCW25" s="3"/>
      <c r="JCX25" s="3"/>
      <c r="JCY25" s="3"/>
      <c r="JCZ25" s="3"/>
      <c r="JDA25" s="3"/>
      <c r="JDB25" s="3"/>
      <c r="JDC25" s="3"/>
      <c r="JDD25" s="3"/>
      <c r="JDE25" s="3"/>
      <c r="JDF25" s="3"/>
      <c r="JDG25" s="3"/>
      <c r="JDH25" s="3"/>
      <c r="JDI25" s="3"/>
      <c r="JDJ25" s="3"/>
      <c r="JDK25" s="3"/>
      <c r="JDL25" s="3"/>
      <c r="JDM25" s="3"/>
      <c r="JDN25" s="3"/>
      <c r="JDO25" s="3"/>
      <c r="JDP25" s="3"/>
      <c r="JDQ25" s="3"/>
      <c r="JDR25" s="3"/>
      <c r="JDS25" s="3"/>
      <c r="JDT25" s="3"/>
      <c r="JDU25" s="3"/>
      <c r="JDV25" s="3"/>
      <c r="JDW25" s="3"/>
      <c r="JDX25" s="3"/>
      <c r="JDY25" s="3"/>
      <c r="JDZ25" s="3"/>
      <c r="JEA25" s="3"/>
      <c r="JEB25" s="3"/>
      <c r="JEC25" s="3"/>
      <c r="JED25" s="3"/>
      <c r="JEE25" s="3"/>
      <c r="JEF25" s="3"/>
      <c r="JEG25" s="3"/>
      <c r="JEH25" s="3"/>
      <c r="JEI25" s="3"/>
      <c r="JEJ25" s="3"/>
      <c r="JEK25" s="3"/>
      <c r="JEL25" s="3"/>
      <c r="JEM25" s="3"/>
      <c r="JEN25" s="3"/>
      <c r="JEO25" s="3"/>
      <c r="JEP25" s="3"/>
      <c r="JEQ25" s="3"/>
      <c r="JER25" s="3"/>
      <c r="JES25" s="3"/>
      <c r="JET25" s="3"/>
      <c r="JEU25" s="3"/>
      <c r="JEV25" s="3"/>
      <c r="JEW25" s="3"/>
      <c r="JEX25" s="3"/>
      <c r="JEY25" s="3"/>
      <c r="JEZ25" s="3"/>
      <c r="JFA25" s="3"/>
      <c r="JFB25" s="3"/>
      <c r="JFC25" s="3"/>
      <c r="JFD25" s="3"/>
      <c r="JFE25" s="3"/>
      <c r="JFF25" s="3"/>
      <c r="JFG25" s="3"/>
      <c r="JFH25" s="3"/>
      <c r="JFI25" s=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  <c r="JFT25" s="3"/>
      <c r="JFU25" s="3"/>
      <c r="JFV25" s="3"/>
      <c r="JFW25" s="3"/>
      <c r="JFX25" s="3"/>
      <c r="JFY25" s="3"/>
      <c r="JFZ25" s="3"/>
      <c r="JGA25" s="3"/>
      <c r="JGB25" s="3"/>
      <c r="JGC25" s="3"/>
      <c r="JGD25" s="3"/>
      <c r="JGE25" s="3"/>
      <c r="JGF25" s="3"/>
      <c r="JGG25" s="3"/>
      <c r="JGH25" s="3"/>
      <c r="JGI25" s="3"/>
      <c r="JGJ25" s="3"/>
      <c r="JGK25" s="3"/>
      <c r="JGL25" s="3"/>
      <c r="JGM25" s="3"/>
      <c r="JGN25" s="3"/>
      <c r="JGO25" s="3"/>
      <c r="JGP25" s="3"/>
      <c r="JGQ25" s="3"/>
      <c r="JGR25" s="3"/>
      <c r="JGS25" s="3"/>
      <c r="JGT25" s="3"/>
      <c r="JGU25" s="3"/>
      <c r="JGV25" s="3"/>
      <c r="JGW25" s="3"/>
      <c r="JGX25" s="3"/>
      <c r="JGY25" s="3"/>
      <c r="JGZ25" s="3"/>
      <c r="JHA25" s="3"/>
      <c r="JHB25" s="3"/>
      <c r="JHC25" s="3"/>
      <c r="JHD25" s="3"/>
      <c r="JHE25" s="3"/>
      <c r="JHF25" s="3"/>
      <c r="JHG25" s="3"/>
      <c r="JHH25" s="3"/>
      <c r="JHI25" s="3"/>
      <c r="JHJ25" s="3"/>
      <c r="JHK25" s="3"/>
      <c r="JHL25" s="3"/>
      <c r="JHM25" s="3"/>
      <c r="JHN25" s="3"/>
      <c r="JHO25" s="3"/>
      <c r="JHP25" s="3"/>
      <c r="JHQ25" s="3"/>
      <c r="JHR25" s="3"/>
      <c r="JHS25" s="3"/>
      <c r="JHT25" s="3"/>
      <c r="JHU25" s="3"/>
      <c r="JHV25" s="3"/>
      <c r="JHW25" s="3"/>
      <c r="JHX25" s="3"/>
      <c r="JHY25" s="3"/>
      <c r="JHZ25" s="3"/>
      <c r="JIA25" s="3"/>
      <c r="JIB25" s="3"/>
      <c r="JIC25" s="3"/>
      <c r="JID25" s="3"/>
      <c r="JIE25" s="3"/>
      <c r="JIF25" s="3"/>
      <c r="JIG25" s="3"/>
      <c r="JIH25" s="3"/>
      <c r="JII25" s="3"/>
      <c r="JIJ25" s="3"/>
      <c r="JIK25" s="3"/>
      <c r="JIL25" s="3"/>
      <c r="JIM25" s="3"/>
      <c r="JIN25" s="3"/>
      <c r="JIO25" s="3"/>
      <c r="JIP25" s="3"/>
      <c r="JIQ25" s="3"/>
      <c r="JIR25" s="3"/>
      <c r="JIS25" s="3"/>
      <c r="JIT25" s="3"/>
      <c r="JIU25" s="3"/>
      <c r="JIV25" s="3"/>
      <c r="JIW25" s="3"/>
      <c r="JIX25" s="3"/>
      <c r="JIY25" s="3"/>
      <c r="JIZ25" s="3"/>
      <c r="JJA25" s="3"/>
      <c r="JJB25" s="3"/>
      <c r="JJC25" s="3"/>
      <c r="JJD25" s="3"/>
      <c r="JJE25" s="3"/>
      <c r="JJF25" s="3"/>
      <c r="JJG25" s="3"/>
      <c r="JJH25" s="3"/>
      <c r="JJI25" s="3"/>
      <c r="JJJ25" s="3"/>
      <c r="JJK25" s="3"/>
      <c r="JJL25" s="3"/>
      <c r="JJM25" s="3"/>
      <c r="JJN25" s="3"/>
      <c r="JJO25" s="3"/>
      <c r="JJP25" s="3"/>
      <c r="JJQ25" s="3"/>
      <c r="JJR25" s="3"/>
      <c r="JJS25" s="3"/>
      <c r="JJT25" s="3"/>
      <c r="JJU25" s="3"/>
      <c r="JJV25" s="3"/>
      <c r="JJW25" s="3"/>
      <c r="JJX25" s="3"/>
      <c r="JJY25" s="3"/>
      <c r="JJZ25" s="3"/>
      <c r="JKA25" s="3"/>
      <c r="JKB25" s="3"/>
      <c r="JKC25" s="3"/>
      <c r="JKD25" s="3"/>
      <c r="JKE25" s="3"/>
      <c r="JKF25" s="3"/>
      <c r="JKG25" s="3"/>
      <c r="JKH25" s="3"/>
      <c r="JKI25" s="3"/>
      <c r="JKJ25" s="3"/>
      <c r="JKK25" s="3"/>
      <c r="JKL25" s="3"/>
      <c r="JKM25" s="3"/>
      <c r="JKN25" s="3"/>
      <c r="JKO25" s="3"/>
      <c r="JKP25" s="3"/>
      <c r="JKQ25" s="3"/>
      <c r="JKR25" s="3"/>
      <c r="JKS25" s="3"/>
      <c r="JKT25" s="3"/>
      <c r="JKU25" s="3"/>
      <c r="JKV25" s="3"/>
      <c r="JKW25" s="3"/>
      <c r="JKX25" s="3"/>
      <c r="JKY25" s="3"/>
      <c r="JKZ25" s="3"/>
      <c r="JLA25" s="3"/>
      <c r="JLB25" s="3"/>
      <c r="JLC25" s="3"/>
      <c r="JLD25" s="3"/>
      <c r="JLE25" s="3"/>
      <c r="JLF25" s="3"/>
      <c r="JLG25" s="3"/>
      <c r="JLH25" s="3"/>
      <c r="JLI25" s="3"/>
      <c r="JLJ25" s="3"/>
      <c r="JLK25" s="3"/>
      <c r="JLL25" s="3"/>
      <c r="JLM25" s="3"/>
      <c r="JLN25" s="3"/>
      <c r="JLO25" s="3"/>
      <c r="JLP25" s="3"/>
      <c r="JLQ25" s="3"/>
      <c r="JLR25" s="3"/>
      <c r="JLS25" s="3"/>
      <c r="JLT25" s="3"/>
      <c r="JLU25" s="3"/>
      <c r="JLV25" s="3"/>
      <c r="JLW25" s="3"/>
      <c r="JLX25" s="3"/>
      <c r="JLY25" s="3"/>
      <c r="JLZ25" s="3"/>
      <c r="JMA25" s="3"/>
      <c r="JMB25" s="3"/>
      <c r="JMC25" s="3"/>
      <c r="JMD25" s="3"/>
      <c r="JME25" s="3"/>
      <c r="JMF25" s="3"/>
      <c r="JMG25" s="3"/>
      <c r="JMH25" s="3"/>
      <c r="JMI25" s="3"/>
      <c r="JMJ25" s="3"/>
      <c r="JMK25" s="3"/>
      <c r="JML25" s="3"/>
      <c r="JMM25" s="3"/>
      <c r="JMN25" s="3"/>
      <c r="JMO25" s="3"/>
      <c r="JMP25" s="3"/>
      <c r="JMQ25" s="3"/>
      <c r="JMR25" s="3"/>
      <c r="JMS25" s="3"/>
      <c r="JMT25" s="3"/>
      <c r="JMU25" s="3"/>
      <c r="JMV25" s="3"/>
      <c r="JMW25" s="3"/>
      <c r="JMX25" s="3"/>
      <c r="JMY25" s="3"/>
      <c r="JMZ25" s="3"/>
      <c r="JNA25" s="3"/>
      <c r="JNB25" s="3"/>
      <c r="JNC25" s="3"/>
      <c r="JND25" s="3"/>
      <c r="JNE25" s="3"/>
      <c r="JNF25" s="3"/>
      <c r="JNG25" s="3"/>
      <c r="JNH25" s="3"/>
      <c r="JNI25" s="3"/>
      <c r="JNJ25" s="3"/>
      <c r="JNK25" s="3"/>
      <c r="JNL25" s="3"/>
      <c r="JNM25" s="3"/>
      <c r="JNN25" s="3"/>
      <c r="JNO25" s="3"/>
      <c r="JNP25" s="3"/>
      <c r="JNQ25" s="3"/>
      <c r="JNR25" s="3"/>
      <c r="JNS25" s="3"/>
      <c r="JNT25" s="3"/>
      <c r="JNU25" s="3"/>
      <c r="JNV25" s="3"/>
      <c r="JNW25" s="3"/>
      <c r="JNX25" s="3"/>
      <c r="JNY25" s="3"/>
      <c r="JNZ25" s="3"/>
      <c r="JOA25" s="3"/>
      <c r="JOB25" s="3"/>
      <c r="JOC25" s="3"/>
      <c r="JOD25" s="3"/>
      <c r="JOE25" s="3"/>
      <c r="JOF25" s="3"/>
      <c r="JOG25" s="3"/>
      <c r="JOH25" s="3"/>
      <c r="JOI25" s="3"/>
      <c r="JOJ25" s="3"/>
      <c r="JOK25" s="3"/>
      <c r="JOL25" s="3"/>
      <c r="JOM25" s="3"/>
      <c r="JON25" s="3"/>
      <c r="JOO25" s="3"/>
      <c r="JOP25" s="3"/>
      <c r="JOQ25" s="3"/>
      <c r="JOR25" s="3"/>
      <c r="JOS25" s="3"/>
      <c r="JOT25" s="3"/>
      <c r="JOU25" s="3"/>
      <c r="JOV25" s="3"/>
      <c r="JOW25" s="3"/>
      <c r="JOX25" s="3"/>
      <c r="JOY25" s="3"/>
      <c r="JOZ25" s="3"/>
      <c r="JPA25" s="3"/>
      <c r="JPB25" s="3"/>
      <c r="JPC25" s="3"/>
      <c r="JPD25" s="3"/>
      <c r="JPE25" s="3"/>
      <c r="JPF25" s="3"/>
      <c r="JPG25" s="3"/>
      <c r="JPH25" s="3"/>
      <c r="JPI25" s="3"/>
      <c r="JPJ25" s="3"/>
      <c r="JPK25" s="3"/>
      <c r="JPL25" s="3"/>
      <c r="JPM25" s="3"/>
      <c r="JPN25" s="3"/>
      <c r="JPO25" s="3"/>
      <c r="JPP25" s="3"/>
      <c r="JPQ25" s="3"/>
      <c r="JPR25" s="3"/>
      <c r="JPS25" s="3"/>
      <c r="JPT25" s="3"/>
      <c r="JPU25" s="3"/>
      <c r="JPV25" s="3"/>
      <c r="JPW25" s="3"/>
      <c r="JPX25" s="3"/>
      <c r="JPY25" s="3"/>
      <c r="JPZ25" s="3"/>
      <c r="JQA25" s="3"/>
      <c r="JQB25" s="3"/>
      <c r="JQC25" s="3"/>
      <c r="JQD25" s="3"/>
      <c r="JQE25" s="3"/>
      <c r="JQF25" s="3"/>
      <c r="JQG25" s="3"/>
      <c r="JQH25" s="3"/>
      <c r="JQI25" s="3"/>
      <c r="JQJ25" s="3"/>
      <c r="JQK25" s="3"/>
      <c r="JQL25" s="3"/>
      <c r="JQM25" s="3"/>
      <c r="JQN25" s="3"/>
      <c r="JQO25" s="3"/>
      <c r="JQP25" s="3"/>
      <c r="JQQ25" s="3"/>
      <c r="JQR25" s="3"/>
      <c r="JQS25" s="3"/>
      <c r="JQT25" s="3"/>
      <c r="JQU25" s="3"/>
      <c r="JQV25" s="3"/>
      <c r="JQW25" s="3"/>
      <c r="JQX25" s="3"/>
      <c r="JQY25" s="3"/>
      <c r="JQZ25" s="3"/>
      <c r="JRA25" s="3"/>
      <c r="JRB25" s="3"/>
      <c r="JRC25" s="3"/>
      <c r="JRD25" s="3"/>
      <c r="JRE25" s="3"/>
      <c r="JRF25" s="3"/>
      <c r="JRG25" s="3"/>
      <c r="JRH25" s="3"/>
      <c r="JRI25" s="3"/>
      <c r="JRJ25" s="3"/>
      <c r="JRK25" s="3"/>
      <c r="JRL25" s="3"/>
      <c r="JRM25" s="3"/>
      <c r="JRN25" s="3"/>
      <c r="JRO25" s="3"/>
      <c r="JRP25" s="3"/>
      <c r="JRQ25" s="3"/>
      <c r="JRR25" s="3"/>
      <c r="JRS25" s="3"/>
      <c r="JRT25" s="3"/>
      <c r="JRU25" s="3"/>
      <c r="JRV25" s="3"/>
      <c r="JRW25" s="3"/>
      <c r="JRX25" s="3"/>
      <c r="JRY25" s="3"/>
      <c r="JRZ25" s="3"/>
      <c r="JSA25" s="3"/>
      <c r="JSB25" s="3"/>
      <c r="JSC25" s="3"/>
      <c r="JSD25" s="3"/>
      <c r="JSE25" s="3"/>
      <c r="JSF25" s="3"/>
      <c r="JSG25" s="3"/>
      <c r="JSH25" s="3"/>
      <c r="JSI25" s="3"/>
      <c r="JSJ25" s="3"/>
      <c r="JSK25" s="3"/>
      <c r="JSL25" s="3"/>
      <c r="JSM25" s="3"/>
      <c r="JSN25" s="3"/>
      <c r="JSO25" s="3"/>
      <c r="JSP25" s="3"/>
      <c r="JSQ25" s="3"/>
      <c r="JSR25" s="3"/>
      <c r="JSS25" s="3"/>
      <c r="JST25" s="3"/>
      <c r="JSU25" s="3"/>
      <c r="JSV25" s="3"/>
      <c r="JSW25" s="3"/>
      <c r="JSX25" s="3"/>
      <c r="JSY25" s="3"/>
      <c r="JSZ25" s="3"/>
      <c r="JTA25" s="3"/>
      <c r="JTB25" s="3"/>
      <c r="JTC25" s="3"/>
      <c r="JTD25" s="3"/>
      <c r="JTE25" s="3"/>
      <c r="JTF25" s="3"/>
      <c r="JTG25" s="3"/>
      <c r="JTH25" s="3"/>
      <c r="JTI25" s="3"/>
      <c r="JTJ25" s="3"/>
      <c r="JTK25" s="3"/>
      <c r="JTL25" s="3"/>
      <c r="JTM25" s="3"/>
      <c r="JTN25" s="3"/>
      <c r="JTO25" s="3"/>
      <c r="JTP25" s="3"/>
      <c r="JTQ25" s="3"/>
      <c r="JTR25" s="3"/>
      <c r="JTS25" s="3"/>
      <c r="JTT25" s="3"/>
      <c r="JTU25" s="3"/>
      <c r="JTV25" s="3"/>
      <c r="JTW25" s="3"/>
      <c r="JTX25" s="3"/>
      <c r="JTY25" s="3"/>
      <c r="JTZ25" s="3"/>
      <c r="JUA25" s="3"/>
      <c r="JUB25" s="3"/>
      <c r="JUC25" s="3"/>
      <c r="JUD25" s="3"/>
      <c r="JUE25" s="3"/>
      <c r="JUF25" s="3"/>
      <c r="JUG25" s="3"/>
      <c r="JUH25" s="3"/>
      <c r="JUI25" s="3"/>
      <c r="JUJ25" s="3"/>
      <c r="JUK25" s="3"/>
      <c r="JUL25" s="3"/>
      <c r="JUM25" s="3"/>
      <c r="JUN25" s="3"/>
      <c r="JUO25" s="3"/>
      <c r="JUP25" s="3"/>
      <c r="JUQ25" s="3"/>
      <c r="JUR25" s="3"/>
      <c r="JUS25" s="3"/>
      <c r="JUT25" s="3"/>
      <c r="JUU25" s="3"/>
      <c r="JUV25" s="3"/>
      <c r="JUW25" s="3"/>
      <c r="JUX25" s="3"/>
      <c r="JUY25" s="3"/>
      <c r="JUZ25" s="3"/>
      <c r="JVA25" s="3"/>
      <c r="JVB25" s="3"/>
      <c r="JVC25" s="3"/>
      <c r="JVD25" s="3"/>
      <c r="JVE25" s="3"/>
      <c r="JVF25" s="3"/>
      <c r="JVG25" s="3"/>
      <c r="JVH25" s="3"/>
      <c r="JVI25" s="3"/>
      <c r="JVJ25" s="3"/>
      <c r="JVK25" s="3"/>
      <c r="JVL25" s="3"/>
      <c r="JVM25" s="3"/>
      <c r="JVN25" s="3"/>
      <c r="JVO25" s="3"/>
      <c r="JVP25" s="3"/>
      <c r="JVQ25" s="3"/>
      <c r="JVR25" s="3"/>
      <c r="JVS25" s="3"/>
      <c r="JVT25" s="3"/>
      <c r="JVU25" s="3"/>
      <c r="JVV25" s="3"/>
      <c r="JVW25" s="3"/>
      <c r="JVX25" s="3"/>
      <c r="JVY25" s="3"/>
      <c r="JVZ25" s="3"/>
      <c r="JWA25" s="3"/>
      <c r="JWB25" s="3"/>
      <c r="JWC25" s="3"/>
      <c r="JWD25" s="3"/>
      <c r="JWE25" s="3"/>
      <c r="JWF25" s="3"/>
      <c r="JWG25" s="3"/>
      <c r="JWH25" s="3"/>
      <c r="JWI25" s="3"/>
      <c r="JWJ25" s="3"/>
      <c r="JWK25" s="3"/>
      <c r="JWL25" s="3"/>
      <c r="JWM25" s="3"/>
      <c r="JWN25" s="3"/>
      <c r="JWO25" s="3"/>
      <c r="JWP25" s="3"/>
      <c r="JWQ25" s="3"/>
      <c r="JWR25" s="3"/>
      <c r="JWS25" s="3"/>
      <c r="JWT25" s="3"/>
      <c r="JWU25" s="3"/>
      <c r="JWV25" s="3"/>
      <c r="JWW25" s="3"/>
      <c r="JWX25" s="3"/>
      <c r="JWY25" s="3"/>
      <c r="JWZ25" s="3"/>
      <c r="JXA25" s="3"/>
      <c r="JXB25" s="3"/>
      <c r="JXC25" s="3"/>
      <c r="JXD25" s="3"/>
      <c r="JXE25" s="3"/>
      <c r="JXF25" s="3"/>
      <c r="JXG25" s="3"/>
      <c r="JXH25" s="3"/>
      <c r="JXI25" s="3"/>
      <c r="JXJ25" s="3"/>
      <c r="JXK25" s="3"/>
      <c r="JXL25" s="3"/>
      <c r="JXM25" s="3"/>
      <c r="JXN25" s="3"/>
      <c r="JXO25" s="3"/>
      <c r="JXP25" s="3"/>
      <c r="JXQ25" s="3"/>
      <c r="JXR25" s="3"/>
      <c r="JXS25" s="3"/>
      <c r="JXT25" s="3"/>
      <c r="JXU25" s="3"/>
      <c r="JXV25" s="3"/>
      <c r="JXW25" s="3"/>
      <c r="JXX25" s="3"/>
      <c r="JXY25" s="3"/>
      <c r="JXZ25" s="3"/>
      <c r="JYA25" s="3"/>
      <c r="JYB25" s="3"/>
      <c r="JYC25" s="3"/>
      <c r="JYD25" s="3"/>
      <c r="JYE25" s="3"/>
      <c r="JYF25" s="3"/>
      <c r="JYG25" s="3"/>
      <c r="JYH25" s="3"/>
      <c r="JYI25" s="3"/>
      <c r="JYJ25" s="3"/>
      <c r="JYK25" s="3"/>
      <c r="JYL25" s="3"/>
      <c r="JYM25" s="3"/>
      <c r="JYN25" s="3"/>
      <c r="JYO25" s="3"/>
      <c r="JYP25" s="3"/>
      <c r="JYQ25" s="3"/>
      <c r="JYR25" s="3"/>
      <c r="JYS25" s="3"/>
      <c r="JYT25" s="3"/>
      <c r="JYU25" s="3"/>
      <c r="JYV25" s="3"/>
      <c r="JYW25" s="3"/>
      <c r="JYX25" s="3"/>
      <c r="JYY25" s="3"/>
      <c r="JYZ25" s="3"/>
      <c r="JZA25" s="3"/>
      <c r="JZB25" s="3"/>
      <c r="JZC25" s="3"/>
      <c r="JZD25" s="3"/>
      <c r="JZE25" s="3"/>
      <c r="JZF25" s="3"/>
      <c r="JZG25" s="3"/>
      <c r="JZH25" s="3"/>
      <c r="JZI25" s="3"/>
      <c r="JZJ25" s="3"/>
      <c r="JZK25" s="3"/>
      <c r="JZL25" s="3"/>
      <c r="JZM25" s="3"/>
      <c r="JZN25" s="3"/>
      <c r="JZO25" s="3"/>
      <c r="JZP25" s="3"/>
      <c r="JZQ25" s="3"/>
      <c r="JZR25" s="3"/>
      <c r="JZS25" s="3"/>
      <c r="JZT25" s="3"/>
      <c r="JZU25" s="3"/>
      <c r="JZV25" s="3"/>
      <c r="JZW25" s="3"/>
      <c r="JZX25" s="3"/>
      <c r="JZY25" s="3"/>
      <c r="JZZ25" s="3"/>
      <c r="KAA25" s="3"/>
      <c r="KAB25" s="3"/>
      <c r="KAC25" s="3"/>
      <c r="KAD25" s="3"/>
      <c r="KAE25" s="3"/>
      <c r="KAF25" s="3"/>
      <c r="KAG25" s="3"/>
      <c r="KAH25" s="3"/>
      <c r="KAI25" s="3"/>
      <c r="KAJ25" s="3"/>
      <c r="KAK25" s="3"/>
      <c r="KAL25" s="3"/>
      <c r="KAM25" s="3"/>
      <c r="KAN25" s="3"/>
      <c r="KAO25" s="3"/>
      <c r="KAP25" s="3"/>
      <c r="KAQ25" s="3"/>
      <c r="KAR25" s="3"/>
      <c r="KAS25" s="3"/>
      <c r="KAT25" s="3"/>
      <c r="KAU25" s="3"/>
      <c r="KAV25" s="3"/>
      <c r="KAW25" s="3"/>
      <c r="KAX25" s="3"/>
      <c r="KAY25" s="3"/>
      <c r="KAZ25" s="3"/>
      <c r="KBA25" s="3"/>
      <c r="KBB25" s="3"/>
      <c r="KBC25" s="3"/>
      <c r="KBD25" s="3"/>
      <c r="KBE25" s="3"/>
      <c r="KBF25" s="3"/>
      <c r="KBG25" s="3"/>
      <c r="KBH25" s="3"/>
      <c r="KBI25" s="3"/>
      <c r="KBJ25" s="3"/>
      <c r="KBK25" s="3"/>
      <c r="KBL25" s="3"/>
      <c r="KBM25" s="3"/>
      <c r="KBN25" s="3"/>
      <c r="KBO25" s="3"/>
      <c r="KBP25" s="3"/>
      <c r="KBQ25" s="3"/>
      <c r="KBR25" s="3"/>
      <c r="KBS25" s="3"/>
      <c r="KBT25" s="3"/>
      <c r="KBU25" s="3"/>
      <c r="KBV25" s="3"/>
      <c r="KBW25" s="3"/>
      <c r="KBX25" s="3"/>
      <c r="KBY25" s="3"/>
      <c r="KBZ25" s="3"/>
      <c r="KCA25" s="3"/>
      <c r="KCB25" s="3"/>
      <c r="KCC25" s="3"/>
      <c r="KCD25" s="3"/>
      <c r="KCE25" s="3"/>
      <c r="KCF25" s="3"/>
      <c r="KCG25" s="3"/>
      <c r="KCH25" s="3"/>
      <c r="KCI25" s="3"/>
      <c r="KCJ25" s="3"/>
      <c r="KCK25" s="3"/>
      <c r="KCL25" s="3"/>
      <c r="KCM25" s="3"/>
      <c r="KCN25" s="3"/>
      <c r="KCO25" s="3"/>
      <c r="KCP25" s="3"/>
      <c r="KCQ25" s="3"/>
      <c r="KCR25" s="3"/>
      <c r="KCS25" s="3"/>
      <c r="KCT25" s="3"/>
      <c r="KCU25" s="3"/>
      <c r="KCV25" s="3"/>
      <c r="KCW25" s="3"/>
      <c r="KCX25" s="3"/>
      <c r="KCY25" s="3"/>
      <c r="KCZ25" s="3"/>
      <c r="KDA25" s="3"/>
      <c r="KDB25" s="3"/>
      <c r="KDC25" s="3"/>
      <c r="KDD25" s="3"/>
      <c r="KDE25" s="3"/>
      <c r="KDF25" s="3"/>
      <c r="KDG25" s="3"/>
      <c r="KDH25" s="3"/>
      <c r="KDI25" s="3"/>
      <c r="KDJ25" s="3"/>
      <c r="KDK25" s="3"/>
      <c r="KDL25" s="3"/>
      <c r="KDM25" s="3"/>
      <c r="KDN25" s="3"/>
      <c r="KDO25" s="3"/>
      <c r="KDP25" s="3"/>
      <c r="KDQ25" s="3"/>
      <c r="KDR25" s="3"/>
      <c r="KDS25" s="3"/>
      <c r="KDT25" s="3"/>
      <c r="KDU25" s="3"/>
      <c r="KDV25" s="3"/>
      <c r="KDW25" s="3"/>
      <c r="KDX25" s="3"/>
      <c r="KDY25" s="3"/>
      <c r="KDZ25" s="3"/>
      <c r="KEA25" s="3"/>
      <c r="KEB25" s="3"/>
      <c r="KEC25" s="3"/>
      <c r="KED25" s="3"/>
      <c r="KEE25" s="3"/>
      <c r="KEF25" s="3"/>
      <c r="KEG25" s="3"/>
      <c r="KEH25" s="3"/>
      <c r="KEI25" s="3"/>
      <c r="KEJ25" s="3"/>
      <c r="KEK25" s="3"/>
      <c r="KEL25" s="3"/>
      <c r="KEM25" s="3"/>
      <c r="KEN25" s="3"/>
      <c r="KEO25" s="3"/>
      <c r="KEP25" s="3"/>
      <c r="KEQ25" s="3"/>
      <c r="KER25" s="3"/>
      <c r="KES25" s="3"/>
      <c r="KET25" s="3"/>
      <c r="KEU25" s="3"/>
      <c r="KEV25" s="3"/>
      <c r="KEW25" s="3"/>
      <c r="KEX25" s="3"/>
      <c r="KEY25" s="3"/>
      <c r="KEZ25" s="3"/>
      <c r="KFA25" s="3"/>
      <c r="KFB25" s="3"/>
      <c r="KFC25" s="3"/>
      <c r="KFD25" s="3"/>
      <c r="KFE25" s="3"/>
      <c r="KFF25" s="3"/>
      <c r="KFG25" s="3"/>
      <c r="KFH25" s="3"/>
      <c r="KFI25" s="3"/>
      <c r="KFJ25" s="3"/>
      <c r="KFK25" s="3"/>
      <c r="KFL25" s="3"/>
      <c r="KFM25" s="3"/>
      <c r="KFN25" s="3"/>
      <c r="KFO25" s="3"/>
      <c r="KFP25" s="3"/>
      <c r="KFQ25" s="3"/>
      <c r="KFR25" s="3"/>
      <c r="KFS25" s="3"/>
      <c r="KFT25" s="3"/>
      <c r="KFU25" s="3"/>
      <c r="KFV25" s="3"/>
      <c r="KFW25" s="3"/>
      <c r="KFX25" s="3"/>
      <c r="KFY25" s="3"/>
      <c r="KFZ25" s="3"/>
      <c r="KGA25" s="3"/>
      <c r="KGB25" s="3"/>
      <c r="KGC25" s="3"/>
      <c r="KGD25" s="3"/>
      <c r="KGE25" s="3"/>
      <c r="KGF25" s="3"/>
      <c r="KGG25" s="3"/>
      <c r="KGH25" s="3"/>
      <c r="KGI25" s="3"/>
      <c r="KGJ25" s="3"/>
      <c r="KGK25" s="3"/>
      <c r="KGL25" s="3"/>
      <c r="KGM25" s="3"/>
      <c r="KGN25" s="3"/>
      <c r="KGO25" s="3"/>
      <c r="KGP25" s="3"/>
      <c r="KGQ25" s="3"/>
      <c r="KGR25" s="3"/>
      <c r="KGS25" s="3"/>
      <c r="KGT25" s="3"/>
      <c r="KGU25" s="3"/>
      <c r="KGV25" s="3"/>
      <c r="KGW25" s="3"/>
      <c r="KGX25" s="3"/>
      <c r="KGY25" s="3"/>
      <c r="KGZ25" s="3"/>
      <c r="KHA25" s="3"/>
      <c r="KHB25" s="3"/>
      <c r="KHC25" s="3"/>
      <c r="KHD25" s="3"/>
      <c r="KHE25" s="3"/>
      <c r="KHF25" s="3"/>
      <c r="KHG25" s="3"/>
      <c r="KHH25" s="3"/>
      <c r="KHI25" s="3"/>
      <c r="KHJ25" s="3"/>
      <c r="KHK25" s="3"/>
      <c r="KHL25" s="3"/>
      <c r="KHM25" s="3"/>
      <c r="KHN25" s="3"/>
      <c r="KHO25" s="3"/>
      <c r="KHP25" s="3"/>
      <c r="KHQ25" s="3"/>
      <c r="KHR25" s="3"/>
      <c r="KHS25" s="3"/>
      <c r="KHT25" s="3"/>
      <c r="KHU25" s="3"/>
      <c r="KHV25" s="3"/>
      <c r="KHW25" s="3"/>
      <c r="KHX25" s="3"/>
      <c r="KHY25" s="3"/>
      <c r="KHZ25" s="3"/>
      <c r="KIA25" s="3"/>
      <c r="KIB25" s="3"/>
      <c r="KIC25" s="3"/>
      <c r="KID25" s="3"/>
      <c r="KIE25" s="3"/>
      <c r="KIF25" s="3"/>
      <c r="KIG25" s="3"/>
      <c r="KIH25" s="3"/>
      <c r="KII25" s="3"/>
      <c r="KIJ25" s="3"/>
      <c r="KIK25" s="3"/>
      <c r="KIL25" s="3"/>
      <c r="KIM25" s="3"/>
      <c r="KIN25" s="3"/>
      <c r="KIO25" s="3"/>
      <c r="KIP25" s="3"/>
      <c r="KIQ25" s="3"/>
      <c r="KIR25" s="3"/>
      <c r="KIS25" s="3"/>
      <c r="KIT25" s="3"/>
      <c r="KIU25" s="3"/>
      <c r="KIV25" s="3"/>
      <c r="KIW25" s="3"/>
      <c r="KIX25" s="3"/>
      <c r="KIY25" s="3"/>
      <c r="KIZ25" s="3"/>
      <c r="KJA25" s="3"/>
      <c r="KJB25" s="3"/>
      <c r="KJC25" s="3"/>
      <c r="KJD25" s="3"/>
      <c r="KJE25" s="3"/>
      <c r="KJF25" s="3"/>
      <c r="KJG25" s="3"/>
      <c r="KJH25" s="3"/>
      <c r="KJI25" s="3"/>
      <c r="KJJ25" s="3"/>
      <c r="KJK25" s="3"/>
      <c r="KJL25" s="3"/>
      <c r="KJM25" s="3"/>
      <c r="KJN25" s="3"/>
      <c r="KJO25" s="3"/>
      <c r="KJP25" s="3"/>
      <c r="KJQ25" s="3"/>
      <c r="KJR25" s="3"/>
      <c r="KJS25" s="3"/>
      <c r="KJT25" s="3"/>
      <c r="KJU25" s="3"/>
      <c r="KJV25" s="3"/>
      <c r="KJW25" s="3"/>
      <c r="KJX25" s="3"/>
      <c r="KJY25" s="3"/>
      <c r="KJZ25" s="3"/>
      <c r="KKA25" s="3"/>
      <c r="KKB25" s="3"/>
      <c r="KKC25" s="3"/>
      <c r="KKD25" s="3"/>
      <c r="KKE25" s="3"/>
      <c r="KKF25" s="3"/>
      <c r="KKG25" s="3"/>
      <c r="KKH25" s="3"/>
      <c r="KKI25" s="3"/>
      <c r="KKJ25" s="3"/>
      <c r="KKK25" s="3"/>
      <c r="KKL25" s="3"/>
      <c r="KKM25" s="3"/>
      <c r="KKN25" s="3"/>
      <c r="KKO25" s="3"/>
      <c r="KKP25" s="3"/>
      <c r="KKQ25" s="3"/>
      <c r="KKR25" s="3"/>
      <c r="KKS25" s="3"/>
      <c r="KKT25" s="3"/>
      <c r="KKU25" s="3"/>
      <c r="KKV25" s="3"/>
      <c r="KKW25" s="3"/>
      <c r="KKX25" s="3"/>
      <c r="KKY25" s="3"/>
      <c r="KKZ25" s="3"/>
      <c r="KLA25" s="3"/>
      <c r="KLB25" s="3"/>
      <c r="KLC25" s="3"/>
      <c r="KLD25" s="3"/>
      <c r="KLE25" s="3"/>
      <c r="KLF25" s="3"/>
      <c r="KLG25" s="3"/>
      <c r="KLH25" s="3"/>
      <c r="KLI25" s="3"/>
      <c r="KLJ25" s="3"/>
      <c r="KLK25" s="3"/>
      <c r="KLL25" s="3"/>
      <c r="KLM25" s="3"/>
      <c r="KLN25" s="3"/>
      <c r="KLO25" s="3"/>
      <c r="KLP25" s="3"/>
      <c r="KLQ25" s="3"/>
      <c r="KLR25" s="3"/>
      <c r="KLS25" s="3"/>
      <c r="KLT25" s="3"/>
      <c r="KLU25" s="3"/>
      <c r="KLV25" s="3"/>
      <c r="KLW25" s="3"/>
      <c r="KLX25" s="3"/>
      <c r="KLY25" s="3"/>
      <c r="KLZ25" s="3"/>
      <c r="KMA25" s="3"/>
      <c r="KMB25" s="3"/>
      <c r="KMC25" s="3"/>
      <c r="KMD25" s="3"/>
      <c r="KME25" s="3"/>
      <c r="KMF25" s="3"/>
      <c r="KMG25" s="3"/>
      <c r="KMH25" s="3"/>
      <c r="KMI25" s="3"/>
      <c r="KMJ25" s="3"/>
      <c r="KMK25" s="3"/>
      <c r="KML25" s="3"/>
      <c r="KMM25" s="3"/>
      <c r="KMN25" s="3"/>
      <c r="KMO25" s="3"/>
      <c r="KMP25" s="3"/>
      <c r="KMQ25" s="3"/>
      <c r="KMR25" s="3"/>
      <c r="KMS25" s="3"/>
      <c r="KMT25" s="3"/>
      <c r="KMU25" s="3"/>
      <c r="KMV25" s="3"/>
      <c r="KMW25" s="3"/>
      <c r="KMX25" s="3"/>
      <c r="KMY25" s="3"/>
      <c r="KMZ25" s="3"/>
      <c r="KNA25" s="3"/>
      <c r="KNB25" s="3"/>
      <c r="KNC25" s="3"/>
      <c r="KND25" s="3"/>
      <c r="KNE25" s="3"/>
      <c r="KNF25" s="3"/>
      <c r="KNG25" s="3"/>
      <c r="KNH25" s="3"/>
      <c r="KNI25" s="3"/>
      <c r="KNJ25" s="3"/>
      <c r="KNK25" s="3"/>
      <c r="KNL25" s="3"/>
      <c r="KNM25" s="3"/>
      <c r="KNN25" s="3"/>
      <c r="KNO25" s="3"/>
      <c r="KNP25" s="3"/>
      <c r="KNQ25" s="3"/>
      <c r="KNR25" s="3"/>
      <c r="KNS25" s="3"/>
      <c r="KNT25" s="3"/>
      <c r="KNU25" s="3"/>
      <c r="KNV25" s="3"/>
      <c r="KNW25" s="3"/>
      <c r="KNX25" s="3"/>
      <c r="KNY25" s="3"/>
      <c r="KNZ25" s="3"/>
      <c r="KOA25" s="3"/>
      <c r="KOB25" s="3"/>
      <c r="KOC25" s="3"/>
      <c r="KOD25" s="3"/>
      <c r="KOE25" s="3"/>
      <c r="KOF25" s="3"/>
      <c r="KOG25" s="3"/>
      <c r="KOH25" s="3"/>
      <c r="KOI25" s="3"/>
      <c r="KOJ25" s="3"/>
      <c r="KOK25" s="3"/>
      <c r="KOL25" s="3"/>
      <c r="KOM25" s="3"/>
      <c r="KON25" s="3"/>
      <c r="KOO25" s="3"/>
      <c r="KOP25" s="3"/>
      <c r="KOQ25" s="3"/>
      <c r="KOR25" s="3"/>
      <c r="KOS25" s="3"/>
      <c r="KOT25" s="3"/>
      <c r="KOU25" s="3"/>
      <c r="KOV25" s="3"/>
      <c r="KOW25" s="3"/>
      <c r="KOX25" s="3"/>
      <c r="KOY25" s="3"/>
      <c r="KOZ25" s="3"/>
      <c r="KPA25" s="3"/>
      <c r="KPB25" s="3"/>
      <c r="KPC25" s="3"/>
      <c r="KPD25" s="3"/>
      <c r="KPE25" s="3"/>
      <c r="KPF25" s="3"/>
      <c r="KPG25" s="3"/>
      <c r="KPH25" s="3"/>
      <c r="KPI25" s="3"/>
      <c r="KPJ25" s="3"/>
      <c r="KPK25" s="3"/>
      <c r="KPL25" s="3"/>
      <c r="KPM25" s="3"/>
      <c r="KPN25" s="3"/>
      <c r="KPO25" s="3"/>
      <c r="KPP25" s="3"/>
      <c r="KPQ25" s="3"/>
      <c r="KPR25" s="3"/>
      <c r="KPS25" s="3"/>
      <c r="KPT25" s="3"/>
      <c r="KPU25" s="3"/>
      <c r="KPV25" s="3"/>
      <c r="KPW25" s="3"/>
      <c r="KPX25" s="3"/>
      <c r="KPY25" s="3"/>
      <c r="KPZ25" s="3"/>
      <c r="KQA25" s="3"/>
      <c r="KQB25" s="3"/>
      <c r="KQC25" s="3"/>
      <c r="KQD25" s="3"/>
      <c r="KQE25" s="3"/>
      <c r="KQF25" s="3"/>
      <c r="KQG25" s="3"/>
      <c r="KQH25" s="3"/>
      <c r="KQI25" s="3"/>
      <c r="KQJ25" s="3"/>
      <c r="KQK25" s="3"/>
      <c r="KQL25" s="3"/>
      <c r="KQM25" s="3"/>
      <c r="KQN25" s="3"/>
      <c r="KQO25" s="3"/>
      <c r="KQP25" s="3"/>
      <c r="KQQ25" s="3"/>
      <c r="KQR25" s="3"/>
      <c r="KQS25" s="3"/>
      <c r="KQT25" s="3"/>
      <c r="KQU25" s="3"/>
      <c r="KQV25" s="3"/>
      <c r="KQW25" s="3"/>
      <c r="KQX25" s="3"/>
      <c r="KQY25" s="3"/>
      <c r="KQZ25" s="3"/>
      <c r="KRA25" s="3"/>
      <c r="KRB25" s="3"/>
      <c r="KRC25" s="3"/>
      <c r="KRD25" s="3"/>
      <c r="KRE25" s="3"/>
      <c r="KRF25" s="3"/>
      <c r="KRG25" s="3"/>
      <c r="KRH25" s="3"/>
      <c r="KRI25" s="3"/>
      <c r="KRJ25" s="3"/>
      <c r="KRK25" s="3"/>
      <c r="KRL25" s="3"/>
      <c r="KRM25" s="3"/>
      <c r="KRN25" s="3"/>
      <c r="KRO25" s="3"/>
      <c r="KRP25" s="3"/>
      <c r="KRQ25" s="3"/>
      <c r="KRR25" s="3"/>
      <c r="KRS25" s="3"/>
      <c r="KRT25" s="3"/>
      <c r="KRU25" s="3"/>
      <c r="KRV25" s="3"/>
      <c r="KRW25" s="3"/>
      <c r="KRX25" s="3"/>
      <c r="KRY25" s="3"/>
      <c r="KRZ25" s="3"/>
      <c r="KSA25" s="3"/>
      <c r="KSB25" s="3"/>
      <c r="KSC25" s="3"/>
      <c r="KSD25" s="3"/>
      <c r="KSE25" s="3"/>
      <c r="KSF25" s="3"/>
      <c r="KSG25" s="3"/>
      <c r="KSH25" s="3"/>
      <c r="KSI25" s="3"/>
      <c r="KSJ25" s="3"/>
      <c r="KSK25" s="3"/>
      <c r="KSL25" s="3"/>
      <c r="KSM25" s="3"/>
      <c r="KSN25" s="3"/>
      <c r="KSO25" s="3"/>
      <c r="KSP25" s="3"/>
      <c r="KSQ25" s="3"/>
      <c r="KSR25" s="3"/>
      <c r="KSS25" s="3"/>
      <c r="KST25" s="3"/>
      <c r="KSU25" s="3"/>
      <c r="KSV25" s="3"/>
      <c r="KSW25" s="3"/>
      <c r="KSX25" s="3"/>
      <c r="KSY25" s="3"/>
      <c r="KSZ25" s="3"/>
      <c r="KTA25" s="3"/>
      <c r="KTB25" s="3"/>
      <c r="KTC25" s="3"/>
      <c r="KTD25" s="3"/>
      <c r="KTE25" s="3"/>
      <c r="KTF25" s="3"/>
      <c r="KTG25" s="3"/>
      <c r="KTH25" s="3"/>
      <c r="KTI25" s="3"/>
      <c r="KTJ25" s="3"/>
      <c r="KTK25" s="3"/>
      <c r="KTL25" s="3"/>
      <c r="KTM25" s="3"/>
      <c r="KTN25" s="3"/>
      <c r="KTO25" s="3"/>
      <c r="KTP25" s="3"/>
      <c r="KTQ25" s="3"/>
      <c r="KTR25" s="3"/>
      <c r="KTS25" s="3"/>
      <c r="KTT25" s="3"/>
      <c r="KTU25" s="3"/>
      <c r="KTV25" s="3"/>
      <c r="KTW25" s="3"/>
      <c r="KTX25" s="3"/>
      <c r="KTY25" s="3"/>
      <c r="KTZ25" s="3"/>
      <c r="KUA25" s="3"/>
      <c r="KUB25" s="3"/>
      <c r="KUC25" s="3"/>
      <c r="KUD25" s="3"/>
      <c r="KUE25" s="3"/>
      <c r="KUF25" s="3"/>
      <c r="KUG25" s="3"/>
      <c r="KUH25" s="3"/>
      <c r="KUI25" s="3"/>
      <c r="KUJ25" s="3"/>
      <c r="KUK25" s="3"/>
      <c r="KUL25" s="3"/>
      <c r="KUM25" s="3"/>
      <c r="KUN25" s="3"/>
      <c r="KUO25" s="3"/>
      <c r="KUP25" s="3"/>
      <c r="KUQ25" s="3"/>
      <c r="KUR25" s="3"/>
      <c r="KUS25" s="3"/>
      <c r="KUT25" s="3"/>
      <c r="KUU25" s="3"/>
      <c r="KUV25" s="3"/>
      <c r="KUW25" s="3"/>
      <c r="KUX25" s="3"/>
      <c r="KUY25" s="3"/>
      <c r="KUZ25" s="3"/>
      <c r="KVA25" s="3"/>
      <c r="KVB25" s="3"/>
      <c r="KVC25" s="3"/>
      <c r="KVD25" s="3"/>
      <c r="KVE25" s="3"/>
      <c r="KVF25" s="3"/>
      <c r="KVG25" s="3"/>
      <c r="KVH25" s="3"/>
      <c r="KVI25" s="3"/>
      <c r="KVJ25" s="3"/>
      <c r="KVK25" s="3"/>
      <c r="KVL25" s="3"/>
      <c r="KVM25" s="3"/>
      <c r="KVN25" s="3"/>
      <c r="KVO25" s="3"/>
      <c r="KVP25" s="3"/>
      <c r="KVQ25" s="3"/>
      <c r="KVR25" s="3"/>
      <c r="KVS25" s="3"/>
      <c r="KVT25" s="3"/>
      <c r="KVU25" s="3"/>
      <c r="KVV25" s="3"/>
      <c r="KVW25" s="3"/>
      <c r="KVX25" s="3"/>
      <c r="KVY25" s="3"/>
      <c r="KVZ25" s="3"/>
      <c r="KWA25" s="3"/>
      <c r="KWB25" s="3"/>
      <c r="KWC25" s="3"/>
      <c r="KWD25" s="3"/>
      <c r="KWE25" s="3"/>
      <c r="KWF25" s="3"/>
      <c r="KWG25" s="3"/>
      <c r="KWH25" s="3"/>
      <c r="KWI25" s="3"/>
      <c r="KWJ25" s="3"/>
      <c r="KWK25" s="3"/>
      <c r="KWL25" s="3"/>
      <c r="KWM25" s="3"/>
      <c r="KWN25" s="3"/>
      <c r="KWO25" s="3"/>
      <c r="KWP25" s="3"/>
      <c r="KWQ25" s="3"/>
      <c r="KWR25" s="3"/>
      <c r="KWS25" s="3"/>
      <c r="KWT25" s="3"/>
      <c r="KWU25" s="3"/>
      <c r="KWV25" s="3"/>
      <c r="KWW25" s="3"/>
      <c r="KWX25" s="3"/>
      <c r="KWY25" s="3"/>
      <c r="KWZ25" s="3"/>
      <c r="KXA25" s="3"/>
      <c r="KXB25" s="3"/>
      <c r="KXC25" s="3"/>
      <c r="KXD25" s="3"/>
      <c r="KXE25" s="3"/>
      <c r="KXF25" s="3"/>
      <c r="KXG25" s="3"/>
      <c r="KXH25" s="3"/>
      <c r="KXI25" s="3"/>
      <c r="KXJ25" s="3"/>
      <c r="KXK25" s="3"/>
      <c r="KXL25" s="3"/>
      <c r="KXM25" s="3"/>
      <c r="KXN25" s="3"/>
      <c r="KXO25" s="3"/>
      <c r="KXP25" s="3"/>
      <c r="KXQ25" s="3"/>
      <c r="KXR25" s="3"/>
      <c r="KXS25" s="3"/>
      <c r="KXT25" s="3"/>
      <c r="KXU25" s="3"/>
      <c r="KXV25" s="3"/>
      <c r="KXW25" s="3"/>
      <c r="KXX25" s="3"/>
      <c r="KXY25" s="3"/>
      <c r="KXZ25" s="3"/>
      <c r="KYA25" s="3"/>
      <c r="KYB25" s="3"/>
      <c r="KYC25" s="3"/>
      <c r="KYD25" s="3"/>
      <c r="KYE25" s="3"/>
      <c r="KYF25" s="3"/>
      <c r="KYG25" s="3"/>
      <c r="KYH25" s="3"/>
      <c r="KYI25" s="3"/>
      <c r="KYJ25" s="3"/>
      <c r="KYK25" s="3"/>
      <c r="KYL25" s="3"/>
      <c r="KYM25" s="3"/>
      <c r="KYN25" s="3"/>
      <c r="KYO25" s="3"/>
      <c r="KYP25" s="3"/>
      <c r="KYQ25" s="3"/>
      <c r="KYR25" s="3"/>
      <c r="KYS25" s="3"/>
      <c r="KYT25" s="3"/>
      <c r="KYU25" s="3"/>
      <c r="KYV25" s="3"/>
      <c r="KYW25" s="3"/>
      <c r="KYX25" s="3"/>
      <c r="KYY25" s="3"/>
      <c r="KYZ25" s="3"/>
      <c r="KZA25" s="3"/>
      <c r="KZB25" s="3"/>
      <c r="KZC25" s="3"/>
      <c r="KZD25" s="3"/>
      <c r="KZE25" s="3"/>
      <c r="KZF25" s="3"/>
      <c r="KZG25" s="3"/>
      <c r="KZH25" s="3"/>
      <c r="KZI25" s="3"/>
      <c r="KZJ25" s="3"/>
      <c r="KZK25" s="3"/>
      <c r="KZL25" s="3"/>
      <c r="KZM25" s="3"/>
      <c r="KZN25" s="3"/>
      <c r="KZO25" s="3"/>
      <c r="KZP25" s="3"/>
      <c r="KZQ25" s="3"/>
      <c r="KZR25" s="3"/>
      <c r="KZS25" s="3"/>
      <c r="KZT25" s="3"/>
      <c r="KZU25" s="3"/>
      <c r="KZV25" s="3"/>
      <c r="KZW25" s="3"/>
      <c r="KZX25" s="3"/>
      <c r="KZY25" s="3"/>
      <c r="KZZ25" s="3"/>
      <c r="LAA25" s="3"/>
      <c r="LAB25" s="3"/>
      <c r="LAC25" s="3"/>
      <c r="LAD25" s="3"/>
      <c r="LAE25" s="3"/>
      <c r="LAF25" s="3"/>
      <c r="LAG25" s="3"/>
      <c r="LAH25" s="3"/>
      <c r="LAI25" s="3"/>
      <c r="LAJ25" s="3"/>
      <c r="LAK25" s="3"/>
      <c r="LAL25" s="3"/>
      <c r="LAM25" s="3"/>
      <c r="LAN25" s="3"/>
      <c r="LAO25" s="3"/>
      <c r="LAP25" s="3"/>
      <c r="LAQ25" s="3"/>
      <c r="LAR25" s="3"/>
      <c r="LAS25" s="3"/>
      <c r="LAT25" s="3"/>
      <c r="LAU25" s="3"/>
      <c r="LAV25" s="3"/>
      <c r="LAW25" s="3"/>
      <c r="LAX25" s="3"/>
      <c r="LAY25" s="3"/>
      <c r="LAZ25" s="3"/>
      <c r="LBA25" s="3"/>
      <c r="LBB25" s="3"/>
      <c r="LBC25" s="3"/>
      <c r="LBD25" s="3"/>
      <c r="LBE25" s="3"/>
      <c r="LBF25" s="3"/>
      <c r="LBG25" s="3"/>
      <c r="LBH25" s="3"/>
      <c r="LBI25" s="3"/>
      <c r="LBJ25" s="3"/>
      <c r="LBK25" s="3"/>
      <c r="LBL25" s="3"/>
      <c r="LBM25" s="3"/>
      <c r="LBN25" s="3"/>
      <c r="LBO25" s="3"/>
      <c r="LBP25" s="3"/>
      <c r="LBQ25" s="3"/>
      <c r="LBR25" s="3"/>
      <c r="LBS25" s="3"/>
      <c r="LBT25" s="3"/>
      <c r="LBU25" s="3"/>
      <c r="LBV25" s="3"/>
      <c r="LBW25" s="3"/>
      <c r="LBX25" s="3"/>
      <c r="LBY25" s="3"/>
      <c r="LBZ25" s="3"/>
      <c r="LCA25" s="3"/>
      <c r="LCB25" s="3"/>
      <c r="LCC25" s="3"/>
      <c r="LCD25" s="3"/>
      <c r="LCE25" s="3"/>
      <c r="LCF25" s="3"/>
      <c r="LCG25" s="3"/>
      <c r="LCH25" s="3"/>
      <c r="LCI25" s="3"/>
      <c r="LCJ25" s="3"/>
      <c r="LCK25" s="3"/>
      <c r="LCL25" s="3"/>
      <c r="LCM25" s="3"/>
      <c r="LCN25" s="3"/>
      <c r="LCO25" s="3"/>
      <c r="LCP25" s="3"/>
      <c r="LCQ25" s="3"/>
      <c r="LCR25" s="3"/>
      <c r="LCS25" s="3"/>
      <c r="LCT25" s="3"/>
      <c r="LCU25" s="3"/>
      <c r="LCV25" s="3"/>
      <c r="LCW25" s="3"/>
      <c r="LCX25" s="3"/>
      <c r="LCY25" s="3"/>
      <c r="LCZ25" s="3"/>
      <c r="LDA25" s="3"/>
      <c r="LDB25" s="3"/>
      <c r="LDC25" s="3"/>
      <c r="LDD25" s="3"/>
      <c r="LDE25" s="3"/>
      <c r="LDF25" s="3"/>
      <c r="LDG25" s="3"/>
      <c r="LDH25" s="3"/>
      <c r="LDI25" s="3"/>
      <c r="LDJ25" s="3"/>
      <c r="LDK25" s="3"/>
      <c r="LDL25" s="3"/>
      <c r="LDM25" s="3"/>
      <c r="LDN25" s="3"/>
      <c r="LDO25" s="3"/>
      <c r="LDP25" s="3"/>
      <c r="LDQ25" s="3"/>
      <c r="LDR25" s="3"/>
      <c r="LDS25" s="3"/>
      <c r="LDT25" s="3"/>
      <c r="LDU25" s="3"/>
      <c r="LDV25" s="3"/>
      <c r="LDW25" s="3"/>
      <c r="LDX25" s="3"/>
      <c r="LDY25" s="3"/>
      <c r="LDZ25" s="3"/>
      <c r="LEA25" s="3"/>
      <c r="LEB25" s="3"/>
      <c r="LEC25" s="3"/>
      <c r="LED25" s="3"/>
      <c r="LEE25" s="3"/>
      <c r="LEF25" s="3"/>
      <c r="LEG25" s="3"/>
      <c r="LEH25" s="3"/>
      <c r="LEI25" s="3"/>
      <c r="LEJ25" s="3"/>
      <c r="LEK25" s="3"/>
      <c r="LEL25" s="3"/>
      <c r="LEM25" s="3"/>
      <c r="LEN25" s="3"/>
      <c r="LEO25" s="3"/>
      <c r="LEP25" s="3"/>
      <c r="LEQ25" s="3"/>
      <c r="LER25" s="3"/>
      <c r="LES25" s="3"/>
      <c r="LET25" s="3"/>
      <c r="LEU25" s="3"/>
      <c r="LEV25" s="3"/>
      <c r="LEW25" s="3"/>
      <c r="LEX25" s="3"/>
      <c r="LEY25" s="3"/>
      <c r="LEZ25" s="3"/>
      <c r="LFA25" s="3"/>
      <c r="LFB25" s="3"/>
      <c r="LFC25" s="3"/>
      <c r="LFD25" s="3"/>
      <c r="LFE25" s="3"/>
      <c r="LFF25" s="3"/>
      <c r="LFG25" s="3"/>
      <c r="LFH25" s="3"/>
      <c r="LFI25" s="3"/>
      <c r="LFJ25" s="3"/>
      <c r="LFK25" s="3"/>
      <c r="LFL25" s="3"/>
      <c r="LFM25" s="3"/>
      <c r="LFN25" s="3"/>
      <c r="LFO25" s="3"/>
      <c r="LFP25" s="3"/>
      <c r="LFQ25" s="3"/>
      <c r="LFR25" s="3"/>
      <c r="LFS25" s="3"/>
      <c r="LFT25" s="3"/>
      <c r="LFU25" s="3"/>
      <c r="LFV25" s="3"/>
      <c r="LFW25" s="3"/>
      <c r="LFX25" s="3"/>
      <c r="LFY25" s="3"/>
      <c r="LFZ25" s="3"/>
      <c r="LGA25" s="3"/>
      <c r="LGB25" s="3"/>
      <c r="LGC25" s="3"/>
      <c r="LGD25" s="3"/>
      <c r="LGE25" s="3"/>
      <c r="LGF25" s="3"/>
      <c r="LGG25" s="3"/>
      <c r="LGH25" s="3"/>
      <c r="LGI25" s="3"/>
      <c r="LGJ25" s="3"/>
      <c r="LGK25" s="3"/>
      <c r="LGL25" s="3"/>
      <c r="LGM25" s="3"/>
      <c r="LGN25" s="3"/>
      <c r="LGO25" s="3"/>
      <c r="LGP25" s="3"/>
      <c r="LGQ25" s="3"/>
      <c r="LGR25" s="3"/>
      <c r="LGS25" s="3"/>
      <c r="LGT25" s="3"/>
      <c r="LGU25" s="3"/>
      <c r="LGV25" s="3"/>
      <c r="LGW25" s="3"/>
      <c r="LGX25" s="3"/>
      <c r="LGY25" s="3"/>
      <c r="LGZ25" s="3"/>
      <c r="LHA25" s="3"/>
      <c r="LHB25" s="3"/>
      <c r="LHC25" s="3"/>
      <c r="LHD25" s="3"/>
      <c r="LHE25" s="3"/>
      <c r="LHF25" s="3"/>
      <c r="LHG25" s="3"/>
      <c r="LHH25" s="3"/>
      <c r="LHI25" s="3"/>
      <c r="LHJ25" s="3"/>
      <c r="LHK25" s="3"/>
      <c r="LHL25" s="3"/>
      <c r="LHM25" s="3"/>
      <c r="LHN25" s="3"/>
      <c r="LHO25" s="3"/>
      <c r="LHP25" s="3"/>
      <c r="LHQ25" s="3"/>
      <c r="LHR25" s="3"/>
      <c r="LHS25" s="3"/>
      <c r="LHT25" s="3"/>
      <c r="LHU25" s="3"/>
      <c r="LHV25" s="3"/>
      <c r="LHW25" s="3"/>
      <c r="LHX25" s="3"/>
      <c r="LHY25" s="3"/>
      <c r="LHZ25" s="3"/>
      <c r="LIA25" s="3"/>
      <c r="LIB25" s="3"/>
      <c r="LIC25" s="3"/>
      <c r="LID25" s="3"/>
      <c r="LIE25" s="3"/>
      <c r="LIF25" s="3"/>
      <c r="LIG25" s="3"/>
      <c r="LIH25" s="3"/>
      <c r="LII25" s="3"/>
      <c r="LIJ25" s="3"/>
      <c r="LIK25" s="3"/>
      <c r="LIL25" s="3"/>
      <c r="LIM25" s="3"/>
      <c r="LIN25" s="3"/>
      <c r="LIO25" s="3"/>
      <c r="LIP25" s="3"/>
      <c r="LIQ25" s="3"/>
      <c r="LIR25" s="3"/>
      <c r="LIS25" s="3"/>
      <c r="LIT25" s="3"/>
      <c r="LIU25" s="3"/>
      <c r="LIV25" s="3"/>
      <c r="LIW25" s="3"/>
      <c r="LIX25" s="3"/>
      <c r="LIY25" s="3"/>
      <c r="LIZ25" s="3"/>
      <c r="LJA25" s="3"/>
      <c r="LJB25" s="3"/>
      <c r="LJC25" s="3"/>
      <c r="LJD25" s="3"/>
      <c r="LJE25" s="3"/>
      <c r="LJF25" s="3"/>
      <c r="LJG25" s="3"/>
      <c r="LJH25" s="3"/>
      <c r="LJI25" s="3"/>
      <c r="LJJ25" s="3"/>
      <c r="LJK25" s="3"/>
      <c r="LJL25" s="3"/>
      <c r="LJM25" s="3"/>
      <c r="LJN25" s="3"/>
      <c r="LJO25" s="3"/>
      <c r="LJP25" s="3"/>
      <c r="LJQ25" s="3"/>
      <c r="LJR25" s="3"/>
      <c r="LJS25" s="3"/>
      <c r="LJT25" s="3"/>
      <c r="LJU25" s="3"/>
      <c r="LJV25" s="3"/>
      <c r="LJW25" s="3"/>
      <c r="LJX25" s="3"/>
      <c r="LJY25" s="3"/>
      <c r="LJZ25" s="3"/>
      <c r="LKA25" s="3"/>
      <c r="LKB25" s="3"/>
      <c r="LKC25" s="3"/>
      <c r="LKD25" s="3"/>
      <c r="LKE25" s="3"/>
      <c r="LKF25" s="3"/>
      <c r="LKG25" s="3"/>
      <c r="LKH25" s="3"/>
      <c r="LKI25" s="3"/>
      <c r="LKJ25" s="3"/>
      <c r="LKK25" s="3"/>
      <c r="LKL25" s="3"/>
      <c r="LKM25" s="3"/>
      <c r="LKN25" s="3"/>
      <c r="LKO25" s="3"/>
      <c r="LKP25" s="3"/>
      <c r="LKQ25" s="3"/>
      <c r="LKR25" s="3"/>
      <c r="LKS25" s="3"/>
      <c r="LKT25" s="3"/>
      <c r="LKU25" s="3"/>
      <c r="LKV25" s="3"/>
      <c r="LKW25" s="3"/>
      <c r="LKX25" s="3"/>
      <c r="LKY25" s="3"/>
      <c r="LKZ25" s="3"/>
      <c r="LLA25" s="3"/>
      <c r="LLB25" s="3"/>
      <c r="LLC25" s="3"/>
      <c r="LLD25" s="3"/>
      <c r="LLE25" s="3"/>
      <c r="LLF25" s="3"/>
      <c r="LLG25" s="3"/>
      <c r="LLH25" s="3"/>
      <c r="LLI25" s="3"/>
      <c r="LLJ25" s="3"/>
      <c r="LLK25" s="3"/>
      <c r="LLL25" s="3"/>
      <c r="LLM25" s="3"/>
      <c r="LLN25" s="3"/>
      <c r="LLO25" s="3"/>
      <c r="LLP25" s="3"/>
      <c r="LLQ25" s="3"/>
      <c r="LLR25" s="3"/>
      <c r="LLS25" s="3"/>
      <c r="LLT25" s="3"/>
      <c r="LLU25" s="3"/>
      <c r="LLV25" s="3"/>
      <c r="LLW25" s="3"/>
      <c r="LLX25" s="3"/>
      <c r="LLY25" s="3"/>
      <c r="LLZ25" s="3"/>
      <c r="LMA25" s="3"/>
      <c r="LMB25" s="3"/>
      <c r="LMC25" s="3"/>
      <c r="LMD25" s="3"/>
      <c r="LME25" s="3"/>
      <c r="LMF25" s="3"/>
      <c r="LMG25" s="3"/>
      <c r="LMH25" s="3"/>
      <c r="LMI25" s="3"/>
      <c r="LMJ25" s="3"/>
      <c r="LMK25" s="3"/>
      <c r="LML25" s="3"/>
      <c r="LMM25" s="3"/>
      <c r="LMN25" s="3"/>
      <c r="LMO25" s="3"/>
      <c r="LMP25" s="3"/>
      <c r="LMQ25" s="3"/>
      <c r="LMR25" s="3"/>
      <c r="LMS25" s="3"/>
      <c r="LMT25" s="3"/>
      <c r="LMU25" s="3"/>
      <c r="LMV25" s="3"/>
      <c r="LMW25" s="3"/>
      <c r="LMX25" s="3"/>
      <c r="LMY25" s="3"/>
      <c r="LMZ25" s="3"/>
      <c r="LNA25" s="3"/>
      <c r="LNB25" s="3"/>
      <c r="LNC25" s="3"/>
      <c r="LND25" s="3"/>
      <c r="LNE25" s="3"/>
      <c r="LNF25" s="3"/>
      <c r="LNG25" s="3"/>
      <c r="LNH25" s="3"/>
      <c r="LNI25" s="3"/>
      <c r="LNJ25" s="3"/>
      <c r="LNK25" s="3"/>
      <c r="LNL25" s="3"/>
      <c r="LNM25" s="3"/>
      <c r="LNN25" s="3"/>
      <c r="LNO25" s="3"/>
      <c r="LNP25" s="3"/>
      <c r="LNQ25" s="3"/>
      <c r="LNR25" s="3"/>
      <c r="LNS25" s="3"/>
      <c r="LNT25" s="3"/>
      <c r="LNU25" s="3"/>
      <c r="LNV25" s="3"/>
      <c r="LNW25" s="3"/>
      <c r="LNX25" s="3"/>
      <c r="LNY25" s="3"/>
      <c r="LNZ25" s="3"/>
      <c r="LOA25" s="3"/>
      <c r="LOB25" s="3"/>
      <c r="LOC25" s="3"/>
      <c r="LOD25" s="3"/>
      <c r="LOE25" s="3"/>
      <c r="LOF25" s="3"/>
      <c r="LOG25" s="3"/>
      <c r="LOH25" s="3"/>
      <c r="LOI25" s="3"/>
      <c r="LOJ25" s="3"/>
      <c r="LOK25" s="3"/>
      <c r="LOL25" s="3"/>
      <c r="LOM25" s="3"/>
      <c r="LON25" s="3"/>
      <c r="LOO25" s="3"/>
      <c r="LOP25" s="3"/>
      <c r="LOQ25" s="3"/>
      <c r="LOR25" s="3"/>
      <c r="LOS25" s="3"/>
      <c r="LOT25" s="3"/>
      <c r="LOU25" s="3"/>
      <c r="LOV25" s="3"/>
      <c r="LOW25" s="3"/>
      <c r="LOX25" s="3"/>
      <c r="LOY25" s="3"/>
      <c r="LOZ25" s="3"/>
      <c r="LPA25" s="3"/>
      <c r="LPB25" s="3"/>
      <c r="LPC25" s="3"/>
      <c r="LPD25" s="3"/>
      <c r="LPE25" s="3"/>
      <c r="LPF25" s="3"/>
      <c r="LPG25" s="3"/>
      <c r="LPH25" s="3"/>
      <c r="LPI25" s="3"/>
      <c r="LPJ25" s="3"/>
      <c r="LPK25" s="3"/>
      <c r="LPL25" s="3"/>
      <c r="LPM25" s="3"/>
      <c r="LPN25" s="3"/>
      <c r="LPO25" s="3"/>
      <c r="LPP25" s="3"/>
      <c r="LPQ25" s="3"/>
      <c r="LPR25" s="3"/>
      <c r="LPS25" s="3"/>
      <c r="LPT25" s="3"/>
      <c r="LPU25" s="3"/>
      <c r="LPV25" s="3"/>
      <c r="LPW25" s="3"/>
      <c r="LPX25" s="3"/>
      <c r="LPY25" s="3"/>
      <c r="LPZ25" s="3"/>
      <c r="LQA25" s="3"/>
      <c r="LQB25" s="3"/>
      <c r="LQC25" s="3"/>
      <c r="LQD25" s="3"/>
      <c r="LQE25" s="3"/>
      <c r="LQF25" s="3"/>
      <c r="LQG25" s="3"/>
      <c r="LQH25" s="3"/>
      <c r="LQI25" s="3"/>
      <c r="LQJ25" s="3"/>
      <c r="LQK25" s="3"/>
      <c r="LQL25" s="3"/>
      <c r="LQM25" s="3"/>
      <c r="LQN25" s="3"/>
      <c r="LQO25" s="3"/>
      <c r="LQP25" s="3"/>
      <c r="LQQ25" s="3"/>
      <c r="LQR25" s="3"/>
      <c r="LQS25" s="3"/>
      <c r="LQT25" s="3"/>
      <c r="LQU25" s="3"/>
      <c r="LQV25" s="3"/>
      <c r="LQW25" s="3"/>
      <c r="LQX25" s="3"/>
      <c r="LQY25" s="3"/>
      <c r="LQZ25" s="3"/>
      <c r="LRA25" s="3"/>
      <c r="LRB25" s="3"/>
      <c r="LRC25" s="3"/>
      <c r="LRD25" s="3"/>
      <c r="LRE25" s="3"/>
      <c r="LRF25" s="3"/>
      <c r="LRG25" s="3"/>
      <c r="LRH25" s="3"/>
      <c r="LRI25" s="3"/>
      <c r="LRJ25" s="3"/>
      <c r="LRK25" s="3"/>
      <c r="LRL25" s="3"/>
      <c r="LRM25" s="3"/>
      <c r="LRN25" s="3"/>
      <c r="LRO25" s="3"/>
      <c r="LRP25" s="3"/>
      <c r="LRQ25" s="3"/>
      <c r="LRR25" s="3"/>
      <c r="LRS25" s="3"/>
      <c r="LRT25" s="3"/>
      <c r="LRU25" s="3"/>
      <c r="LRV25" s="3"/>
      <c r="LRW25" s="3"/>
      <c r="LRX25" s="3"/>
      <c r="LRY25" s="3"/>
      <c r="LRZ25" s="3"/>
      <c r="LSA25" s="3"/>
      <c r="LSB25" s="3"/>
      <c r="LSC25" s="3"/>
      <c r="LSD25" s="3"/>
      <c r="LSE25" s="3"/>
      <c r="LSF25" s="3"/>
      <c r="LSG25" s="3"/>
      <c r="LSH25" s="3"/>
      <c r="LSI25" s="3"/>
      <c r="LSJ25" s="3"/>
      <c r="LSK25" s="3"/>
      <c r="LSL25" s="3"/>
      <c r="LSM25" s="3"/>
      <c r="LSN25" s="3"/>
      <c r="LSO25" s="3"/>
      <c r="LSP25" s="3"/>
      <c r="LSQ25" s="3"/>
      <c r="LSR25" s="3"/>
      <c r="LSS25" s="3"/>
      <c r="LST25" s="3"/>
      <c r="LSU25" s="3"/>
      <c r="LSV25" s="3"/>
      <c r="LSW25" s="3"/>
      <c r="LSX25" s="3"/>
      <c r="LSY25" s="3"/>
      <c r="LSZ25" s="3"/>
      <c r="LTA25" s="3"/>
      <c r="LTB25" s="3"/>
      <c r="LTC25" s="3"/>
      <c r="LTD25" s="3"/>
      <c r="LTE25" s="3"/>
      <c r="LTF25" s="3"/>
      <c r="LTG25" s="3"/>
      <c r="LTH25" s="3"/>
      <c r="LTI25" s="3"/>
      <c r="LTJ25" s="3"/>
      <c r="LTK25" s="3"/>
      <c r="LTL25" s="3"/>
      <c r="LTM25" s="3"/>
      <c r="LTN25" s="3"/>
      <c r="LTO25" s="3"/>
      <c r="LTP25" s="3"/>
      <c r="LTQ25" s="3"/>
      <c r="LTR25" s="3"/>
      <c r="LTS25" s="3"/>
      <c r="LTT25" s="3"/>
      <c r="LTU25" s="3"/>
      <c r="LTV25" s="3"/>
      <c r="LTW25" s="3"/>
      <c r="LTX25" s="3"/>
      <c r="LTY25" s="3"/>
      <c r="LTZ25" s="3"/>
      <c r="LUA25" s="3"/>
      <c r="LUB25" s="3"/>
      <c r="LUC25" s="3"/>
      <c r="LUD25" s="3"/>
      <c r="LUE25" s="3"/>
      <c r="LUF25" s="3"/>
      <c r="LUG25" s="3"/>
      <c r="LUH25" s="3"/>
      <c r="LUI25" s="3"/>
      <c r="LUJ25" s="3"/>
      <c r="LUK25" s="3"/>
      <c r="LUL25" s="3"/>
      <c r="LUM25" s="3"/>
      <c r="LUN25" s="3"/>
      <c r="LUO25" s="3"/>
      <c r="LUP25" s="3"/>
      <c r="LUQ25" s="3"/>
      <c r="LUR25" s="3"/>
      <c r="LUS25" s="3"/>
      <c r="LUT25" s="3"/>
      <c r="LUU25" s="3"/>
      <c r="LUV25" s="3"/>
      <c r="LUW25" s="3"/>
      <c r="LUX25" s="3"/>
      <c r="LUY25" s="3"/>
      <c r="LUZ25" s="3"/>
      <c r="LVA25" s="3"/>
      <c r="LVB25" s="3"/>
      <c r="LVC25" s="3"/>
      <c r="LVD25" s="3"/>
      <c r="LVE25" s="3"/>
      <c r="LVF25" s="3"/>
      <c r="LVG25" s="3"/>
      <c r="LVH25" s="3"/>
      <c r="LVI25" s="3"/>
      <c r="LVJ25" s="3"/>
      <c r="LVK25" s="3"/>
      <c r="LVL25" s="3"/>
      <c r="LVM25" s="3"/>
      <c r="LVN25" s="3"/>
      <c r="LVO25" s="3"/>
      <c r="LVP25" s="3"/>
      <c r="LVQ25" s="3"/>
      <c r="LVR25" s="3"/>
      <c r="LVS25" s="3"/>
      <c r="LVT25" s="3"/>
      <c r="LVU25" s="3"/>
      <c r="LVV25" s="3"/>
      <c r="LVW25" s="3"/>
      <c r="LVX25" s="3"/>
      <c r="LVY25" s="3"/>
      <c r="LVZ25" s="3"/>
      <c r="LWA25" s="3"/>
      <c r="LWB25" s="3"/>
      <c r="LWC25" s="3"/>
      <c r="LWD25" s="3"/>
      <c r="LWE25" s="3"/>
      <c r="LWF25" s="3"/>
      <c r="LWG25" s="3"/>
      <c r="LWH25" s="3"/>
      <c r="LWI25" s="3"/>
      <c r="LWJ25" s="3"/>
      <c r="LWK25" s="3"/>
      <c r="LWL25" s="3"/>
      <c r="LWM25" s="3"/>
      <c r="LWN25" s="3"/>
      <c r="LWO25" s="3"/>
      <c r="LWP25" s="3"/>
      <c r="LWQ25" s="3"/>
      <c r="LWR25" s="3"/>
      <c r="LWS25" s="3"/>
      <c r="LWT25" s="3"/>
      <c r="LWU25" s="3"/>
      <c r="LWV25" s="3"/>
      <c r="LWW25" s="3"/>
      <c r="LWX25" s="3"/>
      <c r="LWY25" s="3"/>
      <c r="LWZ25" s="3"/>
      <c r="LXA25" s="3"/>
      <c r="LXB25" s="3"/>
      <c r="LXC25" s="3"/>
      <c r="LXD25" s="3"/>
      <c r="LXE25" s="3"/>
      <c r="LXF25" s="3"/>
      <c r="LXG25" s="3"/>
      <c r="LXH25" s="3"/>
      <c r="LXI25" s="3"/>
      <c r="LXJ25" s="3"/>
      <c r="LXK25" s="3"/>
      <c r="LXL25" s="3"/>
      <c r="LXM25" s="3"/>
      <c r="LXN25" s="3"/>
      <c r="LXO25" s="3"/>
      <c r="LXP25" s="3"/>
      <c r="LXQ25" s="3"/>
      <c r="LXR25" s="3"/>
      <c r="LXS25" s="3"/>
      <c r="LXT25" s="3"/>
      <c r="LXU25" s="3"/>
      <c r="LXV25" s="3"/>
      <c r="LXW25" s="3"/>
      <c r="LXX25" s="3"/>
      <c r="LXY25" s="3"/>
      <c r="LXZ25" s="3"/>
      <c r="LYA25" s="3"/>
      <c r="LYB25" s="3"/>
      <c r="LYC25" s="3"/>
      <c r="LYD25" s="3"/>
      <c r="LYE25" s="3"/>
      <c r="LYF25" s="3"/>
      <c r="LYG25" s="3"/>
      <c r="LYH25" s="3"/>
      <c r="LYI25" s="3"/>
      <c r="LYJ25" s="3"/>
      <c r="LYK25" s="3"/>
      <c r="LYL25" s="3"/>
      <c r="LYM25" s="3"/>
      <c r="LYN25" s="3"/>
      <c r="LYO25" s="3"/>
      <c r="LYP25" s="3"/>
      <c r="LYQ25" s="3"/>
      <c r="LYR25" s="3"/>
      <c r="LYS25" s="3"/>
      <c r="LYT25" s="3"/>
      <c r="LYU25" s="3"/>
      <c r="LYV25" s="3"/>
      <c r="LYW25" s="3"/>
      <c r="LYX25" s="3"/>
      <c r="LYY25" s="3"/>
      <c r="LYZ25" s="3"/>
      <c r="LZA25" s="3"/>
      <c r="LZB25" s="3"/>
      <c r="LZC25" s="3"/>
      <c r="LZD25" s="3"/>
      <c r="LZE25" s="3"/>
      <c r="LZF25" s="3"/>
      <c r="LZG25" s="3"/>
      <c r="LZH25" s="3"/>
      <c r="LZI25" s="3"/>
      <c r="LZJ25" s="3"/>
      <c r="LZK25" s="3"/>
      <c r="LZL25" s="3"/>
      <c r="LZM25" s="3"/>
      <c r="LZN25" s="3"/>
      <c r="LZO25" s="3"/>
      <c r="LZP25" s="3"/>
      <c r="LZQ25" s="3"/>
      <c r="LZR25" s="3"/>
      <c r="LZS25" s="3"/>
      <c r="LZT25" s="3"/>
      <c r="LZU25" s="3"/>
      <c r="LZV25" s="3"/>
      <c r="LZW25" s="3"/>
      <c r="LZX25" s="3"/>
      <c r="LZY25" s="3"/>
      <c r="LZZ25" s="3"/>
      <c r="MAA25" s="3"/>
      <c r="MAB25" s="3"/>
      <c r="MAC25" s="3"/>
      <c r="MAD25" s="3"/>
      <c r="MAE25" s="3"/>
      <c r="MAF25" s="3"/>
      <c r="MAG25" s="3"/>
      <c r="MAH25" s="3"/>
      <c r="MAI25" s="3"/>
      <c r="MAJ25" s="3"/>
      <c r="MAK25" s="3"/>
      <c r="MAL25" s="3"/>
      <c r="MAM25" s="3"/>
      <c r="MAN25" s="3"/>
      <c r="MAO25" s="3"/>
      <c r="MAP25" s="3"/>
      <c r="MAQ25" s="3"/>
      <c r="MAR25" s="3"/>
      <c r="MAS25" s="3"/>
      <c r="MAT25" s="3"/>
      <c r="MAU25" s="3"/>
      <c r="MAV25" s="3"/>
      <c r="MAW25" s="3"/>
      <c r="MAX25" s="3"/>
      <c r="MAY25" s="3"/>
      <c r="MAZ25" s="3"/>
      <c r="MBA25" s="3"/>
      <c r="MBB25" s="3"/>
      <c r="MBC25" s="3"/>
      <c r="MBD25" s="3"/>
      <c r="MBE25" s="3"/>
      <c r="MBF25" s="3"/>
      <c r="MBG25" s="3"/>
      <c r="MBH25" s="3"/>
      <c r="MBI25" s="3"/>
      <c r="MBJ25" s="3"/>
      <c r="MBK25" s="3"/>
      <c r="MBL25" s="3"/>
      <c r="MBM25" s="3"/>
      <c r="MBN25" s="3"/>
      <c r="MBO25" s="3"/>
      <c r="MBP25" s="3"/>
      <c r="MBQ25" s="3"/>
      <c r="MBR25" s="3"/>
      <c r="MBS25" s="3"/>
      <c r="MBT25" s="3"/>
      <c r="MBU25" s="3"/>
      <c r="MBV25" s="3"/>
      <c r="MBW25" s="3"/>
      <c r="MBX25" s="3"/>
      <c r="MBY25" s="3"/>
      <c r="MBZ25" s="3"/>
      <c r="MCA25" s="3"/>
      <c r="MCB25" s="3"/>
      <c r="MCC25" s="3"/>
      <c r="MCD25" s="3"/>
      <c r="MCE25" s="3"/>
      <c r="MCF25" s="3"/>
      <c r="MCG25" s="3"/>
      <c r="MCH25" s="3"/>
      <c r="MCI25" s="3"/>
      <c r="MCJ25" s="3"/>
      <c r="MCK25" s="3"/>
      <c r="MCL25" s="3"/>
      <c r="MCM25" s="3"/>
      <c r="MCN25" s="3"/>
      <c r="MCO25" s="3"/>
      <c r="MCP25" s="3"/>
      <c r="MCQ25" s="3"/>
      <c r="MCR25" s="3"/>
      <c r="MCS25" s="3"/>
      <c r="MCT25" s="3"/>
      <c r="MCU25" s="3"/>
      <c r="MCV25" s="3"/>
      <c r="MCW25" s="3"/>
      <c r="MCX25" s="3"/>
      <c r="MCY25" s="3"/>
      <c r="MCZ25" s="3"/>
      <c r="MDA25" s="3"/>
      <c r="MDB25" s="3"/>
      <c r="MDC25" s="3"/>
      <c r="MDD25" s="3"/>
      <c r="MDE25" s="3"/>
      <c r="MDF25" s="3"/>
      <c r="MDG25" s="3"/>
      <c r="MDH25" s="3"/>
      <c r="MDI25" s="3"/>
      <c r="MDJ25" s="3"/>
      <c r="MDK25" s="3"/>
      <c r="MDL25" s="3"/>
      <c r="MDM25" s="3"/>
      <c r="MDN25" s="3"/>
      <c r="MDO25" s="3"/>
      <c r="MDP25" s="3"/>
      <c r="MDQ25" s="3"/>
      <c r="MDR25" s="3"/>
      <c r="MDS25" s="3"/>
      <c r="MDT25" s="3"/>
      <c r="MDU25" s="3"/>
      <c r="MDV25" s="3"/>
      <c r="MDW25" s="3"/>
      <c r="MDX25" s="3"/>
      <c r="MDY25" s="3"/>
      <c r="MDZ25" s="3"/>
      <c r="MEA25" s="3"/>
      <c r="MEB25" s="3"/>
      <c r="MEC25" s="3"/>
      <c r="MED25" s="3"/>
      <c r="MEE25" s="3"/>
      <c r="MEF25" s="3"/>
      <c r="MEG25" s="3"/>
      <c r="MEH25" s="3"/>
      <c r="MEI25" s="3"/>
      <c r="MEJ25" s="3"/>
      <c r="MEK25" s="3"/>
      <c r="MEL25" s="3"/>
      <c r="MEM25" s="3"/>
      <c r="MEN25" s="3"/>
      <c r="MEO25" s="3"/>
      <c r="MEP25" s="3"/>
      <c r="MEQ25" s="3"/>
      <c r="MER25" s="3"/>
      <c r="MES25" s="3"/>
      <c r="MET25" s="3"/>
      <c r="MEU25" s="3"/>
      <c r="MEV25" s="3"/>
      <c r="MEW25" s="3"/>
      <c r="MEX25" s="3"/>
      <c r="MEY25" s="3"/>
      <c r="MEZ25" s="3"/>
      <c r="MFA25" s="3"/>
      <c r="MFB25" s="3"/>
      <c r="MFC25" s="3"/>
      <c r="MFD25" s="3"/>
      <c r="MFE25" s="3"/>
      <c r="MFF25" s="3"/>
      <c r="MFG25" s="3"/>
      <c r="MFH25" s="3"/>
      <c r="MFI25" s="3"/>
      <c r="MFJ25" s="3"/>
      <c r="MFK25" s="3"/>
      <c r="MFL25" s="3"/>
      <c r="MFM25" s="3"/>
      <c r="MFN25" s="3"/>
      <c r="MFO25" s="3"/>
      <c r="MFP25" s="3"/>
      <c r="MFQ25" s="3"/>
      <c r="MFR25" s="3"/>
      <c r="MFS25" s="3"/>
      <c r="MFT25" s="3"/>
      <c r="MFU25" s="3"/>
      <c r="MFV25" s="3"/>
      <c r="MFW25" s="3"/>
      <c r="MFX25" s="3"/>
      <c r="MFY25" s="3"/>
      <c r="MFZ25" s="3"/>
      <c r="MGA25" s="3"/>
      <c r="MGB25" s="3"/>
      <c r="MGC25" s="3"/>
      <c r="MGD25" s="3"/>
      <c r="MGE25" s="3"/>
      <c r="MGF25" s="3"/>
      <c r="MGG25" s="3"/>
      <c r="MGH25" s="3"/>
      <c r="MGI25" s="3"/>
      <c r="MGJ25" s="3"/>
      <c r="MGK25" s="3"/>
      <c r="MGL25" s="3"/>
      <c r="MGM25" s="3"/>
      <c r="MGN25" s="3"/>
      <c r="MGO25" s="3"/>
      <c r="MGP25" s="3"/>
      <c r="MGQ25" s="3"/>
      <c r="MGR25" s="3"/>
      <c r="MGS25" s="3"/>
      <c r="MGT25" s="3"/>
      <c r="MGU25" s="3"/>
      <c r="MGV25" s="3"/>
      <c r="MGW25" s="3"/>
      <c r="MGX25" s="3"/>
      <c r="MGY25" s="3"/>
      <c r="MGZ25" s="3"/>
      <c r="MHA25" s="3"/>
      <c r="MHB25" s="3"/>
      <c r="MHC25" s="3"/>
      <c r="MHD25" s="3"/>
      <c r="MHE25" s="3"/>
      <c r="MHF25" s="3"/>
      <c r="MHG25" s="3"/>
      <c r="MHH25" s="3"/>
      <c r="MHI25" s="3"/>
      <c r="MHJ25" s="3"/>
      <c r="MHK25" s="3"/>
      <c r="MHL25" s="3"/>
      <c r="MHM25" s="3"/>
      <c r="MHN25" s="3"/>
      <c r="MHO25" s="3"/>
      <c r="MHP25" s="3"/>
      <c r="MHQ25" s="3"/>
      <c r="MHR25" s="3"/>
      <c r="MHS25" s="3"/>
      <c r="MHT25" s="3"/>
      <c r="MHU25" s="3"/>
      <c r="MHV25" s="3"/>
      <c r="MHW25" s="3"/>
      <c r="MHX25" s="3"/>
      <c r="MHY25" s="3"/>
      <c r="MHZ25" s="3"/>
      <c r="MIA25" s="3"/>
      <c r="MIB25" s="3"/>
      <c r="MIC25" s="3"/>
      <c r="MID25" s="3"/>
      <c r="MIE25" s="3"/>
      <c r="MIF25" s="3"/>
      <c r="MIG25" s="3"/>
      <c r="MIH25" s="3"/>
      <c r="MII25" s="3"/>
      <c r="MIJ25" s="3"/>
      <c r="MIK25" s="3"/>
      <c r="MIL25" s="3"/>
      <c r="MIM25" s="3"/>
      <c r="MIN25" s="3"/>
      <c r="MIO25" s="3"/>
      <c r="MIP25" s="3"/>
      <c r="MIQ25" s="3"/>
      <c r="MIR25" s="3"/>
      <c r="MIS25" s="3"/>
      <c r="MIT25" s="3"/>
      <c r="MIU25" s="3"/>
      <c r="MIV25" s="3"/>
      <c r="MIW25" s="3"/>
      <c r="MIX25" s="3"/>
      <c r="MIY25" s="3"/>
      <c r="MIZ25" s="3"/>
      <c r="MJA25" s="3"/>
      <c r="MJB25" s="3"/>
      <c r="MJC25" s="3"/>
      <c r="MJD25" s="3"/>
      <c r="MJE25" s="3"/>
      <c r="MJF25" s="3"/>
      <c r="MJG25" s="3"/>
      <c r="MJH25" s="3"/>
      <c r="MJI25" s="3"/>
      <c r="MJJ25" s="3"/>
      <c r="MJK25" s="3"/>
      <c r="MJL25" s="3"/>
      <c r="MJM25" s="3"/>
      <c r="MJN25" s="3"/>
      <c r="MJO25" s="3"/>
      <c r="MJP25" s="3"/>
      <c r="MJQ25" s="3"/>
      <c r="MJR25" s="3"/>
      <c r="MJS25" s="3"/>
      <c r="MJT25" s="3"/>
      <c r="MJU25" s="3"/>
      <c r="MJV25" s="3"/>
      <c r="MJW25" s="3"/>
      <c r="MJX25" s="3"/>
      <c r="MJY25" s="3"/>
      <c r="MJZ25" s="3"/>
      <c r="MKA25" s="3"/>
      <c r="MKB25" s="3"/>
      <c r="MKC25" s="3"/>
      <c r="MKD25" s="3"/>
      <c r="MKE25" s="3"/>
      <c r="MKF25" s="3"/>
      <c r="MKG25" s="3"/>
      <c r="MKH25" s="3"/>
      <c r="MKI25" s="3"/>
      <c r="MKJ25" s="3"/>
      <c r="MKK25" s="3"/>
      <c r="MKL25" s="3"/>
      <c r="MKM25" s="3"/>
      <c r="MKN25" s="3"/>
      <c r="MKO25" s="3"/>
      <c r="MKP25" s="3"/>
      <c r="MKQ25" s="3"/>
      <c r="MKR25" s="3"/>
      <c r="MKS25" s="3"/>
      <c r="MKT25" s="3"/>
      <c r="MKU25" s="3"/>
      <c r="MKV25" s="3"/>
      <c r="MKW25" s="3"/>
      <c r="MKX25" s="3"/>
      <c r="MKY25" s="3"/>
      <c r="MKZ25" s="3"/>
      <c r="MLA25" s="3"/>
      <c r="MLB25" s="3"/>
      <c r="MLC25" s="3"/>
      <c r="MLD25" s="3"/>
      <c r="MLE25" s="3"/>
      <c r="MLF25" s="3"/>
      <c r="MLG25" s="3"/>
      <c r="MLH25" s="3"/>
      <c r="MLI25" s="3"/>
      <c r="MLJ25" s="3"/>
      <c r="MLK25" s="3"/>
      <c r="MLL25" s="3"/>
      <c r="MLM25" s="3"/>
      <c r="MLN25" s="3"/>
      <c r="MLO25" s="3"/>
      <c r="MLP25" s="3"/>
      <c r="MLQ25" s="3"/>
      <c r="MLR25" s="3"/>
      <c r="MLS25" s="3"/>
      <c r="MLT25" s="3"/>
      <c r="MLU25" s="3"/>
      <c r="MLV25" s="3"/>
      <c r="MLW25" s="3"/>
      <c r="MLX25" s="3"/>
      <c r="MLY25" s="3"/>
      <c r="MLZ25" s="3"/>
      <c r="MMA25" s="3"/>
      <c r="MMB25" s="3"/>
      <c r="MMC25" s="3"/>
      <c r="MMD25" s="3"/>
      <c r="MME25" s="3"/>
      <c r="MMF25" s="3"/>
      <c r="MMG25" s="3"/>
      <c r="MMH25" s="3"/>
      <c r="MMI25" s="3"/>
      <c r="MMJ25" s="3"/>
      <c r="MMK25" s="3"/>
      <c r="MML25" s="3"/>
      <c r="MMM25" s="3"/>
      <c r="MMN25" s="3"/>
      <c r="MMO25" s="3"/>
      <c r="MMP25" s="3"/>
      <c r="MMQ25" s="3"/>
      <c r="MMR25" s="3"/>
      <c r="MMS25" s="3"/>
      <c r="MMT25" s="3"/>
      <c r="MMU25" s="3"/>
      <c r="MMV25" s="3"/>
      <c r="MMW25" s="3"/>
      <c r="MMX25" s="3"/>
      <c r="MMY25" s="3"/>
      <c r="MMZ25" s="3"/>
      <c r="MNA25" s="3"/>
      <c r="MNB25" s="3"/>
      <c r="MNC25" s="3"/>
      <c r="MND25" s="3"/>
      <c r="MNE25" s="3"/>
      <c r="MNF25" s="3"/>
      <c r="MNG25" s="3"/>
      <c r="MNH25" s="3"/>
      <c r="MNI25" s="3"/>
      <c r="MNJ25" s="3"/>
      <c r="MNK25" s="3"/>
      <c r="MNL25" s="3"/>
      <c r="MNM25" s="3"/>
      <c r="MNN25" s="3"/>
      <c r="MNO25" s="3"/>
      <c r="MNP25" s="3"/>
      <c r="MNQ25" s="3"/>
      <c r="MNR25" s="3"/>
      <c r="MNS25" s="3"/>
      <c r="MNT25" s="3"/>
      <c r="MNU25" s="3"/>
      <c r="MNV25" s="3"/>
      <c r="MNW25" s="3"/>
      <c r="MNX25" s="3"/>
      <c r="MNY25" s="3"/>
      <c r="MNZ25" s="3"/>
      <c r="MOA25" s="3"/>
      <c r="MOB25" s="3"/>
      <c r="MOC25" s="3"/>
      <c r="MOD25" s="3"/>
      <c r="MOE25" s="3"/>
      <c r="MOF25" s="3"/>
      <c r="MOG25" s="3"/>
      <c r="MOH25" s="3"/>
      <c r="MOI25" s="3"/>
      <c r="MOJ25" s="3"/>
      <c r="MOK25" s="3"/>
      <c r="MOL25" s="3"/>
      <c r="MOM25" s="3"/>
      <c r="MON25" s="3"/>
      <c r="MOO25" s="3"/>
      <c r="MOP25" s="3"/>
      <c r="MOQ25" s="3"/>
      <c r="MOR25" s="3"/>
      <c r="MOS25" s="3"/>
      <c r="MOT25" s="3"/>
      <c r="MOU25" s="3"/>
      <c r="MOV25" s="3"/>
      <c r="MOW25" s="3"/>
      <c r="MOX25" s="3"/>
      <c r="MOY25" s="3"/>
      <c r="MOZ25" s="3"/>
      <c r="MPA25" s="3"/>
      <c r="MPB25" s="3"/>
      <c r="MPC25" s="3"/>
      <c r="MPD25" s="3"/>
      <c r="MPE25" s="3"/>
      <c r="MPF25" s="3"/>
      <c r="MPG25" s="3"/>
      <c r="MPH25" s="3"/>
      <c r="MPI25" s="3"/>
      <c r="MPJ25" s="3"/>
      <c r="MPK25" s="3"/>
      <c r="MPL25" s="3"/>
      <c r="MPM25" s="3"/>
      <c r="MPN25" s="3"/>
      <c r="MPO25" s="3"/>
      <c r="MPP25" s="3"/>
      <c r="MPQ25" s="3"/>
      <c r="MPR25" s="3"/>
      <c r="MPS25" s="3"/>
      <c r="MPT25" s="3"/>
      <c r="MPU25" s="3"/>
      <c r="MPV25" s="3"/>
      <c r="MPW25" s="3"/>
      <c r="MPX25" s="3"/>
      <c r="MPY25" s="3"/>
      <c r="MPZ25" s="3"/>
      <c r="MQA25" s="3"/>
      <c r="MQB25" s="3"/>
      <c r="MQC25" s="3"/>
      <c r="MQD25" s="3"/>
      <c r="MQE25" s="3"/>
      <c r="MQF25" s="3"/>
      <c r="MQG25" s="3"/>
      <c r="MQH25" s="3"/>
      <c r="MQI25" s="3"/>
      <c r="MQJ25" s="3"/>
      <c r="MQK25" s="3"/>
      <c r="MQL25" s="3"/>
      <c r="MQM25" s="3"/>
      <c r="MQN25" s="3"/>
      <c r="MQO25" s="3"/>
      <c r="MQP25" s="3"/>
      <c r="MQQ25" s="3"/>
      <c r="MQR25" s="3"/>
      <c r="MQS25" s="3"/>
      <c r="MQT25" s="3"/>
      <c r="MQU25" s="3"/>
      <c r="MQV25" s="3"/>
      <c r="MQW25" s="3"/>
      <c r="MQX25" s="3"/>
      <c r="MQY25" s="3"/>
      <c r="MQZ25" s="3"/>
      <c r="MRA25" s="3"/>
      <c r="MRB25" s="3"/>
      <c r="MRC25" s="3"/>
      <c r="MRD25" s="3"/>
      <c r="MRE25" s="3"/>
      <c r="MRF25" s="3"/>
      <c r="MRG25" s="3"/>
      <c r="MRH25" s="3"/>
      <c r="MRI25" s="3"/>
      <c r="MRJ25" s="3"/>
      <c r="MRK25" s="3"/>
      <c r="MRL25" s="3"/>
      <c r="MRM25" s="3"/>
      <c r="MRN25" s="3"/>
      <c r="MRO25" s="3"/>
      <c r="MRP25" s="3"/>
      <c r="MRQ25" s="3"/>
      <c r="MRR25" s="3"/>
      <c r="MRS25" s="3"/>
      <c r="MRT25" s="3"/>
      <c r="MRU25" s="3"/>
      <c r="MRV25" s="3"/>
      <c r="MRW25" s="3"/>
      <c r="MRX25" s="3"/>
      <c r="MRY25" s="3"/>
      <c r="MRZ25" s="3"/>
      <c r="MSA25" s="3"/>
      <c r="MSB25" s="3"/>
      <c r="MSC25" s="3"/>
      <c r="MSD25" s="3"/>
      <c r="MSE25" s="3"/>
      <c r="MSF25" s="3"/>
      <c r="MSG25" s="3"/>
      <c r="MSH25" s="3"/>
      <c r="MSI25" s="3"/>
      <c r="MSJ25" s="3"/>
      <c r="MSK25" s="3"/>
      <c r="MSL25" s="3"/>
      <c r="MSM25" s="3"/>
      <c r="MSN25" s="3"/>
      <c r="MSO25" s="3"/>
      <c r="MSP25" s="3"/>
      <c r="MSQ25" s="3"/>
      <c r="MSR25" s="3"/>
      <c r="MSS25" s="3"/>
      <c r="MST25" s="3"/>
      <c r="MSU25" s="3"/>
      <c r="MSV25" s="3"/>
      <c r="MSW25" s="3"/>
      <c r="MSX25" s="3"/>
      <c r="MSY25" s="3"/>
      <c r="MSZ25" s="3"/>
      <c r="MTA25" s="3"/>
      <c r="MTB25" s="3"/>
      <c r="MTC25" s="3"/>
      <c r="MTD25" s="3"/>
      <c r="MTE25" s="3"/>
      <c r="MTF25" s="3"/>
      <c r="MTG25" s="3"/>
      <c r="MTH25" s="3"/>
      <c r="MTI25" s="3"/>
      <c r="MTJ25" s="3"/>
      <c r="MTK25" s="3"/>
      <c r="MTL25" s="3"/>
      <c r="MTM25" s="3"/>
      <c r="MTN25" s="3"/>
      <c r="MTO25" s="3"/>
      <c r="MTP25" s="3"/>
      <c r="MTQ25" s="3"/>
      <c r="MTR25" s="3"/>
      <c r="MTS25" s="3"/>
      <c r="MTT25" s="3"/>
      <c r="MTU25" s="3"/>
      <c r="MTV25" s="3"/>
      <c r="MTW25" s="3"/>
      <c r="MTX25" s="3"/>
      <c r="MTY25" s="3"/>
      <c r="MTZ25" s="3"/>
      <c r="MUA25" s="3"/>
      <c r="MUB25" s="3"/>
      <c r="MUC25" s="3"/>
      <c r="MUD25" s="3"/>
      <c r="MUE25" s="3"/>
      <c r="MUF25" s="3"/>
      <c r="MUG25" s="3"/>
      <c r="MUH25" s="3"/>
      <c r="MUI25" s="3"/>
      <c r="MUJ25" s="3"/>
      <c r="MUK25" s="3"/>
      <c r="MUL25" s="3"/>
      <c r="MUM25" s="3"/>
      <c r="MUN25" s="3"/>
      <c r="MUO25" s="3"/>
      <c r="MUP25" s="3"/>
      <c r="MUQ25" s="3"/>
      <c r="MUR25" s="3"/>
      <c r="MUS25" s="3"/>
      <c r="MUT25" s="3"/>
      <c r="MUU25" s="3"/>
      <c r="MUV25" s="3"/>
      <c r="MUW25" s="3"/>
      <c r="MUX25" s="3"/>
      <c r="MUY25" s="3"/>
      <c r="MUZ25" s="3"/>
      <c r="MVA25" s="3"/>
      <c r="MVB25" s="3"/>
      <c r="MVC25" s="3"/>
      <c r="MVD25" s="3"/>
      <c r="MVE25" s="3"/>
      <c r="MVF25" s="3"/>
      <c r="MVG25" s="3"/>
      <c r="MVH25" s="3"/>
      <c r="MVI25" s="3"/>
      <c r="MVJ25" s="3"/>
      <c r="MVK25" s="3"/>
      <c r="MVL25" s="3"/>
      <c r="MVM25" s="3"/>
      <c r="MVN25" s="3"/>
      <c r="MVO25" s="3"/>
      <c r="MVP25" s="3"/>
      <c r="MVQ25" s="3"/>
      <c r="MVR25" s="3"/>
      <c r="MVS25" s="3"/>
      <c r="MVT25" s="3"/>
      <c r="MVU25" s="3"/>
      <c r="MVV25" s="3"/>
      <c r="MVW25" s="3"/>
      <c r="MVX25" s="3"/>
      <c r="MVY25" s="3"/>
      <c r="MVZ25" s="3"/>
      <c r="MWA25" s="3"/>
      <c r="MWB25" s="3"/>
      <c r="MWC25" s="3"/>
      <c r="MWD25" s="3"/>
      <c r="MWE25" s="3"/>
      <c r="MWF25" s="3"/>
      <c r="MWG25" s="3"/>
      <c r="MWH25" s="3"/>
      <c r="MWI25" s="3"/>
      <c r="MWJ25" s="3"/>
      <c r="MWK25" s="3"/>
      <c r="MWL25" s="3"/>
      <c r="MWM25" s="3"/>
      <c r="MWN25" s="3"/>
      <c r="MWO25" s="3"/>
      <c r="MWP25" s="3"/>
      <c r="MWQ25" s="3"/>
      <c r="MWR25" s="3"/>
      <c r="MWS25" s="3"/>
      <c r="MWT25" s="3"/>
      <c r="MWU25" s="3"/>
      <c r="MWV25" s="3"/>
      <c r="MWW25" s="3"/>
      <c r="MWX25" s="3"/>
      <c r="MWY25" s="3"/>
      <c r="MWZ25" s="3"/>
      <c r="MXA25" s="3"/>
      <c r="MXB25" s="3"/>
      <c r="MXC25" s="3"/>
      <c r="MXD25" s="3"/>
      <c r="MXE25" s="3"/>
      <c r="MXF25" s="3"/>
      <c r="MXG25" s="3"/>
      <c r="MXH25" s="3"/>
      <c r="MXI25" s="3"/>
      <c r="MXJ25" s="3"/>
      <c r="MXK25" s="3"/>
      <c r="MXL25" s="3"/>
      <c r="MXM25" s="3"/>
      <c r="MXN25" s="3"/>
      <c r="MXO25" s="3"/>
      <c r="MXP25" s="3"/>
      <c r="MXQ25" s="3"/>
      <c r="MXR25" s="3"/>
      <c r="MXS25" s="3"/>
      <c r="MXT25" s="3"/>
      <c r="MXU25" s="3"/>
      <c r="MXV25" s="3"/>
      <c r="MXW25" s="3"/>
      <c r="MXX25" s="3"/>
      <c r="MXY25" s="3"/>
      <c r="MXZ25" s="3"/>
      <c r="MYA25" s="3"/>
      <c r="MYB25" s="3"/>
      <c r="MYC25" s="3"/>
      <c r="MYD25" s="3"/>
      <c r="MYE25" s="3"/>
      <c r="MYF25" s="3"/>
      <c r="MYG25" s="3"/>
      <c r="MYH25" s="3"/>
      <c r="MYI25" s="3"/>
      <c r="MYJ25" s="3"/>
      <c r="MYK25" s="3"/>
      <c r="MYL25" s="3"/>
      <c r="MYM25" s="3"/>
      <c r="MYN25" s="3"/>
      <c r="MYO25" s="3"/>
      <c r="MYP25" s="3"/>
      <c r="MYQ25" s="3"/>
      <c r="MYR25" s="3"/>
      <c r="MYS25" s="3"/>
      <c r="MYT25" s="3"/>
      <c r="MYU25" s="3"/>
      <c r="MYV25" s="3"/>
      <c r="MYW25" s="3"/>
      <c r="MYX25" s="3"/>
      <c r="MYY25" s="3"/>
      <c r="MYZ25" s="3"/>
      <c r="MZA25" s="3"/>
      <c r="MZB25" s="3"/>
      <c r="MZC25" s="3"/>
      <c r="MZD25" s="3"/>
      <c r="MZE25" s="3"/>
      <c r="MZF25" s="3"/>
      <c r="MZG25" s="3"/>
      <c r="MZH25" s="3"/>
      <c r="MZI25" s="3"/>
      <c r="MZJ25" s="3"/>
      <c r="MZK25" s="3"/>
      <c r="MZL25" s="3"/>
      <c r="MZM25" s="3"/>
      <c r="MZN25" s="3"/>
      <c r="MZO25" s="3"/>
      <c r="MZP25" s="3"/>
      <c r="MZQ25" s="3"/>
      <c r="MZR25" s="3"/>
      <c r="MZS25" s="3"/>
      <c r="MZT25" s="3"/>
      <c r="MZU25" s="3"/>
      <c r="MZV25" s="3"/>
      <c r="MZW25" s="3"/>
      <c r="MZX25" s="3"/>
      <c r="MZY25" s="3"/>
      <c r="MZZ25" s="3"/>
      <c r="NAA25" s="3"/>
      <c r="NAB25" s="3"/>
      <c r="NAC25" s="3"/>
      <c r="NAD25" s="3"/>
      <c r="NAE25" s="3"/>
      <c r="NAF25" s="3"/>
      <c r="NAG25" s="3"/>
      <c r="NAH25" s="3"/>
      <c r="NAI25" s="3"/>
      <c r="NAJ25" s="3"/>
      <c r="NAK25" s="3"/>
      <c r="NAL25" s="3"/>
      <c r="NAM25" s="3"/>
      <c r="NAN25" s="3"/>
      <c r="NAO25" s="3"/>
      <c r="NAP25" s="3"/>
      <c r="NAQ25" s="3"/>
      <c r="NAR25" s="3"/>
      <c r="NAS25" s="3"/>
      <c r="NAT25" s="3"/>
      <c r="NAU25" s="3"/>
      <c r="NAV25" s="3"/>
      <c r="NAW25" s="3"/>
      <c r="NAX25" s="3"/>
      <c r="NAY25" s="3"/>
      <c r="NAZ25" s="3"/>
      <c r="NBA25" s="3"/>
      <c r="NBB25" s="3"/>
      <c r="NBC25" s="3"/>
      <c r="NBD25" s="3"/>
      <c r="NBE25" s="3"/>
      <c r="NBF25" s="3"/>
      <c r="NBG25" s="3"/>
      <c r="NBH25" s="3"/>
      <c r="NBI25" s="3"/>
      <c r="NBJ25" s="3"/>
      <c r="NBK25" s="3"/>
      <c r="NBL25" s="3"/>
      <c r="NBM25" s="3"/>
      <c r="NBN25" s="3"/>
      <c r="NBO25" s="3"/>
      <c r="NBP25" s="3"/>
      <c r="NBQ25" s="3"/>
      <c r="NBR25" s="3"/>
      <c r="NBS25" s="3"/>
      <c r="NBT25" s="3"/>
      <c r="NBU25" s="3"/>
      <c r="NBV25" s="3"/>
      <c r="NBW25" s="3"/>
      <c r="NBX25" s="3"/>
      <c r="NBY25" s="3"/>
      <c r="NBZ25" s="3"/>
      <c r="NCA25" s="3"/>
      <c r="NCB25" s="3"/>
      <c r="NCC25" s="3"/>
      <c r="NCD25" s="3"/>
      <c r="NCE25" s="3"/>
      <c r="NCF25" s="3"/>
      <c r="NCG25" s="3"/>
      <c r="NCH25" s="3"/>
      <c r="NCI25" s="3"/>
      <c r="NCJ25" s="3"/>
      <c r="NCK25" s="3"/>
      <c r="NCL25" s="3"/>
      <c r="NCM25" s="3"/>
      <c r="NCN25" s="3"/>
      <c r="NCO25" s="3"/>
      <c r="NCP25" s="3"/>
      <c r="NCQ25" s="3"/>
      <c r="NCR25" s="3"/>
      <c r="NCS25" s="3"/>
      <c r="NCT25" s="3"/>
      <c r="NCU25" s="3"/>
      <c r="NCV25" s="3"/>
      <c r="NCW25" s="3"/>
      <c r="NCX25" s="3"/>
      <c r="NCY25" s="3"/>
      <c r="NCZ25" s="3"/>
      <c r="NDA25" s="3"/>
      <c r="NDB25" s="3"/>
      <c r="NDC25" s="3"/>
      <c r="NDD25" s="3"/>
      <c r="NDE25" s="3"/>
      <c r="NDF25" s="3"/>
      <c r="NDG25" s="3"/>
      <c r="NDH25" s="3"/>
      <c r="NDI25" s="3"/>
      <c r="NDJ25" s="3"/>
      <c r="NDK25" s="3"/>
      <c r="NDL25" s="3"/>
      <c r="NDM25" s="3"/>
      <c r="NDN25" s="3"/>
      <c r="NDO25" s="3"/>
      <c r="NDP25" s="3"/>
      <c r="NDQ25" s="3"/>
      <c r="NDR25" s="3"/>
      <c r="NDS25" s="3"/>
      <c r="NDT25" s="3"/>
      <c r="NDU25" s="3"/>
      <c r="NDV25" s="3"/>
      <c r="NDW25" s="3"/>
      <c r="NDX25" s="3"/>
      <c r="NDY25" s="3"/>
      <c r="NDZ25" s="3"/>
      <c r="NEA25" s="3"/>
      <c r="NEB25" s="3"/>
      <c r="NEC25" s="3"/>
      <c r="NED25" s="3"/>
      <c r="NEE25" s="3"/>
      <c r="NEF25" s="3"/>
      <c r="NEG25" s="3"/>
      <c r="NEH25" s="3"/>
      <c r="NEI25" s="3"/>
      <c r="NEJ25" s="3"/>
      <c r="NEK25" s="3"/>
      <c r="NEL25" s="3"/>
      <c r="NEM25" s="3"/>
      <c r="NEN25" s="3"/>
      <c r="NEO25" s="3"/>
      <c r="NEP25" s="3"/>
      <c r="NEQ25" s="3"/>
      <c r="NER25" s="3"/>
      <c r="NES25" s="3"/>
      <c r="NET25" s="3"/>
      <c r="NEU25" s="3"/>
      <c r="NEV25" s="3"/>
      <c r="NEW25" s="3"/>
      <c r="NEX25" s="3"/>
      <c r="NEY25" s="3"/>
      <c r="NEZ25" s="3"/>
      <c r="NFA25" s="3"/>
      <c r="NFB25" s="3"/>
      <c r="NFC25" s="3"/>
      <c r="NFD25" s="3"/>
      <c r="NFE25" s="3"/>
      <c r="NFF25" s="3"/>
      <c r="NFG25" s="3"/>
      <c r="NFH25" s="3"/>
      <c r="NFI25" s="3"/>
      <c r="NFJ25" s="3"/>
      <c r="NFK25" s="3"/>
      <c r="NFL25" s="3"/>
      <c r="NFM25" s="3"/>
      <c r="NFN25" s="3"/>
      <c r="NFO25" s="3"/>
      <c r="NFP25" s="3"/>
      <c r="NFQ25" s="3"/>
      <c r="NFR25" s="3"/>
      <c r="NFS25" s="3"/>
      <c r="NFT25" s="3"/>
      <c r="NFU25" s="3"/>
      <c r="NFV25" s="3"/>
      <c r="NFW25" s="3"/>
      <c r="NFX25" s="3"/>
      <c r="NFY25" s="3"/>
      <c r="NFZ25" s="3"/>
      <c r="NGA25" s="3"/>
      <c r="NGB25" s="3"/>
      <c r="NGC25" s="3"/>
      <c r="NGD25" s="3"/>
      <c r="NGE25" s="3"/>
      <c r="NGF25" s="3"/>
      <c r="NGG25" s="3"/>
      <c r="NGH25" s="3"/>
      <c r="NGI25" s="3"/>
      <c r="NGJ25" s="3"/>
      <c r="NGK25" s="3"/>
      <c r="NGL25" s="3"/>
      <c r="NGM25" s="3"/>
      <c r="NGN25" s="3"/>
      <c r="NGO25" s="3"/>
      <c r="NGP25" s="3"/>
      <c r="NGQ25" s="3"/>
      <c r="NGR25" s="3"/>
      <c r="NGS25" s="3"/>
      <c r="NGT25" s="3"/>
      <c r="NGU25" s="3"/>
      <c r="NGV25" s="3"/>
      <c r="NGW25" s="3"/>
      <c r="NGX25" s="3"/>
      <c r="NGY25" s="3"/>
      <c r="NGZ25" s="3"/>
      <c r="NHA25" s="3"/>
      <c r="NHB25" s="3"/>
      <c r="NHC25" s="3"/>
      <c r="NHD25" s="3"/>
      <c r="NHE25" s="3"/>
      <c r="NHF25" s="3"/>
      <c r="NHG25" s="3"/>
      <c r="NHH25" s="3"/>
      <c r="NHI25" s="3"/>
      <c r="NHJ25" s="3"/>
      <c r="NHK25" s="3"/>
      <c r="NHL25" s="3"/>
      <c r="NHM25" s="3"/>
      <c r="NHN25" s="3"/>
      <c r="NHO25" s="3"/>
      <c r="NHP25" s="3"/>
      <c r="NHQ25" s="3"/>
      <c r="NHR25" s="3"/>
      <c r="NHS25" s="3"/>
      <c r="NHT25" s="3"/>
      <c r="NHU25" s="3"/>
      <c r="NHV25" s="3"/>
      <c r="NHW25" s="3"/>
      <c r="NHX25" s="3"/>
      <c r="NHY25" s="3"/>
      <c r="NHZ25" s="3"/>
      <c r="NIA25" s="3"/>
      <c r="NIB25" s="3"/>
      <c r="NIC25" s="3"/>
      <c r="NID25" s="3"/>
      <c r="NIE25" s="3"/>
      <c r="NIF25" s="3"/>
      <c r="NIG25" s="3"/>
      <c r="NIH25" s="3"/>
      <c r="NII25" s="3"/>
      <c r="NIJ25" s="3"/>
      <c r="NIK25" s="3"/>
      <c r="NIL25" s="3"/>
      <c r="NIM25" s="3"/>
      <c r="NIN25" s="3"/>
      <c r="NIO25" s="3"/>
      <c r="NIP25" s="3"/>
      <c r="NIQ25" s="3"/>
      <c r="NIR25" s="3"/>
      <c r="NIS25" s="3"/>
      <c r="NIT25" s="3"/>
      <c r="NIU25" s="3"/>
      <c r="NIV25" s="3"/>
      <c r="NIW25" s="3"/>
      <c r="NIX25" s="3"/>
      <c r="NIY25" s="3"/>
      <c r="NIZ25" s="3"/>
      <c r="NJA25" s="3"/>
      <c r="NJB25" s="3"/>
      <c r="NJC25" s="3"/>
      <c r="NJD25" s="3"/>
      <c r="NJE25" s="3"/>
      <c r="NJF25" s="3"/>
      <c r="NJG25" s="3"/>
      <c r="NJH25" s="3"/>
      <c r="NJI25" s="3"/>
      <c r="NJJ25" s="3"/>
      <c r="NJK25" s="3"/>
      <c r="NJL25" s="3"/>
      <c r="NJM25" s="3"/>
      <c r="NJN25" s="3"/>
      <c r="NJO25" s="3"/>
      <c r="NJP25" s="3"/>
      <c r="NJQ25" s="3"/>
      <c r="NJR25" s="3"/>
      <c r="NJS25" s="3"/>
      <c r="NJT25" s="3"/>
      <c r="NJU25" s="3"/>
      <c r="NJV25" s="3"/>
      <c r="NJW25" s="3"/>
      <c r="NJX25" s="3"/>
      <c r="NJY25" s="3"/>
      <c r="NJZ25" s="3"/>
      <c r="NKA25" s="3"/>
      <c r="NKB25" s="3"/>
      <c r="NKC25" s="3"/>
      <c r="NKD25" s="3"/>
      <c r="NKE25" s="3"/>
      <c r="NKF25" s="3"/>
      <c r="NKG25" s="3"/>
      <c r="NKH25" s="3"/>
      <c r="NKI25" s="3"/>
      <c r="NKJ25" s="3"/>
      <c r="NKK25" s="3"/>
      <c r="NKL25" s="3"/>
      <c r="NKM25" s="3"/>
      <c r="NKN25" s="3"/>
      <c r="NKO25" s="3"/>
      <c r="NKP25" s="3"/>
      <c r="NKQ25" s="3"/>
      <c r="NKR25" s="3"/>
      <c r="NKS25" s="3"/>
      <c r="NKT25" s="3"/>
      <c r="NKU25" s="3"/>
      <c r="NKV25" s="3"/>
      <c r="NKW25" s="3"/>
      <c r="NKX25" s="3"/>
      <c r="NKY25" s="3"/>
      <c r="NKZ25" s="3"/>
      <c r="NLA25" s="3"/>
      <c r="NLB25" s="3"/>
      <c r="NLC25" s="3"/>
      <c r="NLD25" s="3"/>
      <c r="NLE25" s="3"/>
      <c r="NLF25" s="3"/>
      <c r="NLG25" s="3"/>
      <c r="NLH25" s="3"/>
      <c r="NLI25" s="3"/>
      <c r="NLJ25" s="3"/>
      <c r="NLK25" s="3"/>
      <c r="NLL25" s="3"/>
      <c r="NLM25" s="3"/>
      <c r="NLN25" s="3"/>
      <c r="NLO25" s="3"/>
      <c r="NLP25" s="3"/>
      <c r="NLQ25" s="3"/>
      <c r="NLR25" s="3"/>
      <c r="NLS25" s="3"/>
      <c r="NLT25" s="3"/>
      <c r="NLU25" s="3"/>
      <c r="NLV25" s="3"/>
      <c r="NLW25" s="3"/>
      <c r="NLX25" s="3"/>
      <c r="NLY25" s="3"/>
      <c r="NLZ25" s="3"/>
      <c r="NMA25" s="3"/>
      <c r="NMB25" s="3"/>
      <c r="NMC25" s="3"/>
      <c r="NMD25" s="3"/>
      <c r="NME25" s="3"/>
      <c r="NMF25" s="3"/>
      <c r="NMG25" s="3"/>
      <c r="NMH25" s="3"/>
      <c r="NMI25" s="3"/>
      <c r="NMJ25" s="3"/>
      <c r="NMK25" s="3"/>
      <c r="NML25" s="3"/>
      <c r="NMM25" s="3"/>
      <c r="NMN25" s="3"/>
      <c r="NMO25" s="3"/>
      <c r="NMP25" s="3"/>
      <c r="NMQ25" s="3"/>
      <c r="NMR25" s="3"/>
      <c r="NMS25" s="3"/>
      <c r="NMT25" s="3"/>
      <c r="NMU25" s="3"/>
      <c r="NMV25" s="3"/>
      <c r="NMW25" s="3"/>
      <c r="NMX25" s="3"/>
      <c r="NMY25" s="3"/>
      <c r="NMZ25" s="3"/>
      <c r="NNA25" s="3"/>
      <c r="NNB25" s="3"/>
      <c r="NNC25" s="3"/>
      <c r="NND25" s="3"/>
      <c r="NNE25" s="3"/>
      <c r="NNF25" s="3"/>
      <c r="NNG25" s="3"/>
      <c r="NNH25" s="3"/>
      <c r="NNI25" s="3"/>
      <c r="NNJ25" s="3"/>
      <c r="NNK25" s="3"/>
      <c r="NNL25" s="3"/>
      <c r="NNM25" s="3"/>
      <c r="NNN25" s="3"/>
      <c r="NNO25" s="3"/>
      <c r="NNP25" s="3"/>
      <c r="NNQ25" s="3"/>
      <c r="NNR25" s="3"/>
      <c r="NNS25" s="3"/>
      <c r="NNT25" s="3"/>
      <c r="NNU25" s="3"/>
      <c r="NNV25" s="3"/>
      <c r="NNW25" s="3"/>
      <c r="NNX25" s="3"/>
      <c r="NNY25" s="3"/>
      <c r="NNZ25" s="3"/>
      <c r="NOA25" s="3"/>
      <c r="NOB25" s="3"/>
      <c r="NOC25" s="3"/>
      <c r="NOD25" s="3"/>
      <c r="NOE25" s="3"/>
      <c r="NOF25" s="3"/>
      <c r="NOG25" s="3"/>
      <c r="NOH25" s="3"/>
      <c r="NOI25" s="3"/>
      <c r="NOJ25" s="3"/>
      <c r="NOK25" s="3"/>
      <c r="NOL25" s="3"/>
      <c r="NOM25" s="3"/>
      <c r="NON25" s="3"/>
      <c r="NOO25" s="3"/>
      <c r="NOP25" s="3"/>
      <c r="NOQ25" s="3"/>
      <c r="NOR25" s="3"/>
      <c r="NOS25" s="3"/>
      <c r="NOT25" s="3"/>
      <c r="NOU25" s="3"/>
      <c r="NOV25" s="3"/>
      <c r="NOW25" s="3"/>
      <c r="NOX25" s="3"/>
      <c r="NOY25" s="3"/>
      <c r="NOZ25" s="3"/>
      <c r="NPA25" s="3"/>
      <c r="NPB25" s="3"/>
      <c r="NPC25" s="3"/>
      <c r="NPD25" s="3"/>
      <c r="NPE25" s="3"/>
      <c r="NPF25" s="3"/>
      <c r="NPG25" s="3"/>
      <c r="NPH25" s="3"/>
      <c r="NPI25" s="3"/>
      <c r="NPJ25" s="3"/>
      <c r="NPK25" s="3"/>
      <c r="NPL25" s="3"/>
      <c r="NPM25" s="3"/>
      <c r="NPN25" s="3"/>
      <c r="NPO25" s="3"/>
      <c r="NPP25" s="3"/>
      <c r="NPQ25" s="3"/>
      <c r="NPR25" s="3"/>
      <c r="NPS25" s="3"/>
      <c r="NPT25" s="3"/>
      <c r="NPU25" s="3"/>
      <c r="NPV25" s="3"/>
      <c r="NPW25" s="3"/>
      <c r="NPX25" s="3"/>
      <c r="NPY25" s="3"/>
      <c r="NPZ25" s="3"/>
      <c r="NQA25" s="3"/>
      <c r="NQB25" s="3"/>
      <c r="NQC25" s="3"/>
      <c r="NQD25" s="3"/>
      <c r="NQE25" s="3"/>
      <c r="NQF25" s="3"/>
      <c r="NQG25" s="3"/>
      <c r="NQH25" s="3"/>
      <c r="NQI25" s="3"/>
      <c r="NQJ25" s="3"/>
      <c r="NQK25" s="3"/>
      <c r="NQL25" s="3"/>
      <c r="NQM25" s="3"/>
      <c r="NQN25" s="3"/>
      <c r="NQO25" s="3"/>
      <c r="NQP25" s="3"/>
      <c r="NQQ25" s="3"/>
      <c r="NQR25" s="3"/>
      <c r="NQS25" s="3"/>
      <c r="NQT25" s="3"/>
      <c r="NQU25" s="3"/>
      <c r="NQV25" s="3"/>
      <c r="NQW25" s="3"/>
      <c r="NQX25" s="3"/>
      <c r="NQY25" s="3"/>
      <c r="NQZ25" s="3"/>
      <c r="NRA25" s="3"/>
      <c r="NRB25" s="3"/>
      <c r="NRC25" s="3"/>
      <c r="NRD25" s="3"/>
      <c r="NRE25" s="3"/>
      <c r="NRF25" s="3"/>
      <c r="NRG25" s="3"/>
      <c r="NRH25" s="3"/>
      <c r="NRI25" s="3"/>
      <c r="NRJ25" s="3"/>
      <c r="NRK25" s="3"/>
      <c r="NRL25" s="3"/>
      <c r="NRM25" s="3"/>
      <c r="NRN25" s="3"/>
      <c r="NRO25" s="3"/>
      <c r="NRP25" s="3"/>
      <c r="NRQ25" s="3"/>
      <c r="NRR25" s="3"/>
      <c r="NRS25" s="3"/>
      <c r="NRT25" s="3"/>
      <c r="NRU25" s="3"/>
      <c r="NRV25" s="3"/>
      <c r="NRW25" s="3"/>
      <c r="NRX25" s="3"/>
      <c r="NRY25" s="3"/>
      <c r="NRZ25" s="3"/>
      <c r="NSA25" s="3"/>
      <c r="NSB25" s="3"/>
      <c r="NSC25" s="3"/>
      <c r="NSD25" s="3"/>
      <c r="NSE25" s="3"/>
      <c r="NSF25" s="3"/>
      <c r="NSG25" s="3"/>
      <c r="NSH25" s="3"/>
      <c r="NSI25" s="3"/>
      <c r="NSJ25" s="3"/>
      <c r="NSK25" s="3"/>
      <c r="NSL25" s="3"/>
      <c r="NSM25" s="3"/>
      <c r="NSN25" s="3"/>
      <c r="NSO25" s="3"/>
      <c r="NSP25" s="3"/>
      <c r="NSQ25" s="3"/>
      <c r="NSR25" s="3"/>
      <c r="NSS25" s="3"/>
      <c r="NST25" s="3"/>
      <c r="NSU25" s="3"/>
      <c r="NSV25" s="3"/>
      <c r="NSW25" s="3"/>
      <c r="NSX25" s="3"/>
      <c r="NSY25" s="3"/>
      <c r="NSZ25" s="3"/>
      <c r="NTA25" s="3"/>
      <c r="NTB25" s="3"/>
      <c r="NTC25" s="3"/>
      <c r="NTD25" s="3"/>
      <c r="NTE25" s="3"/>
      <c r="NTF25" s="3"/>
      <c r="NTG25" s="3"/>
      <c r="NTH25" s="3"/>
      <c r="NTI25" s="3"/>
      <c r="NTJ25" s="3"/>
      <c r="NTK25" s="3"/>
      <c r="NTL25" s="3"/>
      <c r="NTM25" s="3"/>
      <c r="NTN25" s="3"/>
      <c r="NTO25" s="3"/>
      <c r="NTP25" s="3"/>
      <c r="NTQ25" s="3"/>
      <c r="NTR25" s="3"/>
      <c r="NTS25" s="3"/>
      <c r="NTT25" s="3"/>
      <c r="NTU25" s="3"/>
      <c r="NTV25" s="3"/>
      <c r="NTW25" s="3"/>
      <c r="NTX25" s="3"/>
      <c r="NTY25" s="3"/>
      <c r="NTZ25" s="3"/>
      <c r="NUA25" s="3"/>
      <c r="NUB25" s="3"/>
      <c r="NUC25" s="3"/>
      <c r="NUD25" s="3"/>
      <c r="NUE25" s="3"/>
      <c r="NUF25" s="3"/>
      <c r="NUG25" s="3"/>
      <c r="NUH25" s="3"/>
      <c r="NUI25" s="3"/>
      <c r="NUJ25" s="3"/>
      <c r="NUK25" s="3"/>
      <c r="NUL25" s="3"/>
      <c r="NUM25" s="3"/>
      <c r="NUN25" s="3"/>
      <c r="NUO25" s="3"/>
      <c r="NUP25" s="3"/>
      <c r="NUQ25" s="3"/>
      <c r="NUR25" s="3"/>
      <c r="NUS25" s="3"/>
      <c r="NUT25" s="3"/>
      <c r="NUU25" s="3"/>
      <c r="NUV25" s="3"/>
      <c r="NUW25" s="3"/>
      <c r="NUX25" s="3"/>
      <c r="NUY25" s="3"/>
      <c r="NUZ25" s="3"/>
      <c r="NVA25" s="3"/>
      <c r="NVB25" s="3"/>
      <c r="NVC25" s="3"/>
      <c r="NVD25" s="3"/>
      <c r="NVE25" s="3"/>
      <c r="NVF25" s="3"/>
      <c r="NVG25" s="3"/>
      <c r="NVH25" s="3"/>
      <c r="NVI25" s="3"/>
      <c r="NVJ25" s="3"/>
      <c r="NVK25" s="3"/>
      <c r="NVL25" s="3"/>
      <c r="NVM25" s="3"/>
      <c r="NVN25" s="3"/>
      <c r="NVO25" s="3"/>
      <c r="NVP25" s="3"/>
      <c r="NVQ25" s="3"/>
      <c r="NVR25" s="3"/>
      <c r="NVS25" s="3"/>
      <c r="NVT25" s="3"/>
      <c r="NVU25" s="3"/>
      <c r="NVV25" s="3"/>
      <c r="NVW25" s="3"/>
      <c r="NVX25" s="3"/>
      <c r="NVY25" s="3"/>
      <c r="NVZ25" s="3"/>
      <c r="NWA25" s="3"/>
      <c r="NWB25" s="3"/>
      <c r="NWC25" s="3"/>
      <c r="NWD25" s="3"/>
      <c r="NWE25" s="3"/>
      <c r="NWF25" s="3"/>
      <c r="NWG25" s="3"/>
      <c r="NWH25" s="3"/>
      <c r="NWI25" s="3"/>
      <c r="NWJ25" s="3"/>
      <c r="NWK25" s="3"/>
      <c r="NWL25" s="3"/>
      <c r="NWM25" s="3"/>
      <c r="NWN25" s="3"/>
      <c r="NWO25" s="3"/>
      <c r="NWP25" s="3"/>
      <c r="NWQ25" s="3"/>
      <c r="NWR25" s="3"/>
      <c r="NWS25" s="3"/>
      <c r="NWT25" s="3"/>
      <c r="NWU25" s="3"/>
      <c r="NWV25" s="3"/>
      <c r="NWW25" s="3"/>
      <c r="NWX25" s="3"/>
      <c r="NWY25" s="3"/>
      <c r="NWZ25" s="3"/>
      <c r="NXA25" s="3"/>
      <c r="NXB25" s="3"/>
      <c r="NXC25" s="3"/>
      <c r="NXD25" s="3"/>
      <c r="NXE25" s="3"/>
      <c r="NXF25" s="3"/>
      <c r="NXG25" s="3"/>
      <c r="NXH25" s="3"/>
      <c r="NXI25" s="3"/>
      <c r="NXJ25" s="3"/>
      <c r="NXK25" s="3"/>
      <c r="NXL25" s="3"/>
      <c r="NXM25" s="3"/>
      <c r="NXN25" s="3"/>
      <c r="NXO25" s="3"/>
      <c r="NXP25" s="3"/>
      <c r="NXQ25" s="3"/>
      <c r="NXR25" s="3"/>
      <c r="NXS25" s="3"/>
      <c r="NXT25" s="3"/>
      <c r="NXU25" s="3"/>
      <c r="NXV25" s="3"/>
      <c r="NXW25" s="3"/>
      <c r="NXX25" s="3"/>
      <c r="NXY25" s="3"/>
      <c r="NXZ25" s="3"/>
      <c r="NYA25" s="3"/>
      <c r="NYB25" s="3"/>
      <c r="NYC25" s="3"/>
      <c r="NYD25" s="3"/>
      <c r="NYE25" s="3"/>
      <c r="NYF25" s="3"/>
      <c r="NYG25" s="3"/>
      <c r="NYH25" s="3"/>
      <c r="NYI25" s="3"/>
      <c r="NYJ25" s="3"/>
      <c r="NYK25" s="3"/>
      <c r="NYL25" s="3"/>
      <c r="NYM25" s="3"/>
      <c r="NYN25" s="3"/>
      <c r="NYO25" s="3"/>
      <c r="NYP25" s="3"/>
      <c r="NYQ25" s="3"/>
      <c r="NYR25" s="3"/>
      <c r="NYS25" s="3"/>
      <c r="NYT25" s="3"/>
      <c r="NYU25" s="3"/>
      <c r="NYV25" s="3"/>
      <c r="NYW25" s="3"/>
      <c r="NYX25" s="3"/>
      <c r="NYY25" s="3"/>
      <c r="NYZ25" s="3"/>
      <c r="NZA25" s="3"/>
      <c r="NZB25" s="3"/>
      <c r="NZC25" s="3"/>
      <c r="NZD25" s="3"/>
      <c r="NZE25" s="3"/>
      <c r="NZF25" s="3"/>
      <c r="NZG25" s="3"/>
      <c r="NZH25" s="3"/>
      <c r="NZI25" s="3"/>
      <c r="NZJ25" s="3"/>
      <c r="NZK25" s="3"/>
      <c r="NZL25" s="3"/>
      <c r="NZM25" s="3"/>
      <c r="NZN25" s="3"/>
      <c r="NZO25" s="3"/>
      <c r="NZP25" s="3"/>
      <c r="NZQ25" s="3"/>
      <c r="NZR25" s="3"/>
      <c r="NZS25" s="3"/>
      <c r="NZT25" s="3"/>
      <c r="NZU25" s="3"/>
      <c r="NZV25" s="3"/>
      <c r="NZW25" s="3"/>
      <c r="NZX25" s="3"/>
      <c r="NZY25" s="3"/>
      <c r="NZZ25" s="3"/>
      <c r="OAA25" s="3"/>
      <c r="OAB25" s="3"/>
      <c r="OAC25" s="3"/>
      <c r="OAD25" s="3"/>
      <c r="OAE25" s="3"/>
      <c r="OAF25" s="3"/>
      <c r="OAG25" s="3"/>
      <c r="OAH25" s="3"/>
      <c r="OAI25" s="3"/>
      <c r="OAJ25" s="3"/>
      <c r="OAK25" s="3"/>
      <c r="OAL25" s="3"/>
      <c r="OAM25" s="3"/>
      <c r="OAN25" s="3"/>
      <c r="OAO25" s="3"/>
      <c r="OAP25" s="3"/>
      <c r="OAQ25" s="3"/>
      <c r="OAR25" s="3"/>
      <c r="OAS25" s="3"/>
      <c r="OAT25" s="3"/>
      <c r="OAU25" s="3"/>
      <c r="OAV25" s="3"/>
      <c r="OAW25" s="3"/>
      <c r="OAX25" s="3"/>
      <c r="OAY25" s="3"/>
      <c r="OAZ25" s="3"/>
      <c r="OBA25" s="3"/>
      <c r="OBB25" s="3"/>
      <c r="OBC25" s="3"/>
      <c r="OBD25" s="3"/>
      <c r="OBE25" s="3"/>
      <c r="OBF25" s="3"/>
      <c r="OBG25" s="3"/>
      <c r="OBH25" s="3"/>
      <c r="OBI25" s="3"/>
      <c r="OBJ25" s="3"/>
      <c r="OBK25" s="3"/>
      <c r="OBL25" s="3"/>
      <c r="OBM25" s="3"/>
      <c r="OBN25" s="3"/>
      <c r="OBO25" s="3"/>
      <c r="OBP25" s="3"/>
      <c r="OBQ25" s="3"/>
      <c r="OBR25" s="3"/>
      <c r="OBS25" s="3"/>
      <c r="OBT25" s="3"/>
      <c r="OBU25" s="3"/>
      <c r="OBV25" s="3"/>
      <c r="OBW25" s="3"/>
      <c r="OBX25" s="3"/>
      <c r="OBY25" s="3"/>
      <c r="OBZ25" s="3"/>
      <c r="OCA25" s="3"/>
      <c r="OCB25" s="3"/>
      <c r="OCC25" s="3"/>
      <c r="OCD25" s="3"/>
      <c r="OCE25" s="3"/>
      <c r="OCF25" s="3"/>
      <c r="OCG25" s="3"/>
      <c r="OCH25" s="3"/>
      <c r="OCI25" s="3"/>
      <c r="OCJ25" s="3"/>
      <c r="OCK25" s="3"/>
      <c r="OCL25" s="3"/>
      <c r="OCM25" s="3"/>
      <c r="OCN25" s="3"/>
      <c r="OCO25" s="3"/>
      <c r="OCP25" s="3"/>
      <c r="OCQ25" s="3"/>
      <c r="OCR25" s="3"/>
      <c r="OCS25" s="3"/>
      <c r="OCT25" s="3"/>
      <c r="OCU25" s="3"/>
      <c r="OCV25" s="3"/>
      <c r="OCW25" s="3"/>
      <c r="OCX25" s="3"/>
      <c r="OCY25" s="3"/>
      <c r="OCZ25" s="3"/>
      <c r="ODA25" s="3"/>
      <c r="ODB25" s="3"/>
      <c r="ODC25" s="3"/>
      <c r="ODD25" s="3"/>
      <c r="ODE25" s="3"/>
      <c r="ODF25" s="3"/>
      <c r="ODG25" s="3"/>
      <c r="ODH25" s="3"/>
      <c r="ODI25" s="3"/>
      <c r="ODJ25" s="3"/>
      <c r="ODK25" s="3"/>
      <c r="ODL25" s="3"/>
      <c r="ODM25" s="3"/>
      <c r="ODN25" s="3"/>
      <c r="ODO25" s="3"/>
      <c r="ODP25" s="3"/>
      <c r="ODQ25" s="3"/>
      <c r="ODR25" s="3"/>
      <c r="ODS25" s="3"/>
      <c r="ODT25" s="3"/>
      <c r="ODU25" s="3"/>
      <c r="ODV25" s="3"/>
      <c r="ODW25" s="3"/>
      <c r="ODX25" s="3"/>
      <c r="ODY25" s="3"/>
      <c r="ODZ25" s="3"/>
      <c r="OEA25" s="3"/>
      <c r="OEB25" s="3"/>
      <c r="OEC25" s="3"/>
      <c r="OED25" s="3"/>
      <c r="OEE25" s="3"/>
      <c r="OEF25" s="3"/>
      <c r="OEG25" s="3"/>
      <c r="OEH25" s="3"/>
      <c r="OEI25" s="3"/>
      <c r="OEJ25" s="3"/>
      <c r="OEK25" s="3"/>
      <c r="OEL25" s="3"/>
      <c r="OEM25" s="3"/>
      <c r="OEN25" s="3"/>
      <c r="OEO25" s="3"/>
      <c r="OEP25" s="3"/>
      <c r="OEQ25" s="3"/>
      <c r="OER25" s="3"/>
      <c r="OES25" s="3"/>
      <c r="OET25" s="3"/>
      <c r="OEU25" s="3"/>
      <c r="OEV25" s="3"/>
      <c r="OEW25" s="3"/>
      <c r="OEX25" s="3"/>
      <c r="OEY25" s="3"/>
      <c r="OEZ25" s="3"/>
      <c r="OFA25" s="3"/>
      <c r="OFB25" s="3"/>
      <c r="OFC25" s="3"/>
      <c r="OFD25" s="3"/>
      <c r="OFE25" s="3"/>
      <c r="OFF25" s="3"/>
      <c r="OFG25" s="3"/>
      <c r="OFH25" s="3"/>
      <c r="OFI25" s="3"/>
      <c r="OFJ25" s="3"/>
      <c r="OFK25" s="3"/>
      <c r="OFL25" s="3"/>
      <c r="OFM25" s="3"/>
      <c r="OFN25" s="3"/>
      <c r="OFO25" s="3"/>
      <c r="OFP25" s="3"/>
      <c r="OFQ25" s="3"/>
      <c r="OFR25" s="3"/>
      <c r="OFS25" s="3"/>
      <c r="OFT25" s="3"/>
      <c r="OFU25" s="3"/>
      <c r="OFV25" s="3"/>
      <c r="OFW25" s="3"/>
      <c r="OFX25" s="3"/>
      <c r="OFY25" s="3"/>
      <c r="OFZ25" s="3"/>
      <c r="OGA25" s="3"/>
      <c r="OGB25" s="3"/>
      <c r="OGC25" s="3"/>
      <c r="OGD25" s="3"/>
      <c r="OGE25" s="3"/>
      <c r="OGF25" s="3"/>
      <c r="OGG25" s="3"/>
      <c r="OGH25" s="3"/>
      <c r="OGI25" s="3"/>
      <c r="OGJ25" s="3"/>
      <c r="OGK25" s="3"/>
      <c r="OGL25" s="3"/>
      <c r="OGM25" s="3"/>
      <c r="OGN25" s="3"/>
      <c r="OGO25" s="3"/>
      <c r="OGP25" s="3"/>
      <c r="OGQ25" s="3"/>
      <c r="OGR25" s="3"/>
      <c r="OGS25" s="3"/>
      <c r="OGT25" s="3"/>
      <c r="OGU25" s="3"/>
      <c r="OGV25" s="3"/>
      <c r="OGW25" s="3"/>
      <c r="OGX25" s="3"/>
      <c r="OGY25" s="3"/>
      <c r="OGZ25" s="3"/>
      <c r="OHA25" s="3"/>
      <c r="OHB25" s="3"/>
      <c r="OHC25" s="3"/>
      <c r="OHD25" s="3"/>
      <c r="OHE25" s="3"/>
      <c r="OHF25" s="3"/>
      <c r="OHG25" s="3"/>
      <c r="OHH25" s="3"/>
      <c r="OHI25" s="3"/>
      <c r="OHJ25" s="3"/>
      <c r="OHK25" s="3"/>
      <c r="OHL25" s="3"/>
      <c r="OHM25" s="3"/>
      <c r="OHN25" s="3"/>
      <c r="OHO25" s="3"/>
      <c r="OHP25" s="3"/>
      <c r="OHQ25" s="3"/>
      <c r="OHR25" s="3"/>
      <c r="OHS25" s="3"/>
      <c r="OHT25" s="3"/>
      <c r="OHU25" s="3"/>
      <c r="OHV25" s="3"/>
      <c r="OHW25" s="3"/>
      <c r="OHX25" s="3"/>
      <c r="OHY25" s="3"/>
      <c r="OHZ25" s="3"/>
      <c r="OIA25" s="3"/>
      <c r="OIB25" s="3"/>
      <c r="OIC25" s="3"/>
      <c r="OID25" s="3"/>
      <c r="OIE25" s="3"/>
      <c r="OIF25" s="3"/>
      <c r="OIG25" s="3"/>
      <c r="OIH25" s="3"/>
      <c r="OII25" s="3"/>
      <c r="OIJ25" s="3"/>
      <c r="OIK25" s="3"/>
      <c r="OIL25" s="3"/>
      <c r="OIM25" s="3"/>
      <c r="OIN25" s="3"/>
      <c r="OIO25" s="3"/>
      <c r="OIP25" s="3"/>
      <c r="OIQ25" s="3"/>
      <c r="OIR25" s="3"/>
      <c r="OIS25" s="3"/>
      <c r="OIT25" s="3"/>
      <c r="OIU25" s="3"/>
      <c r="OIV25" s="3"/>
      <c r="OIW25" s="3"/>
      <c r="OIX25" s="3"/>
      <c r="OIY25" s="3"/>
      <c r="OIZ25" s="3"/>
      <c r="OJA25" s="3"/>
      <c r="OJB25" s="3"/>
      <c r="OJC25" s="3"/>
      <c r="OJD25" s="3"/>
      <c r="OJE25" s="3"/>
      <c r="OJF25" s="3"/>
      <c r="OJG25" s="3"/>
      <c r="OJH25" s="3"/>
      <c r="OJI25" s="3"/>
      <c r="OJJ25" s="3"/>
      <c r="OJK25" s="3"/>
      <c r="OJL25" s="3"/>
      <c r="OJM25" s="3"/>
      <c r="OJN25" s="3"/>
      <c r="OJO25" s="3"/>
      <c r="OJP25" s="3"/>
      <c r="OJQ25" s="3"/>
      <c r="OJR25" s="3"/>
      <c r="OJS25" s="3"/>
      <c r="OJT25" s="3"/>
      <c r="OJU25" s="3"/>
      <c r="OJV25" s="3"/>
      <c r="OJW25" s="3"/>
      <c r="OJX25" s="3"/>
      <c r="OJY25" s="3"/>
      <c r="OJZ25" s="3"/>
      <c r="OKA25" s="3"/>
      <c r="OKB25" s="3"/>
      <c r="OKC25" s="3"/>
      <c r="OKD25" s="3"/>
      <c r="OKE25" s="3"/>
      <c r="OKF25" s="3"/>
      <c r="OKG25" s="3"/>
      <c r="OKH25" s="3"/>
      <c r="OKI25" s="3"/>
      <c r="OKJ25" s="3"/>
      <c r="OKK25" s="3"/>
      <c r="OKL25" s="3"/>
      <c r="OKM25" s="3"/>
      <c r="OKN25" s="3"/>
      <c r="OKO25" s="3"/>
      <c r="OKP25" s="3"/>
      <c r="OKQ25" s="3"/>
      <c r="OKR25" s="3"/>
      <c r="OKS25" s="3"/>
      <c r="OKT25" s="3"/>
      <c r="OKU25" s="3"/>
      <c r="OKV25" s="3"/>
      <c r="OKW25" s="3"/>
      <c r="OKX25" s="3"/>
      <c r="OKY25" s="3"/>
      <c r="OKZ25" s="3"/>
      <c r="OLA25" s="3"/>
      <c r="OLB25" s="3"/>
      <c r="OLC25" s="3"/>
      <c r="OLD25" s="3"/>
      <c r="OLE25" s="3"/>
      <c r="OLF25" s="3"/>
      <c r="OLG25" s="3"/>
      <c r="OLH25" s="3"/>
      <c r="OLI25" s="3"/>
      <c r="OLJ25" s="3"/>
      <c r="OLK25" s="3"/>
      <c r="OLL25" s="3"/>
      <c r="OLM25" s="3"/>
      <c r="OLN25" s="3"/>
      <c r="OLO25" s="3"/>
      <c r="OLP25" s="3"/>
      <c r="OLQ25" s="3"/>
      <c r="OLR25" s="3"/>
      <c r="OLS25" s="3"/>
      <c r="OLT25" s="3"/>
      <c r="OLU25" s="3"/>
      <c r="OLV25" s="3"/>
      <c r="OLW25" s="3"/>
      <c r="OLX25" s="3"/>
      <c r="OLY25" s="3"/>
      <c r="OLZ25" s="3"/>
      <c r="OMA25" s="3"/>
      <c r="OMB25" s="3"/>
      <c r="OMC25" s="3"/>
      <c r="OMD25" s="3"/>
      <c r="OME25" s="3"/>
      <c r="OMF25" s="3"/>
      <c r="OMG25" s="3"/>
      <c r="OMH25" s="3"/>
      <c r="OMI25" s="3"/>
      <c r="OMJ25" s="3"/>
      <c r="OMK25" s="3"/>
      <c r="OML25" s="3"/>
      <c r="OMM25" s="3"/>
      <c r="OMN25" s="3"/>
      <c r="OMO25" s="3"/>
      <c r="OMP25" s="3"/>
      <c r="OMQ25" s="3"/>
      <c r="OMR25" s="3"/>
      <c r="OMS25" s="3"/>
      <c r="OMT25" s="3"/>
      <c r="OMU25" s="3"/>
      <c r="OMV25" s="3"/>
      <c r="OMW25" s="3"/>
      <c r="OMX25" s="3"/>
      <c r="OMY25" s="3"/>
      <c r="OMZ25" s="3"/>
      <c r="ONA25" s="3"/>
      <c r="ONB25" s="3"/>
      <c r="ONC25" s="3"/>
      <c r="OND25" s="3"/>
      <c r="ONE25" s="3"/>
      <c r="ONF25" s="3"/>
      <c r="ONG25" s="3"/>
      <c r="ONH25" s="3"/>
      <c r="ONI25" s="3"/>
      <c r="ONJ25" s="3"/>
      <c r="ONK25" s="3"/>
      <c r="ONL25" s="3"/>
      <c r="ONM25" s="3"/>
      <c r="ONN25" s="3"/>
      <c r="ONO25" s="3"/>
      <c r="ONP25" s="3"/>
      <c r="ONQ25" s="3"/>
      <c r="ONR25" s="3"/>
      <c r="ONS25" s="3"/>
      <c r="ONT25" s="3"/>
      <c r="ONU25" s="3"/>
      <c r="ONV25" s="3"/>
      <c r="ONW25" s="3"/>
      <c r="ONX25" s="3"/>
      <c r="ONY25" s="3"/>
      <c r="ONZ25" s="3"/>
      <c r="OOA25" s="3"/>
      <c r="OOB25" s="3"/>
      <c r="OOC25" s="3"/>
      <c r="OOD25" s="3"/>
      <c r="OOE25" s="3"/>
      <c r="OOF25" s="3"/>
      <c r="OOG25" s="3"/>
      <c r="OOH25" s="3"/>
      <c r="OOI25" s="3"/>
      <c r="OOJ25" s="3"/>
      <c r="OOK25" s="3"/>
      <c r="OOL25" s="3"/>
      <c r="OOM25" s="3"/>
      <c r="OON25" s="3"/>
      <c r="OOO25" s="3"/>
      <c r="OOP25" s="3"/>
      <c r="OOQ25" s="3"/>
      <c r="OOR25" s="3"/>
      <c r="OOS25" s="3"/>
      <c r="OOT25" s="3"/>
      <c r="OOU25" s="3"/>
      <c r="OOV25" s="3"/>
      <c r="OOW25" s="3"/>
      <c r="OOX25" s="3"/>
      <c r="OOY25" s="3"/>
      <c r="OOZ25" s="3"/>
      <c r="OPA25" s="3"/>
      <c r="OPB25" s="3"/>
      <c r="OPC25" s="3"/>
      <c r="OPD25" s="3"/>
      <c r="OPE25" s="3"/>
      <c r="OPF25" s="3"/>
      <c r="OPG25" s="3"/>
      <c r="OPH25" s="3"/>
      <c r="OPI25" s="3"/>
      <c r="OPJ25" s="3"/>
      <c r="OPK25" s="3"/>
      <c r="OPL25" s="3"/>
      <c r="OPM25" s="3"/>
      <c r="OPN25" s="3"/>
      <c r="OPO25" s="3"/>
      <c r="OPP25" s="3"/>
      <c r="OPQ25" s="3"/>
      <c r="OPR25" s="3"/>
      <c r="OPS25" s="3"/>
      <c r="OPT25" s="3"/>
      <c r="OPU25" s="3"/>
      <c r="OPV25" s="3"/>
      <c r="OPW25" s="3"/>
      <c r="OPX25" s="3"/>
      <c r="OPY25" s="3"/>
      <c r="OPZ25" s="3"/>
      <c r="OQA25" s="3"/>
      <c r="OQB25" s="3"/>
      <c r="OQC25" s="3"/>
      <c r="OQD25" s="3"/>
      <c r="OQE25" s="3"/>
      <c r="OQF25" s="3"/>
      <c r="OQG25" s="3"/>
      <c r="OQH25" s="3"/>
      <c r="OQI25" s="3"/>
      <c r="OQJ25" s="3"/>
      <c r="OQK25" s="3"/>
      <c r="OQL25" s="3"/>
      <c r="OQM25" s="3"/>
      <c r="OQN25" s="3"/>
      <c r="OQO25" s="3"/>
      <c r="OQP25" s="3"/>
      <c r="OQQ25" s="3"/>
      <c r="OQR25" s="3"/>
      <c r="OQS25" s="3"/>
      <c r="OQT25" s="3"/>
      <c r="OQU25" s="3"/>
      <c r="OQV25" s="3"/>
      <c r="OQW25" s="3"/>
      <c r="OQX25" s="3"/>
      <c r="OQY25" s="3"/>
      <c r="OQZ25" s="3"/>
      <c r="ORA25" s="3"/>
      <c r="ORB25" s="3"/>
      <c r="ORC25" s="3"/>
      <c r="ORD25" s="3"/>
      <c r="ORE25" s="3"/>
      <c r="ORF25" s="3"/>
      <c r="ORG25" s="3"/>
      <c r="ORH25" s="3"/>
      <c r="ORI25" s="3"/>
      <c r="ORJ25" s="3"/>
      <c r="ORK25" s="3"/>
      <c r="ORL25" s="3"/>
      <c r="ORM25" s="3"/>
      <c r="ORN25" s="3"/>
      <c r="ORO25" s="3"/>
      <c r="ORP25" s="3"/>
      <c r="ORQ25" s="3"/>
      <c r="ORR25" s="3"/>
      <c r="ORS25" s="3"/>
      <c r="ORT25" s="3"/>
      <c r="ORU25" s="3"/>
      <c r="ORV25" s="3"/>
      <c r="ORW25" s="3"/>
      <c r="ORX25" s="3"/>
      <c r="ORY25" s="3"/>
      <c r="ORZ25" s="3"/>
      <c r="OSA25" s="3"/>
      <c r="OSB25" s="3"/>
      <c r="OSC25" s="3"/>
      <c r="OSD25" s="3"/>
      <c r="OSE25" s="3"/>
      <c r="OSF25" s="3"/>
      <c r="OSG25" s="3"/>
      <c r="OSH25" s="3"/>
      <c r="OSI25" s="3"/>
      <c r="OSJ25" s="3"/>
      <c r="OSK25" s="3"/>
      <c r="OSL25" s="3"/>
      <c r="OSM25" s="3"/>
      <c r="OSN25" s="3"/>
      <c r="OSO25" s="3"/>
      <c r="OSP25" s="3"/>
      <c r="OSQ25" s="3"/>
      <c r="OSR25" s="3"/>
      <c r="OSS25" s="3"/>
      <c r="OST25" s="3"/>
      <c r="OSU25" s="3"/>
      <c r="OSV25" s="3"/>
      <c r="OSW25" s="3"/>
      <c r="OSX25" s="3"/>
      <c r="OSY25" s="3"/>
      <c r="OSZ25" s="3"/>
      <c r="OTA25" s="3"/>
      <c r="OTB25" s="3"/>
      <c r="OTC25" s="3"/>
      <c r="OTD25" s="3"/>
      <c r="OTE25" s="3"/>
      <c r="OTF25" s="3"/>
      <c r="OTG25" s="3"/>
      <c r="OTH25" s="3"/>
      <c r="OTI25" s="3"/>
      <c r="OTJ25" s="3"/>
      <c r="OTK25" s="3"/>
      <c r="OTL25" s="3"/>
      <c r="OTM25" s="3"/>
      <c r="OTN25" s="3"/>
      <c r="OTO25" s="3"/>
      <c r="OTP25" s="3"/>
      <c r="OTQ25" s="3"/>
      <c r="OTR25" s="3"/>
      <c r="OTS25" s="3"/>
      <c r="OTT25" s="3"/>
      <c r="OTU25" s="3"/>
      <c r="OTV25" s="3"/>
      <c r="OTW25" s="3"/>
      <c r="OTX25" s="3"/>
      <c r="OTY25" s="3"/>
      <c r="OTZ25" s="3"/>
      <c r="OUA25" s="3"/>
      <c r="OUB25" s="3"/>
      <c r="OUC25" s="3"/>
      <c r="OUD25" s="3"/>
      <c r="OUE25" s="3"/>
      <c r="OUF25" s="3"/>
      <c r="OUG25" s="3"/>
      <c r="OUH25" s="3"/>
      <c r="OUI25" s="3"/>
      <c r="OUJ25" s="3"/>
      <c r="OUK25" s="3"/>
      <c r="OUL25" s="3"/>
      <c r="OUM25" s="3"/>
      <c r="OUN25" s="3"/>
      <c r="OUO25" s="3"/>
      <c r="OUP25" s="3"/>
      <c r="OUQ25" s="3"/>
      <c r="OUR25" s="3"/>
      <c r="OUS25" s="3"/>
      <c r="OUT25" s="3"/>
      <c r="OUU25" s="3"/>
      <c r="OUV25" s="3"/>
      <c r="OUW25" s="3"/>
      <c r="OUX25" s="3"/>
      <c r="OUY25" s="3"/>
      <c r="OUZ25" s="3"/>
      <c r="OVA25" s="3"/>
      <c r="OVB25" s="3"/>
      <c r="OVC25" s="3"/>
      <c r="OVD25" s="3"/>
      <c r="OVE25" s="3"/>
      <c r="OVF25" s="3"/>
      <c r="OVG25" s="3"/>
      <c r="OVH25" s="3"/>
      <c r="OVI25" s="3"/>
      <c r="OVJ25" s="3"/>
      <c r="OVK25" s="3"/>
      <c r="OVL25" s="3"/>
      <c r="OVM25" s="3"/>
      <c r="OVN25" s="3"/>
      <c r="OVO25" s="3"/>
      <c r="OVP25" s="3"/>
      <c r="OVQ25" s="3"/>
      <c r="OVR25" s="3"/>
      <c r="OVS25" s="3"/>
      <c r="OVT25" s="3"/>
      <c r="OVU25" s="3"/>
      <c r="OVV25" s="3"/>
      <c r="OVW25" s="3"/>
      <c r="OVX25" s="3"/>
      <c r="OVY25" s="3"/>
      <c r="OVZ25" s="3"/>
      <c r="OWA25" s="3"/>
      <c r="OWB25" s="3"/>
      <c r="OWC25" s="3"/>
      <c r="OWD25" s="3"/>
      <c r="OWE25" s="3"/>
      <c r="OWF25" s="3"/>
      <c r="OWG25" s="3"/>
      <c r="OWH25" s="3"/>
      <c r="OWI25" s="3"/>
      <c r="OWJ25" s="3"/>
      <c r="OWK25" s="3"/>
      <c r="OWL25" s="3"/>
      <c r="OWM25" s="3"/>
      <c r="OWN25" s="3"/>
      <c r="OWO25" s="3"/>
      <c r="OWP25" s="3"/>
      <c r="OWQ25" s="3"/>
      <c r="OWR25" s="3"/>
      <c r="OWS25" s="3"/>
      <c r="OWT25" s="3"/>
      <c r="OWU25" s="3"/>
      <c r="OWV25" s="3"/>
      <c r="OWW25" s="3"/>
      <c r="OWX25" s="3"/>
      <c r="OWY25" s="3"/>
      <c r="OWZ25" s="3"/>
      <c r="OXA25" s="3"/>
      <c r="OXB25" s="3"/>
      <c r="OXC25" s="3"/>
      <c r="OXD25" s="3"/>
      <c r="OXE25" s="3"/>
      <c r="OXF25" s="3"/>
      <c r="OXG25" s="3"/>
      <c r="OXH25" s="3"/>
      <c r="OXI25" s="3"/>
      <c r="OXJ25" s="3"/>
      <c r="OXK25" s="3"/>
      <c r="OXL25" s="3"/>
      <c r="OXM25" s="3"/>
      <c r="OXN25" s="3"/>
      <c r="OXO25" s="3"/>
      <c r="OXP25" s="3"/>
      <c r="OXQ25" s="3"/>
      <c r="OXR25" s="3"/>
      <c r="OXS25" s="3"/>
      <c r="OXT25" s="3"/>
      <c r="OXU25" s="3"/>
      <c r="OXV25" s="3"/>
      <c r="OXW25" s="3"/>
      <c r="OXX25" s="3"/>
      <c r="OXY25" s="3"/>
      <c r="OXZ25" s="3"/>
      <c r="OYA25" s="3"/>
      <c r="OYB25" s="3"/>
      <c r="OYC25" s="3"/>
      <c r="OYD25" s="3"/>
      <c r="OYE25" s="3"/>
      <c r="OYF25" s="3"/>
      <c r="OYG25" s="3"/>
      <c r="OYH25" s="3"/>
      <c r="OYI25" s="3"/>
      <c r="OYJ25" s="3"/>
      <c r="OYK25" s="3"/>
      <c r="OYL25" s="3"/>
      <c r="OYM25" s="3"/>
      <c r="OYN25" s="3"/>
      <c r="OYO25" s="3"/>
      <c r="OYP25" s="3"/>
      <c r="OYQ25" s="3"/>
      <c r="OYR25" s="3"/>
      <c r="OYS25" s="3"/>
      <c r="OYT25" s="3"/>
      <c r="OYU25" s="3"/>
      <c r="OYV25" s="3"/>
      <c r="OYW25" s="3"/>
      <c r="OYX25" s="3"/>
      <c r="OYY25" s="3"/>
      <c r="OYZ25" s="3"/>
      <c r="OZA25" s="3"/>
      <c r="OZB25" s="3"/>
      <c r="OZC25" s="3"/>
      <c r="OZD25" s="3"/>
      <c r="OZE25" s="3"/>
      <c r="OZF25" s="3"/>
      <c r="OZG25" s="3"/>
      <c r="OZH25" s="3"/>
      <c r="OZI25" s="3"/>
      <c r="OZJ25" s="3"/>
      <c r="OZK25" s="3"/>
      <c r="OZL25" s="3"/>
      <c r="OZM25" s="3"/>
      <c r="OZN25" s="3"/>
      <c r="OZO25" s="3"/>
      <c r="OZP25" s="3"/>
      <c r="OZQ25" s="3"/>
      <c r="OZR25" s="3"/>
      <c r="OZS25" s="3"/>
      <c r="OZT25" s="3"/>
      <c r="OZU25" s="3"/>
      <c r="OZV25" s="3"/>
      <c r="OZW25" s="3"/>
      <c r="OZX25" s="3"/>
      <c r="OZY25" s="3"/>
      <c r="OZZ25" s="3"/>
      <c r="PAA25" s="3"/>
      <c r="PAB25" s="3"/>
      <c r="PAC25" s="3"/>
      <c r="PAD25" s="3"/>
      <c r="PAE25" s="3"/>
      <c r="PAF25" s="3"/>
      <c r="PAG25" s="3"/>
      <c r="PAH25" s="3"/>
      <c r="PAI25" s="3"/>
      <c r="PAJ25" s="3"/>
      <c r="PAK25" s="3"/>
      <c r="PAL25" s="3"/>
      <c r="PAM25" s="3"/>
      <c r="PAN25" s="3"/>
      <c r="PAO25" s="3"/>
      <c r="PAP25" s="3"/>
      <c r="PAQ25" s="3"/>
      <c r="PAR25" s="3"/>
      <c r="PAS25" s="3"/>
      <c r="PAT25" s="3"/>
      <c r="PAU25" s="3"/>
      <c r="PAV25" s="3"/>
      <c r="PAW25" s="3"/>
      <c r="PAX25" s="3"/>
      <c r="PAY25" s="3"/>
      <c r="PAZ25" s="3"/>
      <c r="PBA25" s="3"/>
      <c r="PBB25" s="3"/>
      <c r="PBC25" s="3"/>
      <c r="PBD25" s="3"/>
      <c r="PBE25" s="3"/>
      <c r="PBF25" s="3"/>
      <c r="PBG25" s="3"/>
      <c r="PBH25" s="3"/>
      <c r="PBI25" s="3"/>
      <c r="PBJ25" s="3"/>
      <c r="PBK25" s="3"/>
      <c r="PBL25" s="3"/>
      <c r="PBM25" s="3"/>
      <c r="PBN25" s="3"/>
      <c r="PBO25" s="3"/>
      <c r="PBP25" s="3"/>
      <c r="PBQ25" s="3"/>
      <c r="PBR25" s="3"/>
      <c r="PBS25" s="3"/>
      <c r="PBT25" s="3"/>
      <c r="PBU25" s="3"/>
      <c r="PBV25" s="3"/>
      <c r="PBW25" s="3"/>
      <c r="PBX25" s="3"/>
      <c r="PBY25" s="3"/>
      <c r="PBZ25" s="3"/>
      <c r="PCA25" s="3"/>
      <c r="PCB25" s="3"/>
      <c r="PCC25" s="3"/>
      <c r="PCD25" s="3"/>
      <c r="PCE25" s="3"/>
      <c r="PCF25" s="3"/>
      <c r="PCG25" s="3"/>
      <c r="PCH25" s="3"/>
      <c r="PCI25" s="3"/>
      <c r="PCJ25" s="3"/>
      <c r="PCK25" s="3"/>
      <c r="PCL25" s="3"/>
      <c r="PCM25" s="3"/>
      <c r="PCN25" s="3"/>
      <c r="PCO25" s="3"/>
      <c r="PCP25" s="3"/>
      <c r="PCQ25" s="3"/>
      <c r="PCR25" s="3"/>
      <c r="PCS25" s="3"/>
      <c r="PCT25" s="3"/>
      <c r="PCU25" s="3"/>
      <c r="PCV25" s="3"/>
      <c r="PCW25" s="3"/>
      <c r="PCX25" s="3"/>
      <c r="PCY25" s="3"/>
      <c r="PCZ25" s="3"/>
      <c r="PDA25" s="3"/>
      <c r="PDB25" s="3"/>
      <c r="PDC25" s="3"/>
      <c r="PDD25" s="3"/>
      <c r="PDE25" s="3"/>
      <c r="PDF25" s="3"/>
      <c r="PDG25" s="3"/>
      <c r="PDH25" s="3"/>
      <c r="PDI25" s="3"/>
      <c r="PDJ25" s="3"/>
      <c r="PDK25" s="3"/>
      <c r="PDL25" s="3"/>
      <c r="PDM25" s="3"/>
      <c r="PDN25" s="3"/>
      <c r="PDO25" s="3"/>
      <c r="PDP25" s="3"/>
      <c r="PDQ25" s="3"/>
      <c r="PDR25" s="3"/>
      <c r="PDS25" s="3"/>
      <c r="PDT25" s="3"/>
      <c r="PDU25" s="3"/>
      <c r="PDV25" s="3"/>
      <c r="PDW25" s="3"/>
      <c r="PDX25" s="3"/>
      <c r="PDY25" s="3"/>
      <c r="PDZ25" s="3"/>
      <c r="PEA25" s="3"/>
      <c r="PEB25" s="3"/>
      <c r="PEC25" s="3"/>
      <c r="PED25" s="3"/>
      <c r="PEE25" s="3"/>
      <c r="PEF25" s="3"/>
      <c r="PEG25" s="3"/>
      <c r="PEH25" s="3"/>
      <c r="PEI25" s="3"/>
      <c r="PEJ25" s="3"/>
      <c r="PEK25" s="3"/>
      <c r="PEL25" s="3"/>
      <c r="PEM25" s="3"/>
      <c r="PEN25" s="3"/>
      <c r="PEO25" s="3"/>
      <c r="PEP25" s="3"/>
      <c r="PEQ25" s="3"/>
      <c r="PER25" s="3"/>
      <c r="PES25" s="3"/>
      <c r="PET25" s="3"/>
      <c r="PEU25" s="3"/>
      <c r="PEV25" s="3"/>
      <c r="PEW25" s="3"/>
      <c r="PEX25" s="3"/>
      <c r="PEY25" s="3"/>
      <c r="PEZ25" s="3"/>
      <c r="PFA25" s="3"/>
      <c r="PFB25" s="3"/>
      <c r="PFC25" s="3"/>
      <c r="PFD25" s="3"/>
      <c r="PFE25" s="3"/>
      <c r="PFF25" s="3"/>
      <c r="PFG25" s="3"/>
      <c r="PFH25" s="3"/>
      <c r="PFI25" s="3"/>
      <c r="PFJ25" s="3"/>
      <c r="PFK25" s="3"/>
      <c r="PFL25" s="3"/>
      <c r="PFM25" s="3"/>
      <c r="PFN25" s="3"/>
      <c r="PFO25" s="3"/>
      <c r="PFP25" s="3"/>
      <c r="PFQ25" s="3"/>
      <c r="PFR25" s="3"/>
      <c r="PFS25" s="3"/>
      <c r="PFT25" s="3"/>
      <c r="PFU25" s="3"/>
      <c r="PFV25" s="3"/>
      <c r="PFW25" s="3"/>
      <c r="PFX25" s="3"/>
      <c r="PFY25" s="3"/>
      <c r="PFZ25" s="3"/>
      <c r="PGA25" s="3"/>
      <c r="PGB25" s="3"/>
      <c r="PGC25" s="3"/>
      <c r="PGD25" s="3"/>
      <c r="PGE25" s="3"/>
      <c r="PGF25" s="3"/>
      <c r="PGG25" s="3"/>
      <c r="PGH25" s="3"/>
      <c r="PGI25" s="3"/>
      <c r="PGJ25" s="3"/>
      <c r="PGK25" s="3"/>
      <c r="PGL25" s="3"/>
      <c r="PGM25" s="3"/>
      <c r="PGN25" s="3"/>
      <c r="PGO25" s="3"/>
      <c r="PGP25" s="3"/>
      <c r="PGQ25" s="3"/>
      <c r="PGR25" s="3"/>
      <c r="PGS25" s="3"/>
      <c r="PGT25" s="3"/>
      <c r="PGU25" s="3"/>
      <c r="PGV25" s="3"/>
      <c r="PGW25" s="3"/>
      <c r="PGX25" s="3"/>
      <c r="PGY25" s="3"/>
      <c r="PGZ25" s="3"/>
      <c r="PHA25" s="3"/>
      <c r="PHB25" s="3"/>
      <c r="PHC25" s="3"/>
      <c r="PHD25" s="3"/>
      <c r="PHE25" s="3"/>
      <c r="PHF25" s="3"/>
      <c r="PHG25" s="3"/>
      <c r="PHH25" s="3"/>
      <c r="PHI25" s="3"/>
      <c r="PHJ25" s="3"/>
      <c r="PHK25" s="3"/>
      <c r="PHL25" s="3"/>
      <c r="PHM25" s="3"/>
      <c r="PHN25" s="3"/>
      <c r="PHO25" s="3"/>
      <c r="PHP25" s="3"/>
      <c r="PHQ25" s="3"/>
      <c r="PHR25" s="3"/>
      <c r="PHS25" s="3"/>
      <c r="PHT25" s="3"/>
      <c r="PHU25" s="3"/>
      <c r="PHV25" s="3"/>
      <c r="PHW25" s="3"/>
      <c r="PHX25" s="3"/>
      <c r="PHY25" s="3"/>
      <c r="PHZ25" s="3"/>
      <c r="PIA25" s="3"/>
      <c r="PIB25" s="3"/>
      <c r="PIC25" s="3"/>
      <c r="PID25" s="3"/>
      <c r="PIE25" s="3"/>
      <c r="PIF25" s="3"/>
      <c r="PIG25" s="3"/>
      <c r="PIH25" s="3"/>
      <c r="PII25" s="3"/>
      <c r="PIJ25" s="3"/>
      <c r="PIK25" s="3"/>
      <c r="PIL25" s="3"/>
      <c r="PIM25" s="3"/>
      <c r="PIN25" s="3"/>
      <c r="PIO25" s="3"/>
      <c r="PIP25" s="3"/>
      <c r="PIQ25" s="3"/>
      <c r="PIR25" s="3"/>
      <c r="PIS25" s="3"/>
      <c r="PIT25" s="3"/>
      <c r="PIU25" s="3"/>
      <c r="PIV25" s="3"/>
      <c r="PIW25" s="3"/>
      <c r="PIX25" s="3"/>
      <c r="PIY25" s="3"/>
      <c r="PIZ25" s="3"/>
      <c r="PJA25" s="3"/>
      <c r="PJB25" s="3"/>
      <c r="PJC25" s="3"/>
      <c r="PJD25" s="3"/>
      <c r="PJE25" s="3"/>
      <c r="PJF25" s="3"/>
      <c r="PJG25" s="3"/>
      <c r="PJH25" s="3"/>
      <c r="PJI25" s="3"/>
      <c r="PJJ25" s="3"/>
      <c r="PJK25" s="3"/>
      <c r="PJL25" s="3"/>
      <c r="PJM25" s="3"/>
      <c r="PJN25" s="3"/>
      <c r="PJO25" s="3"/>
      <c r="PJP25" s="3"/>
      <c r="PJQ25" s="3"/>
      <c r="PJR25" s="3"/>
      <c r="PJS25" s="3"/>
      <c r="PJT25" s="3"/>
      <c r="PJU25" s="3"/>
      <c r="PJV25" s="3"/>
      <c r="PJW25" s="3"/>
      <c r="PJX25" s="3"/>
      <c r="PJY25" s="3"/>
      <c r="PJZ25" s="3"/>
      <c r="PKA25" s="3"/>
      <c r="PKB25" s="3"/>
      <c r="PKC25" s="3"/>
      <c r="PKD25" s="3"/>
      <c r="PKE25" s="3"/>
      <c r="PKF25" s="3"/>
      <c r="PKG25" s="3"/>
      <c r="PKH25" s="3"/>
      <c r="PKI25" s="3"/>
      <c r="PKJ25" s="3"/>
      <c r="PKK25" s="3"/>
      <c r="PKL25" s="3"/>
      <c r="PKM25" s="3"/>
      <c r="PKN25" s="3"/>
      <c r="PKO25" s="3"/>
      <c r="PKP25" s="3"/>
      <c r="PKQ25" s="3"/>
      <c r="PKR25" s="3"/>
      <c r="PKS25" s="3"/>
      <c r="PKT25" s="3"/>
      <c r="PKU25" s="3"/>
      <c r="PKV25" s="3"/>
      <c r="PKW25" s="3"/>
      <c r="PKX25" s="3"/>
      <c r="PKY25" s="3"/>
      <c r="PKZ25" s="3"/>
      <c r="PLA25" s="3"/>
      <c r="PLB25" s="3"/>
      <c r="PLC25" s="3"/>
      <c r="PLD25" s="3"/>
      <c r="PLE25" s="3"/>
      <c r="PLF25" s="3"/>
      <c r="PLG25" s="3"/>
      <c r="PLH25" s="3"/>
      <c r="PLI25" s="3"/>
      <c r="PLJ25" s="3"/>
      <c r="PLK25" s="3"/>
      <c r="PLL25" s="3"/>
      <c r="PLM25" s="3"/>
      <c r="PLN25" s="3"/>
      <c r="PLO25" s="3"/>
      <c r="PLP25" s="3"/>
      <c r="PLQ25" s="3"/>
      <c r="PLR25" s="3"/>
      <c r="PLS25" s="3"/>
      <c r="PLT25" s="3"/>
      <c r="PLU25" s="3"/>
      <c r="PLV25" s="3"/>
      <c r="PLW25" s="3"/>
      <c r="PLX25" s="3"/>
      <c r="PLY25" s="3"/>
      <c r="PLZ25" s="3"/>
      <c r="PMA25" s="3"/>
      <c r="PMB25" s="3"/>
      <c r="PMC25" s="3"/>
      <c r="PMD25" s="3"/>
      <c r="PME25" s="3"/>
      <c r="PMF25" s="3"/>
      <c r="PMG25" s="3"/>
      <c r="PMH25" s="3"/>
      <c r="PMI25" s="3"/>
      <c r="PMJ25" s="3"/>
      <c r="PMK25" s="3"/>
      <c r="PML25" s="3"/>
      <c r="PMM25" s="3"/>
      <c r="PMN25" s="3"/>
      <c r="PMO25" s="3"/>
      <c r="PMP25" s="3"/>
      <c r="PMQ25" s="3"/>
      <c r="PMR25" s="3"/>
      <c r="PMS25" s="3"/>
      <c r="PMT25" s="3"/>
      <c r="PMU25" s="3"/>
      <c r="PMV25" s="3"/>
      <c r="PMW25" s="3"/>
      <c r="PMX25" s="3"/>
      <c r="PMY25" s="3"/>
      <c r="PMZ25" s="3"/>
      <c r="PNA25" s="3"/>
      <c r="PNB25" s="3"/>
      <c r="PNC25" s="3"/>
      <c r="PND25" s="3"/>
      <c r="PNE25" s="3"/>
      <c r="PNF25" s="3"/>
      <c r="PNG25" s="3"/>
      <c r="PNH25" s="3"/>
      <c r="PNI25" s="3"/>
      <c r="PNJ25" s="3"/>
      <c r="PNK25" s="3"/>
      <c r="PNL25" s="3"/>
      <c r="PNM25" s="3"/>
      <c r="PNN25" s="3"/>
      <c r="PNO25" s="3"/>
      <c r="PNP25" s="3"/>
      <c r="PNQ25" s="3"/>
      <c r="PNR25" s="3"/>
      <c r="PNS25" s="3"/>
      <c r="PNT25" s="3"/>
      <c r="PNU25" s="3"/>
      <c r="PNV25" s="3"/>
      <c r="PNW25" s="3"/>
      <c r="PNX25" s="3"/>
      <c r="PNY25" s="3"/>
      <c r="PNZ25" s="3"/>
      <c r="POA25" s="3"/>
      <c r="POB25" s="3"/>
      <c r="POC25" s="3"/>
      <c r="POD25" s="3"/>
      <c r="POE25" s="3"/>
      <c r="POF25" s="3"/>
      <c r="POG25" s="3"/>
      <c r="POH25" s="3"/>
      <c r="POI25" s="3"/>
      <c r="POJ25" s="3"/>
      <c r="POK25" s="3"/>
      <c r="POL25" s="3"/>
      <c r="POM25" s="3"/>
      <c r="PON25" s="3"/>
      <c r="POO25" s="3"/>
      <c r="POP25" s="3"/>
      <c r="POQ25" s="3"/>
      <c r="POR25" s="3"/>
      <c r="POS25" s="3"/>
      <c r="POT25" s="3"/>
      <c r="POU25" s="3"/>
      <c r="POV25" s="3"/>
      <c r="POW25" s="3"/>
      <c r="POX25" s="3"/>
      <c r="POY25" s="3"/>
      <c r="POZ25" s="3"/>
      <c r="PPA25" s="3"/>
      <c r="PPB25" s="3"/>
      <c r="PPC25" s="3"/>
      <c r="PPD25" s="3"/>
      <c r="PPE25" s="3"/>
      <c r="PPF25" s="3"/>
      <c r="PPG25" s="3"/>
      <c r="PPH25" s="3"/>
      <c r="PPI25" s="3"/>
      <c r="PPJ25" s="3"/>
      <c r="PPK25" s="3"/>
      <c r="PPL25" s="3"/>
      <c r="PPM25" s="3"/>
      <c r="PPN25" s="3"/>
      <c r="PPO25" s="3"/>
      <c r="PPP25" s="3"/>
      <c r="PPQ25" s="3"/>
      <c r="PPR25" s="3"/>
      <c r="PPS25" s="3"/>
      <c r="PPT25" s="3"/>
      <c r="PPU25" s="3"/>
      <c r="PPV25" s="3"/>
      <c r="PPW25" s="3"/>
      <c r="PPX25" s="3"/>
      <c r="PPY25" s="3"/>
      <c r="PPZ25" s="3"/>
      <c r="PQA25" s="3"/>
      <c r="PQB25" s="3"/>
      <c r="PQC25" s="3"/>
      <c r="PQD25" s="3"/>
      <c r="PQE25" s="3"/>
      <c r="PQF25" s="3"/>
      <c r="PQG25" s="3"/>
      <c r="PQH25" s="3"/>
      <c r="PQI25" s="3"/>
      <c r="PQJ25" s="3"/>
      <c r="PQK25" s="3"/>
      <c r="PQL25" s="3"/>
      <c r="PQM25" s="3"/>
      <c r="PQN25" s="3"/>
      <c r="PQO25" s="3"/>
      <c r="PQP25" s="3"/>
      <c r="PQQ25" s="3"/>
      <c r="PQR25" s="3"/>
      <c r="PQS25" s="3"/>
      <c r="PQT25" s="3"/>
      <c r="PQU25" s="3"/>
      <c r="PQV25" s="3"/>
      <c r="PQW25" s="3"/>
      <c r="PQX25" s="3"/>
      <c r="PQY25" s="3"/>
      <c r="PQZ25" s="3"/>
      <c r="PRA25" s="3"/>
      <c r="PRB25" s="3"/>
      <c r="PRC25" s="3"/>
      <c r="PRD25" s="3"/>
      <c r="PRE25" s="3"/>
      <c r="PRF25" s="3"/>
      <c r="PRG25" s="3"/>
      <c r="PRH25" s="3"/>
      <c r="PRI25" s="3"/>
      <c r="PRJ25" s="3"/>
      <c r="PRK25" s="3"/>
      <c r="PRL25" s="3"/>
      <c r="PRM25" s="3"/>
      <c r="PRN25" s="3"/>
      <c r="PRO25" s="3"/>
      <c r="PRP25" s="3"/>
      <c r="PRQ25" s="3"/>
      <c r="PRR25" s="3"/>
      <c r="PRS25" s="3"/>
      <c r="PRT25" s="3"/>
      <c r="PRU25" s="3"/>
      <c r="PRV25" s="3"/>
      <c r="PRW25" s="3"/>
      <c r="PRX25" s="3"/>
      <c r="PRY25" s="3"/>
      <c r="PRZ25" s="3"/>
      <c r="PSA25" s="3"/>
      <c r="PSB25" s="3"/>
      <c r="PSC25" s="3"/>
      <c r="PSD25" s="3"/>
      <c r="PSE25" s="3"/>
      <c r="PSF25" s="3"/>
      <c r="PSG25" s="3"/>
      <c r="PSH25" s="3"/>
      <c r="PSI25" s="3"/>
      <c r="PSJ25" s="3"/>
      <c r="PSK25" s="3"/>
      <c r="PSL25" s="3"/>
      <c r="PSM25" s="3"/>
      <c r="PSN25" s="3"/>
      <c r="PSO25" s="3"/>
      <c r="PSP25" s="3"/>
      <c r="PSQ25" s="3"/>
      <c r="PSR25" s="3"/>
      <c r="PSS25" s="3"/>
      <c r="PST25" s="3"/>
      <c r="PSU25" s="3"/>
      <c r="PSV25" s="3"/>
      <c r="PSW25" s="3"/>
      <c r="PSX25" s="3"/>
      <c r="PSY25" s="3"/>
      <c r="PSZ25" s="3"/>
      <c r="PTA25" s="3"/>
      <c r="PTB25" s="3"/>
      <c r="PTC25" s="3"/>
      <c r="PTD25" s="3"/>
      <c r="PTE25" s="3"/>
      <c r="PTF25" s="3"/>
      <c r="PTG25" s="3"/>
      <c r="PTH25" s="3"/>
      <c r="PTI25" s="3"/>
      <c r="PTJ25" s="3"/>
      <c r="PTK25" s="3"/>
      <c r="PTL25" s="3"/>
      <c r="PTM25" s="3"/>
      <c r="PTN25" s="3"/>
      <c r="PTO25" s="3"/>
      <c r="PTP25" s="3"/>
      <c r="PTQ25" s="3"/>
      <c r="PTR25" s="3"/>
      <c r="PTS25" s="3"/>
      <c r="PTT25" s="3"/>
      <c r="PTU25" s="3"/>
      <c r="PTV25" s="3"/>
      <c r="PTW25" s="3"/>
      <c r="PTX25" s="3"/>
      <c r="PTY25" s="3"/>
      <c r="PTZ25" s="3"/>
      <c r="PUA25" s="3"/>
      <c r="PUB25" s="3"/>
      <c r="PUC25" s="3"/>
      <c r="PUD25" s="3"/>
      <c r="PUE25" s="3"/>
      <c r="PUF25" s="3"/>
      <c r="PUG25" s="3"/>
      <c r="PUH25" s="3"/>
      <c r="PUI25" s="3"/>
      <c r="PUJ25" s="3"/>
      <c r="PUK25" s="3"/>
      <c r="PUL25" s="3"/>
      <c r="PUM25" s="3"/>
      <c r="PUN25" s="3"/>
      <c r="PUO25" s="3"/>
      <c r="PUP25" s="3"/>
      <c r="PUQ25" s="3"/>
      <c r="PUR25" s="3"/>
      <c r="PUS25" s="3"/>
      <c r="PUT25" s="3"/>
      <c r="PUU25" s="3"/>
      <c r="PUV25" s="3"/>
      <c r="PUW25" s="3"/>
      <c r="PUX25" s="3"/>
      <c r="PUY25" s="3"/>
      <c r="PUZ25" s="3"/>
      <c r="PVA25" s="3"/>
      <c r="PVB25" s="3"/>
      <c r="PVC25" s="3"/>
      <c r="PVD25" s="3"/>
      <c r="PVE25" s="3"/>
      <c r="PVF25" s="3"/>
      <c r="PVG25" s="3"/>
      <c r="PVH25" s="3"/>
      <c r="PVI25" s="3"/>
      <c r="PVJ25" s="3"/>
      <c r="PVK25" s="3"/>
      <c r="PVL25" s="3"/>
      <c r="PVM25" s="3"/>
      <c r="PVN25" s="3"/>
      <c r="PVO25" s="3"/>
      <c r="PVP25" s="3"/>
      <c r="PVQ25" s="3"/>
      <c r="PVR25" s="3"/>
      <c r="PVS25" s="3"/>
      <c r="PVT25" s="3"/>
      <c r="PVU25" s="3"/>
      <c r="PVV25" s="3"/>
      <c r="PVW25" s="3"/>
      <c r="PVX25" s="3"/>
      <c r="PVY25" s="3"/>
      <c r="PVZ25" s="3"/>
      <c r="PWA25" s="3"/>
      <c r="PWB25" s="3"/>
      <c r="PWC25" s="3"/>
      <c r="PWD25" s="3"/>
      <c r="PWE25" s="3"/>
      <c r="PWF25" s="3"/>
      <c r="PWG25" s="3"/>
      <c r="PWH25" s="3"/>
      <c r="PWI25" s="3"/>
      <c r="PWJ25" s="3"/>
      <c r="PWK25" s="3"/>
      <c r="PWL25" s="3"/>
      <c r="PWM25" s="3"/>
      <c r="PWN25" s="3"/>
      <c r="PWO25" s="3"/>
      <c r="PWP25" s="3"/>
      <c r="PWQ25" s="3"/>
      <c r="PWR25" s="3"/>
      <c r="PWS25" s="3"/>
      <c r="PWT25" s="3"/>
      <c r="PWU25" s="3"/>
      <c r="PWV25" s="3"/>
      <c r="PWW25" s="3"/>
      <c r="PWX25" s="3"/>
      <c r="PWY25" s="3"/>
      <c r="PWZ25" s="3"/>
      <c r="PXA25" s="3"/>
      <c r="PXB25" s="3"/>
      <c r="PXC25" s="3"/>
      <c r="PXD25" s="3"/>
      <c r="PXE25" s="3"/>
      <c r="PXF25" s="3"/>
      <c r="PXG25" s="3"/>
      <c r="PXH25" s="3"/>
      <c r="PXI25" s="3"/>
      <c r="PXJ25" s="3"/>
      <c r="PXK25" s="3"/>
      <c r="PXL25" s="3"/>
      <c r="PXM25" s="3"/>
      <c r="PXN25" s="3"/>
      <c r="PXO25" s="3"/>
      <c r="PXP25" s="3"/>
      <c r="PXQ25" s="3"/>
      <c r="PXR25" s="3"/>
      <c r="PXS25" s="3"/>
      <c r="PXT25" s="3"/>
      <c r="PXU25" s="3"/>
      <c r="PXV25" s="3"/>
      <c r="PXW25" s="3"/>
      <c r="PXX25" s="3"/>
      <c r="PXY25" s="3"/>
      <c r="PXZ25" s="3"/>
      <c r="PYA25" s="3"/>
      <c r="PYB25" s="3"/>
      <c r="PYC25" s="3"/>
      <c r="PYD25" s="3"/>
      <c r="PYE25" s="3"/>
      <c r="PYF25" s="3"/>
      <c r="PYG25" s="3"/>
      <c r="PYH25" s="3"/>
      <c r="PYI25" s="3"/>
      <c r="PYJ25" s="3"/>
      <c r="PYK25" s="3"/>
      <c r="PYL25" s="3"/>
      <c r="PYM25" s="3"/>
      <c r="PYN25" s="3"/>
      <c r="PYO25" s="3"/>
      <c r="PYP25" s="3"/>
      <c r="PYQ25" s="3"/>
      <c r="PYR25" s="3"/>
      <c r="PYS25" s="3"/>
      <c r="PYT25" s="3"/>
      <c r="PYU25" s="3"/>
      <c r="PYV25" s="3"/>
      <c r="PYW25" s="3"/>
      <c r="PYX25" s="3"/>
      <c r="PYY25" s="3"/>
      <c r="PYZ25" s="3"/>
      <c r="PZA25" s="3"/>
      <c r="PZB25" s="3"/>
      <c r="PZC25" s="3"/>
      <c r="PZD25" s="3"/>
      <c r="PZE25" s="3"/>
      <c r="PZF25" s="3"/>
      <c r="PZG25" s="3"/>
      <c r="PZH25" s="3"/>
      <c r="PZI25" s="3"/>
      <c r="PZJ25" s="3"/>
      <c r="PZK25" s="3"/>
      <c r="PZL25" s="3"/>
      <c r="PZM25" s="3"/>
      <c r="PZN25" s="3"/>
      <c r="PZO25" s="3"/>
      <c r="PZP25" s="3"/>
      <c r="PZQ25" s="3"/>
      <c r="PZR25" s="3"/>
      <c r="PZS25" s="3"/>
      <c r="PZT25" s="3"/>
      <c r="PZU25" s="3"/>
      <c r="PZV25" s="3"/>
      <c r="PZW25" s="3"/>
      <c r="PZX25" s="3"/>
      <c r="PZY25" s="3"/>
      <c r="PZZ25" s="3"/>
      <c r="QAA25" s="3"/>
      <c r="QAB25" s="3"/>
      <c r="QAC25" s="3"/>
      <c r="QAD25" s="3"/>
      <c r="QAE25" s="3"/>
      <c r="QAF25" s="3"/>
      <c r="QAG25" s="3"/>
      <c r="QAH25" s="3"/>
      <c r="QAI25" s="3"/>
      <c r="QAJ25" s="3"/>
      <c r="QAK25" s="3"/>
      <c r="QAL25" s="3"/>
      <c r="QAM25" s="3"/>
      <c r="QAN25" s="3"/>
      <c r="QAO25" s="3"/>
      <c r="QAP25" s="3"/>
      <c r="QAQ25" s="3"/>
      <c r="QAR25" s="3"/>
      <c r="QAS25" s="3"/>
      <c r="QAT25" s="3"/>
      <c r="QAU25" s="3"/>
      <c r="QAV25" s="3"/>
      <c r="QAW25" s="3"/>
      <c r="QAX25" s="3"/>
      <c r="QAY25" s="3"/>
      <c r="QAZ25" s="3"/>
      <c r="QBA25" s="3"/>
      <c r="QBB25" s="3"/>
      <c r="QBC25" s="3"/>
      <c r="QBD25" s="3"/>
      <c r="QBE25" s="3"/>
      <c r="QBF25" s="3"/>
      <c r="QBG25" s="3"/>
      <c r="QBH25" s="3"/>
      <c r="QBI25" s="3"/>
      <c r="QBJ25" s="3"/>
      <c r="QBK25" s="3"/>
      <c r="QBL25" s="3"/>
      <c r="QBM25" s="3"/>
      <c r="QBN25" s="3"/>
      <c r="QBO25" s="3"/>
      <c r="QBP25" s="3"/>
      <c r="QBQ25" s="3"/>
      <c r="QBR25" s="3"/>
      <c r="QBS25" s="3"/>
      <c r="QBT25" s="3"/>
      <c r="QBU25" s="3"/>
      <c r="QBV25" s="3"/>
      <c r="QBW25" s="3"/>
      <c r="QBX25" s="3"/>
      <c r="QBY25" s="3"/>
      <c r="QBZ25" s="3"/>
      <c r="QCA25" s="3"/>
      <c r="QCB25" s="3"/>
      <c r="QCC25" s="3"/>
      <c r="QCD25" s="3"/>
      <c r="QCE25" s="3"/>
      <c r="QCF25" s="3"/>
      <c r="QCG25" s="3"/>
      <c r="QCH25" s="3"/>
      <c r="QCI25" s="3"/>
      <c r="QCJ25" s="3"/>
      <c r="QCK25" s="3"/>
      <c r="QCL25" s="3"/>
      <c r="QCM25" s="3"/>
      <c r="QCN25" s="3"/>
      <c r="QCO25" s="3"/>
      <c r="QCP25" s="3"/>
      <c r="QCQ25" s="3"/>
      <c r="QCR25" s="3"/>
      <c r="QCS25" s="3"/>
      <c r="QCT25" s="3"/>
      <c r="QCU25" s="3"/>
      <c r="QCV25" s="3"/>
      <c r="QCW25" s="3"/>
      <c r="QCX25" s="3"/>
      <c r="QCY25" s="3"/>
      <c r="QCZ25" s="3"/>
      <c r="QDA25" s="3"/>
      <c r="QDB25" s="3"/>
      <c r="QDC25" s="3"/>
      <c r="QDD25" s="3"/>
      <c r="QDE25" s="3"/>
      <c r="QDF25" s="3"/>
      <c r="QDG25" s="3"/>
      <c r="QDH25" s="3"/>
      <c r="QDI25" s="3"/>
      <c r="QDJ25" s="3"/>
      <c r="QDK25" s="3"/>
      <c r="QDL25" s="3"/>
      <c r="QDM25" s="3"/>
      <c r="QDN25" s="3"/>
      <c r="QDO25" s="3"/>
      <c r="QDP25" s="3"/>
      <c r="QDQ25" s="3"/>
      <c r="QDR25" s="3"/>
      <c r="QDS25" s="3"/>
      <c r="QDT25" s="3"/>
      <c r="QDU25" s="3"/>
      <c r="QDV25" s="3"/>
      <c r="QDW25" s="3"/>
      <c r="QDX25" s="3"/>
      <c r="QDY25" s="3"/>
      <c r="QDZ25" s="3"/>
      <c r="QEA25" s="3"/>
      <c r="QEB25" s="3"/>
      <c r="QEC25" s="3"/>
      <c r="QED25" s="3"/>
      <c r="QEE25" s="3"/>
      <c r="QEF25" s="3"/>
      <c r="QEG25" s="3"/>
      <c r="QEH25" s="3"/>
      <c r="QEI25" s="3"/>
      <c r="QEJ25" s="3"/>
      <c r="QEK25" s="3"/>
      <c r="QEL25" s="3"/>
      <c r="QEM25" s="3"/>
      <c r="QEN25" s="3"/>
      <c r="QEO25" s="3"/>
      <c r="QEP25" s="3"/>
      <c r="QEQ25" s="3"/>
      <c r="QER25" s="3"/>
      <c r="QES25" s="3"/>
      <c r="QET25" s="3"/>
      <c r="QEU25" s="3"/>
      <c r="QEV25" s="3"/>
      <c r="QEW25" s="3"/>
      <c r="QEX25" s="3"/>
      <c r="QEY25" s="3"/>
      <c r="QEZ25" s="3"/>
      <c r="QFA25" s="3"/>
      <c r="QFB25" s="3"/>
      <c r="QFC25" s="3"/>
      <c r="QFD25" s="3"/>
      <c r="QFE25" s="3"/>
      <c r="QFF25" s="3"/>
      <c r="QFG25" s="3"/>
      <c r="QFH25" s="3"/>
      <c r="QFI25" s="3"/>
      <c r="QFJ25" s="3"/>
      <c r="QFK25" s="3"/>
      <c r="QFL25" s="3"/>
      <c r="QFM25" s="3"/>
      <c r="QFN25" s="3"/>
      <c r="QFO25" s="3"/>
      <c r="QFP25" s="3"/>
      <c r="QFQ25" s="3"/>
      <c r="QFR25" s="3"/>
      <c r="QFS25" s="3"/>
      <c r="QFT25" s="3"/>
      <c r="QFU25" s="3"/>
      <c r="QFV25" s="3"/>
      <c r="QFW25" s="3"/>
      <c r="QFX25" s="3"/>
      <c r="QFY25" s="3"/>
      <c r="QFZ25" s="3"/>
      <c r="QGA25" s="3"/>
      <c r="QGB25" s="3"/>
      <c r="QGC25" s="3"/>
      <c r="QGD25" s="3"/>
      <c r="QGE25" s="3"/>
      <c r="QGF25" s="3"/>
      <c r="QGG25" s="3"/>
      <c r="QGH25" s="3"/>
      <c r="QGI25" s="3"/>
      <c r="QGJ25" s="3"/>
      <c r="QGK25" s="3"/>
      <c r="QGL25" s="3"/>
      <c r="QGM25" s="3"/>
      <c r="QGN25" s="3"/>
      <c r="QGO25" s="3"/>
      <c r="QGP25" s="3"/>
      <c r="QGQ25" s="3"/>
      <c r="QGR25" s="3"/>
      <c r="QGS25" s="3"/>
      <c r="QGT25" s="3"/>
      <c r="QGU25" s="3"/>
      <c r="QGV25" s="3"/>
      <c r="QGW25" s="3"/>
      <c r="QGX25" s="3"/>
      <c r="QGY25" s="3"/>
      <c r="QGZ25" s="3"/>
      <c r="QHA25" s="3"/>
      <c r="QHB25" s="3"/>
      <c r="QHC25" s="3"/>
      <c r="QHD25" s="3"/>
      <c r="QHE25" s="3"/>
      <c r="QHF25" s="3"/>
      <c r="QHG25" s="3"/>
      <c r="QHH25" s="3"/>
      <c r="QHI25" s="3"/>
      <c r="QHJ25" s="3"/>
      <c r="QHK25" s="3"/>
      <c r="QHL25" s="3"/>
      <c r="QHM25" s="3"/>
      <c r="QHN25" s="3"/>
      <c r="QHO25" s="3"/>
      <c r="QHP25" s="3"/>
      <c r="QHQ25" s="3"/>
      <c r="QHR25" s="3"/>
      <c r="QHS25" s="3"/>
      <c r="QHT25" s="3"/>
      <c r="QHU25" s="3"/>
      <c r="QHV25" s="3"/>
      <c r="QHW25" s="3"/>
      <c r="QHX25" s="3"/>
      <c r="QHY25" s="3"/>
      <c r="QHZ25" s="3"/>
      <c r="QIA25" s="3"/>
      <c r="QIB25" s="3"/>
      <c r="QIC25" s="3"/>
      <c r="QID25" s="3"/>
      <c r="QIE25" s="3"/>
      <c r="QIF25" s="3"/>
      <c r="QIG25" s="3"/>
      <c r="QIH25" s="3"/>
      <c r="QII25" s="3"/>
      <c r="QIJ25" s="3"/>
      <c r="QIK25" s="3"/>
      <c r="QIL25" s="3"/>
      <c r="QIM25" s="3"/>
      <c r="QIN25" s="3"/>
      <c r="QIO25" s="3"/>
      <c r="QIP25" s="3"/>
      <c r="QIQ25" s="3"/>
      <c r="QIR25" s="3"/>
      <c r="QIS25" s="3"/>
      <c r="QIT25" s="3"/>
      <c r="QIU25" s="3"/>
      <c r="QIV25" s="3"/>
      <c r="QIW25" s="3"/>
      <c r="QIX25" s="3"/>
      <c r="QIY25" s="3"/>
      <c r="QIZ25" s="3"/>
      <c r="QJA25" s="3"/>
      <c r="QJB25" s="3"/>
      <c r="QJC25" s="3"/>
      <c r="QJD25" s="3"/>
      <c r="QJE25" s="3"/>
      <c r="QJF25" s="3"/>
      <c r="QJG25" s="3"/>
      <c r="QJH25" s="3"/>
      <c r="QJI25" s="3"/>
      <c r="QJJ25" s="3"/>
      <c r="QJK25" s="3"/>
      <c r="QJL25" s="3"/>
      <c r="QJM25" s="3"/>
      <c r="QJN25" s="3"/>
      <c r="QJO25" s="3"/>
      <c r="QJP25" s="3"/>
      <c r="QJQ25" s="3"/>
      <c r="QJR25" s="3"/>
      <c r="QJS25" s="3"/>
      <c r="QJT25" s="3"/>
      <c r="QJU25" s="3"/>
      <c r="QJV25" s="3"/>
      <c r="QJW25" s="3"/>
      <c r="QJX25" s="3"/>
      <c r="QJY25" s="3"/>
      <c r="QJZ25" s="3"/>
      <c r="QKA25" s="3"/>
      <c r="QKB25" s="3"/>
      <c r="QKC25" s="3"/>
      <c r="QKD25" s="3"/>
      <c r="QKE25" s="3"/>
      <c r="QKF25" s="3"/>
      <c r="QKG25" s="3"/>
      <c r="QKH25" s="3"/>
      <c r="QKI25" s="3"/>
      <c r="QKJ25" s="3"/>
      <c r="QKK25" s="3"/>
      <c r="QKL25" s="3"/>
      <c r="QKM25" s="3"/>
      <c r="QKN25" s="3"/>
      <c r="QKO25" s="3"/>
      <c r="QKP25" s="3"/>
      <c r="QKQ25" s="3"/>
      <c r="QKR25" s="3"/>
      <c r="QKS25" s="3"/>
      <c r="QKT25" s="3"/>
      <c r="QKU25" s="3"/>
      <c r="QKV25" s="3"/>
      <c r="QKW25" s="3"/>
      <c r="QKX25" s="3"/>
      <c r="QKY25" s="3"/>
      <c r="QKZ25" s="3"/>
      <c r="QLA25" s="3"/>
      <c r="QLB25" s="3"/>
      <c r="QLC25" s="3"/>
      <c r="QLD25" s="3"/>
      <c r="QLE25" s="3"/>
      <c r="QLF25" s="3"/>
      <c r="QLG25" s="3"/>
      <c r="QLH25" s="3"/>
      <c r="QLI25" s="3"/>
      <c r="QLJ25" s="3"/>
      <c r="QLK25" s="3"/>
      <c r="QLL25" s="3"/>
      <c r="QLM25" s="3"/>
      <c r="QLN25" s="3"/>
      <c r="QLO25" s="3"/>
      <c r="QLP25" s="3"/>
      <c r="QLQ25" s="3"/>
      <c r="QLR25" s="3"/>
      <c r="QLS25" s="3"/>
      <c r="QLT25" s="3"/>
      <c r="QLU25" s="3"/>
      <c r="QLV25" s="3"/>
      <c r="QLW25" s="3"/>
      <c r="QLX25" s="3"/>
      <c r="QLY25" s="3"/>
      <c r="QLZ25" s="3"/>
      <c r="QMA25" s="3"/>
      <c r="QMB25" s="3"/>
      <c r="QMC25" s="3"/>
      <c r="QMD25" s="3"/>
      <c r="QME25" s="3"/>
      <c r="QMF25" s="3"/>
      <c r="QMG25" s="3"/>
      <c r="QMH25" s="3"/>
      <c r="QMI25" s="3"/>
      <c r="QMJ25" s="3"/>
      <c r="QMK25" s="3"/>
      <c r="QML25" s="3"/>
      <c r="QMM25" s="3"/>
      <c r="QMN25" s="3"/>
      <c r="QMO25" s="3"/>
      <c r="QMP25" s="3"/>
      <c r="QMQ25" s="3"/>
      <c r="QMR25" s="3"/>
      <c r="QMS25" s="3"/>
      <c r="QMT25" s="3"/>
      <c r="QMU25" s="3"/>
      <c r="QMV25" s="3"/>
      <c r="QMW25" s="3"/>
      <c r="QMX25" s="3"/>
      <c r="QMY25" s="3"/>
      <c r="QMZ25" s="3"/>
      <c r="QNA25" s="3"/>
      <c r="QNB25" s="3"/>
      <c r="QNC25" s="3"/>
      <c r="QND25" s="3"/>
      <c r="QNE25" s="3"/>
      <c r="QNF25" s="3"/>
      <c r="QNG25" s="3"/>
      <c r="QNH25" s="3"/>
      <c r="QNI25" s="3"/>
      <c r="QNJ25" s="3"/>
      <c r="QNK25" s="3"/>
      <c r="QNL25" s="3"/>
      <c r="QNM25" s="3"/>
      <c r="QNN25" s="3"/>
      <c r="QNO25" s="3"/>
      <c r="QNP25" s="3"/>
      <c r="QNQ25" s="3"/>
      <c r="QNR25" s="3"/>
      <c r="QNS25" s="3"/>
      <c r="QNT25" s="3"/>
      <c r="QNU25" s="3"/>
      <c r="QNV25" s="3"/>
      <c r="QNW25" s="3"/>
      <c r="QNX25" s="3"/>
      <c r="QNY25" s="3"/>
      <c r="QNZ25" s="3"/>
      <c r="QOA25" s="3"/>
      <c r="QOB25" s="3"/>
      <c r="QOC25" s="3"/>
      <c r="QOD25" s="3"/>
      <c r="QOE25" s="3"/>
      <c r="QOF25" s="3"/>
      <c r="QOG25" s="3"/>
      <c r="QOH25" s="3"/>
      <c r="QOI25" s="3"/>
      <c r="QOJ25" s="3"/>
      <c r="QOK25" s="3"/>
      <c r="QOL25" s="3"/>
      <c r="QOM25" s="3"/>
      <c r="QON25" s="3"/>
      <c r="QOO25" s="3"/>
      <c r="QOP25" s="3"/>
      <c r="QOQ25" s="3"/>
      <c r="QOR25" s="3"/>
      <c r="QOS25" s="3"/>
      <c r="QOT25" s="3"/>
      <c r="QOU25" s="3"/>
      <c r="QOV25" s="3"/>
      <c r="QOW25" s="3"/>
      <c r="QOX25" s="3"/>
      <c r="QOY25" s="3"/>
      <c r="QOZ25" s="3"/>
      <c r="QPA25" s="3"/>
      <c r="QPB25" s="3"/>
      <c r="QPC25" s="3"/>
      <c r="QPD25" s="3"/>
      <c r="QPE25" s="3"/>
      <c r="QPF25" s="3"/>
      <c r="QPG25" s="3"/>
      <c r="QPH25" s="3"/>
      <c r="QPI25" s="3"/>
      <c r="QPJ25" s="3"/>
      <c r="QPK25" s="3"/>
      <c r="QPL25" s="3"/>
      <c r="QPM25" s="3"/>
      <c r="QPN25" s="3"/>
      <c r="QPO25" s="3"/>
      <c r="QPP25" s="3"/>
      <c r="QPQ25" s="3"/>
      <c r="QPR25" s="3"/>
      <c r="QPS25" s="3"/>
      <c r="QPT25" s="3"/>
      <c r="QPU25" s="3"/>
      <c r="QPV25" s="3"/>
      <c r="QPW25" s="3"/>
      <c r="QPX25" s="3"/>
      <c r="QPY25" s="3"/>
      <c r="QPZ25" s="3"/>
      <c r="QQA25" s="3"/>
      <c r="QQB25" s="3"/>
      <c r="QQC25" s="3"/>
      <c r="QQD25" s="3"/>
      <c r="QQE25" s="3"/>
      <c r="QQF25" s="3"/>
      <c r="QQG25" s="3"/>
      <c r="QQH25" s="3"/>
      <c r="QQI25" s="3"/>
      <c r="QQJ25" s="3"/>
      <c r="QQK25" s="3"/>
      <c r="QQL25" s="3"/>
      <c r="QQM25" s="3"/>
      <c r="QQN25" s="3"/>
      <c r="QQO25" s="3"/>
      <c r="QQP25" s="3"/>
      <c r="QQQ25" s="3"/>
      <c r="QQR25" s="3"/>
      <c r="QQS25" s="3"/>
      <c r="QQT25" s="3"/>
      <c r="QQU25" s="3"/>
      <c r="QQV25" s="3"/>
      <c r="QQW25" s="3"/>
      <c r="QQX25" s="3"/>
      <c r="QQY25" s="3"/>
      <c r="QQZ25" s="3"/>
      <c r="QRA25" s="3"/>
      <c r="QRB25" s="3"/>
      <c r="QRC25" s="3"/>
      <c r="QRD25" s="3"/>
      <c r="QRE25" s="3"/>
      <c r="QRF25" s="3"/>
      <c r="QRG25" s="3"/>
      <c r="QRH25" s="3"/>
      <c r="QRI25" s="3"/>
      <c r="QRJ25" s="3"/>
      <c r="QRK25" s="3"/>
      <c r="QRL25" s="3"/>
      <c r="QRM25" s="3"/>
      <c r="QRN25" s="3"/>
      <c r="QRO25" s="3"/>
      <c r="QRP25" s="3"/>
      <c r="QRQ25" s="3"/>
      <c r="QRR25" s="3"/>
      <c r="QRS25" s="3"/>
      <c r="QRT25" s="3"/>
      <c r="QRU25" s="3"/>
      <c r="QRV25" s="3"/>
      <c r="QRW25" s="3"/>
      <c r="QRX25" s="3"/>
      <c r="QRY25" s="3"/>
      <c r="QRZ25" s="3"/>
      <c r="QSA25" s="3"/>
      <c r="QSB25" s="3"/>
      <c r="QSC25" s="3"/>
      <c r="QSD25" s="3"/>
      <c r="QSE25" s="3"/>
      <c r="QSF25" s="3"/>
      <c r="QSG25" s="3"/>
      <c r="QSH25" s="3"/>
      <c r="QSI25" s="3"/>
      <c r="QSJ25" s="3"/>
      <c r="QSK25" s="3"/>
      <c r="QSL25" s="3"/>
      <c r="QSM25" s="3"/>
      <c r="QSN25" s="3"/>
      <c r="QSO25" s="3"/>
      <c r="QSP25" s="3"/>
      <c r="QSQ25" s="3"/>
      <c r="QSR25" s="3"/>
      <c r="QSS25" s="3"/>
      <c r="QST25" s="3"/>
      <c r="QSU25" s="3"/>
      <c r="QSV25" s="3"/>
      <c r="QSW25" s="3"/>
      <c r="QSX25" s="3"/>
      <c r="QSY25" s="3"/>
      <c r="QSZ25" s="3"/>
      <c r="QTA25" s="3"/>
      <c r="QTB25" s="3"/>
      <c r="QTC25" s="3"/>
      <c r="QTD25" s="3"/>
      <c r="QTE25" s="3"/>
      <c r="QTF25" s="3"/>
      <c r="QTG25" s="3"/>
      <c r="QTH25" s="3"/>
      <c r="QTI25" s="3"/>
      <c r="QTJ25" s="3"/>
      <c r="QTK25" s="3"/>
      <c r="QTL25" s="3"/>
      <c r="QTM25" s="3"/>
      <c r="QTN25" s="3"/>
      <c r="QTO25" s="3"/>
      <c r="QTP25" s="3"/>
      <c r="QTQ25" s="3"/>
      <c r="QTR25" s="3"/>
      <c r="QTS25" s="3"/>
      <c r="QTT25" s="3"/>
      <c r="QTU25" s="3"/>
      <c r="QTV25" s="3"/>
      <c r="QTW25" s="3"/>
      <c r="QTX25" s="3"/>
      <c r="QTY25" s="3"/>
      <c r="QTZ25" s="3"/>
      <c r="QUA25" s="3"/>
      <c r="QUB25" s="3"/>
      <c r="QUC25" s="3"/>
      <c r="QUD25" s="3"/>
      <c r="QUE25" s="3"/>
      <c r="QUF25" s="3"/>
      <c r="QUG25" s="3"/>
      <c r="QUH25" s="3"/>
      <c r="QUI25" s="3"/>
      <c r="QUJ25" s="3"/>
      <c r="QUK25" s="3"/>
      <c r="QUL25" s="3"/>
      <c r="QUM25" s="3"/>
      <c r="QUN25" s="3"/>
      <c r="QUO25" s="3"/>
      <c r="QUP25" s="3"/>
      <c r="QUQ25" s="3"/>
      <c r="QUR25" s="3"/>
      <c r="QUS25" s="3"/>
      <c r="QUT25" s="3"/>
      <c r="QUU25" s="3"/>
      <c r="QUV25" s="3"/>
      <c r="QUW25" s="3"/>
      <c r="QUX25" s="3"/>
      <c r="QUY25" s="3"/>
      <c r="QUZ25" s="3"/>
      <c r="QVA25" s="3"/>
      <c r="QVB25" s="3"/>
      <c r="QVC25" s="3"/>
      <c r="QVD25" s="3"/>
      <c r="QVE25" s="3"/>
      <c r="QVF25" s="3"/>
      <c r="QVG25" s="3"/>
      <c r="QVH25" s="3"/>
      <c r="QVI25" s="3"/>
      <c r="QVJ25" s="3"/>
      <c r="QVK25" s="3"/>
      <c r="QVL25" s="3"/>
      <c r="QVM25" s="3"/>
      <c r="QVN25" s="3"/>
      <c r="QVO25" s="3"/>
      <c r="QVP25" s="3"/>
      <c r="QVQ25" s="3"/>
      <c r="QVR25" s="3"/>
      <c r="QVS25" s="3"/>
      <c r="QVT25" s="3"/>
      <c r="QVU25" s="3"/>
      <c r="QVV25" s="3"/>
      <c r="QVW25" s="3"/>
      <c r="QVX25" s="3"/>
      <c r="QVY25" s="3"/>
      <c r="QVZ25" s="3"/>
      <c r="QWA25" s="3"/>
      <c r="QWB25" s="3"/>
      <c r="QWC25" s="3"/>
      <c r="QWD25" s="3"/>
      <c r="QWE25" s="3"/>
      <c r="QWF25" s="3"/>
      <c r="QWG25" s="3"/>
      <c r="QWH25" s="3"/>
      <c r="QWI25" s="3"/>
      <c r="QWJ25" s="3"/>
      <c r="QWK25" s="3"/>
      <c r="QWL25" s="3"/>
      <c r="QWM25" s="3"/>
      <c r="QWN25" s="3"/>
      <c r="QWO25" s="3"/>
      <c r="QWP25" s="3"/>
      <c r="QWQ25" s="3"/>
      <c r="QWR25" s="3"/>
      <c r="QWS25" s="3"/>
      <c r="QWT25" s="3"/>
      <c r="QWU25" s="3"/>
      <c r="QWV25" s="3"/>
      <c r="QWW25" s="3"/>
      <c r="QWX25" s="3"/>
      <c r="QWY25" s="3"/>
      <c r="QWZ25" s="3"/>
      <c r="QXA25" s="3"/>
      <c r="QXB25" s="3"/>
      <c r="QXC25" s="3"/>
      <c r="QXD25" s="3"/>
      <c r="QXE25" s="3"/>
      <c r="QXF25" s="3"/>
      <c r="QXG25" s="3"/>
      <c r="QXH25" s="3"/>
      <c r="QXI25" s="3"/>
      <c r="QXJ25" s="3"/>
      <c r="QXK25" s="3"/>
      <c r="QXL25" s="3"/>
      <c r="QXM25" s="3"/>
      <c r="QXN25" s="3"/>
      <c r="QXO25" s="3"/>
      <c r="QXP25" s="3"/>
      <c r="QXQ25" s="3"/>
      <c r="QXR25" s="3"/>
      <c r="QXS25" s="3"/>
      <c r="QXT25" s="3"/>
      <c r="QXU25" s="3"/>
      <c r="QXV25" s="3"/>
      <c r="QXW25" s="3"/>
      <c r="QXX25" s="3"/>
      <c r="QXY25" s="3"/>
      <c r="QXZ25" s="3"/>
      <c r="QYA25" s="3"/>
      <c r="QYB25" s="3"/>
      <c r="QYC25" s="3"/>
      <c r="QYD25" s="3"/>
      <c r="QYE25" s="3"/>
      <c r="QYF25" s="3"/>
      <c r="QYG25" s="3"/>
      <c r="QYH25" s="3"/>
      <c r="QYI25" s="3"/>
      <c r="QYJ25" s="3"/>
      <c r="QYK25" s="3"/>
      <c r="QYL25" s="3"/>
      <c r="QYM25" s="3"/>
      <c r="QYN25" s="3"/>
      <c r="QYO25" s="3"/>
      <c r="QYP25" s="3"/>
      <c r="QYQ25" s="3"/>
      <c r="QYR25" s="3"/>
      <c r="QYS25" s="3"/>
      <c r="QYT25" s="3"/>
      <c r="QYU25" s="3"/>
      <c r="QYV25" s="3"/>
      <c r="QYW25" s="3"/>
      <c r="QYX25" s="3"/>
      <c r="QYY25" s="3"/>
      <c r="QYZ25" s="3"/>
      <c r="QZA25" s="3"/>
      <c r="QZB25" s="3"/>
      <c r="QZC25" s="3"/>
      <c r="QZD25" s="3"/>
      <c r="QZE25" s="3"/>
      <c r="QZF25" s="3"/>
      <c r="QZG25" s="3"/>
      <c r="QZH25" s="3"/>
      <c r="QZI25" s="3"/>
      <c r="QZJ25" s="3"/>
      <c r="QZK25" s="3"/>
      <c r="QZL25" s="3"/>
      <c r="QZM25" s="3"/>
      <c r="QZN25" s="3"/>
      <c r="QZO25" s="3"/>
      <c r="QZP25" s="3"/>
      <c r="QZQ25" s="3"/>
      <c r="QZR25" s="3"/>
      <c r="QZS25" s="3"/>
      <c r="QZT25" s="3"/>
      <c r="QZU25" s="3"/>
      <c r="QZV25" s="3"/>
      <c r="QZW25" s="3"/>
      <c r="QZX25" s="3"/>
      <c r="QZY25" s="3"/>
      <c r="QZZ25" s="3"/>
      <c r="RAA25" s="3"/>
      <c r="RAB25" s="3"/>
      <c r="RAC25" s="3"/>
      <c r="RAD25" s="3"/>
      <c r="RAE25" s="3"/>
      <c r="RAF25" s="3"/>
      <c r="RAG25" s="3"/>
      <c r="RAH25" s="3"/>
      <c r="RAI25" s="3"/>
      <c r="RAJ25" s="3"/>
      <c r="RAK25" s="3"/>
      <c r="RAL25" s="3"/>
      <c r="RAM25" s="3"/>
      <c r="RAN25" s="3"/>
      <c r="RAO25" s="3"/>
      <c r="RAP25" s="3"/>
      <c r="RAQ25" s="3"/>
      <c r="RAR25" s="3"/>
      <c r="RAS25" s="3"/>
      <c r="RAT25" s="3"/>
      <c r="RAU25" s="3"/>
      <c r="RAV25" s="3"/>
      <c r="RAW25" s="3"/>
      <c r="RAX25" s="3"/>
      <c r="RAY25" s="3"/>
      <c r="RAZ25" s="3"/>
      <c r="RBA25" s="3"/>
      <c r="RBB25" s="3"/>
      <c r="RBC25" s="3"/>
      <c r="RBD25" s="3"/>
      <c r="RBE25" s="3"/>
      <c r="RBF25" s="3"/>
      <c r="RBG25" s="3"/>
      <c r="RBH25" s="3"/>
      <c r="RBI25" s="3"/>
      <c r="RBJ25" s="3"/>
      <c r="RBK25" s="3"/>
      <c r="RBL25" s="3"/>
      <c r="RBM25" s="3"/>
      <c r="RBN25" s="3"/>
      <c r="RBO25" s="3"/>
      <c r="RBP25" s="3"/>
      <c r="RBQ25" s="3"/>
      <c r="RBR25" s="3"/>
      <c r="RBS25" s="3"/>
      <c r="RBT25" s="3"/>
      <c r="RBU25" s="3"/>
      <c r="RBV25" s="3"/>
      <c r="RBW25" s="3"/>
      <c r="RBX25" s="3"/>
      <c r="RBY25" s="3"/>
      <c r="RBZ25" s="3"/>
      <c r="RCA25" s="3"/>
      <c r="RCB25" s="3"/>
      <c r="RCC25" s="3"/>
      <c r="RCD25" s="3"/>
      <c r="RCE25" s="3"/>
      <c r="RCF25" s="3"/>
      <c r="RCG25" s="3"/>
      <c r="RCH25" s="3"/>
      <c r="RCI25" s="3"/>
      <c r="RCJ25" s="3"/>
      <c r="RCK25" s="3"/>
      <c r="RCL25" s="3"/>
      <c r="RCM25" s="3"/>
      <c r="RCN25" s="3"/>
      <c r="RCO25" s="3"/>
      <c r="RCP25" s="3"/>
      <c r="RCQ25" s="3"/>
      <c r="RCR25" s="3"/>
      <c r="RCS25" s="3"/>
      <c r="RCT25" s="3"/>
      <c r="RCU25" s="3"/>
      <c r="RCV25" s="3"/>
      <c r="RCW25" s="3"/>
      <c r="RCX25" s="3"/>
      <c r="RCY25" s="3"/>
      <c r="RCZ25" s="3"/>
      <c r="RDA25" s="3"/>
      <c r="RDB25" s="3"/>
      <c r="RDC25" s="3"/>
      <c r="RDD25" s="3"/>
      <c r="RDE25" s="3"/>
      <c r="RDF25" s="3"/>
      <c r="RDG25" s="3"/>
      <c r="RDH25" s="3"/>
      <c r="RDI25" s="3"/>
      <c r="RDJ25" s="3"/>
      <c r="RDK25" s="3"/>
      <c r="RDL25" s="3"/>
      <c r="RDM25" s="3"/>
      <c r="RDN25" s="3"/>
      <c r="RDO25" s="3"/>
      <c r="RDP25" s="3"/>
      <c r="RDQ25" s="3"/>
      <c r="RDR25" s="3"/>
      <c r="RDS25" s="3"/>
      <c r="RDT25" s="3"/>
      <c r="RDU25" s="3"/>
      <c r="RDV25" s="3"/>
      <c r="RDW25" s="3"/>
      <c r="RDX25" s="3"/>
      <c r="RDY25" s="3"/>
      <c r="RDZ25" s="3"/>
      <c r="REA25" s="3"/>
      <c r="REB25" s="3"/>
      <c r="REC25" s="3"/>
      <c r="RED25" s="3"/>
      <c r="REE25" s="3"/>
      <c r="REF25" s="3"/>
      <c r="REG25" s="3"/>
      <c r="REH25" s="3"/>
      <c r="REI25" s="3"/>
      <c r="REJ25" s="3"/>
      <c r="REK25" s="3"/>
      <c r="REL25" s="3"/>
      <c r="REM25" s="3"/>
      <c r="REN25" s="3"/>
      <c r="REO25" s="3"/>
      <c r="REP25" s="3"/>
      <c r="REQ25" s="3"/>
      <c r="RER25" s="3"/>
      <c r="RES25" s="3"/>
      <c r="RET25" s="3"/>
      <c r="REU25" s="3"/>
      <c r="REV25" s="3"/>
      <c r="REW25" s="3"/>
      <c r="REX25" s="3"/>
      <c r="REY25" s="3"/>
      <c r="REZ25" s="3"/>
      <c r="RFA25" s="3"/>
      <c r="RFB25" s="3"/>
      <c r="RFC25" s="3"/>
      <c r="RFD25" s="3"/>
      <c r="RFE25" s="3"/>
      <c r="RFF25" s="3"/>
      <c r="RFG25" s="3"/>
      <c r="RFH25" s="3"/>
      <c r="RFI25" s="3"/>
      <c r="RFJ25" s="3"/>
      <c r="RFK25" s="3"/>
      <c r="RFL25" s="3"/>
      <c r="RFM25" s="3"/>
      <c r="RFN25" s="3"/>
      <c r="RFO25" s="3"/>
      <c r="RFP25" s="3"/>
      <c r="RFQ25" s="3"/>
      <c r="RFR25" s="3"/>
      <c r="RFS25" s="3"/>
      <c r="RFT25" s="3"/>
      <c r="RFU25" s="3"/>
      <c r="RFV25" s="3"/>
      <c r="RFW25" s="3"/>
      <c r="RFX25" s="3"/>
      <c r="RFY25" s="3"/>
      <c r="RFZ25" s="3"/>
      <c r="RGA25" s="3"/>
      <c r="RGB25" s="3"/>
      <c r="RGC25" s="3"/>
      <c r="RGD25" s="3"/>
      <c r="RGE25" s="3"/>
      <c r="RGF25" s="3"/>
      <c r="RGG25" s="3"/>
      <c r="RGH25" s="3"/>
      <c r="RGI25" s="3"/>
      <c r="RGJ25" s="3"/>
      <c r="RGK25" s="3"/>
      <c r="RGL25" s="3"/>
      <c r="RGM25" s="3"/>
      <c r="RGN25" s="3"/>
      <c r="RGO25" s="3"/>
      <c r="RGP25" s="3"/>
      <c r="RGQ25" s="3"/>
      <c r="RGR25" s="3"/>
      <c r="RGS25" s="3"/>
      <c r="RGT25" s="3"/>
      <c r="RGU25" s="3"/>
      <c r="RGV25" s="3"/>
      <c r="RGW25" s="3"/>
      <c r="RGX25" s="3"/>
      <c r="RGY25" s="3"/>
      <c r="RGZ25" s="3"/>
      <c r="RHA25" s="3"/>
      <c r="RHB25" s="3"/>
      <c r="RHC25" s="3"/>
      <c r="RHD25" s="3"/>
      <c r="RHE25" s="3"/>
      <c r="RHF25" s="3"/>
      <c r="RHG25" s="3"/>
      <c r="RHH25" s="3"/>
      <c r="RHI25" s="3"/>
      <c r="RHJ25" s="3"/>
      <c r="RHK25" s="3"/>
      <c r="RHL25" s="3"/>
      <c r="RHM25" s="3"/>
      <c r="RHN25" s="3"/>
      <c r="RHO25" s="3"/>
      <c r="RHP25" s="3"/>
      <c r="RHQ25" s="3"/>
      <c r="RHR25" s="3"/>
      <c r="RHS25" s="3"/>
      <c r="RHT25" s="3"/>
      <c r="RHU25" s="3"/>
      <c r="RHV25" s="3"/>
      <c r="RHW25" s="3"/>
      <c r="RHX25" s="3"/>
      <c r="RHY25" s="3"/>
      <c r="RHZ25" s="3"/>
      <c r="RIA25" s="3"/>
      <c r="RIB25" s="3"/>
      <c r="RIC25" s="3"/>
      <c r="RID25" s="3"/>
      <c r="RIE25" s="3"/>
      <c r="RIF25" s="3"/>
      <c r="RIG25" s="3"/>
      <c r="RIH25" s="3"/>
      <c r="RII25" s="3"/>
      <c r="RIJ25" s="3"/>
      <c r="RIK25" s="3"/>
      <c r="RIL25" s="3"/>
      <c r="RIM25" s="3"/>
      <c r="RIN25" s="3"/>
      <c r="RIO25" s="3"/>
      <c r="RIP25" s="3"/>
      <c r="RIQ25" s="3"/>
      <c r="RIR25" s="3"/>
      <c r="RIS25" s="3"/>
      <c r="RIT25" s="3"/>
      <c r="RIU25" s="3"/>
      <c r="RIV25" s="3"/>
      <c r="RIW25" s="3"/>
      <c r="RIX25" s="3"/>
      <c r="RIY25" s="3"/>
      <c r="RIZ25" s="3"/>
      <c r="RJA25" s="3"/>
      <c r="RJB25" s="3"/>
      <c r="RJC25" s="3"/>
      <c r="RJD25" s="3"/>
      <c r="RJE25" s="3"/>
      <c r="RJF25" s="3"/>
      <c r="RJG25" s="3"/>
      <c r="RJH25" s="3"/>
      <c r="RJI25" s="3"/>
      <c r="RJJ25" s="3"/>
      <c r="RJK25" s="3"/>
      <c r="RJL25" s="3"/>
      <c r="RJM25" s="3"/>
      <c r="RJN25" s="3"/>
      <c r="RJO25" s="3"/>
      <c r="RJP25" s="3"/>
      <c r="RJQ25" s="3"/>
      <c r="RJR25" s="3"/>
      <c r="RJS25" s="3"/>
      <c r="RJT25" s="3"/>
      <c r="RJU25" s="3"/>
      <c r="RJV25" s="3"/>
      <c r="RJW25" s="3"/>
      <c r="RJX25" s="3"/>
      <c r="RJY25" s="3"/>
      <c r="RJZ25" s="3"/>
      <c r="RKA25" s="3"/>
      <c r="RKB25" s="3"/>
      <c r="RKC25" s="3"/>
      <c r="RKD25" s="3"/>
      <c r="RKE25" s="3"/>
      <c r="RKF25" s="3"/>
      <c r="RKG25" s="3"/>
      <c r="RKH25" s="3"/>
      <c r="RKI25" s="3"/>
      <c r="RKJ25" s="3"/>
      <c r="RKK25" s="3"/>
      <c r="RKL25" s="3"/>
      <c r="RKM25" s="3"/>
      <c r="RKN25" s="3"/>
      <c r="RKO25" s="3"/>
      <c r="RKP25" s="3"/>
      <c r="RKQ25" s="3"/>
      <c r="RKR25" s="3"/>
      <c r="RKS25" s="3"/>
      <c r="RKT25" s="3"/>
      <c r="RKU25" s="3"/>
      <c r="RKV25" s="3"/>
      <c r="RKW25" s="3"/>
      <c r="RKX25" s="3"/>
      <c r="RKY25" s="3"/>
      <c r="RKZ25" s="3"/>
      <c r="RLA25" s="3"/>
      <c r="RLB25" s="3"/>
      <c r="RLC25" s="3"/>
      <c r="RLD25" s="3"/>
      <c r="RLE25" s="3"/>
      <c r="RLF25" s="3"/>
      <c r="RLG25" s="3"/>
      <c r="RLH25" s="3"/>
      <c r="RLI25" s="3"/>
      <c r="RLJ25" s="3"/>
      <c r="RLK25" s="3"/>
      <c r="RLL25" s="3"/>
      <c r="RLM25" s="3"/>
      <c r="RLN25" s="3"/>
      <c r="RLO25" s="3"/>
      <c r="RLP25" s="3"/>
      <c r="RLQ25" s="3"/>
      <c r="RLR25" s="3"/>
      <c r="RLS25" s="3"/>
      <c r="RLT25" s="3"/>
      <c r="RLU25" s="3"/>
      <c r="RLV25" s="3"/>
      <c r="RLW25" s="3"/>
      <c r="RLX25" s="3"/>
      <c r="RLY25" s="3"/>
      <c r="RLZ25" s="3"/>
      <c r="RMA25" s="3"/>
      <c r="RMB25" s="3"/>
      <c r="RMC25" s="3"/>
      <c r="RMD25" s="3"/>
      <c r="RME25" s="3"/>
      <c r="RMF25" s="3"/>
      <c r="RMG25" s="3"/>
      <c r="RMH25" s="3"/>
      <c r="RMI25" s="3"/>
      <c r="RMJ25" s="3"/>
      <c r="RMK25" s="3"/>
      <c r="RML25" s="3"/>
      <c r="RMM25" s="3"/>
      <c r="RMN25" s="3"/>
      <c r="RMO25" s="3"/>
      <c r="RMP25" s="3"/>
      <c r="RMQ25" s="3"/>
      <c r="RMR25" s="3"/>
      <c r="RMS25" s="3"/>
      <c r="RMT25" s="3"/>
      <c r="RMU25" s="3"/>
      <c r="RMV25" s="3"/>
      <c r="RMW25" s="3"/>
      <c r="RMX25" s="3"/>
      <c r="RMY25" s="3"/>
      <c r="RMZ25" s="3"/>
      <c r="RNA25" s="3"/>
      <c r="RNB25" s="3"/>
      <c r="RNC25" s="3"/>
      <c r="RND25" s="3"/>
      <c r="RNE25" s="3"/>
      <c r="RNF25" s="3"/>
      <c r="RNG25" s="3"/>
      <c r="RNH25" s="3"/>
      <c r="RNI25" s="3"/>
      <c r="RNJ25" s="3"/>
      <c r="RNK25" s="3"/>
      <c r="RNL25" s="3"/>
      <c r="RNM25" s="3"/>
      <c r="RNN25" s="3"/>
      <c r="RNO25" s="3"/>
      <c r="RNP25" s="3"/>
      <c r="RNQ25" s="3"/>
      <c r="RNR25" s="3"/>
      <c r="RNS25" s="3"/>
      <c r="RNT25" s="3"/>
      <c r="RNU25" s="3"/>
      <c r="RNV25" s="3"/>
      <c r="RNW25" s="3"/>
      <c r="RNX25" s="3"/>
      <c r="RNY25" s="3"/>
      <c r="RNZ25" s="3"/>
      <c r="ROA25" s="3"/>
      <c r="ROB25" s="3"/>
      <c r="ROC25" s="3"/>
      <c r="ROD25" s="3"/>
      <c r="ROE25" s="3"/>
      <c r="ROF25" s="3"/>
      <c r="ROG25" s="3"/>
      <c r="ROH25" s="3"/>
      <c r="ROI25" s="3"/>
      <c r="ROJ25" s="3"/>
      <c r="ROK25" s="3"/>
      <c r="ROL25" s="3"/>
      <c r="ROM25" s="3"/>
      <c r="RON25" s="3"/>
      <c r="ROO25" s="3"/>
      <c r="ROP25" s="3"/>
      <c r="ROQ25" s="3"/>
      <c r="ROR25" s="3"/>
      <c r="ROS25" s="3"/>
      <c r="ROT25" s="3"/>
      <c r="ROU25" s="3"/>
      <c r="ROV25" s="3"/>
      <c r="ROW25" s="3"/>
      <c r="ROX25" s="3"/>
      <c r="ROY25" s="3"/>
      <c r="ROZ25" s="3"/>
      <c r="RPA25" s="3"/>
      <c r="RPB25" s="3"/>
      <c r="RPC25" s="3"/>
      <c r="RPD25" s="3"/>
      <c r="RPE25" s="3"/>
      <c r="RPF25" s="3"/>
      <c r="RPG25" s="3"/>
      <c r="RPH25" s="3"/>
      <c r="RPI25" s="3"/>
      <c r="RPJ25" s="3"/>
      <c r="RPK25" s="3"/>
      <c r="RPL25" s="3"/>
      <c r="RPM25" s="3"/>
      <c r="RPN25" s="3"/>
      <c r="RPO25" s="3"/>
      <c r="RPP25" s="3"/>
      <c r="RPQ25" s="3"/>
      <c r="RPR25" s="3"/>
      <c r="RPS25" s="3"/>
      <c r="RPT25" s="3"/>
      <c r="RPU25" s="3"/>
      <c r="RPV25" s="3"/>
      <c r="RPW25" s="3"/>
      <c r="RPX25" s="3"/>
      <c r="RPY25" s="3"/>
      <c r="RPZ25" s="3"/>
      <c r="RQA25" s="3"/>
      <c r="RQB25" s="3"/>
      <c r="RQC25" s="3"/>
      <c r="RQD25" s="3"/>
      <c r="RQE25" s="3"/>
      <c r="RQF25" s="3"/>
      <c r="RQG25" s="3"/>
      <c r="RQH25" s="3"/>
      <c r="RQI25" s="3"/>
      <c r="RQJ25" s="3"/>
      <c r="RQK25" s="3"/>
      <c r="RQL25" s="3"/>
      <c r="RQM25" s="3"/>
      <c r="RQN25" s="3"/>
      <c r="RQO25" s="3"/>
      <c r="RQP25" s="3"/>
      <c r="RQQ25" s="3"/>
      <c r="RQR25" s="3"/>
      <c r="RQS25" s="3"/>
      <c r="RQT25" s="3"/>
      <c r="RQU25" s="3"/>
      <c r="RQV25" s="3"/>
      <c r="RQW25" s="3"/>
      <c r="RQX25" s="3"/>
      <c r="RQY25" s="3"/>
      <c r="RQZ25" s="3"/>
      <c r="RRA25" s="3"/>
      <c r="RRB25" s="3"/>
      <c r="RRC25" s="3"/>
      <c r="RRD25" s="3"/>
      <c r="RRE25" s="3"/>
      <c r="RRF25" s="3"/>
      <c r="RRG25" s="3"/>
      <c r="RRH25" s="3"/>
      <c r="RRI25" s="3"/>
      <c r="RRJ25" s="3"/>
      <c r="RRK25" s="3"/>
      <c r="RRL25" s="3"/>
      <c r="RRM25" s="3"/>
      <c r="RRN25" s="3"/>
      <c r="RRO25" s="3"/>
      <c r="RRP25" s="3"/>
      <c r="RRQ25" s="3"/>
      <c r="RRR25" s="3"/>
      <c r="RRS25" s="3"/>
      <c r="RRT25" s="3"/>
      <c r="RRU25" s="3"/>
      <c r="RRV25" s="3"/>
      <c r="RRW25" s="3"/>
      <c r="RRX25" s="3"/>
      <c r="RRY25" s="3"/>
      <c r="RRZ25" s="3"/>
      <c r="RSA25" s="3"/>
      <c r="RSB25" s="3"/>
      <c r="RSC25" s="3"/>
      <c r="RSD25" s="3"/>
      <c r="RSE25" s="3"/>
      <c r="RSF25" s="3"/>
      <c r="RSG25" s="3"/>
      <c r="RSH25" s="3"/>
      <c r="RSI25" s="3"/>
      <c r="RSJ25" s="3"/>
      <c r="RSK25" s="3"/>
      <c r="RSL25" s="3"/>
      <c r="RSM25" s="3"/>
      <c r="RSN25" s="3"/>
      <c r="RSO25" s="3"/>
      <c r="RSP25" s="3"/>
      <c r="RSQ25" s="3"/>
      <c r="RSR25" s="3"/>
      <c r="RSS25" s="3"/>
      <c r="RST25" s="3"/>
      <c r="RSU25" s="3"/>
      <c r="RSV25" s="3"/>
      <c r="RSW25" s="3"/>
      <c r="RSX25" s="3"/>
      <c r="RSY25" s="3"/>
      <c r="RSZ25" s="3"/>
      <c r="RTA25" s="3"/>
      <c r="RTB25" s="3"/>
      <c r="RTC25" s="3"/>
      <c r="RTD25" s="3"/>
      <c r="RTE25" s="3"/>
      <c r="RTF25" s="3"/>
      <c r="RTG25" s="3"/>
      <c r="RTH25" s="3"/>
      <c r="RTI25" s="3"/>
      <c r="RTJ25" s="3"/>
      <c r="RTK25" s="3"/>
      <c r="RTL25" s="3"/>
      <c r="RTM25" s="3"/>
      <c r="RTN25" s="3"/>
      <c r="RTO25" s="3"/>
      <c r="RTP25" s="3"/>
      <c r="RTQ25" s="3"/>
      <c r="RTR25" s="3"/>
      <c r="RTS25" s="3"/>
      <c r="RTT25" s="3"/>
      <c r="RTU25" s="3"/>
      <c r="RTV25" s="3"/>
      <c r="RTW25" s="3"/>
      <c r="RTX25" s="3"/>
      <c r="RTY25" s="3"/>
      <c r="RTZ25" s="3"/>
      <c r="RUA25" s="3"/>
      <c r="RUB25" s="3"/>
      <c r="RUC25" s="3"/>
      <c r="RUD25" s="3"/>
      <c r="RUE25" s="3"/>
      <c r="RUF25" s="3"/>
      <c r="RUG25" s="3"/>
      <c r="RUH25" s="3"/>
      <c r="RUI25" s="3"/>
      <c r="RUJ25" s="3"/>
      <c r="RUK25" s="3"/>
      <c r="RUL25" s="3"/>
      <c r="RUM25" s="3"/>
      <c r="RUN25" s="3"/>
      <c r="RUO25" s="3"/>
      <c r="RUP25" s="3"/>
      <c r="RUQ25" s="3"/>
      <c r="RUR25" s="3"/>
      <c r="RUS25" s="3"/>
      <c r="RUT25" s="3"/>
      <c r="RUU25" s="3"/>
      <c r="RUV25" s="3"/>
      <c r="RUW25" s="3"/>
      <c r="RUX25" s="3"/>
      <c r="RUY25" s="3"/>
      <c r="RUZ25" s="3"/>
      <c r="RVA25" s="3"/>
      <c r="RVB25" s="3"/>
      <c r="RVC25" s="3"/>
      <c r="RVD25" s="3"/>
      <c r="RVE25" s="3"/>
      <c r="RVF25" s="3"/>
      <c r="RVG25" s="3"/>
      <c r="RVH25" s="3"/>
      <c r="RVI25" s="3"/>
      <c r="RVJ25" s="3"/>
      <c r="RVK25" s="3"/>
      <c r="RVL25" s="3"/>
      <c r="RVM25" s="3"/>
      <c r="RVN25" s="3"/>
      <c r="RVO25" s="3"/>
      <c r="RVP25" s="3"/>
      <c r="RVQ25" s="3"/>
      <c r="RVR25" s="3"/>
      <c r="RVS25" s="3"/>
      <c r="RVT25" s="3"/>
      <c r="RVU25" s="3"/>
      <c r="RVV25" s="3"/>
      <c r="RVW25" s="3"/>
      <c r="RVX25" s="3"/>
      <c r="RVY25" s="3"/>
      <c r="RVZ25" s="3"/>
      <c r="RWA25" s="3"/>
      <c r="RWB25" s="3"/>
      <c r="RWC25" s="3"/>
      <c r="RWD25" s="3"/>
      <c r="RWE25" s="3"/>
      <c r="RWF25" s="3"/>
      <c r="RWG25" s="3"/>
      <c r="RWH25" s="3"/>
      <c r="RWI25" s="3"/>
      <c r="RWJ25" s="3"/>
      <c r="RWK25" s="3"/>
      <c r="RWL25" s="3"/>
      <c r="RWM25" s="3"/>
      <c r="RWN25" s="3"/>
      <c r="RWO25" s="3"/>
      <c r="RWP25" s="3"/>
      <c r="RWQ25" s="3"/>
      <c r="RWR25" s="3"/>
      <c r="RWS25" s="3"/>
      <c r="RWT25" s="3"/>
      <c r="RWU25" s="3"/>
      <c r="RWV25" s="3"/>
      <c r="RWW25" s="3"/>
      <c r="RWX25" s="3"/>
      <c r="RWY25" s="3"/>
      <c r="RWZ25" s="3"/>
      <c r="RXA25" s="3"/>
      <c r="RXB25" s="3"/>
      <c r="RXC25" s="3"/>
      <c r="RXD25" s="3"/>
      <c r="RXE25" s="3"/>
      <c r="RXF25" s="3"/>
      <c r="RXG25" s="3"/>
      <c r="RXH25" s="3"/>
      <c r="RXI25" s="3"/>
      <c r="RXJ25" s="3"/>
      <c r="RXK25" s="3"/>
      <c r="RXL25" s="3"/>
      <c r="RXM25" s="3"/>
      <c r="RXN25" s="3"/>
      <c r="RXO25" s="3"/>
      <c r="RXP25" s="3"/>
      <c r="RXQ25" s="3"/>
      <c r="RXR25" s="3"/>
      <c r="RXS25" s="3"/>
      <c r="RXT25" s="3"/>
      <c r="RXU25" s="3"/>
      <c r="RXV25" s="3"/>
      <c r="RXW25" s="3"/>
      <c r="RXX25" s="3"/>
      <c r="RXY25" s="3"/>
      <c r="RXZ25" s="3"/>
      <c r="RYA25" s="3"/>
      <c r="RYB25" s="3"/>
      <c r="RYC25" s="3"/>
      <c r="RYD25" s="3"/>
      <c r="RYE25" s="3"/>
      <c r="RYF25" s="3"/>
      <c r="RYG25" s="3"/>
      <c r="RYH25" s="3"/>
      <c r="RYI25" s="3"/>
      <c r="RYJ25" s="3"/>
      <c r="RYK25" s="3"/>
      <c r="RYL25" s="3"/>
      <c r="RYM25" s="3"/>
      <c r="RYN25" s="3"/>
      <c r="RYO25" s="3"/>
      <c r="RYP25" s="3"/>
      <c r="RYQ25" s="3"/>
      <c r="RYR25" s="3"/>
      <c r="RYS25" s="3"/>
      <c r="RYT25" s="3"/>
      <c r="RYU25" s="3"/>
      <c r="RYV25" s="3"/>
      <c r="RYW25" s="3"/>
      <c r="RYX25" s="3"/>
      <c r="RYY25" s="3"/>
      <c r="RYZ25" s="3"/>
      <c r="RZA25" s="3"/>
      <c r="RZB25" s="3"/>
      <c r="RZC25" s="3"/>
      <c r="RZD25" s="3"/>
      <c r="RZE25" s="3"/>
      <c r="RZF25" s="3"/>
      <c r="RZG25" s="3"/>
      <c r="RZH25" s="3"/>
      <c r="RZI25" s="3"/>
      <c r="RZJ25" s="3"/>
      <c r="RZK25" s="3"/>
      <c r="RZL25" s="3"/>
      <c r="RZM25" s="3"/>
      <c r="RZN25" s="3"/>
      <c r="RZO25" s="3"/>
      <c r="RZP25" s="3"/>
      <c r="RZQ25" s="3"/>
      <c r="RZR25" s="3"/>
      <c r="RZS25" s="3"/>
      <c r="RZT25" s="3"/>
      <c r="RZU25" s="3"/>
      <c r="RZV25" s="3"/>
      <c r="RZW25" s="3"/>
      <c r="RZX25" s="3"/>
      <c r="RZY25" s="3"/>
      <c r="RZZ25" s="3"/>
      <c r="SAA25" s="3"/>
      <c r="SAB25" s="3"/>
      <c r="SAC25" s="3"/>
      <c r="SAD25" s="3"/>
      <c r="SAE25" s="3"/>
      <c r="SAF25" s="3"/>
      <c r="SAG25" s="3"/>
      <c r="SAH25" s="3"/>
      <c r="SAI25" s="3"/>
      <c r="SAJ25" s="3"/>
      <c r="SAK25" s="3"/>
      <c r="SAL25" s="3"/>
      <c r="SAM25" s="3"/>
      <c r="SAN25" s="3"/>
      <c r="SAO25" s="3"/>
      <c r="SAP25" s="3"/>
      <c r="SAQ25" s="3"/>
      <c r="SAR25" s="3"/>
      <c r="SAS25" s="3"/>
      <c r="SAT25" s="3"/>
      <c r="SAU25" s="3"/>
      <c r="SAV25" s="3"/>
      <c r="SAW25" s="3"/>
      <c r="SAX25" s="3"/>
      <c r="SAY25" s="3"/>
      <c r="SAZ25" s="3"/>
      <c r="SBA25" s="3"/>
      <c r="SBB25" s="3"/>
      <c r="SBC25" s="3"/>
      <c r="SBD25" s="3"/>
      <c r="SBE25" s="3"/>
      <c r="SBF25" s="3"/>
      <c r="SBG25" s="3"/>
      <c r="SBH25" s="3"/>
      <c r="SBI25" s="3"/>
      <c r="SBJ25" s="3"/>
      <c r="SBK25" s="3"/>
      <c r="SBL25" s="3"/>
      <c r="SBM25" s="3"/>
      <c r="SBN25" s="3"/>
      <c r="SBO25" s="3"/>
      <c r="SBP25" s="3"/>
      <c r="SBQ25" s="3"/>
      <c r="SBR25" s="3"/>
      <c r="SBS25" s="3"/>
      <c r="SBT25" s="3"/>
      <c r="SBU25" s="3"/>
      <c r="SBV25" s="3"/>
      <c r="SBW25" s="3"/>
      <c r="SBX25" s="3"/>
      <c r="SBY25" s="3"/>
      <c r="SBZ25" s="3"/>
      <c r="SCA25" s="3"/>
      <c r="SCB25" s="3"/>
      <c r="SCC25" s="3"/>
      <c r="SCD25" s="3"/>
      <c r="SCE25" s="3"/>
      <c r="SCF25" s="3"/>
      <c r="SCG25" s="3"/>
      <c r="SCH25" s="3"/>
      <c r="SCI25" s="3"/>
      <c r="SCJ25" s="3"/>
      <c r="SCK25" s="3"/>
      <c r="SCL25" s="3"/>
      <c r="SCM25" s="3"/>
      <c r="SCN25" s="3"/>
      <c r="SCO25" s="3"/>
      <c r="SCP25" s="3"/>
      <c r="SCQ25" s="3"/>
      <c r="SCR25" s="3"/>
      <c r="SCS25" s="3"/>
      <c r="SCT25" s="3"/>
      <c r="SCU25" s="3"/>
      <c r="SCV25" s="3"/>
      <c r="SCW25" s="3"/>
      <c r="SCX25" s="3"/>
      <c r="SCY25" s="3"/>
      <c r="SCZ25" s="3"/>
      <c r="SDA25" s="3"/>
      <c r="SDB25" s="3"/>
      <c r="SDC25" s="3"/>
      <c r="SDD25" s="3"/>
      <c r="SDE25" s="3"/>
      <c r="SDF25" s="3"/>
      <c r="SDG25" s="3"/>
      <c r="SDH25" s="3"/>
      <c r="SDI25" s="3"/>
      <c r="SDJ25" s="3"/>
      <c r="SDK25" s="3"/>
      <c r="SDL25" s="3"/>
      <c r="SDM25" s="3"/>
      <c r="SDN25" s="3"/>
      <c r="SDO25" s="3"/>
      <c r="SDP25" s="3"/>
      <c r="SDQ25" s="3"/>
      <c r="SDR25" s="3"/>
      <c r="SDS25" s="3"/>
      <c r="SDT25" s="3"/>
      <c r="SDU25" s="3"/>
      <c r="SDV25" s="3"/>
      <c r="SDW25" s="3"/>
      <c r="SDX25" s="3"/>
      <c r="SDY25" s="3"/>
      <c r="SDZ25" s="3"/>
      <c r="SEA25" s="3"/>
      <c r="SEB25" s="3"/>
      <c r="SEC25" s="3"/>
      <c r="SED25" s="3"/>
      <c r="SEE25" s="3"/>
      <c r="SEF25" s="3"/>
      <c r="SEG25" s="3"/>
      <c r="SEH25" s="3"/>
      <c r="SEI25" s="3"/>
      <c r="SEJ25" s="3"/>
      <c r="SEK25" s="3"/>
      <c r="SEL25" s="3"/>
      <c r="SEM25" s="3"/>
      <c r="SEN25" s="3"/>
      <c r="SEO25" s="3"/>
      <c r="SEP25" s="3"/>
      <c r="SEQ25" s="3"/>
      <c r="SER25" s="3"/>
      <c r="SES25" s="3"/>
      <c r="SET25" s="3"/>
      <c r="SEU25" s="3"/>
      <c r="SEV25" s="3"/>
      <c r="SEW25" s="3"/>
      <c r="SEX25" s="3"/>
      <c r="SEY25" s="3"/>
      <c r="SEZ25" s="3"/>
      <c r="SFA25" s="3"/>
      <c r="SFB25" s="3"/>
      <c r="SFC25" s="3"/>
      <c r="SFD25" s="3"/>
      <c r="SFE25" s="3"/>
      <c r="SFF25" s="3"/>
      <c r="SFG25" s="3"/>
      <c r="SFH25" s="3"/>
      <c r="SFI25" s="3"/>
      <c r="SFJ25" s="3"/>
      <c r="SFK25" s="3"/>
      <c r="SFL25" s="3"/>
      <c r="SFM25" s="3"/>
      <c r="SFN25" s="3"/>
      <c r="SFO25" s="3"/>
      <c r="SFP25" s="3"/>
      <c r="SFQ25" s="3"/>
      <c r="SFR25" s="3"/>
      <c r="SFS25" s="3"/>
      <c r="SFT25" s="3"/>
      <c r="SFU25" s="3"/>
      <c r="SFV25" s="3"/>
      <c r="SFW25" s="3"/>
      <c r="SFX25" s="3"/>
      <c r="SFY25" s="3"/>
      <c r="SFZ25" s="3"/>
      <c r="SGA25" s="3"/>
      <c r="SGB25" s="3"/>
      <c r="SGC25" s="3"/>
      <c r="SGD25" s="3"/>
      <c r="SGE25" s="3"/>
      <c r="SGF25" s="3"/>
      <c r="SGG25" s="3"/>
      <c r="SGH25" s="3"/>
      <c r="SGI25" s="3"/>
      <c r="SGJ25" s="3"/>
      <c r="SGK25" s="3"/>
      <c r="SGL25" s="3"/>
      <c r="SGM25" s="3"/>
      <c r="SGN25" s="3"/>
      <c r="SGO25" s="3"/>
      <c r="SGP25" s="3"/>
      <c r="SGQ25" s="3"/>
      <c r="SGR25" s="3"/>
      <c r="SGS25" s="3"/>
      <c r="SGT25" s="3"/>
      <c r="SGU25" s="3"/>
      <c r="SGV25" s="3"/>
      <c r="SGW25" s="3"/>
      <c r="SGX25" s="3"/>
      <c r="SGY25" s="3"/>
      <c r="SGZ25" s="3"/>
      <c r="SHA25" s="3"/>
      <c r="SHB25" s="3"/>
      <c r="SHC25" s="3"/>
      <c r="SHD25" s="3"/>
      <c r="SHE25" s="3"/>
      <c r="SHF25" s="3"/>
      <c r="SHG25" s="3"/>
      <c r="SHH25" s="3"/>
      <c r="SHI25" s="3"/>
      <c r="SHJ25" s="3"/>
      <c r="SHK25" s="3"/>
      <c r="SHL25" s="3"/>
      <c r="SHM25" s="3"/>
      <c r="SHN25" s="3"/>
      <c r="SHO25" s="3"/>
      <c r="SHP25" s="3"/>
      <c r="SHQ25" s="3"/>
      <c r="SHR25" s="3"/>
      <c r="SHS25" s="3"/>
      <c r="SHT25" s="3"/>
      <c r="SHU25" s="3"/>
      <c r="SHV25" s="3"/>
      <c r="SHW25" s="3"/>
      <c r="SHX25" s="3"/>
      <c r="SHY25" s="3"/>
      <c r="SHZ25" s="3"/>
      <c r="SIA25" s="3"/>
      <c r="SIB25" s="3"/>
      <c r="SIC25" s="3"/>
      <c r="SID25" s="3"/>
      <c r="SIE25" s="3"/>
      <c r="SIF25" s="3"/>
      <c r="SIG25" s="3"/>
      <c r="SIH25" s="3"/>
      <c r="SII25" s="3"/>
      <c r="SIJ25" s="3"/>
      <c r="SIK25" s="3"/>
      <c r="SIL25" s="3"/>
      <c r="SIM25" s="3"/>
      <c r="SIN25" s="3"/>
      <c r="SIO25" s="3"/>
      <c r="SIP25" s="3"/>
      <c r="SIQ25" s="3"/>
      <c r="SIR25" s="3"/>
      <c r="SIS25" s="3"/>
      <c r="SIT25" s="3"/>
      <c r="SIU25" s="3"/>
      <c r="SIV25" s="3"/>
      <c r="SIW25" s="3"/>
      <c r="SIX25" s="3"/>
      <c r="SIY25" s="3"/>
      <c r="SIZ25" s="3"/>
      <c r="SJA25" s="3"/>
      <c r="SJB25" s="3"/>
      <c r="SJC25" s="3"/>
      <c r="SJD25" s="3"/>
      <c r="SJE25" s="3"/>
      <c r="SJF25" s="3"/>
      <c r="SJG25" s="3"/>
      <c r="SJH25" s="3"/>
      <c r="SJI25" s="3"/>
      <c r="SJJ25" s="3"/>
      <c r="SJK25" s="3"/>
      <c r="SJL25" s="3"/>
      <c r="SJM25" s="3"/>
      <c r="SJN25" s="3"/>
      <c r="SJO25" s="3"/>
      <c r="SJP25" s="3"/>
      <c r="SJQ25" s="3"/>
      <c r="SJR25" s="3"/>
      <c r="SJS25" s="3"/>
      <c r="SJT25" s="3"/>
      <c r="SJU25" s="3"/>
      <c r="SJV25" s="3"/>
      <c r="SJW25" s="3"/>
      <c r="SJX25" s="3"/>
      <c r="SJY25" s="3"/>
      <c r="SJZ25" s="3"/>
      <c r="SKA25" s="3"/>
      <c r="SKB25" s="3"/>
      <c r="SKC25" s="3"/>
      <c r="SKD25" s="3"/>
      <c r="SKE25" s="3"/>
      <c r="SKF25" s="3"/>
      <c r="SKG25" s="3"/>
      <c r="SKH25" s="3"/>
      <c r="SKI25" s="3"/>
      <c r="SKJ25" s="3"/>
      <c r="SKK25" s="3"/>
      <c r="SKL25" s="3"/>
      <c r="SKM25" s="3"/>
      <c r="SKN25" s="3"/>
      <c r="SKO25" s="3"/>
      <c r="SKP25" s="3"/>
      <c r="SKQ25" s="3"/>
      <c r="SKR25" s="3"/>
      <c r="SKS25" s="3"/>
      <c r="SKT25" s="3"/>
      <c r="SKU25" s="3"/>
      <c r="SKV25" s="3"/>
      <c r="SKW25" s="3"/>
      <c r="SKX25" s="3"/>
      <c r="SKY25" s="3"/>
      <c r="SKZ25" s="3"/>
      <c r="SLA25" s="3"/>
      <c r="SLB25" s="3"/>
      <c r="SLC25" s="3"/>
      <c r="SLD25" s="3"/>
      <c r="SLE25" s="3"/>
      <c r="SLF25" s="3"/>
      <c r="SLG25" s="3"/>
      <c r="SLH25" s="3"/>
      <c r="SLI25" s="3"/>
      <c r="SLJ25" s="3"/>
      <c r="SLK25" s="3"/>
      <c r="SLL25" s="3"/>
      <c r="SLM25" s="3"/>
      <c r="SLN25" s="3"/>
      <c r="SLO25" s="3"/>
      <c r="SLP25" s="3"/>
      <c r="SLQ25" s="3"/>
      <c r="SLR25" s="3"/>
      <c r="SLS25" s="3"/>
      <c r="SLT25" s="3"/>
      <c r="SLU25" s="3"/>
      <c r="SLV25" s="3"/>
      <c r="SLW25" s="3"/>
      <c r="SLX25" s="3"/>
      <c r="SLY25" s="3"/>
      <c r="SLZ25" s="3"/>
      <c r="SMA25" s="3"/>
      <c r="SMB25" s="3"/>
      <c r="SMC25" s="3"/>
      <c r="SMD25" s="3"/>
      <c r="SME25" s="3"/>
      <c r="SMF25" s="3"/>
      <c r="SMG25" s="3"/>
      <c r="SMH25" s="3"/>
      <c r="SMI25" s="3"/>
      <c r="SMJ25" s="3"/>
      <c r="SMK25" s="3"/>
      <c r="SML25" s="3"/>
      <c r="SMM25" s="3"/>
      <c r="SMN25" s="3"/>
      <c r="SMO25" s="3"/>
      <c r="SMP25" s="3"/>
      <c r="SMQ25" s="3"/>
      <c r="SMR25" s="3"/>
      <c r="SMS25" s="3"/>
      <c r="SMT25" s="3"/>
      <c r="SMU25" s="3"/>
      <c r="SMV25" s="3"/>
      <c r="SMW25" s="3"/>
      <c r="SMX25" s="3"/>
      <c r="SMY25" s="3"/>
      <c r="SMZ25" s="3"/>
      <c r="SNA25" s="3"/>
      <c r="SNB25" s="3"/>
      <c r="SNC25" s="3"/>
      <c r="SND25" s="3"/>
      <c r="SNE25" s="3"/>
      <c r="SNF25" s="3"/>
      <c r="SNG25" s="3"/>
      <c r="SNH25" s="3"/>
      <c r="SNI25" s="3"/>
      <c r="SNJ25" s="3"/>
      <c r="SNK25" s="3"/>
      <c r="SNL25" s="3"/>
      <c r="SNM25" s="3"/>
      <c r="SNN25" s="3"/>
      <c r="SNO25" s="3"/>
      <c r="SNP25" s="3"/>
      <c r="SNQ25" s="3"/>
      <c r="SNR25" s="3"/>
      <c r="SNS25" s="3"/>
      <c r="SNT25" s="3"/>
      <c r="SNU25" s="3"/>
      <c r="SNV25" s="3"/>
      <c r="SNW25" s="3"/>
      <c r="SNX25" s="3"/>
      <c r="SNY25" s="3"/>
      <c r="SNZ25" s="3"/>
      <c r="SOA25" s="3"/>
      <c r="SOB25" s="3"/>
      <c r="SOC25" s="3"/>
      <c r="SOD25" s="3"/>
      <c r="SOE25" s="3"/>
      <c r="SOF25" s="3"/>
      <c r="SOG25" s="3"/>
      <c r="SOH25" s="3"/>
      <c r="SOI25" s="3"/>
      <c r="SOJ25" s="3"/>
      <c r="SOK25" s="3"/>
      <c r="SOL25" s="3"/>
      <c r="SOM25" s="3"/>
      <c r="SON25" s="3"/>
      <c r="SOO25" s="3"/>
      <c r="SOP25" s="3"/>
      <c r="SOQ25" s="3"/>
      <c r="SOR25" s="3"/>
      <c r="SOS25" s="3"/>
      <c r="SOT25" s="3"/>
      <c r="SOU25" s="3"/>
      <c r="SOV25" s="3"/>
      <c r="SOW25" s="3"/>
      <c r="SOX25" s="3"/>
      <c r="SOY25" s="3"/>
      <c r="SOZ25" s="3"/>
      <c r="SPA25" s="3"/>
      <c r="SPB25" s="3"/>
      <c r="SPC25" s="3"/>
      <c r="SPD25" s="3"/>
      <c r="SPE25" s="3"/>
      <c r="SPF25" s="3"/>
      <c r="SPG25" s="3"/>
      <c r="SPH25" s="3"/>
      <c r="SPI25" s="3"/>
      <c r="SPJ25" s="3"/>
      <c r="SPK25" s="3"/>
      <c r="SPL25" s="3"/>
      <c r="SPM25" s="3"/>
      <c r="SPN25" s="3"/>
      <c r="SPO25" s="3"/>
      <c r="SPP25" s="3"/>
      <c r="SPQ25" s="3"/>
      <c r="SPR25" s="3"/>
      <c r="SPS25" s="3"/>
      <c r="SPT25" s="3"/>
      <c r="SPU25" s="3"/>
      <c r="SPV25" s="3"/>
      <c r="SPW25" s="3"/>
      <c r="SPX25" s="3"/>
      <c r="SPY25" s="3"/>
      <c r="SPZ25" s="3"/>
      <c r="SQA25" s="3"/>
      <c r="SQB25" s="3"/>
      <c r="SQC25" s="3"/>
      <c r="SQD25" s="3"/>
      <c r="SQE25" s="3"/>
      <c r="SQF25" s="3"/>
      <c r="SQG25" s="3"/>
      <c r="SQH25" s="3"/>
      <c r="SQI25" s="3"/>
      <c r="SQJ25" s="3"/>
      <c r="SQK25" s="3"/>
      <c r="SQL25" s="3"/>
      <c r="SQM25" s="3"/>
      <c r="SQN25" s="3"/>
      <c r="SQO25" s="3"/>
      <c r="SQP25" s="3"/>
      <c r="SQQ25" s="3"/>
      <c r="SQR25" s="3"/>
      <c r="SQS25" s="3"/>
      <c r="SQT25" s="3"/>
      <c r="SQU25" s="3"/>
      <c r="SQV25" s="3"/>
      <c r="SQW25" s="3"/>
      <c r="SQX25" s="3"/>
      <c r="SQY25" s="3"/>
      <c r="SQZ25" s="3"/>
      <c r="SRA25" s="3"/>
      <c r="SRB25" s="3"/>
      <c r="SRC25" s="3"/>
      <c r="SRD25" s="3"/>
      <c r="SRE25" s="3"/>
      <c r="SRF25" s="3"/>
      <c r="SRG25" s="3"/>
      <c r="SRH25" s="3"/>
      <c r="SRI25" s="3"/>
      <c r="SRJ25" s="3"/>
      <c r="SRK25" s="3"/>
      <c r="SRL25" s="3"/>
      <c r="SRM25" s="3"/>
      <c r="SRN25" s="3"/>
      <c r="SRO25" s="3"/>
      <c r="SRP25" s="3"/>
      <c r="SRQ25" s="3"/>
      <c r="SRR25" s="3"/>
      <c r="SRS25" s="3"/>
      <c r="SRT25" s="3"/>
      <c r="SRU25" s="3"/>
      <c r="SRV25" s="3"/>
      <c r="SRW25" s="3"/>
      <c r="SRX25" s="3"/>
      <c r="SRY25" s="3"/>
      <c r="SRZ25" s="3"/>
      <c r="SSA25" s="3"/>
      <c r="SSB25" s="3"/>
      <c r="SSC25" s="3"/>
      <c r="SSD25" s="3"/>
      <c r="SSE25" s="3"/>
      <c r="SSF25" s="3"/>
      <c r="SSG25" s="3"/>
      <c r="SSH25" s="3"/>
      <c r="SSI25" s="3"/>
      <c r="SSJ25" s="3"/>
      <c r="SSK25" s="3"/>
      <c r="SSL25" s="3"/>
      <c r="SSM25" s="3"/>
      <c r="SSN25" s="3"/>
      <c r="SSO25" s="3"/>
      <c r="SSP25" s="3"/>
      <c r="SSQ25" s="3"/>
      <c r="SSR25" s="3"/>
      <c r="SSS25" s="3"/>
      <c r="SST25" s="3"/>
      <c r="SSU25" s="3"/>
      <c r="SSV25" s="3"/>
      <c r="SSW25" s="3"/>
      <c r="SSX25" s="3"/>
      <c r="SSY25" s="3"/>
      <c r="SSZ25" s="3"/>
      <c r="STA25" s="3"/>
      <c r="STB25" s="3"/>
      <c r="STC25" s="3"/>
      <c r="STD25" s="3"/>
      <c r="STE25" s="3"/>
      <c r="STF25" s="3"/>
      <c r="STG25" s="3"/>
      <c r="STH25" s="3"/>
      <c r="STI25" s="3"/>
      <c r="STJ25" s="3"/>
      <c r="STK25" s="3"/>
      <c r="STL25" s="3"/>
      <c r="STM25" s="3"/>
      <c r="STN25" s="3"/>
      <c r="STO25" s="3"/>
      <c r="STP25" s="3"/>
      <c r="STQ25" s="3"/>
      <c r="STR25" s="3"/>
      <c r="STS25" s="3"/>
      <c r="STT25" s="3"/>
      <c r="STU25" s="3"/>
      <c r="STV25" s="3"/>
      <c r="STW25" s="3"/>
      <c r="STX25" s="3"/>
      <c r="STY25" s="3"/>
      <c r="STZ25" s="3"/>
      <c r="SUA25" s="3"/>
      <c r="SUB25" s="3"/>
      <c r="SUC25" s="3"/>
      <c r="SUD25" s="3"/>
      <c r="SUE25" s="3"/>
      <c r="SUF25" s="3"/>
      <c r="SUG25" s="3"/>
      <c r="SUH25" s="3"/>
      <c r="SUI25" s="3"/>
      <c r="SUJ25" s="3"/>
      <c r="SUK25" s="3"/>
      <c r="SUL25" s="3"/>
      <c r="SUM25" s="3"/>
      <c r="SUN25" s="3"/>
      <c r="SUO25" s="3"/>
      <c r="SUP25" s="3"/>
      <c r="SUQ25" s="3"/>
      <c r="SUR25" s="3"/>
      <c r="SUS25" s="3"/>
      <c r="SUT25" s="3"/>
      <c r="SUU25" s="3"/>
      <c r="SUV25" s="3"/>
      <c r="SUW25" s="3"/>
      <c r="SUX25" s="3"/>
      <c r="SUY25" s="3"/>
      <c r="SUZ25" s="3"/>
      <c r="SVA25" s="3"/>
      <c r="SVB25" s="3"/>
      <c r="SVC25" s="3"/>
      <c r="SVD25" s="3"/>
      <c r="SVE25" s="3"/>
      <c r="SVF25" s="3"/>
      <c r="SVG25" s="3"/>
      <c r="SVH25" s="3"/>
      <c r="SVI25" s="3"/>
      <c r="SVJ25" s="3"/>
      <c r="SVK25" s="3"/>
      <c r="SVL25" s="3"/>
      <c r="SVM25" s="3"/>
      <c r="SVN25" s="3"/>
      <c r="SVO25" s="3"/>
      <c r="SVP25" s="3"/>
      <c r="SVQ25" s="3"/>
      <c r="SVR25" s="3"/>
      <c r="SVS25" s="3"/>
      <c r="SVT25" s="3"/>
      <c r="SVU25" s="3"/>
      <c r="SVV25" s="3"/>
      <c r="SVW25" s="3"/>
      <c r="SVX25" s="3"/>
      <c r="SVY25" s="3"/>
      <c r="SVZ25" s="3"/>
      <c r="SWA25" s="3"/>
      <c r="SWB25" s="3"/>
      <c r="SWC25" s="3"/>
      <c r="SWD25" s="3"/>
      <c r="SWE25" s="3"/>
      <c r="SWF25" s="3"/>
      <c r="SWG25" s="3"/>
      <c r="SWH25" s="3"/>
      <c r="SWI25" s="3"/>
      <c r="SWJ25" s="3"/>
      <c r="SWK25" s="3"/>
      <c r="SWL25" s="3"/>
      <c r="SWM25" s="3"/>
      <c r="SWN25" s="3"/>
      <c r="SWO25" s="3"/>
      <c r="SWP25" s="3"/>
      <c r="SWQ25" s="3"/>
      <c r="SWR25" s="3"/>
      <c r="SWS25" s="3"/>
      <c r="SWT25" s="3"/>
      <c r="SWU25" s="3"/>
      <c r="SWV25" s="3"/>
      <c r="SWW25" s="3"/>
      <c r="SWX25" s="3"/>
      <c r="SWY25" s="3"/>
      <c r="SWZ25" s="3"/>
      <c r="SXA25" s="3"/>
      <c r="SXB25" s="3"/>
      <c r="SXC25" s="3"/>
      <c r="SXD25" s="3"/>
      <c r="SXE25" s="3"/>
      <c r="SXF25" s="3"/>
      <c r="SXG25" s="3"/>
      <c r="SXH25" s="3"/>
      <c r="SXI25" s="3"/>
      <c r="SXJ25" s="3"/>
      <c r="SXK25" s="3"/>
      <c r="SXL25" s="3"/>
      <c r="SXM25" s="3"/>
      <c r="SXN25" s="3"/>
      <c r="SXO25" s="3"/>
      <c r="SXP25" s="3"/>
      <c r="SXQ25" s="3"/>
      <c r="SXR25" s="3"/>
      <c r="SXS25" s="3"/>
      <c r="SXT25" s="3"/>
      <c r="SXU25" s="3"/>
      <c r="SXV25" s="3"/>
      <c r="SXW25" s="3"/>
      <c r="SXX25" s="3"/>
      <c r="SXY25" s="3"/>
      <c r="SXZ25" s="3"/>
      <c r="SYA25" s="3"/>
      <c r="SYB25" s="3"/>
      <c r="SYC25" s="3"/>
      <c r="SYD25" s="3"/>
      <c r="SYE25" s="3"/>
      <c r="SYF25" s="3"/>
      <c r="SYG25" s="3"/>
      <c r="SYH25" s="3"/>
      <c r="SYI25" s="3"/>
      <c r="SYJ25" s="3"/>
      <c r="SYK25" s="3"/>
      <c r="SYL25" s="3"/>
      <c r="SYM25" s="3"/>
      <c r="SYN25" s="3"/>
      <c r="SYO25" s="3"/>
      <c r="SYP25" s="3"/>
      <c r="SYQ25" s="3"/>
      <c r="SYR25" s="3"/>
      <c r="SYS25" s="3"/>
      <c r="SYT25" s="3"/>
      <c r="SYU25" s="3"/>
      <c r="SYV25" s="3"/>
      <c r="SYW25" s="3"/>
      <c r="SYX25" s="3"/>
      <c r="SYY25" s="3"/>
      <c r="SYZ25" s="3"/>
      <c r="SZA25" s="3"/>
      <c r="SZB25" s="3"/>
      <c r="SZC25" s="3"/>
      <c r="SZD25" s="3"/>
      <c r="SZE25" s="3"/>
      <c r="SZF25" s="3"/>
      <c r="SZG25" s="3"/>
      <c r="SZH25" s="3"/>
      <c r="SZI25" s="3"/>
      <c r="SZJ25" s="3"/>
      <c r="SZK25" s="3"/>
      <c r="SZL25" s="3"/>
      <c r="SZM25" s="3"/>
      <c r="SZN25" s="3"/>
      <c r="SZO25" s="3"/>
      <c r="SZP25" s="3"/>
      <c r="SZQ25" s="3"/>
      <c r="SZR25" s="3"/>
      <c r="SZS25" s="3"/>
      <c r="SZT25" s="3"/>
      <c r="SZU25" s="3"/>
      <c r="SZV25" s="3"/>
      <c r="SZW25" s="3"/>
      <c r="SZX25" s="3"/>
      <c r="SZY25" s="3"/>
      <c r="SZZ25" s="3"/>
      <c r="TAA25" s="3"/>
      <c r="TAB25" s="3"/>
      <c r="TAC25" s="3"/>
      <c r="TAD25" s="3"/>
      <c r="TAE25" s="3"/>
      <c r="TAF25" s="3"/>
      <c r="TAG25" s="3"/>
      <c r="TAH25" s="3"/>
      <c r="TAI25" s="3"/>
      <c r="TAJ25" s="3"/>
      <c r="TAK25" s="3"/>
      <c r="TAL25" s="3"/>
      <c r="TAM25" s="3"/>
      <c r="TAN25" s="3"/>
      <c r="TAO25" s="3"/>
      <c r="TAP25" s="3"/>
      <c r="TAQ25" s="3"/>
      <c r="TAR25" s="3"/>
      <c r="TAS25" s="3"/>
      <c r="TAT25" s="3"/>
      <c r="TAU25" s="3"/>
      <c r="TAV25" s="3"/>
      <c r="TAW25" s="3"/>
      <c r="TAX25" s="3"/>
      <c r="TAY25" s="3"/>
      <c r="TAZ25" s="3"/>
      <c r="TBA25" s="3"/>
      <c r="TBB25" s="3"/>
      <c r="TBC25" s="3"/>
      <c r="TBD25" s="3"/>
      <c r="TBE25" s="3"/>
      <c r="TBF25" s="3"/>
      <c r="TBG25" s="3"/>
      <c r="TBH25" s="3"/>
      <c r="TBI25" s="3"/>
      <c r="TBJ25" s="3"/>
      <c r="TBK25" s="3"/>
      <c r="TBL25" s="3"/>
      <c r="TBM25" s="3"/>
      <c r="TBN25" s="3"/>
      <c r="TBO25" s="3"/>
      <c r="TBP25" s="3"/>
      <c r="TBQ25" s="3"/>
      <c r="TBR25" s="3"/>
      <c r="TBS25" s="3"/>
      <c r="TBT25" s="3"/>
      <c r="TBU25" s="3"/>
      <c r="TBV25" s="3"/>
      <c r="TBW25" s="3"/>
      <c r="TBX25" s="3"/>
      <c r="TBY25" s="3"/>
      <c r="TBZ25" s="3"/>
      <c r="TCA25" s="3"/>
      <c r="TCB25" s="3"/>
      <c r="TCC25" s="3"/>
      <c r="TCD25" s="3"/>
      <c r="TCE25" s="3"/>
      <c r="TCF25" s="3"/>
      <c r="TCG25" s="3"/>
      <c r="TCH25" s="3"/>
      <c r="TCI25" s="3"/>
      <c r="TCJ25" s="3"/>
      <c r="TCK25" s="3"/>
      <c r="TCL25" s="3"/>
      <c r="TCM25" s="3"/>
      <c r="TCN25" s="3"/>
      <c r="TCO25" s="3"/>
      <c r="TCP25" s="3"/>
      <c r="TCQ25" s="3"/>
      <c r="TCR25" s="3"/>
      <c r="TCS25" s="3"/>
      <c r="TCT25" s="3"/>
      <c r="TCU25" s="3"/>
      <c r="TCV25" s="3"/>
      <c r="TCW25" s="3"/>
      <c r="TCX25" s="3"/>
      <c r="TCY25" s="3"/>
      <c r="TCZ25" s="3"/>
      <c r="TDA25" s="3"/>
      <c r="TDB25" s="3"/>
      <c r="TDC25" s="3"/>
      <c r="TDD25" s="3"/>
      <c r="TDE25" s="3"/>
      <c r="TDF25" s="3"/>
      <c r="TDG25" s="3"/>
      <c r="TDH25" s="3"/>
      <c r="TDI25" s="3"/>
      <c r="TDJ25" s="3"/>
      <c r="TDK25" s="3"/>
      <c r="TDL25" s="3"/>
      <c r="TDM25" s="3"/>
      <c r="TDN25" s="3"/>
      <c r="TDO25" s="3"/>
      <c r="TDP25" s="3"/>
      <c r="TDQ25" s="3"/>
      <c r="TDR25" s="3"/>
      <c r="TDS25" s="3"/>
      <c r="TDT25" s="3"/>
      <c r="TDU25" s="3"/>
      <c r="TDV25" s="3"/>
      <c r="TDW25" s="3"/>
      <c r="TDX25" s="3"/>
      <c r="TDY25" s="3"/>
      <c r="TDZ25" s="3"/>
      <c r="TEA25" s="3"/>
      <c r="TEB25" s="3"/>
      <c r="TEC25" s="3"/>
      <c r="TED25" s="3"/>
      <c r="TEE25" s="3"/>
      <c r="TEF25" s="3"/>
      <c r="TEG25" s="3"/>
      <c r="TEH25" s="3"/>
      <c r="TEI25" s="3"/>
      <c r="TEJ25" s="3"/>
      <c r="TEK25" s="3"/>
      <c r="TEL25" s="3"/>
      <c r="TEM25" s="3"/>
      <c r="TEN25" s="3"/>
      <c r="TEO25" s="3"/>
      <c r="TEP25" s="3"/>
      <c r="TEQ25" s="3"/>
      <c r="TER25" s="3"/>
      <c r="TES25" s="3"/>
      <c r="TET25" s="3"/>
      <c r="TEU25" s="3"/>
      <c r="TEV25" s="3"/>
      <c r="TEW25" s="3"/>
      <c r="TEX25" s="3"/>
      <c r="TEY25" s="3"/>
      <c r="TEZ25" s="3"/>
      <c r="TFA25" s="3"/>
      <c r="TFB25" s="3"/>
      <c r="TFC25" s="3"/>
      <c r="TFD25" s="3"/>
      <c r="TFE25" s="3"/>
      <c r="TFF25" s="3"/>
      <c r="TFG25" s="3"/>
      <c r="TFH25" s="3"/>
      <c r="TFI25" s="3"/>
      <c r="TFJ25" s="3"/>
      <c r="TFK25" s="3"/>
      <c r="TFL25" s="3"/>
      <c r="TFM25" s="3"/>
      <c r="TFN25" s="3"/>
      <c r="TFO25" s="3"/>
      <c r="TFP25" s="3"/>
      <c r="TFQ25" s="3"/>
      <c r="TFR25" s="3"/>
      <c r="TFS25" s="3"/>
      <c r="TFT25" s="3"/>
      <c r="TFU25" s="3"/>
      <c r="TFV25" s="3"/>
      <c r="TFW25" s="3"/>
      <c r="TFX25" s="3"/>
      <c r="TFY25" s="3"/>
      <c r="TFZ25" s="3"/>
      <c r="TGA25" s="3"/>
      <c r="TGB25" s="3"/>
      <c r="TGC25" s="3"/>
      <c r="TGD25" s="3"/>
      <c r="TGE25" s="3"/>
      <c r="TGF25" s="3"/>
      <c r="TGG25" s="3"/>
      <c r="TGH25" s="3"/>
      <c r="TGI25" s="3"/>
      <c r="TGJ25" s="3"/>
      <c r="TGK25" s="3"/>
      <c r="TGL25" s="3"/>
      <c r="TGM25" s="3"/>
      <c r="TGN25" s="3"/>
      <c r="TGO25" s="3"/>
      <c r="TGP25" s="3"/>
      <c r="TGQ25" s="3"/>
      <c r="TGR25" s="3"/>
      <c r="TGS25" s="3"/>
      <c r="TGT25" s="3"/>
      <c r="TGU25" s="3"/>
      <c r="TGV25" s="3"/>
      <c r="TGW25" s="3"/>
      <c r="TGX25" s="3"/>
      <c r="TGY25" s="3"/>
      <c r="TGZ25" s="3"/>
      <c r="THA25" s="3"/>
      <c r="THB25" s="3"/>
      <c r="THC25" s="3"/>
      <c r="THD25" s="3"/>
      <c r="THE25" s="3"/>
      <c r="THF25" s="3"/>
      <c r="THG25" s="3"/>
      <c r="THH25" s="3"/>
      <c r="THI25" s="3"/>
      <c r="THJ25" s="3"/>
      <c r="THK25" s="3"/>
      <c r="THL25" s="3"/>
      <c r="THM25" s="3"/>
      <c r="THN25" s="3"/>
      <c r="THO25" s="3"/>
      <c r="THP25" s="3"/>
      <c r="THQ25" s="3"/>
      <c r="THR25" s="3"/>
      <c r="THS25" s="3"/>
      <c r="THT25" s="3"/>
      <c r="THU25" s="3"/>
      <c r="THV25" s="3"/>
      <c r="THW25" s="3"/>
      <c r="THX25" s="3"/>
      <c r="THY25" s="3"/>
      <c r="THZ25" s="3"/>
      <c r="TIA25" s="3"/>
      <c r="TIB25" s="3"/>
      <c r="TIC25" s="3"/>
      <c r="TID25" s="3"/>
      <c r="TIE25" s="3"/>
      <c r="TIF25" s="3"/>
      <c r="TIG25" s="3"/>
      <c r="TIH25" s="3"/>
      <c r="TII25" s="3"/>
      <c r="TIJ25" s="3"/>
      <c r="TIK25" s="3"/>
      <c r="TIL25" s="3"/>
      <c r="TIM25" s="3"/>
      <c r="TIN25" s="3"/>
      <c r="TIO25" s="3"/>
      <c r="TIP25" s="3"/>
      <c r="TIQ25" s="3"/>
      <c r="TIR25" s="3"/>
      <c r="TIS25" s="3"/>
      <c r="TIT25" s="3"/>
      <c r="TIU25" s="3"/>
      <c r="TIV25" s="3"/>
      <c r="TIW25" s="3"/>
      <c r="TIX25" s="3"/>
      <c r="TIY25" s="3"/>
      <c r="TIZ25" s="3"/>
      <c r="TJA25" s="3"/>
      <c r="TJB25" s="3"/>
      <c r="TJC25" s="3"/>
      <c r="TJD25" s="3"/>
      <c r="TJE25" s="3"/>
      <c r="TJF25" s="3"/>
      <c r="TJG25" s="3"/>
      <c r="TJH25" s="3"/>
      <c r="TJI25" s="3"/>
      <c r="TJJ25" s="3"/>
      <c r="TJK25" s="3"/>
      <c r="TJL25" s="3"/>
      <c r="TJM25" s="3"/>
      <c r="TJN25" s="3"/>
      <c r="TJO25" s="3"/>
      <c r="TJP25" s="3"/>
      <c r="TJQ25" s="3"/>
      <c r="TJR25" s="3"/>
      <c r="TJS25" s="3"/>
      <c r="TJT25" s="3"/>
      <c r="TJU25" s="3"/>
      <c r="TJV25" s="3"/>
      <c r="TJW25" s="3"/>
      <c r="TJX25" s="3"/>
      <c r="TJY25" s="3"/>
      <c r="TJZ25" s="3"/>
      <c r="TKA25" s="3"/>
      <c r="TKB25" s="3"/>
      <c r="TKC25" s="3"/>
      <c r="TKD25" s="3"/>
      <c r="TKE25" s="3"/>
      <c r="TKF25" s="3"/>
      <c r="TKG25" s="3"/>
      <c r="TKH25" s="3"/>
      <c r="TKI25" s="3"/>
      <c r="TKJ25" s="3"/>
      <c r="TKK25" s="3"/>
      <c r="TKL25" s="3"/>
      <c r="TKM25" s="3"/>
      <c r="TKN25" s="3"/>
      <c r="TKO25" s="3"/>
      <c r="TKP25" s="3"/>
      <c r="TKQ25" s="3"/>
      <c r="TKR25" s="3"/>
      <c r="TKS25" s="3"/>
      <c r="TKT25" s="3"/>
      <c r="TKU25" s="3"/>
      <c r="TKV25" s="3"/>
      <c r="TKW25" s="3"/>
      <c r="TKX25" s="3"/>
      <c r="TKY25" s="3"/>
      <c r="TKZ25" s="3"/>
      <c r="TLA25" s="3"/>
      <c r="TLB25" s="3"/>
      <c r="TLC25" s="3"/>
      <c r="TLD25" s="3"/>
      <c r="TLE25" s="3"/>
      <c r="TLF25" s="3"/>
      <c r="TLG25" s="3"/>
      <c r="TLH25" s="3"/>
      <c r="TLI25" s="3"/>
      <c r="TLJ25" s="3"/>
      <c r="TLK25" s="3"/>
      <c r="TLL25" s="3"/>
      <c r="TLM25" s="3"/>
      <c r="TLN25" s="3"/>
      <c r="TLO25" s="3"/>
      <c r="TLP25" s="3"/>
      <c r="TLQ25" s="3"/>
      <c r="TLR25" s="3"/>
      <c r="TLS25" s="3"/>
      <c r="TLT25" s="3"/>
      <c r="TLU25" s="3"/>
      <c r="TLV25" s="3"/>
      <c r="TLW25" s="3"/>
      <c r="TLX25" s="3"/>
      <c r="TLY25" s="3"/>
      <c r="TLZ25" s="3"/>
      <c r="TMA25" s="3"/>
      <c r="TMB25" s="3"/>
      <c r="TMC25" s="3"/>
      <c r="TMD25" s="3"/>
      <c r="TME25" s="3"/>
      <c r="TMF25" s="3"/>
      <c r="TMG25" s="3"/>
      <c r="TMH25" s="3"/>
      <c r="TMI25" s="3"/>
      <c r="TMJ25" s="3"/>
      <c r="TMK25" s="3"/>
      <c r="TML25" s="3"/>
      <c r="TMM25" s="3"/>
      <c r="TMN25" s="3"/>
      <c r="TMO25" s="3"/>
      <c r="TMP25" s="3"/>
      <c r="TMQ25" s="3"/>
      <c r="TMR25" s="3"/>
      <c r="TMS25" s="3"/>
      <c r="TMT25" s="3"/>
      <c r="TMU25" s="3"/>
      <c r="TMV25" s="3"/>
      <c r="TMW25" s="3"/>
      <c r="TMX25" s="3"/>
      <c r="TMY25" s="3"/>
      <c r="TMZ25" s="3"/>
      <c r="TNA25" s="3"/>
      <c r="TNB25" s="3"/>
      <c r="TNC25" s="3"/>
      <c r="TND25" s="3"/>
      <c r="TNE25" s="3"/>
      <c r="TNF25" s="3"/>
      <c r="TNG25" s="3"/>
      <c r="TNH25" s="3"/>
      <c r="TNI25" s="3"/>
      <c r="TNJ25" s="3"/>
      <c r="TNK25" s="3"/>
      <c r="TNL25" s="3"/>
      <c r="TNM25" s="3"/>
      <c r="TNN25" s="3"/>
      <c r="TNO25" s="3"/>
      <c r="TNP25" s="3"/>
      <c r="TNQ25" s="3"/>
      <c r="TNR25" s="3"/>
      <c r="TNS25" s="3"/>
      <c r="TNT25" s="3"/>
      <c r="TNU25" s="3"/>
      <c r="TNV25" s="3"/>
      <c r="TNW25" s="3"/>
      <c r="TNX25" s="3"/>
      <c r="TNY25" s="3"/>
      <c r="TNZ25" s="3"/>
      <c r="TOA25" s="3"/>
      <c r="TOB25" s="3"/>
      <c r="TOC25" s="3"/>
      <c r="TOD25" s="3"/>
      <c r="TOE25" s="3"/>
      <c r="TOF25" s="3"/>
      <c r="TOG25" s="3"/>
      <c r="TOH25" s="3"/>
      <c r="TOI25" s="3"/>
      <c r="TOJ25" s="3"/>
      <c r="TOK25" s="3"/>
      <c r="TOL25" s="3"/>
      <c r="TOM25" s="3"/>
      <c r="TON25" s="3"/>
      <c r="TOO25" s="3"/>
      <c r="TOP25" s="3"/>
      <c r="TOQ25" s="3"/>
      <c r="TOR25" s="3"/>
      <c r="TOS25" s="3"/>
      <c r="TOT25" s="3"/>
      <c r="TOU25" s="3"/>
      <c r="TOV25" s="3"/>
      <c r="TOW25" s="3"/>
      <c r="TOX25" s="3"/>
      <c r="TOY25" s="3"/>
      <c r="TOZ25" s="3"/>
      <c r="TPA25" s="3"/>
      <c r="TPB25" s="3"/>
      <c r="TPC25" s="3"/>
      <c r="TPD25" s="3"/>
      <c r="TPE25" s="3"/>
      <c r="TPF25" s="3"/>
      <c r="TPG25" s="3"/>
      <c r="TPH25" s="3"/>
      <c r="TPI25" s="3"/>
      <c r="TPJ25" s="3"/>
      <c r="TPK25" s="3"/>
      <c r="TPL25" s="3"/>
      <c r="TPM25" s="3"/>
      <c r="TPN25" s="3"/>
      <c r="TPO25" s="3"/>
      <c r="TPP25" s="3"/>
      <c r="TPQ25" s="3"/>
      <c r="TPR25" s="3"/>
      <c r="TPS25" s="3"/>
      <c r="TPT25" s="3"/>
      <c r="TPU25" s="3"/>
      <c r="TPV25" s="3"/>
      <c r="TPW25" s="3"/>
      <c r="TPX25" s="3"/>
      <c r="TPY25" s="3"/>
      <c r="TPZ25" s="3"/>
      <c r="TQA25" s="3"/>
      <c r="TQB25" s="3"/>
      <c r="TQC25" s="3"/>
      <c r="TQD25" s="3"/>
      <c r="TQE25" s="3"/>
      <c r="TQF25" s="3"/>
      <c r="TQG25" s="3"/>
      <c r="TQH25" s="3"/>
      <c r="TQI25" s="3"/>
      <c r="TQJ25" s="3"/>
      <c r="TQK25" s="3"/>
      <c r="TQL25" s="3"/>
      <c r="TQM25" s="3"/>
      <c r="TQN25" s="3"/>
      <c r="TQO25" s="3"/>
      <c r="TQP25" s="3"/>
      <c r="TQQ25" s="3"/>
      <c r="TQR25" s="3"/>
      <c r="TQS25" s="3"/>
      <c r="TQT25" s="3"/>
      <c r="TQU25" s="3"/>
      <c r="TQV25" s="3"/>
      <c r="TQW25" s="3"/>
      <c r="TQX25" s="3"/>
      <c r="TQY25" s="3"/>
      <c r="TQZ25" s="3"/>
      <c r="TRA25" s="3"/>
      <c r="TRB25" s="3"/>
      <c r="TRC25" s="3"/>
      <c r="TRD25" s="3"/>
      <c r="TRE25" s="3"/>
      <c r="TRF25" s="3"/>
      <c r="TRG25" s="3"/>
      <c r="TRH25" s="3"/>
      <c r="TRI25" s="3"/>
      <c r="TRJ25" s="3"/>
      <c r="TRK25" s="3"/>
      <c r="TRL25" s="3"/>
      <c r="TRM25" s="3"/>
      <c r="TRN25" s="3"/>
      <c r="TRO25" s="3"/>
      <c r="TRP25" s="3"/>
      <c r="TRQ25" s="3"/>
      <c r="TRR25" s="3"/>
      <c r="TRS25" s="3"/>
      <c r="TRT25" s="3"/>
      <c r="TRU25" s="3"/>
      <c r="TRV25" s="3"/>
      <c r="TRW25" s="3"/>
      <c r="TRX25" s="3"/>
      <c r="TRY25" s="3"/>
      <c r="TRZ25" s="3"/>
      <c r="TSA25" s="3"/>
      <c r="TSB25" s="3"/>
      <c r="TSC25" s="3"/>
      <c r="TSD25" s="3"/>
      <c r="TSE25" s="3"/>
      <c r="TSF25" s="3"/>
      <c r="TSG25" s="3"/>
      <c r="TSH25" s="3"/>
      <c r="TSI25" s="3"/>
      <c r="TSJ25" s="3"/>
      <c r="TSK25" s="3"/>
      <c r="TSL25" s="3"/>
      <c r="TSM25" s="3"/>
      <c r="TSN25" s="3"/>
      <c r="TSO25" s="3"/>
      <c r="TSP25" s="3"/>
      <c r="TSQ25" s="3"/>
      <c r="TSR25" s="3"/>
      <c r="TSS25" s="3"/>
      <c r="TST25" s="3"/>
      <c r="TSU25" s="3"/>
      <c r="TSV25" s="3"/>
      <c r="TSW25" s="3"/>
      <c r="TSX25" s="3"/>
      <c r="TSY25" s="3"/>
      <c r="TSZ25" s="3"/>
      <c r="TTA25" s="3"/>
      <c r="TTB25" s="3"/>
      <c r="TTC25" s="3"/>
      <c r="TTD25" s="3"/>
      <c r="TTE25" s="3"/>
      <c r="TTF25" s="3"/>
      <c r="TTG25" s="3"/>
      <c r="TTH25" s="3"/>
      <c r="TTI25" s="3"/>
      <c r="TTJ25" s="3"/>
      <c r="TTK25" s="3"/>
      <c r="TTL25" s="3"/>
      <c r="TTM25" s="3"/>
      <c r="TTN25" s="3"/>
      <c r="TTO25" s="3"/>
      <c r="TTP25" s="3"/>
      <c r="TTQ25" s="3"/>
      <c r="TTR25" s="3"/>
      <c r="TTS25" s="3"/>
      <c r="TTT25" s="3"/>
      <c r="TTU25" s="3"/>
      <c r="TTV25" s="3"/>
      <c r="TTW25" s="3"/>
      <c r="TTX25" s="3"/>
      <c r="TTY25" s="3"/>
      <c r="TTZ25" s="3"/>
      <c r="TUA25" s="3"/>
      <c r="TUB25" s="3"/>
      <c r="TUC25" s="3"/>
      <c r="TUD25" s="3"/>
      <c r="TUE25" s="3"/>
      <c r="TUF25" s="3"/>
      <c r="TUG25" s="3"/>
      <c r="TUH25" s="3"/>
      <c r="TUI25" s="3"/>
      <c r="TUJ25" s="3"/>
      <c r="TUK25" s="3"/>
      <c r="TUL25" s="3"/>
      <c r="TUM25" s="3"/>
      <c r="TUN25" s="3"/>
      <c r="TUO25" s="3"/>
      <c r="TUP25" s="3"/>
      <c r="TUQ25" s="3"/>
      <c r="TUR25" s="3"/>
      <c r="TUS25" s="3"/>
      <c r="TUT25" s="3"/>
      <c r="TUU25" s="3"/>
      <c r="TUV25" s="3"/>
      <c r="TUW25" s="3"/>
      <c r="TUX25" s="3"/>
      <c r="TUY25" s="3"/>
      <c r="TUZ25" s="3"/>
      <c r="TVA25" s="3"/>
      <c r="TVB25" s="3"/>
      <c r="TVC25" s="3"/>
      <c r="TVD25" s="3"/>
      <c r="TVE25" s="3"/>
      <c r="TVF25" s="3"/>
      <c r="TVG25" s="3"/>
      <c r="TVH25" s="3"/>
      <c r="TVI25" s="3"/>
      <c r="TVJ25" s="3"/>
      <c r="TVK25" s="3"/>
      <c r="TVL25" s="3"/>
      <c r="TVM25" s="3"/>
      <c r="TVN25" s="3"/>
      <c r="TVO25" s="3"/>
      <c r="TVP25" s="3"/>
      <c r="TVQ25" s="3"/>
      <c r="TVR25" s="3"/>
      <c r="TVS25" s="3"/>
      <c r="TVT25" s="3"/>
      <c r="TVU25" s="3"/>
      <c r="TVV25" s="3"/>
      <c r="TVW25" s="3"/>
      <c r="TVX25" s="3"/>
      <c r="TVY25" s="3"/>
      <c r="TVZ25" s="3"/>
      <c r="TWA25" s="3"/>
      <c r="TWB25" s="3"/>
      <c r="TWC25" s="3"/>
      <c r="TWD25" s="3"/>
      <c r="TWE25" s="3"/>
      <c r="TWF25" s="3"/>
      <c r="TWG25" s="3"/>
      <c r="TWH25" s="3"/>
      <c r="TWI25" s="3"/>
      <c r="TWJ25" s="3"/>
      <c r="TWK25" s="3"/>
      <c r="TWL25" s="3"/>
      <c r="TWM25" s="3"/>
      <c r="TWN25" s="3"/>
      <c r="TWO25" s="3"/>
      <c r="TWP25" s="3"/>
      <c r="TWQ25" s="3"/>
      <c r="TWR25" s="3"/>
      <c r="TWS25" s="3"/>
      <c r="TWT25" s="3"/>
      <c r="TWU25" s="3"/>
      <c r="TWV25" s="3"/>
      <c r="TWW25" s="3"/>
      <c r="TWX25" s="3"/>
      <c r="TWY25" s="3"/>
      <c r="TWZ25" s="3"/>
      <c r="TXA25" s="3"/>
      <c r="TXB25" s="3"/>
      <c r="TXC25" s="3"/>
      <c r="TXD25" s="3"/>
      <c r="TXE25" s="3"/>
      <c r="TXF25" s="3"/>
      <c r="TXG25" s="3"/>
      <c r="TXH25" s="3"/>
      <c r="TXI25" s="3"/>
      <c r="TXJ25" s="3"/>
      <c r="TXK25" s="3"/>
      <c r="TXL25" s="3"/>
      <c r="TXM25" s="3"/>
      <c r="TXN25" s="3"/>
      <c r="TXO25" s="3"/>
      <c r="TXP25" s="3"/>
      <c r="TXQ25" s="3"/>
      <c r="TXR25" s="3"/>
      <c r="TXS25" s="3"/>
      <c r="TXT25" s="3"/>
      <c r="TXU25" s="3"/>
      <c r="TXV25" s="3"/>
      <c r="TXW25" s="3"/>
      <c r="TXX25" s="3"/>
      <c r="TXY25" s="3"/>
      <c r="TXZ25" s="3"/>
      <c r="TYA25" s="3"/>
      <c r="TYB25" s="3"/>
      <c r="TYC25" s="3"/>
      <c r="TYD25" s="3"/>
      <c r="TYE25" s="3"/>
      <c r="TYF25" s="3"/>
      <c r="TYG25" s="3"/>
      <c r="TYH25" s="3"/>
      <c r="TYI25" s="3"/>
      <c r="TYJ25" s="3"/>
      <c r="TYK25" s="3"/>
      <c r="TYL25" s="3"/>
      <c r="TYM25" s="3"/>
      <c r="TYN25" s="3"/>
      <c r="TYO25" s="3"/>
      <c r="TYP25" s="3"/>
      <c r="TYQ25" s="3"/>
      <c r="TYR25" s="3"/>
      <c r="TYS25" s="3"/>
      <c r="TYT25" s="3"/>
      <c r="TYU25" s="3"/>
      <c r="TYV25" s="3"/>
      <c r="TYW25" s="3"/>
      <c r="TYX25" s="3"/>
      <c r="TYY25" s="3"/>
      <c r="TYZ25" s="3"/>
      <c r="TZA25" s="3"/>
      <c r="TZB25" s="3"/>
      <c r="TZC25" s="3"/>
      <c r="TZD25" s="3"/>
      <c r="TZE25" s="3"/>
      <c r="TZF25" s="3"/>
      <c r="TZG25" s="3"/>
      <c r="TZH25" s="3"/>
      <c r="TZI25" s="3"/>
      <c r="TZJ25" s="3"/>
      <c r="TZK25" s="3"/>
      <c r="TZL25" s="3"/>
      <c r="TZM25" s="3"/>
      <c r="TZN25" s="3"/>
      <c r="TZO25" s="3"/>
      <c r="TZP25" s="3"/>
      <c r="TZQ25" s="3"/>
      <c r="TZR25" s="3"/>
      <c r="TZS25" s="3"/>
      <c r="TZT25" s="3"/>
      <c r="TZU25" s="3"/>
      <c r="TZV25" s="3"/>
      <c r="TZW25" s="3"/>
      <c r="TZX25" s="3"/>
      <c r="TZY25" s="3"/>
      <c r="TZZ25" s="3"/>
      <c r="UAA25" s="3"/>
      <c r="UAB25" s="3"/>
      <c r="UAC25" s="3"/>
      <c r="UAD25" s="3"/>
      <c r="UAE25" s="3"/>
      <c r="UAF25" s="3"/>
      <c r="UAG25" s="3"/>
      <c r="UAH25" s="3"/>
      <c r="UAI25" s="3"/>
      <c r="UAJ25" s="3"/>
      <c r="UAK25" s="3"/>
      <c r="UAL25" s="3"/>
      <c r="UAM25" s="3"/>
      <c r="UAN25" s="3"/>
      <c r="UAO25" s="3"/>
      <c r="UAP25" s="3"/>
      <c r="UAQ25" s="3"/>
      <c r="UAR25" s="3"/>
      <c r="UAS25" s="3"/>
      <c r="UAT25" s="3"/>
      <c r="UAU25" s="3"/>
      <c r="UAV25" s="3"/>
      <c r="UAW25" s="3"/>
      <c r="UAX25" s="3"/>
      <c r="UAY25" s="3"/>
      <c r="UAZ25" s="3"/>
      <c r="UBA25" s="3"/>
      <c r="UBB25" s="3"/>
      <c r="UBC25" s="3"/>
      <c r="UBD25" s="3"/>
      <c r="UBE25" s="3"/>
      <c r="UBF25" s="3"/>
      <c r="UBG25" s="3"/>
      <c r="UBH25" s="3"/>
      <c r="UBI25" s="3"/>
      <c r="UBJ25" s="3"/>
      <c r="UBK25" s="3"/>
      <c r="UBL25" s="3"/>
      <c r="UBM25" s="3"/>
      <c r="UBN25" s="3"/>
      <c r="UBO25" s="3"/>
      <c r="UBP25" s="3"/>
      <c r="UBQ25" s="3"/>
      <c r="UBR25" s="3"/>
      <c r="UBS25" s="3"/>
      <c r="UBT25" s="3"/>
      <c r="UBU25" s="3"/>
      <c r="UBV25" s="3"/>
      <c r="UBW25" s="3"/>
      <c r="UBX25" s="3"/>
      <c r="UBY25" s="3"/>
      <c r="UBZ25" s="3"/>
      <c r="UCA25" s="3"/>
      <c r="UCB25" s="3"/>
      <c r="UCC25" s="3"/>
      <c r="UCD25" s="3"/>
      <c r="UCE25" s="3"/>
      <c r="UCF25" s="3"/>
      <c r="UCG25" s="3"/>
      <c r="UCH25" s="3"/>
      <c r="UCI25" s="3"/>
      <c r="UCJ25" s="3"/>
      <c r="UCK25" s="3"/>
      <c r="UCL25" s="3"/>
      <c r="UCM25" s="3"/>
      <c r="UCN25" s="3"/>
      <c r="UCO25" s="3"/>
      <c r="UCP25" s="3"/>
      <c r="UCQ25" s="3"/>
      <c r="UCR25" s="3"/>
      <c r="UCS25" s="3"/>
      <c r="UCT25" s="3"/>
      <c r="UCU25" s="3"/>
      <c r="UCV25" s="3"/>
      <c r="UCW25" s="3"/>
      <c r="UCX25" s="3"/>
      <c r="UCY25" s="3"/>
      <c r="UCZ25" s="3"/>
      <c r="UDA25" s="3"/>
      <c r="UDB25" s="3"/>
      <c r="UDC25" s="3"/>
      <c r="UDD25" s="3"/>
      <c r="UDE25" s="3"/>
      <c r="UDF25" s="3"/>
      <c r="UDG25" s="3"/>
      <c r="UDH25" s="3"/>
      <c r="UDI25" s="3"/>
      <c r="UDJ25" s="3"/>
      <c r="UDK25" s="3"/>
      <c r="UDL25" s="3"/>
      <c r="UDM25" s="3"/>
      <c r="UDN25" s="3"/>
      <c r="UDO25" s="3"/>
      <c r="UDP25" s="3"/>
      <c r="UDQ25" s="3"/>
      <c r="UDR25" s="3"/>
      <c r="UDS25" s="3"/>
      <c r="UDT25" s="3"/>
      <c r="UDU25" s="3"/>
      <c r="UDV25" s="3"/>
      <c r="UDW25" s="3"/>
      <c r="UDX25" s="3"/>
      <c r="UDY25" s="3"/>
      <c r="UDZ25" s="3"/>
      <c r="UEA25" s="3"/>
      <c r="UEB25" s="3"/>
      <c r="UEC25" s="3"/>
      <c r="UED25" s="3"/>
      <c r="UEE25" s="3"/>
      <c r="UEF25" s="3"/>
      <c r="UEG25" s="3"/>
      <c r="UEH25" s="3"/>
      <c r="UEI25" s="3"/>
      <c r="UEJ25" s="3"/>
      <c r="UEK25" s="3"/>
      <c r="UEL25" s="3"/>
      <c r="UEM25" s="3"/>
      <c r="UEN25" s="3"/>
      <c r="UEO25" s="3"/>
      <c r="UEP25" s="3"/>
      <c r="UEQ25" s="3"/>
      <c r="UER25" s="3"/>
      <c r="UES25" s="3"/>
      <c r="UET25" s="3"/>
      <c r="UEU25" s="3"/>
      <c r="UEV25" s="3"/>
      <c r="UEW25" s="3"/>
      <c r="UEX25" s="3"/>
      <c r="UEY25" s="3"/>
      <c r="UEZ25" s="3"/>
      <c r="UFA25" s="3"/>
      <c r="UFB25" s="3"/>
      <c r="UFC25" s="3"/>
      <c r="UFD25" s="3"/>
      <c r="UFE25" s="3"/>
      <c r="UFF25" s="3"/>
      <c r="UFG25" s="3"/>
      <c r="UFH25" s="3"/>
      <c r="UFI25" s="3"/>
      <c r="UFJ25" s="3"/>
      <c r="UFK25" s="3"/>
      <c r="UFL25" s="3"/>
      <c r="UFM25" s="3"/>
      <c r="UFN25" s="3"/>
      <c r="UFO25" s="3"/>
      <c r="UFP25" s="3"/>
      <c r="UFQ25" s="3"/>
      <c r="UFR25" s="3"/>
      <c r="UFS25" s="3"/>
      <c r="UFT25" s="3"/>
      <c r="UFU25" s="3"/>
      <c r="UFV25" s="3"/>
      <c r="UFW25" s="3"/>
      <c r="UFX25" s="3"/>
      <c r="UFY25" s="3"/>
      <c r="UFZ25" s="3"/>
      <c r="UGA25" s="3"/>
      <c r="UGB25" s="3"/>
      <c r="UGC25" s="3"/>
      <c r="UGD25" s="3"/>
      <c r="UGE25" s="3"/>
      <c r="UGF25" s="3"/>
      <c r="UGG25" s="3"/>
      <c r="UGH25" s="3"/>
      <c r="UGI25" s="3"/>
      <c r="UGJ25" s="3"/>
      <c r="UGK25" s="3"/>
      <c r="UGL25" s="3"/>
      <c r="UGM25" s="3"/>
      <c r="UGN25" s="3"/>
      <c r="UGO25" s="3"/>
      <c r="UGP25" s="3"/>
      <c r="UGQ25" s="3"/>
      <c r="UGR25" s="3"/>
      <c r="UGS25" s="3"/>
      <c r="UGT25" s="3"/>
      <c r="UGU25" s="3"/>
      <c r="UGV25" s="3"/>
      <c r="UGW25" s="3"/>
      <c r="UGX25" s="3"/>
      <c r="UGY25" s="3"/>
      <c r="UGZ25" s="3"/>
      <c r="UHA25" s="3"/>
      <c r="UHB25" s="3"/>
      <c r="UHC25" s="3"/>
      <c r="UHD25" s="3"/>
      <c r="UHE25" s="3"/>
      <c r="UHF25" s="3"/>
      <c r="UHG25" s="3"/>
      <c r="UHH25" s="3"/>
      <c r="UHI25" s="3"/>
      <c r="UHJ25" s="3"/>
      <c r="UHK25" s="3"/>
      <c r="UHL25" s="3"/>
      <c r="UHM25" s="3"/>
      <c r="UHN25" s="3"/>
      <c r="UHO25" s="3"/>
      <c r="UHP25" s="3"/>
      <c r="UHQ25" s="3"/>
      <c r="UHR25" s="3"/>
      <c r="UHS25" s="3"/>
      <c r="UHT25" s="3"/>
      <c r="UHU25" s="3"/>
      <c r="UHV25" s="3"/>
      <c r="UHW25" s="3"/>
      <c r="UHX25" s="3"/>
      <c r="UHY25" s="3"/>
      <c r="UHZ25" s="3"/>
      <c r="UIA25" s="3"/>
      <c r="UIB25" s="3"/>
      <c r="UIC25" s="3"/>
      <c r="UID25" s="3"/>
      <c r="UIE25" s="3"/>
      <c r="UIF25" s="3"/>
      <c r="UIG25" s="3"/>
      <c r="UIH25" s="3"/>
      <c r="UII25" s="3"/>
      <c r="UIJ25" s="3"/>
      <c r="UIK25" s="3"/>
      <c r="UIL25" s="3"/>
      <c r="UIM25" s="3"/>
      <c r="UIN25" s="3"/>
      <c r="UIO25" s="3"/>
      <c r="UIP25" s="3"/>
      <c r="UIQ25" s="3"/>
      <c r="UIR25" s="3"/>
      <c r="UIS25" s="3"/>
      <c r="UIT25" s="3"/>
      <c r="UIU25" s="3"/>
      <c r="UIV25" s="3"/>
      <c r="UIW25" s="3"/>
      <c r="UIX25" s="3"/>
      <c r="UIY25" s="3"/>
      <c r="UIZ25" s="3"/>
      <c r="UJA25" s="3"/>
      <c r="UJB25" s="3"/>
      <c r="UJC25" s="3"/>
      <c r="UJD25" s="3"/>
      <c r="UJE25" s="3"/>
      <c r="UJF25" s="3"/>
      <c r="UJG25" s="3"/>
      <c r="UJH25" s="3"/>
      <c r="UJI25" s="3"/>
      <c r="UJJ25" s="3"/>
      <c r="UJK25" s="3"/>
      <c r="UJL25" s="3"/>
      <c r="UJM25" s="3"/>
      <c r="UJN25" s="3"/>
      <c r="UJO25" s="3"/>
      <c r="UJP25" s="3"/>
      <c r="UJQ25" s="3"/>
      <c r="UJR25" s="3"/>
      <c r="UJS25" s="3"/>
      <c r="UJT25" s="3"/>
      <c r="UJU25" s="3"/>
      <c r="UJV25" s="3"/>
      <c r="UJW25" s="3"/>
      <c r="UJX25" s="3"/>
      <c r="UJY25" s="3"/>
      <c r="UJZ25" s="3"/>
      <c r="UKA25" s="3"/>
      <c r="UKB25" s="3"/>
      <c r="UKC25" s="3"/>
      <c r="UKD25" s="3"/>
      <c r="UKE25" s="3"/>
      <c r="UKF25" s="3"/>
      <c r="UKG25" s="3"/>
      <c r="UKH25" s="3"/>
      <c r="UKI25" s="3"/>
      <c r="UKJ25" s="3"/>
      <c r="UKK25" s="3"/>
      <c r="UKL25" s="3"/>
      <c r="UKM25" s="3"/>
      <c r="UKN25" s="3"/>
      <c r="UKO25" s="3"/>
      <c r="UKP25" s="3"/>
      <c r="UKQ25" s="3"/>
      <c r="UKR25" s="3"/>
      <c r="UKS25" s="3"/>
      <c r="UKT25" s="3"/>
      <c r="UKU25" s="3"/>
      <c r="UKV25" s="3"/>
      <c r="UKW25" s="3"/>
      <c r="UKX25" s="3"/>
      <c r="UKY25" s="3"/>
      <c r="UKZ25" s="3"/>
      <c r="ULA25" s="3"/>
      <c r="ULB25" s="3"/>
      <c r="ULC25" s="3"/>
      <c r="ULD25" s="3"/>
      <c r="ULE25" s="3"/>
      <c r="ULF25" s="3"/>
      <c r="ULG25" s="3"/>
      <c r="ULH25" s="3"/>
      <c r="ULI25" s="3"/>
      <c r="ULJ25" s="3"/>
      <c r="ULK25" s="3"/>
      <c r="ULL25" s="3"/>
      <c r="ULM25" s="3"/>
      <c r="ULN25" s="3"/>
      <c r="ULO25" s="3"/>
      <c r="ULP25" s="3"/>
      <c r="ULQ25" s="3"/>
      <c r="ULR25" s="3"/>
      <c r="ULS25" s="3"/>
      <c r="ULT25" s="3"/>
      <c r="ULU25" s="3"/>
      <c r="ULV25" s="3"/>
      <c r="ULW25" s="3"/>
      <c r="ULX25" s="3"/>
      <c r="ULY25" s="3"/>
      <c r="ULZ25" s="3"/>
      <c r="UMA25" s="3"/>
      <c r="UMB25" s="3"/>
      <c r="UMC25" s="3"/>
      <c r="UMD25" s="3"/>
      <c r="UME25" s="3"/>
      <c r="UMF25" s="3"/>
      <c r="UMG25" s="3"/>
      <c r="UMH25" s="3"/>
      <c r="UMI25" s="3"/>
      <c r="UMJ25" s="3"/>
      <c r="UMK25" s="3"/>
      <c r="UML25" s="3"/>
      <c r="UMM25" s="3"/>
      <c r="UMN25" s="3"/>
      <c r="UMO25" s="3"/>
      <c r="UMP25" s="3"/>
      <c r="UMQ25" s="3"/>
      <c r="UMR25" s="3"/>
      <c r="UMS25" s="3"/>
      <c r="UMT25" s="3"/>
      <c r="UMU25" s="3"/>
      <c r="UMV25" s="3"/>
      <c r="UMW25" s="3"/>
      <c r="UMX25" s="3"/>
      <c r="UMY25" s="3"/>
      <c r="UMZ25" s="3"/>
      <c r="UNA25" s="3"/>
      <c r="UNB25" s="3"/>
      <c r="UNC25" s="3"/>
      <c r="UND25" s="3"/>
      <c r="UNE25" s="3"/>
      <c r="UNF25" s="3"/>
      <c r="UNG25" s="3"/>
      <c r="UNH25" s="3"/>
      <c r="UNI25" s="3"/>
      <c r="UNJ25" s="3"/>
      <c r="UNK25" s="3"/>
      <c r="UNL25" s="3"/>
      <c r="UNM25" s="3"/>
      <c r="UNN25" s="3"/>
      <c r="UNO25" s="3"/>
      <c r="UNP25" s="3"/>
      <c r="UNQ25" s="3"/>
      <c r="UNR25" s="3"/>
      <c r="UNS25" s="3"/>
      <c r="UNT25" s="3"/>
      <c r="UNU25" s="3"/>
      <c r="UNV25" s="3"/>
      <c r="UNW25" s="3"/>
      <c r="UNX25" s="3"/>
      <c r="UNY25" s="3"/>
      <c r="UNZ25" s="3"/>
      <c r="UOA25" s="3"/>
      <c r="UOB25" s="3"/>
      <c r="UOC25" s="3"/>
      <c r="UOD25" s="3"/>
      <c r="UOE25" s="3"/>
      <c r="UOF25" s="3"/>
      <c r="UOG25" s="3"/>
      <c r="UOH25" s="3"/>
      <c r="UOI25" s="3"/>
      <c r="UOJ25" s="3"/>
      <c r="UOK25" s="3"/>
      <c r="UOL25" s="3"/>
      <c r="UOM25" s="3"/>
      <c r="UON25" s="3"/>
      <c r="UOO25" s="3"/>
      <c r="UOP25" s="3"/>
      <c r="UOQ25" s="3"/>
      <c r="UOR25" s="3"/>
      <c r="UOS25" s="3"/>
      <c r="UOT25" s="3"/>
      <c r="UOU25" s="3"/>
      <c r="UOV25" s="3"/>
      <c r="UOW25" s="3"/>
      <c r="UOX25" s="3"/>
      <c r="UOY25" s="3"/>
      <c r="UOZ25" s="3"/>
      <c r="UPA25" s="3"/>
      <c r="UPB25" s="3"/>
      <c r="UPC25" s="3"/>
      <c r="UPD25" s="3"/>
      <c r="UPE25" s="3"/>
      <c r="UPF25" s="3"/>
      <c r="UPG25" s="3"/>
      <c r="UPH25" s="3"/>
      <c r="UPI25" s="3"/>
      <c r="UPJ25" s="3"/>
      <c r="UPK25" s="3"/>
      <c r="UPL25" s="3"/>
      <c r="UPM25" s="3"/>
      <c r="UPN25" s="3"/>
      <c r="UPO25" s="3"/>
      <c r="UPP25" s="3"/>
      <c r="UPQ25" s="3"/>
      <c r="UPR25" s="3"/>
      <c r="UPS25" s="3"/>
      <c r="UPT25" s="3"/>
      <c r="UPU25" s="3"/>
      <c r="UPV25" s="3"/>
      <c r="UPW25" s="3"/>
      <c r="UPX25" s="3"/>
      <c r="UPY25" s="3"/>
      <c r="UPZ25" s="3"/>
      <c r="UQA25" s="3"/>
      <c r="UQB25" s="3"/>
      <c r="UQC25" s="3"/>
      <c r="UQD25" s="3"/>
      <c r="UQE25" s="3"/>
      <c r="UQF25" s="3"/>
      <c r="UQG25" s="3"/>
      <c r="UQH25" s="3"/>
      <c r="UQI25" s="3"/>
      <c r="UQJ25" s="3"/>
      <c r="UQK25" s="3"/>
      <c r="UQL25" s="3"/>
      <c r="UQM25" s="3"/>
      <c r="UQN25" s="3"/>
      <c r="UQO25" s="3"/>
      <c r="UQP25" s="3"/>
      <c r="UQQ25" s="3"/>
      <c r="UQR25" s="3"/>
      <c r="UQS25" s="3"/>
      <c r="UQT25" s="3"/>
      <c r="UQU25" s="3"/>
      <c r="UQV25" s="3"/>
      <c r="UQW25" s="3"/>
      <c r="UQX25" s="3"/>
      <c r="UQY25" s="3"/>
      <c r="UQZ25" s="3"/>
      <c r="URA25" s="3"/>
      <c r="URB25" s="3"/>
      <c r="URC25" s="3"/>
      <c r="URD25" s="3"/>
      <c r="URE25" s="3"/>
      <c r="URF25" s="3"/>
      <c r="URG25" s="3"/>
      <c r="URH25" s="3"/>
      <c r="URI25" s="3"/>
      <c r="URJ25" s="3"/>
      <c r="URK25" s="3"/>
      <c r="URL25" s="3"/>
      <c r="URM25" s="3"/>
      <c r="URN25" s="3"/>
      <c r="URO25" s="3"/>
      <c r="URP25" s="3"/>
      <c r="URQ25" s="3"/>
      <c r="URR25" s="3"/>
      <c r="URS25" s="3"/>
      <c r="URT25" s="3"/>
      <c r="URU25" s="3"/>
      <c r="URV25" s="3"/>
      <c r="URW25" s="3"/>
      <c r="URX25" s="3"/>
      <c r="URY25" s="3"/>
      <c r="URZ25" s="3"/>
      <c r="USA25" s="3"/>
      <c r="USB25" s="3"/>
      <c r="USC25" s="3"/>
      <c r="USD25" s="3"/>
      <c r="USE25" s="3"/>
      <c r="USF25" s="3"/>
      <c r="USG25" s="3"/>
      <c r="USH25" s="3"/>
      <c r="USI25" s="3"/>
      <c r="USJ25" s="3"/>
      <c r="USK25" s="3"/>
      <c r="USL25" s="3"/>
      <c r="USM25" s="3"/>
      <c r="USN25" s="3"/>
      <c r="USO25" s="3"/>
      <c r="USP25" s="3"/>
      <c r="USQ25" s="3"/>
      <c r="USR25" s="3"/>
      <c r="USS25" s="3"/>
      <c r="UST25" s="3"/>
      <c r="USU25" s="3"/>
      <c r="USV25" s="3"/>
      <c r="USW25" s="3"/>
      <c r="USX25" s="3"/>
      <c r="USY25" s="3"/>
      <c r="USZ25" s="3"/>
      <c r="UTA25" s="3"/>
      <c r="UTB25" s="3"/>
      <c r="UTC25" s="3"/>
      <c r="UTD25" s="3"/>
      <c r="UTE25" s="3"/>
      <c r="UTF25" s="3"/>
      <c r="UTG25" s="3"/>
      <c r="UTH25" s="3"/>
      <c r="UTI25" s="3"/>
      <c r="UTJ25" s="3"/>
      <c r="UTK25" s="3"/>
      <c r="UTL25" s="3"/>
      <c r="UTM25" s="3"/>
      <c r="UTN25" s="3"/>
      <c r="UTO25" s="3"/>
      <c r="UTP25" s="3"/>
      <c r="UTQ25" s="3"/>
      <c r="UTR25" s="3"/>
      <c r="UTS25" s="3"/>
      <c r="UTT25" s="3"/>
      <c r="UTU25" s="3"/>
      <c r="UTV25" s="3"/>
      <c r="UTW25" s="3"/>
      <c r="UTX25" s="3"/>
      <c r="UTY25" s="3"/>
      <c r="UTZ25" s="3"/>
      <c r="UUA25" s="3"/>
      <c r="UUB25" s="3"/>
      <c r="UUC25" s="3"/>
      <c r="UUD25" s="3"/>
      <c r="UUE25" s="3"/>
      <c r="UUF25" s="3"/>
      <c r="UUG25" s="3"/>
      <c r="UUH25" s="3"/>
      <c r="UUI25" s="3"/>
      <c r="UUJ25" s="3"/>
      <c r="UUK25" s="3"/>
      <c r="UUL25" s="3"/>
      <c r="UUM25" s="3"/>
      <c r="UUN25" s="3"/>
      <c r="UUO25" s="3"/>
      <c r="UUP25" s="3"/>
      <c r="UUQ25" s="3"/>
      <c r="UUR25" s="3"/>
      <c r="UUS25" s="3"/>
      <c r="UUT25" s="3"/>
      <c r="UUU25" s="3"/>
      <c r="UUV25" s="3"/>
      <c r="UUW25" s="3"/>
      <c r="UUX25" s="3"/>
      <c r="UUY25" s="3"/>
      <c r="UUZ25" s="3"/>
      <c r="UVA25" s="3"/>
      <c r="UVB25" s="3"/>
      <c r="UVC25" s="3"/>
      <c r="UVD25" s="3"/>
      <c r="UVE25" s="3"/>
      <c r="UVF25" s="3"/>
      <c r="UVG25" s="3"/>
      <c r="UVH25" s="3"/>
      <c r="UVI25" s="3"/>
      <c r="UVJ25" s="3"/>
      <c r="UVK25" s="3"/>
      <c r="UVL25" s="3"/>
      <c r="UVM25" s="3"/>
      <c r="UVN25" s="3"/>
      <c r="UVO25" s="3"/>
      <c r="UVP25" s="3"/>
      <c r="UVQ25" s="3"/>
      <c r="UVR25" s="3"/>
      <c r="UVS25" s="3"/>
      <c r="UVT25" s="3"/>
      <c r="UVU25" s="3"/>
      <c r="UVV25" s="3"/>
      <c r="UVW25" s="3"/>
      <c r="UVX25" s="3"/>
      <c r="UVY25" s="3"/>
      <c r="UVZ25" s="3"/>
      <c r="UWA25" s="3"/>
      <c r="UWB25" s="3"/>
      <c r="UWC25" s="3"/>
      <c r="UWD25" s="3"/>
      <c r="UWE25" s="3"/>
      <c r="UWF25" s="3"/>
      <c r="UWG25" s="3"/>
      <c r="UWH25" s="3"/>
      <c r="UWI25" s="3"/>
      <c r="UWJ25" s="3"/>
      <c r="UWK25" s="3"/>
      <c r="UWL25" s="3"/>
      <c r="UWM25" s="3"/>
      <c r="UWN25" s="3"/>
      <c r="UWO25" s="3"/>
      <c r="UWP25" s="3"/>
      <c r="UWQ25" s="3"/>
      <c r="UWR25" s="3"/>
      <c r="UWS25" s="3"/>
      <c r="UWT25" s="3"/>
      <c r="UWU25" s="3"/>
      <c r="UWV25" s="3"/>
      <c r="UWW25" s="3"/>
      <c r="UWX25" s="3"/>
      <c r="UWY25" s="3"/>
      <c r="UWZ25" s="3"/>
      <c r="UXA25" s="3"/>
      <c r="UXB25" s="3"/>
      <c r="UXC25" s="3"/>
      <c r="UXD25" s="3"/>
      <c r="UXE25" s="3"/>
      <c r="UXF25" s="3"/>
      <c r="UXG25" s="3"/>
      <c r="UXH25" s="3"/>
      <c r="UXI25" s="3"/>
      <c r="UXJ25" s="3"/>
      <c r="UXK25" s="3"/>
      <c r="UXL25" s="3"/>
      <c r="UXM25" s="3"/>
      <c r="UXN25" s="3"/>
      <c r="UXO25" s="3"/>
      <c r="UXP25" s="3"/>
      <c r="UXQ25" s="3"/>
      <c r="UXR25" s="3"/>
      <c r="UXS25" s="3"/>
      <c r="UXT25" s="3"/>
      <c r="UXU25" s="3"/>
      <c r="UXV25" s="3"/>
      <c r="UXW25" s="3"/>
      <c r="UXX25" s="3"/>
      <c r="UXY25" s="3"/>
      <c r="UXZ25" s="3"/>
      <c r="UYA25" s="3"/>
      <c r="UYB25" s="3"/>
      <c r="UYC25" s="3"/>
      <c r="UYD25" s="3"/>
      <c r="UYE25" s="3"/>
      <c r="UYF25" s="3"/>
      <c r="UYG25" s="3"/>
      <c r="UYH25" s="3"/>
      <c r="UYI25" s="3"/>
      <c r="UYJ25" s="3"/>
      <c r="UYK25" s="3"/>
      <c r="UYL25" s="3"/>
      <c r="UYM25" s="3"/>
      <c r="UYN25" s="3"/>
      <c r="UYO25" s="3"/>
      <c r="UYP25" s="3"/>
      <c r="UYQ25" s="3"/>
      <c r="UYR25" s="3"/>
      <c r="UYS25" s="3"/>
      <c r="UYT25" s="3"/>
      <c r="UYU25" s="3"/>
      <c r="UYV25" s="3"/>
      <c r="UYW25" s="3"/>
      <c r="UYX25" s="3"/>
      <c r="UYY25" s="3"/>
      <c r="UYZ25" s="3"/>
      <c r="UZA25" s="3"/>
      <c r="UZB25" s="3"/>
      <c r="UZC25" s="3"/>
      <c r="UZD25" s="3"/>
      <c r="UZE25" s="3"/>
      <c r="UZF25" s="3"/>
      <c r="UZG25" s="3"/>
      <c r="UZH25" s="3"/>
      <c r="UZI25" s="3"/>
      <c r="UZJ25" s="3"/>
      <c r="UZK25" s="3"/>
      <c r="UZL25" s="3"/>
      <c r="UZM25" s="3"/>
      <c r="UZN25" s="3"/>
      <c r="UZO25" s="3"/>
      <c r="UZP25" s="3"/>
      <c r="UZQ25" s="3"/>
      <c r="UZR25" s="3"/>
      <c r="UZS25" s="3"/>
      <c r="UZT25" s="3"/>
      <c r="UZU25" s="3"/>
      <c r="UZV25" s="3"/>
      <c r="UZW25" s="3"/>
      <c r="UZX25" s="3"/>
      <c r="UZY25" s="3"/>
      <c r="UZZ25" s="3"/>
      <c r="VAA25" s="3"/>
      <c r="VAB25" s="3"/>
      <c r="VAC25" s="3"/>
      <c r="VAD25" s="3"/>
      <c r="VAE25" s="3"/>
      <c r="VAF25" s="3"/>
      <c r="VAG25" s="3"/>
      <c r="VAH25" s="3"/>
      <c r="VAI25" s="3"/>
      <c r="VAJ25" s="3"/>
      <c r="VAK25" s="3"/>
      <c r="VAL25" s="3"/>
      <c r="VAM25" s="3"/>
      <c r="VAN25" s="3"/>
      <c r="VAO25" s="3"/>
      <c r="VAP25" s="3"/>
      <c r="VAQ25" s="3"/>
      <c r="VAR25" s="3"/>
      <c r="VAS25" s="3"/>
      <c r="VAT25" s="3"/>
      <c r="VAU25" s="3"/>
      <c r="VAV25" s="3"/>
      <c r="VAW25" s="3"/>
      <c r="VAX25" s="3"/>
      <c r="VAY25" s="3"/>
      <c r="VAZ25" s="3"/>
      <c r="VBA25" s="3"/>
      <c r="VBB25" s="3"/>
      <c r="VBC25" s="3"/>
      <c r="VBD25" s="3"/>
      <c r="VBE25" s="3"/>
      <c r="VBF25" s="3"/>
      <c r="VBG25" s="3"/>
      <c r="VBH25" s="3"/>
      <c r="VBI25" s="3"/>
      <c r="VBJ25" s="3"/>
      <c r="VBK25" s="3"/>
      <c r="VBL25" s="3"/>
      <c r="VBM25" s="3"/>
      <c r="VBN25" s="3"/>
      <c r="VBO25" s="3"/>
      <c r="VBP25" s="3"/>
      <c r="VBQ25" s="3"/>
      <c r="VBR25" s="3"/>
      <c r="VBS25" s="3"/>
      <c r="VBT25" s="3"/>
      <c r="VBU25" s="3"/>
      <c r="VBV25" s="3"/>
      <c r="VBW25" s="3"/>
      <c r="VBX25" s="3"/>
      <c r="VBY25" s="3"/>
      <c r="VBZ25" s="3"/>
      <c r="VCA25" s="3"/>
      <c r="VCB25" s="3"/>
      <c r="VCC25" s="3"/>
      <c r="VCD25" s="3"/>
      <c r="VCE25" s="3"/>
      <c r="VCF25" s="3"/>
      <c r="VCG25" s="3"/>
      <c r="VCH25" s="3"/>
      <c r="VCI25" s="3"/>
      <c r="VCJ25" s="3"/>
      <c r="VCK25" s="3"/>
      <c r="VCL25" s="3"/>
      <c r="VCM25" s="3"/>
      <c r="VCN25" s="3"/>
      <c r="VCO25" s="3"/>
      <c r="VCP25" s="3"/>
      <c r="VCQ25" s="3"/>
      <c r="VCR25" s="3"/>
      <c r="VCS25" s="3"/>
      <c r="VCT25" s="3"/>
      <c r="VCU25" s="3"/>
      <c r="VCV25" s="3"/>
      <c r="VCW25" s="3"/>
      <c r="VCX25" s="3"/>
      <c r="VCY25" s="3"/>
      <c r="VCZ25" s="3"/>
      <c r="VDA25" s="3"/>
      <c r="VDB25" s="3"/>
      <c r="VDC25" s="3"/>
      <c r="VDD25" s="3"/>
      <c r="VDE25" s="3"/>
      <c r="VDF25" s="3"/>
      <c r="VDG25" s="3"/>
      <c r="VDH25" s="3"/>
      <c r="VDI25" s="3"/>
      <c r="VDJ25" s="3"/>
      <c r="VDK25" s="3"/>
      <c r="VDL25" s="3"/>
      <c r="VDM25" s="3"/>
      <c r="VDN25" s="3"/>
      <c r="VDO25" s="3"/>
      <c r="VDP25" s="3"/>
      <c r="VDQ25" s="3"/>
      <c r="VDR25" s="3"/>
      <c r="VDS25" s="3"/>
      <c r="VDT25" s="3"/>
      <c r="VDU25" s="3"/>
      <c r="VDV25" s="3"/>
      <c r="VDW25" s="3"/>
      <c r="VDX25" s="3"/>
      <c r="VDY25" s="3"/>
      <c r="VDZ25" s="3"/>
      <c r="VEA25" s="3"/>
      <c r="VEB25" s="3"/>
      <c r="VEC25" s="3"/>
      <c r="VED25" s="3"/>
      <c r="VEE25" s="3"/>
      <c r="VEF25" s="3"/>
      <c r="VEG25" s="3"/>
      <c r="VEH25" s="3"/>
      <c r="VEI25" s="3"/>
      <c r="VEJ25" s="3"/>
      <c r="VEK25" s="3"/>
      <c r="VEL25" s="3"/>
      <c r="VEM25" s="3"/>
      <c r="VEN25" s="3"/>
      <c r="VEO25" s="3"/>
      <c r="VEP25" s="3"/>
      <c r="VEQ25" s="3"/>
      <c r="VER25" s="3"/>
      <c r="VES25" s="3"/>
      <c r="VET25" s="3"/>
      <c r="VEU25" s="3"/>
      <c r="VEV25" s="3"/>
      <c r="VEW25" s="3"/>
      <c r="VEX25" s="3"/>
      <c r="VEY25" s="3"/>
      <c r="VEZ25" s="3"/>
      <c r="VFA25" s="3"/>
      <c r="VFB25" s="3"/>
      <c r="VFC25" s="3"/>
      <c r="VFD25" s="3"/>
      <c r="VFE25" s="3"/>
      <c r="VFF25" s="3"/>
      <c r="VFG25" s="3"/>
      <c r="VFH25" s="3"/>
      <c r="VFI25" s="3"/>
      <c r="VFJ25" s="3"/>
      <c r="VFK25" s="3"/>
      <c r="VFL25" s="3"/>
      <c r="VFM25" s="3"/>
      <c r="VFN25" s="3"/>
      <c r="VFO25" s="3"/>
      <c r="VFP25" s="3"/>
      <c r="VFQ25" s="3"/>
      <c r="VFR25" s="3"/>
      <c r="VFS25" s="3"/>
      <c r="VFT25" s="3"/>
      <c r="VFU25" s="3"/>
      <c r="VFV25" s="3"/>
      <c r="VFW25" s="3"/>
      <c r="VFX25" s="3"/>
      <c r="VFY25" s="3"/>
      <c r="VFZ25" s="3"/>
      <c r="VGA25" s="3"/>
      <c r="VGB25" s="3"/>
      <c r="VGC25" s="3"/>
      <c r="VGD25" s="3"/>
      <c r="VGE25" s="3"/>
      <c r="VGF25" s="3"/>
      <c r="VGG25" s="3"/>
      <c r="VGH25" s="3"/>
      <c r="VGI25" s="3"/>
      <c r="VGJ25" s="3"/>
      <c r="VGK25" s="3"/>
      <c r="VGL25" s="3"/>
      <c r="VGM25" s="3"/>
      <c r="VGN25" s="3"/>
      <c r="VGO25" s="3"/>
      <c r="VGP25" s="3"/>
      <c r="VGQ25" s="3"/>
      <c r="VGR25" s="3"/>
      <c r="VGS25" s="3"/>
      <c r="VGT25" s="3"/>
      <c r="VGU25" s="3"/>
      <c r="VGV25" s="3"/>
      <c r="VGW25" s="3"/>
      <c r="VGX25" s="3"/>
      <c r="VGY25" s="3"/>
      <c r="VGZ25" s="3"/>
      <c r="VHA25" s="3"/>
      <c r="VHB25" s="3"/>
      <c r="VHC25" s="3"/>
      <c r="VHD25" s="3"/>
      <c r="VHE25" s="3"/>
      <c r="VHF25" s="3"/>
      <c r="VHG25" s="3"/>
      <c r="VHH25" s="3"/>
      <c r="VHI25" s="3"/>
      <c r="VHJ25" s="3"/>
      <c r="VHK25" s="3"/>
      <c r="VHL25" s="3"/>
      <c r="VHM25" s="3"/>
      <c r="VHN25" s="3"/>
      <c r="VHO25" s="3"/>
      <c r="VHP25" s="3"/>
      <c r="VHQ25" s="3"/>
      <c r="VHR25" s="3"/>
      <c r="VHS25" s="3"/>
      <c r="VHT25" s="3"/>
      <c r="VHU25" s="3"/>
      <c r="VHV25" s="3"/>
      <c r="VHW25" s="3"/>
      <c r="VHX25" s="3"/>
      <c r="VHY25" s="3"/>
      <c r="VHZ25" s="3"/>
      <c r="VIA25" s="3"/>
      <c r="VIB25" s="3"/>
      <c r="VIC25" s="3"/>
      <c r="VID25" s="3"/>
      <c r="VIE25" s="3"/>
      <c r="VIF25" s="3"/>
      <c r="VIG25" s="3"/>
      <c r="VIH25" s="3"/>
      <c r="VII25" s="3"/>
      <c r="VIJ25" s="3"/>
      <c r="VIK25" s="3"/>
      <c r="VIL25" s="3"/>
      <c r="VIM25" s="3"/>
      <c r="VIN25" s="3"/>
      <c r="VIO25" s="3"/>
      <c r="VIP25" s="3"/>
      <c r="VIQ25" s="3"/>
      <c r="VIR25" s="3"/>
      <c r="VIS25" s="3"/>
      <c r="VIT25" s="3"/>
      <c r="VIU25" s="3"/>
      <c r="VIV25" s="3"/>
      <c r="VIW25" s="3"/>
      <c r="VIX25" s="3"/>
      <c r="VIY25" s="3"/>
      <c r="VIZ25" s="3"/>
      <c r="VJA25" s="3"/>
      <c r="VJB25" s="3"/>
      <c r="VJC25" s="3"/>
      <c r="VJD25" s="3"/>
      <c r="VJE25" s="3"/>
      <c r="VJF25" s="3"/>
      <c r="VJG25" s="3"/>
      <c r="VJH25" s="3"/>
      <c r="VJI25" s="3"/>
      <c r="VJJ25" s="3"/>
      <c r="VJK25" s="3"/>
      <c r="VJL25" s="3"/>
      <c r="VJM25" s="3"/>
      <c r="VJN25" s="3"/>
      <c r="VJO25" s="3"/>
      <c r="VJP25" s="3"/>
      <c r="VJQ25" s="3"/>
      <c r="VJR25" s="3"/>
      <c r="VJS25" s="3"/>
      <c r="VJT25" s="3"/>
      <c r="VJU25" s="3"/>
      <c r="VJV25" s="3"/>
      <c r="VJW25" s="3"/>
      <c r="VJX25" s="3"/>
      <c r="VJY25" s="3"/>
      <c r="VJZ25" s="3"/>
      <c r="VKA25" s="3"/>
      <c r="VKB25" s="3"/>
      <c r="VKC25" s="3"/>
      <c r="VKD25" s="3"/>
      <c r="VKE25" s="3"/>
      <c r="VKF25" s="3"/>
      <c r="VKG25" s="3"/>
      <c r="VKH25" s="3"/>
      <c r="VKI25" s="3"/>
      <c r="VKJ25" s="3"/>
      <c r="VKK25" s="3"/>
      <c r="VKL25" s="3"/>
      <c r="VKM25" s="3"/>
      <c r="VKN25" s="3"/>
      <c r="VKO25" s="3"/>
      <c r="VKP25" s="3"/>
      <c r="VKQ25" s="3"/>
      <c r="VKR25" s="3"/>
      <c r="VKS25" s="3"/>
      <c r="VKT25" s="3"/>
      <c r="VKU25" s="3"/>
      <c r="VKV25" s="3"/>
      <c r="VKW25" s="3"/>
      <c r="VKX25" s="3"/>
      <c r="VKY25" s="3"/>
      <c r="VKZ25" s="3"/>
      <c r="VLA25" s="3"/>
      <c r="VLB25" s="3"/>
      <c r="VLC25" s="3"/>
      <c r="VLD25" s="3"/>
      <c r="VLE25" s="3"/>
      <c r="VLF25" s="3"/>
      <c r="VLG25" s="3"/>
      <c r="VLH25" s="3"/>
      <c r="VLI25" s="3"/>
      <c r="VLJ25" s="3"/>
      <c r="VLK25" s="3"/>
      <c r="VLL25" s="3"/>
      <c r="VLM25" s="3"/>
      <c r="VLN25" s="3"/>
      <c r="VLO25" s="3"/>
      <c r="VLP25" s="3"/>
      <c r="VLQ25" s="3"/>
      <c r="VLR25" s="3"/>
      <c r="VLS25" s="3"/>
      <c r="VLT25" s="3"/>
      <c r="VLU25" s="3"/>
      <c r="VLV25" s="3"/>
      <c r="VLW25" s="3"/>
      <c r="VLX25" s="3"/>
      <c r="VLY25" s="3"/>
      <c r="VLZ25" s="3"/>
      <c r="VMA25" s="3"/>
      <c r="VMB25" s="3"/>
      <c r="VMC25" s="3"/>
      <c r="VMD25" s="3"/>
      <c r="VME25" s="3"/>
      <c r="VMF25" s="3"/>
      <c r="VMG25" s="3"/>
      <c r="VMH25" s="3"/>
      <c r="VMI25" s="3"/>
      <c r="VMJ25" s="3"/>
      <c r="VMK25" s="3"/>
      <c r="VML25" s="3"/>
      <c r="VMM25" s="3"/>
      <c r="VMN25" s="3"/>
      <c r="VMO25" s="3"/>
      <c r="VMP25" s="3"/>
      <c r="VMQ25" s="3"/>
      <c r="VMR25" s="3"/>
      <c r="VMS25" s="3"/>
      <c r="VMT25" s="3"/>
      <c r="VMU25" s="3"/>
      <c r="VMV25" s="3"/>
      <c r="VMW25" s="3"/>
      <c r="VMX25" s="3"/>
      <c r="VMY25" s="3"/>
      <c r="VMZ25" s="3"/>
      <c r="VNA25" s="3"/>
      <c r="VNB25" s="3"/>
      <c r="VNC25" s="3"/>
      <c r="VND25" s="3"/>
      <c r="VNE25" s="3"/>
      <c r="VNF25" s="3"/>
      <c r="VNG25" s="3"/>
      <c r="VNH25" s="3"/>
      <c r="VNI25" s="3"/>
      <c r="VNJ25" s="3"/>
      <c r="VNK25" s="3"/>
      <c r="VNL25" s="3"/>
      <c r="VNM25" s="3"/>
      <c r="VNN25" s="3"/>
      <c r="VNO25" s="3"/>
      <c r="VNP25" s="3"/>
      <c r="VNQ25" s="3"/>
      <c r="VNR25" s="3"/>
      <c r="VNS25" s="3"/>
      <c r="VNT25" s="3"/>
      <c r="VNU25" s="3"/>
      <c r="VNV25" s="3"/>
      <c r="VNW25" s="3"/>
      <c r="VNX25" s="3"/>
      <c r="VNY25" s="3"/>
      <c r="VNZ25" s="3"/>
      <c r="VOA25" s="3"/>
      <c r="VOB25" s="3"/>
      <c r="VOC25" s="3"/>
      <c r="VOD25" s="3"/>
      <c r="VOE25" s="3"/>
      <c r="VOF25" s="3"/>
      <c r="VOG25" s="3"/>
      <c r="VOH25" s="3"/>
      <c r="VOI25" s="3"/>
      <c r="VOJ25" s="3"/>
      <c r="VOK25" s="3"/>
      <c r="VOL25" s="3"/>
      <c r="VOM25" s="3"/>
      <c r="VON25" s="3"/>
      <c r="VOO25" s="3"/>
      <c r="VOP25" s="3"/>
      <c r="VOQ25" s="3"/>
      <c r="VOR25" s="3"/>
      <c r="VOS25" s="3"/>
      <c r="VOT25" s="3"/>
      <c r="VOU25" s="3"/>
      <c r="VOV25" s="3"/>
      <c r="VOW25" s="3"/>
      <c r="VOX25" s="3"/>
      <c r="VOY25" s="3"/>
      <c r="VOZ25" s="3"/>
      <c r="VPA25" s="3"/>
      <c r="VPB25" s="3"/>
      <c r="VPC25" s="3"/>
      <c r="VPD25" s="3"/>
      <c r="VPE25" s="3"/>
      <c r="VPF25" s="3"/>
      <c r="VPG25" s="3"/>
      <c r="VPH25" s="3"/>
      <c r="VPI25" s="3"/>
      <c r="VPJ25" s="3"/>
      <c r="VPK25" s="3"/>
      <c r="VPL25" s="3"/>
      <c r="VPM25" s="3"/>
      <c r="VPN25" s="3"/>
      <c r="VPO25" s="3"/>
      <c r="VPP25" s="3"/>
      <c r="VPQ25" s="3"/>
      <c r="VPR25" s="3"/>
      <c r="VPS25" s="3"/>
      <c r="VPT25" s="3"/>
      <c r="VPU25" s="3"/>
      <c r="VPV25" s="3"/>
      <c r="VPW25" s="3"/>
      <c r="VPX25" s="3"/>
      <c r="VPY25" s="3"/>
      <c r="VPZ25" s="3"/>
      <c r="VQA25" s="3"/>
      <c r="VQB25" s="3"/>
      <c r="VQC25" s="3"/>
      <c r="VQD25" s="3"/>
      <c r="VQE25" s="3"/>
      <c r="VQF25" s="3"/>
      <c r="VQG25" s="3"/>
      <c r="VQH25" s="3"/>
      <c r="VQI25" s="3"/>
      <c r="VQJ25" s="3"/>
      <c r="VQK25" s="3"/>
      <c r="VQL25" s="3"/>
      <c r="VQM25" s="3"/>
      <c r="VQN25" s="3"/>
      <c r="VQO25" s="3"/>
      <c r="VQP25" s="3"/>
      <c r="VQQ25" s="3"/>
      <c r="VQR25" s="3"/>
      <c r="VQS25" s="3"/>
      <c r="VQT25" s="3"/>
      <c r="VQU25" s="3"/>
      <c r="VQV25" s="3"/>
      <c r="VQW25" s="3"/>
      <c r="VQX25" s="3"/>
      <c r="VQY25" s="3"/>
      <c r="VQZ25" s="3"/>
      <c r="VRA25" s="3"/>
      <c r="VRB25" s="3"/>
      <c r="VRC25" s="3"/>
      <c r="VRD25" s="3"/>
      <c r="VRE25" s="3"/>
      <c r="VRF25" s="3"/>
      <c r="VRG25" s="3"/>
      <c r="VRH25" s="3"/>
      <c r="VRI25" s="3"/>
      <c r="VRJ25" s="3"/>
      <c r="VRK25" s="3"/>
      <c r="VRL25" s="3"/>
      <c r="VRM25" s="3"/>
      <c r="VRN25" s="3"/>
      <c r="VRO25" s="3"/>
      <c r="VRP25" s="3"/>
      <c r="VRQ25" s="3"/>
      <c r="VRR25" s="3"/>
      <c r="VRS25" s="3"/>
      <c r="VRT25" s="3"/>
      <c r="VRU25" s="3"/>
      <c r="VRV25" s="3"/>
      <c r="VRW25" s="3"/>
      <c r="VRX25" s="3"/>
      <c r="VRY25" s="3"/>
      <c r="VRZ25" s="3"/>
      <c r="VSA25" s="3"/>
      <c r="VSB25" s="3"/>
      <c r="VSC25" s="3"/>
      <c r="VSD25" s="3"/>
      <c r="VSE25" s="3"/>
      <c r="VSF25" s="3"/>
      <c r="VSG25" s="3"/>
      <c r="VSH25" s="3"/>
      <c r="VSI25" s="3"/>
      <c r="VSJ25" s="3"/>
      <c r="VSK25" s="3"/>
      <c r="VSL25" s="3"/>
      <c r="VSM25" s="3"/>
      <c r="VSN25" s="3"/>
      <c r="VSO25" s="3"/>
      <c r="VSP25" s="3"/>
      <c r="VSQ25" s="3"/>
      <c r="VSR25" s="3"/>
      <c r="VSS25" s="3"/>
      <c r="VST25" s="3"/>
      <c r="VSU25" s="3"/>
      <c r="VSV25" s="3"/>
      <c r="VSW25" s="3"/>
      <c r="VSX25" s="3"/>
      <c r="VSY25" s="3"/>
      <c r="VSZ25" s="3"/>
      <c r="VTA25" s="3"/>
      <c r="VTB25" s="3"/>
      <c r="VTC25" s="3"/>
      <c r="VTD25" s="3"/>
      <c r="VTE25" s="3"/>
      <c r="VTF25" s="3"/>
      <c r="VTG25" s="3"/>
      <c r="VTH25" s="3"/>
      <c r="VTI25" s="3"/>
      <c r="VTJ25" s="3"/>
      <c r="VTK25" s="3"/>
      <c r="VTL25" s="3"/>
      <c r="VTM25" s="3"/>
      <c r="VTN25" s="3"/>
      <c r="VTO25" s="3"/>
      <c r="VTP25" s="3"/>
      <c r="VTQ25" s="3"/>
      <c r="VTR25" s="3"/>
      <c r="VTS25" s="3"/>
      <c r="VTT25" s="3"/>
      <c r="VTU25" s="3"/>
      <c r="VTV25" s="3"/>
      <c r="VTW25" s="3"/>
      <c r="VTX25" s="3"/>
      <c r="VTY25" s="3"/>
      <c r="VTZ25" s="3"/>
      <c r="VUA25" s="3"/>
      <c r="VUB25" s="3"/>
      <c r="VUC25" s="3"/>
      <c r="VUD25" s="3"/>
      <c r="VUE25" s="3"/>
      <c r="VUF25" s="3"/>
      <c r="VUG25" s="3"/>
      <c r="VUH25" s="3"/>
      <c r="VUI25" s="3"/>
      <c r="VUJ25" s="3"/>
      <c r="VUK25" s="3"/>
      <c r="VUL25" s="3"/>
      <c r="VUM25" s="3"/>
      <c r="VUN25" s="3"/>
      <c r="VUO25" s="3"/>
      <c r="VUP25" s="3"/>
      <c r="VUQ25" s="3"/>
      <c r="VUR25" s="3"/>
      <c r="VUS25" s="3"/>
      <c r="VUT25" s="3"/>
      <c r="VUU25" s="3"/>
      <c r="VUV25" s="3"/>
      <c r="VUW25" s="3"/>
      <c r="VUX25" s="3"/>
      <c r="VUY25" s="3"/>
      <c r="VUZ25" s="3"/>
      <c r="VVA25" s="3"/>
      <c r="VVB25" s="3"/>
      <c r="VVC25" s="3"/>
      <c r="VVD25" s="3"/>
      <c r="VVE25" s="3"/>
      <c r="VVF25" s="3"/>
      <c r="VVG25" s="3"/>
      <c r="VVH25" s="3"/>
      <c r="VVI25" s="3"/>
      <c r="VVJ25" s="3"/>
      <c r="VVK25" s="3"/>
      <c r="VVL25" s="3"/>
      <c r="VVM25" s="3"/>
      <c r="VVN25" s="3"/>
      <c r="VVO25" s="3"/>
      <c r="VVP25" s="3"/>
      <c r="VVQ25" s="3"/>
      <c r="VVR25" s="3"/>
      <c r="VVS25" s="3"/>
      <c r="VVT25" s="3"/>
      <c r="VVU25" s="3"/>
      <c r="VVV25" s="3"/>
      <c r="VVW25" s="3"/>
      <c r="VVX25" s="3"/>
      <c r="VVY25" s="3"/>
      <c r="VVZ25" s="3"/>
      <c r="VWA25" s="3"/>
      <c r="VWB25" s="3"/>
      <c r="VWC25" s="3"/>
      <c r="VWD25" s="3"/>
      <c r="VWE25" s="3"/>
      <c r="VWF25" s="3"/>
      <c r="VWG25" s="3"/>
      <c r="VWH25" s="3"/>
      <c r="VWI25" s="3"/>
      <c r="VWJ25" s="3"/>
      <c r="VWK25" s="3"/>
      <c r="VWL25" s="3"/>
      <c r="VWM25" s="3"/>
      <c r="VWN25" s="3"/>
      <c r="VWO25" s="3"/>
      <c r="VWP25" s="3"/>
      <c r="VWQ25" s="3"/>
      <c r="VWR25" s="3"/>
      <c r="VWS25" s="3"/>
      <c r="VWT25" s="3"/>
      <c r="VWU25" s="3"/>
      <c r="VWV25" s="3"/>
      <c r="VWW25" s="3"/>
      <c r="VWX25" s="3"/>
      <c r="VWY25" s="3"/>
      <c r="VWZ25" s="3"/>
      <c r="VXA25" s="3"/>
      <c r="VXB25" s="3"/>
      <c r="VXC25" s="3"/>
      <c r="VXD25" s="3"/>
      <c r="VXE25" s="3"/>
      <c r="VXF25" s="3"/>
      <c r="VXG25" s="3"/>
      <c r="VXH25" s="3"/>
      <c r="VXI25" s="3"/>
      <c r="VXJ25" s="3"/>
      <c r="VXK25" s="3"/>
      <c r="VXL25" s="3"/>
      <c r="VXM25" s="3"/>
      <c r="VXN25" s="3"/>
      <c r="VXO25" s="3"/>
      <c r="VXP25" s="3"/>
      <c r="VXQ25" s="3"/>
      <c r="VXR25" s="3"/>
      <c r="VXS25" s="3"/>
      <c r="VXT25" s="3"/>
      <c r="VXU25" s="3"/>
      <c r="VXV25" s="3"/>
      <c r="VXW25" s="3"/>
      <c r="VXX25" s="3"/>
      <c r="VXY25" s="3"/>
      <c r="VXZ25" s="3"/>
      <c r="VYA25" s="3"/>
      <c r="VYB25" s="3"/>
      <c r="VYC25" s="3"/>
      <c r="VYD25" s="3"/>
      <c r="VYE25" s="3"/>
      <c r="VYF25" s="3"/>
      <c r="VYG25" s="3"/>
      <c r="VYH25" s="3"/>
      <c r="VYI25" s="3"/>
      <c r="VYJ25" s="3"/>
      <c r="VYK25" s="3"/>
      <c r="VYL25" s="3"/>
      <c r="VYM25" s="3"/>
      <c r="VYN25" s="3"/>
      <c r="VYO25" s="3"/>
      <c r="VYP25" s="3"/>
      <c r="VYQ25" s="3"/>
      <c r="VYR25" s="3"/>
      <c r="VYS25" s="3"/>
      <c r="VYT25" s="3"/>
      <c r="VYU25" s="3"/>
      <c r="VYV25" s="3"/>
      <c r="VYW25" s="3"/>
      <c r="VYX25" s="3"/>
      <c r="VYY25" s="3"/>
      <c r="VYZ25" s="3"/>
      <c r="VZA25" s="3"/>
      <c r="VZB25" s="3"/>
      <c r="VZC25" s="3"/>
      <c r="VZD25" s="3"/>
      <c r="VZE25" s="3"/>
      <c r="VZF25" s="3"/>
      <c r="VZG25" s="3"/>
      <c r="VZH25" s="3"/>
      <c r="VZI25" s="3"/>
      <c r="VZJ25" s="3"/>
      <c r="VZK25" s="3"/>
      <c r="VZL25" s="3"/>
      <c r="VZM25" s="3"/>
      <c r="VZN25" s="3"/>
      <c r="VZO25" s="3"/>
      <c r="VZP25" s="3"/>
      <c r="VZQ25" s="3"/>
      <c r="VZR25" s="3"/>
      <c r="VZS25" s="3"/>
      <c r="VZT25" s="3"/>
      <c r="VZU25" s="3"/>
      <c r="VZV25" s="3"/>
      <c r="VZW25" s="3"/>
      <c r="VZX25" s="3"/>
      <c r="VZY25" s="3"/>
      <c r="VZZ25" s="3"/>
      <c r="WAA25" s="3"/>
      <c r="WAB25" s="3"/>
      <c r="WAC25" s="3"/>
      <c r="WAD25" s="3"/>
      <c r="WAE25" s="3"/>
      <c r="WAF25" s="3"/>
      <c r="WAG25" s="3"/>
      <c r="WAH25" s="3"/>
      <c r="WAI25" s="3"/>
      <c r="WAJ25" s="3"/>
      <c r="WAK25" s="3"/>
      <c r="WAL25" s="3"/>
      <c r="WAM25" s="3"/>
      <c r="WAN25" s="3"/>
      <c r="WAO25" s="3"/>
      <c r="WAP25" s="3"/>
      <c r="WAQ25" s="3"/>
      <c r="WAR25" s="3"/>
      <c r="WAS25" s="3"/>
      <c r="WAT25" s="3"/>
      <c r="WAU25" s="3"/>
      <c r="WAV25" s="3"/>
      <c r="WAW25" s="3"/>
      <c r="WAX25" s="3"/>
      <c r="WAY25" s="3"/>
      <c r="WAZ25" s="3"/>
      <c r="WBA25" s="3"/>
      <c r="WBB25" s="3"/>
      <c r="WBC25" s="3"/>
      <c r="WBD25" s="3"/>
      <c r="WBE25" s="3"/>
      <c r="WBF25" s="3"/>
      <c r="WBG25" s="3"/>
      <c r="WBH25" s="3"/>
      <c r="WBI25" s="3"/>
      <c r="WBJ25" s="3"/>
      <c r="WBK25" s="3"/>
      <c r="WBL25" s="3"/>
      <c r="WBM25" s="3"/>
      <c r="WBN25" s="3"/>
      <c r="WBO25" s="3"/>
      <c r="WBP25" s="3"/>
      <c r="WBQ25" s="3"/>
      <c r="WBR25" s="3"/>
      <c r="WBS25" s="3"/>
      <c r="WBT25" s="3"/>
      <c r="WBU25" s="3"/>
      <c r="WBV25" s="3"/>
      <c r="WBW25" s="3"/>
      <c r="WBX25" s="3"/>
      <c r="WBY25" s="3"/>
      <c r="WBZ25" s="3"/>
      <c r="WCA25" s="3"/>
      <c r="WCB25" s="3"/>
      <c r="WCC25" s="3"/>
      <c r="WCD25" s="3"/>
      <c r="WCE25" s="3"/>
      <c r="WCF25" s="3"/>
      <c r="WCG25" s="3"/>
      <c r="WCH25" s="3"/>
      <c r="WCI25" s="3"/>
      <c r="WCJ25" s="3"/>
      <c r="WCK25" s="3"/>
      <c r="WCL25" s="3"/>
      <c r="WCM25" s="3"/>
      <c r="WCN25" s="3"/>
      <c r="WCO25" s="3"/>
      <c r="WCP25" s="3"/>
      <c r="WCQ25" s="3"/>
      <c r="WCR25" s="3"/>
      <c r="WCS25" s="3"/>
      <c r="WCT25" s="3"/>
      <c r="WCU25" s="3"/>
      <c r="WCV25" s="3"/>
      <c r="WCW25" s="3"/>
      <c r="WCX25" s="3"/>
      <c r="WCY25" s="3"/>
      <c r="WCZ25" s="3"/>
      <c r="WDA25" s="3"/>
      <c r="WDB25" s="3"/>
      <c r="WDC25" s="3"/>
      <c r="WDD25" s="3"/>
      <c r="WDE25" s="3"/>
      <c r="WDF25" s="3"/>
      <c r="WDG25" s="3"/>
      <c r="WDH25" s="3"/>
      <c r="WDI25" s="3"/>
      <c r="WDJ25" s="3"/>
      <c r="WDK25" s="3"/>
      <c r="WDL25" s="3"/>
      <c r="WDM25" s="3"/>
      <c r="WDN25" s="3"/>
      <c r="WDO25" s="3"/>
      <c r="WDP25" s="3"/>
      <c r="WDQ25" s="3"/>
      <c r="WDR25" s="3"/>
      <c r="WDS25" s="3"/>
      <c r="WDT25" s="3"/>
      <c r="WDU25" s="3"/>
      <c r="WDV25" s="3"/>
      <c r="WDW25" s="3"/>
      <c r="WDX25" s="3"/>
      <c r="WDY25" s="3"/>
      <c r="WDZ25" s="3"/>
      <c r="WEA25" s="3"/>
      <c r="WEB25" s="3"/>
      <c r="WEC25" s="3"/>
      <c r="WED25" s="3"/>
      <c r="WEE25" s="3"/>
      <c r="WEF25" s="3"/>
      <c r="WEG25" s="3"/>
      <c r="WEH25" s="3"/>
      <c r="WEI25" s="3"/>
      <c r="WEJ25" s="3"/>
      <c r="WEK25" s="3"/>
      <c r="WEL25" s="3"/>
      <c r="WEM25" s="3"/>
      <c r="WEN25" s="3"/>
      <c r="WEO25" s="3"/>
      <c r="WEP25" s="3"/>
      <c r="WEQ25" s="3"/>
      <c r="WER25" s="3"/>
      <c r="WES25" s="3"/>
      <c r="WET25" s="3"/>
      <c r="WEU25" s="3"/>
      <c r="WEV25" s="3"/>
      <c r="WEW25" s="3"/>
      <c r="WEX25" s="3"/>
      <c r="WEY25" s="3"/>
      <c r="WEZ25" s="3"/>
      <c r="WFA25" s="3"/>
      <c r="WFB25" s="3"/>
      <c r="WFC25" s="3"/>
      <c r="WFD25" s="3"/>
      <c r="WFE25" s="3"/>
      <c r="WFF25" s="3"/>
      <c r="WFG25" s="3"/>
      <c r="WFH25" s="3"/>
      <c r="WFI25" s="3"/>
      <c r="WFJ25" s="3"/>
      <c r="WFK25" s="3"/>
      <c r="WFL25" s="3"/>
      <c r="WFM25" s="3"/>
      <c r="WFN25" s="3"/>
      <c r="WFO25" s="3"/>
      <c r="WFP25" s="3"/>
      <c r="WFQ25" s="3"/>
      <c r="WFR25" s="3"/>
      <c r="WFS25" s="3"/>
      <c r="WFT25" s="3"/>
      <c r="WFU25" s="3"/>
      <c r="WFV25" s="3"/>
      <c r="WFW25" s="3"/>
      <c r="WFX25" s="3"/>
      <c r="WFY25" s="3"/>
      <c r="WFZ25" s="3"/>
      <c r="WGA25" s="3"/>
      <c r="WGB25" s="3"/>
      <c r="WGC25" s="3"/>
      <c r="WGD25" s="3"/>
      <c r="WGE25" s="3"/>
      <c r="WGF25" s="3"/>
      <c r="WGG25" s="3"/>
      <c r="WGH25" s="3"/>
      <c r="WGI25" s="3"/>
      <c r="WGJ25" s="3"/>
      <c r="WGK25" s="3"/>
      <c r="WGL25" s="3"/>
      <c r="WGM25" s="3"/>
      <c r="WGN25" s="3"/>
      <c r="WGO25" s="3"/>
      <c r="WGP25" s="3"/>
      <c r="WGQ25" s="3"/>
      <c r="WGR25" s="3"/>
      <c r="WGS25" s="3"/>
      <c r="WGT25" s="3"/>
      <c r="WGU25" s="3"/>
      <c r="WGV25" s="3"/>
      <c r="WGW25" s="3"/>
      <c r="WGX25" s="3"/>
      <c r="WGY25" s="3"/>
      <c r="WGZ25" s="3"/>
      <c r="WHA25" s="3"/>
      <c r="WHB25" s="3"/>
      <c r="WHC25" s="3"/>
      <c r="WHD25" s="3"/>
      <c r="WHE25" s="3"/>
      <c r="WHF25" s="3"/>
      <c r="WHG25" s="3"/>
      <c r="WHH25" s="3"/>
      <c r="WHI25" s="3"/>
      <c r="WHJ25" s="3"/>
      <c r="WHK25" s="3"/>
      <c r="WHL25" s="3"/>
      <c r="WHM25" s="3"/>
      <c r="WHN25" s="3"/>
      <c r="WHO25" s="3"/>
      <c r="WHP25" s="3"/>
      <c r="WHQ25" s="3"/>
      <c r="WHR25" s="3"/>
      <c r="WHS25" s="3"/>
      <c r="WHT25" s="3"/>
      <c r="WHU25" s="3"/>
      <c r="WHV25" s="3"/>
      <c r="WHW25" s="3"/>
      <c r="WHX25" s="3"/>
      <c r="WHY25" s="3"/>
      <c r="WHZ25" s="3"/>
      <c r="WIA25" s="3"/>
      <c r="WIB25" s="3"/>
      <c r="WIC25" s="3"/>
      <c r="WID25" s="3"/>
      <c r="WIE25" s="3"/>
      <c r="WIF25" s="3"/>
      <c r="WIG25" s="3"/>
      <c r="WIH25" s="3"/>
      <c r="WII25" s="3"/>
      <c r="WIJ25" s="3"/>
      <c r="WIK25" s="3"/>
      <c r="WIL25" s="3"/>
      <c r="WIM25" s="3"/>
      <c r="WIN25" s="3"/>
      <c r="WIO25" s="3"/>
      <c r="WIP25" s="3"/>
      <c r="WIQ25" s="3"/>
      <c r="WIR25" s="3"/>
      <c r="WIS25" s="3"/>
      <c r="WIT25" s="3"/>
      <c r="WIU25" s="3"/>
      <c r="WIV25" s="3"/>
      <c r="WIW25" s="3"/>
      <c r="WIX25" s="3"/>
      <c r="WIY25" s="3"/>
      <c r="WIZ25" s="3"/>
      <c r="WJA25" s="3"/>
      <c r="WJB25" s="3"/>
      <c r="WJC25" s="3"/>
      <c r="WJD25" s="3"/>
      <c r="WJE25" s="3"/>
      <c r="WJF25" s="3"/>
      <c r="WJG25" s="3"/>
      <c r="WJH25" s="3"/>
      <c r="WJI25" s="3"/>
      <c r="WJJ25" s="3"/>
      <c r="WJK25" s="3"/>
      <c r="WJL25" s="3"/>
      <c r="WJM25" s="3"/>
      <c r="WJN25" s="3"/>
      <c r="WJO25" s="3"/>
      <c r="WJP25" s="3"/>
      <c r="WJQ25" s="3"/>
      <c r="WJR25" s="3"/>
      <c r="WJS25" s="3"/>
      <c r="WJT25" s="3"/>
      <c r="WJU25" s="3"/>
      <c r="WJV25" s="3"/>
      <c r="WJW25" s="3"/>
      <c r="WJX25" s="3"/>
      <c r="WJY25" s="3"/>
      <c r="WJZ25" s="3"/>
      <c r="WKA25" s="3"/>
      <c r="WKB25" s="3"/>
      <c r="WKC25" s="3"/>
      <c r="WKD25" s="3"/>
      <c r="WKE25" s="3"/>
      <c r="WKF25" s="3"/>
      <c r="WKG25" s="3"/>
      <c r="WKH25" s="3"/>
      <c r="WKI25" s="3"/>
      <c r="WKJ25" s="3"/>
      <c r="WKK25" s="3"/>
      <c r="WKL25" s="3"/>
      <c r="WKM25" s="3"/>
      <c r="WKN25" s="3"/>
      <c r="WKO25" s="3"/>
      <c r="WKP25" s="3"/>
      <c r="WKQ25" s="3"/>
      <c r="WKR25" s="3"/>
      <c r="WKS25" s="3"/>
      <c r="WKT25" s="3"/>
      <c r="WKU25" s="3"/>
      <c r="WKV25" s="3"/>
      <c r="WKW25" s="3"/>
      <c r="WKX25" s="3"/>
      <c r="WKY25" s="3"/>
      <c r="WKZ25" s="3"/>
      <c r="WLA25" s="3"/>
      <c r="WLB25" s="3"/>
      <c r="WLC25" s="3"/>
      <c r="WLD25" s="3"/>
      <c r="WLE25" s="3"/>
      <c r="WLF25" s="3"/>
      <c r="WLG25" s="3"/>
      <c r="WLH25" s="3"/>
      <c r="WLI25" s="3"/>
      <c r="WLJ25" s="3"/>
      <c r="WLK25" s="3"/>
      <c r="WLL25" s="3"/>
      <c r="WLM25" s="3"/>
      <c r="WLN25" s="3"/>
      <c r="WLO25" s="3"/>
      <c r="WLP25" s="3"/>
      <c r="WLQ25" s="3"/>
      <c r="WLR25" s="3"/>
      <c r="WLS25" s="3"/>
      <c r="WLT25" s="3"/>
      <c r="WLU25" s="3"/>
      <c r="WLV25" s="3"/>
      <c r="WLW25" s="3"/>
      <c r="WLX25" s="3"/>
      <c r="WLY25" s="3"/>
      <c r="WLZ25" s="3"/>
      <c r="WMA25" s="3"/>
      <c r="WMB25" s="3"/>
      <c r="WMC25" s="3"/>
      <c r="WMD25" s="3"/>
      <c r="WME25" s="3"/>
      <c r="WMF25" s="3"/>
      <c r="WMG25" s="3"/>
      <c r="WMH25" s="3"/>
      <c r="WMI25" s="3"/>
      <c r="WMJ25" s="3"/>
      <c r="WMK25" s="3"/>
      <c r="WML25" s="3"/>
      <c r="WMM25" s="3"/>
      <c r="WMN25" s="3"/>
      <c r="WMO25" s="3"/>
      <c r="WMP25" s="3"/>
      <c r="WMQ25" s="3"/>
      <c r="WMR25" s="3"/>
      <c r="WMS25" s="3"/>
      <c r="WMT25" s="3"/>
      <c r="WMU25" s="3"/>
      <c r="WMV25" s="3"/>
      <c r="WMW25" s="3"/>
      <c r="WMX25" s="3"/>
      <c r="WMY25" s="3"/>
      <c r="WMZ25" s="3"/>
      <c r="WNA25" s="3"/>
      <c r="WNB25" s="3"/>
      <c r="WNC25" s="3"/>
      <c r="WND25" s="3"/>
      <c r="WNE25" s="3"/>
      <c r="WNF25" s="3"/>
      <c r="WNG25" s="3"/>
      <c r="WNH25" s="3"/>
      <c r="WNI25" s="3"/>
      <c r="WNJ25" s="3"/>
      <c r="WNK25" s="3"/>
      <c r="WNL25" s="3"/>
      <c r="WNM25" s="3"/>
      <c r="WNN25" s="3"/>
      <c r="WNO25" s="3"/>
      <c r="WNP25" s="3"/>
      <c r="WNQ25" s="3"/>
      <c r="WNR25" s="3"/>
      <c r="WNS25" s="3"/>
      <c r="WNT25" s="3"/>
      <c r="WNU25" s="3"/>
      <c r="WNV25" s="3"/>
      <c r="WNW25" s="3"/>
      <c r="WNX25" s="3"/>
      <c r="WNY25" s="3"/>
      <c r="WNZ25" s="3"/>
      <c r="WOA25" s="3"/>
      <c r="WOB25" s="3"/>
      <c r="WOC25" s="3"/>
      <c r="WOD25" s="3"/>
      <c r="WOE25" s="3"/>
      <c r="WOF25" s="3"/>
      <c r="WOG25" s="3"/>
      <c r="WOH25" s="3"/>
      <c r="WOI25" s="3"/>
      <c r="WOJ25" s="3"/>
      <c r="WOK25" s="3"/>
      <c r="WOL25" s="3"/>
      <c r="WOM25" s="3"/>
      <c r="WON25" s="3"/>
      <c r="WOO25" s="3"/>
      <c r="WOP25" s="3"/>
      <c r="WOQ25" s="3"/>
      <c r="WOR25" s="3"/>
      <c r="WOS25" s="3"/>
      <c r="WOT25" s="3"/>
      <c r="WOU25" s="3"/>
      <c r="WOV25" s="3"/>
      <c r="WOW25" s="3"/>
      <c r="WOX25" s="3"/>
      <c r="WOY25" s="3"/>
      <c r="WOZ25" s="3"/>
      <c r="WPA25" s="3"/>
      <c r="WPB25" s="3"/>
      <c r="WPC25" s="3"/>
      <c r="WPD25" s="3"/>
      <c r="WPE25" s="3"/>
      <c r="WPF25" s="3"/>
      <c r="WPG25" s="3"/>
      <c r="WPH25" s="3"/>
      <c r="WPI25" s="3"/>
      <c r="WPJ25" s="3"/>
      <c r="WPK25" s="3"/>
      <c r="WPL25" s="3"/>
      <c r="WPM25" s="3"/>
      <c r="WPN25" s="3"/>
      <c r="WPO25" s="3"/>
      <c r="WPP25" s="3"/>
      <c r="WPQ25" s="3"/>
      <c r="WPR25" s="3"/>
      <c r="WPS25" s="3"/>
      <c r="WPT25" s="3"/>
      <c r="WPU25" s="3"/>
      <c r="WPV25" s="3"/>
      <c r="WPW25" s="3"/>
      <c r="WPX25" s="3"/>
      <c r="WPY25" s="3"/>
      <c r="WPZ25" s="3"/>
      <c r="WQA25" s="3"/>
      <c r="WQB25" s="3"/>
      <c r="WQC25" s="3"/>
      <c r="WQD25" s="3"/>
      <c r="WQE25" s="3"/>
      <c r="WQF25" s="3"/>
      <c r="WQG25" s="3"/>
      <c r="WQH25" s="3"/>
      <c r="WQI25" s="3"/>
      <c r="WQJ25" s="3"/>
      <c r="WQK25" s="3"/>
      <c r="WQL25" s="3"/>
      <c r="WQM25" s="3"/>
      <c r="WQN25" s="3"/>
      <c r="WQO25" s="3"/>
      <c r="WQP25" s="3"/>
      <c r="WQQ25" s="3"/>
      <c r="WQR25" s="3"/>
      <c r="WQS25" s="3"/>
      <c r="WQT25" s="3"/>
      <c r="WQU25" s="3"/>
      <c r="WQV25" s="3"/>
      <c r="WQW25" s="3"/>
      <c r="WQX25" s="3"/>
      <c r="WQY25" s="3"/>
      <c r="WQZ25" s="3"/>
      <c r="WRA25" s="3"/>
      <c r="WRB25" s="3"/>
      <c r="WRC25" s="3"/>
      <c r="WRD25" s="3"/>
      <c r="WRE25" s="3"/>
      <c r="WRF25" s="3"/>
      <c r="WRG25" s="3"/>
      <c r="WRH25" s="3"/>
      <c r="WRI25" s="3"/>
      <c r="WRJ25" s="3"/>
      <c r="WRK25" s="3"/>
      <c r="WRL25" s="3"/>
      <c r="WRM25" s="3"/>
      <c r="WRN25" s="3"/>
      <c r="WRO25" s="3"/>
      <c r="WRP25" s="3"/>
      <c r="WRQ25" s="3"/>
      <c r="WRR25" s="3"/>
      <c r="WRS25" s="3"/>
      <c r="WRT25" s="3"/>
      <c r="WRU25" s="3"/>
      <c r="WRV25" s="3"/>
      <c r="WRW25" s="3"/>
      <c r="WRX25" s="3"/>
      <c r="WRY25" s="3"/>
      <c r="WRZ25" s="3"/>
      <c r="WSA25" s="3"/>
      <c r="WSB25" s="3"/>
      <c r="WSC25" s="3"/>
      <c r="WSD25" s="3"/>
      <c r="WSE25" s="3"/>
      <c r="WSF25" s="3"/>
      <c r="WSG25" s="3"/>
      <c r="WSH25" s="3"/>
      <c r="WSI25" s="3"/>
      <c r="WSJ25" s="3"/>
      <c r="WSK25" s="3"/>
      <c r="WSL25" s="3"/>
      <c r="WSM25" s="3"/>
      <c r="WSN25" s="3"/>
      <c r="WSO25" s="3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1:16384" s="1" customFormat="1">
      <c r="A26" s="3"/>
      <c r="B26" s="10" t="s">
        <v>134</v>
      </c>
      <c r="C26" s="10" t="s">
        <v>135</v>
      </c>
      <c r="D26" s="10" t="s">
        <v>13</v>
      </c>
      <c r="E26" s="10" t="s">
        <v>136</v>
      </c>
      <c r="F26" s="10" t="s">
        <v>137</v>
      </c>
      <c r="G26" s="10" t="s">
        <v>136</v>
      </c>
      <c r="H26" s="10" t="s">
        <v>137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1:16384" s="3" customFormat="1">
      <c r="B27" s="11">
        <v>104</v>
      </c>
      <c r="C27" s="12">
        <v>1767925</v>
      </c>
      <c r="D27" s="13">
        <f>C27/(SUM(C27:C30))*100</f>
        <v>99.6149336332426</v>
      </c>
      <c r="E27" s="287">
        <v>4.75</v>
      </c>
      <c r="F27" s="288">
        <v>2.0099999999999998</v>
      </c>
      <c r="G27" s="13">
        <v>4.3499999999999996</v>
      </c>
      <c r="H27" s="13">
        <v>2.0499999999999998</v>
      </c>
      <c r="J27" s="19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1:16384" s="3" customFormat="1">
      <c r="B28" s="11">
        <v>105</v>
      </c>
      <c r="C28" s="12">
        <v>6834</v>
      </c>
      <c r="D28" s="13">
        <f>C28/(SUM(C27:C30))*100</f>
        <v>0.38506636675740197</v>
      </c>
      <c r="E28" s="287"/>
      <c r="F28" s="288"/>
      <c r="G28" s="13">
        <v>6.06</v>
      </c>
      <c r="H28" s="13">
        <v>1.91</v>
      </c>
      <c r="J28" s="19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1:16384">
      <c r="B29" s="11">
        <v>106</v>
      </c>
      <c r="C29" s="12">
        <v>0</v>
      </c>
      <c r="D29" s="13">
        <f>C29/(SUM(C27:C30))*100</f>
        <v>0</v>
      </c>
      <c r="E29" s="287"/>
      <c r="F29" s="288"/>
      <c r="G29" s="13"/>
      <c r="H29" s="13"/>
      <c r="J29" s="19"/>
    </row>
    <row r="30" spans="1:16384" s="1" customFormat="1">
      <c r="A30" s="3"/>
      <c r="B30" s="11">
        <v>107</v>
      </c>
      <c r="C30" s="12">
        <v>0</v>
      </c>
      <c r="D30" s="13">
        <f>C30/(SUM(C27:C30))*100</f>
        <v>0</v>
      </c>
      <c r="E30" s="287"/>
      <c r="F30" s="288"/>
      <c r="G30" s="13"/>
      <c r="H30" s="13"/>
      <c r="I30" s="3"/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3"/>
      <c r="AFG30" s="3"/>
      <c r="AFH30" s="3"/>
      <c r="AFI30" s="3"/>
      <c r="AFJ30" s="3"/>
      <c r="AFK30" s="3"/>
      <c r="AFL30" s="3"/>
      <c r="AFM30" s="3"/>
      <c r="AFN30" s="3"/>
      <c r="AFO30" s="3"/>
      <c r="AFP30" s="3"/>
      <c r="AFQ30" s="3"/>
      <c r="AFR30" s="3"/>
      <c r="AFS30" s="3"/>
      <c r="AFT30" s="3"/>
      <c r="AFU30" s="3"/>
      <c r="AFV30" s="3"/>
      <c r="AFW30" s="3"/>
      <c r="AFX30" s="3"/>
      <c r="AFY30" s="3"/>
      <c r="AFZ30" s="3"/>
      <c r="AGA30" s="3"/>
      <c r="AGB30" s="3"/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3"/>
      <c r="AGR30" s="3"/>
      <c r="AGS30" s="3"/>
      <c r="AGT30" s="3"/>
      <c r="AGU30" s="3"/>
      <c r="AGV30" s="3"/>
      <c r="AGW30" s="3"/>
      <c r="AGX30" s="3"/>
      <c r="AGY30" s="3"/>
      <c r="AGZ30" s="3"/>
      <c r="AHA30" s="3"/>
      <c r="AHB30" s="3"/>
      <c r="AHC30" s="3"/>
      <c r="AHD30" s="3"/>
      <c r="AHE30" s="3"/>
      <c r="AHF30" s="3"/>
      <c r="AHG30" s="3"/>
      <c r="AHH30" s="3"/>
      <c r="AHI30" s="3"/>
      <c r="AHJ30" s="3"/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3"/>
      <c r="AIJ30" s="3"/>
      <c r="AIK30" s="3"/>
      <c r="AIL30" s="3"/>
      <c r="AIM30" s="3"/>
      <c r="AIN30" s="3"/>
      <c r="AIO30" s="3"/>
      <c r="AIP30" s="3"/>
      <c r="AIQ30" s="3"/>
      <c r="AIR30" s="3"/>
      <c r="AIS30" s="3"/>
      <c r="AIT30" s="3"/>
      <c r="AIU30" s="3"/>
      <c r="AIV30" s="3"/>
      <c r="AIW30" s="3"/>
      <c r="AIX30" s="3"/>
      <c r="AIY30" s="3"/>
      <c r="AIZ30" s="3"/>
      <c r="AJA30" s="3"/>
      <c r="AJB30" s="3"/>
      <c r="AJC30" s="3"/>
      <c r="AJD30" s="3"/>
      <c r="AJE30" s="3"/>
      <c r="AJF30" s="3"/>
      <c r="AJG30" s="3"/>
      <c r="AJH30" s="3"/>
      <c r="AJI30" s="3"/>
      <c r="AJJ30" s="3"/>
      <c r="AJK30" s="3"/>
      <c r="AJL30" s="3"/>
      <c r="AJM30" s="3"/>
      <c r="AJN30" s="3"/>
      <c r="AJO30" s="3"/>
      <c r="AJP30" s="3"/>
      <c r="AJQ30" s="3"/>
      <c r="AJR30" s="3"/>
      <c r="AJS30" s="3"/>
      <c r="AJT30" s="3"/>
      <c r="AJU30" s="3"/>
      <c r="AJV30" s="3"/>
      <c r="AJW30" s="3"/>
      <c r="AJX30" s="3"/>
      <c r="AJY30" s="3"/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3"/>
      <c r="AKU30" s="3"/>
      <c r="AKV30" s="3"/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/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3"/>
      <c r="AXS30" s="3"/>
      <c r="AXT30" s="3"/>
      <c r="AXU30" s="3"/>
      <c r="AXV30" s="3"/>
      <c r="AXW30" s="3"/>
      <c r="AXX30" s="3"/>
      <c r="AXY30" s="3"/>
      <c r="AXZ30" s="3"/>
      <c r="AYA30" s="3"/>
      <c r="AYB30" s="3"/>
      <c r="AYC30" s="3"/>
      <c r="AYD30" s="3"/>
      <c r="AYE30" s="3"/>
      <c r="AYF30" s="3"/>
      <c r="AYG30" s="3"/>
      <c r="AYH30" s="3"/>
      <c r="AYI30" s="3"/>
      <c r="AYJ30" s="3"/>
      <c r="AYK30" s="3"/>
      <c r="AYL30" s="3"/>
      <c r="AYM30" s="3"/>
      <c r="AYN30" s="3"/>
      <c r="AYO30" s="3"/>
      <c r="AYP30" s="3"/>
      <c r="AYQ30" s="3"/>
      <c r="AYR30" s="3"/>
      <c r="AYS30" s="3"/>
      <c r="AYT30" s="3"/>
      <c r="AYU30" s="3"/>
      <c r="AYV30" s="3"/>
      <c r="AYW30" s="3"/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3"/>
      <c r="AZO30" s="3"/>
      <c r="AZP30" s="3"/>
      <c r="AZQ30" s="3"/>
      <c r="AZR30" s="3"/>
      <c r="AZS30" s="3"/>
      <c r="AZT30" s="3"/>
      <c r="AZU30" s="3"/>
      <c r="AZV30" s="3"/>
      <c r="AZW30" s="3"/>
      <c r="AZX30" s="3"/>
      <c r="AZY30" s="3"/>
      <c r="AZZ30" s="3"/>
      <c r="BAA30" s="3"/>
      <c r="BAB30" s="3"/>
      <c r="BAC30" s="3"/>
      <c r="BAD30" s="3"/>
      <c r="BAE30" s="3"/>
      <c r="BAF30" s="3"/>
      <c r="BAG30" s="3"/>
      <c r="BAH30" s="3"/>
      <c r="BAI30" s="3"/>
      <c r="BAJ30" s="3"/>
      <c r="BAK30" s="3"/>
      <c r="BAL30" s="3"/>
      <c r="BAM30" s="3"/>
      <c r="BAN30" s="3"/>
      <c r="BAO30" s="3"/>
      <c r="BAP30" s="3"/>
      <c r="BAQ30" s="3"/>
      <c r="BAR30" s="3"/>
      <c r="BAS30" s="3"/>
      <c r="BAT30" s="3"/>
      <c r="BAU30" s="3"/>
      <c r="BAV30" s="3"/>
      <c r="BAW30" s="3"/>
      <c r="BAX30" s="3"/>
      <c r="BAY30" s="3"/>
      <c r="BAZ30" s="3"/>
      <c r="BBA30" s="3"/>
      <c r="BBB30" s="3"/>
      <c r="BBC30" s="3"/>
      <c r="BBD30" s="3"/>
      <c r="BBE30" s="3"/>
      <c r="BBF30" s="3"/>
      <c r="BBG30" s="3"/>
      <c r="BBH30" s="3"/>
      <c r="BBI30" s="3"/>
      <c r="BBJ30" s="3"/>
      <c r="BBK30" s="3"/>
      <c r="BBL30" s="3"/>
      <c r="BBM30" s="3"/>
      <c r="BBN30" s="3"/>
      <c r="BBO30" s="3"/>
      <c r="BBP30" s="3"/>
      <c r="BBQ30" s="3"/>
      <c r="BBR30" s="3"/>
      <c r="BBS30" s="3"/>
      <c r="BBT30" s="3"/>
      <c r="BBU30" s="3"/>
      <c r="BBV30" s="3"/>
      <c r="BBW30" s="3"/>
      <c r="BBX30" s="3"/>
      <c r="BBY30" s="3"/>
      <c r="BBZ30" s="3"/>
      <c r="BCA30" s="3"/>
      <c r="BCB30" s="3"/>
      <c r="BCC30" s="3"/>
      <c r="BCD30" s="3"/>
      <c r="BCE30" s="3"/>
      <c r="BCF30" s="3"/>
      <c r="BCG30" s="3"/>
      <c r="BCH30" s="3"/>
      <c r="BCI30" s="3"/>
      <c r="BCJ30" s="3"/>
      <c r="BCK30" s="3"/>
      <c r="BCL30" s="3"/>
      <c r="BCM30" s="3"/>
      <c r="BCN30" s="3"/>
      <c r="BCO30" s="3"/>
      <c r="BCP30" s="3"/>
      <c r="BCQ30" s="3"/>
      <c r="BCR30" s="3"/>
      <c r="BCS30" s="3"/>
      <c r="BCT30" s="3"/>
      <c r="BCU30" s="3"/>
      <c r="BCV30" s="3"/>
      <c r="BCW30" s="3"/>
      <c r="BCX30" s="3"/>
      <c r="BCY30" s="3"/>
      <c r="BCZ30" s="3"/>
      <c r="BDA30" s="3"/>
      <c r="BDB30" s="3"/>
      <c r="BDC30" s="3"/>
      <c r="BDD30" s="3"/>
      <c r="BDE30" s="3"/>
      <c r="BDF30" s="3"/>
      <c r="BDG30" s="3"/>
      <c r="BDH30" s="3"/>
      <c r="BDI30" s="3"/>
      <c r="BDJ30" s="3"/>
      <c r="BDK30" s="3"/>
      <c r="BDL30" s="3"/>
      <c r="BDM30" s="3"/>
      <c r="BDN30" s="3"/>
      <c r="BDO30" s="3"/>
      <c r="BDP30" s="3"/>
      <c r="BDQ30" s="3"/>
      <c r="BDR30" s="3"/>
      <c r="BDS30" s="3"/>
      <c r="BDT30" s="3"/>
      <c r="BDU30" s="3"/>
      <c r="BDV30" s="3"/>
      <c r="BDW30" s="3"/>
      <c r="BDX30" s="3"/>
      <c r="BDY30" s="3"/>
      <c r="BDZ30" s="3"/>
      <c r="BEA30" s="3"/>
      <c r="BEB30" s="3"/>
      <c r="BEC30" s="3"/>
      <c r="BED30" s="3"/>
      <c r="BEE30" s="3"/>
      <c r="BEF30" s="3"/>
      <c r="BEG30" s="3"/>
      <c r="BEH30" s="3"/>
      <c r="BEI30" s="3"/>
      <c r="BEJ30" s="3"/>
      <c r="BEK30" s="3"/>
      <c r="BEL30" s="3"/>
      <c r="BEM30" s="3"/>
      <c r="BEN30" s="3"/>
      <c r="BEO30" s="3"/>
      <c r="BEP30" s="3"/>
      <c r="BEQ30" s="3"/>
      <c r="BER30" s="3"/>
      <c r="BES30" s="3"/>
      <c r="BET30" s="3"/>
      <c r="BEU30" s="3"/>
      <c r="BEV30" s="3"/>
      <c r="BEW30" s="3"/>
      <c r="BEX30" s="3"/>
      <c r="BEY30" s="3"/>
      <c r="BEZ30" s="3"/>
      <c r="BFA30" s="3"/>
      <c r="BFB30" s="3"/>
      <c r="BFC30" s="3"/>
      <c r="BFD30" s="3"/>
      <c r="BFE30" s="3"/>
      <c r="BFF30" s="3"/>
      <c r="BFG30" s="3"/>
      <c r="BFH30" s="3"/>
      <c r="BFI30" s="3"/>
      <c r="BFJ30" s="3"/>
      <c r="BFK30" s="3"/>
      <c r="BFL30" s="3"/>
      <c r="BFM30" s="3"/>
      <c r="BFN30" s="3"/>
      <c r="BFO30" s="3"/>
      <c r="BFP30" s="3"/>
      <c r="BFQ30" s="3"/>
      <c r="BFR30" s="3"/>
      <c r="BFS30" s="3"/>
      <c r="BFT30" s="3"/>
      <c r="BFU30" s="3"/>
      <c r="BFV30" s="3"/>
      <c r="BFW30" s="3"/>
      <c r="BFX30" s="3"/>
      <c r="BFY30" s="3"/>
      <c r="BFZ30" s="3"/>
      <c r="BGA30" s="3"/>
      <c r="BGB30" s="3"/>
      <c r="BGC30" s="3"/>
      <c r="BGD30" s="3"/>
      <c r="BGE30" s="3"/>
      <c r="BGF30" s="3"/>
      <c r="BGG30" s="3"/>
      <c r="BGH30" s="3"/>
      <c r="BGI30" s="3"/>
      <c r="BGJ30" s="3"/>
      <c r="BGK30" s="3"/>
      <c r="BGL30" s="3"/>
      <c r="BGM30" s="3"/>
      <c r="BGN30" s="3"/>
      <c r="BGO30" s="3"/>
      <c r="BGP30" s="3"/>
      <c r="BGQ30" s="3"/>
      <c r="BGR30" s="3"/>
      <c r="BGS30" s="3"/>
      <c r="BGT30" s="3"/>
      <c r="BGU30" s="3"/>
      <c r="BGV30" s="3"/>
      <c r="BGW30" s="3"/>
      <c r="BGX30" s="3"/>
      <c r="BGY30" s="3"/>
      <c r="BGZ30" s="3"/>
      <c r="BHA30" s="3"/>
      <c r="BHB30" s="3"/>
      <c r="BHC30" s="3"/>
      <c r="BHD30" s="3"/>
      <c r="BHE30" s="3"/>
      <c r="BHF30" s="3"/>
      <c r="BHG30" s="3"/>
      <c r="BHH30" s="3"/>
      <c r="BHI30" s="3"/>
      <c r="BHJ30" s="3"/>
      <c r="BHK30" s="3"/>
      <c r="BHL30" s="3"/>
      <c r="BHM30" s="3"/>
      <c r="BHN30" s="3"/>
      <c r="BHO30" s="3"/>
      <c r="BHP30" s="3"/>
      <c r="BHQ30" s="3"/>
      <c r="BHR30" s="3"/>
      <c r="BHS30" s="3"/>
      <c r="BHT30" s="3"/>
      <c r="BHU30" s="3"/>
      <c r="BHV30" s="3"/>
      <c r="BHW30" s="3"/>
      <c r="BHX30" s="3"/>
      <c r="BHY30" s="3"/>
      <c r="BHZ30" s="3"/>
      <c r="BIA30" s="3"/>
      <c r="BIB30" s="3"/>
      <c r="BIC30" s="3"/>
      <c r="BID30" s="3"/>
      <c r="BIE30" s="3"/>
      <c r="BIF30" s="3"/>
      <c r="BIG30" s="3"/>
      <c r="BIH30" s="3"/>
      <c r="BII30" s="3"/>
      <c r="BIJ30" s="3"/>
      <c r="BIK30" s="3"/>
      <c r="BIL30" s="3"/>
      <c r="BIM30" s="3"/>
      <c r="BIN30" s="3"/>
      <c r="BIO30" s="3"/>
      <c r="BIP30" s="3"/>
      <c r="BIQ30" s="3"/>
      <c r="BIR30" s="3"/>
      <c r="BIS30" s="3"/>
      <c r="BIT30" s="3"/>
      <c r="BIU30" s="3"/>
      <c r="BIV30" s="3"/>
      <c r="BIW30" s="3"/>
      <c r="BIX30" s="3"/>
      <c r="BIY30" s="3"/>
      <c r="BIZ30" s="3"/>
      <c r="BJA30" s="3"/>
      <c r="BJB30" s="3"/>
      <c r="BJC30" s="3"/>
      <c r="BJD30" s="3"/>
      <c r="BJE30" s="3"/>
      <c r="BJF30" s="3"/>
      <c r="BJG30" s="3"/>
      <c r="BJH30" s="3"/>
      <c r="BJI30" s="3"/>
      <c r="BJJ30" s="3"/>
      <c r="BJK30" s="3"/>
      <c r="BJL30" s="3"/>
      <c r="BJM30" s="3"/>
      <c r="BJN30" s="3"/>
      <c r="BJO30" s="3"/>
      <c r="BJP30" s="3"/>
      <c r="BJQ30" s="3"/>
      <c r="BJR30" s="3"/>
      <c r="BJS30" s="3"/>
      <c r="BJT30" s="3"/>
      <c r="BJU30" s="3"/>
      <c r="BJV30" s="3"/>
      <c r="BJW30" s="3"/>
      <c r="BJX30" s="3"/>
      <c r="BJY30" s="3"/>
      <c r="BJZ30" s="3"/>
      <c r="BKA30" s="3"/>
      <c r="BKB30" s="3"/>
      <c r="BKC30" s="3"/>
      <c r="BKD30" s="3"/>
      <c r="BKE30" s="3"/>
      <c r="BKF30" s="3"/>
      <c r="BKG30" s="3"/>
      <c r="BKH30" s="3"/>
      <c r="BKI30" s="3"/>
      <c r="BKJ30" s="3"/>
      <c r="BKK30" s="3"/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  <c r="BYA30" s="3"/>
      <c r="BYB30" s="3"/>
      <c r="BYC30" s="3"/>
      <c r="BYD30" s="3"/>
      <c r="BYE30" s="3"/>
      <c r="BYF30" s="3"/>
      <c r="BYG30" s="3"/>
      <c r="BYH30" s="3"/>
      <c r="BYI30" s="3"/>
      <c r="BYJ30" s="3"/>
      <c r="BYK30" s="3"/>
      <c r="BYL30" s="3"/>
      <c r="BYM30" s="3"/>
      <c r="BYN30" s="3"/>
      <c r="BYO30" s="3"/>
      <c r="BYP30" s="3"/>
      <c r="BYQ30" s="3"/>
      <c r="BYR30" s="3"/>
      <c r="BYS30" s="3"/>
      <c r="BYT30" s="3"/>
      <c r="BYU30" s="3"/>
      <c r="BYV30" s="3"/>
      <c r="BYW30" s="3"/>
      <c r="BYX30" s="3"/>
      <c r="BYY30" s="3"/>
      <c r="BYZ30" s="3"/>
      <c r="BZA30" s="3"/>
      <c r="BZB30" s="3"/>
      <c r="BZC30" s="3"/>
      <c r="BZD30" s="3"/>
      <c r="BZE30" s="3"/>
      <c r="BZF30" s="3"/>
      <c r="BZG30" s="3"/>
      <c r="BZH30" s="3"/>
      <c r="BZI30" s="3"/>
      <c r="BZJ30" s="3"/>
      <c r="BZK30" s="3"/>
      <c r="BZL30" s="3"/>
      <c r="BZM30" s="3"/>
      <c r="BZN30" s="3"/>
      <c r="BZO30" s="3"/>
      <c r="BZP30" s="3"/>
      <c r="BZQ30" s="3"/>
      <c r="BZR30" s="3"/>
      <c r="BZS30" s="3"/>
      <c r="BZT30" s="3"/>
      <c r="BZU30" s="3"/>
      <c r="BZV30" s="3"/>
      <c r="BZW30" s="3"/>
      <c r="BZX30" s="3"/>
      <c r="BZY30" s="3"/>
      <c r="BZZ30" s="3"/>
      <c r="CAA30" s="3"/>
      <c r="CAB30" s="3"/>
      <c r="CAC30" s="3"/>
      <c r="CAD30" s="3"/>
      <c r="CAE30" s="3"/>
      <c r="CAF30" s="3"/>
      <c r="CAG30" s="3"/>
      <c r="CAH30" s="3"/>
      <c r="CAI30" s="3"/>
      <c r="CAJ30" s="3"/>
      <c r="CAK30" s="3"/>
      <c r="CAL30" s="3"/>
      <c r="CAM30" s="3"/>
      <c r="CAN30" s="3"/>
      <c r="CAO30" s="3"/>
      <c r="CAP30" s="3"/>
      <c r="CAQ30" s="3"/>
      <c r="CAR30" s="3"/>
      <c r="CAS30" s="3"/>
      <c r="CAT30" s="3"/>
      <c r="CAU30" s="3"/>
      <c r="CAV30" s="3"/>
      <c r="CAW30" s="3"/>
      <c r="CAX30" s="3"/>
      <c r="CAY30" s="3"/>
      <c r="CAZ30" s="3"/>
      <c r="CBA30" s="3"/>
      <c r="CBB30" s="3"/>
      <c r="CBC30" s="3"/>
      <c r="CBD30" s="3"/>
      <c r="CBE30" s="3"/>
      <c r="CBF30" s="3"/>
      <c r="CBG30" s="3"/>
      <c r="CBH30" s="3"/>
      <c r="CBI30" s="3"/>
      <c r="CBJ30" s="3"/>
      <c r="CBK30" s="3"/>
      <c r="CBL30" s="3"/>
      <c r="CBM30" s="3"/>
      <c r="CBN30" s="3"/>
      <c r="CBO30" s="3"/>
      <c r="CBP30" s="3"/>
      <c r="CBQ30" s="3"/>
      <c r="CBR30" s="3"/>
      <c r="CBS30" s="3"/>
      <c r="CBT30" s="3"/>
      <c r="CBU30" s="3"/>
      <c r="CBV30" s="3"/>
      <c r="CBW30" s="3"/>
      <c r="CBX30" s="3"/>
      <c r="CBY30" s="3"/>
      <c r="CBZ30" s="3"/>
      <c r="CCA30" s="3"/>
      <c r="CCB30" s="3"/>
      <c r="CCC30" s="3"/>
      <c r="CCD30" s="3"/>
      <c r="CCE30" s="3"/>
      <c r="CCF30" s="3"/>
      <c r="CCG30" s="3"/>
      <c r="CCH30" s="3"/>
      <c r="CCI30" s="3"/>
      <c r="CCJ30" s="3"/>
      <c r="CCK30" s="3"/>
      <c r="CCL30" s="3"/>
      <c r="CCM30" s="3"/>
      <c r="CCN30" s="3"/>
      <c r="CCO30" s="3"/>
      <c r="CCP30" s="3"/>
      <c r="CCQ30" s="3"/>
      <c r="CCR30" s="3"/>
      <c r="CCS30" s="3"/>
      <c r="CCT30" s="3"/>
      <c r="CCU30" s="3"/>
      <c r="CCV30" s="3"/>
      <c r="CCW30" s="3"/>
      <c r="CCX30" s="3"/>
      <c r="CCY30" s="3"/>
      <c r="CCZ30" s="3"/>
      <c r="CDA30" s="3"/>
      <c r="CDB30" s="3"/>
      <c r="CDC30" s="3"/>
      <c r="CDD30" s="3"/>
      <c r="CDE30" s="3"/>
      <c r="CDF30" s="3"/>
      <c r="CDG30" s="3"/>
      <c r="CDH30" s="3"/>
      <c r="CDI30" s="3"/>
      <c r="CDJ30" s="3"/>
      <c r="CDK30" s="3"/>
      <c r="CDL30" s="3"/>
      <c r="CDM30" s="3"/>
      <c r="CDN30" s="3"/>
      <c r="CDO30" s="3"/>
      <c r="CDP30" s="3"/>
      <c r="CDQ30" s="3"/>
      <c r="CDR30" s="3"/>
      <c r="CDS30" s="3"/>
      <c r="CDT30" s="3"/>
      <c r="CDU30" s="3"/>
      <c r="CDV30" s="3"/>
      <c r="CDW30" s="3"/>
      <c r="CDX30" s="3"/>
      <c r="CDY30" s="3"/>
      <c r="CDZ30" s="3"/>
      <c r="CEA30" s="3"/>
      <c r="CEB30" s="3"/>
      <c r="CEC30" s="3"/>
      <c r="CED30" s="3"/>
      <c r="CEE30" s="3"/>
      <c r="CEF30" s="3"/>
      <c r="CEG30" s="3"/>
      <c r="CEH30" s="3"/>
      <c r="CEI30" s="3"/>
      <c r="CEJ30" s="3"/>
      <c r="CEK30" s="3"/>
      <c r="CEL30" s="3"/>
      <c r="CEM30" s="3"/>
      <c r="CEN30" s="3"/>
      <c r="CEO30" s="3"/>
      <c r="CEP30" s="3"/>
      <c r="CEQ30" s="3"/>
      <c r="CER30" s="3"/>
      <c r="CES30" s="3"/>
      <c r="CET30" s="3"/>
      <c r="CEU30" s="3"/>
      <c r="CEV30" s="3"/>
      <c r="CEW30" s="3"/>
      <c r="CEX30" s="3"/>
      <c r="CEY30" s="3"/>
      <c r="CEZ30" s="3"/>
      <c r="CFA30" s="3"/>
      <c r="CFB30" s="3"/>
      <c r="CFC30" s="3"/>
      <c r="CFD30" s="3"/>
      <c r="CFE30" s="3"/>
      <c r="CFF30" s="3"/>
      <c r="CFG30" s="3"/>
      <c r="CFH30" s="3"/>
      <c r="CFI30" s="3"/>
      <c r="CFJ30" s="3"/>
      <c r="CFK30" s="3"/>
      <c r="CFL30" s="3"/>
      <c r="CFM30" s="3"/>
      <c r="CFN30" s="3"/>
      <c r="CFO30" s="3"/>
      <c r="CFP30" s="3"/>
      <c r="CFQ30" s="3"/>
      <c r="CFR30" s="3"/>
      <c r="CFS30" s="3"/>
      <c r="CFT30" s="3"/>
      <c r="CFU30" s="3"/>
      <c r="CFV30" s="3"/>
      <c r="CFW30" s="3"/>
      <c r="CFX30" s="3"/>
      <c r="CFY30" s="3"/>
      <c r="CFZ30" s="3"/>
      <c r="CGA30" s="3"/>
      <c r="CGB30" s="3"/>
      <c r="CGC30" s="3"/>
      <c r="CGD30" s="3"/>
      <c r="CGE30" s="3"/>
      <c r="CGF30" s="3"/>
      <c r="CGG30" s="3"/>
      <c r="CGH30" s="3"/>
      <c r="CGI30" s="3"/>
      <c r="CGJ30" s="3"/>
      <c r="CGK30" s="3"/>
      <c r="CGL30" s="3"/>
      <c r="CGM30" s="3"/>
      <c r="CGN30" s="3"/>
      <c r="CGO30" s="3"/>
      <c r="CGP30" s="3"/>
      <c r="CGQ30" s="3"/>
      <c r="CGR30" s="3"/>
      <c r="CGS30" s="3"/>
      <c r="CGT30" s="3"/>
      <c r="CGU30" s="3"/>
      <c r="CGV30" s="3"/>
      <c r="CGW30" s="3"/>
      <c r="CGX30" s="3"/>
      <c r="CGY30" s="3"/>
      <c r="CGZ30" s="3"/>
      <c r="CHA30" s="3"/>
      <c r="CHB30" s="3"/>
      <c r="CHC30" s="3"/>
      <c r="CHD30" s="3"/>
      <c r="CHE30" s="3"/>
      <c r="CHF30" s="3"/>
      <c r="CHG30" s="3"/>
      <c r="CHH30" s="3"/>
      <c r="CHI30" s="3"/>
      <c r="CHJ30" s="3"/>
      <c r="CHK30" s="3"/>
      <c r="CHL30" s="3"/>
      <c r="CHM30" s="3"/>
      <c r="CHN30" s="3"/>
      <c r="CHO30" s="3"/>
      <c r="CHP30" s="3"/>
      <c r="CHQ30" s="3"/>
      <c r="CHR30" s="3"/>
      <c r="CHS30" s="3"/>
      <c r="CHT30" s="3"/>
      <c r="CHU30" s="3"/>
      <c r="CHV30" s="3"/>
      <c r="CHW30" s="3"/>
      <c r="CHX30" s="3"/>
      <c r="CHY30" s="3"/>
      <c r="CHZ30" s="3"/>
      <c r="CIA30" s="3"/>
      <c r="CIB30" s="3"/>
      <c r="CIC30" s="3"/>
      <c r="CID30" s="3"/>
      <c r="CIE30" s="3"/>
      <c r="CIF30" s="3"/>
      <c r="CIG30" s="3"/>
      <c r="CIH30" s="3"/>
      <c r="CII30" s="3"/>
      <c r="CIJ30" s="3"/>
      <c r="CIK30" s="3"/>
      <c r="CIL30" s="3"/>
      <c r="CIM30" s="3"/>
      <c r="CIN30" s="3"/>
      <c r="CIO30" s="3"/>
      <c r="CIP30" s="3"/>
      <c r="CIQ30" s="3"/>
      <c r="CIR30" s="3"/>
      <c r="CIS30" s="3"/>
      <c r="CIT30" s="3"/>
      <c r="CIU30" s="3"/>
      <c r="CIV30" s="3"/>
      <c r="CIW30" s="3"/>
      <c r="CIX30" s="3"/>
      <c r="CIY30" s="3"/>
      <c r="CIZ30" s="3"/>
      <c r="CJA30" s="3"/>
      <c r="CJB30" s="3"/>
      <c r="CJC30" s="3"/>
      <c r="CJD30" s="3"/>
      <c r="CJE30" s="3"/>
      <c r="CJF30" s="3"/>
      <c r="CJG30" s="3"/>
      <c r="CJH30" s="3"/>
      <c r="CJI30" s="3"/>
      <c r="CJJ30" s="3"/>
      <c r="CJK30" s="3"/>
      <c r="CJL30" s="3"/>
      <c r="CJM30" s="3"/>
      <c r="CJN30" s="3"/>
      <c r="CJO30" s="3"/>
      <c r="CJP30" s="3"/>
      <c r="CJQ30" s="3"/>
      <c r="CJR30" s="3"/>
      <c r="CJS30" s="3"/>
      <c r="CJT30" s="3"/>
      <c r="CJU30" s="3"/>
      <c r="CJV30" s="3"/>
      <c r="CJW30" s="3"/>
      <c r="CJX30" s="3"/>
      <c r="CJY30" s="3"/>
      <c r="CJZ30" s="3"/>
      <c r="CKA30" s="3"/>
      <c r="CKB30" s="3"/>
      <c r="CKC30" s="3"/>
      <c r="CKD30" s="3"/>
      <c r="CKE30" s="3"/>
      <c r="CKF30" s="3"/>
      <c r="CKG30" s="3"/>
      <c r="CKH30" s="3"/>
      <c r="CKI30" s="3"/>
      <c r="CKJ30" s="3"/>
      <c r="CKK30" s="3"/>
      <c r="CKL30" s="3"/>
      <c r="CKM30" s="3"/>
      <c r="CKN30" s="3"/>
      <c r="CKO30" s="3"/>
      <c r="CKP30" s="3"/>
      <c r="CKQ30" s="3"/>
      <c r="CKR30" s="3"/>
      <c r="CKS30" s="3"/>
      <c r="CKT30" s="3"/>
      <c r="CKU30" s="3"/>
      <c r="CKV30" s="3"/>
      <c r="CKW30" s="3"/>
      <c r="CKX30" s="3"/>
      <c r="CKY30" s="3"/>
      <c r="CKZ30" s="3"/>
      <c r="CLA30" s="3"/>
      <c r="CLB30" s="3"/>
      <c r="CLC30" s="3"/>
      <c r="CLD30" s="3"/>
      <c r="CLE30" s="3"/>
      <c r="CLF30" s="3"/>
      <c r="CLG30" s="3"/>
      <c r="CLH30" s="3"/>
      <c r="CLI30" s="3"/>
      <c r="CLJ30" s="3"/>
      <c r="CLK30" s="3"/>
      <c r="CLL30" s="3"/>
      <c r="CLM30" s="3"/>
      <c r="CLN30" s="3"/>
      <c r="CLO30" s="3"/>
      <c r="CLP30" s="3"/>
      <c r="CLQ30" s="3"/>
      <c r="CLR30" s="3"/>
      <c r="CLS30" s="3"/>
      <c r="CLT30" s="3"/>
      <c r="CLU30" s="3"/>
      <c r="CLV30" s="3"/>
      <c r="CLW30" s="3"/>
      <c r="CLX30" s="3"/>
      <c r="CLY30" s="3"/>
      <c r="CLZ30" s="3"/>
      <c r="CMA30" s="3"/>
      <c r="CMB30" s="3"/>
      <c r="CMC30" s="3"/>
      <c r="CMD30" s="3"/>
      <c r="CME30" s="3"/>
      <c r="CMF30" s="3"/>
      <c r="CMG30" s="3"/>
      <c r="CMH30" s="3"/>
      <c r="CMI30" s="3"/>
      <c r="CMJ30" s="3"/>
      <c r="CMK30" s="3"/>
      <c r="CML30" s="3"/>
      <c r="CMM30" s="3"/>
      <c r="CMN30" s="3"/>
      <c r="CMO30" s="3"/>
      <c r="CMP30" s="3"/>
      <c r="CMQ30" s="3"/>
      <c r="CMR30" s="3"/>
      <c r="CMS30" s="3"/>
      <c r="CMT30" s="3"/>
      <c r="CMU30" s="3"/>
      <c r="CMV30" s="3"/>
      <c r="CMW30" s="3"/>
      <c r="CMX30" s="3"/>
      <c r="CMY30" s="3"/>
      <c r="CMZ30" s="3"/>
      <c r="CNA30" s="3"/>
      <c r="CNB30" s="3"/>
      <c r="CNC30" s="3"/>
      <c r="CND30" s="3"/>
      <c r="CNE30" s="3"/>
      <c r="CNF30" s="3"/>
      <c r="CNG30" s="3"/>
      <c r="CNH30" s="3"/>
      <c r="CNI30" s="3"/>
      <c r="CNJ30" s="3"/>
      <c r="CNK30" s="3"/>
      <c r="CNL30" s="3"/>
      <c r="CNM30" s="3"/>
      <c r="CNN30" s="3"/>
      <c r="CNO30" s="3"/>
      <c r="CNP30" s="3"/>
      <c r="CNQ30" s="3"/>
      <c r="CNR30" s="3"/>
      <c r="CNS30" s="3"/>
      <c r="CNT30" s="3"/>
      <c r="CNU30" s="3"/>
      <c r="CNV30" s="3"/>
      <c r="CNW30" s="3"/>
      <c r="CNX30" s="3"/>
      <c r="CNY30" s="3"/>
      <c r="CNZ30" s="3"/>
      <c r="COA30" s="3"/>
      <c r="COB30" s="3"/>
      <c r="COC30" s="3"/>
      <c r="COD30" s="3"/>
      <c r="COE30" s="3"/>
      <c r="COF30" s="3"/>
      <c r="COG30" s="3"/>
      <c r="COH30" s="3"/>
      <c r="COI30" s="3"/>
      <c r="COJ30" s="3"/>
      <c r="COK30" s="3"/>
      <c r="COL30" s="3"/>
      <c r="COM30" s="3"/>
      <c r="CON30" s="3"/>
      <c r="COO30" s="3"/>
      <c r="COP30" s="3"/>
      <c r="COQ30" s="3"/>
      <c r="COR30" s="3"/>
      <c r="COS30" s="3"/>
      <c r="COT30" s="3"/>
      <c r="COU30" s="3"/>
      <c r="COV30" s="3"/>
      <c r="COW30" s="3"/>
      <c r="COX30" s="3"/>
      <c r="COY30" s="3"/>
      <c r="COZ30" s="3"/>
      <c r="CPA30" s="3"/>
      <c r="CPB30" s="3"/>
      <c r="CPC30" s="3"/>
      <c r="CPD30" s="3"/>
      <c r="CPE30" s="3"/>
      <c r="CPF30" s="3"/>
      <c r="CPG30" s="3"/>
      <c r="CPH30" s="3"/>
      <c r="CPI30" s="3"/>
      <c r="CPJ30" s="3"/>
      <c r="CPK30" s="3"/>
      <c r="CPL30" s="3"/>
      <c r="CPM30" s="3"/>
      <c r="CPN30" s="3"/>
      <c r="CPO30" s="3"/>
      <c r="CPP30" s="3"/>
      <c r="CPQ30" s="3"/>
      <c r="CPR30" s="3"/>
      <c r="CPS30" s="3"/>
      <c r="CPT30" s="3"/>
      <c r="CPU30" s="3"/>
      <c r="CPV30" s="3"/>
      <c r="CPW30" s="3"/>
      <c r="CPX30" s="3"/>
      <c r="CPY30" s="3"/>
      <c r="CPZ30" s="3"/>
      <c r="CQA30" s="3"/>
      <c r="CQB30" s="3"/>
      <c r="CQC30" s="3"/>
      <c r="CQD30" s="3"/>
      <c r="CQE30" s="3"/>
      <c r="CQF30" s="3"/>
      <c r="CQG30" s="3"/>
      <c r="CQH30" s="3"/>
      <c r="CQI30" s="3"/>
      <c r="CQJ30" s="3"/>
      <c r="CQK30" s="3"/>
      <c r="CQL30" s="3"/>
      <c r="CQM30" s="3"/>
      <c r="CQN30" s="3"/>
      <c r="CQO30" s="3"/>
      <c r="CQP30" s="3"/>
      <c r="CQQ30" s="3"/>
      <c r="CQR30" s="3"/>
      <c r="CQS30" s="3"/>
      <c r="CQT30" s="3"/>
      <c r="CQU30" s="3"/>
      <c r="CQV30" s="3"/>
      <c r="CQW30" s="3"/>
      <c r="CQX30" s="3"/>
      <c r="CQY30" s="3"/>
      <c r="CQZ30" s="3"/>
      <c r="CRA30" s="3"/>
      <c r="CRB30" s="3"/>
      <c r="CRC30" s="3"/>
      <c r="CRD30" s="3"/>
      <c r="CRE30" s="3"/>
      <c r="CRF30" s="3"/>
      <c r="CRG30" s="3"/>
      <c r="CRH30" s="3"/>
      <c r="CRI30" s="3"/>
      <c r="CRJ30" s="3"/>
      <c r="CRK30" s="3"/>
      <c r="CRL30" s="3"/>
      <c r="CRM30" s="3"/>
      <c r="CRN30" s="3"/>
      <c r="CRO30" s="3"/>
      <c r="CRP30" s="3"/>
      <c r="CRQ30" s="3"/>
      <c r="CRR30" s="3"/>
      <c r="CRS30" s="3"/>
      <c r="CRT30" s="3"/>
      <c r="CRU30" s="3"/>
      <c r="CRV30" s="3"/>
      <c r="CRW30" s="3"/>
      <c r="CRX30" s="3"/>
      <c r="CRY30" s="3"/>
      <c r="CRZ30" s="3"/>
      <c r="CSA30" s="3"/>
      <c r="CSB30" s="3"/>
      <c r="CSC30" s="3"/>
      <c r="CSD30" s="3"/>
      <c r="CSE30" s="3"/>
      <c r="CSF30" s="3"/>
      <c r="CSG30" s="3"/>
      <c r="CSH30" s="3"/>
      <c r="CSI30" s="3"/>
      <c r="CSJ30" s="3"/>
      <c r="CSK30" s="3"/>
      <c r="CSL30" s="3"/>
      <c r="CSM30" s="3"/>
      <c r="CSN30" s="3"/>
      <c r="CSO30" s="3"/>
      <c r="CSP30" s="3"/>
      <c r="CSQ30" s="3"/>
      <c r="CSR30" s="3"/>
      <c r="CSS30" s="3"/>
      <c r="CST30" s="3"/>
      <c r="CSU30" s="3"/>
      <c r="CSV30" s="3"/>
      <c r="CSW30" s="3"/>
      <c r="CSX30" s="3"/>
      <c r="CSY30" s="3"/>
      <c r="CSZ30" s="3"/>
      <c r="CTA30" s="3"/>
      <c r="CTB30" s="3"/>
      <c r="CTC30" s="3"/>
      <c r="CTD30" s="3"/>
      <c r="CTE30" s="3"/>
      <c r="CTF30" s="3"/>
      <c r="CTG30" s="3"/>
      <c r="CTH30" s="3"/>
      <c r="CTI30" s="3"/>
      <c r="CTJ30" s="3"/>
      <c r="CTK30" s="3"/>
      <c r="CTL30" s="3"/>
      <c r="CTM30" s="3"/>
      <c r="CTN30" s="3"/>
      <c r="CTO30" s="3"/>
      <c r="CTP30" s="3"/>
      <c r="CTQ30" s="3"/>
      <c r="CTR30" s="3"/>
      <c r="CTS30" s="3"/>
      <c r="CTT30" s="3"/>
      <c r="CTU30" s="3"/>
      <c r="CTV30" s="3"/>
      <c r="CTW30" s="3"/>
      <c r="CTX30" s="3"/>
      <c r="CTY30" s="3"/>
      <c r="CTZ30" s="3"/>
      <c r="CUA30" s="3"/>
      <c r="CUB30" s="3"/>
      <c r="CUC30" s="3"/>
      <c r="CUD30" s="3"/>
      <c r="CUE30" s="3"/>
      <c r="CUF30" s="3"/>
      <c r="CUG30" s="3"/>
      <c r="CUH30" s="3"/>
      <c r="CUI30" s="3"/>
      <c r="CUJ30" s="3"/>
      <c r="CUK30" s="3"/>
      <c r="CUL30" s="3"/>
      <c r="CUM30" s="3"/>
      <c r="CUN30" s="3"/>
      <c r="CUO30" s="3"/>
      <c r="CUP30" s="3"/>
      <c r="CUQ30" s="3"/>
      <c r="CUR30" s="3"/>
      <c r="CUS30" s="3"/>
      <c r="CUT30" s="3"/>
      <c r="CUU30" s="3"/>
      <c r="CUV30" s="3"/>
      <c r="CUW30" s="3"/>
      <c r="CUX30" s="3"/>
      <c r="CUY30" s="3"/>
      <c r="CUZ30" s="3"/>
      <c r="CVA30" s="3"/>
      <c r="CVB30" s="3"/>
      <c r="CVC30" s="3"/>
      <c r="CVD30" s="3"/>
      <c r="CVE30" s="3"/>
      <c r="CVF30" s="3"/>
      <c r="CVG30" s="3"/>
      <c r="CVH30" s="3"/>
      <c r="CVI30" s="3"/>
      <c r="CVJ30" s="3"/>
      <c r="CVK30" s="3"/>
      <c r="CVL30" s="3"/>
      <c r="CVM30" s="3"/>
      <c r="CVN30" s="3"/>
      <c r="CVO30" s="3"/>
      <c r="CVP30" s="3"/>
      <c r="CVQ30" s="3"/>
      <c r="CVR30" s="3"/>
      <c r="CVS30" s="3"/>
      <c r="CVT30" s="3"/>
      <c r="CVU30" s="3"/>
      <c r="CVV30" s="3"/>
      <c r="CVW30" s="3"/>
      <c r="CVX30" s="3"/>
      <c r="CVY30" s="3"/>
      <c r="CVZ30" s="3"/>
      <c r="CWA30" s="3"/>
      <c r="CWB30" s="3"/>
      <c r="CWC30" s="3"/>
      <c r="CWD30" s="3"/>
      <c r="CWE30" s="3"/>
      <c r="CWF30" s="3"/>
      <c r="CWG30" s="3"/>
      <c r="CWH30" s="3"/>
      <c r="CWI30" s="3"/>
      <c r="CWJ30" s="3"/>
      <c r="CWK30" s="3"/>
      <c r="CWL30" s="3"/>
      <c r="CWM30" s="3"/>
      <c r="CWN30" s="3"/>
      <c r="CWO30" s="3"/>
      <c r="CWP30" s="3"/>
      <c r="CWQ30" s="3"/>
      <c r="CWR30" s="3"/>
      <c r="CWS30" s="3"/>
      <c r="CWT30" s="3"/>
      <c r="CWU30" s="3"/>
      <c r="CWV30" s="3"/>
      <c r="CWW30" s="3"/>
      <c r="CWX30" s="3"/>
      <c r="CWY30" s="3"/>
      <c r="CWZ30" s="3"/>
      <c r="CXA30" s="3"/>
      <c r="CXB30" s="3"/>
      <c r="CXC30" s="3"/>
      <c r="CXD30" s="3"/>
      <c r="CXE30" s="3"/>
      <c r="CXF30" s="3"/>
      <c r="CXG30" s="3"/>
      <c r="CXH30" s="3"/>
      <c r="CXI30" s="3"/>
      <c r="CXJ30" s="3"/>
      <c r="CXK30" s="3"/>
      <c r="CXL30" s="3"/>
      <c r="CXM30" s="3"/>
      <c r="CXN30" s="3"/>
      <c r="CXO30" s="3"/>
      <c r="CXP30" s="3"/>
      <c r="CXQ30" s="3"/>
      <c r="CXR30" s="3"/>
      <c r="CXS30" s="3"/>
      <c r="CXT30" s="3"/>
      <c r="CXU30" s="3"/>
      <c r="CXV30" s="3"/>
      <c r="CXW30" s="3"/>
      <c r="CXX30" s="3"/>
      <c r="CXY30" s="3"/>
      <c r="CXZ30" s="3"/>
      <c r="CYA30" s="3"/>
      <c r="CYB30" s="3"/>
      <c r="CYC30" s="3"/>
      <c r="CYD30" s="3"/>
      <c r="CYE30" s="3"/>
      <c r="CYF30" s="3"/>
      <c r="CYG30" s="3"/>
      <c r="CYH30" s="3"/>
      <c r="CYI30" s="3"/>
      <c r="CYJ30" s="3"/>
      <c r="CYK30" s="3"/>
      <c r="CYL30" s="3"/>
      <c r="CYM30" s="3"/>
      <c r="CYN30" s="3"/>
      <c r="CYO30" s="3"/>
      <c r="CYP30" s="3"/>
      <c r="CYQ30" s="3"/>
      <c r="CYR30" s="3"/>
      <c r="CYS30" s="3"/>
      <c r="CYT30" s="3"/>
      <c r="CYU30" s="3"/>
      <c r="CYV30" s="3"/>
      <c r="CYW30" s="3"/>
      <c r="CYX30" s="3"/>
      <c r="CYY30" s="3"/>
      <c r="CYZ30" s="3"/>
      <c r="CZA30" s="3"/>
      <c r="CZB30" s="3"/>
      <c r="CZC30" s="3"/>
      <c r="CZD30" s="3"/>
      <c r="CZE30" s="3"/>
      <c r="CZF30" s="3"/>
      <c r="CZG30" s="3"/>
      <c r="CZH30" s="3"/>
      <c r="CZI30" s="3"/>
      <c r="CZJ30" s="3"/>
      <c r="CZK30" s="3"/>
      <c r="CZL30" s="3"/>
      <c r="CZM30" s="3"/>
      <c r="CZN30" s="3"/>
      <c r="CZO30" s="3"/>
      <c r="CZP30" s="3"/>
      <c r="CZQ30" s="3"/>
      <c r="CZR30" s="3"/>
      <c r="CZS30" s="3"/>
      <c r="CZT30" s="3"/>
      <c r="CZU30" s="3"/>
      <c r="CZV30" s="3"/>
      <c r="CZW30" s="3"/>
      <c r="CZX30" s="3"/>
      <c r="CZY30" s="3"/>
      <c r="CZZ30" s="3"/>
      <c r="DAA30" s="3"/>
      <c r="DAB30" s="3"/>
      <c r="DAC30" s="3"/>
      <c r="DAD30" s="3"/>
      <c r="DAE30" s="3"/>
      <c r="DAF30" s="3"/>
      <c r="DAG30" s="3"/>
      <c r="DAH30" s="3"/>
      <c r="DAI30" s="3"/>
      <c r="DAJ30" s="3"/>
      <c r="DAK30" s="3"/>
      <c r="DAL30" s="3"/>
      <c r="DAM30" s="3"/>
      <c r="DAN30" s="3"/>
      <c r="DAO30" s="3"/>
      <c r="DAP30" s="3"/>
      <c r="DAQ30" s="3"/>
      <c r="DAR30" s="3"/>
      <c r="DAS30" s="3"/>
      <c r="DAT30" s="3"/>
      <c r="DAU30" s="3"/>
      <c r="DAV30" s="3"/>
      <c r="DAW30" s="3"/>
      <c r="DAX30" s="3"/>
      <c r="DAY30" s="3"/>
      <c r="DAZ30" s="3"/>
      <c r="DBA30" s="3"/>
      <c r="DBB30" s="3"/>
      <c r="DBC30" s="3"/>
      <c r="DBD30" s="3"/>
      <c r="DBE30" s="3"/>
      <c r="DBF30" s="3"/>
      <c r="DBG30" s="3"/>
      <c r="DBH30" s="3"/>
      <c r="DBI30" s="3"/>
      <c r="DBJ30" s="3"/>
      <c r="DBK30" s="3"/>
      <c r="DBL30" s="3"/>
      <c r="DBM30" s="3"/>
      <c r="DBN30" s="3"/>
      <c r="DBO30" s="3"/>
      <c r="DBP30" s="3"/>
      <c r="DBQ30" s="3"/>
      <c r="DBR30" s="3"/>
      <c r="DBS30" s="3"/>
      <c r="DBT30" s="3"/>
      <c r="DBU30" s="3"/>
      <c r="DBV30" s="3"/>
      <c r="DBW30" s="3"/>
      <c r="DBX30" s="3"/>
      <c r="DBY30" s="3"/>
      <c r="DBZ30" s="3"/>
      <c r="DCA30" s="3"/>
      <c r="DCB30" s="3"/>
      <c r="DCC30" s="3"/>
      <c r="DCD30" s="3"/>
      <c r="DCE30" s="3"/>
      <c r="DCF30" s="3"/>
      <c r="DCG30" s="3"/>
      <c r="DCH30" s="3"/>
      <c r="DCI30" s="3"/>
      <c r="DCJ30" s="3"/>
      <c r="DCK30" s="3"/>
      <c r="DCL30" s="3"/>
      <c r="DCM30" s="3"/>
      <c r="DCN30" s="3"/>
      <c r="DCO30" s="3"/>
      <c r="DCP30" s="3"/>
      <c r="DCQ30" s="3"/>
      <c r="DCR30" s="3"/>
      <c r="DCS30" s="3"/>
      <c r="DCT30" s="3"/>
      <c r="DCU30" s="3"/>
      <c r="DCV30" s="3"/>
      <c r="DCW30" s="3"/>
      <c r="DCX30" s="3"/>
      <c r="DCY30" s="3"/>
      <c r="DCZ30" s="3"/>
      <c r="DDA30" s="3"/>
      <c r="DDB30" s="3"/>
      <c r="DDC30" s="3"/>
      <c r="DDD30" s="3"/>
      <c r="DDE30" s="3"/>
      <c r="DDF30" s="3"/>
      <c r="DDG30" s="3"/>
      <c r="DDH30" s="3"/>
      <c r="DDI30" s="3"/>
      <c r="DDJ30" s="3"/>
      <c r="DDK30" s="3"/>
      <c r="DDL30" s="3"/>
      <c r="DDM30" s="3"/>
      <c r="DDN30" s="3"/>
      <c r="DDO30" s="3"/>
      <c r="DDP30" s="3"/>
      <c r="DDQ30" s="3"/>
      <c r="DDR30" s="3"/>
      <c r="DDS30" s="3"/>
      <c r="DDT30" s="3"/>
      <c r="DDU30" s="3"/>
      <c r="DDV30" s="3"/>
      <c r="DDW30" s="3"/>
      <c r="DDX30" s="3"/>
      <c r="DDY30" s="3"/>
      <c r="DDZ30" s="3"/>
      <c r="DEA30" s="3"/>
      <c r="DEB30" s="3"/>
      <c r="DEC30" s="3"/>
      <c r="DED30" s="3"/>
      <c r="DEE30" s="3"/>
      <c r="DEF30" s="3"/>
      <c r="DEG30" s="3"/>
      <c r="DEH30" s="3"/>
      <c r="DEI30" s="3"/>
      <c r="DEJ30" s="3"/>
      <c r="DEK30" s="3"/>
      <c r="DEL30" s="3"/>
      <c r="DEM30" s="3"/>
      <c r="DEN30" s="3"/>
      <c r="DEO30" s="3"/>
      <c r="DEP30" s="3"/>
      <c r="DEQ30" s="3"/>
      <c r="DER30" s="3"/>
      <c r="DES30" s="3"/>
      <c r="DET30" s="3"/>
      <c r="DEU30" s="3"/>
      <c r="DEV30" s="3"/>
      <c r="DEW30" s="3"/>
      <c r="DEX30" s="3"/>
      <c r="DEY30" s="3"/>
      <c r="DEZ30" s="3"/>
      <c r="DFA30" s="3"/>
      <c r="DFB30" s="3"/>
      <c r="DFC30" s="3"/>
      <c r="DFD30" s="3"/>
      <c r="DFE30" s="3"/>
      <c r="DFF30" s="3"/>
      <c r="DFG30" s="3"/>
      <c r="DFH30" s="3"/>
      <c r="DFI30" s="3"/>
      <c r="DFJ30" s="3"/>
      <c r="DFK30" s="3"/>
      <c r="DFL30" s="3"/>
      <c r="DFM30" s="3"/>
      <c r="DFN30" s="3"/>
      <c r="DFO30" s="3"/>
      <c r="DFP30" s="3"/>
      <c r="DFQ30" s="3"/>
      <c r="DFR30" s="3"/>
      <c r="DFS30" s="3"/>
      <c r="DFT30" s="3"/>
      <c r="DFU30" s="3"/>
      <c r="DFV30" s="3"/>
      <c r="DFW30" s="3"/>
      <c r="DFX30" s="3"/>
      <c r="DFY30" s="3"/>
      <c r="DFZ30" s="3"/>
      <c r="DGA30" s="3"/>
      <c r="DGB30" s="3"/>
      <c r="DGC30" s="3"/>
      <c r="DGD30" s="3"/>
      <c r="DGE30" s="3"/>
      <c r="DGF30" s="3"/>
      <c r="DGG30" s="3"/>
      <c r="DGH30" s="3"/>
      <c r="DGI30" s="3"/>
      <c r="DGJ30" s="3"/>
      <c r="DGK30" s="3"/>
      <c r="DGL30" s="3"/>
      <c r="DGM30" s="3"/>
      <c r="DGN30" s="3"/>
      <c r="DGO30" s="3"/>
      <c r="DGP30" s="3"/>
      <c r="DGQ30" s="3"/>
      <c r="DGR30" s="3"/>
      <c r="DGS30" s="3"/>
      <c r="DGT30" s="3"/>
      <c r="DGU30" s="3"/>
      <c r="DGV30" s="3"/>
      <c r="DGW30" s="3"/>
      <c r="DGX30" s="3"/>
      <c r="DGY30" s="3"/>
      <c r="DGZ30" s="3"/>
      <c r="DHA30" s="3"/>
      <c r="DHB30" s="3"/>
      <c r="DHC30" s="3"/>
      <c r="DHD30" s="3"/>
      <c r="DHE30" s="3"/>
      <c r="DHF30" s="3"/>
      <c r="DHG30" s="3"/>
      <c r="DHH30" s="3"/>
      <c r="DHI30" s="3"/>
      <c r="DHJ30" s="3"/>
      <c r="DHK30" s="3"/>
      <c r="DHL30" s="3"/>
      <c r="DHM30" s="3"/>
      <c r="DHN30" s="3"/>
      <c r="DHO30" s="3"/>
      <c r="DHP30" s="3"/>
      <c r="DHQ30" s="3"/>
      <c r="DHR30" s="3"/>
      <c r="DHS30" s="3"/>
      <c r="DHT30" s="3"/>
      <c r="DHU30" s="3"/>
      <c r="DHV30" s="3"/>
      <c r="DHW30" s="3"/>
      <c r="DHX30" s="3"/>
      <c r="DHY30" s="3"/>
      <c r="DHZ30" s="3"/>
      <c r="DIA30" s="3"/>
      <c r="DIB30" s="3"/>
      <c r="DIC30" s="3"/>
      <c r="DID30" s="3"/>
      <c r="DIE30" s="3"/>
      <c r="DIF30" s="3"/>
      <c r="DIG30" s="3"/>
      <c r="DIH30" s="3"/>
      <c r="DII30" s="3"/>
      <c r="DIJ30" s="3"/>
      <c r="DIK30" s="3"/>
      <c r="DIL30" s="3"/>
      <c r="DIM30" s="3"/>
      <c r="DIN30" s="3"/>
      <c r="DIO30" s="3"/>
      <c r="DIP30" s="3"/>
      <c r="DIQ30" s="3"/>
      <c r="DIR30" s="3"/>
      <c r="DIS30" s="3"/>
      <c r="DIT30" s="3"/>
      <c r="DIU30" s="3"/>
      <c r="DIV30" s="3"/>
      <c r="DIW30" s="3"/>
      <c r="DIX30" s="3"/>
      <c r="DIY30" s="3"/>
      <c r="DIZ30" s="3"/>
      <c r="DJA30" s="3"/>
      <c r="DJB30" s="3"/>
      <c r="DJC30" s="3"/>
      <c r="DJD30" s="3"/>
      <c r="DJE30" s="3"/>
      <c r="DJF30" s="3"/>
      <c r="DJG30" s="3"/>
      <c r="DJH30" s="3"/>
      <c r="DJI30" s="3"/>
      <c r="DJJ30" s="3"/>
      <c r="DJK30" s="3"/>
      <c r="DJL30" s="3"/>
      <c r="DJM30" s="3"/>
      <c r="DJN30" s="3"/>
      <c r="DJO30" s="3"/>
      <c r="DJP30" s="3"/>
      <c r="DJQ30" s="3"/>
      <c r="DJR30" s="3"/>
      <c r="DJS30" s="3"/>
      <c r="DJT30" s="3"/>
      <c r="DJU30" s="3"/>
      <c r="DJV30" s="3"/>
      <c r="DJW30" s="3"/>
      <c r="DJX30" s="3"/>
      <c r="DJY30" s="3"/>
      <c r="DJZ30" s="3"/>
      <c r="DKA30" s="3"/>
      <c r="DKB30" s="3"/>
      <c r="DKC30" s="3"/>
      <c r="DKD30" s="3"/>
      <c r="DKE30" s="3"/>
      <c r="DKF30" s="3"/>
      <c r="DKG30" s="3"/>
      <c r="DKH30" s="3"/>
      <c r="DKI30" s="3"/>
      <c r="DKJ30" s="3"/>
      <c r="DKK30" s="3"/>
      <c r="DKL30" s="3"/>
      <c r="DKM30" s="3"/>
      <c r="DKN30" s="3"/>
      <c r="DKO30" s="3"/>
      <c r="DKP30" s="3"/>
      <c r="DKQ30" s="3"/>
      <c r="DKR30" s="3"/>
      <c r="DKS30" s="3"/>
      <c r="DKT30" s="3"/>
      <c r="DKU30" s="3"/>
      <c r="DKV30" s="3"/>
      <c r="DKW30" s="3"/>
      <c r="DKX30" s="3"/>
      <c r="DKY30" s="3"/>
      <c r="DKZ30" s="3"/>
      <c r="DLA30" s="3"/>
      <c r="DLB30" s="3"/>
      <c r="DLC30" s="3"/>
      <c r="DLD30" s="3"/>
      <c r="DLE30" s="3"/>
      <c r="DLF30" s="3"/>
      <c r="DLG30" s="3"/>
      <c r="DLH30" s="3"/>
      <c r="DLI30" s="3"/>
      <c r="DLJ30" s="3"/>
      <c r="DLK30" s="3"/>
      <c r="DLL30" s="3"/>
      <c r="DLM30" s="3"/>
      <c r="DLN30" s="3"/>
      <c r="DLO30" s="3"/>
      <c r="DLP30" s="3"/>
      <c r="DLQ30" s="3"/>
      <c r="DLR30" s="3"/>
      <c r="DLS30" s="3"/>
      <c r="DLT30" s="3"/>
      <c r="DLU30" s="3"/>
      <c r="DLV30" s="3"/>
      <c r="DLW30" s="3"/>
      <c r="DLX30" s="3"/>
      <c r="DLY30" s="3"/>
      <c r="DLZ30" s="3"/>
      <c r="DMA30" s="3"/>
      <c r="DMB30" s="3"/>
      <c r="DMC30" s="3"/>
      <c r="DMD30" s="3"/>
      <c r="DME30" s="3"/>
      <c r="DMF30" s="3"/>
      <c r="DMG30" s="3"/>
      <c r="DMH30" s="3"/>
      <c r="DMI30" s="3"/>
      <c r="DMJ30" s="3"/>
      <c r="DMK30" s="3"/>
      <c r="DML30" s="3"/>
      <c r="DMM30" s="3"/>
      <c r="DMN30" s="3"/>
      <c r="DMO30" s="3"/>
      <c r="DMP30" s="3"/>
      <c r="DMQ30" s="3"/>
      <c r="DMR30" s="3"/>
      <c r="DMS30" s="3"/>
      <c r="DMT30" s="3"/>
      <c r="DMU30" s="3"/>
      <c r="DMV30" s="3"/>
      <c r="DMW30" s="3"/>
      <c r="DMX30" s="3"/>
      <c r="DMY30" s="3"/>
      <c r="DMZ30" s="3"/>
      <c r="DNA30" s="3"/>
      <c r="DNB30" s="3"/>
      <c r="DNC30" s="3"/>
      <c r="DND30" s="3"/>
      <c r="DNE30" s="3"/>
      <c r="DNF30" s="3"/>
      <c r="DNG30" s="3"/>
      <c r="DNH30" s="3"/>
      <c r="DNI30" s="3"/>
      <c r="DNJ30" s="3"/>
      <c r="DNK30" s="3"/>
      <c r="DNL30" s="3"/>
      <c r="DNM30" s="3"/>
      <c r="DNN30" s="3"/>
      <c r="DNO30" s="3"/>
      <c r="DNP30" s="3"/>
      <c r="DNQ30" s="3"/>
      <c r="DNR30" s="3"/>
      <c r="DNS30" s="3"/>
      <c r="DNT30" s="3"/>
      <c r="DNU30" s="3"/>
      <c r="DNV30" s="3"/>
      <c r="DNW30" s="3"/>
      <c r="DNX30" s="3"/>
      <c r="DNY30" s="3"/>
      <c r="DNZ30" s="3"/>
      <c r="DOA30" s="3"/>
      <c r="DOB30" s="3"/>
      <c r="DOC30" s="3"/>
      <c r="DOD30" s="3"/>
      <c r="DOE30" s="3"/>
      <c r="DOF30" s="3"/>
      <c r="DOG30" s="3"/>
      <c r="DOH30" s="3"/>
      <c r="DOI30" s="3"/>
      <c r="DOJ30" s="3"/>
      <c r="DOK30" s="3"/>
      <c r="DOL30" s="3"/>
      <c r="DOM30" s="3"/>
      <c r="DON30" s="3"/>
      <c r="DOO30" s="3"/>
      <c r="DOP30" s="3"/>
      <c r="DOQ30" s="3"/>
      <c r="DOR30" s="3"/>
      <c r="DOS30" s="3"/>
      <c r="DOT30" s="3"/>
      <c r="DOU30" s="3"/>
      <c r="DOV30" s="3"/>
      <c r="DOW30" s="3"/>
      <c r="DOX30" s="3"/>
      <c r="DOY30" s="3"/>
      <c r="DOZ30" s="3"/>
      <c r="DPA30" s="3"/>
      <c r="DPB30" s="3"/>
      <c r="DPC30" s="3"/>
      <c r="DPD30" s="3"/>
      <c r="DPE30" s="3"/>
      <c r="DPF30" s="3"/>
      <c r="DPG30" s="3"/>
      <c r="DPH30" s="3"/>
      <c r="DPI30" s="3"/>
      <c r="DPJ30" s="3"/>
      <c r="DPK30" s="3"/>
      <c r="DPL30" s="3"/>
      <c r="DPM30" s="3"/>
      <c r="DPN30" s="3"/>
      <c r="DPO30" s="3"/>
      <c r="DPP30" s="3"/>
      <c r="DPQ30" s="3"/>
      <c r="DPR30" s="3"/>
      <c r="DPS30" s="3"/>
      <c r="DPT30" s="3"/>
      <c r="DPU30" s="3"/>
      <c r="DPV30" s="3"/>
      <c r="DPW30" s="3"/>
      <c r="DPX30" s="3"/>
      <c r="DPY30" s="3"/>
      <c r="DPZ30" s="3"/>
      <c r="DQA30" s="3"/>
      <c r="DQB30" s="3"/>
      <c r="DQC30" s="3"/>
      <c r="DQD30" s="3"/>
      <c r="DQE30" s="3"/>
      <c r="DQF30" s="3"/>
      <c r="DQG30" s="3"/>
      <c r="DQH30" s="3"/>
      <c r="DQI30" s="3"/>
      <c r="DQJ30" s="3"/>
      <c r="DQK30" s="3"/>
      <c r="DQL30" s="3"/>
      <c r="DQM30" s="3"/>
      <c r="DQN30" s="3"/>
      <c r="DQO30" s="3"/>
      <c r="DQP30" s="3"/>
      <c r="DQQ30" s="3"/>
      <c r="DQR30" s="3"/>
      <c r="DQS30" s="3"/>
      <c r="DQT30" s="3"/>
      <c r="DQU30" s="3"/>
      <c r="DQV30" s="3"/>
      <c r="DQW30" s="3"/>
      <c r="DQX30" s="3"/>
      <c r="DQY30" s="3"/>
      <c r="DQZ30" s="3"/>
      <c r="DRA30" s="3"/>
      <c r="DRB30" s="3"/>
      <c r="DRC30" s="3"/>
      <c r="DRD30" s="3"/>
      <c r="DRE30" s="3"/>
      <c r="DRF30" s="3"/>
      <c r="DRG30" s="3"/>
      <c r="DRH30" s="3"/>
      <c r="DRI30" s="3"/>
      <c r="DRJ30" s="3"/>
      <c r="DRK30" s="3"/>
      <c r="DRL30" s="3"/>
      <c r="DRM30" s="3"/>
      <c r="DRN30" s="3"/>
      <c r="DRO30" s="3"/>
      <c r="DRP30" s="3"/>
      <c r="DRQ30" s="3"/>
      <c r="DRR30" s="3"/>
      <c r="DRS30" s="3"/>
      <c r="DRT30" s="3"/>
      <c r="DRU30" s="3"/>
      <c r="DRV30" s="3"/>
      <c r="DRW30" s="3"/>
      <c r="DRX30" s="3"/>
      <c r="DRY30" s="3"/>
      <c r="DRZ30" s="3"/>
      <c r="DSA30" s="3"/>
      <c r="DSB30" s="3"/>
      <c r="DSC30" s="3"/>
      <c r="DSD30" s="3"/>
      <c r="DSE30" s="3"/>
      <c r="DSF30" s="3"/>
      <c r="DSG30" s="3"/>
      <c r="DSH30" s="3"/>
      <c r="DSI30" s="3"/>
      <c r="DSJ30" s="3"/>
      <c r="DSK30" s="3"/>
      <c r="DSL30" s="3"/>
      <c r="DSM30" s="3"/>
      <c r="DSN30" s="3"/>
      <c r="DSO30" s="3"/>
      <c r="DSP30" s="3"/>
      <c r="DSQ30" s="3"/>
      <c r="DSR30" s="3"/>
      <c r="DSS30" s="3"/>
      <c r="DST30" s="3"/>
      <c r="DSU30" s="3"/>
      <c r="DSV30" s="3"/>
      <c r="DSW30" s="3"/>
      <c r="DSX30" s="3"/>
      <c r="DSY30" s="3"/>
      <c r="DSZ30" s="3"/>
      <c r="DTA30" s="3"/>
      <c r="DTB30" s="3"/>
      <c r="DTC30" s="3"/>
      <c r="DTD30" s="3"/>
      <c r="DTE30" s="3"/>
      <c r="DTF30" s="3"/>
      <c r="DTG30" s="3"/>
      <c r="DTH30" s="3"/>
      <c r="DTI30" s="3"/>
      <c r="DTJ30" s="3"/>
      <c r="DTK30" s="3"/>
      <c r="DTL30" s="3"/>
      <c r="DTM30" s="3"/>
      <c r="DTN30" s="3"/>
      <c r="DTO30" s="3"/>
      <c r="DTP30" s="3"/>
      <c r="DTQ30" s="3"/>
      <c r="DTR30" s="3"/>
      <c r="DTS30" s="3"/>
      <c r="DTT30" s="3"/>
      <c r="DTU30" s="3"/>
      <c r="DTV30" s="3"/>
      <c r="DTW30" s="3"/>
      <c r="DTX30" s="3"/>
      <c r="DTY30" s="3"/>
      <c r="DTZ30" s="3"/>
      <c r="DUA30" s="3"/>
      <c r="DUB30" s="3"/>
      <c r="DUC30" s="3"/>
      <c r="DUD30" s="3"/>
      <c r="DUE30" s="3"/>
      <c r="DUF30" s="3"/>
      <c r="DUG30" s="3"/>
      <c r="DUH30" s="3"/>
      <c r="DUI30" s="3"/>
      <c r="DUJ30" s="3"/>
      <c r="DUK30" s="3"/>
      <c r="DUL30" s="3"/>
      <c r="DUM30" s="3"/>
      <c r="DUN30" s="3"/>
      <c r="DUO30" s="3"/>
      <c r="DUP30" s="3"/>
      <c r="DUQ30" s="3"/>
      <c r="DUR30" s="3"/>
      <c r="DUS30" s="3"/>
      <c r="DUT30" s="3"/>
      <c r="DUU30" s="3"/>
      <c r="DUV30" s="3"/>
      <c r="DUW30" s="3"/>
      <c r="DUX30" s="3"/>
      <c r="DUY30" s="3"/>
      <c r="DUZ30" s="3"/>
      <c r="DVA30" s="3"/>
      <c r="DVB30" s="3"/>
      <c r="DVC30" s="3"/>
      <c r="DVD30" s="3"/>
      <c r="DVE30" s="3"/>
      <c r="DVF30" s="3"/>
      <c r="DVG30" s="3"/>
      <c r="DVH30" s="3"/>
      <c r="DVI30" s="3"/>
      <c r="DVJ30" s="3"/>
      <c r="DVK30" s="3"/>
      <c r="DVL30" s="3"/>
      <c r="DVM30" s="3"/>
      <c r="DVN30" s="3"/>
      <c r="DVO30" s="3"/>
      <c r="DVP30" s="3"/>
      <c r="DVQ30" s="3"/>
      <c r="DVR30" s="3"/>
      <c r="DVS30" s="3"/>
      <c r="DVT30" s="3"/>
      <c r="DVU30" s="3"/>
      <c r="DVV30" s="3"/>
      <c r="DVW30" s="3"/>
      <c r="DVX30" s="3"/>
      <c r="DVY30" s="3"/>
      <c r="DVZ30" s="3"/>
      <c r="DWA30" s="3"/>
      <c r="DWB30" s="3"/>
      <c r="DWC30" s="3"/>
      <c r="DWD30" s="3"/>
      <c r="DWE30" s="3"/>
      <c r="DWF30" s="3"/>
      <c r="DWG30" s="3"/>
      <c r="DWH30" s="3"/>
      <c r="DWI30" s="3"/>
      <c r="DWJ30" s="3"/>
      <c r="DWK30" s="3"/>
      <c r="DWL30" s="3"/>
      <c r="DWM30" s="3"/>
      <c r="DWN30" s="3"/>
      <c r="DWO30" s="3"/>
      <c r="DWP30" s="3"/>
      <c r="DWQ30" s="3"/>
      <c r="DWR30" s="3"/>
      <c r="DWS30" s="3"/>
      <c r="DWT30" s="3"/>
      <c r="DWU30" s="3"/>
      <c r="DWV30" s="3"/>
      <c r="DWW30" s="3"/>
      <c r="DWX30" s="3"/>
      <c r="DWY30" s="3"/>
      <c r="DWZ30" s="3"/>
      <c r="DXA30" s="3"/>
      <c r="DXB30" s="3"/>
      <c r="DXC30" s="3"/>
      <c r="DXD30" s="3"/>
      <c r="DXE30" s="3"/>
      <c r="DXF30" s="3"/>
      <c r="DXG30" s="3"/>
      <c r="DXH30" s="3"/>
      <c r="DXI30" s="3"/>
      <c r="DXJ30" s="3"/>
      <c r="DXK30" s="3"/>
      <c r="DXL30" s="3"/>
      <c r="DXM30" s="3"/>
      <c r="DXN30" s="3"/>
      <c r="DXO30" s="3"/>
      <c r="DXP30" s="3"/>
      <c r="DXQ30" s="3"/>
      <c r="DXR30" s="3"/>
      <c r="DXS30" s="3"/>
      <c r="DXT30" s="3"/>
      <c r="DXU30" s="3"/>
      <c r="DXV30" s="3"/>
      <c r="DXW30" s="3"/>
      <c r="DXX30" s="3"/>
      <c r="DXY30" s="3"/>
      <c r="DXZ30" s="3"/>
      <c r="DYA30" s="3"/>
      <c r="DYB30" s="3"/>
      <c r="DYC30" s="3"/>
      <c r="DYD30" s="3"/>
      <c r="DYE30" s="3"/>
      <c r="DYF30" s="3"/>
      <c r="DYG30" s="3"/>
      <c r="DYH30" s="3"/>
      <c r="DYI30" s="3"/>
      <c r="DYJ30" s="3"/>
      <c r="DYK30" s="3"/>
      <c r="DYL30" s="3"/>
      <c r="DYM30" s="3"/>
      <c r="DYN30" s="3"/>
      <c r="DYO30" s="3"/>
      <c r="DYP30" s="3"/>
      <c r="DYQ30" s="3"/>
      <c r="DYR30" s="3"/>
      <c r="DYS30" s="3"/>
      <c r="DYT30" s="3"/>
      <c r="DYU30" s="3"/>
      <c r="DYV30" s="3"/>
      <c r="DYW30" s="3"/>
      <c r="DYX30" s="3"/>
      <c r="DYY30" s="3"/>
      <c r="DYZ30" s="3"/>
      <c r="DZA30" s="3"/>
      <c r="DZB30" s="3"/>
      <c r="DZC30" s="3"/>
      <c r="DZD30" s="3"/>
      <c r="DZE30" s="3"/>
      <c r="DZF30" s="3"/>
      <c r="DZG30" s="3"/>
      <c r="DZH30" s="3"/>
      <c r="DZI30" s="3"/>
      <c r="DZJ30" s="3"/>
      <c r="DZK30" s="3"/>
      <c r="DZL30" s="3"/>
      <c r="DZM30" s="3"/>
      <c r="DZN30" s="3"/>
      <c r="DZO30" s="3"/>
      <c r="DZP30" s="3"/>
      <c r="DZQ30" s="3"/>
      <c r="DZR30" s="3"/>
      <c r="DZS30" s="3"/>
      <c r="DZT30" s="3"/>
      <c r="DZU30" s="3"/>
      <c r="DZV30" s="3"/>
      <c r="DZW30" s="3"/>
      <c r="DZX30" s="3"/>
      <c r="DZY30" s="3"/>
      <c r="DZZ30" s="3"/>
      <c r="EAA30" s="3"/>
      <c r="EAB30" s="3"/>
      <c r="EAC30" s="3"/>
      <c r="EAD30" s="3"/>
      <c r="EAE30" s="3"/>
      <c r="EAF30" s="3"/>
      <c r="EAG30" s="3"/>
      <c r="EAH30" s="3"/>
      <c r="EAI30" s="3"/>
      <c r="EAJ30" s="3"/>
      <c r="EAK30" s="3"/>
      <c r="EAL30" s="3"/>
      <c r="EAM30" s="3"/>
      <c r="EAN30" s="3"/>
      <c r="EAO30" s="3"/>
      <c r="EAP30" s="3"/>
      <c r="EAQ30" s="3"/>
      <c r="EAR30" s="3"/>
      <c r="EAS30" s="3"/>
      <c r="EAT30" s="3"/>
      <c r="EAU30" s="3"/>
      <c r="EAV30" s="3"/>
      <c r="EAW30" s="3"/>
      <c r="EAX30" s="3"/>
      <c r="EAY30" s="3"/>
      <c r="EAZ30" s="3"/>
      <c r="EBA30" s="3"/>
      <c r="EBB30" s="3"/>
      <c r="EBC30" s="3"/>
      <c r="EBD30" s="3"/>
      <c r="EBE30" s="3"/>
      <c r="EBF30" s="3"/>
      <c r="EBG30" s="3"/>
      <c r="EBH30" s="3"/>
      <c r="EBI30" s="3"/>
      <c r="EBJ30" s="3"/>
      <c r="EBK30" s="3"/>
      <c r="EBL30" s="3"/>
      <c r="EBM30" s="3"/>
      <c r="EBN30" s="3"/>
      <c r="EBO30" s="3"/>
      <c r="EBP30" s="3"/>
      <c r="EBQ30" s="3"/>
      <c r="EBR30" s="3"/>
      <c r="EBS30" s="3"/>
      <c r="EBT30" s="3"/>
      <c r="EBU30" s="3"/>
      <c r="EBV30" s="3"/>
      <c r="EBW30" s="3"/>
      <c r="EBX30" s="3"/>
      <c r="EBY30" s="3"/>
      <c r="EBZ30" s="3"/>
      <c r="ECA30" s="3"/>
      <c r="ECB30" s="3"/>
      <c r="ECC30" s="3"/>
      <c r="ECD30" s="3"/>
      <c r="ECE30" s="3"/>
      <c r="ECF30" s="3"/>
      <c r="ECG30" s="3"/>
      <c r="ECH30" s="3"/>
      <c r="ECI30" s="3"/>
      <c r="ECJ30" s="3"/>
      <c r="ECK30" s="3"/>
      <c r="ECL30" s="3"/>
      <c r="ECM30" s="3"/>
      <c r="ECN30" s="3"/>
      <c r="ECO30" s="3"/>
      <c r="ECP30" s="3"/>
      <c r="ECQ30" s="3"/>
      <c r="ECR30" s="3"/>
      <c r="ECS30" s="3"/>
      <c r="ECT30" s="3"/>
      <c r="ECU30" s="3"/>
      <c r="ECV30" s="3"/>
      <c r="ECW30" s="3"/>
      <c r="ECX30" s="3"/>
      <c r="ECY30" s="3"/>
      <c r="ECZ30" s="3"/>
      <c r="EDA30" s="3"/>
      <c r="EDB30" s="3"/>
      <c r="EDC30" s="3"/>
      <c r="EDD30" s="3"/>
      <c r="EDE30" s="3"/>
      <c r="EDF30" s="3"/>
      <c r="EDG30" s="3"/>
      <c r="EDH30" s="3"/>
      <c r="EDI30" s="3"/>
      <c r="EDJ30" s="3"/>
      <c r="EDK30" s="3"/>
      <c r="EDL30" s="3"/>
      <c r="EDM30" s="3"/>
      <c r="EDN30" s="3"/>
      <c r="EDO30" s="3"/>
      <c r="EDP30" s="3"/>
      <c r="EDQ30" s="3"/>
      <c r="EDR30" s="3"/>
      <c r="EDS30" s="3"/>
      <c r="EDT30" s="3"/>
      <c r="EDU30" s="3"/>
      <c r="EDV30" s="3"/>
      <c r="EDW30" s="3"/>
      <c r="EDX30" s="3"/>
      <c r="EDY30" s="3"/>
      <c r="EDZ30" s="3"/>
      <c r="EEA30" s="3"/>
      <c r="EEB30" s="3"/>
      <c r="EEC30" s="3"/>
      <c r="EED30" s="3"/>
      <c r="EEE30" s="3"/>
      <c r="EEF30" s="3"/>
      <c r="EEG30" s="3"/>
      <c r="EEH30" s="3"/>
      <c r="EEI30" s="3"/>
      <c r="EEJ30" s="3"/>
      <c r="EEK30" s="3"/>
      <c r="EEL30" s="3"/>
      <c r="EEM30" s="3"/>
      <c r="EEN30" s="3"/>
      <c r="EEO30" s="3"/>
      <c r="EEP30" s="3"/>
      <c r="EEQ30" s="3"/>
      <c r="EER30" s="3"/>
      <c r="EES30" s="3"/>
      <c r="EET30" s="3"/>
      <c r="EEU30" s="3"/>
      <c r="EEV30" s="3"/>
      <c r="EEW30" s="3"/>
      <c r="EEX30" s="3"/>
      <c r="EEY30" s="3"/>
      <c r="EEZ30" s="3"/>
      <c r="EFA30" s="3"/>
      <c r="EFB30" s="3"/>
      <c r="EFC30" s="3"/>
      <c r="EFD30" s="3"/>
      <c r="EFE30" s="3"/>
      <c r="EFF30" s="3"/>
      <c r="EFG30" s="3"/>
      <c r="EFH30" s="3"/>
      <c r="EFI30" s="3"/>
      <c r="EFJ30" s="3"/>
      <c r="EFK30" s="3"/>
      <c r="EFL30" s="3"/>
      <c r="EFM30" s="3"/>
      <c r="EFN30" s="3"/>
      <c r="EFO30" s="3"/>
      <c r="EFP30" s="3"/>
      <c r="EFQ30" s="3"/>
      <c r="EFR30" s="3"/>
      <c r="EFS30" s="3"/>
      <c r="EFT30" s="3"/>
      <c r="EFU30" s="3"/>
      <c r="EFV30" s="3"/>
      <c r="EFW30" s="3"/>
      <c r="EFX30" s="3"/>
      <c r="EFY30" s="3"/>
      <c r="EFZ30" s="3"/>
      <c r="EGA30" s="3"/>
      <c r="EGB30" s="3"/>
      <c r="EGC30" s="3"/>
      <c r="EGD30" s="3"/>
      <c r="EGE30" s="3"/>
      <c r="EGF30" s="3"/>
      <c r="EGG30" s="3"/>
      <c r="EGH30" s="3"/>
      <c r="EGI30" s="3"/>
      <c r="EGJ30" s="3"/>
      <c r="EGK30" s="3"/>
      <c r="EGL30" s="3"/>
      <c r="EGM30" s="3"/>
      <c r="EGN30" s="3"/>
      <c r="EGO30" s="3"/>
      <c r="EGP30" s="3"/>
      <c r="EGQ30" s="3"/>
      <c r="EGR30" s="3"/>
      <c r="EGS30" s="3"/>
      <c r="EGT30" s="3"/>
      <c r="EGU30" s="3"/>
      <c r="EGV30" s="3"/>
      <c r="EGW30" s="3"/>
      <c r="EGX30" s="3"/>
      <c r="EGY30" s="3"/>
      <c r="EGZ30" s="3"/>
      <c r="EHA30" s="3"/>
      <c r="EHB30" s="3"/>
      <c r="EHC30" s="3"/>
      <c r="EHD30" s="3"/>
      <c r="EHE30" s="3"/>
      <c r="EHF30" s="3"/>
      <c r="EHG30" s="3"/>
      <c r="EHH30" s="3"/>
      <c r="EHI30" s="3"/>
      <c r="EHJ30" s="3"/>
      <c r="EHK30" s="3"/>
      <c r="EHL30" s="3"/>
      <c r="EHM30" s="3"/>
      <c r="EHN30" s="3"/>
      <c r="EHO30" s="3"/>
      <c r="EHP30" s="3"/>
      <c r="EHQ30" s="3"/>
      <c r="EHR30" s="3"/>
      <c r="EHS30" s="3"/>
      <c r="EHT30" s="3"/>
      <c r="EHU30" s="3"/>
      <c r="EHV30" s="3"/>
      <c r="EHW30" s="3"/>
      <c r="EHX30" s="3"/>
      <c r="EHY30" s="3"/>
      <c r="EHZ30" s="3"/>
      <c r="EIA30" s="3"/>
      <c r="EIB30" s="3"/>
      <c r="EIC30" s="3"/>
      <c r="EID30" s="3"/>
      <c r="EIE30" s="3"/>
      <c r="EIF30" s="3"/>
      <c r="EIG30" s="3"/>
      <c r="EIH30" s="3"/>
      <c r="EII30" s="3"/>
      <c r="EIJ30" s="3"/>
      <c r="EIK30" s="3"/>
      <c r="EIL30" s="3"/>
      <c r="EIM30" s="3"/>
      <c r="EIN30" s="3"/>
      <c r="EIO30" s="3"/>
      <c r="EIP30" s="3"/>
      <c r="EIQ30" s="3"/>
      <c r="EIR30" s="3"/>
      <c r="EIS30" s="3"/>
      <c r="EIT30" s="3"/>
      <c r="EIU30" s="3"/>
      <c r="EIV30" s="3"/>
      <c r="EIW30" s="3"/>
      <c r="EIX30" s="3"/>
      <c r="EIY30" s="3"/>
      <c r="EIZ30" s="3"/>
      <c r="EJA30" s="3"/>
      <c r="EJB30" s="3"/>
      <c r="EJC30" s="3"/>
      <c r="EJD30" s="3"/>
      <c r="EJE30" s="3"/>
      <c r="EJF30" s="3"/>
      <c r="EJG30" s="3"/>
      <c r="EJH30" s="3"/>
      <c r="EJI30" s="3"/>
      <c r="EJJ30" s="3"/>
      <c r="EJK30" s="3"/>
      <c r="EJL30" s="3"/>
      <c r="EJM30" s="3"/>
      <c r="EJN30" s="3"/>
      <c r="EJO30" s="3"/>
      <c r="EJP30" s="3"/>
      <c r="EJQ30" s="3"/>
      <c r="EJR30" s="3"/>
      <c r="EJS30" s="3"/>
      <c r="EJT30" s="3"/>
      <c r="EJU30" s="3"/>
      <c r="EJV30" s="3"/>
      <c r="EJW30" s="3"/>
      <c r="EJX30" s="3"/>
      <c r="EJY30" s="3"/>
      <c r="EJZ30" s="3"/>
      <c r="EKA30" s="3"/>
      <c r="EKB30" s="3"/>
      <c r="EKC30" s="3"/>
      <c r="EKD30" s="3"/>
      <c r="EKE30" s="3"/>
      <c r="EKF30" s="3"/>
      <c r="EKG30" s="3"/>
      <c r="EKH30" s="3"/>
      <c r="EKI30" s="3"/>
      <c r="EKJ30" s="3"/>
      <c r="EKK30" s="3"/>
      <c r="EKL30" s="3"/>
      <c r="EKM30" s="3"/>
      <c r="EKN30" s="3"/>
      <c r="EKO30" s="3"/>
      <c r="EKP30" s="3"/>
      <c r="EKQ30" s="3"/>
      <c r="EKR30" s="3"/>
      <c r="EKS30" s="3"/>
      <c r="EKT30" s="3"/>
      <c r="EKU30" s="3"/>
      <c r="EKV30" s="3"/>
      <c r="EKW30" s="3"/>
      <c r="EKX30" s="3"/>
      <c r="EKY30" s="3"/>
      <c r="EKZ30" s="3"/>
      <c r="ELA30" s="3"/>
      <c r="ELB30" s="3"/>
      <c r="ELC30" s="3"/>
      <c r="ELD30" s="3"/>
      <c r="ELE30" s="3"/>
      <c r="ELF30" s="3"/>
      <c r="ELG30" s="3"/>
      <c r="ELH30" s="3"/>
      <c r="ELI30" s="3"/>
      <c r="ELJ30" s="3"/>
      <c r="ELK30" s="3"/>
      <c r="ELL30" s="3"/>
      <c r="ELM30" s="3"/>
      <c r="ELN30" s="3"/>
      <c r="ELO30" s="3"/>
      <c r="ELP30" s="3"/>
      <c r="ELQ30" s="3"/>
      <c r="ELR30" s="3"/>
      <c r="ELS30" s="3"/>
      <c r="ELT30" s="3"/>
      <c r="ELU30" s="3"/>
      <c r="ELV30" s="3"/>
      <c r="ELW30" s="3"/>
      <c r="ELX30" s="3"/>
      <c r="ELY30" s="3"/>
      <c r="ELZ30" s="3"/>
      <c r="EMA30" s="3"/>
      <c r="EMB30" s="3"/>
      <c r="EMC30" s="3"/>
      <c r="EMD30" s="3"/>
      <c r="EME30" s="3"/>
      <c r="EMF30" s="3"/>
      <c r="EMG30" s="3"/>
      <c r="EMH30" s="3"/>
      <c r="EMI30" s="3"/>
      <c r="EMJ30" s="3"/>
      <c r="EMK30" s="3"/>
      <c r="EML30" s="3"/>
      <c r="EMM30" s="3"/>
      <c r="EMN30" s="3"/>
      <c r="EMO30" s="3"/>
      <c r="EMP30" s="3"/>
      <c r="EMQ30" s="3"/>
      <c r="EMR30" s="3"/>
      <c r="EMS30" s="3"/>
      <c r="EMT30" s="3"/>
      <c r="EMU30" s="3"/>
      <c r="EMV30" s="3"/>
      <c r="EMW30" s="3"/>
      <c r="EMX30" s="3"/>
      <c r="EMY30" s="3"/>
      <c r="EMZ30" s="3"/>
      <c r="ENA30" s="3"/>
      <c r="ENB30" s="3"/>
      <c r="ENC30" s="3"/>
      <c r="END30" s="3"/>
      <c r="ENE30" s="3"/>
      <c r="ENF30" s="3"/>
      <c r="ENG30" s="3"/>
      <c r="ENH30" s="3"/>
      <c r="ENI30" s="3"/>
      <c r="ENJ30" s="3"/>
      <c r="ENK30" s="3"/>
      <c r="ENL30" s="3"/>
      <c r="ENM30" s="3"/>
      <c r="ENN30" s="3"/>
      <c r="ENO30" s="3"/>
      <c r="ENP30" s="3"/>
      <c r="ENQ30" s="3"/>
      <c r="ENR30" s="3"/>
      <c r="ENS30" s="3"/>
      <c r="ENT30" s="3"/>
      <c r="ENU30" s="3"/>
      <c r="ENV30" s="3"/>
      <c r="ENW30" s="3"/>
      <c r="ENX30" s="3"/>
      <c r="ENY30" s="3"/>
      <c r="ENZ30" s="3"/>
      <c r="EOA30" s="3"/>
      <c r="EOB30" s="3"/>
      <c r="EOC30" s="3"/>
      <c r="EOD30" s="3"/>
      <c r="EOE30" s="3"/>
      <c r="EOF30" s="3"/>
      <c r="EOG30" s="3"/>
      <c r="EOH30" s="3"/>
      <c r="EOI30" s="3"/>
      <c r="EOJ30" s="3"/>
      <c r="EOK30" s="3"/>
      <c r="EOL30" s="3"/>
      <c r="EOM30" s="3"/>
      <c r="EON30" s="3"/>
      <c r="EOO30" s="3"/>
      <c r="EOP30" s="3"/>
      <c r="EOQ30" s="3"/>
      <c r="EOR30" s="3"/>
      <c r="EOS30" s="3"/>
      <c r="EOT30" s="3"/>
      <c r="EOU30" s="3"/>
      <c r="EOV30" s="3"/>
      <c r="EOW30" s="3"/>
      <c r="EOX30" s="3"/>
      <c r="EOY30" s="3"/>
      <c r="EOZ30" s="3"/>
      <c r="EPA30" s="3"/>
      <c r="EPB30" s="3"/>
      <c r="EPC30" s="3"/>
      <c r="EPD30" s="3"/>
      <c r="EPE30" s="3"/>
      <c r="EPF30" s="3"/>
      <c r="EPG30" s="3"/>
      <c r="EPH30" s="3"/>
      <c r="EPI30" s="3"/>
      <c r="EPJ30" s="3"/>
      <c r="EPK30" s="3"/>
      <c r="EPL30" s="3"/>
      <c r="EPM30" s="3"/>
      <c r="EPN30" s="3"/>
      <c r="EPO30" s="3"/>
      <c r="EPP30" s="3"/>
      <c r="EPQ30" s="3"/>
      <c r="EPR30" s="3"/>
      <c r="EPS30" s="3"/>
      <c r="EPT30" s="3"/>
      <c r="EPU30" s="3"/>
      <c r="EPV30" s="3"/>
      <c r="EPW30" s="3"/>
      <c r="EPX30" s="3"/>
      <c r="EPY30" s="3"/>
      <c r="EPZ30" s="3"/>
      <c r="EQA30" s="3"/>
      <c r="EQB30" s="3"/>
      <c r="EQC30" s="3"/>
      <c r="EQD30" s="3"/>
      <c r="EQE30" s="3"/>
      <c r="EQF30" s="3"/>
      <c r="EQG30" s="3"/>
      <c r="EQH30" s="3"/>
      <c r="EQI30" s="3"/>
      <c r="EQJ30" s="3"/>
      <c r="EQK30" s="3"/>
      <c r="EQL30" s="3"/>
      <c r="EQM30" s="3"/>
      <c r="EQN30" s="3"/>
      <c r="EQO30" s="3"/>
      <c r="EQP30" s="3"/>
      <c r="EQQ30" s="3"/>
      <c r="EQR30" s="3"/>
      <c r="EQS30" s="3"/>
      <c r="EQT30" s="3"/>
      <c r="EQU30" s="3"/>
      <c r="EQV30" s="3"/>
      <c r="EQW30" s="3"/>
      <c r="EQX30" s="3"/>
      <c r="EQY30" s="3"/>
      <c r="EQZ30" s="3"/>
      <c r="ERA30" s="3"/>
      <c r="ERB30" s="3"/>
      <c r="ERC30" s="3"/>
      <c r="ERD30" s="3"/>
      <c r="ERE30" s="3"/>
      <c r="ERF30" s="3"/>
      <c r="ERG30" s="3"/>
      <c r="ERH30" s="3"/>
      <c r="ERI30" s="3"/>
      <c r="ERJ30" s="3"/>
      <c r="ERK30" s="3"/>
      <c r="ERL30" s="3"/>
      <c r="ERM30" s="3"/>
      <c r="ERN30" s="3"/>
      <c r="ERO30" s="3"/>
      <c r="ERP30" s="3"/>
      <c r="ERQ30" s="3"/>
      <c r="ERR30" s="3"/>
      <c r="ERS30" s="3"/>
      <c r="ERT30" s="3"/>
      <c r="ERU30" s="3"/>
      <c r="ERV30" s="3"/>
      <c r="ERW30" s="3"/>
      <c r="ERX30" s="3"/>
      <c r="ERY30" s="3"/>
      <c r="ERZ30" s="3"/>
      <c r="ESA30" s="3"/>
      <c r="ESB30" s="3"/>
      <c r="ESC30" s="3"/>
      <c r="ESD30" s="3"/>
      <c r="ESE30" s="3"/>
      <c r="ESF30" s="3"/>
      <c r="ESG30" s="3"/>
      <c r="ESH30" s="3"/>
      <c r="ESI30" s="3"/>
      <c r="ESJ30" s="3"/>
      <c r="ESK30" s="3"/>
      <c r="ESL30" s="3"/>
      <c r="ESM30" s="3"/>
      <c r="ESN30" s="3"/>
      <c r="ESO30" s="3"/>
      <c r="ESP30" s="3"/>
      <c r="ESQ30" s="3"/>
      <c r="ESR30" s="3"/>
      <c r="ESS30" s="3"/>
      <c r="EST30" s="3"/>
      <c r="ESU30" s="3"/>
      <c r="ESV30" s="3"/>
      <c r="ESW30" s="3"/>
      <c r="ESX30" s="3"/>
      <c r="ESY30" s="3"/>
      <c r="ESZ30" s="3"/>
      <c r="ETA30" s="3"/>
      <c r="ETB30" s="3"/>
      <c r="ETC30" s="3"/>
      <c r="ETD30" s="3"/>
      <c r="ETE30" s="3"/>
      <c r="ETF30" s="3"/>
      <c r="ETG30" s="3"/>
      <c r="ETH30" s="3"/>
      <c r="ETI30" s="3"/>
      <c r="ETJ30" s="3"/>
      <c r="ETK30" s="3"/>
      <c r="ETL30" s="3"/>
      <c r="ETM30" s="3"/>
      <c r="ETN30" s="3"/>
      <c r="ETO30" s="3"/>
      <c r="ETP30" s="3"/>
      <c r="ETQ30" s="3"/>
      <c r="ETR30" s="3"/>
      <c r="ETS30" s="3"/>
      <c r="ETT30" s="3"/>
      <c r="ETU30" s="3"/>
      <c r="ETV30" s="3"/>
      <c r="ETW30" s="3"/>
      <c r="ETX30" s="3"/>
      <c r="ETY30" s="3"/>
      <c r="ETZ30" s="3"/>
      <c r="EUA30" s="3"/>
      <c r="EUB30" s="3"/>
      <c r="EUC30" s="3"/>
      <c r="EUD30" s="3"/>
      <c r="EUE30" s="3"/>
      <c r="EUF30" s="3"/>
      <c r="EUG30" s="3"/>
      <c r="EUH30" s="3"/>
      <c r="EUI30" s="3"/>
      <c r="EUJ30" s="3"/>
      <c r="EUK30" s="3"/>
      <c r="EUL30" s="3"/>
      <c r="EUM30" s="3"/>
      <c r="EUN30" s="3"/>
      <c r="EUO30" s="3"/>
      <c r="EUP30" s="3"/>
      <c r="EUQ30" s="3"/>
      <c r="EUR30" s="3"/>
      <c r="EUS30" s="3"/>
      <c r="EUT30" s="3"/>
      <c r="EUU30" s="3"/>
      <c r="EUV30" s="3"/>
      <c r="EUW30" s="3"/>
      <c r="EUX30" s="3"/>
      <c r="EUY30" s="3"/>
      <c r="EUZ30" s="3"/>
      <c r="EVA30" s="3"/>
      <c r="EVB30" s="3"/>
      <c r="EVC30" s="3"/>
      <c r="EVD30" s="3"/>
      <c r="EVE30" s="3"/>
      <c r="EVF30" s="3"/>
      <c r="EVG30" s="3"/>
      <c r="EVH30" s="3"/>
      <c r="EVI30" s="3"/>
      <c r="EVJ30" s="3"/>
      <c r="EVK30" s="3"/>
      <c r="EVL30" s="3"/>
      <c r="EVM30" s="3"/>
      <c r="EVN30" s="3"/>
      <c r="EVO30" s="3"/>
      <c r="EVP30" s="3"/>
      <c r="EVQ30" s="3"/>
      <c r="EVR30" s="3"/>
      <c r="EVS30" s="3"/>
      <c r="EVT30" s="3"/>
      <c r="EVU30" s="3"/>
      <c r="EVV30" s="3"/>
      <c r="EVW30" s="3"/>
      <c r="EVX30" s="3"/>
      <c r="EVY30" s="3"/>
      <c r="EVZ30" s="3"/>
      <c r="EWA30" s="3"/>
      <c r="EWB30" s="3"/>
      <c r="EWC30" s="3"/>
      <c r="EWD30" s="3"/>
      <c r="EWE30" s="3"/>
      <c r="EWF30" s="3"/>
      <c r="EWG30" s="3"/>
      <c r="EWH30" s="3"/>
      <c r="EWI30" s="3"/>
      <c r="EWJ30" s="3"/>
      <c r="EWK30" s="3"/>
      <c r="EWL30" s="3"/>
      <c r="EWM30" s="3"/>
      <c r="EWN30" s="3"/>
      <c r="EWO30" s="3"/>
      <c r="EWP30" s="3"/>
      <c r="EWQ30" s="3"/>
      <c r="EWR30" s="3"/>
      <c r="EWS30" s="3"/>
      <c r="EWT30" s="3"/>
      <c r="EWU30" s="3"/>
      <c r="EWV30" s="3"/>
      <c r="EWW30" s="3"/>
      <c r="EWX30" s="3"/>
      <c r="EWY30" s="3"/>
      <c r="EWZ30" s="3"/>
      <c r="EXA30" s="3"/>
      <c r="EXB30" s="3"/>
      <c r="EXC30" s="3"/>
      <c r="EXD30" s="3"/>
      <c r="EXE30" s="3"/>
      <c r="EXF30" s="3"/>
      <c r="EXG30" s="3"/>
      <c r="EXH30" s="3"/>
      <c r="EXI30" s="3"/>
      <c r="EXJ30" s="3"/>
      <c r="EXK30" s="3"/>
      <c r="EXL30" s="3"/>
      <c r="EXM30" s="3"/>
      <c r="EXN30" s="3"/>
      <c r="EXO30" s="3"/>
      <c r="EXP30" s="3"/>
      <c r="EXQ30" s="3"/>
      <c r="EXR30" s="3"/>
      <c r="EXS30" s="3"/>
      <c r="EXT30" s="3"/>
      <c r="EXU30" s="3"/>
      <c r="EXV30" s="3"/>
      <c r="EXW30" s="3"/>
      <c r="EXX30" s="3"/>
      <c r="EXY30" s="3"/>
      <c r="EXZ30" s="3"/>
      <c r="EYA30" s="3"/>
      <c r="EYB30" s="3"/>
      <c r="EYC30" s="3"/>
      <c r="EYD30" s="3"/>
      <c r="EYE30" s="3"/>
      <c r="EYF30" s="3"/>
      <c r="EYG30" s="3"/>
      <c r="EYH30" s="3"/>
      <c r="EYI30" s="3"/>
      <c r="EYJ30" s="3"/>
      <c r="EYK30" s="3"/>
      <c r="EYL30" s="3"/>
      <c r="EYM30" s="3"/>
      <c r="EYN30" s="3"/>
      <c r="EYO30" s="3"/>
      <c r="EYP30" s="3"/>
      <c r="EYQ30" s="3"/>
      <c r="EYR30" s="3"/>
      <c r="EYS30" s="3"/>
      <c r="EYT30" s="3"/>
      <c r="EYU30" s="3"/>
      <c r="EYV30" s="3"/>
      <c r="EYW30" s="3"/>
      <c r="EYX30" s="3"/>
      <c r="EYY30" s="3"/>
      <c r="EYZ30" s="3"/>
      <c r="EZA30" s="3"/>
      <c r="EZB30" s="3"/>
      <c r="EZC30" s="3"/>
      <c r="EZD30" s="3"/>
      <c r="EZE30" s="3"/>
      <c r="EZF30" s="3"/>
      <c r="EZG30" s="3"/>
      <c r="EZH30" s="3"/>
      <c r="EZI30" s="3"/>
      <c r="EZJ30" s="3"/>
      <c r="EZK30" s="3"/>
      <c r="EZL30" s="3"/>
      <c r="EZM30" s="3"/>
      <c r="EZN30" s="3"/>
      <c r="EZO30" s="3"/>
      <c r="EZP30" s="3"/>
      <c r="EZQ30" s="3"/>
      <c r="EZR30" s="3"/>
      <c r="EZS30" s="3"/>
      <c r="EZT30" s="3"/>
      <c r="EZU30" s="3"/>
      <c r="EZV30" s="3"/>
      <c r="EZW30" s="3"/>
      <c r="EZX30" s="3"/>
      <c r="EZY30" s="3"/>
      <c r="EZZ30" s="3"/>
      <c r="FAA30" s="3"/>
      <c r="FAB30" s="3"/>
      <c r="FAC30" s="3"/>
      <c r="FAD30" s="3"/>
      <c r="FAE30" s="3"/>
      <c r="FAF30" s="3"/>
      <c r="FAG30" s="3"/>
      <c r="FAH30" s="3"/>
      <c r="FAI30" s="3"/>
      <c r="FAJ30" s="3"/>
      <c r="FAK30" s="3"/>
      <c r="FAL30" s="3"/>
      <c r="FAM30" s="3"/>
      <c r="FAN30" s="3"/>
      <c r="FAO30" s="3"/>
      <c r="FAP30" s="3"/>
      <c r="FAQ30" s="3"/>
      <c r="FAR30" s="3"/>
      <c r="FAS30" s="3"/>
      <c r="FAT30" s="3"/>
      <c r="FAU30" s="3"/>
      <c r="FAV30" s="3"/>
      <c r="FAW30" s="3"/>
      <c r="FAX30" s="3"/>
      <c r="FAY30" s="3"/>
      <c r="FAZ30" s="3"/>
      <c r="FBA30" s="3"/>
      <c r="FBB30" s="3"/>
      <c r="FBC30" s="3"/>
      <c r="FBD30" s="3"/>
      <c r="FBE30" s="3"/>
      <c r="FBF30" s="3"/>
      <c r="FBG30" s="3"/>
      <c r="FBH30" s="3"/>
      <c r="FBI30" s="3"/>
      <c r="FBJ30" s="3"/>
      <c r="FBK30" s="3"/>
      <c r="FBL30" s="3"/>
      <c r="FBM30" s="3"/>
      <c r="FBN30" s="3"/>
      <c r="FBO30" s="3"/>
      <c r="FBP30" s="3"/>
      <c r="FBQ30" s="3"/>
      <c r="FBR30" s="3"/>
      <c r="FBS30" s="3"/>
      <c r="FBT30" s="3"/>
      <c r="FBU30" s="3"/>
      <c r="FBV30" s="3"/>
      <c r="FBW30" s="3"/>
      <c r="FBX30" s="3"/>
      <c r="FBY30" s="3"/>
      <c r="FBZ30" s="3"/>
      <c r="FCA30" s="3"/>
      <c r="FCB30" s="3"/>
      <c r="FCC30" s="3"/>
      <c r="FCD30" s="3"/>
      <c r="FCE30" s="3"/>
      <c r="FCF30" s="3"/>
      <c r="FCG30" s="3"/>
      <c r="FCH30" s="3"/>
      <c r="FCI30" s="3"/>
      <c r="FCJ30" s="3"/>
      <c r="FCK30" s="3"/>
      <c r="FCL30" s="3"/>
      <c r="FCM30" s="3"/>
      <c r="FCN30" s="3"/>
      <c r="FCO30" s="3"/>
      <c r="FCP30" s="3"/>
      <c r="FCQ30" s="3"/>
      <c r="FCR30" s="3"/>
      <c r="FCS30" s="3"/>
      <c r="FCT30" s="3"/>
      <c r="FCU30" s="3"/>
      <c r="FCV30" s="3"/>
      <c r="FCW30" s="3"/>
      <c r="FCX30" s="3"/>
      <c r="FCY30" s="3"/>
      <c r="FCZ30" s="3"/>
      <c r="FDA30" s="3"/>
      <c r="FDB30" s="3"/>
      <c r="FDC30" s="3"/>
      <c r="FDD30" s="3"/>
      <c r="FDE30" s="3"/>
      <c r="FDF30" s="3"/>
      <c r="FDG30" s="3"/>
      <c r="FDH30" s="3"/>
      <c r="FDI30" s="3"/>
      <c r="FDJ30" s="3"/>
      <c r="FDK30" s="3"/>
      <c r="FDL30" s="3"/>
      <c r="FDM30" s="3"/>
      <c r="FDN30" s="3"/>
      <c r="FDO30" s="3"/>
      <c r="FDP30" s="3"/>
      <c r="FDQ30" s="3"/>
      <c r="FDR30" s="3"/>
      <c r="FDS30" s="3"/>
      <c r="FDT30" s="3"/>
      <c r="FDU30" s="3"/>
      <c r="FDV30" s="3"/>
      <c r="FDW30" s="3"/>
      <c r="FDX30" s="3"/>
      <c r="FDY30" s="3"/>
      <c r="FDZ30" s="3"/>
      <c r="FEA30" s="3"/>
      <c r="FEB30" s="3"/>
      <c r="FEC30" s="3"/>
      <c r="FED30" s="3"/>
      <c r="FEE30" s="3"/>
      <c r="FEF30" s="3"/>
      <c r="FEG30" s="3"/>
      <c r="FEH30" s="3"/>
      <c r="FEI30" s="3"/>
      <c r="FEJ30" s="3"/>
      <c r="FEK30" s="3"/>
      <c r="FEL30" s="3"/>
      <c r="FEM30" s="3"/>
      <c r="FEN30" s="3"/>
      <c r="FEO30" s="3"/>
      <c r="FEP30" s="3"/>
      <c r="FEQ30" s="3"/>
      <c r="FER30" s="3"/>
      <c r="FES30" s="3"/>
      <c r="FET30" s="3"/>
      <c r="FEU30" s="3"/>
      <c r="FEV30" s="3"/>
      <c r="FEW30" s="3"/>
      <c r="FEX30" s="3"/>
      <c r="FEY30" s="3"/>
      <c r="FEZ30" s="3"/>
      <c r="FFA30" s="3"/>
      <c r="FFB30" s="3"/>
      <c r="FFC30" s="3"/>
      <c r="FFD30" s="3"/>
      <c r="FFE30" s="3"/>
      <c r="FFF30" s="3"/>
      <c r="FFG30" s="3"/>
      <c r="FFH30" s="3"/>
      <c r="FFI30" s="3"/>
      <c r="FFJ30" s="3"/>
      <c r="FFK30" s="3"/>
      <c r="FFL30" s="3"/>
      <c r="FFM30" s="3"/>
      <c r="FFN30" s="3"/>
      <c r="FFO30" s="3"/>
      <c r="FFP30" s="3"/>
      <c r="FFQ30" s="3"/>
      <c r="FFR30" s="3"/>
      <c r="FFS30" s="3"/>
      <c r="FFT30" s="3"/>
      <c r="FFU30" s="3"/>
      <c r="FFV30" s="3"/>
      <c r="FFW30" s="3"/>
      <c r="FFX30" s="3"/>
      <c r="FFY30" s="3"/>
      <c r="FFZ30" s="3"/>
      <c r="FGA30" s="3"/>
      <c r="FGB30" s="3"/>
      <c r="FGC30" s="3"/>
      <c r="FGD30" s="3"/>
      <c r="FGE30" s="3"/>
      <c r="FGF30" s="3"/>
      <c r="FGG30" s="3"/>
      <c r="FGH30" s="3"/>
      <c r="FGI30" s="3"/>
      <c r="FGJ30" s="3"/>
      <c r="FGK30" s="3"/>
      <c r="FGL30" s="3"/>
      <c r="FGM30" s="3"/>
      <c r="FGN30" s="3"/>
      <c r="FGO30" s="3"/>
      <c r="FGP30" s="3"/>
      <c r="FGQ30" s="3"/>
      <c r="FGR30" s="3"/>
      <c r="FGS30" s="3"/>
      <c r="FGT30" s="3"/>
      <c r="FGU30" s="3"/>
      <c r="FGV30" s="3"/>
      <c r="FGW30" s="3"/>
      <c r="FGX30" s="3"/>
      <c r="FGY30" s="3"/>
      <c r="FGZ30" s="3"/>
      <c r="FHA30" s="3"/>
      <c r="FHB30" s="3"/>
      <c r="FHC30" s="3"/>
      <c r="FHD30" s="3"/>
      <c r="FHE30" s="3"/>
      <c r="FHF30" s="3"/>
      <c r="FHG30" s="3"/>
      <c r="FHH30" s="3"/>
      <c r="FHI30" s="3"/>
      <c r="FHJ30" s="3"/>
      <c r="FHK30" s="3"/>
      <c r="FHL30" s="3"/>
      <c r="FHM30" s="3"/>
      <c r="FHN30" s="3"/>
      <c r="FHO30" s="3"/>
      <c r="FHP30" s="3"/>
      <c r="FHQ30" s="3"/>
      <c r="FHR30" s="3"/>
      <c r="FHS30" s="3"/>
      <c r="FHT30" s="3"/>
      <c r="FHU30" s="3"/>
      <c r="FHV30" s="3"/>
      <c r="FHW30" s="3"/>
      <c r="FHX30" s="3"/>
      <c r="FHY30" s="3"/>
      <c r="FHZ30" s="3"/>
      <c r="FIA30" s="3"/>
      <c r="FIB30" s="3"/>
      <c r="FIC30" s="3"/>
      <c r="FID30" s="3"/>
      <c r="FIE30" s="3"/>
      <c r="FIF30" s="3"/>
      <c r="FIG30" s="3"/>
      <c r="FIH30" s="3"/>
      <c r="FII30" s="3"/>
      <c r="FIJ30" s="3"/>
      <c r="FIK30" s="3"/>
      <c r="FIL30" s="3"/>
      <c r="FIM30" s="3"/>
      <c r="FIN30" s="3"/>
      <c r="FIO30" s="3"/>
      <c r="FIP30" s="3"/>
      <c r="FIQ30" s="3"/>
      <c r="FIR30" s="3"/>
      <c r="FIS30" s="3"/>
      <c r="FIT30" s="3"/>
      <c r="FIU30" s="3"/>
      <c r="FIV30" s="3"/>
      <c r="FIW30" s="3"/>
      <c r="FIX30" s="3"/>
      <c r="FIY30" s="3"/>
      <c r="FIZ30" s="3"/>
      <c r="FJA30" s="3"/>
      <c r="FJB30" s="3"/>
      <c r="FJC30" s="3"/>
      <c r="FJD30" s="3"/>
      <c r="FJE30" s="3"/>
      <c r="FJF30" s="3"/>
      <c r="FJG30" s="3"/>
      <c r="FJH30" s="3"/>
      <c r="FJI30" s="3"/>
      <c r="FJJ30" s="3"/>
      <c r="FJK30" s="3"/>
      <c r="FJL30" s="3"/>
      <c r="FJM30" s="3"/>
      <c r="FJN30" s="3"/>
      <c r="FJO30" s="3"/>
      <c r="FJP30" s="3"/>
      <c r="FJQ30" s="3"/>
      <c r="FJR30" s="3"/>
      <c r="FJS30" s="3"/>
      <c r="FJT30" s="3"/>
      <c r="FJU30" s="3"/>
      <c r="FJV30" s="3"/>
      <c r="FJW30" s="3"/>
      <c r="FJX30" s="3"/>
      <c r="FJY30" s="3"/>
      <c r="FJZ30" s="3"/>
      <c r="FKA30" s="3"/>
      <c r="FKB30" s="3"/>
      <c r="FKC30" s="3"/>
      <c r="FKD30" s="3"/>
      <c r="FKE30" s="3"/>
      <c r="FKF30" s="3"/>
      <c r="FKG30" s="3"/>
      <c r="FKH30" s="3"/>
      <c r="FKI30" s="3"/>
      <c r="FKJ30" s="3"/>
      <c r="FKK30" s="3"/>
      <c r="FKL30" s="3"/>
      <c r="FKM30" s="3"/>
      <c r="FKN30" s="3"/>
      <c r="FKO30" s="3"/>
      <c r="FKP30" s="3"/>
      <c r="FKQ30" s="3"/>
      <c r="FKR30" s="3"/>
      <c r="FKS30" s="3"/>
      <c r="FKT30" s="3"/>
      <c r="FKU30" s="3"/>
      <c r="FKV30" s="3"/>
      <c r="FKW30" s="3"/>
      <c r="FKX30" s="3"/>
      <c r="FKY30" s="3"/>
      <c r="FKZ30" s="3"/>
      <c r="FLA30" s="3"/>
      <c r="FLB30" s="3"/>
      <c r="FLC30" s="3"/>
      <c r="FLD30" s="3"/>
      <c r="FLE30" s="3"/>
      <c r="FLF30" s="3"/>
      <c r="FLG30" s="3"/>
      <c r="FLH30" s="3"/>
      <c r="FLI30" s="3"/>
      <c r="FLJ30" s="3"/>
      <c r="FLK30" s="3"/>
      <c r="FLL30" s="3"/>
      <c r="FLM30" s="3"/>
      <c r="FLN30" s="3"/>
      <c r="FLO30" s="3"/>
      <c r="FLP30" s="3"/>
      <c r="FLQ30" s="3"/>
      <c r="FLR30" s="3"/>
      <c r="FLS30" s="3"/>
      <c r="FLT30" s="3"/>
      <c r="FLU30" s="3"/>
      <c r="FLV30" s="3"/>
      <c r="FLW30" s="3"/>
      <c r="FLX30" s="3"/>
      <c r="FLY30" s="3"/>
      <c r="FLZ30" s="3"/>
      <c r="FMA30" s="3"/>
      <c r="FMB30" s="3"/>
      <c r="FMC30" s="3"/>
      <c r="FMD30" s="3"/>
      <c r="FME30" s="3"/>
      <c r="FMF30" s="3"/>
      <c r="FMG30" s="3"/>
      <c r="FMH30" s="3"/>
      <c r="FMI30" s="3"/>
      <c r="FMJ30" s="3"/>
      <c r="FMK30" s="3"/>
      <c r="FML30" s="3"/>
      <c r="FMM30" s="3"/>
      <c r="FMN30" s="3"/>
      <c r="FMO30" s="3"/>
      <c r="FMP30" s="3"/>
      <c r="FMQ30" s="3"/>
      <c r="FMR30" s="3"/>
      <c r="FMS30" s="3"/>
      <c r="FMT30" s="3"/>
      <c r="FMU30" s="3"/>
      <c r="FMV30" s="3"/>
      <c r="FMW30" s="3"/>
      <c r="FMX30" s="3"/>
      <c r="FMY30" s="3"/>
      <c r="FMZ30" s="3"/>
      <c r="FNA30" s="3"/>
      <c r="FNB30" s="3"/>
      <c r="FNC30" s="3"/>
      <c r="FND30" s="3"/>
      <c r="FNE30" s="3"/>
      <c r="FNF30" s="3"/>
      <c r="FNG30" s="3"/>
      <c r="FNH30" s="3"/>
      <c r="FNI30" s="3"/>
      <c r="FNJ30" s="3"/>
      <c r="FNK30" s="3"/>
      <c r="FNL30" s="3"/>
      <c r="FNM30" s="3"/>
      <c r="FNN30" s="3"/>
      <c r="FNO30" s="3"/>
      <c r="FNP30" s="3"/>
      <c r="FNQ30" s="3"/>
      <c r="FNR30" s="3"/>
      <c r="FNS30" s="3"/>
      <c r="FNT30" s="3"/>
      <c r="FNU30" s="3"/>
      <c r="FNV30" s="3"/>
      <c r="FNW30" s="3"/>
      <c r="FNX30" s="3"/>
      <c r="FNY30" s="3"/>
      <c r="FNZ30" s="3"/>
      <c r="FOA30" s="3"/>
      <c r="FOB30" s="3"/>
      <c r="FOC30" s="3"/>
      <c r="FOD30" s="3"/>
      <c r="FOE30" s="3"/>
      <c r="FOF30" s="3"/>
      <c r="FOG30" s="3"/>
      <c r="FOH30" s="3"/>
      <c r="FOI30" s="3"/>
      <c r="FOJ30" s="3"/>
      <c r="FOK30" s="3"/>
      <c r="FOL30" s="3"/>
      <c r="FOM30" s="3"/>
      <c r="FON30" s="3"/>
      <c r="FOO30" s="3"/>
      <c r="FOP30" s="3"/>
      <c r="FOQ30" s="3"/>
      <c r="FOR30" s="3"/>
      <c r="FOS30" s="3"/>
      <c r="FOT30" s="3"/>
      <c r="FOU30" s="3"/>
      <c r="FOV30" s="3"/>
      <c r="FOW30" s="3"/>
      <c r="FOX30" s="3"/>
      <c r="FOY30" s="3"/>
      <c r="FOZ30" s="3"/>
      <c r="FPA30" s="3"/>
      <c r="FPB30" s="3"/>
      <c r="FPC30" s="3"/>
      <c r="FPD30" s="3"/>
      <c r="FPE30" s="3"/>
      <c r="FPF30" s="3"/>
      <c r="FPG30" s="3"/>
      <c r="FPH30" s="3"/>
      <c r="FPI30" s="3"/>
      <c r="FPJ30" s="3"/>
      <c r="FPK30" s="3"/>
      <c r="FPL30" s="3"/>
      <c r="FPM30" s="3"/>
      <c r="FPN30" s="3"/>
      <c r="FPO30" s="3"/>
      <c r="FPP30" s="3"/>
      <c r="FPQ30" s="3"/>
      <c r="FPR30" s="3"/>
      <c r="FPS30" s="3"/>
      <c r="FPT30" s="3"/>
      <c r="FPU30" s="3"/>
      <c r="FPV30" s="3"/>
      <c r="FPW30" s="3"/>
      <c r="FPX30" s="3"/>
      <c r="FPY30" s="3"/>
      <c r="FPZ30" s="3"/>
      <c r="FQA30" s="3"/>
      <c r="FQB30" s="3"/>
      <c r="FQC30" s="3"/>
      <c r="FQD30" s="3"/>
      <c r="FQE30" s="3"/>
      <c r="FQF30" s="3"/>
      <c r="FQG30" s="3"/>
      <c r="FQH30" s="3"/>
      <c r="FQI30" s="3"/>
      <c r="FQJ30" s="3"/>
      <c r="FQK30" s="3"/>
      <c r="FQL30" s="3"/>
      <c r="FQM30" s="3"/>
      <c r="FQN30" s="3"/>
      <c r="FQO30" s="3"/>
      <c r="FQP30" s="3"/>
      <c r="FQQ30" s="3"/>
      <c r="FQR30" s="3"/>
      <c r="FQS30" s="3"/>
      <c r="FQT30" s="3"/>
      <c r="FQU30" s="3"/>
      <c r="FQV30" s="3"/>
      <c r="FQW30" s="3"/>
      <c r="FQX30" s="3"/>
      <c r="FQY30" s="3"/>
      <c r="FQZ30" s="3"/>
      <c r="FRA30" s="3"/>
      <c r="FRB30" s="3"/>
      <c r="FRC30" s="3"/>
      <c r="FRD30" s="3"/>
      <c r="FRE30" s="3"/>
      <c r="FRF30" s="3"/>
      <c r="FRG30" s="3"/>
      <c r="FRH30" s="3"/>
      <c r="FRI30" s="3"/>
      <c r="FRJ30" s="3"/>
      <c r="FRK30" s="3"/>
      <c r="FRL30" s="3"/>
      <c r="FRM30" s="3"/>
      <c r="FRN30" s="3"/>
      <c r="FRO30" s="3"/>
      <c r="FRP30" s="3"/>
      <c r="FRQ30" s="3"/>
      <c r="FRR30" s="3"/>
      <c r="FRS30" s="3"/>
      <c r="FRT30" s="3"/>
      <c r="FRU30" s="3"/>
      <c r="FRV30" s="3"/>
      <c r="FRW30" s="3"/>
      <c r="FRX30" s="3"/>
      <c r="FRY30" s="3"/>
      <c r="FRZ30" s="3"/>
      <c r="FSA30" s="3"/>
      <c r="FSB30" s="3"/>
      <c r="FSC30" s="3"/>
      <c r="FSD30" s="3"/>
      <c r="FSE30" s="3"/>
      <c r="FSF30" s="3"/>
      <c r="FSG30" s="3"/>
      <c r="FSH30" s="3"/>
      <c r="FSI30" s="3"/>
      <c r="FSJ30" s="3"/>
      <c r="FSK30" s="3"/>
      <c r="FSL30" s="3"/>
      <c r="FSM30" s="3"/>
      <c r="FSN30" s="3"/>
      <c r="FSO30" s="3"/>
      <c r="FSP30" s="3"/>
      <c r="FSQ30" s="3"/>
      <c r="FSR30" s="3"/>
      <c r="FSS30" s="3"/>
      <c r="FST30" s="3"/>
      <c r="FSU30" s="3"/>
      <c r="FSV30" s="3"/>
      <c r="FSW30" s="3"/>
      <c r="FSX30" s="3"/>
      <c r="FSY30" s="3"/>
      <c r="FSZ30" s="3"/>
      <c r="FTA30" s="3"/>
      <c r="FTB30" s="3"/>
      <c r="FTC30" s="3"/>
      <c r="FTD30" s="3"/>
      <c r="FTE30" s="3"/>
      <c r="FTF30" s="3"/>
      <c r="FTG30" s="3"/>
      <c r="FTH30" s="3"/>
      <c r="FTI30" s="3"/>
      <c r="FTJ30" s="3"/>
      <c r="FTK30" s="3"/>
      <c r="FTL30" s="3"/>
      <c r="FTM30" s="3"/>
      <c r="FTN30" s="3"/>
      <c r="FTO30" s="3"/>
      <c r="FTP30" s="3"/>
      <c r="FTQ30" s="3"/>
      <c r="FTR30" s="3"/>
      <c r="FTS30" s="3"/>
      <c r="FTT30" s="3"/>
      <c r="FTU30" s="3"/>
      <c r="FTV30" s="3"/>
      <c r="FTW30" s="3"/>
      <c r="FTX30" s="3"/>
      <c r="FTY30" s="3"/>
      <c r="FTZ30" s="3"/>
      <c r="FUA30" s="3"/>
      <c r="FUB30" s="3"/>
      <c r="FUC30" s="3"/>
      <c r="FUD30" s="3"/>
      <c r="FUE30" s="3"/>
      <c r="FUF30" s="3"/>
      <c r="FUG30" s="3"/>
      <c r="FUH30" s="3"/>
      <c r="FUI30" s="3"/>
      <c r="FUJ30" s="3"/>
      <c r="FUK30" s="3"/>
      <c r="FUL30" s="3"/>
      <c r="FUM30" s="3"/>
      <c r="FUN30" s="3"/>
      <c r="FUO30" s="3"/>
      <c r="FUP30" s="3"/>
      <c r="FUQ30" s="3"/>
      <c r="FUR30" s="3"/>
      <c r="FUS30" s="3"/>
      <c r="FUT30" s="3"/>
      <c r="FUU30" s="3"/>
      <c r="FUV30" s="3"/>
      <c r="FUW30" s="3"/>
      <c r="FUX30" s="3"/>
      <c r="FUY30" s="3"/>
      <c r="FUZ30" s="3"/>
      <c r="FVA30" s="3"/>
      <c r="FVB30" s="3"/>
      <c r="FVC30" s="3"/>
      <c r="FVD30" s="3"/>
      <c r="FVE30" s="3"/>
      <c r="FVF30" s="3"/>
      <c r="FVG30" s="3"/>
      <c r="FVH30" s="3"/>
      <c r="FVI30" s="3"/>
      <c r="FVJ30" s="3"/>
      <c r="FVK30" s="3"/>
      <c r="FVL30" s="3"/>
      <c r="FVM30" s="3"/>
      <c r="FVN30" s="3"/>
      <c r="FVO30" s="3"/>
      <c r="FVP30" s="3"/>
      <c r="FVQ30" s="3"/>
      <c r="FVR30" s="3"/>
      <c r="FVS30" s="3"/>
      <c r="FVT30" s="3"/>
      <c r="FVU30" s="3"/>
      <c r="FVV30" s="3"/>
      <c r="FVW30" s="3"/>
      <c r="FVX30" s="3"/>
      <c r="FVY30" s="3"/>
      <c r="FVZ30" s="3"/>
      <c r="FWA30" s="3"/>
      <c r="FWB30" s="3"/>
      <c r="FWC30" s="3"/>
      <c r="FWD30" s="3"/>
      <c r="FWE30" s="3"/>
      <c r="FWF30" s="3"/>
      <c r="FWG30" s="3"/>
      <c r="FWH30" s="3"/>
      <c r="FWI30" s="3"/>
      <c r="FWJ30" s="3"/>
      <c r="FWK30" s="3"/>
      <c r="FWL30" s="3"/>
      <c r="FWM30" s="3"/>
      <c r="FWN30" s="3"/>
      <c r="FWO30" s="3"/>
      <c r="FWP30" s="3"/>
      <c r="FWQ30" s="3"/>
      <c r="FWR30" s="3"/>
      <c r="FWS30" s="3"/>
      <c r="FWT30" s="3"/>
      <c r="FWU30" s="3"/>
      <c r="FWV30" s="3"/>
      <c r="FWW30" s="3"/>
      <c r="FWX30" s="3"/>
      <c r="FWY30" s="3"/>
      <c r="FWZ30" s="3"/>
      <c r="FXA30" s="3"/>
      <c r="FXB30" s="3"/>
      <c r="FXC30" s="3"/>
      <c r="FXD30" s="3"/>
      <c r="FXE30" s="3"/>
      <c r="FXF30" s="3"/>
      <c r="FXG30" s="3"/>
      <c r="FXH30" s="3"/>
      <c r="FXI30" s="3"/>
      <c r="FXJ30" s="3"/>
      <c r="FXK30" s="3"/>
      <c r="FXL30" s="3"/>
      <c r="FXM30" s="3"/>
      <c r="FXN30" s="3"/>
      <c r="FXO30" s="3"/>
      <c r="FXP30" s="3"/>
      <c r="FXQ30" s="3"/>
      <c r="FXR30" s="3"/>
      <c r="FXS30" s="3"/>
      <c r="FXT30" s="3"/>
      <c r="FXU30" s="3"/>
      <c r="FXV30" s="3"/>
      <c r="FXW30" s="3"/>
      <c r="FXX30" s="3"/>
      <c r="FXY30" s="3"/>
      <c r="FXZ30" s="3"/>
      <c r="FYA30" s="3"/>
      <c r="FYB30" s="3"/>
      <c r="FYC30" s="3"/>
      <c r="FYD30" s="3"/>
      <c r="FYE30" s="3"/>
      <c r="FYF30" s="3"/>
      <c r="FYG30" s="3"/>
      <c r="FYH30" s="3"/>
      <c r="FYI30" s="3"/>
      <c r="FYJ30" s="3"/>
      <c r="FYK30" s="3"/>
      <c r="FYL30" s="3"/>
      <c r="FYM30" s="3"/>
      <c r="FYN30" s="3"/>
      <c r="FYO30" s="3"/>
      <c r="FYP30" s="3"/>
      <c r="FYQ30" s="3"/>
      <c r="FYR30" s="3"/>
      <c r="FYS30" s="3"/>
      <c r="FYT30" s="3"/>
      <c r="FYU30" s="3"/>
      <c r="FYV30" s="3"/>
      <c r="FYW30" s="3"/>
      <c r="FYX30" s="3"/>
      <c r="FYY30" s="3"/>
      <c r="FYZ30" s="3"/>
      <c r="FZA30" s="3"/>
      <c r="FZB30" s="3"/>
      <c r="FZC30" s="3"/>
      <c r="FZD30" s="3"/>
      <c r="FZE30" s="3"/>
      <c r="FZF30" s="3"/>
      <c r="FZG30" s="3"/>
      <c r="FZH30" s="3"/>
      <c r="FZI30" s="3"/>
      <c r="FZJ30" s="3"/>
      <c r="FZK30" s="3"/>
      <c r="FZL30" s="3"/>
      <c r="FZM30" s="3"/>
      <c r="FZN30" s="3"/>
      <c r="FZO30" s="3"/>
      <c r="FZP30" s="3"/>
      <c r="FZQ30" s="3"/>
      <c r="FZR30" s="3"/>
      <c r="FZS30" s="3"/>
      <c r="FZT30" s="3"/>
      <c r="FZU30" s="3"/>
      <c r="FZV30" s="3"/>
      <c r="FZW30" s="3"/>
      <c r="FZX30" s="3"/>
      <c r="FZY30" s="3"/>
      <c r="FZZ30" s="3"/>
      <c r="GAA30" s="3"/>
      <c r="GAB30" s="3"/>
      <c r="GAC30" s="3"/>
      <c r="GAD30" s="3"/>
      <c r="GAE30" s="3"/>
      <c r="GAF30" s="3"/>
      <c r="GAG30" s="3"/>
      <c r="GAH30" s="3"/>
      <c r="GAI30" s="3"/>
      <c r="GAJ30" s="3"/>
      <c r="GAK30" s="3"/>
      <c r="GAL30" s="3"/>
      <c r="GAM30" s="3"/>
      <c r="GAN30" s="3"/>
      <c r="GAO30" s="3"/>
      <c r="GAP30" s="3"/>
      <c r="GAQ30" s="3"/>
      <c r="GAR30" s="3"/>
      <c r="GAS30" s="3"/>
      <c r="GAT30" s="3"/>
      <c r="GAU30" s="3"/>
      <c r="GAV30" s="3"/>
      <c r="GAW30" s="3"/>
      <c r="GAX30" s="3"/>
      <c r="GAY30" s="3"/>
      <c r="GAZ30" s="3"/>
      <c r="GBA30" s="3"/>
      <c r="GBB30" s="3"/>
      <c r="GBC30" s="3"/>
      <c r="GBD30" s="3"/>
      <c r="GBE30" s="3"/>
      <c r="GBF30" s="3"/>
      <c r="GBG30" s="3"/>
      <c r="GBH30" s="3"/>
      <c r="GBI30" s="3"/>
      <c r="GBJ30" s="3"/>
      <c r="GBK30" s="3"/>
      <c r="GBL30" s="3"/>
      <c r="GBM30" s="3"/>
      <c r="GBN30" s="3"/>
      <c r="GBO30" s="3"/>
      <c r="GBP30" s="3"/>
      <c r="GBQ30" s="3"/>
      <c r="GBR30" s="3"/>
      <c r="GBS30" s="3"/>
      <c r="GBT30" s="3"/>
      <c r="GBU30" s="3"/>
      <c r="GBV30" s="3"/>
      <c r="GBW30" s="3"/>
      <c r="GBX30" s="3"/>
      <c r="GBY30" s="3"/>
      <c r="GBZ30" s="3"/>
      <c r="GCA30" s="3"/>
      <c r="GCB30" s="3"/>
      <c r="GCC30" s="3"/>
      <c r="GCD30" s="3"/>
      <c r="GCE30" s="3"/>
      <c r="GCF30" s="3"/>
      <c r="GCG30" s="3"/>
      <c r="GCH30" s="3"/>
      <c r="GCI30" s="3"/>
      <c r="GCJ30" s="3"/>
      <c r="GCK30" s="3"/>
      <c r="GCL30" s="3"/>
      <c r="GCM30" s="3"/>
      <c r="GCN30" s="3"/>
      <c r="GCO30" s="3"/>
      <c r="GCP30" s="3"/>
      <c r="GCQ30" s="3"/>
      <c r="GCR30" s="3"/>
      <c r="GCS30" s="3"/>
      <c r="GCT30" s="3"/>
      <c r="GCU30" s="3"/>
      <c r="GCV30" s="3"/>
      <c r="GCW30" s="3"/>
      <c r="GCX30" s="3"/>
      <c r="GCY30" s="3"/>
      <c r="GCZ30" s="3"/>
      <c r="GDA30" s="3"/>
      <c r="GDB30" s="3"/>
      <c r="GDC30" s="3"/>
      <c r="GDD30" s="3"/>
      <c r="GDE30" s="3"/>
      <c r="GDF30" s="3"/>
      <c r="GDG30" s="3"/>
      <c r="GDH30" s="3"/>
      <c r="GDI30" s="3"/>
      <c r="GDJ30" s="3"/>
      <c r="GDK30" s="3"/>
      <c r="GDL30" s="3"/>
      <c r="GDM30" s="3"/>
      <c r="GDN30" s="3"/>
      <c r="GDO30" s="3"/>
      <c r="GDP30" s="3"/>
      <c r="GDQ30" s="3"/>
      <c r="GDR30" s="3"/>
      <c r="GDS30" s="3"/>
      <c r="GDT30" s="3"/>
      <c r="GDU30" s="3"/>
      <c r="GDV30" s="3"/>
      <c r="GDW30" s="3"/>
      <c r="GDX30" s="3"/>
      <c r="GDY30" s="3"/>
      <c r="GDZ30" s="3"/>
      <c r="GEA30" s="3"/>
      <c r="GEB30" s="3"/>
      <c r="GEC30" s="3"/>
      <c r="GED30" s="3"/>
      <c r="GEE30" s="3"/>
      <c r="GEF30" s="3"/>
      <c r="GEG30" s="3"/>
      <c r="GEH30" s="3"/>
      <c r="GEI30" s="3"/>
      <c r="GEJ30" s="3"/>
      <c r="GEK30" s="3"/>
      <c r="GEL30" s="3"/>
      <c r="GEM30" s="3"/>
      <c r="GEN30" s="3"/>
      <c r="GEO30" s="3"/>
      <c r="GEP30" s="3"/>
      <c r="GEQ30" s="3"/>
      <c r="GER30" s="3"/>
      <c r="GES30" s="3"/>
      <c r="GET30" s="3"/>
      <c r="GEU30" s="3"/>
      <c r="GEV30" s="3"/>
      <c r="GEW30" s="3"/>
      <c r="GEX30" s="3"/>
      <c r="GEY30" s="3"/>
      <c r="GEZ30" s="3"/>
      <c r="GFA30" s="3"/>
      <c r="GFB30" s="3"/>
      <c r="GFC30" s="3"/>
      <c r="GFD30" s="3"/>
      <c r="GFE30" s="3"/>
      <c r="GFF30" s="3"/>
      <c r="GFG30" s="3"/>
      <c r="GFH30" s="3"/>
      <c r="GFI30" s="3"/>
      <c r="GFJ30" s="3"/>
      <c r="GFK30" s="3"/>
      <c r="GFL30" s="3"/>
      <c r="GFM30" s="3"/>
      <c r="GFN30" s="3"/>
      <c r="GFO30" s="3"/>
      <c r="GFP30" s="3"/>
      <c r="GFQ30" s="3"/>
      <c r="GFR30" s="3"/>
      <c r="GFS30" s="3"/>
      <c r="GFT30" s="3"/>
      <c r="GFU30" s="3"/>
      <c r="GFV30" s="3"/>
      <c r="GFW30" s="3"/>
      <c r="GFX30" s="3"/>
      <c r="GFY30" s="3"/>
      <c r="GFZ30" s="3"/>
      <c r="GGA30" s="3"/>
      <c r="GGB30" s="3"/>
      <c r="GGC30" s="3"/>
      <c r="GGD30" s="3"/>
      <c r="GGE30" s="3"/>
      <c r="GGF30" s="3"/>
      <c r="GGG30" s="3"/>
      <c r="GGH30" s="3"/>
      <c r="GGI30" s="3"/>
      <c r="GGJ30" s="3"/>
      <c r="GGK30" s="3"/>
      <c r="GGL30" s="3"/>
      <c r="GGM30" s="3"/>
      <c r="GGN30" s="3"/>
      <c r="GGO30" s="3"/>
      <c r="GGP30" s="3"/>
      <c r="GGQ30" s="3"/>
      <c r="GGR30" s="3"/>
      <c r="GGS30" s="3"/>
      <c r="GGT30" s="3"/>
      <c r="GGU30" s="3"/>
      <c r="GGV30" s="3"/>
      <c r="GGW30" s="3"/>
      <c r="GGX30" s="3"/>
      <c r="GGY30" s="3"/>
      <c r="GGZ30" s="3"/>
      <c r="GHA30" s="3"/>
      <c r="GHB30" s="3"/>
      <c r="GHC30" s="3"/>
      <c r="GHD30" s="3"/>
      <c r="GHE30" s="3"/>
      <c r="GHF30" s="3"/>
      <c r="GHG30" s="3"/>
      <c r="GHH30" s="3"/>
      <c r="GHI30" s="3"/>
      <c r="GHJ30" s="3"/>
      <c r="GHK30" s="3"/>
      <c r="GHL30" s="3"/>
      <c r="GHM30" s="3"/>
      <c r="GHN30" s="3"/>
      <c r="GHO30" s="3"/>
      <c r="GHP30" s="3"/>
      <c r="GHQ30" s="3"/>
      <c r="GHR30" s="3"/>
      <c r="GHS30" s="3"/>
      <c r="GHT30" s="3"/>
      <c r="GHU30" s="3"/>
      <c r="GHV30" s="3"/>
      <c r="GHW30" s="3"/>
      <c r="GHX30" s="3"/>
      <c r="GHY30" s="3"/>
      <c r="GHZ30" s="3"/>
      <c r="GIA30" s="3"/>
      <c r="GIB30" s="3"/>
      <c r="GIC30" s="3"/>
      <c r="GID30" s="3"/>
      <c r="GIE30" s="3"/>
      <c r="GIF30" s="3"/>
      <c r="GIG30" s="3"/>
      <c r="GIH30" s="3"/>
      <c r="GII30" s="3"/>
      <c r="GIJ30" s="3"/>
      <c r="GIK30" s="3"/>
      <c r="GIL30" s="3"/>
      <c r="GIM30" s="3"/>
      <c r="GIN30" s="3"/>
      <c r="GIO30" s="3"/>
      <c r="GIP30" s="3"/>
      <c r="GIQ30" s="3"/>
      <c r="GIR30" s="3"/>
      <c r="GIS30" s="3"/>
      <c r="GIT30" s="3"/>
      <c r="GIU30" s="3"/>
      <c r="GIV30" s="3"/>
      <c r="GIW30" s="3"/>
      <c r="GIX30" s="3"/>
      <c r="GIY30" s="3"/>
      <c r="GIZ30" s="3"/>
      <c r="GJA30" s="3"/>
      <c r="GJB30" s="3"/>
      <c r="GJC30" s="3"/>
      <c r="GJD30" s="3"/>
      <c r="GJE30" s="3"/>
      <c r="GJF30" s="3"/>
      <c r="GJG30" s="3"/>
      <c r="GJH30" s="3"/>
      <c r="GJI30" s="3"/>
      <c r="GJJ30" s="3"/>
      <c r="GJK30" s="3"/>
      <c r="GJL30" s="3"/>
      <c r="GJM30" s="3"/>
      <c r="GJN30" s="3"/>
      <c r="GJO30" s="3"/>
      <c r="GJP30" s="3"/>
      <c r="GJQ30" s="3"/>
      <c r="GJR30" s="3"/>
      <c r="GJS30" s="3"/>
      <c r="GJT30" s="3"/>
      <c r="GJU30" s="3"/>
      <c r="GJV30" s="3"/>
      <c r="GJW30" s="3"/>
      <c r="GJX30" s="3"/>
      <c r="GJY30" s="3"/>
      <c r="GJZ30" s="3"/>
      <c r="GKA30" s="3"/>
      <c r="GKB30" s="3"/>
      <c r="GKC30" s="3"/>
      <c r="GKD30" s="3"/>
      <c r="GKE30" s="3"/>
      <c r="GKF30" s="3"/>
      <c r="GKG30" s="3"/>
      <c r="GKH30" s="3"/>
      <c r="GKI30" s="3"/>
      <c r="GKJ30" s="3"/>
      <c r="GKK30" s="3"/>
      <c r="GKL30" s="3"/>
      <c r="GKM30" s="3"/>
      <c r="GKN30" s="3"/>
      <c r="GKO30" s="3"/>
      <c r="GKP30" s="3"/>
      <c r="GKQ30" s="3"/>
      <c r="GKR30" s="3"/>
      <c r="GKS30" s="3"/>
      <c r="GKT30" s="3"/>
      <c r="GKU30" s="3"/>
      <c r="GKV30" s="3"/>
      <c r="GKW30" s="3"/>
      <c r="GKX30" s="3"/>
      <c r="GKY30" s="3"/>
      <c r="GKZ30" s="3"/>
      <c r="GLA30" s="3"/>
      <c r="GLB30" s="3"/>
      <c r="GLC30" s="3"/>
      <c r="GLD30" s="3"/>
      <c r="GLE30" s="3"/>
      <c r="GLF30" s="3"/>
      <c r="GLG30" s="3"/>
      <c r="GLH30" s="3"/>
      <c r="GLI30" s="3"/>
      <c r="GLJ30" s="3"/>
      <c r="GLK30" s="3"/>
      <c r="GLL30" s="3"/>
      <c r="GLM30" s="3"/>
      <c r="GLN30" s="3"/>
      <c r="GLO30" s="3"/>
      <c r="GLP30" s="3"/>
      <c r="GLQ30" s="3"/>
      <c r="GLR30" s="3"/>
      <c r="GLS30" s="3"/>
      <c r="GLT30" s="3"/>
      <c r="GLU30" s="3"/>
      <c r="GLV30" s="3"/>
      <c r="GLW30" s="3"/>
      <c r="GLX30" s="3"/>
      <c r="GLY30" s="3"/>
      <c r="GLZ30" s="3"/>
      <c r="GMA30" s="3"/>
      <c r="GMB30" s="3"/>
      <c r="GMC30" s="3"/>
      <c r="GMD30" s="3"/>
      <c r="GME30" s="3"/>
      <c r="GMF30" s="3"/>
      <c r="GMG30" s="3"/>
      <c r="GMH30" s="3"/>
      <c r="GMI30" s="3"/>
      <c r="GMJ30" s="3"/>
      <c r="GMK30" s="3"/>
      <c r="GML30" s="3"/>
      <c r="GMM30" s="3"/>
      <c r="GMN30" s="3"/>
      <c r="GMO30" s="3"/>
      <c r="GMP30" s="3"/>
      <c r="GMQ30" s="3"/>
      <c r="GMR30" s="3"/>
      <c r="GMS30" s="3"/>
      <c r="GMT30" s="3"/>
      <c r="GMU30" s="3"/>
      <c r="GMV30" s="3"/>
      <c r="GMW30" s="3"/>
      <c r="GMX30" s="3"/>
      <c r="GMY30" s="3"/>
      <c r="GMZ30" s="3"/>
      <c r="GNA30" s="3"/>
      <c r="GNB30" s="3"/>
      <c r="GNC30" s="3"/>
      <c r="GND30" s="3"/>
      <c r="GNE30" s="3"/>
      <c r="GNF30" s="3"/>
      <c r="GNG30" s="3"/>
      <c r="GNH30" s="3"/>
      <c r="GNI30" s="3"/>
      <c r="GNJ30" s="3"/>
      <c r="GNK30" s="3"/>
      <c r="GNL30" s="3"/>
      <c r="GNM30" s="3"/>
      <c r="GNN30" s="3"/>
      <c r="GNO30" s="3"/>
      <c r="GNP30" s="3"/>
      <c r="GNQ30" s="3"/>
      <c r="GNR30" s="3"/>
      <c r="GNS30" s="3"/>
      <c r="GNT30" s="3"/>
      <c r="GNU30" s="3"/>
      <c r="GNV30" s="3"/>
      <c r="GNW30" s="3"/>
      <c r="GNX30" s="3"/>
      <c r="GNY30" s="3"/>
      <c r="GNZ30" s="3"/>
      <c r="GOA30" s="3"/>
      <c r="GOB30" s="3"/>
      <c r="GOC30" s="3"/>
      <c r="GOD30" s="3"/>
      <c r="GOE30" s="3"/>
      <c r="GOF30" s="3"/>
      <c r="GOG30" s="3"/>
      <c r="GOH30" s="3"/>
      <c r="GOI30" s="3"/>
      <c r="GOJ30" s="3"/>
      <c r="GOK30" s="3"/>
      <c r="GOL30" s="3"/>
      <c r="GOM30" s="3"/>
      <c r="GON30" s="3"/>
      <c r="GOO30" s="3"/>
      <c r="GOP30" s="3"/>
      <c r="GOQ30" s="3"/>
      <c r="GOR30" s="3"/>
      <c r="GOS30" s="3"/>
      <c r="GOT30" s="3"/>
      <c r="GOU30" s="3"/>
      <c r="GOV30" s="3"/>
      <c r="GOW30" s="3"/>
      <c r="GOX30" s="3"/>
      <c r="GOY30" s="3"/>
      <c r="GOZ30" s="3"/>
      <c r="GPA30" s="3"/>
      <c r="GPB30" s="3"/>
      <c r="GPC30" s="3"/>
      <c r="GPD30" s="3"/>
      <c r="GPE30" s="3"/>
      <c r="GPF30" s="3"/>
      <c r="GPG30" s="3"/>
      <c r="GPH30" s="3"/>
      <c r="GPI30" s="3"/>
      <c r="GPJ30" s="3"/>
      <c r="GPK30" s="3"/>
      <c r="GPL30" s="3"/>
      <c r="GPM30" s="3"/>
      <c r="GPN30" s="3"/>
      <c r="GPO30" s="3"/>
      <c r="GPP30" s="3"/>
      <c r="GPQ30" s="3"/>
      <c r="GPR30" s="3"/>
      <c r="GPS30" s="3"/>
      <c r="GPT30" s="3"/>
      <c r="GPU30" s="3"/>
      <c r="GPV30" s="3"/>
      <c r="GPW30" s="3"/>
      <c r="GPX30" s="3"/>
      <c r="GPY30" s="3"/>
      <c r="GPZ30" s="3"/>
      <c r="GQA30" s="3"/>
      <c r="GQB30" s="3"/>
      <c r="GQC30" s="3"/>
      <c r="GQD30" s="3"/>
      <c r="GQE30" s="3"/>
      <c r="GQF30" s="3"/>
      <c r="GQG30" s="3"/>
      <c r="GQH30" s="3"/>
      <c r="GQI30" s="3"/>
      <c r="GQJ30" s="3"/>
      <c r="GQK30" s="3"/>
      <c r="GQL30" s="3"/>
      <c r="GQM30" s="3"/>
      <c r="GQN30" s="3"/>
      <c r="GQO30" s="3"/>
      <c r="GQP30" s="3"/>
      <c r="GQQ30" s="3"/>
      <c r="GQR30" s="3"/>
      <c r="GQS30" s="3"/>
      <c r="GQT30" s="3"/>
      <c r="GQU30" s="3"/>
      <c r="GQV30" s="3"/>
      <c r="GQW30" s="3"/>
      <c r="GQX30" s="3"/>
      <c r="GQY30" s="3"/>
      <c r="GQZ30" s="3"/>
      <c r="GRA30" s="3"/>
      <c r="GRB30" s="3"/>
      <c r="GRC30" s="3"/>
      <c r="GRD30" s="3"/>
      <c r="GRE30" s="3"/>
      <c r="GRF30" s="3"/>
      <c r="GRG30" s="3"/>
      <c r="GRH30" s="3"/>
      <c r="GRI30" s="3"/>
      <c r="GRJ30" s="3"/>
      <c r="GRK30" s="3"/>
      <c r="GRL30" s="3"/>
      <c r="GRM30" s="3"/>
      <c r="GRN30" s="3"/>
      <c r="GRO30" s="3"/>
      <c r="GRP30" s="3"/>
      <c r="GRQ30" s="3"/>
      <c r="GRR30" s="3"/>
      <c r="GRS30" s="3"/>
      <c r="GRT30" s="3"/>
      <c r="GRU30" s="3"/>
      <c r="GRV30" s="3"/>
      <c r="GRW30" s="3"/>
      <c r="GRX30" s="3"/>
      <c r="GRY30" s="3"/>
      <c r="GRZ30" s="3"/>
      <c r="GSA30" s="3"/>
      <c r="GSB30" s="3"/>
      <c r="GSC30" s="3"/>
      <c r="GSD30" s="3"/>
      <c r="GSE30" s="3"/>
      <c r="GSF30" s="3"/>
      <c r="GSG30" s="3"/>
      <c r="GSH30" s="3"/>
      <c r="GSI30" s="3"/>
      <c r="GSJ30" s="3"/>
      <c r="GSK30" s="3"/>
      <c r="GSL30" s="3"/>
      <c r="GSM30" s="3"/>
      <c r="GSN30" s="3"/>
      <c r="GSO30" s="3"/>
      <c r="GSP30" s="3"/>
      <c r="GSQ30" s="3"/>
      <c r="GSR30" s="3"/>
      <c r="GSS30" s="3"/>
      <c r="GST30" s="3"/>
      <c r="GSU30" s="3"/>
      <c r="GSV30" s="3"/>
      <c r="GSW30" s="3"/>
      <c r="GSX30" s="3"/>
      <c r="GSY30" s="3"/>
      <c r="GSZ30" s="3"/>
      <c r="GTA30" s="3"/>
      <c r="GTB30" s="3"/>
      <c r="GTC30" s="3"/>
      <c r="GTD30" s="3"/>
      <c r="GTE30" s="3"/>
      <c r="GTF30" s="3"/>
      <c r="GTG30" s="3"/>
      <c r="GTH30" s="3"/>
      <c r="GTI30" s="3"/>
      <c r="GTJ30" s="3"/>
      <c r="GTK30" s="3"/>
      <c r="GTL30" s="3"/>
      <c r="GTM30" s="3"/>
      <c r="GTN30" s="3"/>
      <c r="GTO30" s="3"/>
      <c r="GTP30" s="3"/>
      <c r="GTQ30" s="3"/>
      <c r="GTR30" s="3"/>
      <c r="GTS30" s="3"/>
      <c r="GTT30" s="3"/>
      <c r="GTU30" s="3"/>
      <c r="GTV30" s="3"/>
      <c r="GTW30" s="3"/>
      <c r="GTX30" s="3"/>
      <c r="GTY30" s="3"/>
      <c r="GTZ30" s="3"/>
      <c r="GUA30" s="3"/>
      <c r="GUB30" s="3"/>
      <c r="GUC30" s="3"/>
      <c r="GUD30" s="3"/>
      <c r="GUE30" s="3"/>
      <c r="GUF30" s="3"/>
      <c r="GUG30" s="3"/>
      <c r="GUH30" s="3"/>
      <c r="GUI30" s="3"/>
      <c r="GUJ30" s="3"/>
      <c r="GUK30" s="3"/>
      <c r="GUL30" s="3"/>
      <c r="GUM30" s="3"/>
      <c r="GUN30" s="3"/>
      <c r="GUO30" s="3"/>
      <c r="GUP30" s="3"/>
      <c r="GUQ30" s="3"/>
      <c r="GUR30" s="3"/>
      <c r="GUS30" s="3"/>
      <c r="GUT30" s="3"/>
      <c r="GUU30" s="3"/>
      <c r="GUV30" s="3"/>
      <c r="GUW30" s="3"/>
      <c r="GUX30" s="3"/>
      <c r="GUY30" s="3"/>
      <c r="GUZ30" s="3"/>
      <c r="GVA30" s="3"/>
      <c r="GVB30" s="3"/>
      <c r="GVC30" s="3"/>
      <c r="GVD30" s="3"/>
      <c r="GVE30" s="3"/>
      <c r="GVF30" s="3"/>
      <c r="GVG30" s="3"/>
      <c r="GVH30" s="3"/>
      <c r="GVI30" s="3"/>
      <c r="GVJ30" s="3"/>
      <c r="GVK30" s="3"/>
      <c r="GVL30" s="3"/>
      <c r="GVM30" s="3"/>
      <c r="GVN30" s="3"/>
      <c r="GVO30" s="3"/>
      <c r="GVP30" s="3"/>
      <c r="GVQ30" s="3"/>
      <c r="GVR30" s="3"/>
      <c r="GVS30" s="3"/>
      <c r="GVT30" s="3"/>
      <c r="GVU30" s="3"/>
      <c r="GVV30" s="3"/>
      <c r="GVW30" s="3"/>
      <c r="GVX30" s="3"/>
      <c r="GVY30" s="3"/>
      <c r="GVZ30" s="3"/>
      <c r="GWA30" s="3"/>
      <c r="GWB30" s="3"/>
      <c r="GWC30" s="3"/>
      <c r="GWD30" s="3"/>
      <c r="GWE30" s="3"/>
      <c r="GWF30" s="3"/>
      <c r="GWG30" s="3"/>
      <c r="GWH30" s="3"/>
      <c r="GWI30" s="3"/>
      <c r="GWJ30" s="3"/>
      <c r="GWK30" s="3"/>
      <c r="GWL30" s="3"/>
      <c r="GWM30" s="3"/>
      <c r="GWN30" s="3"/>
      <c r="GWO30" s="3"/>
      <c r="GWP30" s="3"/>
      <c r="GWQ30" s="3"/>
      <c r="GWR30" s="3"/>
      <c r="GWS30" s="3"/>
      <c r="GWT30" s="3"/>
      <c r="GWU30" s="3"/>
      <c r="GWV30" s="3"/>
      <c r="GWW30" s="3"/>
      <c r="GWX30" s="3"/>
      <c r="GWY30" s="3"/>
      <c r="GWZ30" s="3"/>
      <c r="GXA30" s="3"/>
      <c r="GXB30" s="3"/>
      <c r="GXC30" s="3"/>
      <c r="GXD30" s="3"/>
      <c r="GXE30" s="3"/>
      <c r="GXF30" s="3"/>
      <c r="GXG30" s="3"/>
      <c r="GXH30" s="3"/>
      <c r="GXI30" s="3"/>
      <c r="GXJ30" s="3"/>
      <c r="GXK30" s="3"/>
      <c r="GXL30" s="3"/>
      <c r="GXM30" s="3"/>
      <c r="GXN30" s="3"/>
      <c r="GXO30" s="3"/>
      <c r="GXP30" s="3"/>
      <c r="GXQ30" s="3"/>
      <c r="GXR30" s="3"/>
      <c r="GXS30" s="3"/>
      <c r="GXT30" s="3"/>
      <c r="GXU30" s="3"/>
      <c r="GXV30" s="3"/>
      <c r="GXW30" s="3"/>
      <c r="GXX30" s="3"/>
      <c r="GXY30" s="3"/>
      <c r="GXZ30" s="3"/>
      <c r="GYA30" s="3"/>
      <c r="GYB30" s="3"/>
      <c r="GYC30" s="3"/>
      <c r="GYD30" s="3"/>
      <c r="GYE30" s="3"/>
      <c r="GYF30" s="3"/>
      <c r="GYG30" s="3"/>
      <c r="GYH30" s="3"/>
      <c r="GYI30" s="3"/>
      <c r="GYJ30" s="3"/>
      <c r="GYK30" s="3"/>
      <c r="GYL30" s="3"/>
      <c r="GYM30" s="3"/>
      <c r="GYN30" s="3"/>
      <c r="GYO30" s="3"/>
      <c r="GYP30" s="3"/>
      <c r="GYQ30" s="3"/>
      <c r="GYR30" s="3"/>
      <c r="GYS30" s="3"/>
      <c r="GYT30" s="3"/>
      <c r="GYU30" s="3"/>
      <c r="GYV30" s="3"/>
      <c r="GYW30" s="3"/>
      <c r="GYX30" s="3"/>
      <c r="GYY30" s="3"/>
      <c r="GYZ30" s="3"/>
      <c r="GZA30" s="3"/>
      <c r="GZB30" s="3"/>
      <c r="GZC30" s="3"/>
      <c r="GZD30" s="3"/>
      <c r="GZE30" s="3"/>
      <c r="GZF30" s="3"/>
      <c r="GZG30" s="3"/>
      <c r="GZH30" s="3"/>
      <c r="GZI30" s="3"/>
      <c r="GZJ30" s="3"/>
      <c r="GZK30" s="3"/>
      <c r="GZL30" s="3"/>
      <c r="GZM30" s="3"/>
      <c r="GZN30" s="3"/>
      <c r="GZO30" s="3"/>
      <c r="GZP30" s="3"/>
      <c r="GZQ30" s="3"/>
      <c r="GZR30" s="3"/>
      <c r="GZS30" s="3"/>
      <c r="GZT30" s="3"/>
      <c r="GZU30" s="3"/>
      <c r="GZV30" s="3"/>
      <c r="GZW30" s="3"/>
      <c r="GZX30" s="3"/>
      <c r="GZY30" s="3"/>
      <c r="GZZ30" s="3"/>
      <c r="HAA30" s="3"/>
      <c r="HAB30" s="3"/>
      <c r="HAC30" s="3"/>
      <c r="HAD30" s="3"/>
      <c r="HAE30" s="3"/>
      <c r="HAF30" s="3"/>
      <c r="HAG30" s="3"/>
      <c r="HAH30" s="3"/>
      <c r="HAI30" s="3"/>
      <c r="HAJ30" s="3"/>
      <c r="HAK30" s="3"/>
      <c r="HAL30" s="3"/>
      <c r="HAM30" s="3"/>
      <c r="HAN30" s="3"/>
      <c r="HAO30" s="3"/>
      <c r="HAP30" s="3"/>
      <c r="HAQ30" s="3"/>
      <c r="HAR30" s="3"/>
      <c r="HAS30" s="3"/>
      <c r="HAT30" s="3"/>
      <c r="HAU30" s="3"/>
      <c r="HAV30" s="3"/>
      <c r="HAW30" s="3"/>
      <c r="HAX30" s="3"/>
      <c r="HAY30" s="3"/>
      <c r="HAZ30" s="3"/>
      <c r="HBA30" s="3"/>
      <c r="HBB30" s="3"/>
      <c r="HBC30" s="3"/>
      <c r="HBD30" s="3"/>
      <c r="HBE30" s="3"/>
      <c r="HBF30" s="3"/>
      <c r="HBG30" s="3"/>
      <c r="HBH30" s="3"/>
      <c r="HBI30" s="3"/>
      <c r="HBJ30" s="3"/>
      <c r="HBK30" s="3"/>
      <c r="HBL30" s="3"/>
      <c r="HBM30" s="3"/>
      <c r="HBN30" s="3"/>
      <c r="HBO30" s="3"/>
      <c r="HBP30" s="3"/>
      <c r="HBQ30" s="3"/>
      <c r="HBR30" s="3"/>
      <c r="HBS30" s="3"/>
      <c r="HBT30" s="3"/>
      <c r="HBU30" s="3"/>
      <c r="HBV30" s="3"/>
      <c r="HBW30" s="3"/>
      <c r="HBX30" s="3"/>
      <c r="HBY30" s="3"/>
      <c r="HBZ30" s="3"/>
      <c r="HCA30" s="3"/>
      <c r="HCB30" s="3"/>
      <c r="HCC30" s="3"/>
      <c r="HCD30" s="3"/>
      <c r="HCE30" s="3"/>
      <c r="HCF30" s="3"/>
      <c r="HCG30" s="3"/>
      <c r="HCH30" s="3"/>
      <c r="HCI30" s="3"/>
      <c r="HCJ30" s="3"/>
      <c r="HCK30" s="3"/>
      <c r="HCL30" s="3"/>
      <c r="HCM30" s="3"/>
      <c r="HCN30" s="3"/>
      <c r="HCO30" s="3"/>
      <c r="HCP30" s="3"/>
      <c r="HCQ30" s="3"/>
      <c r="HCR30" s="3"/>
      <c r="HCS30" s="3"/>
      <c r="HCT30" s="3"/>
      <c r="HCU30" s="3"/>
      <c r="HCV30" s="3"/>
      <c r="HCW30" s="3"/>
      <c r="HCX30" s="3"/>
      <c r="HCY30" s="3"/>
      <c r="HCZ30" s="3"/>
      <c r="HDA30" s="3"/>
      <c r="HDB30" s="3"/>
      <c r="HDC30" s="3"/>
      <c r="HDD30" s="3"/>
      <c r="HDE30" s="3"/>
      <c r="HDF30" s="3"/>
      <c r="HDG30" s="3"/>
      <c r="HDH30" s="3"/>
      <c r="HDI30" s="3"/>
      <c r="HDJ30" s="3"/>
      <c r="HDK30" s="3"/>
      <c r="HDL30" s="3"/>
      <c r="HDM30" s="3"/>
      <c r="HDN30" s="3"/>
      <c r="HDO30" s="3"/>
      <c r="HDP30" s="3"/>
      <c r="HDQ30" s="3"/>
      <c r="HDR30" s="3"/>
      <c r="HDS30" s="3"/>
      <c r="HDT30" s="3"/>
      <c r="HDU30" s="3"/>
      <c r="HDV30" s="3"/>
      <c r="HDW30" s="3"/>
      <c r="HDX30" s="3"/>
      <c r="HDY30" s="3"/>
      <c r="HDZ30" s="3"/>
      <c r="HEA30" s="3"/>
      <c r="HEB30" s="3"/>
      <c r="HEC30" s="3"/>
      <c r="HED30" s="3"/>
      <c r="HEE30" s="3"/>
      <c r="HEF30" s="3"/>
      <c r="HEG30" s="3"/>
      <c r="HEH30" s="3"/>
      <c r="HEI30" s="3"/>
      <c r="HEJ30" s="3"/>
      <c r="HEK30" s="3"/>
      <c r="HEL30" s="3"/>
      <c r="HEM30" s="3"/>
      <c r="HEN30" s="3"/>
      <c r="HEO30" s="3"/>
      <c r="HEP30" s="3"/>
      <c r="HEQ30" s="3"/>
      <c r="HER30" s="3"/>
      <c r="HES30" s="3"/>
      <c r="HET30" s="3"/>
      <c r="HEU30" s="3"/>
      <c r="HEV30" s="3"/>
      <c r="HEW30" s="3"/>
      <c r="HEX30" s="3"/>
      <c r="HEY30" s="3"/>
      <c r="HEZ30" s="3"/>
      <c r="HFA30" s="3"/>
      <c r="HFB30" s="3"/>
      <c r="HFC30" s="3"/>
      <c r="HFD30" s="3"/>
      <c r="HFE30" s="3"/>
      <c r="HFF30" s="3"/>
      <c r="HFG30" s="3"/>
      <c r="HFH30" s="3"/>
      <c r="HFI30" s="3"/>
      <c r="HFJ30" s="3"/>
      <c r="HFK30" s="3"/>
      <c r="HFL30" s="3"/>
      <c r="HFM30" s="3"/>
      <c r="HFN30" s="3"/>
      <c r="HFO30" s="3"/>
      <c r="HFP30" s="3"/>
      <c r="HFQ30" s="3"/>
      <c r="HFR30" s="3"/>
      <c r="HFS30" s="3"/>
      <c r="HFT30" s="3"/>
      <c r="HFU30" s="3"/>
      <c r="HFV30" s="3"/>
      <c r="HFW30" s="3"/>
      <c r="HFX30" s="3"/>
      <c r="HFY30" s="3"/>
      <c r="HFZ30" s="3"/>
      <c r="HGA30" s="3"/>
      <c r="HGB30" s="3"/>
      <c r="HGC30" s="3"/>
      <c r="HGD30" s="3"/>
      <c r="HGE30" s="3"/>
      <c r="HGF30" s="3"/>
      <c r="HGG30" s="3"/>
      <c r="HGH30" s="3"/>
      <c r="HGI30" s="3"/>
      <c r="HGJ30" s="3"/>
      <c r="HGK30" s="3"/>
      <c r="HGL30" s="3"/>
      <c r="HGM30" s="3"/>
      <c r="HGN30" s="3"/>
      <c r="HGO30" s="3"/>
      <c r="HGP30" s="3"/>
      <c r="HGQ30" s="3"/>
      <c r="HGR30" s="3"/>
      <c r="HGS30" s="3"/>
      <c r="HGT30" s="3"/>
      <c r="HGU30" s="3"/>
      <c r="HGV30" s="3"/>
      <c r="HGW30" s="3"/>
      <c r="HGX30" s="3"/>
      <c r="HGY30" s="3"/>
      <c r="HGZ30" s="3"/>
      <c r="HHA30" s="3"/>
      <c r="HHB30" s="3"/>
      <c r="HHC30" s="3"/>
      <c r="HHD30" s="3"/>
      <c r="HHE30" s="3"/>
      <c r="HHF30" s="3"/>
      <c r="HHG30" s="3"/>
      <c r="HHH30" s="3"/>
      <c r="HHI30" s="3"/>
      <c r="HHJ30" s="3"/>
      <c r="HHK30" s="3"/>
      <c r="HHL30" s="3"/>
      <c r="HHM30" s="3"/>
      <c r="HHN30" s="3"/>
      <c r="HHO30" s="3"/>
      <c r="HHP30" s="3"/>
      <c r="HHQ30" s="3"/>
      <c r="HHR30" s="3"/>
      <c r="HHS30" s="3"/>
      <c r="HHT30" s="3"/>
      <c r="HHU30" s="3"/>
      <c r="HHV30" s="3"/>
      <c r="HHW30" s="3"/>
      <c r="HHX30" s="3"/>
      <c r="HHY30" s="3"/>
      <c r="HHZ30" s="3"/>
      <c r="HIA30" s="3"/>
      <c r="HIB30" s="3"/>
      <c r="HIC30" s="3"/>
      <c r="HID30" s="3"/>
      <c r="HIE30" s="3"/>
      <c r="HIF30" s="3"/>
      <c r="HIG30" s="3"/>
      <c r="HIH30" s="3"/>
      <c r="HII30" s="3"/>
      <c r="HIJ30" s="3"/>
      <c r="HIK30" s="3"/>
      <c r="HIL30" s="3"/>
      <c r="HIM30" s="3"/>
      <c r="HIN30" s="3"/>
      <c r="HIO30" s="3"/>
      <c r="HIP30" s="3"/>
      <c r="HIQ30" s="3"/>
      <c r="HIR30" s="3"/>
      <c r="HIS30" s="3"/>
      <c r="HIT30" s="3"/>
      <c r="HIU30" s="3"/>
      <c r="HIV30" s="3"/>
      <c r="HIW30" s="3"/>
      <c r="HIX30" s="3"/>
      <c r="HIY30" s="3"/>
      <c r="HIZ30" s="3"/>
      <c r="HJA30" s="3"/>
      <c r="HJB30" s="3"/>
      <c r="HJC30" s="3"/>
      <c r="HJD30" s="3"/>
      <c r="HJE30" s="3"/>
      <c r="HJF30" s="3"/>
      <c r="HJG30" s="3"/>
      <c r="HJH30" s="3"/>
      <c r="HJI30" s="3"/>
      <c r="HJJ30" s="3"/>
      <c r="HJK30" s="3"/>
      <c r="HJL30" s="3"/>
      <c r="HJM30" s="3"/>
      <c r="HJN30" s="3"/>
      <c r="HJO30" s="3"/>
      <c r="HJP30" s="3"/>
      <c r="HJQ30" s="3"/>
      <c r="HJR30" s="3"/>
      <c r="HJS30" s="3"/>
      <c r="HJT30" s="3"/>
      <c r="HJU30" s="3"/>
      <c r="HJV30" s="3"/>
      <c r="HJW30" s="3"/>
      <c r="HJX30" s="3"/>
      <c r="HJY30" s="3"/>
      <c r="HJZ30" s="3"/>
      <c r="HKA30" s="3"/>
      <c r="HKB30" s="3"/>
      <c r="HKC30" s="3"/>
      <c r="HKD30" s="3"/>
      <c r="HKE30" s="3"/>
      <c r="HKF30" s="3"/>
      <c r="HKG30" s="3"/>
      <c r="HKH30" s="3"/>
      <c r="HKI30" s="3"/>
      <c r="HKJ30" s="3"/>
      <c r="HKK30" s="3"/>
      <c r="HKL30" s="3"/>
      <c r="HKM30" s="3"/>
      <c r="HKN30" s="3"/>
      <c r="HKO30" s="3"/>
      <c r="HKP30" s="3"/>
      <c r="HKQ30" s="3"/>
      <c r="HKR30" s="3"/>
      <c r="HKS30" s="3"/>
      <c r="HKT30" s="3"/>
      <c r="HKU30" s="3"/>
      <c r="HKV30" s="3"/>
      <c r="HKW30" s="3"/>
      <c r="HKX30" s="3"/>
      <c r="HKY30" s="3"/>
      <c r="HKZ30" s="3"/>
      <c r="HLA30" s="3"/>
      <c r="HLB30" s="3"/>
      <c r="HLC30" s="3"/>
      <c r="HLD30" s="3"/>
      <c r="HLE30" s="3"/>
      <c r="HLF30" s="3"/>
      <c r="HLG30" s="3"/>
      <c r="HLH30" s="3"/>
      <c r="HLI30" s="3"/>
      <c r="HLJ30" s="3"/>
      <c r="HLK30" s="3"/>
      <c r="HLL30" s="3"/>
      <c r="HLM30" s="3"/>
      <c r="HLN30" s="3"/>
      <c r="HLO30" s="3"/>
      <c r="HLP30" s="3"/>
      <c r="HLQ30" s="3"/>
      <c r="HLR30" s="3"/>
      <c r="HLS30" s="3"/>
      <c r="HLT30" s="3"/>
      <c r="HLU30" s="3"/>
      <c r="HLV30" s="3"/>
      <c r="HLW30" s="3"/>
      <c r="HLX30" s="3"/>
      <c r="HLY30" s="3"/>
      <c r="HLZ30" s="3"/>
      <c r="HMA30" s="3"/>
      <c r="HMB30" s="3"/>
      <c r="HMC30" s="3"/>
      <c r="HMD30" s="3"/>
      <c r="HME30" s="3"/>
      <c r="HMF30" s="3"/>
      <c r="HMG30" s="3"/>
      <c r="HMH30" s="3"/>
      <c r="HMI30" s="3"/>
      <c r="HMJ30" s="3"/>
      <c r="HMK30" s="3"/>
      <c r="HML30" s="3"/>
      <c r="HMM30" s="3"/>
      <c r="HMN30" s="3"/>
      <c r="HMO30" s="3"/>
      <c r="HMP30" s="3"/>
      <c r="HMQ30" s="3"/>
      <c r="HMR30" s="3"/>
      <c r="HMS30" s="3"/>
      <c r="HMT30" s="3"/>
      <c r="HMU30" s="3"/>
      <c r="HMV30" s="3"/>
      <c r="HMW30" s="3"/>
      <c r="HMX30" s="3"/>
      <c r="HMY30" s="3"/>
      <c r="HMZ30" s="3"/>
      <c r="HNA30" s="3"/>
      <c r="HNB30" s="3"/>
      <c r="HNC30" s="3"/>
      <c r="HND30" s="3"/>
      <c r="HNE30" s="3"/>
      <c r="HNF30" s="3"/>
      <c r="HNG30" s="3"/>
      <c r="HNH30" s="3"/>
      <c r="HNI30" s="3"/>
      <c r="HNJ30" s="3"/>
      <c r="HNK30" s="3"/>
      <c r="HNL30" s="3"/>
      <c r="HNM30" s="3"/>
      <c r="HNN30" s="3"/>
      <c r="HNO30" s="3"/>
      <c r="HNP30" s="3"/>
      <c r="HNQ30" s="3"/>
      <c r="HNR30" s="3"/>
      <c r="HNS30" s="3"/>
      <c r="HNT30" s="3"/>
      <c r="HNU30" s="3"/>
      <c r="HNV30" s="3"/>
      <c r="HNW30" s="3"/>
      <c r="HNX30" s="3"/>
      <c r="HNY30" s="3"/>
      <c r="HNZ30" s="3"/>
      <c r="HOA30" s="3"/>
      <c r="HOB30" s="3"/>
      <c r="HOC30" s="3"/>
      <c r="HOD30" s="3"/>
      <c r="HOE30" s="3"/>
      <c r="HOF30" s="3"/>
      <c r="HOG30" s="3"/>
      <c r="HOH30" s="3"/>
      <c r="HOI30" s="3"/>
      <c r="HOJ30" s="3"/>
      <c r="HOK30" s="3"/>
      <c r="HOL30" s="3"/>
      <c r="HOM30" s="3"/>
      <c r="HON30" s="3"/>
      <c r="HOO30" s="3"/>
      <c r="HOP30" s="3"/>
      <c r="HOQ30" s="3"/>
      <c r="HOR30" s="3"/>
      <c r="HOS30" s="3"/>
      <c r="HOT30" s="3"/>
      <c r="HOU30" s="3"/>
      <c r="HOV30" s="3"/>
      <c r="HOW30" s="3"/>
      <c r="HOX30" s="3"/>
      <c r="HOY30" s="3"/>
      <c r="HOZ30" s="3"/>
      <c r="HPA30" s="3"/>
      <c r="HPB30" s="3"/>
      <c r="HPC30" s="3"/>
      <c r="HPD30" s="3"/>
      <c r="HPE30" s="3"/>
      <c r="HPF30" s="3"/>
      <c r="HPG30" s="3"/>
      <c r="HPH30" s="3"/>
      <c r="HPI30" s="3"/>
      <c r="HPJ30" s="3"/>
      <c r="HPK30" s="3"/>
      <c r="HPL30" s="3"/>
      <c r="HPM30" s="3"/>
      <c r="HPN30" s="3"/>
      <c r="HPO30" s="3"/>
      <c r="HPP30" s="3"/>
      <c r="HPQ30" s="3"/>
      <c r="HPR30" s="3"/>
      <c r="HPS30" s="3"/>
      <c r="HPT30" s="3"/>
      <c r="HPU30" s="3"/>
      <c r="HPV30" s="3"/>
      <c r="HPW30" s="3"/>
      <c r="HPX30" s="3"/>
      <c r="HPY30" s="3"/>
      <c r="HPZ30" s="3"/>
      <c r="HQA30" s="3"/>
      <c r="HQB30" s="3"/>
      <c r="HQC30" s="3"/>
      <c r="HQD30" s="3"/>
      <c r="HQE30" s="3"/>
      <c r="HQF30" s="3"/>
      <c r="HQG30" s="3"/>
      <c r="HQH30" s="3"/>
      <c r="HQI30" s="3"/>
      <c r="HQJ30" s="3"/>
      <c r="HQK30" s="3"/>
      <c r="HQL30" s="3"/>
      <c r="HQM30" s="3"/>
      <c r="HQN30" s="3"/>
      <c r="HQO30" s="3"/>
      <c r="HQP30" s="3"/>
      <c r="HQQ30" s="3"/>
      <c r="HQR30" s="3"/>
      <c r="HQS30" s="3"/>
      <c r="HQT30" s="3"/>
      <c r="HQU30" s="3"/>
      <c r="HQV30" s="3"/>
      <c r="HQW30" s="3"/>
      <c r="HQX30" s="3"/>
      <c r="HQY30" s="3"/>
      <c r="HQZ30" s="3"/>
      <c r="HRA30" s="3"/>
      <c r="HRB30" s="3"/>
      <c r="HRC30" s="3"/>
      <c r="HRD30" s="3"/>
      <c r="HRE30" s="3"/>
      <c r="HRF30" s="3"/>
      <c r="HRG30" s="3"/>
      <c r="HRH30" s="3"/>
      <c r="HRI30" s="3"/>
      <c r="HRJ30" s="3"/>
      <c r="HRK30" s="3"/>
      <c r="HRL30" s="3"/>
      <c r="HRM30" s="3"/>
      <c r="HRN30" s="3"/>
      <c r="HRO30" s="3"/>
      <c r="HRP30" s="3"/>
      <c r="HRQ30" s="3"/>
      <c r="HRR30" s="3"/>
      <c r="HRS30" s="3"/>
      <c r="HRT30" s="3"/>
      <c r="HRU30" s="3"/>
      <c r="HRV30" s="3"/>
      <c r="HRW30" s="3"/>
      <c r="HRX30" s="3"/>
      <c r="HRY30" s="3"/>
      <c r="HRZ30" s="3"/>
      <c r="HSA30" s="3"/>
      <c r="HSB30" s="3"/>
      <c r="HSC30" s="3"/>
      <c r="HSD30" s="3"/>
      <c r="HSE30" s="3"/>
      <c r="HSF30" s="3"/>
      <c r="HSG30" s="3"/>
      <c r="HSH30" s="3"/>
      <c r="HSI30" s="3"/>
      <c r="HSJ30" s="3"/>
      <c r="HSK30" s="3"/>
      <c r="HSL30" s="3"/>
      <c r="HSM30" s="3"/>
      <c r="HSN30" s="3"/>
      <c r="HSO30" s="3"/>
      <c r="HSP30" s="3"/>
      <c r="HSQ30" s="3"/>
      <c r="HSR30" s="3"/>
      <c r="HSS30" s="3"/>
      <c r="HST30" s="3"/>
      <c r="HSU30" s="3"/>
      <c r="HSV30" s="3"/>
      <c r="HSW30" s="3"/>
      <c r="HSX30" s="3"/>
      <c r="HSY30" s="3"/>
      <c r="HSZ30" s="3"/>
      <c r="HTA30" s="3"/>
      <c r="HTB30" s="3"/>
      <c r="HTC30" s="3"/>
      <c r="HTD30" s="3"/>
      <c r="HTE30" s="3"/>
      <c r="HTF30" s="3"/>
      <c r="HTG30" s="3"/>
      <c r="HTH30" s="3"/>
      <c r="HTI30" s="3"/>
      <c r="HTJ30" s="3"/>
      <c r="HTK30" s="3"/>
      <c r="HTL30" s="3"/>
      <c r="HTM30" s="3"/>
      <c r="HTN30" s="3"/>
      <c r="HTO30" s="3"/>
      <c r="HTP30" s="3"/>
      <c r="HTQ30" s="3"/>
      <c r="HTR30" s="3"/>
      <c r="HTS30" s="3"/>
      <c r="HTT30" s="3"/>
      <c r="HTU30" s="3"/>
      <c r="HTV30" s="3"/>
      <c r="HTW30" s="3"/>
      <c r="HTX30" s="3"/>
      <c r="HTY30" s="3"/>
      <c r="HTZ30" s="3"/>
      <c r="HUA30" s="3"/>
      <c r="HUB30" s="3"/>
      <c r="HUC30" s="3"/>
      <c r="HUD30" s="3"/>
      <c r="HUE30" s="3"/>
      <c r="HUF30" s="3"/>
      <c r="HUG30" s="3"/>
      <c r="HUH30" s="3"/>
      <c r="HUI30" s="3"/>
      <c r="HUJ30" s="3"/>
      <c r="HUK30" s="3"/>
      <c r="HUL30" s="3"/>
      <c r="HUM30" s="3"/>
      <c r="HUN30" s="3"/>
      <c r="HUO30" s="3"/>
      <c r="HUP30" s="3"/>
      <c r="HUQ30" s="3"/>
      <c r="HUR30" s="3"/>
      <c r="HUS30" s="3"/>
      <c r="HUT30" s="3"/>
      <c r="HUU30" s="3"/>
      <c r="HUV30" s="3"/>
      <c r="HUW30" s="3"/>
      <c r="HUX30" s="3"/>
      <c r="HUY30" s="3"/>
      <c r="HUZ30" s="3"/>
      <c r="HVA30" s="3"/>
      <c r="HVB30" s="3"/>
      <c r="HVC30" s="3"/>
      <c r="HVD30" s="3"/>
      <c r="HVE30" s="3"/>
      <c r="HVF30" s="3"/>
      <c r="HVG30" s="3"/>
      <c r="HVH30" s="3"/>
      <c r="HVI30" s="3"/>
      <c r="HVJ30" s="3"/>
      <c r="HVK30" s="3"/>
      <c r="HVL30" s="3"/>
      <c r="HVM30" s="3"/>
      <c r="HVN30" s="3"/>
      <c r="HVO30" s="3"/>
      <c r="HVP30" s="3"/>
      <c r="HVQ30" s="3"/>
      <c r="HVR30" s="3"/>
      <c r="HVS30" s="3"/>
      <c r="HVT30" s="3"/>
      <c r="HVU30" s="3"/>
      <c r="HVV30" s="3"/>
      <c r="HVW30" s="3"/>
      <c r="HVX30" s="3"/>
      <c r="HVY30" s="3"/>
      <c r="HVZ30" s="3"/>
      <c r="HWA30" s="3"/>
      <c r="HWB30" s="3"/>
      <c r="HWC30" s="3"/>
      <c r="HWD30" s="3"/>
      <c r="HWE30" s="3"/>
      <c r="HWF30" s="3"/>
      <c r="HWG30" s="3"/>
      <c r="HWH30" s="3"/>
      <c r="HWI30" s="3"/>
      <c r="HWJ30" s="3"/>
      <c r="HWK30" s="3"/>
      <c r="HWL30" s="3"/>
      <c r="HWM30" s="3"/>
      <c r="HWN30" s="3"/>
      <c r="HWO30" s="3"/>
      <c r="HWP30" s="3"/>
      <c r="HWQ30" s="3"/>
      <c r="HWR30" s="3"/>
      <c r="HWS30" s="3"/>
      <c r="HWT30" s="3"/>
      <c r="HWU30" s="3"/>
      <c r="HWV30" s="3"/>
      <c r="HWW30" s="3"/>
      <c r="HWX30" s="3"/>
      <c r="HWY30" s="3"/>
      <c r="HWZ30" s="3"/>
      <c r="HXA30" s="3"/>
      <c r="HXB30" s="3"/>
      <c r="HXC30" s="3"/>
      <c r="HXD30" s="3"/>
      <c r="HXE30" s="3"/>
      <c r="HXF30" s="3"/>
      <c r="HXG30" s="3"/>
      <c r="HXH30" s="3"/>
      <c r="HXI30" s="3"/>
      <c r="HXJ30" s="3"/>
      <c r="HXK30" s="3"/>
      <c r="HXL30" s="3"/>
      <c r="HXM30" s="3"/>
      <c r="HXN30" s="3"/>
      <c r="HXO30" s="3"/>
      <c r="HXP30" s="3"/>
      <c r="HXQ30" s="3"/>
      <c r="HXR30" s="3"/>
      <c r="HXS30" s="3"/>
      <c r="HXT30" s="3"/>
      <c r="HXU30" s="3"/>
      <c r="HXV30" s="3"/>
      <c r="HXW30" s="3"/>
      <c r="HXX30" s="3"/>
      <c r="HXY30" s="3"/>
      <c r="HXZ30" s="3"/>
      <c r="HYA30" s="3"/>
      <c r="HYB30" s="3"/>
      <c r="HYC30" s="3"/>
      <c r="HYD30" s="3"/>
      <c r="HYE30" s="3"/>
      <c r="HYF30" s="3"/>
      <c r="HYG30" s="3"/>
      <c r="HYH30" s="3"/>
      <c r="HYI30" s="3"/>
      <c r="HYJ30" s="3"/>
      <c r="HYK30" s="3"/>
      <c r="HYL30" s="3"/>
      <c r="HYM30" s="3"/>
      <c r="HYN30" s="3"/>
      <c r="HYO30" s="3"/>
      <c r="HYP30" s="3"/>
      <c r="HYQ30" s="3"/>
      <c r="HYR30" s="3"/>
      <c r="HYS30" s="3"/>
      <c r="HYT30" s="3"/>
      <c r="HYU30" s="3"/>
      <c r="HYV30" s="3"/>
      <c r="HYW30" s="3"/>
      <c r="HYX30" s="3"/>
      <c r="HYY30" s="3"/>
      <c r="HYZ30" s="3"/>
      <c r="HZA30" s="3"/>
      <c r="HZB30" s="3"/>
      <c r="HZC30" s="3"/>
      <c r="HZD30" s="3"/>
      <c r="HZE30" s="3"/>
      <c r="HZF30" s="3"/>
      <c r="HZG30" s="3"/>
      <c r="HZH30" s="3"/>
      <c r="HZI30" s="3"/>
      <c r="HZJ30" s="3"/>
      <c r="HZK30" s="3"/>
      <c r="HZL30" s="3"/>
      <c r="HZM30" s="3"/>
      <c r="HZN30" s="3"/>
      <c r="HZO30" s="3"/>
      <c r="HZP30" s="3"/>
      <c r="HZQ30" s="3"/>
      <c r="HZR30" s="3"/>
      <c r="HZS30" s="3"/>
      <c r="HZT30" s="3"/>
      <c r="HZU30" s="3"/>
      <c r="HZV30" s="3"/>
      <c r="HZW30" s="3"/>
      <c r="HZX30" s="3"/>
      <c r="HZY30" s="3"/>
      <c r="HZZ30" s="3"/>
      <c r="IAA30" s="3"/>
      <c r="IAB30" s="3"/>
      <c r="IAC30" s="3"/>
      <c r="IAD30" s="3"/>
      <c r="IAE30" s="3"/>
      <c r="IAF30" s="3"/>
      <c r="IAG30" s="3"/>
      <c r="IAH30" s="3"/>
      <c r="IAI30" s="3"/>
      <c r="IAJ30" s="3"/>
      <c r="IAK30" s="3"/>
      <c r="IAL30" s="3"/>
      <c r="IAM30" s="3"/>
      <c r="IAN30" s="3"/>
      <c r="IAO30" s="3"/>
      <c r="IAP30" s="3"/>
      <c r="IAQ30" s="3"/>
      <c r="IAR30" s="3"/>
      <c r="IAS30" s="3"/>
      <c r="IAT30" s="3"/>
      <c r="IAU30" s="3"/>
      <c r="IAV30" s="3"/>
      <c r="IAW30" s="3"/>
      <c r="IAX30" s="3"/>
      <c r="IAY30" s="3"/>
      <c r="IAZ30" s="3"/>
      <c r="IBA30" s="3"/>
      <c r="IBB30" s="3"/>
      <c r="IBC30" s="3"/>
      <c r="IBD30" s="3"/>
      <c r="IBE30" s="3"/>
      <c r="IBF30" s="3"/>
      <c r="IBG30" s="3"/>
      <c r="IBH30" s="3"/>
      <c r="IBI30" s="3"/>
      <c r="IBJ30" s="3"/>
      <c r="IBK30" s="3"/>
      <c r="IBL30" s="3"/>
      <c r="IBM30" s="3"/>
      <c r="IBN30" s="3"/>
      <c r="IBO30" s="3"/>
      <c r="IBP30" s="3"/>
      <c r="IBQ30" s="3"/>
      <c r="IBR30" s="3"/>
      <c r="IBS30" s="3"/>
      <c r="IBT30" s="3"/>
      <c r="IBU30" s="3"/>
      <c r="IBV30" s="3"/>
      <c r="IBW30" s="3"/>
      <c r="IBX30" s="3"/>
      <c r="IBY30" s="3"/>
      <c r="IBZ30" s="3"/>
      <c r="ICA30" s="3"/>
      <c r="ICB30" s="3"/>
      <c r="ICC30" s="3"/>
      <c r="ICD30" s="3"/>
      <c r="ICE30" s="3"/>
      <c r="ICF30" s="3"/>
      <c r="ICG30" s="3"/>
      <c r="ICH30" s="3"/>
      <c r="ICI30" s="3"/>
      <c r="ICJ30" s="3"/>
      <c r="ICK30" s="3"/>
      <c r="ICL30" s="3"/>
      <c r="ICM30" s="3"/>
      <c r="ICN30" s="3"/>
      <c r="ICO30" s="3"/>
      <c r="ICP30" s="3"/>
      <c r="ICQ30" s="3"/>
      <c r="ICR30" s="3"/>
      <c r="ICS30" s="3"/>
      <c r="ICT30" s="3"/>
      <c r="ICU30" s="3"/>
      <c r="ICV30" s="3"/>
      <c r="ICW30" s="3"/>
      <c r="ICX30" s="3"/>
      <c r="ICY30" s="3"/>
      <c r="ICZ30" s="3"/>
      <c r="IDA30" s="3"/>
      <c r="IDB30" s="3"/>
      <c r="IDC30" s="3"/>
      <c r="IDD30" s="3"/>
      <c r="IDE30" s="3"/>
      <c r="IDF30" s="3"/>
      <c r="IDG30" s="3"/>
      <c r="IDH30" s="3"/>
      <c r="IDI30" s="3"/>
      <c r="IDJ30" s="3"/>
      <c r="IDK30" s="3"/>
      <c r="IDL30" s="3"/>
      <c r="IDM30" s="3"/>
      <c r="IDN30" s="3"/>
      <c r="IDO30" s="3"/>
      <c r="IDP30" s="3"/>
      <c r="IDQ30" s="3"/>
      <c r="IDR30" s="3"/>
      <c r="IDS30" s="3"/>
      <c r="IDT30" s="3"/>
      <c r="IDU30" s="3"/>
      <c r="IDV30" s="3"/>
      <c r="IDW30" s="3"/>
      <c r="IDX30" s="3"/>
      <c r="IDY30" s="3"/>
      <c r="IDZ30" s="3"/>
      <c r="IEA30" s="3"/>
      <c r="IEB30" s="3"/>
      <c r="IEC30" s="3"/>
      <c r="IED30" s="3"/>
      <c r="IEE30" s="3"/>
      <c r="IEF30" s="3"/>
      <c r="IEG30" s="3"/>
      <c r="IEH30" s="3"/>
      <c r="IEI30" s="3"/>
      <c r="IEJ30" s="3"/>
      <c r="IEK30" s="3"/>
      <c r="IEL30" s="3"/>
      <c r="IEM30" s="3"/>
      <c r="IEN30" s="3"/>
      <c r="IEO30" s="3"/>
      <c r="IEP30" s="3"/>
      <c r="IEQ30" s="3"/>
      <c r="IER30" s="3"/>
      <c r="IES30" s="3"/>
      <c r="IET30" s="3"/>
      <c r="IEU30" s="3"/>
      <c r="IEV30" s="3"/>
      <c r="IEW30" s="3"/>
      <c r="IEX30" s="3"/>
      <c r="IEY30" s="3"/>
      <c r="IEZ30" s="3"/>
      <c r="IFA30" s="3"/>
      <c r="IFB30" s="3"/>
      <c r="IFC30" s="3"/>
      <c r="IFD30" s="3"/>
      <c r="IFE30" s="3"/>
      <c r="IFF30" s="3"/>
      <c r="IFG30" s="3"/>
      <c r="IFH30" s="3"/>
      <c r="IFI30" s="3"/>
      <c r="IFJ30" s="3"/>
      <c r="IFK30" s="3"/>
      <c r="IFL30" s="3"/>
      <c r="IFM30" s="3"/>
      <c r="IFN30" s="3"/>
      <c r="IFO30" s="3"/>
      <c r="IFP30" s="3"/>
      <c r="IFQ30" s="3"/>
      <c r="IFR30" s="3"/>
      <c r="IFS30" s="3"/>
      <c r="IFT30" s="3"/>
      <c r="IFU30" s="3"/>
      <c r="IFV30" s="3"/>
      <c r="IFW30" s="3"/>
      <c r="IFX30" s="3"/>
      <c r="IFY30" s="3"/>
      <c r="IFZ30" s="3"/>
      <c r="IGA30" s="3"/>
      <c r="IGB30" s="3"/>
      <c r="IGC30" s="3"/>
      <c r="IGD30" s="3"/>
      <c r="IGE30" s="3"/>
      <c r="IGF30" s="3"/>
      <c r="IGG30" s="3"/>
      <c r="IGH30" s="3"/>
      <c r="IGI30" s="3"/>
      <c r="IGJ30" s="3"/>
      <c r="IGK30" s="3"/>
      <c r="IGL30" s="3"/>
      <c r="IGM30" s="3"/>
      <c r="IGN30" s="3"/>
      <c r="IGO30" s="3"/>
      <c r="IGP30" s="3"/>
      <c r="IGQ30" s="3"/>
      <c r="IGR30" s="3"/>
      <c r="IGS30" s="3"/>
      <c r="IGT30" s="3"/>
      <c r="IGU30" s="3"/>
      <c r="IGV30" s="3"/>
      <c r="IGW30" s="3"/>
      <c r="IGX30" s="3"/>
      <c r="IGY30" s="3"/>
      <c r="IGZ30" s="3"/>
      <c r="IHA30" s="3"/>
      <c r="IHB30" s="3"/>
      <c r="IHC30" s="3"/>
      <c r="IHD30" s="3"/>
      <c r="IHE30" s="3"/>
      <c r="IHF30" s="3"/>
      <c r="IHG30" s="3"/>
      <c r="IHH30" s="3"/>
      <c r="IHI30" s="3"/>
      <c r="IHJ30" s="3"/>
      <c r="IHK30" s="3"/>
      <c r="IHL30" s="3"/>
      <c r="IHM30" s="3"/>
      <c r="IHN30" s="3"/>
      <c r="IHO30" s="3"/>
      <c r="IHP30" s="3"/>
      <c r="IHQ30" s="3"/>
      <c r="IHR30" s="3"/>
      <c r="IHS30" s="3"/>
      <c r="IHT30" s="3"/>
      <c r="IHU30" s="3"/>
      <c r="IHV30" s="3"/>
      <c r="IHW30" s="3"/>
      <c r="IHX30" s="3"/>
      <c r="IHY30" s="3"/>
      <c r="IHZ30" s="3"/>
      <c r="IIA30" s="3"/>
      <c r="IIB30" s="3"/>
      <c r="IIC30" s="3"/>
      <c r="IID30" s="3"/>
      <c r="IIE30" s="3"/>
      <c r="IIF30" s="3"/>
      <c r="IIG30" s="3"/>
      <c r="IIH30" s="3"/>
      <c r="III30" s="3"/>
      <c r="IIJ30" s="3"/>
      <c r="IIK30" s="3"/>
      <c r="IIL30" s="3"/>
      <c r="IIM30" s="3"/>
      <c r="IIN30" s="3"/>
      <c r="IIO30" s="3"/>
      <c r="IIP30" s="3"/>
      <c r="IIQ30" s="3"/>
      <c r="IIR30" s="3"/>
      <c r="IIS30" s="3"/>
      <c r="IIT30" s="3"/>
      <c r="IIU30" s="3"/>
      <c r="IIV30" s="3"/>
      <c r="IIW30" s="3"/>
      <c r="IIX30" s="3"/>
      <c r="IIY30" s="3"/>
      <c r="IIZ30" s="3"/>
      <c r="IJA30" s="3"/>
      <c r="IJB30" s="3"/>
      <c r="IJC30" s="3"/>
      <c r="IJD30" s="3"/>
      <c r="IJE30" s="3"/>
      <c r="IJF30" s="3"/>
      <c r="IJG30" s="3"/>
      <c r="IJH30" s="3"/>
      <c r="IJI30" s="3"/>
      <c r="IJJ30" s="3"/>
      <c r="IJK30" s="3"/>
      <c r="IJL30" s="3"/>
      <c r="IJM30" s="3"/>
      <c r="IJN30" s="3"/>
      <c r="IJO30" s="3"/>
      <c r="IJP30" s="3"/>
      <c r="IJQ30" s="3"/>
      <c r="IJR30" s="3"/>
      <c r="IJS30" s="3"/>
      <c r="IJT30" s="3"/>
      <c r="IJU30" s="3"/>
      <c r="IJV30" s="3"/>
      <c r="IJW30" s="3"/>
      <c r="IJX30" s="3"/>
      <c r="IJY30" s="3"/>
      <c r="IJZ30" s="3"/>
      <c r="IKA30" s="3"/>
      <c r="IKB30" s="3"/>
      <c r="IKC30" s="3"/>
      <c r="IKD30" s="3"/>
      <c r="IKE30" s="3"/>
      <c r="IKF30" s="3"/>
      <c r="IKG30" s="3"/>
      <c r="IKH30" s="3"/>
      <c r="IKI30" s="3"/>
      <c r="IKJ30" s="3"/>
      <c r="IKK30" s="3"/>
      <c r="IKL30" s="3"/>
      <c r="IKM30" s="3"/>
      <c r="IKN30" s="3"/>
      <c r="IKO30" s="3"/>
      <c r="IKP30" s="3"/>
      <c r="IKQ30" s="3"/>
      <c r="IKR30" s="3"/>
      <c r="IKS30" s="3"/>
      <c r="IKT30" s="3"/>
      <c r="IKU30" s="3"/>
      <c r="IKV30" s="3"/>
      <c r="IKW30" s="3"/>
      <c r="IKX30" s="3"/>
      <c r="IKY30" s="3"/>
      <c r="IKZ30" s="3"/>
      <c r="ILA30" s="3"/>
      <c r="ILB30" s="3"/>
      <c r="ILC30" s="3"/>
      <c r="ILD30" s="3"/>
      <c r="ILE30" s="3"/>
      <c r="ILF30" s="3"/>
      <c r="ILG30" s="3"/>
      <c r="ILH30" s="3"/>
      <c r="ILI30" s="3"/>
      <c r="ILJ30" s="3"/>
      <c r="ILK30" s="3"/>
      <c r="ILL30" s="3"/>
      <c r="ILM30" s="3"/>
      <c r="ILN30" s="3"/>
      <c r="ILO30" s="3"/>
      <c r="ILP30" s="3"/>
      <c r="ILQ30" s="3"/>
      <c r="ILR30" s="3"/>
      <c r="ILS30" s="3"/>
      <c r="ILT30" s="3"/>
      <c r="ILU30" s="3"/>
      <c r="ILV30" s="3"/>
      <c r="ILW30" s="3"/>
      <c r="ILX30" s="3"/>
      <c r="ILY30" s="3"/>
      <c r="ILZ30" s="3"/>
      <c r="IMA30" s="3"/>
      <c r="IMB30" s="3"/>
      <c r="IMC30" s="3"/>
      <c r="IMD30" s="3"/>
      <c r="IME30" s="3"/>
      <c r="IMF30" s="3"/>
      <c r="IMG30" s="3"/>
      <c r="IMH30" s="3"/>
      <c r="IMI30" s="3"/>
      <c r="IMJ30" s="3"/>
      <c r="IMK30" s="3"/>
      <c r="IML30" s="3"/>
      <c r="IMM30" s="3"/>
      <c r="IMN30" s="3"/>
      <c r="IMO30" s="3"/>
      <c r="IMP30" s="3"/>
      <c r="IMQ30" s="3"/>
      <c r="IMR30" s="3"/>
      <c r="IMS30" s="3"/>
      <c r="IMT30" s="3"/>
      <c r="IMU30" s="3"/>
      <c r="IMV30" s="3"/>
      <c r="IMW30" s="3"/>
      <c r="IMX30" s="3"/>
      <c r="IMY30" s="3"/>
      <c r="IMZ30" s="3"/>
      <c r="INA30" s="3"/>
      <c r="INB30" s="3"/>
      <c r="INC30" s="3"/>
      <c r="IND30" s="3"/>
      <c r="INE30" s="3"/>
      <c r="INF30" s="3"/>
      <c r="ING30" s="3"/>
      <c r="INH30" s="3"/>
      <c r="INI30" s="3"/>
      <c r="INJ30" s="3"/>
      <c r="INK30" s="3"/>
      <c r="INL30" s="3"/>
      <c r="INM30" s="3"/>
      <c r="INN30" s="3"/>
      <c r="INO30" s="3"/>
      <c r="INP30" s="3"/>
      <c r="INQ30" s="3"/>
      <c r="INR30" s="3"/>
      <c r="INS30" s="3"/>
      <c r="INT30" s="3"/>
      <c r="INU30" s="3"/>
      <c r="INV30" s="3"/>
      <c r="INW30" s="3"/>
      <c r="INX30" s="3"/>
      <c r="INY30" s="3"/>
      <c r="INZ30" s="3"/>
      <c r="IOA30" s="3"/>
      <c r="IOB30" s="3"/>
      <c r="IOC30" s="3"/>
      <c r="IOD30" s="3"/>
      <c r="IOE30" s="3"/>
      <c r="IOF30" s="3"/>
      <c r="IOG30" s="3"/>
      <c r="IOH30" s="3"/>
      <c r="IOI30" s="3"/>
      <c r="IOJ30" s="3"/>
      <c r="IOK30" s="3"/>
      <c r="IOL30" s="3"/>
      <c r="IOM30" s="3"/>
      <c r="ION30" s="3"/>
      <c r="IOO30" s="3"/>
      <c r="IOP30" s="3"/>
      <c r="IOQ30" s="3"/>
      <c r="IOR30" s="3"/>
      <c r="IOS30" s="3"/>
      <c r="IOT30" s="3"/>
      <c r="IOU30" s="3"/>
      <c r="IOV30" s="3"/>
      <c r="IOW30" s="3"/>
      <c r="IOX30" s="3"/>
      <c r="IOY30" s="3"/>
      <c r="IOZ30" s="3"/>
      <c r="IPA30" s="3"/>
      <c r="IPB30" s="3"/>
      <c r="IPC30" s="3"/>
      <c r="IPD30" s="3"/>
      <c r="IPE30" s="3"/>
      <c r="IPF30" s="3"/>
      <c r="IPG30" s="3"/>
      <c r="IPH30" s="3"/>
      <c r="IPI30" s="3"/>
      <c r="IPJ30" s="3"/>
      <c r="IPK30" s="3"/>
      <c r="IPL30" s="3"/>
      <c r="IPM30" s="3"/>
      <c r="IPN30" s="3"/>
      <c r="IPO30" s="3"/>
      <c r="IPP30" s="3"/>
      <c r="IPQ30" s="3"/>
      <c r="IPR30" s="3"/>
      <c r="IPS30" s="3"/>
      <c r="IPT30" s="3"/>
      <c r="IPU30" s="3"/>
      <c r="IPV30" s="3"/>
      <c r="IPW30" s="3"/>
      <c r="IPX30" s="3"/>
      <c r="IPY30" s="3"/>
      <c r="IPZ30" s="3"/>
      <c r="IQA30" s="3"/>
      <c r="IQB30" s="3"/>
      <c r="IQC30" s="3"/>
      <c r="IQD30" s="3"/>
      <c r="IQE30" s="3"/>
      <c r="IQF30" s="3"/>
      <c r="IQG30" s="3"/>
      <c r="IQH30" s="3"/>
      <c r="IQI30" s="3"/>
      <c r="IQJ30" s="3"/>
      <c r="IQK30" s="3"/>
      <c r="IQL30" s="3"/>
      <c r="IQM30" s="3"/>
      <c r="IQN30" s="3"/>
      <c r="IQO30" s="3"/>
      <c r="IQP30" s="3"/>
      <c r="IQQ30" s="3"/>
      <c r="IQR30" s="3"/>
      <c r="IQS30" s="3"/>
      <c r="IQT30" s="3"/>
      <c r="IQU30" s="3"/>
      <c r="IQV30" s="3"/>
      <c r="IQW30" s="3"/>
      <c r="IQX30" s="3"/>
      <c r="IQY30" s="3"/>
      <c r="IQZ30" s="3"/>
      <c r="IRA30" s="3"/>
      <c r="IRB30" s="3"/>
      <c r="IRC30" s="3"/>
      <c r="IRD30" s="3"/>
      <c r="IRE30" s="3"/>
      <c r="IRF30" s="3"/>
      <c r="IRG30" s="3"/>
      <c r="IRH30" s="3"/>
      <c r="IRI30" s="3"/>
      <c r="IRJ30" s="3"/>
      <c r="IRK30" s="3"/>
      <c r="IRL30" s="3"/>
      <c r="IRM30" s="3"/>
      <c r="IRN30" s="3"/>
      <c r="IRO30" s="3"/>
      <c r="IRP30" s="3"/>
      <c r="IRQ30" s="3"/>
      <c r="IRR30" s="3"/>
      <c r="IRS30" s="3"/>
      <c r="IRT30" s="3"/>
      <c r="IRU30" s="3"/>
      <c r="IRV30" s="3"/>
      <c r="IRW30" s="3"/>
      <c r="IRX30" s="3"/>
      <c r="IRY30" s="3"/>
      <c r="IRZ30" s="3"/>
      <c r="ISA30" s="3"/>
      <c r="ISB30" s="3"/>
      <c r="ISC30" s="3"/>
      <c r="ISD30" s="3"/>
      <c r="ISE30" s="3"/>
      <c r="ISF30" s="3"/>
      <c r="ISG30" s="3"/>
      <c r="ISH30" s="3"/>
      <c r="ISI30" s="3"/>
      <c r="ISJ30" s="3"/>
      <c r="ISK30" s="3"/>
      <c r="ISL30" s="3"/>
      <c r="ISM30" s="3"/>
      <c r="ISN30" s="3"/>
      <c r="ISO30" s="3"/>
      <c r="ISP30" s="3"/>
      <c r="ISQ30" s="3"/>
      <c r="ISR30" s="3"/>
      <c r="ISS30" s="3"/>
      <c r="IST30" s="3"/>
      <c r="ISU30" s="3"/>
      <c r="ISV30" s="3"/>
      <c r="ISW30" s="3"/>
      <c r="ISX30" s="3"/>
      <c r="ISY30" s="3"/>
      <c r="ISZ30" s="3"/>
      <c r="ITA30" s="3"/>
      <c r="ITB30" s="3"/>
      <c r="ITC30" s="3"/>
      <c r="ITD30" s="3"/>
      <c r="ITE30" s="3"/>
      <c r="ITF30" s="3"/>
      <c r="ITG30" s="3"/>
      <c r="ITH30" s="3"/>
      <c r="ITI30" s="3"/>
      <c r="ITJ30" s="3"/>
      <c r="ITK30" s="3"/>
      <c r="ITL30" s="3"/>
      <c r="ITM30" s="3"/>
      <c r="ITN30" s="3"/>
      <c r="ITO30" s="3"/>
      <c r="ITP30" s="3"/>
      <c r="ITQ30" s="3"/>
      <c r="ITR30" s="3"/>
      <c r="ITS30" s="3"/>
      <c r="ITT30" s="3"/>
      <c r="ITU30" s="3"/>
      <c r="ITV30" s="3"/>
      <c r="ITW30" s="3"/>
      <c r="ITX30" s="3"/>
      <c r="ITY30" s="3"/>
      <c r="ITZ30" s="3"/>
      <c r="IUA30" s="3"/>
      <c r="IUB30" s="3"/>
      <c r="IUC30" s="3"/>
      <c r="IUD30" s="3"/>
      <c r="IUE30" s="3"/>
      <c r="IUF30" s="3"/>
      <c r="IUG30" s="3"/>
      <c r="IUH30" s="3"/>
      <c r="IUI30" s="3"/>
      <c r="IUJ30" s="3"/>
      <c r="IUK30" s="3"/>
      <c r="IUL30" s="3"/>
      <c r="IUM30" s="3"/>
      <c r="IUN30" s="3"/>
      <c r="IUO30" s="3"/>
      <c r="IUP30" s="3"/>
      <c r="IUQ30" s="3"/>
      <c r="IUR30" s="3"/>
      <c r="IUS30" s="3"/>
      <c r="IUT30" s="3"/>
      <c r="IUU30" s="3"/>
      <c r="IUV30" s="3"/>
      <c r="IUW30" s="3"/>
      <c r="IUX30" s="3"/>
      <c r="IUY30" s="3"/>
      <c r="IUZ30" s="3"/>
      <c r="IVA30" s="3"/>
      <c r="IVB30" s="3"/>
      <c r="IVC30" s="3"/>
      <c r="IVD30" s="3"/>
      <c r="IVE30" s="3"/>
      <c r="IVF30" s="3"/>
      <c r="IVG30" s="3"/>
      <c r="IVH30" s="3"/>
      <c r="IVI30" s="3"/>
      <c r="IVJ30" s="3"/>
      <c r="IVK30" s="3"/>
      <c r="IVL30" s="3"/>
      <c r="IVM30" s="3"/>
      <c r="IVN30" s="3"/>
      <c r="IVO30" s="3"/>
      <c r="IVP30" s="3"/>
      <c r="IVQ30" s="3"/>
      <c r="IVR30" s="3"/>
      <c r="IVS30" s="3"/>
      <c r="IVT30" s="3"/>
      <c r="IVU30" s="3"/>
      <c r="IVV30" s="3"/>
      <c r="IVW30" s="3"/>
      <c r="IVX30" s="3"/>
      <c r="IVY30" s="3"/>
      <c r="IVZ30" s="3"/>
      <c r="IWA30" s="3"/>
      <c r="IWB30" s="3"/>
      <c r="IWC30" s="3"/>
      <c r="IWD30" s="3"/>
      <c r="IWE30" s="3"/>
      <c r="IWF30" s="3"/>
      <c r="IWG30" s="3"/>
      <c r="IWH30" s="3"/>
      <c r="IWI30" s="3"/>
      <c r="IWJ30" s="3"/>
      <c r="IWK30" s="3"/>
      <c r="IWL30" s="3"/>
      <c r="IWM30" s="3"/>
      <c r="IWN30" s="3"/>
      <c r="IWO30" s="3"/>
      <c r="IWP30" s="3"/>
      <c r="IWQ30" s="3"/>
      <c r="IWR30" s="3"/>
      <c r="IWS30" s="3"/>
      <c r="IWT30" s="3"/>
      <c r="IWU30" s="3"/>
      <c r="IWV30" s="3"/>
      <c r="IWW30" s="3"/>
      <c r="IWX30" s="3"/>
      <c r="IWY30" s="3"/>
      <c r="IWZ30" s="3"/>
      <c r="IXA30" s="3"/>
      <c r="IXB30" s="3"/>
      <c r="IXC30" s="3"/>
      <c r="IXD30" s="3"/>
      <c r="IXE30" s="3"/>
      <c r="IXF30" s="3"/>
      <c r="IXG30" s="3"/>
      <c r="IXH30" s="3"/>
      <c r="IXI30" s="3"/>
      <c r="IXJ30" s="3"/>
      <c r="IXK30" s="3"/>
      <c r="IXL30" s="3"/>
      <c r="IXM30" s="3"/>
      <c r="IXN30" s="3"/>
      <c r="IXO30" s="3"/>
      <c r="IXP30" s="3"/>
      <c r="IXQ30" s="3"/>
      <c r="IXR30" s="3"/>
      <c r="IXS30" s="3"/>
      <c r="IXT30" s="3"/>
      <c r="IXU30" s="3"/>
      <c r="IXV30" s="3"/>
      <c r="IXW30" s="3"/>
      <c r="IXX30" s="3"/>
      <c r="IXY30" s="3"/>
      <c r="IXZ30" s="3"/>
      <c r="IYA30" s="3"/>
      <c r="IYB30" s="3"/>
      <c r="IYC30" s="3"/>
      <c r="IYD30" s="3"/>
      <c r="IYE30" s="3"/>
      <c r="IYF30" s="3"/>
      <c r="IYG30" s="3"/>
      <c r="IYH30" s="3"/>
      <c r="IYI30" s="3"/>
      <c r="IYJ30" s="3"/>
      <c r="IYK30" s="3"/>
      <c r="IYL30" s="3"/>
      <c r="IYM30" s="3"/>
      <c r="IYN30" s="3"/>
      <c r="IYO30" s="3"/>
      <c r="IYP30" s="3"/>
      <c r="IYQ30" s="3"/>
      <c r="IYR30" s="3"/>
      <c r="IYS30" s="3"/>
      <c r="IYT30" s="3"/>
      <c r="IYU30" s="3"/>
      <c r="IYV30" s="3"/>
      <c r="IYW30" s="3"/>
      <c r="IYX30" s="3"/>
      <c r="IYY30" s="3"/>
      <c r="IYZ30" s="3"/>
      <c r="IZA30" s="3"/>
      <c r="IZB30" s="3"/>
      <c r="IZC30" s="3"/>
      <c r="IZD30" s="3"/>
      <c r="IZE30" s="3"/>
      <c r="IZF30" s="3"/>
      <c r="IZG30" s="3"/>
      <c r="IZH30" s="3"/>
      <c r="IZI30" s="3"/>
      <c r="IZJ30" s="3"/>
      <c r="IZK30" s="3"/>
      <c r="IZL30" s="3"/>
      <c r="IZM30" s="3"/>
      <c r="IZN30" s="3"/>
      <c r="IZO30" s="3"/>
      <c r="IZP30" s="3"/>
      <c r="IZQ30" s="3"/>
      <c r="IZR30" s="3"/>
      <c r="IZS30" s="3"/>
      <c r="IZT30" s="3"/>
      <c r="IZU30" s="3"/>
      <c r="IZV30" s="3"/>
      <c r="IZW30" s="3"/>
      <c r="IZX30" s="3"/>
      <c r="IZY30" s="3"/>
      <c r="IZZ30" s="3"/>
      <c r="JAA30" s="3"/>
      <c r="JAB30" s="3"/>
      <c r="JAC30" s="3"/>
      <c r="JAD30" s="3"/>
      <c r="JAE30" s="3"/>
      <c r="JAF30" s="3"/>
      <c r="JAG30" s="3"/>
      <c r="JAH30" s="3"/>
      <c r="JAI30" s="3"/>
      <c r="JAJ30" s="3"/>
      <c r="JAK30" s="3"/>
      <c r="JAL30" s="3"/>
      <c r="JAM30" s="3"/>
      <c r="JAN30" s="3"/>
      <c r="JAO30" s="3"/>
      <c r="JAP30" s="3"/>
      <c r="JAQ30" s="3"/>
      <c r="JAR30" s="3"/>
      <c r="JAS30" s="3"/>
      <c r="JAT30" s="3"/>
      <c r="JAU30" s="3"/>
      <c r="JAV30" s="3"/>
      <c r="JAW30" s="3"/>
      <c r="JAX30" s="3"/>
      <c r="JAY30" s="3"/>
      <c r="JAZ30" s="3"/>
      <c r="JBA30" s="3"/>
      <c r="JBB30" s="3"/>
      <c r="JBC30" s="3"/>
      <c r="JBD30" s="3"/>
      <c r="JBE30" s="3"/>
      <c r="JBF30" s="3"/>
      <c r="JBG30" s="3"/>
      <c r="JBH30" s="3"/>
      <c r="JBI30" s="3"/>
      <c r="JBJ30" s="3"/>
      <c r="JBK30" s="3"/>
      <c r="JBL30" s="3"/>
      <c r="JBM30" s="3"/>
      <c r="JBN30" s="3"/>
      <c r="JBO30" s="3"/>
      <c r="JBP30" s="3"/>
      <c r="JBQ30" s="3"/>
      <c r="JBR30" s="3"/>
      <c r="JBS30" s="3"/>
      <c r="JBT30" s="3"/>
      <c r="JBU30" s="3"/>
      <c r="JBV30" s="3"/>
      <c r="JBW30" s="3"/>
      <c r="JBX30" s="3"/>
      <c r="JBY30" s="3"/>
      <c r="JBZ30" s="3"/>
      <c r="JCA30" s="3"/>
      <c r="JCB30" s="3"/>
      <c r="JCC30" s="3"/>
      <c r="JCD30" s="3"/>
      <c r="JCE30" s="3"/>
      <c r="JCF30" s="3"/>
      <c r="JCG30" s="3"/>
      <c r="JCH30" s="3"/>
      <c r="JCI30" s="3"/>
      <c r="JCJ30" s="3"/>
      <c r="JCK30" s="3"/>
      <c r="JCL30" s="3"/>
      <c r="JCM30" s="3"/>
      <c r="JCN30" s="3"/>
      <c r="JCO30" s="3"/>
      <c r="JCP30" s="3"/>
      <c r="JCQ30" s="3"/>
      <c r="JCR30" s="3"/>
      <c r="JCS30" s="3"/>
      <c r="JCT30" s="3"/>
      <c r="JCU30" s="3"/>
      <c r="JCV30" s="3"/>
      <c r="JCW30" s="3"/>
      <c r="JCX30" s="3"/>
      <c r="JCY30" s="3"/>
      <c r="JCZ30" s="3"/>
      <c r="JDA30" s="3"/>
      <c r="JDB30" s="3"/>
      <c r="JDC30" s="3"/>
      <c r="JDD30" s="3"/>
      <c r="JDE30" s="3"/>
      <c r="JDF30" s="3"/>
      <c r="JDG30" s="3"/>
      <c r="JDH30" s="3"/>
      <c r="JDI30" s="3"/>
      <c r="JDJ30" s="3"/>
      <c r="JDK30" s="3"/>
      <c r="JDL30" s="3"/>
      <c r="JDM30" s="3"/>
      <c r="JDN30" s="3"/>
      <c r="JDO30" s="3"/>
      <c r="JDP30" s="3"/>
      <c r="JDQ30" s="3"/>
      <c r="JDR30" s="3"/>
      <c r="JDS30" s="3"/>
      <c r="JDT30" s="3"/>
      <c r="JDU30" s="3"/>
      <c r="JDV30" s="3"/>
      <c r="JDW30" s="3"/>
      <c r="JDX30" s="3"/>
      <c r="JDY30" s="3"/>
      <c r="JDZ30" s="3"/>
      <c r="JEA30" s="3"/>
      <c r="JEB30" s="3"/>
      <c r="JEC30" s="3"/>
      <c r="JED30" s="3"/>
      <c r="JEE30" s="3"/>
      <c r="JEF30" s="3"/>
      <c r="JEG30" s="3"/>
      <c r="JEH30" s="3"/>
      <c r="JEI30" s="3"/>
      <c r="JEJ30" s="3"/>
      <c r="JEK30" s="3"/>
      <c r="JEL30" s="3"/>
      <c r="JEM30" s="3"/>
      <c r="JEN30" s="3"/>
      <c r="JEO30" s="3"/>
      <c r="JEP30" s="3"/>
      <c r="JEQ30" s="3"/>
      <c r="JER30" s="3"/>
      <c r="JES30" s="3"/>
      <c r="JET30" s="3"/>
      <c r="JEU30" s="3"/>
      <c r="JEV30" s="3"/>
      <c r="JEW30" s="3"/>
      <c r="JEX30" s="3"/>
      <c r="JEY30" s="3"/>
      <c r="JEZ30" s="3"/>
      <c r="JFA30" s="3"/>
      <c r="JFB30" s="3"/>
      <c r="JFC30" s="3"/>
      <c r="JFD30" s="3"/>
      <c r="JFE30" s="3"/>
      <c r="JFF30" s="3"/>
      <c r="JFG30" s="3"/>
      <c r="JFH30" s="3"/>
      <c r="JFI30" s="3"/>
      <c r="JFJ30" s="3"/>
      <c r="JFK30" s="3"/>
      <c r="JFL30" s="3"/>
      <c r="JFM30" s="3"/>
      <c r="JFN30" s="3"/>
      <c r="JFO30" s="3"/>
      <c r="JFP30" s="3"/>
      <c r="JFQ30" s="3"/>
      <c r="JFR30" s="3"/>
      <c r="JFS30" s="3"/>
      <c r="JFT30" s="3"/>
      <c r="JFU30" s="3"/>
      <c r="JFV30" s="3"/>
      <c r="JFW30" s="3"/>
      <c r="JFX30" s="3"/>
      <c r="JFY30" s="3"/>
      <c r="JFZ30" s="3"/>
      <c r="JGA30" s="3"/>
      <c r="JGB30" s="3"/>
      <c r="JGC30" s="3"/>
      <c r="JGD30" s="3"/>
      <c r="JGE30" s="3"/>
      <c r="JGF30" s="3"/>
      <c r="JGG30" s="3"/>
      <c r="JGH30" s="3"/>
      <c r="JGI30" s="3"/>
      <c r="JGJ30" s="3"/>
      <c r="JGK30" s="3"/>
      <c r="JGL30" s="3"/>
      <c r="JGM30" s="3"/>
      <c r="JGN30" s="3"/>
      <c r="JGO30" s="3"/>
      <c r="JGP30" s="3"/>
      <c r="JGQ30" s="3"/>
      <c r="JGR30" s="3"/>
      <c r="JGS30" s="3"/>
      <c r="JGT30" s="3"/>
      <c r="JGU30" s="3"/>
      <c r="JGV30" s="3"/>
      <c r="JGW30" s="3"/>
      <c r="JGX30" s="3"/>
      <c r="JGY30" s="3"/>
      <c r="JGZ30" s="3"/>
      <c r="JHA30" s="3"/>
      <c r="JHB30" s="3"/>
      <c r="JHC30" s="3"/>
      <c r="JHD30" s="3"/>
      <c r="JHE30" s="3"/>
      <c r="JHF30" s="3"/>
      <c r="JHG30" s="3"/>
      <c r="JHH30" s="3"/>
      <c r="JHI30" s="3"/>
      <c r="JHJ30" s="3"/>
      <c r="JHK30" s="3"/>
      <c r="JHL30" s="3"/>
      <c r="JHM30" s="3"/>
      <c r="JHN30" s="3"/>
      <c r="JHO30" s="3"/>
      <c r="JHP30" s="3"/>
      <c r="JHQ30" s="3"/>
      <c r="JHR30" s="3"/>
      <c r="JHS30" s="3"/>
      <c r="JHT30" s="3"/>
      <c r="JHU30" s="3"/>
      <c r="JHV30" s="3"/>
      <c r="JHW30" s="3"/>
      <c r="JHX30" s="3"/>
      <c r="JHY30" s="3"/>
      <c r="JHZ30" s="3"/>
      <c r="JIA30" s="3"/>
      <c r="JIB30" s="3"/>
      <c r="JIC30" s="3"/>
      <c r="JID30" s="3"/>
      <c r="JIE30" s="3"/>
      <c r="JIF30" s="3"/>
      <c r="JIG30" s="3"/>
      <c r="JIH30" s="3"/>
      <c r="JII30" s="3"/>
      <c r="JIJ30" s="3"/>
      <c r="JIK30" s="3"/>
      <c r="JIL30" s="3"/>
      <c r="JIM30" s="3"/>
      <c r="JIN30" s="3"/>
      <c r="JIO30" s="3"/>
      <c r="JIP30" s="3"/>
      <c r="JIQ30" s="3"/>
      <c r="JIR30" s="3"/>
      <c r="JIS30" s="3"/>
      <c r="JIT30" s="3"/>
      <c r="JIU30" s="3"/>
      <c r="JIV30" s="3"/>
      <c r="JIW30" s="3"/>
      <c r="JIX30" s="3"/>
      <c r="JIY30" s="3"/>
      <c r="JIZ30" s="3"/>
      <c r="JJA30" s="3"/>
      <c r="JJB30" s="3"/>
      <c r="JJC30" s="3"/>
      <c r="JJD30" s="3"/>
      <c r="JJE30" s="3"/>
      <c r="JJF30" s="3"/>
      <c r="JJG30" s="3"/>
      <c r="JJH30" s="3"/>
      <c r="JJI30" s="3"/>
      <c r="JJJ30" s="3"/>
      <c r="JJK30" s="3"/>
      <c r="JJL30" s="3"/>
      <c r="JJM30" s="3"/>
      <c r="JJN30" s="3"/>
      <c r="JJO30" s="3"/>
      <c r="JJP30" s="3"/>
      <c r="JJQ30" s="3"/>
      <c r="JJR30" s="3"/>
      <c r="JJS30" s="3"/>
      <c r="JJT30" s="3"/>
      <c r="JJU30" s="3"/>
      <c r="JJV30" s="3"/>
      <c r="JJW30" s="3"/>
      <c r="JJX30" s="3"/>
      <c r="JJY30" s="3"/>
      <c r="JJZ30" s="3"/>
      <c r="JKA30" s="3"/>
      <c r="JKB30" s="3"/>
      <c r="JKC30" s="3"/>
      <c r="JKD30" s="3"/>
      <c r="JKE30" s="3"/>
      <c r="JKF30" s="3"/>
      <c r="JKG30" s="3"/>
      <c r="JKH30" s="3"/>
      <c r="JKI30" s="3"/>
      <c r="JKJ30" s="3"/>
      <c r="JKK30" s="3"/>
      <c r="JKL30" s="3"/>
      <c r="JKM30" s="3"/>
      <c r="JKN30" s="3"/>
      <c r="JKO30" s="3"/>
      <c r="JKP30" s="3"/>
      <c r="JKQ30" s="3"/>
      <c r="JKR30" s="3"/>
      <c r="JKS30" s="3"/>
      <c r="JKT30" s="3"/>
      <c r="JKU30" s="3"/>
      <c r="JKV30" s="3"/>
      <c r="JKW30" s="3"/>
      <c r="JKX30" s="3"/>
      <c r="JKY30" s="3"/>
      <c r="JKZ30" s="3"/>
      <c r="JLA30" s="3"/>
      <c r="JLB30" s="3"/>
      <c r="JLC30" s="3"/>
      <c r="JLD30" s="3"/>
      <c r="JLE30" s="3"/>
      <c r="JLF30" s="3"/>
      <c r="JLG30" s="3"/>
      <c r="JLH30" s="3"/>
      <c r="JLI30" s="3"/>
      <c r="JLJ30" s="3"/>
      <c r="JLK30" s="3"/>
      <c r="JLL30" s="3"/>
      <c r="JLM30" s="3"/>
      <c r="JLN30" s="3"/>
      <c r="JLO30" s="3"/>
      <c r="JLP30" s="3"/>
      <c r="JLQ30" s="3"/>
      <c r="JLR30" s="3"/>
      <c r="JLS30" s="3"/>
      <c r="JLT30" s="3"/>
      <c r="JLU30" s="3"/>
      <c r="JLV30" s="3"/>
      <c r="JLW30" s="3"/>
      <c r="JLX30" s="3"/>
      <c r="JLY30" s="3"/>
      <c r="JLZ30" s="3"/>
      <c r="JMA30" s="3"/>
      <c r="JMB30" s="3"/>
      <c r="JMC30" s="3"/>
      <c r="JMD30" s="3"/>
      <c r="JME30" s="3"/>
      <c r="JMF30" s="3"/>
      <c r="JMG30" s="3"/>
      <c r="JMH30" s="3"/>
      <c r="JMI30" s="3"/>
      <c r="JMJ30" s="3"/>
      <c r="JMK30" s="3"/>
      <c r="JML30" s="3"/>
      <c r="JMM30" s="3"/>
      <c r="JMN30" s="3"/>
      <c r="JMO30" s="3"/>
      <c r="JMP30" s="3"/>
      <c r="JMQ30" s="3"/>
      <c r="JMR30" s="3"/>
      <c r="JMS30" s="3"/>
      <c r="JMT30" s="3"/>
      <c r="JMU30" s="3"/>
      <c r="JMV30" s="3"/>
      <c r="JMW30" s="3"/>
      <c r="JMX30" s="3"/>
      <c r="JMY30" s="3"/>
      <c r="JMZ30" s="3"/>
      <c r="JNA30" s="3"/>
      <c r="JNB30" s="3"/>
      <c r="JNC30" s="3"/>
      <c r="JND30" s="3"/>
      <c r="JNE30" s="3"/>
      <c r="JNF30" s="3"/>
      <c r="JNG30" s="3"/>
      <c r="JNH30" s="3"/>
      <c r="JNI30" s="3"/>
      <c r="JNJ30" s="3"/>
      <c r="JNK30" s="3"/>
      <c r="JNL30" s="3"/>
      <c r="JNM30" s="3"/>
      <c r="JNN30" s="3"/>
      <c r="JNO30" s="3"/>
      <c r="JNP30" s="3"/>
      <c r="JNQ30" s="3"/>
      <c r="JNR30" s="3"/>
      <c r="JNS30" s="3"/>
      <c r="JNT30" s="3"/>
      <c r="JNU30" s="3"/>
      <c r="JNV30" s="3"/>
      <c r="JNW30" s="3"/>
      <c r="JNX30" s="3"/>
      <c r="JNY30" s="3"/>
      <c r="JNZ30" s="3"/>
      <c r="JOA30" s="3"/>
      <c r="JOB30" s="3"/>
      <c r="JOC30" s="3"/>
      <c r="JOD30" s="3"/>
      <c r="JOE30" s="3"/>
      <c r="JOF30" s="3"/>
      <c r="JOG30" s="3"/>
      <c r="JOH30" s="3"/>
      <c r="JOI30" s="3"/>
      <c r="JOJ30" s="3"/>
      <c r="JOK30" s="3"/>
      <c r="JOL30" s="3"/>
      <c r="JOM30" s="3"/>
      <c r="JON30" s="3"/>
      <c r="JOO30" s="3"/>
      <c r="JOP30" s="3"/>
      <c r="JOQ30" s="3"/>
      <c r="JOR30" s="3"/>
      <c r="JOS30" s="3"/>
      <c r="JOT30" s="3"/>
      <c r="JOU30" s="3"/>
      <c r="JOV30" s="3"/>
      <c r="JOW30" s="3"/>
      <c r="JOX30" s="3"/>
      <c r="JOY30" s="3"/>
      <c r="JOZ30" s="3"/>
      <c r="JPA30" s="3"/>
      <c r="JPB30" s="3"/>
      <c r="JPC30" s="3"/>
      <c r="JPD30" s="3"/>
      <c r="JPE30" s="3"/>
      <c r="JPF30" s="3"/>
      <c r="JPG30" s="3"/>
      <c r="JPH30" s="3"/>
      <c r="JPI30" s="3"/>
      <c r="JPJ30" s="3"/>
      <c r="JPK30" s="3"/>
      <c r="JPL30" s="3"/>
      <c r="JPM30" s="3"/>
      <c r="JPN30" s="3"/>
      <c r="JPO30" s="3"/>
      <c r="JPP30" s="3"/>
      <c r="JPQ30" s="3"/>
      <c r="JPR30" s="3"/>
      <c r="JPS30" s="3"/>
      <c r="JPT30" s="3"/>
      <c r="JPU30" s="3"/>
      <c r="JPV30" s="3"/>
      <c r="JPW30" s="3"/>
      <c r="JPX30" s="3"/>
      <c r="JPY30" s="3"/>
      <c r="JPZ30" s="3"/>
      <c r="JQA30" s="3"/>
      <c r="JQB30" s="3"/>
      <c r="JQC30" s="3"/>
      <c r="JQD30" s="3"/>
      <c r="JQE30" s="3"/>
      <c r="JQF30" s="3"/>
      <c r="JQG30" s="3"/>
      <c r="JQH30" s="3"/>
      <c r="JQI30" s="3"/>
      <c r="JQJ30" s="3"/>
      <c r="JQK30" s="3"/>
      <c r="JQL30" s="3"/>
      <c r="JQM30" s="3"/>
      <c r="JQN30" s="3"/>
      <c r="JQO30" s="3"/>
      <c r="JQP30" s="3"/>
      <c r="JQQ30" s="3"/>
      <c r="JQR30" s="3"/>
      <c r="JQS30" s="3"/>
      <c r="JQT30" s="3"/>
      <c r="JQU30" s="3"/>
      <c r="JQV30" s="3"/>
      <c r="JQW30" s="3"/>
      <c r="JQX30" s="3"/>
      <c r="JQY30" s="3"/>
      <c r="JQZ30" s="3"/>
      <c r="JRA30" s="3"/>
      <c r="JRB30" s="3"/>
      <c r="JRC30" s="3"/>
      <c r="JRD30" s="3"/>
      <c r="JRE30" s="3"/>
      <c r="JRF30" s="3"/>
      <c r="JRG30" s="3"/>
      <c r="JRH30" s="3"/>
      <c r="JRI30" s="3"/>
      <c r="JRJ30" s="3"/>
      <c r="JRK30" s="3"/>
      <c r="JRL30" s="3"/>
      <c r="JRM30" s="3"/>
      <c r="JRN30" s="3"/>
      <c r="JRO30" s="3"/>
      <c r="JRP30" s="3"/>
      <c r="JRQ30" s="3"/>
      <c r="JRR30" s="3"/>
      <c r="JRS30" s="3"/>
      <c r="JRT30" s="3"/>
      <c r="JRU30" s="3"/>
      <c r="JRV30" s="3"/>
      <c r="JRW30" s="3"/>
      <c r="JRX30" s="3"/>
      <c r="JRY30" s="3"/>
      <c r="JRZ30" s="3"/>
      <c r="JSA30" s="3"/>
      <c r="JSB30" s="3"/>
      <c r="JSC30" s="3"/>
      <c r="JSD30" s="3"/>
      <c r="JSE30" s="3"/>
      <c r="JSF30" s="3"/>
      <c r="JSG30" s="3"/>
      <c r="JSH30" s="3"/>
      <c r="JSI30" s="3"/>
      <c r="JSJ30" s="3"/>
      <c r="JSK30" s="3"/>
      <c r="JSL30" s="3"/>
      <c r="JSM30" s="3"/>
      <c r="JSN30" s="3"/>
      <c r="JSO30" s="3"/>
      <c r="JSP30" s="3"/>
      <c r="JSQ30" s="3"/>
      <c r="JSR30" s="3"/>
      <c r="JSS30" s="3"/>
      <c r="JST30" s="3"/>
      <c r="JSU30" s="3"/>
      <c r="JSV30" s="3"/>
      <c r="JSW30" s="3"/>
      <c r="JSX30" s="3"/>
      <c r="JSY30" s="3"/>
      <c r="JSZ30" s="3"/>
      <c r="JTA30" s="3"/>
      <c r="JTB30" s="3"/>
      <c r="JTC30" s="3"/>
      <c r="JTD30" s="3"/>
      <c r="JTE30" s="3"/>
      <c r="JTF30" s="3"/>
      <c r="JTG30" s="3"/>
      <c r="JTH30" s="3"/>
      <c r="JTI30" s="3"/>
      <c r="JTJ30" s="3"/>
      <c r="JTK30" s="3"/>
      <c r="JTL30" s="3"/>
      <c r="JTM30" s="3"/>
      <c r="JTN30" s="3"/>
      <c r="JTO30" s="3"/>
      <c r="JTP30" s="3"/>
      <c r="JTQ30" s="3"/>
      <c r="JTR30" s="3"/>
      <c r="JTS30" s="3"/>
      <c r="JTT30" s="3"/>
      <c r="JTU30" s="3"/>
      <c r="JTV30" s="3"/>
      <c r="JTW30" s="3"/>
      <c r="JTX30" s="3"/>
      <c r="JTY30" s="3"/>
      <c r="JTZ30" s="3"/>
      <c r="JUA30" s="3"/>
      <c r="JUB30" s="3"/>
      <c r="JUC30" s="3"/>
      <c r="JUD30" s="3"/>
      <c r="JUE30" s="3"/>
      <c r="JUF30" s="3"/>
      <c r="JUG30" s="3"/>
      <c r="JUH30" s="3"/>
      <c r="JUI30" s="3"/>
      <c r="JUJ30" s="3"/>
      <c r="JUK30" s="3"/>
      <c r="JUL30" s="3"/>
      <c r="JUM30" s="3"/>
      <c r="JUN30" s="3"/>
      <c r="JUO30" s="3"/>
      <c r="JUP30" s="3"/>
      <c r="JUQ30" s="3"/>
      <c r="JUR30" s="3"/>
      <c r="JUS30" s="3"/>
      <c r="JUT30" s="3"/>
      <c r="JUU30" s="3"/>
      <c r="JUV30" s="3"/>
      <c r="JUW30" s="3"/>
      <c r="JUX30" s="3"/>
      <c r="JUY30" s="3"/>
      <c r="JUZ30" s="3"/>
      <c r="JVA30" s="3"/>
      <c r="JVB30" s="3"/>
      <c r="JVC30" s="3"/>
      <c r="JVD30" s="3"/>
      <c r="JVE30" s="3"/>
      <c r="JVF30" s="3"/>
      <c r="JVG30" s="3"/>
      <c r="JVH30" s="3"/>
      <c r="JVI30" s="3"/>
      <c r="JVJ30" s="3"/>
      <c r="JVK30" s="3"/>
      <c r="JVL30" s="3"/>
      <c r="JVM30" s="3"/>
      <c r="JVN30" s="3"/>
      <c r="JVO30" s="3"/>
      <c r="JVP30" s="3"/>
      <c r="JVQ30" s="3"/>
      <c r="JVR30" s="3"/>
      <c r="JVS30" s="3"/>
      <c r="JVT30" s="3"/>
      <c r="JVU30" s="3"/>
      <c r="JVV30" s="3"/>
      <c r="JVW30" s="3"/>
      <c r="JVX30" s="3"/>
      <c r="JVY30" s="3"/>
      <c r="JVZ30" s="3"/>
      <c r="JWA30" s="3"/>
      <c r="JWB30" s="3"/>
      <c r="JWC30" s="3"/>
      <c r="JWD30" s="3"/>
      <c r="JWE30" s="3"/>
      <c r="JWF30" s="3"/>
      <c r="JWG30" s="3"/>
      <c r="JWH30" s="3"/>
      <c r="JWI30" s="3"/>
      <c r="JWJ30" s="3"/>
      <c r="JWK30" s="3"/>
      <c r="JWL30" s="3"/>
      <c r="JWM30" s="3"/>
      <c r="JWN30" s="3"/>
      <c r="JWO30" s="3"/>
      <c r="JWP30" s="3"/>
      <c r="JWQ30" s="3"/>
      <c r="JWR30" s="3"/>
      <c r="JWS30" s="3"/>
      <c r="JWT30" s="3"/>
      <c r="JWU30" s="3"/>
      <c r="JWV30" s="3"/>
      <c r="JWW30" s="3"/>
      <c r="JWX30" s="3"/>
      <c r="JWY30" s="3"/>
      <c r="JWZ30" s="3"/>
      <c r="JXA30" s="3"/>
      <c r="JXB30" s="3"/>
      <c r="JXC30" s="3"/>
      <c r="JXD30" s="3"/>
      <c r="JXE30" s="3"/>
      <c r="JXF30" s="3"/>
      <c r="JXG30" s="3"/>
      <c r="JXH30" s="3"/>
      <c r="JXI30" s="3"/>
      <c r="JXJ30" s="3"/>
      <c r="JXK30" s="3"/>
      <c r="JXL30" s="3"/>
      <c r="JXM30" s="3"/>
      <c r="JXN30" s="3"/>
      <c r="JXO30" s="3"/>
      <c r="JXP30" s="3"/>
      <c r="JXQ30" s="3"/>
      <c r="JXR30" s="3"/>
      <c r="JXS30" s="3"/>
      <c r="JXT30" s="3"/>
      <c r="JXU30" s="3"/>
      <c r="JXV30" s="3"/>
      <c r="JXW30" s="3"/>
      <c r="JXX30" s="3"/>
      <c r="JXY30" s="3"/>
      <c r="JXZ30" s="3"/>
      <c r="JYA30" s="3"/>
      <c r="JYB30" s="3"/>
      <c r="JYC30" s="3"/>
      <c r="JYD30" s="3"/>
      <c r="JYE30" s="3"/>
      <c r="JYF30" s="3"/>
      <c r="JYG30" s="3"/>
      <c r="JYH30" s="3"/>
      <c r="JYI30" s="3"/>
      <c r="JYJ30" s="3"/>
      <c r="JYK30" s="3"/>
      <c r="JYL30" s="3"/>
      <c r="JYM30" s="3"/>
      <c r="JYN30" s="3"/>
      <c r="JYO30" s="3"/>
      <c r="JYP30" s="3"/>
      <c r="JYQ30" s="3"/>
      <c r="JYR30" s="3"/>
      <c r="JYS30" s="3"/>
      <c r="JYT30" s="3"/>
      <c r="JYU30" s="3"/>
      <c r="JYV30" s="3"/>
      <c r="JYW30" s="3"/>
      <c r="JYX30" s="3"/>
      <c r="JYY30" s="3"/>
      <c r="JYZ30" s="3"/>
      <c r="JZA30" s="3"/>
      <c r="JZB30" s="3"/>
      <c r="JZC30" s="3"/>
      <c r="JZD30" s="3"/>
      <c r="JZE30" s="3"/>
      <c r="JZF30" s="3"/>
      <c r="JZG30" s="3"/>
      <c r="JZH30" s="3"/>
      <c r="JZI30" s="3"/>
      <c r="JZJ30" s="3"/>
      <c r="JZK30" s="3"/>
      <c r="JZL30" s="3"/>
      <c r="JZM30" s="3"/>
      <c r="JZN30" s="3"/>
      <c r="JZO30" s="3"/>
      <c r="JZP30" s="3"/>
      <c r="JZQ30" s="3"/>
      <c r="JZR30" s="3"/>
      <c r="JZS30" s="3"/>
      <c r="JZT30" s="3"/>
      <c r="JZU30" s="3"/>
      <c r="JZV30" s="3"/>
      <c r="JZW30" s="3"/>
      <c r="JZX30" s="3"/>
      <c r="JZY30" s="3"/>
      <c r="JZZ30" s="3"/>
      <c r="KAA30" s="3"/>
      <c r="KAB30" s="3"/>
      <c r="KAC30" s="3"/>
      <c r="KAD30" s="3"/>
      <c r="KAE30" s="3"/>
      <c r="KAF30" s="3"/>
      <c r="KAG30" s="3"/>
      <c r="KAH30" s="3"/>
      <c r="KAI30" s="3"/>
      <c r="KAJ30" s="3"/>
      <c r="KAK30" s="3"/>
      <c r="KAL30" s="3"/>
      <c r="KAM30" s="3"/>
      <c r="KAN30" s="3"/>
      <c r="KAO30" s="3"/>
      <c r="KAP30" s="3"/>
      <c r="KAQ30" s="3"/>
      <c r="KAR30" s="3"/>
      <c r="KAS30" s="3"/>
      <c r="KAT30" s="3"/>
      <c r="KAU30" s="3"/>
      <c r="KAV30" s="3"/>
      <c r="KAW30" s="3"/>
      <c r="KAX30" s="3"/>
      <c r="KAY30" s="3"/>
      <c r="KAZ30" s="3"/>
      <c r="KBA30" s="3"/>
      <c r="KBB30" s="3"/>
      <c r="KBC30" s="3"/>
      <c r="KBD30" s="3"/>
      <c r="KBE30" s="3"/>
      <c r="KBF30" s="3"/>
      <c r="KBG30" s="3"/>
      <c r="KBH30" s="3"/>
      <c r="KBI30" s="3"/>
      <c r="KBJ30" s="3"/>
      <c r="KBK30" s="3"/>
      <c r="KBL30" s="3"/>
      <c r="KBM30" s="3"/>
      <c r="KBN30" s="3"/>
      <c r="KBO30" s="3"/>
      <c r="KBP30" s="3"/>
      <c r="KBQ30" s="3"/>
      <c r="KBR30" s="3"/>
      <c r="KBS30" s="3"/>
      <c r="KBT30" s="3"/>
      <c r="KBU30" s="3"/>
      <c r="KBV30" s="3"/>
      <c r="KBW30" s="3"/>
      <c r="KBX30" s="3"/>
      <c r="KBY30" s="3"/>
      <c r="KBZ30" s="3"/>
      <c r="KCA30" s="3"/>
      <c r="KCB30" s="3"/>
      <c r="KCC30" s="3"/>
      <c r="KCD30" s="3"/>
      <c r="KCE30" s="3"/>
      <c r="KCF30" s="3"/>
      <c r="KCG30" s="3"/>
      <c r="KCH30" s="3"/>
      <c r="KCI30" s="3"/>
      <c r="KCJ30" s="3"/>
      <c r="KCK30" s="3"/>
      <c r="KCL30" s="3"/>
      <c r="KCM30" s="3"/>
      <c r="KCN30" s="3"/>
      <c r="KCO30" s="3"/>
      <c r="KCP30" s="3"/>
      <c r="KCQ30" s="3"/>
      <c r="KCR30" s="3"/>
      <c r="KCS30" s="3"/>
      <c r="KCT30" s="3"/>
      <c r="KCU30" s="3"/>
      <c r="KCV30" s="3"/>
      <c r="KCW30" s="3"/>
      <c r="KCX30" s="3"/>
      <c r="KCY30" s="3"/>
      <c r="KCZ30" s="3"/>
      <c r="KDA30" s="3"/>
      <c r="KDB30" s="3"/>
      <c r="KDC30" s="3"/>
      <c r="KDD30" s="3"/>
      <c r="KDE30" s="3"/>
      <c r="KDF30" s="3"/>
      <c r="KDG30" s="3"/>
      <c r="KDH30" s="3"/>
      <c r="KDI30" s="3"/>
      <c r="KDJ30" s="3"/>
      <c r="KDK30" s="3"/>
      <c r="KDL30" s="3"/>
      <c r="KDM30" s="3"/>
      <c r="KDN30" s="3"/>
      <c r="KDO30" s="3"/>
      <c r="KDP30" s="3"/>
      <c r="KDQ30" s="3"/>
      <c r="KDR30" s="3"/>
      <c r="KDS30" s="3"/>
      <c r="KDT30" s="3"/>
      <c r="KDU30" s="3"/>
      <c r="KDV30" s="3"/>
      <c r="KDW30" s="3"/>
      <c r="KDX30" s="3"/>
      <c r="KDY30" s="3"/>
      <c r="KDZ30" s="3"/>
      <c r="KEA30" s="3"/>
      <c r="KEB30" s="3"/>
      <c r="KEC30" s="3"/>
      <c r="KED30" s="3"/>
      <c r="KEE30" s="3"/>
      <c r="KEF30" s="3"/>
      <c r="KEG30" s="3"/>
      <c r="KEH30" s="3"/>
      <c r="KEI30" s="3"/>
      <c r="KEJ30" s="3"/>
      <c r="KEK30" s="3"/>
      <c r="KEL30" s="3"/>
      <c r="KEM30" s="3"/>
      <c r="KEN30" s="3"/>
      <c r="KEO30" s="3"/>
      <c r="KEP30" s="3"/>
      <c r="KEQ30" s="3"/>
      <c r="KER30" s="3"/>
      <c r="KES30" s="3"/>
      <c r="KET30" s="3"/>
      <c r="KEU30" s="3"/>
      <c r="KEV30" s="3"/>
      <c r="KEW30" s="3"/>
      <c r="KEX30" s="3"/>
      <c r="KEY30" s="3"/>
      <c r="KEZ30" s="3"/>
      <c r="KFA30" s="3"/>
      <c r="KFB30" s="3"/>
      <c r="KFC30" s="3"/>
      <c r="KFD30" s="3"/>
      <c r="KFE30" s="3"/>
      <c r="KFF30" s="3"/>
      <c r="KFG30" s="3"/>
      <c r="KFH30" s="3"/>
      <c r="KFI30" s="3"/>
      <c r="KFJ30" s="3"/>
      <c r="KFK30" s="3"/>
      <c r="KFL30" s="3"/>
      <c r="KFM30" s="3"/>
      <c r="KFN30" s="3"/>
      <c r="KFO30" s="3"/>
      <c r="KFP30" s="3"/>
      <c r="KFQ30" s="3"/>
      <c r="KFR30" s="3"/>
      <c r="KFS30" s="3"/>
      <c r="KFT30" s="3"/>
      <c r="KFU30" s="3"/>
      <c r="KFV30" s="3"/>
      <c r="KFW30" s="3"/>
      <c r="KFX30" s="3"/>
      <c r="KFY30" s="3"/>
      <c r="KFZ30" s="3"/>
      <c r="KGA30" s="3"/>
      <c r="KGB30" s="3"/>
      <c r="KGC30" s="3"/>
      <c r="KGD30" s="3"/>
      <c r="KGE30" s="3"/>
      <c r="KGF30" s="3"/>
      <c r="KGG30" s="3"/>
      <c r="KGH30" s="3"/>
      <c r="KGI30" s="3"/>
      <c r="KGJ30" s="3"/>
      <c r="KGK30" s="3"/>
      <c r="KGL30" s="3"/>
      <c r="KGM30" s="3"/>
      <c r="KGN30" s="3"/>
      <c r="KGO30" s="3"/>
      <c r="KGP30" s="3"/>
      <c r="KGQ30" s="3"/>
      <c r="KGR30" s="3"/>
      <c r="KGS30" s="3"/>
      <c r="KGT30" s="3"/>
      <c r="KGU30" s="3"/>
      <c r="KGV30" s="3"/>
      <c r="KGW30" s="3"/>
      <c r="KGX30" s="3"/>
      <c r="KGY30" s="3"/>
      <c r="KGZ30" s="3"/>
      <c r="KHA30" s="3"/>
      <c r="KHB30" s="3"/>
      <c r="KHC30" s="3"/>
      <c r="KHD30" s="3"/>
      <c r="KHE30" s="3"/>
      <c r="KHF30" s="3"/>
      <c r="KHG30" s="3"/>
      <c r="KHH30" s="3"/>
      <c r="KHI30" s="3"/>
      <c r="KHJ30" s="3"/>
      <c r="KHK30" s="3"/>
      <c r="KHL30" s="3"/>
      <c r="KHM30" s="3"/>
      <c r="KHN30" s="3"/>
      <c r="KHO30" s="3"/>
      <c r="KHP30" s="3"/>
      <c r="KHQ30" s="3"/>
      <c r="KHR30" s="3"/>
      <c r="KHS30" s="3"/>
      <c r="KHT30" s="3"/>
      <c r="KHU30" s="3"/>
      <c r="KHV30" s="3"/>
      <c r="KHW30" s="3"/>
      <c r="KHX30" s="3"/>
      <c r="KHY30" s="3"/>
      <c r="KHZ30" s="3"/>
      <c r="KIA30" s="3"/>
      <c r="KIB30" s="3"/>
      <c r="KIC30" s="3"/>
      <c r="KID30" s="3"/>
      <c r="KIE30" s="3"/>
      <c r="KIF30" s="3"/>
      <c r="KIG30" s="3"/>
      <c r="KIH30" s="3"/>
      <c r="KII30" s="3"/>
      <c r="KIJ30" s="3"/>
      <c r="KIK30" s="3"/>
      <c r="KIL30" s="3"/>
      <c r="KIM30" s="3"/>
      <c r="KIN30" s="3"/>
      <c r="KIO30" s="3"/>
      <c r="KIP30" s="3"/>
      <c r="KIQ30" s="3"/>
      <c r="KIR30" s="3"/>
      <c r="KIS30" s="3"/>
      <c r="KIT30" s="3"/>
      <c r="KIU30" s="3"/>
      <c r="KIV30" s="3"/>
      <c r="KIW30" s="3"/>
      <c r="KIX30" s="3"/>
      <c r="KIY30" s="3"/>
      <c r="KIZ30" s="3"/>
      <c r="KJA30" s="3"/>
      <c r="KJB30" s="3"/>
      <c r="KJC30" s="3"/>
      <c r="KJD30" s="3"/>
      <c r="KJE30" s="3"/>
      <c r="KJF30" s="3"/>
      <c r="KJG30" s="3"/>
      <c r="KJH30" s="3"/>
      <c r="KJI30" s="3"/>
      <c r="KJJ30" s="3"/>
      <c r="KJK30" s="3"/>
      <c r="KJL30" s="3"/>
      <c r="KJM30" s="3"/>
      <c r="KJN30" s="3"/>
      <c r="KJO30" s="3"/>
      <c r="KJP30" s="3"/>
      <c r="KJQ30" s="3"/>
      <c r="KJR30" s="3"/>
      <c r="KJS30" s="3"/>
      <c r="KJT30" s="3"/>
      <c r="KJU30" s="3"/>
      <c r="KJV30" s="3"/>
      <c r="KJW30" s="3"/>
      <c r="KJX30" s="3"/>
      <c r="KJY30" s="3"/>
      <c r="KJZ30" s="3"/>
      <c r="KKA30" s="3"/>
      <c r="KKB30" s="3"/>
      <c r="KKC30" s="3"/>
      <c r="KKD30" s="3"/>
      <c r="KKE30" s="3"/>
      <c r="KKF30" s="3"/>
      <c r="KKG30" s="3"/>
      <c r="KKH30" s="3"/>
      <c r="KKI30" s="3"/>
      <c r="KKJ30" s="3"/>
      <c r="KKK30" s="3"/>
      <c r="KKL30" s="3"/>
      <c r="KKM30" s="3"/>
      <c r="KKN30" s="3"/>
      <c r="KKO30" s="3"/>
      <c r="KKP30" s="3"/>
      <c r="KKQ30" s="3"/>
      <c r="KKR30" s="3"/>
      <c r="KKS30" s="3"/>
      <c r="KKT30" s="3"/>
      <c r="KKU30" s="3"/>
      <c r="KKV30" s="3"/>
      <c r="KKW30" s="3"/>
      <c r="KKX30" s="3"/>
      <c r="KKY30" s="3"/>
      <c r="KKZ30" s="3"/>
      <c r="KLA30" s="3"/>
      <c r="KLB30" s="3"/>
      <c r="KLC30" s="3"/>
      <c r="KLD30" s="3"/>
      <c r="KLE30" s="3"/>
      <c r="KLF30" s="3"/>
      <c r="KLG30" s="3"/>
      <c r="KLH30" s="3"/>
      <c r="KLI30" s="3"/>
      <c r="KLJ30" s="3"/>
      <c r="KLK30" s="3"/>
      <c r="KLL30" s="3"/>
      <c r="KLM30" s="3"/>
      <c r="KLN30" s="3"/>
      <c r="KLO30" s="3"/>
      <c r="KLP30" s="3"/>
      <c r="KLQ30" s="3"/>
      <c r="KLR30" s="3"/>
      <c r="KLS30" s="3"/>
      <c r="KLT30" s="3"/>
      <c r="KLU30" s="3"/>
      <c r="KLV30" s="3"/>
      <c r="KLW30" s="3"/>
      <c r="KLX30" s="3"/>
      <c r="KLY30" s="3"/>
      <c r="KLZ30" s="3"/>
      <c r="KMA30" s="3"/>
      <c r="KMB30" s="3"/>
      <c r="KMC30" s="3"/>
      <c r="KMD30" s="3"/>
      <c r="KME30" s="3"/>
      <c r="KMF30" s="3"/>
      <c r="KMG30" s="3"/>
      <c r="KMH30" s="3"/>
      <c r="KMI30" s="3"/>
      <c r="KMJ30" s="3"/>
      <c r="KMK30" s="3"/>
      <c r="KML30" s="3"/>
      <c r="KMM30" s="3"/>
      <c r="KMN30" s="3"/>
      <c r="KMO30" s="3"/>
      <c r="KMP30" s="3"/>
      <c r="KMQ30" s="3"/>
      <c r="KMR30" s="3"/>
      <c r="KMS30" s="3"/>
      <c r="KMT30" s="3"/>
      <c r="KMU30" s="3"/>
      <c r="KMV30" s="3"/>
      <c r="KMW30" s="3"/>
      <c r="KMX30" s="3"/>
      <c r="KMY30" s="3"/>
      <c r="KMZ30" s="3"/>
      <c r="KNA30" s="3"/>
      <c r="KNB30" s="3"/>
      <c r="KNC30" s="3"/>
      <c r="KND30" s="3"/>
      <c r="KNE30" s="3"/>
      <c r="KNF30" s="3"/>
      <c r="KNG30" s="3"/>
      <c r="KNH30" s="3"/>
      <c r="KNI30" s="3"/>
      <c r="KNJ30" s="3"/>
      <c r="KNK30" s="3"/>
      <c r="KNL30" s="3"/>
      <c r="KNM30" s="3"/>
      <c r="KNN30" s="3"/>
      <c r="KNO30" s="3"/>
      <c r="KNP30" s="3"/>
      <c r="KNQ30" s="3"/>
      <c r="KNR30" s="3"/>
      <c r="KNS30" s="3"/>
      <c r="KNT30" s="3"/>
      <c r="KNU30" s="3"/>
      <c r="KNV30" s="3"/>
      <c r="KNW30" s="3"/>
      <c r="KNX30" s="3"/>
      <c r="KNY30" s="3"/>
      <c r="KNZ30" s="3"/>
      <c r="KOA30" s="3"/>
      <c r="KOB30" s="3"/>
      <c r="KOC30" s="3"/>
      <c r="KOD30" s="3"/>
      <c r="KOE30" s="3"/>
      <c r="KOF30" s="3"/>
      <c r="KOG30" s="3"/>
      <c r="KOH30" s="3"/>
      <c r="KOI30" s="3"/>
      <c r="KOJ30" s="3"/>
      <c r="KOK30" s="3"/>
      <c r="KOL30" s="3"/>
      <c r="KOM30" s="3"/>
      <c r="KON30" s="3"/>
      <c r="KOO30" s="3"/>
      <c r="KOP30" s="3"/>
      <c r="KOQ30" s="3"/>
      <c r="KOR30" s="3"/>
      <c r="KOS30" s="3"/>
      <c r="KOT30" s="3"/>
      <c r="KOU30" s="3"/>
      <c r="KOV30" s="3"/>
      <c r="KOW30" s="3"/>
      <c r="KOX30" s="3"/>
      <c r="KOY30" s="3"/>
      <c r="KOZ30" s="3"/>
      <c r="KPA30" s="3"/>
      <c r="KPB30" s="3"/>
      <c r="KPC30" s="3"/>
      <c r="KPD30" s="3"/>
      <c r="KPE30" s="3"/>
      <c r="KPF30" s="3"/>
      <c r="KPG30" s="3"/>
      <c r="KPH30" s="3"/>
      <c r="KPI30" s="3"/>
      <c r="KPJ30" s="3"/>
      <c r="KPK30" s="3"/>
      <c r="KPL30" s="3"/>
      <c r="KPM30" s="3"/>
      <c r="KPN30" s="3"/>
      <c r="KPO30" s="3"/>
      <c r="KPP30" s="3"/>
      <c r="KPQ30" s="3"/>
      <c r="KPR30" s="3"/>
      <c r="KPS30" s="3"/>
      <c r="KPT30" s="3"/>
      <c r="KPU30" s="3"/>
      <c r="KPV30" s="3"/>
      <c r="KPW30" s="3"/>
      <c r="KPX30" s="3"/>
      <c r="KPY30" s="3"/>
      <c r="KPZ30" s="3"/>
      <c r="KQA30" s="3"/>
      <c r="KQB30" s="3"/>
      <c r="KQC30" s="3"/>
      <c r="KQD30" s="3"/>
      <c r="KQE30" s="3"/>
      <c r="KQF30" s="3"/>
      <c r="KQG30" s="3"/>
      <c r="KQH30" s="3"/>
      <c r="KQI30" s="3"/>
      <c r="KQJ30" s="3"/>
      <c r="KQK30" s="3"/>
      <c r="KQL30" s="3"/>
      <c r="KQM30" s="3"/>
      <c r="KQN30" s="3"/>
      <c r="KQO30" s="3"/>
      <c r="KQP30" s="3"/>
      <c r="KQQ30" s="3"/>
      <c r="KQR30" s="3"/>
      <c r="KQS30" s="3"/>
      <c r="KQT30" s="3"/>
      <c r="KQU30" s="3"/>
      <c r="KQV30" s="3"/>
      <c r="KQW30" s="3"/>
      <c r="KQX30" s="3"/>
      <c r="KQY30" s="3"/>
      <c r="KQZ30" s="3"/>
      <c r="KRA30" s="3"/>
      <c r="KRB30" s="3"/>
      <c r="KRC30" s="3"/>
      <c r="KRD30" s="3"/>
      <c r="KRE30" s="3"/>
      <c r="KRF30" s="3"/>
      <c r="KRG30" s="3"/>
      <c r="KRH30" s="3"/>
      <c r="KRI30" s="3"/>
      <c r="KRJ30" s="3"/>
      <c r="KRK30" s="3"/>
      <c r="KRL30" s="3"/>
      <c r="KRM30" s="3"/>
      <c r="KRN30" s="3"/>
      <c r="KRO30" s="3"/>
      <c r="KRP30" s="3"/>
      <c r="KRQ30" s="3"/>
      <c r="KRR30" s="3"/>
      <c r="KRS30" s="3"/>
      <c r="KRT30" s="3"/>
      <c r="KRU30" s="3"/>
      <c r="KRV30" s="3"/>
      <c r="KRW30" s="3"/>
      <c r="KRX30" s="3"/>
      <c r="KRY30" s="3"/>
      <c r="KRZ30" s="3"/>
      <c r="KSA30" s="3"/>
      <c r="KSB30" s="3"/>
      <c r="KSC30" s="3"/>
      <c r="KSD30" s="3"/>
      <c r="KSE30" s="3"/>
      <c r="KSF30" s="3"/>
      <c r="KSG30" s="3"/>
      <c r="KSH30" s="3"/>
      <c r="KSI30" s="3"/>
      <c r="KSJ30" s="3"/>
      <c r="KSK30" s="3"/>
      <c r="KSL30" s="3"/>
      <c r="KSM30" s="3"/>
      <c r="KSN30" s="3"/>
      <c r="KSO30" s="3"/>
      <c r="KSP30" s="3"/>
      <c r="KSQ30" s="3"/>
      <c r="KSR30" s="3"/>
      <c r="KSS30" s="3"/>
      <c r="KST30" s="3"/>
      <c r="KSU30" s="3"/>
      <c r="KSV30" s="3"/>
      <c r="KSW30" s="3"/>
      <c r="KSX30" s="3"/>
      <c r="KSY30" s="3"/>
      <c r="KSZ30" s="3"/>
      <c r="KTA30" s="3"/>
      <c r="KTB30" s="3"/>
      <c r="KTC30" s="3"/>
      <c r="KTD30" s="3"/>
      <c r="KTE30" s="3"/>
      <c r="KTF30" s="3"/>
      <c r="KTG30" s="3"/>
      <c r="KTH30" s="3"/>
      <c r="KTI30" s="3"/>
      <c r="KTJ30" s="3"/>
      <c r="KTK30" s="3"/>
      <c r="KTL30" s="3"/>
      <c r="KTM30" s="3"/>
      <c r="KTN30" s="3"/>
      <c r="KTO30" s="3"/>
      <c r="KTP30" s="3"/>
      <c r="KTQ30" s="3"/>
      <c r="KTR30" s="3"/>
      <c r="KTS30" s="3"/>
      <c r="KTT30" s="3"/>
      <c r="KTU30" s="3"/>
      <c r="KTV30" s="3"/>
      <c r="KTW30" s="3"/>
      <c r="KTX30" s="3"/>
      <c r="KTY30" s="3"/>
      <c r="KTZ30" s="3"/>
      <c r="KUA30" s="3"/>
      <c r="KUB30" s="3"/>
      <c r="KUC30" s="3"/>
      <c r="KUD30" s="3"/>
      <c r="KUE30" s="3"/>
      <c r="KUF30" s="3"/>
      <c r="KUG30" s="3"/>
      <c r="KUH30" s="3"/>
      <c r="KUI30" s="3"/>
      <c r="KUJ30" s="3"/>
      <c r="KUK30" s="3"/>
      <c r="KUL30" s="3"/>
      <c r="KUM30" s="3"/>
      <c r="KUN30" s="3"/>
      <c r="KUO30" s="3"/>
      <c r="KUP30" s="3"/>
      <c r="KUQ30" s="3"/>
      <c r="KUR30" s="3"/>
      <c r="KUS30" s="3"/>
      <c r="KUT30" s="3"/>
      <c r="KUU30" s="3"/>
      <c r="KUV30" s="3"/>
      <c r="KUW30" s="3"/>
      <c r="KUX30" s="3"/>
      <c r="KUY30" s="3"/>
      <c r="KUZ30" s="3"/>
      <c r="KVA30" s="3"/>
      <c r="KVB30" s="3"/>
      <c r="KVC30" s="3"/>
      <c r="KVD30" s="3"/>
      <c r="KVE30" s="3"/>
      <c r="KVF30" s="3"/>
      <c r="KVG30" s="3"/>
      <c r="KVH30" s="3"/>
      <c r="KVI30" s="3"/>
      <c r="KVJ30" s="3"/>
      <c r="KVK30" s="3"/>
      <c r="KVL30" s="3"/>
      <c r="KVM30" s="3"/>
      <c r="KVN30" s="3"/>
      <c r="KVO30" s="3"/>
      <c r="KVP30" s="3"/>
      <c r="KVQ30" s="3"/>
      <c r="KVR30" s="3"/>
      <c r="KVS30" s="3"/>
      <c r="KVT30" s="3"/>
      <c r="KVU30" s="3"/>
      <c r="KVV30" s="3"/>
      <c r="KVW30" s="3"/>
      <c r="KVX30" s="3"/>
      <c r="KVY30" s="3"/>
      <c r="KVZ30" s="3"/>
      <c r="KWA30" s="3"/>
      <c r="KWB30" s="3"/>
      <c r="KWC30" s="3"/>
      <c r="KWD30" s="3"/>
      <c r="KWE30" s="3"/>
      <c r="KWF30" s="3"/>
      <c r="KWG30" s="3"/>
      <c r="KWH30" s="3"/>
      <c r="KWI30" s="3"/>
      <c r="KWJ30" s="3"/>
      <c r="KWK30" s="3"/>
      <c r="KWL30" s="3"/>
      <c r="KWM30" s="3"/>
      <c r="KWN30" s="3"/>
      <c r="KWO30" s="3"/>
      <c r="KWP30" s="3"/>
      <c r="KWQ30" s="3"/>
      <c r="KWR30" s="3"/>
      <c r="KWS30" s="3"/>
      <c r="KWT30" s="3"/>
      <c r="KWU30" s="3"/>
      <c r="KWV30" s="3"/>
      <c r="KWW30" s="3"/>
      <c r="KWX30" s="3"/>
      <c r="KWY30" s="3"/>
      <c r="KWZ30" s="3"/>
      <c r="KXA30" s="3"/>
      <c r="KXB30" s="3"/>
      <c r="KXC30" s="3"/>
      <c r="KXD30" s="3"/>
      <c r="KXE30" s="3"/>
      <c r="KXF30" s="3"/>
      <c r="KXG30" s="3"/>
      <c r="KXH30" s="3"/>
      <c r="KXI30" s="3"/>
      <c r="KXJ30" s="3"/>
      <c r="KXK30" s="3"/>
      <c r="KXL30" s="3"/>
      <c r="KXM30" s="3"/>
      <c r="KXN30" s="3"/>
      <c r="KXO30" s="3"/>
      <c r="KXP30" s="3"/>
      <c r="KXQ30" s="3"/>
      <c r="KXR30" s="3"/>
      <c r="KXS30" s="3"/>
      <c r="KXT30" s="3"/>
      <c r="KXU30" s="3"/>
      <c r="KXV30" s="3"/>
      <c r="KXW30" s="3"/>
      <c r="KXX30" s="3"/>
      <c r="KXY30" s="3"/>
      <c r="KXZ30" s="3"/>
      <c r="KYA30" s="3"/>
      <c r="KYB30" s="3"/>
      <c r="KYC30" s="3"/>
      <c r="KYD30" s="3"/>
      <c r="KYE30" s="3"/>
      <c r="KYF30" s="3"/>
      <c r="KYG30" s="3"/>
      <c r="KYH30" s="3"/>
      <c r="KYI30" s="3"/>
      <c r="KYJ30" s="3"/>
      <c r="KYK30" s="3"/>
      <c r="KYL30" s="3"/>
      <c r="KYM30" s="3"/>
      <c r="KYN30" s="3"/>
      <c r="KYO30" s="3"/>
      <c r="KYP30" s="3"/>
      <c r="KYQ30" s="3"/>
      <c r="KYR30" s="3"/>
      <c r="KYS30" s="3"/>
      <c r="KYT30" s="3"/>
      <c r="KYU30" s="3"/>
      <c r="KYV30" s="3"/>
      <c r="KYW30" s="3"/>
      <c r="KYX30" s="3"/>
      <c r="KYY30" s="3"/>
      <c r="KYZ30" s="3"/>
      <c r="KZA30" s="3"/>
      <c r="KZB30" s="3"/>
      <c r="KZC30" s="3"/>
      <c r="KZD30" s="3"/>
      <c r="KZE30" s="3"/>
      <c r="KZF30" s="3"/>
      <c r="KZG30" s="3"/>
      <c r="KZH30" s="3"/>
      <c r="KZI30" s="3"/>
      <c r="KZJ30" s="3"/>
      <c r="KZK30" s="3"/>
      <c r="KZL30" s="3"/>
      <c r="KZM30" s="3"/>
      <c r="KZN30" s="3"/>
      <c r="KZO30" s="3"/>
      <c r="KZP30" s="3"/>
      <c r="KZQ30" s="3"/>
      <c r="KZR30" s="3"/>
      <c r="KZS30" s="3"/>
      <c r="KZT30" s="3"/>
      <c r="KZU30" s="3"/>
      <c r="KZV30" s="3"/>
      <c r="KZW30" s="3"/>
      <c r="KZX30" s="3"/>
      <c r="KZY30" s="3"/>
      <c r="KZZ30" s="3"/>
      <c r="LAA30" s="3"/>
      <c r="LAB30" s="3"/>
      <c r="LAC30" s="3"/>
      <c r="LAD30" s="3"/>
      <c r="LAE30" s="3"/>
      <c r="LAF30" s="3"/>
      <c r="LAG30" s="3"/>
      <c r="LAH30" s="3"/>
      <c r="LAI30" s="3"/>
      <c r="LAJ30" s="3"/>
      <c r="LAK30" s="3"/>
      <c r="LAL30" s="3"/>
      <c r="LAM30" s="3"/>
      <c r="LAN30" s="3"/>
      <c r="LAO30" s="3"/>
      <c r="LAP30" s="3"/>
      <c r="LAQ30" s="3"/>
      <c r="LAR30" s="3"/>
      <c r="LAS30" s="3"/>
      <c r="LAT30" s="3"/>
      <c r="LAU30" s="3"/>
      <c r="LAV30" s="3"/>
      <c r="LAW30" s="3"/>
      <c r="LAX30" s="3"/>
      <c r="LAY30" s="3"/>
      <c r="LAZ30" s="3"/>
      <c r="LBA30" s="3"/>
      <c r="LBB30" s="3"/>
      <c r="LBC30" s="3"/>
      <c r="LBD30" s="3"/>
      <c r="LBE30" s="3"/>
      <c r="LBF30" s="3"/>
      <c r="LBG30" s="3"/>
      <c r="LBH30" s="3"/>
      <c r="LBI30" s="3"/>
      <c r="LBJ30" s="3"/>
      <c r="LBK30" s="3"/>
      <c r="LBL30" s="3"/>
      <c r="LBM30" s="3"/>
      <c r="LBN30" s="3"/>
      <c r="LBO30" s="3"/>
      <c r="LBP30" s="3"/>
      <c r="LBQ30" s="3"/>
      <c r="LBR30" s="3"/>
      <c r="LBS30" s="3"/>
      <c r="LBT30" s="3"/>
      <c r="LBU30" s="3"/>
      <c r="LBV30" s="3"/>
      <c r="LBW30" s="3"/>
      <c r="LBX30" s="3"/>
      <c r="LBY30" s="3"/>
      <c r="LBZ30" s="3"/>
      <c r="LCA30" s="3"/>
      <c r="LCB30" s="3"/>
      <c r="LCC30" s="3"/>
      <c r="LCD30" s="3"/>
      <c r="LCE30" s="3"/>
      <c r="LCF30" s="3"/>
      <c r="LCG30" s="3"/>
      <c r="LCH30" s="3"/>
      <c r="LCI30" s="3"/>
      <c r="LCJ30" s="3"/>
      <c r="LCK30" s="3"/>
      <c r="LCL30" s="3"/>
      <c r="LCM30" s="3"/>
      <c r="LCN30" s="3"/>
      <c r="LCO30" s="3"/>
      <c r="LCP30" s="3"/>
      <c r="LCQ30" s="3"/>
      <c r="LCR30" s="3"/>
      <c r="LCS30" s="3"/>
      <c r="LCT30" s="3"/>
      <c r="LCU30" s="3"/>
      <c r="LCV30" s="3"/>
      <c r="LCW30" s="3"/>
      <c r="LCX30" s="3"/>
      <c r="LCY30" s="3"/>
      <c r="LCZ30" s="3"/>
      <c r="LDA30" s="3"/>
      <c r="LDB30" s="3"/>
      <c r="LDC30" s="3"/>
      <c r="LDD30" s="3"/>
      <c r="LDE30" s="3"/>
      <c r="LDF30" s="3"/>
      <c r="LDG30" s="3"/>
      <c r="LDH30" s="3"/>
      <c r="LDI30" s="3"/>
      <c r="LDJ30" s="3"/>
      <c r="LDK30" s="3"/>
      <c r="LDL30" s="3"/>
      <c r="LDM30" s="3"/>
      <c r="LDN30" s="3"/>
      <c r="LDO30" s="3"/>
      <c r="LDP30" s="3"/>
      <c r="LDQ30" s="3"/>
      <c r="LDR30" s="3"/>
      <c r="LDS30" s="3"/>
      <c r="LDT30" s="3"/>
      <c r="LDU30" s="3"/>
      <c r="LDV30" s="3"/>
      <c r="LDW30" s="3"/>
      <c r="LDX30" s="3"/>
      <c r="LDY30" s="3"/>
      <c r="LDZ30" s="3"/>
      <c r="LEA30" s="3"/>
      <c r="LEB30" s="3"/>
      <c r="LEC30" s="3"/>
      <c r="LED30" s="3"/>
      <c r="LEE30" s="3"/>
      <c r="LEF30" s="3"/>
      <c r="LEG30" s="3"/>
      <c r="LEH30" s="3"/>
      <c r="LEI30" s="3"/>
      <c r="LEJ30" s="3"/>
      <c r="LEK30" s="3"/>
      <c r="LEL30" s="3"/>
      <c r="LEM30" s="3"/>
      <c r="LEN30" s="3"/>
      <c r="LEO30" s="3"/>
      <c r="LEP30" s="3"/>
      <c r="LEQ30" s="3"/>
      <c r="LER30" s="3"/>
      <c r="LES30" s="3"/>
      <c r="LET30" s="3"/>
      <c r="LEU30" s="3"/>
      <c r="LEV30" s="3"/>
      <c r="LEW30" s="3"/>
      <c r="LEX30" s="3"/>
      <c r="LEY30" s="3"/>
      <c r="LEZ30" s="3"/>
      <c r="LFA30" s="3"/>
      <c r="LFB30" s="3"/>
      <c r="LFC30" s="3"/>
      <c r="LFD30" s="3"/>
      <c r="LFE30" s="3"/>
      <c r="LFF30" s="3"/>
      <c r="LFG30" s="3"/>
      <c r="LFH30" s="3"/>
      <c r="LFI30" s="3"/>
      <c r="LFJ30" s="3"/>
      <c r="LFK30" s="3"/>
      <c r="LFL30" s="3"/>
      <c r="LFM30" s="3"/>
      <c r="LFN30" s="3"/>
      <c r="LFO30" s="3"/>
      <c r="LFP30" s="3"/>
      <c r="LFQ30" s="3"/>
      <c r="LFR30" s="3"/>
      <c r="LFS30" s="3"/>
      <c r="LFT30" s="3"/>
      <c r="LFU30" s="3"/>
      <c r="LFV30" s="3"/>
      <c r="LFW30" s="3"/>
      <c r="LFX30" s="3"/>
      <c r="LFY30" s="3"/>
      <c r="LFZ30" s="3"/>
      <c r="LGA30" s="3"/>
      <c r="LGB30" s="3"/>
      <c r="LGC30" s="3"/>
      <c r="LGD30" s="3"/>
      <c r="LGE30" s="3"/>
      <c r="LGF30" s="3"/>
      <c r="LGG30" s="3"/>
      <c r="LGH30" s="3"/>
      <c r="LGI30" s="3"/>
      <c r="LGJ30" s="3"/>
      <c r="LGK30" s="3"/>
      <c r="LGL30" s="3"/>
      <c r="LGM30" s="3"/>
      <c r="LGN30" s="3"/>
      <c r="LGO30" s="3"/>
      <c r="LGP30" s="3"/>
      <c r="LGQ30" s="3"/>
      <c r="LGR30" s="3"/>
      <c r="LGS30" s="3"/>
      <c r="LGT30" s="3"/>
      <c r="LGU30" s="3"/>
      <c r="LGV30" s="3"/>
      <c r="LGW30" s="3"/>
      <c r="LGX30" s="3"/>
      <c r="LGY30" s="3"/>
      <c r="LGZ30" s="3"/>
      <c r="LHA30" s="3"/>
      <c r="LHB30" s="3"/>
      <c r="LHC30" s="3"/>
      <c r="LHD30" s="3"/>
      <c r="LHE30" s="3"/>
      <c r="LHF30" s="3"/>
      <c r="LHG30" s="3"/>
      <c r="LHH30" s="3"/>
      <c r="LHI30" s="3"/>
      <c r="LHJ30" s="3"/>
      <c r="LHK30" s="3"/>
      <c r="LHL30" s="3"/>
      <c r="LHM30" s="3"/>
      <c r="LHN30" s="3"/>
      <c r="LHO30" s="3"/>
      <c r="LHP30" s="3"/>
      <c r="LHQ30" s="3"/>
      <c r="LHR30" s="3"/>
      <c r="LHS30" s="3"/>
      <c r="LHT30" s="3"/>
      <c r="LHU30" s="3"/>
      <c r="LHV30" s="3"/>
      <c r="LHW30" s="3"/>
      <c r="LHX30" s="3"/>
      <c r="LHY30" s="3"/>
      <c r="LHZ30" s="3"/>
      <c r="LIA30" s="3"/>
      <c r="LIB30" s="3"/>
      <c r="LIC30" s="3"/>
      <c r="LID30" s="3"/>
      <c r="LIE30" s="3"/>
      <c r="LIF30" s="3"/>
      <c r="LIG30" s="3"/>
      <c r="LIH30" s="3"/>
      <c r="LII30" s="3"/>
      <c r="LIJ30" s="3"/>
      <c r="LIK30" s="3"/>
      <c r="LIL30" s="3"/>
      <c r="LIM30" s="3"/>
      <c r="LIN30" s="3"/>
      <c r="LIO30" s="3"/>
      <c r="LIP30" s="3"/>
      <c r="LIQ30" s="3"/>
      <c r="LIR30" s="3"/>
      <c r="LIS30" s="3"/>
      <c r="LIT30" s="3"/>
      <c r="LIU30" s="3"/>
      <c r="LIV30" s="3"/>
      <c r="LIW30" s="3"/>
      <c r="LIX30" s="3"/>
      <c r="LIY30" s="3"/>
      <c r="LIZ30" s="3"/>
      <c r="LJA30" s="3"/>
      <c r="LJB30" s="3"/>
      <c r="LJC30" s="3"/>
      <c r="LJD30" s="3"/>
      <c r="LJE30" s="3"/>
      <c r="LJF30" s="3"/>
      <c r="LJG30" s="3"/>
      <c r="LJH30" s="3"/>
      <c r="LJI30" s="3"/>
      <c r="LJJ30" s="3"/>
      <c r="LJK30" s="3"/>
      <c r="LJL30" s="3"/>
      <c r="LJM30" s="3"/>
      <c r="LJN30" s="3"/>
      <c r="LJO30" s="3"/>
      <c r="LJP30" s="3"/>
      <c r="LJQ30" s="3"/>
      <c r="LJR30" s="3"/>
      <c r="LJS30" s="3"/>
      <c r="LJT30" s="3"/>
      <c r="LJU30" s="3"/>
      <c r="LJV30" s="3"/>
      <c r="LJW30" s="3"/>
      <c r="LJX30" s="3"/>
      <c r="LJY30" s="3"/>
      <c r="LJZ30" s="3"/>
      <c r="LKA30" s="3"/>
      <c r="LKB30" s="3"/>
      <c r="LKC30" s="3"/>
      <c r="LKD30" s="3"/>
      <c r="LKE30" s="3"/>
      <c r="LKF30" s="3"/>
      <c r="LKG30" s="3"/>
      <c r="LKH30" s="3"/>
      <c r="LKI30" s="3"/>
      <c r="LKJ30" s="3"/>
      <c r="LKK30" s="3"/>
      <c r="LKL30" s="3"/>
      <c r="LKM30" s="3"/>
      <c r="LKN30" s="3"/>
      <c r="LKO30" s="3"/>
      <c r="LKP30" s="3"/>
      <c r="LKQ30" s="3"/>
      <c r="LKR30" s="3"/>
      <c r="LKS30" s="3"/>
      <c r="LKT30" s="3"/>
      <c r="LKU30" s="3"/>
      <c r="LKV30" s="3"/>
      <c r="LKW30" s="3"/>
      <c r="LKX30" s="3"/>
      <c r="LKY30" s="3"/>
      <c r="LKZ30" s="3"/>
      <c r="LLA30" s="3"/>
      <c r="LLB30" s="3"/>
      <c r="LLC30" s="3"/>
      <c r="LLD30" s="3"/>
      <c r="LLE30" s="3"/>
      <c r="LLF30" s="3"/>
      <c r="LLG30" s="3"/>
      <c r="LLH30" s="3"/>
      <c r="LLI30" s="3"/>
      <c r="LLJ30" s="3"/>
      <c r="LLK30" s="3"/>
      <c r="LLL30" s="3"/>
      <c r="LLM30" s="3"/>
      <c r="LLN30" s="3"/>
      <c r="LLO30" s="3"/>
      <c r="LLP30" s="3"/>
      <c r="LLQ30" s="3"/>
      <c r="LLR30" s="3"/>
      <c r="LLS30" s="3"/>
      <c r="LLT30" s="3"/>
      <c r="LLU30" s="3"/>
      <c r="LLV30" s="3"/>
      <c r="LLW30" s="3"/>
      <c r="LLX30" s="3"/>
      <c r="LLY30" s="3"/>
      <c r="LLZ30" s="3"/>
      <c r="LMA30" s="3"/>
      <c r="LMB30" s="3"/>
      <c r="LMC30" s="3"/>
      <c r="LMD30" s="3"/>
      <c r="LME30" s="3"/>
      <c r="LMF30" s="3"/>
      <c r="LMG30" s="3"/>
      <c r="LMH30" s="3"/>
      <c r="LMI30" s="3"/>
      <c r="LMJ30" s="3"/>
      <c r="LMK30" s="3"/>
      <c r="LML30" s="3"/>
      <c r="LMM30" s="3"/>
      <c r="LMN30" s="3"/>
      <c r="LMO30" s="3"/>
      <c r="LMP30" s="3"/>
      <c r="LMQ30" s="3"/>
      <c r="LMR30" s="3"/>
      <c r="LMS30" s="3"/>
      <c r="LMT30" s="3"/>
      <c r="LMU30" s="3"/>
      <c r="LMV30" s="3"/>
      <c r="LMW30" s="3"/>
      <c r="LMX30" s="3"/>
      <c r="LMY30" s="3"/>
      <c r="LMZ30" s="3"/>
      <c r="LNA30" s="3"/>
      <c r="LNB30" s="3"/>
      <c r="LNC30" s="3"/>
      <c r="LND30" s="3"/>
      <c r="LNE30" s="3"/>
      <c r="LNF30" s="3"/>
      <c r="LNG30" s="3"/>
      <c r="LNH30" s="3"/>
      <c r="LNI30" s="3"/>
      <c r="LNJ30" s="3"/>
      <c r="LNK30" s="3"/>
      <c r="LNL30" s="3"/>
      <c r="LNM30" s="3"/>
      <c r="LNN30" s="3"/>
      <c r="LNO30" s="3"/>
      <c r="LNP30" s="3"/>
      <c r="LNQ30" s="3"/>
      <c r="LNR30" s="3"/>
      <c r="LNS30" s="3"/>
      <c r="LNT30" s="3"/>
      <c r="LNU30" s="3"/>
      <c r="LNV30" s="3"/>
      <c r="LNW30" s="3"/>
      <c r="LNX30" s="3"/>
      <c r="LNY30" s="3"/>
      <c r="LNZ30" s="3"/>
      <c r="LOA30" s="3"/>
      <c r="LOB30" s="3"/>
      <c r="LOC30" s="3"/>
      <c r="LOD30" s="3"/>
      <c r="LOE30" s="3"/>
      <c r="LOF30" s="3"/>
      <c r="LOG30" s="3"/>
      <c r="LOH30" s="3"/>
      <c r="LOI30" s="3"/>
      <c r="LOJ30" s="3"/>
      <c r="LOK30" s="3"/>
      <c r="LOL30" s="3"/>
      <c r="LOM30" s="3"/>
      <c r="LON30" s="3"/>
      <c r="LOO30" s="3"/>
      <c r="LOP30" s="3"/>
      <c r="LOQ30" s="3"/>
      <c r="LOR30" s="3"/>
      <c r="LOS30" s="3"/>
      <c r="LOT30" s="3"/>
      <c r="LOU30" s="3"/>
      <c r="LOV30" s="3"/>
      <c r="LOW30" s="3"/>
      <c r="LOX30" s="3"/>
      <c r="LOY30" s="3"/>
      <c r="LOZ30" s="3"/>
      <c r="LPA30" s="3"/>
      <c r="LPB30" s="3"/>
      <c r="LPC30" s="3"/>
      <c r="LPD30" s="3"/>
      <c r="LPE30" s="3"/>
      <c r="LPF30" s="3"/>
      <c r="LPG30" s="3"/>
      <c r="LPH30" s="3"/>
      <c r="LPI30" s="3"/>
      <c r="LPJ30" s="3"/>
      <c r="LPK30" s="3"/>
      <c r="LPL30" s="3"/>
      <c r="LPM30" s="3"/>
      <c r="LPN30" s="3"/>
      <c r="LPO30" s="3"/>
      <c r="LPP30" s="3"/>
      <c r="LPQ30" s="3"/>
      <c r="LPR30" s="3"/>
      <c r="LPS30" s="3"/>
      <c r="LPT30" s="3"/>
      <c r="LPU30" s="3"/>
      <c r="LPV30" s="3"/>
      <c r="LPW30" s="3"/>
      <c r="LPX30" s="3"/>
      <c r="LPY30" s="3"/>
      <c r="LPZ30" s="3"/>
      <c r="LQA30" s="3"/>
      <c r="LQB30" s="3"/>
      <c r="LQC30" s="3"/>
      <c r="LQD30" s="3"/>
      <c r="LQE30" s="3"/>
      <c r="LQF30" s="3"/>
      <c r="LQG30" s="3"/>
      <c r="LQH30" s="3"/>
      <c r="LQI30" s="3"/>
      <c r="LQJ30" s="3"/>
      <c r="LQK30" s="3"/>
      <c r="LQL30" s="3"/>
      <c r="LQM30" s="3"/>
      <c r="LQN30" s="3"/>
      <c r="LQO30" s="3"/>
      <c r="LQP30" s="3"/>
      <c r="LQQ30" s="3"/>
      <c r="LQR30" s="3"/>
      <c r="LQS30" s="3"/>
      <c r="LQT30" s="3"/>
      <c r="LQU30" s="3"/>
      <c r="LQV30" s="3"/>
      <c r="LQW30" s="3"/>
      <c r="LQX30" s="3"/>
      <c r="LQY30" s="3"/>
      <c r="LQZ30" s="3"/>
      <c r="LRA30" s="3"/>
      <c r="LRB30" s="3"/>
      <c r="LRC30" s="3"/>
      <c r="LRD30" s="3"/>
      <c r="LRE30" s="3"/>
      <c r="LRF30" s="3"/>
      <c r="LRG30" s="3"/>
      <c r="LRH30" s="3"/>
      <c r="LRI30" s="3"/>
      <c r="LRJ30" s="3"/>
      <c r="LRK30" s="3"/>
      <c r="LRL30" s="3"/>
      <c r="LRM30" s="3"/>
      <c r="LRN30" s="3"/>
      <c r="LRO30" s="3"/>
      <c r="LRP30" s="3"/>
      <c r="LRQ30" s="3"/>
      <c r="LRR30" s="3"/>
      <c r="LRS30" s="3"/>
      <c r="LRT30" s="3"/>
      <c r="LRU30" s="3"/>
      <c r="LRV30" s="3"/>
      <c r="LRW30" s="3"/>
      <c r="LRX30" s="3"/>
      <c r="LRY30" s="3"/>
      <c r="LRZ30" s="3"/>
      <c r="LSA30" s="3"/>
      <c r="LSB30" s="3"/>
      <c r="LSC30" s="3"/>
      <c r="LSD30" s="3"/>
      <c r="LSE30" s="3"/>
      <c r="LSF30" s="3"/>
      <c r="LSG30" s="3"/>
      <c r="LSH30" s="3"/>
      <c r="LSI30" s="3"/>
      <c r="LSJ30" s="3"/>
      <c r="LSK30" s="3"/>
      <c r="LSL30" s="3"/>
      <c r="LSM30" s="3"/>
      <c r="LSN30" s="3"/>
      <c r="LSO30" s="3"/>
      <c r="LSP30" s="3"/>
      <c r="LSQ30" s="3"/>
      <c r="LSR30" s="3"/>
      <c r="LSS30" s="3"/>
      <c r="LST30" s="3"/>
      <c r="LSU30" s="3"/>
      <c r="LSV30" s="3"/>
      <c r="LSW30" s="3"/>
      <c r="LSX30" s="3"/>
      <c r="LSY30" s="3"/>
      <c r="LSZ30" s="3"/>
      <c r="LTA30" s="3"/>
      <c r="LTB30" s="3"/>
      <c r="LTC30" s="3"/>
      <c r="LTD30" s="3"/>
      <c r="LTE30" s="3"/>
      <c r="LTF30" s="3"/>
      <c r="LTG30" s="3"/>
      <c r="LTH30" s="3"/>
      <c r="LTI30" s="3"/>
      <c r="LTJ30" s="3"/>
      <c r="LTK30" s="3"/>
      <c r="LTL30" s="3"/>
      <c r="LTM30" s="3"/>
      <c r="LTN30" s="3"/>
      <c r="LTO30" s="3"/>
      <c r="LTP30" s="3"/>
      <c r="LTQ30" s="3"/>
      <c r="LTR30" s="3"/>
      <c r="LTS30" s="3"/>
      <c r="LTT30" s="3"/>
      <c r="LTU30" s="3"/>
      <c r="LTV30" s="3"/>
      <c r="LTW30" s="3"/>
      <c r="LTX30" s="3"/>
      <c r="LTY30" s="3"/>
      <c r="LTZ30" s="3"/>
      <c r="LUA30" s="3"/>
      <c r="LUB30" s="3"/>
      <c r="LUC30" s="3"/>
      <c r="LUD30" s="3"/>
      <c r="LUE30" s="3"/>
      <c r="LUF30" s="3"/>
      <c r="LUG30" s="3"/>
      <c r="LUH30" s="3"/>
      <c r="LUI30" s="3"/>
      <c r="LUJ30" s="3"/>
      <c r="LUK30" s="3"/>
      <c r="LUL30" s="3"/>
      <c r="LUM30" s="3"/>
      <c r="LUN30" s="3"/>
      <c r="LUO30" s="3"/>
      <c r="LUP30" s="3"/>
      <c r="LUQ30" s="3"/>
      <c r="LUR30" s="3"/>
      <c r="LUS30" s="3"/>
      <c r="LUT30" s="3"/>
      <c r="LUU30" s="3"/>
      <c r="LUV30" s="3"/>
      <c r="LUW30" s="3"/>
      <c r="LUX30" s="3"/>
      <c r="LUY30" s="3"/>
      <c r="LUZ30" s="3"/>
      <c r="LVA30" s="3"/>
      <c r="LVB30" s="3"/>
      <c r="LVC30" s="3"/>
      <c r="LVD30" s="3"/>
      <c r="LVE30" s="3"/>
      <c r="LVF30" s="3"/>
      <c r="LVG30" s="3"/>
      <c r="LVH30" s="3"/>
      <c r="LVI30" s="3"/>
      <c r="LVJ30" s="3"/>
      <c r="LVK30" s="3"/>
      <c r="LVL30" s="3"/>
      <c r="LVM30" s="3"/>
      <c r="LVN30" s="3"/>
      <c r="LVO30" s="3"/>
      <c r="LVP30" s="3"/>
      <c r="LVQ30" s="3"/>
      <c r="LVR30" s="3"/>
      <c r="LVS30" s="3"/>
      <c r="LVT30" s="3"/>
      <c r="LVU30" s="3"/>
      <c r="LVV30" s="3"/>
      <c r="LVW30" s="3"/>
      <c r="LVX30" s="3"/>
      <c r="LVY30" s="3"/>
      <c r="LVZ30" s="3"/>
      <c r="LWA30" s="3"/>
      <c r="LWB30" s="3"/>
      <c r="LWC30" s="3"/>
      <c r="LWD30" s="3"/>
      <c r="LWE30" s="3"/>
      <c r="LWF30" s="3"/>
      <c r="LWG30" s="3"/>
      <c r="LWH30" s="3"/>
      <c r="LWI30" s="3"/>
      <c r="LWJ30" s="3"/>
      <c r="LWK30" s="3"/>
      <c r="LWL30" s="3"/>
      <c r="LWM30" s="3"/>
      <c r="LWN30" s="3"/>
      <c r="LWO30" s="3"/>
      <c r="LWP30" s="3"/>
      <c r="LWQ30" s="3"/>
      <c r="LWR30" s="3"/>
      <c r="LWS30" s="3"/>
      <c r="LWT30" s="3"/>
      <c r="LWU30" s="3"/>
      <c r="LWV30" s="3"/>
      <c r="LWW30" s="3"/>
      <c r="LWX30" s="3"/>
      <c r="LWY30" s="3"/>
      <c r="LWZ30" s="3"/>
      <c r="LXA30" s="3"/>
      <c r="LXB30" s="3"/>
      <c r="LXC30" s="3"/>
      <c r="LXD30" s="3"/>
      <c r="LXE30" s="3"/>
      <c r="LXF30" s="3"/>
      <c r="LXG30" s="3"/>
      <c r="LXH30" s="3"/>
      <c r="LXI30" s="3"/>
      <c r="LXJ30" s="3"/>
      <c r="LXK30" s="3"/>
      <c r="LXL30" s="3"/>
      <c r="LXM30" s="3"/>
      <c r="LXN30" s="3"/>
      <c r="LXO30" s="3"/>
      <c r="LXP30" s="3"/>
      <c r="LXQ30" s="3"/>
      <c r="LXR30" s="3"/>
      <c r="LXS30" s="3"/>
      <c r="LXT30" s="3"/>
      <c r="LXU30" s="3"/>
      <c r="LXV30" s="3"/>
      <c r="LXW30" s="3"/>
      <c r="LXX30" s="3"/>
      <c r="LXY30" s="3"/>
      <c r="LXZ30" s="3"/>
      <c r="LYA30" s="3"/>
      <c r="LYB30" s="3"/>
      <c r="LYC30" s="3"/>
      <c r="LYD30" s="3"/>
      <c r="LYE30" s="3"/>
      <c r="LYF30" s="3"/>
      <c r="LYG30" s="3"/>
      <c r="LYH30" s="3"/>
      <c r="LYI30" s="3"/>
      <c r="LYJ30" s="3"/>
      <c r="LYK30" s="3"/>
      <c r="LYL30" s="3"/>
      <c r="LYM30" s="3"/>
      <c r="LYN30" s="3"/>
      <c r="LYO30" s="3"/>
      <c r="LYP30" s="3"/>
      <c r="LYQ30" s="3"/>
      <c r="LYR30" s="3"/>
      <c r="LYS30" s="3"/>
      <c r="LYT30" s="3"/>
      <c r="LYU30" s="3"/>
      <c r="LYV30" s="3"/>
      <c r="LYW30" s="3"/>
      <c r="LYX30" s="3"/>
      <c r="LYY30" s="3"/>
      <c r="LYZ30" s="3"/>
      <c r="LZA30" s="3"/>
      <c r="LZB30" s="3"/>
      <c r="LZC30" s="3"/>
      <c r="LZD30" s="3"/>
      <c r="LZE30" s="3"/>
      <c r="LZF30" s="3"/>
      <c r="LZG30" s="3"/>
      <c r="LZH30" s="3"/>
      <c r="LZI30" s="3"/>
      <c r="LZJ30" s="3"/>
      <c r="LZK30" s="3"/>
      <c r="LZL30" s="3"/>
      <c r="LZM30" s="3"/>
      <c r="LZN30" s="3"/>
      <c r="LZO30" s="3"/>
      <c r="LZP30" s="3"/>
      <c r="LZQ30" s="3"/>
      <c r="LZR30" s="3"/>
      <c r="LZS30" s="3"/>
      <c r="LZT30" s="3"/>
      <c r="LZU30" s="3"/>
      <c r="LZV30" s="3"/>
      <c r="LZW30" s="3"/>
      <c r="LZX30" s="3"/>
      <c r="LZY30" s="3"/>
      <c r="LZZ30" s="3"/>
      <c r="MAA30" s="3"/>
      <c r="MAB30" s="3"/>
      <c r="MAC30" s="3"/>
      <c r="MAD30" s="3"/>
      <c r="MAE30" s="3"/>
      <c r="MAF30" s="3"/>
      <c r="MAG30" s="3"/>
      <c r="MAH30" s="3"/>
      <c r="MAI30" s="3"/>
      <c r="MAJ30" s="3"/>
      <c r="MAK30" s="3"/>
      <c r="MAL30" s="3"/>
      <c r="MAM30" s="3"/>
      <c r="MAN30" s="3"/>
      <c r="MAO30" s="3"/>
      <c r="MAP30" s="3"/>
      <c r="MAQ30" s="3"/>
      <c r="MAR30" s="3"/>
      <c r="MAS30" s="3"/>
      <c r="MAT30" s="3"/>
      <c r="MAU30" s="3"/>
      <c r="MAV30" s="3"/>
      <c r="MAW30" s="3"/>
      <c r="MAX30" s="3"/>
      <c r="MAY30" s="3"/>
      <c r="MAZ30" s="3"/>
      <c r="MBA30" s="3"/>
      <c r="MBB30" s="3"/>
      <c r="MBC30" s="3"/>
      <c r="MBD30" s="3"/>
      <c r="MBE30" s="3"/>
      <c r="MBF30" s="3"/>
      <c r="MBG30" s="3"/>
      <c r="MBH30" s="3"/>
      <c r="MBI30" s="3"/>
      <c r="MBJ30" s="3"/>
      <c r="MBK30" s="3"/>
      <c r="MBL30" s="3"/>
      <c r="MBM30" s="3"/>
      <c r="MBN30" s="3"/>
      <c r="MBO30" s="3"/>
      <c r="MBP30" s="3"/>
      <c r="MBQ30" s="3"/>
      <c r="MBR30" s="3"/>
      <c r="MBS30" s="3"/>
      <c r="MBT30" s="3"/>
      <c r="MBU30" s="3"/>
      <c r="MBV30" s="3"/>
      <c r="MBW30" s="3"/>
      <c r="MBX30" s="3"/>
      <c r="MBY30" s="3"/>
      <c r="MBZ30" s="3"/>
      <c r="MCA30" s="3"/>
      <c r="MCB30" s="3"/>
      <c r="MCC30" s="3"/>
      <c r="MCD30" s="3"/>
      <c r="MCE30" s="3"/>
      <c r="MCF30" s="3"/>
      <c r="MCG30" s="3"/>
      <c r="MCH30" s="3"/>
      <c r="MCI30" s="3"/>
      <c r="MCJ30" s="3"/>
      <c r="MCK30" s="3"/>
      <c r="MCL30" s="3"/>
      <c r="MCM30" s="3"/>
      <c r="MCN30" s="3"/>
      <c r="MCO30" s="3"/>
      <c r="MCP30" s="3"/>
      <c r="MCQ30" s="3"/>
      <c r="MCR30" s="3"/>
      <c r="MCS30" s="3"/>
      <c r="MCT30" s="3"/>
      <c r="MCU30" s="3"/>
      <c r="MCV30" s="3"/>
      <c r="MCW30" s="3"/>
      <c r="MCX30" s="3"/>
      <c r="MCY30" s="3"/>
      <c r="MCZ30" s="3"/>
      <c r="MDA30" s="3"/>
      <c r="MDB30" s="3"/>
      <c r="MDC30" s="3"/>
      <c r="MDD30" s="3"/>
      <c r="MDE30" s="3"/>
      <c r="MDF30" s="3"/>
      <c r="MDG30" s="3"/>
      <c r="MDH30" s="3"/>
      <c r="MDI30" s="3"/>
      <c r="MDJ30" s="3"/>
      <c r="MDK30" s="3"/>
      <c r="MDL30" s="3"/>
      <c r="MDM30" s="3"/>
      <c r="MDN30" s="3"/>
      <c r="MDO30" s="3"/>
      <c r="MDP30" s="3"/>
      <c r="MDQ30" s="3"/>
      <c r="MDR30" s="3"/>
      <c r="MDS30" s="3"/>
      <c r="MDT30" s="3"/>
      <c r="MDU30" s="3"/>
      <c r="MDV30" s="3"/>
      <c r="MDW30" s="3"/>
      <c r="MDX30" s="3"/>
      <c r="MDY30" s="3"/>
      <c r="MDZ30" s="3"/>
      <c r="MEA30" s="3"/>
      <c r="MEB30" s="3"/>
      <c r="MEC30" s="3"/>
      <c r="MED30" s="3"/>
      <c r="MEE30" s="3"/>
      <c r="MEF30" s="3"/>
      <c r="MEG30" s="3"/>
      <c r="MEH30" s="3"/>
      <c r="MEI30" s="3"/>
      <c r="MEJ30" s="3"/>
      <c r="MEK30" s="3"/>
      <c r="MEL30" s="3"/>
      <c r="MEM30" s="3"/>
      <c r="MEN30" s="3"/>
      <c r="MEO30" s="3"/>
      <c r="MEP30" s="3"/>
      <c r="MEQ30" s="3"/>
      <c r="MER30" s="3"/>
      <c r="MES30" s="3"/>
      <c r="MET30" s="3"/>
      <c r="MEU30" s="3"/>
      <c r="MEV30" s="3"/>
      <c r="MEW30" s="3"/>
      <c r="MEX30" s="3"/>
      <c r="MEY30" s="3"/>
      <c r="MEZ30" s="3"/>
      <c r="MFA30" s="3"/>
      <c r="MFB30" s="3"/>
      <c r="MFC30" s="3"/>
      <c r="MFD30" s="3"/>
      <c r="MFE30" s="3"/>
      <c r="MFF30" s="3"/>
      <c r="MFG30" s="3"/>
      <c r="MFH30" s="3"/>
      <c r="MFI30" s="3"/>
      <c r="MFJ30" s="3"/>
      <c r="MFK30" s="3"/>
      <c r="MFL30" s="3"/>
      <c r="MFM30" s="3"/>
      <c r="MFN30" s="3"/>
      <c r="MFO30" s="3"/>
      <c r="MFP30" s="3"/>
      <c r="MFQ30" s="3"/>
      <c r="MFR30" s="3"/>
      <c r="MFS30" s="3"/>
      <c r="MFT30" s="3"/>
      <c r="MFU30" s="3"/>
      <c r="MFV30" s="3"/>
      <c r="MFW30" s="3"/>
      <c r="MFX30" s="3"/>
      <c r="MFY30" s="3"/>
      <c r="MFZ30" s="3"/>
      <c r="MGA30" s="3"/>
      <c r="MGB30" s="3"/>
      <c r="MGC30" s="3"/>
      <c r="MGD30" s="3"/>
      <c r="MGE30" s="3"/>
      <c r="MGF30" s="3"/>
      <c r="MGG30" s="3"/>
      <c r="MGH30" s="3"/>
      <c r="MGI30" s="3"/>
      <c r="MGJ30" s="3"/>
      <c r="MGK30" s="3"/>
      <c r="MGL30" s="3"/>
      <c r="MGM30" s="3"/>
      <c r="MGN30" s="3"/>
      <c r="MGO30" s="3"/>
      <c r="MGP30" s="3"/>
      <c r="MGQ30" s="3"/>
      <c r="MGR30" s="3"/>
      <c r="MGS30" s="3"/>
      <c r="MGT30" s="3"/>
      <c r="MGU30" s="3"/>
      <c r="MGV30" s="3"/>
      <c r="MGW30" s="3"/>
      <c r="MGX30" s="3"/>
      <c r="MGY30" s="3"/>
      <c r="MGZ30" s="3"/>
      <c r="MHA30" s="3"/>
      <c r="MHB30" s="3"/>
      <c r="MHC30" s="3"/>
      <c r="MHD30" s="3"/>
      <c r="MHE30" s="3"/>
      <c r="MHF30" s="3"/>
      <c r="MHG30" s="3"/>
      <c r="MHH30" s="3"/>
      <c r="MHI30" s="3"/>
      <c r="MHJ30" s="3"/>
      <c r="MHK30" s="3"/>
      <c r="MHL30" s="3"/>
      <c r="MHM30" s="3"/>
      <c r="MHN30" s="3"/>
      <c r="MHO30" s="3"/>
      <c r="MHP30" s="3"/>
      <c r="MHQ30" s="3"/>
      <c r="MHR30" s="3"/>
      <c r="MHS30" s="3"/>
      <c r="MHT30" s="3"/>
      <c r="MHU30" s="3"/>
      <c r="MHV30" s="3"/>
      <c r="MHW30" s="3"/>
      <c r="MHX30" s="3"/>
      <c r="MHY30" s="3"/>
      <c r="MHZ30" s="3"/>
      <c r="MIA30" s="3"/>
      <c r="MIB30" s="3"/>
      <c r="MIC30" s="3"/>
      <c r="MID30" s="3"/>
      <c r="MIE30" s="3"/>
      <c r="MIF30" s="3"/>
      <c r="MIG30" s="3"/>
      <c r="MIH30" s="3"/>
      <c r="MII30" s="3"/>
      <c r="MIJ30" s="3"/>
      <c r="MIK30" s="3"/>
      <c r="MIL30" s="3"/>
      <c r="MIM30" s="3"/>
      <c r="MIN30" s="3"/>
      <c r="MIO30" s="3"/>
      <c r="MIP30" s="3"/>
      <c r="MIQ30" s="3"/>
      <c r="MIR30" s="3"/>
      <c r="MIS30" s="3"/>
      <c r="MIT30" s="3"/>
      <c r="MIU30" s="3"/>
      <c r="MIV30" s="3"/>
      <c r="MIW30" s="3"/>
      <c r="MIX30" s="3"/>
      <c r="MIY30" s="3"/>
      <c r="MIZ30" s="3"/>
      <c r="MJA30" s="3"/>
      <c r="MJB30" s="3"/>
      <c r="MJC30" s="3"/>
      <c r="MJD30" s="3"/>
      <c r="MJE30" s="3"/>
      <c r="MJF30" s="3"/>
      <c r="MJG30" s="3"/>
      <c r="MJH30" s="3"/>
      <c r="MJI30" s="3"/>
      <c r="MJJ30" s="3"/>
      <c r="MJK30" s="3"/>
      <c r="MJL30" s="3"/>
      <c r="MJM30" s="3"/>
      <c r="MJN30" s="3"/>
      <c r="MJO30" s="3"/>
      <c r="MJP30" s="3"/>
      <c r="MJQ30" s="3"/>
      <c r="MJR30" s="3"/>
      <c r="MJS30" s="3"/>
      <c r="MJT30" s="3"/>
      <c r="MJU30" s="3"/>
      <c r="MJV30" s="3"/>
      <c r="MJW30" s="3"/>
      <c r="MJX30" s="3"/>
      <c r="MJY30" s="3"/>
      <c r="MJZ30" s="3"/>
      <c r="MKA30" s="3"/>
      <c r="MKB30" s="3"/>
      <c r="MKC30" s="3"/>
      <c r="MKD30" s="3"/>
      <c r="MKE30" s="3"/>
      <c r="MKF30" s="3"/>
      <c r="MKG30" s="3"/>
      <c r="MKH30" s="3"/>
      <c r="MKI30" s="3"/>
      <c r="MKJ30" s="3"/>
      <c r="MKK30" s="3"/>
      <c r="MKL30" s="3"/>
      <c r="MKM30" s="3"/>
      <c r="MKN30" s="3"/>
      <c r="MKO30" s="3"/>
      <c r="MKP30" s="3"/>
      <c r="MKQ30" s="3"/>
      <c r="MKR30" s="3"/>
      <c r="MKS30" s="3"/>
      <c r="MKT30" s="3"/>
      <c r="MKU30" s="3"/>
      <c r="MKV30" s="3"/>
      <c r="MKW30" s="3"/>
      <c r="MKX30" s="3"/>
      <c r="MKY30" s="3"/>
      <c r="MKZ30" s="3"/>
      <c r="MLA30" s="3"/>
      <c r="MLB30" s="3"/>
      <c r="MLC30" s="3"/>
      <c r="MLD30" s="3"/>
      <c r="MLE30" s="3"/>
      <c r="MLF30" s="3"/>
      <c r="MLG30" s="3"/>
      <c r="MLH30" s="3"/>
      <c r="MLI30" s="3"/>
      <c r="MLJ30" s="3"/>
      <c r="MLK30" s="3"/>
      <c r="MLL30" s="3"/>
      <c r="MLM30" s="3"/>
      <c r="MLN30" s="3"/>
      <c r="MLO30" s="3"/>
      <c r="MLP30" s="3"/>
      <c r="MLQ30" s="3"/>
      <c r="MLR30" s="3"/>
      <c r="MLS30" s="3"/>
      <c r="MLT30" s="3"/>
      <c r="MLU30" s="3"/>
      <c r="MLV30" s="3"/>
      <c r="MLW30" s="3"/>
      <c r="MLX30" s="3"/>
      <c r="MLY30" s="3"/>
      <c r="MLZ30" s="3"/>
      <c r="MMA30" s="3"/>
      <c r="MMB30" s="3"/>
      <c r="MMC30" s="3"/>
      <c r="MMD30" s="3"/>
      <c r="MME30" s="3"/>
      <c r="MMF30" s="3"/>
      <c r="MMG30" s="3"/>
      <c r="MMH30" s="3"/>
      <c r="MMI30" s="3"/>
      <c r="MMJ30" s="3"/>
      <c r="MMK30" s="3"/>
      <c r="MML30" s="3"/>
      <c r="MMM30" s="3"/>
      <c r="MMN30" s="3"/>
      <c r="MMO30" s="3"/>
      <c r="MMP30" s="3"/>
      <c r="MMQ30" s="3"/>
      <c r="MMR30" s="3"/>
      <c r="MMS30" s="3"/>
      <c r="MMT30" s="3"/>
      <c r="MMU30" s="3"/>
      <c r="MMV30" s="3"/>
      <c r="MMW30" s="3"/>
      <c r="MMX30" s="3"/>
      <c r="MMY30" s="3"/>
      <c r="MMZ30" s="3"/>
      <c r="MNA30" s="3"/>
      <c r="MNB30" s="3"/>
      <c r="MNC30" s="3"/>
      <c r="MND30" s="3"/>
      <c r="MNE30" s="3"/>
      <c r="MNF30" s="3"/>
      <c r="MNG30" s="3"/>
      <c r="MNH30" s="3"/>
      <c r="MNI30" s="3"/>
      <c r="MNJ30" s="3"/>
      <c r="MNK30" s="3"/>
      <c r="MNL30" s="3"/>
      <c r="MNM30" s="3"/>
      <c r="MNN30" s="3"/>
      <c r="MNO30" s="3"/>
      <c r="MNP30" s="3"/>
      <c r="MNQ30" s="3"/>
      <c r="MNR30" s="3"/>
      <c r="MNS30" s="3"/>
      <c r="MNT30" s="3"/>
      <c r="MNU30" s="3"/>
      <c r="MNV30" s="3"/>
      <c r="MNW30" s="3"/>
      <c r="MNX30" s="3"/>
      <c r="MNY30" s="3"/>
      <c r="MNZ30" s="3"/>
      <c r="MOA30" s="3"/>
      <c r="MOB30" s="3"/>
      <c r="MOC30" s="3"/>
      <c r="MOD30" s="3"/>
      <c r="MOE30" s="3"/>
      <c r="MOF30" s="3"/>
      <c r="MOG30" s="3"/>
      <c r="MOH30" s="3"/>
      <c r="MOI30" s="3"/>
      <c r="MOJ30" s="3"/>
      <c r="MOK30" s="3"/>
      <c r="MOL30" s="3"/>
      <c r="MOM30" s="3"/>
      <c r="MON30" s="3"/>
      <c r="MOO30" s="3"/>
      <c r="MOP30" s="3"/>
      <c r="MOQ30" s="3"/>
      <c r="MOR30" s="3"/>
      <c r="MOS30" s="3"/>
      <c r="MOT30" s="3"/>
      <c r="MOU30" s="3"/>
      <c r="MOV30" s="3"/>
      <c r="MOW30" s="3"/>
      <c r="MOX30" s="3"/>
      <c r="MOY30" s="3"/>
      <c r="MOZ30" s="3"/>
      <c r="MPA30" s="3"/>
      <c r="MPB30" s="3"/>
      <c r="MPC30" s="3"/>
      <c r="MPD30" s="3"/>
      <c r="MPE30" s="3"/>
      <c r="MPF30" s="3"/>
      <c r="MPG30" s="3"/>
      <c r="MPH30" s="3"/>
      <c r="MPI30" s="3"/>
      <c r="MPJ30" s="3"/>
      <c r="MPK30" s="3"/>
      <c r="MPL30" s="3"/>
      <c r="MPM30" s="3"/>
      <c r="MPN30" s="3"/>
      <c r="MPO30" s="3"/>
      <c r="MPP30" s="3"/>
      <c r="MPQ30" s="3"/>
      <c r="MPR30" s="3"/>
      <c r="MPS30" s="3"/>
      <c r="MPT30" s="3"/>
      <c r="MPU30" s="3"/>
      <c r="MPV30" s="3"/>
      <c r="MPW30" s="3"/>
      <c r="MPX30" s="3"/>
      <c r="MPY30" s="3"/>
      <c r="MPZ30" s="3"/>
      <c r="MQA30" s="3"/>
      <c r="MQB30" s="3"/>
      <c r="MQC30" s="3"/>
      <c r="MQD30" s="3"/>
      <c r="MQE30" s="3"/>
      <c r="MQF30" s="3"/>
      <c r="MQG30" s="3"/>
      <c r="MQH30" s="3"/>
      <c r="MQI30" s="3"/>
      <c r="MQJ30" s="3"/>
      <c r="MQK30" s="3"/>
      <c r="MQL30" s="3"/>
      <c r="MQM30" s="3"/>
      <c r="MQN30" s="3"/>
      <c r="MQO30" s="3"/>
      <c r="MQP30" s="3"/>
      <c r="MQQ30" s="3"/>
      <c r="MQR30" s="3"/>
      <c r="MQS30" s="3"/>
      <c r="MQT30" s="3"/>
      <c r="MQU30" s="3"/>
      <c r="MQV30" s="3"/>
      <c r="MQW30" s="3"/>
      <c r="MQX30" s="3"/>
      <c r="MQY30" s="3"/>
      <c r="MQZ30" s="3"/>
      <c r="MRA30" s="3"/>
      <c r="MRB30" s="3"/>
      <c r="MRC30" s="3"/>
      <c r="MRD30" s="3"/>
      <c r="MRE30" s="3"/>
      <c r="MRF30" s="3"/>
      <c r="MRG30" s="3"/>
      <c r="MRH30" s="3"/>
      <c r="MRI30" s="3"/>
      <c r="MRJ30" s="3"/>
      <c r="MRK30" s="3"/>
      <c r="MRL30" s="3"/>
      <c r="MRM30" s="3"/>
      <c r="MRN30" s="3"/>
      <c r="MRO30" s="3"/>
      <c r="MRP30" s="3"/>
      <c r="MRQ30" s="3"/>
      <c r="MRR30" s="3"/>
      <c r="MRS30" s="3"/>
      <c r="MRT30" s="3"/>
      <c r="MRU30" s="3"/>
      <c r="MRV30" s="3"/>
      <c r="MRW30" s="3"/>
      <c r="MRX30" s="3"/>
      <c r="MRY30" s="3"/>
      <c r="MRZ30" s="3"/>
      <c r="MSA30" s="3"/>
      <c r="MSB30" s="3"/>
      <c r="MSC30" s="3"/>
      <c r="MSD30" s="3"/>
      <c r="MSE30" s="3"/>
      <c r="MSF30" s="3"/>
      <c r="MSG30" s="3"/>
      <c r="MSH30" s="3"/>
      <c r="MSI30" s="3"/>
      <c r="MSJ30" s="3"/>
      <c r="MSK30" s="3"/>
      <c r="MSL30" s="3"/>
      <c r="MSM30" s="3"/>
      <c r="MSN30" s="3"/>
      <c r="MSO30" s="3"/>
      <c r="MSP30" s="3"/>
      <c r="MSQ30" s="3"/>
      <c r="MSR30" s="3"/>
      <c r="MSS30" s="3"/>
      <c r="MST30" s="3"/>
      <c r="MSU30" s="3"/>
      <c r="MSV30" s="3"/>
      <c r="MSW30" s="3"/>
      <c r="MSX30" s="3"/>
      <c r="MSY30" s="3"/>
      <c r="MSZ30" s="3"/>
      <c r="MTA30" s="3"/>
      <c r="MTB30" s="3"/>
      <c r="MTC30" s="3"/>
      <c r="MTD30" s="3"/>
      <c r="MTE30" s="3"/>
      <c r="MTF30" s="3"/>
      <c r="MTG30" s="3"/>
      <c r="MTH30" s="3"/>
      <c r="MTI30" s="3"/>
      <c r="MTJ30" s="3"/>
      <c r="MTK30" s="3"/>
      <c r="MTL30" s="3"/>
      <c r="MTM30" s="3"/>
      <c r="MTN30" s="3"/>
      <c r="MTO30" s="3"/>
      <c r="MTP30" s="3"/>
      <c r="MTQ30" s="3"/>
      <c r="MTR30" s="3"/>
      <c r="MTS30" s="3"/>
      <c r="MTT30" s="3"/>
      <c r="MTU30" s="3"/>
      <c r="MTV30" s="3"/>
      <c r="MTW30" s="3"/>
      <c r="MTX30" s="3"/>
      <c r="MTY30" s="3"/>
      <c r="MTZ30" s="3"/>
      <c r="MUA30" s="3"/>
      <c r="MUB30" s="3"/>
      <c r="MUC30" s="3"/>
      <c r="MUD30" s="3"/>
      <c r="MUE30" s="3"/>
      <c r="MUF30" s="3"/>
      <c r="MUG30" s="3"/>
      <c r="MUH30" s="3"/>
      <c r="MUI30" s="3"/>
      <c r="MUJ30" s="3"/>
      <c r="MUK30" s="3"/>
      <c r="MUL30" s="3"/>
      <c r="MUM30" s="3"/>
      <c r="MUN30" s="3"/>
      <c r="MUO30" s="3"/>
      <c r="MUP30" s="3"/>
      <c r="MUQ30" s="3"/>
      <c r="MUR30" s="3"/>
      <c r="MUS30" s="3"/>
      <c r="MUT30" s="3"/>
      <c r="MUU30" s="3"/>
      <c r="MUV30" s="3"/>
      <c r="MUW30" s="3"/>
      <c r="MUX30" s="3"/>
      <c r="MUY30" s="3"/>
      <c r="MUZ30" s="3"/>
      <c r="MVA30" s="3"/>
      <c r="MVB30" s="3"/>
      <c r="MVC30" s="3"/>
      <c r="MVD30" s="3"/>
      <c r="MVE30" s="3"/>
      <c r="MVF30" s="3"/>
      <c r="MVG30" s="3"/>
      <c r="MVH30" s="3"/>
      <c r="MVI30" s="3"/>
      <c r="MVJ30" s="3"/>
      <c r="MVK30" s="3"/>
      <c r="MVL30" s="3"/>
      <c r="MVM30" s="3"/>
      <c r="MVN30" s="3"/>
      <c r="MVO30" s="3"/>
      <c r="MVP30" s="3"/>
      <c r="MVQ30" s="3"/>
      <c r="MVR30" s="3"/>
      <c r="MVS30" s="3"/>
      <c r="MVT30" s="3"/>
      <c r="MVU30" s="3"/>
      <c r="MVV30" s="3"/>
      <c r="MVW30" s="3"/>
      <c r="MVX30" s="3"/>
      <c r="MVY30" s="3"/>
      <c r="MVZ30" s="3"/>
      <c r="MWA30" s="3"/>
      <c r="MWB30" s="3"/>
      <c r="MWC30" s="3"/>
      <c r="MWD30" s="3"/>
      <c r="MWE30" s="3"/>
      <c r="MWF30" s="3"/>
      <c r="MWG30" s="3"/>
      <c r="MWH30" s="3"/>
      <c r="MWI30" s="3"/>
      <c r="MWJ30" s="3"/>
      <c r="MWK30" s="3"/>
      <c r="MWL30" s="3"/>
      <c r="MWM30" s="3"/>
      <c r="MWN30" s="3"/>
      <c r="MWO30" s="3"/>
      <c r="MWP30" s="3"/>
      <c r="MWQ30" s="3"/>
      <c r="MWR30" s="3"/>
      <c r="MWS30" s="3"/>
      <c r="MWT30" s="3"/>
      <c r="MWU30" s="3"/>
      <c r="MWV30" s="3"/>
      <c r="MWW30" s="3"/>
      <c r="MWX30" s="3"/>
      <c r="MWY30" s="3"/>
      <c r="MWZ30" s="3"/>
      <c r="MXA30" s="3"/>
      <c r="MXB30" s="3"/>
      <c r="MXC30" s="3"/>
      <c r="MXD30" s="3"/>
      <c r="MXE30" s="3"/>
      <c r="MXF30" s="3"/>
      <c r="MXG30" s="3"/>
      <c r="MXH30" s="3"/>
      <c r="MXI30" s="3"/>
      <c r="MXJ30" s="3"/>
      <c r="MXK30" s="3"/>
      <c r="MXL30" s="3"/>
      <c r="MXM30" s="3"/>
      <c r="MXN30" s="3"/>
      <c r="MXO30" s="3"/>
      <c r="MXP30" s="3"/>
      <c r="MXQ30" s="3"/>
      <c r="MXR30" s="3"/>
      <c r="MXS30" s="3"/>
      <c r="MXT30" s="3"/>
      <c r="MXU30" s="3"/>
      <c r="MXV30" s="3"/>
      <c r="MXW30" s="3"/>
      <c r="MXX30" s="3"/>
      <c r="MXY30" s="3"/>
      <c r="MXZ30" s="3"/>
      <c r="MYA30" s="3"/>
      <c r="MYB30" s="3"/>
      <c r="MYC30" s="3"/>
      <c r="MYD30" s="3"/>
      <c r="MYE30" s="3"/>
      <c r="MYF30" s="3"/>
      <c r="MYG30" s="3"/>
      <c r="MYH30" s="3"/>
      <c r="MYI30" s="3"/>
      <c r="MYJ30" s="3"/>
      <c r="MYK30" s="3"/>
      <c r="MYL30" s="3"/>
      <c r="MYM30" s="3"/>
      <c r="MYN30" s="3"/>
      <c r="MYO30" s="3"/>
      <c r="MYP30" s="3"/>
      <c r="MYQ30" s="3"/>
      <c r="MYR30" s="3"/>
      <c r="MYS30" s="3"/>
      <c r="MYT30" s="3"/>
      <c r="MYU30" s="3"/>
      <c r="MYV30" s="3"/>
      <c r="MYW30" s="3"/>
      <c r="MYX30" s="3"/>
      <c r="MYY30" s="3"/>
      <c r="MYZ30" s="3"/>
      <c r="MZA30" s="3"/>
      <c r="MZB30" s="3"/>
      <c r="MZC30" s="3"/>
      <c r="MZD30" s="3"/>
      <c r="MZE30" s="3"/>
      <c r="MZF30" s="3"/>
      <c r="MZG30" s="3"/>
      <c r="MZH30" s="3"/>
      <c r="MZI30" s="3"/>
      <c r="MZJ30" s="3"/>
      <c r="MZK30" s="3"/>
      <c r="MZL30" s="3"/>
      <c r="MZM30" s="3"/>
      <c r="MZN30" s="3"/>
      <c r="MZO30" s="3"/>
      <c r="MZP30" s="3"/>
      <c r="MZQ30" s="3"/>
      <c r="MZR30" s="3"/>
      <c r="MZS30" s="3"/>
      <c r="MZT30" s="3"/>
      <c r="MZU30" s="3"/>
      <c r="MZV30" s="3"/>
      <c r="MZW30" s="3"/>
      <c r="MZX30" s="3"/>
      <c r="MZY30" s="3"/>
      <c r="MZZ30" s="3"/>
      <c r="NAA30" s="3"/>
      <c r="NAB30" s="3"/>
      <c r="NAC30" s="3"/>
      <c r="NAD30" s="3"/>
      <c r="NAE30" s="3"/>
      <c r="NAF30" s="3"/>
      <c r="NAG30" s="3"/>
      <c r="NAH30" s="3"/>
      <c r="NAI30" s="3"/>
      <c r="NAJ30" s="3"/>
      <c r="NAK30" s="3"/>
      <c r="NAL30" s="3"/>
      <c r="NAM30" s="3"/>
      <c r="NAN30" s="3"/>
      <c r="NAO30" s="3"/>
      <c r="NAP30" s="3"/>
      <c r="NAQ30" s="3"/>
      <c r="NAR30" s="3"/>
      <c r="NAS30" s="3"/>
      <c r="NAT30" s="3"/>
      <c r="NAU30" s="3"/>
      <c r="NAV30" s="3"/>
      <c r="NAW30" s="3"/>
      <c r="NAX30" s="3"/>
      <c r="NAY30" s="3"/>
      <c r="NAZ30" s="3"/>
      <c r="NBA30" s="3"/>
      <c r="NBB30" s="3"/>
      <c r="NBC30" s="3"/>
      <c r="NBD30" s="3"/>
      <c r="NBE30" s="3"/>
      <c r="NBF30" s="3"/>
      <c r="NBG30" s="3"/>
      <c r="NBH30" s="3"/>
      <c r="NBI30" s="3"/>
      <c r="NBJ30" s="3"/>
      <c r="NBK30" s="3"/>
      <c r="NBL30" s="3"/>
      <c r="NBM30" s="3"/>
      <c r="NBN30" s="3"/>
      <c r="NBO30" s="3"/>
      <c r="NBP30" s="3"/>
      <c r="NBQ30" s="3"/>
      <c r="NBR30" s="3"/>
      <c r="NBS30" s="3"/>
      <c r="NBT30" s="3"/>
      <c r="NBU30" s="3"/>
      <c r="NBV30" s="3"/>
      <c r="NBW30" s="3"/>
      <c r="NBX30" s="3"/>
      <c r="NBY30" s="3"/>
      <c r="NBZ30" s="3"/>
      <c r="NCA30" s="3"/>
      <c r="NCB30" s="3"/>
      <c r="NCC30" s="3"/>
      <c r="NCD30" s="3"/>
      <c r="NCE30" s="3"/>
      <c r="NCF30" s="3"/>
      <c r="NCG30" s="3"/>
      <c r="NCH30" s="3"/>
      <c r="NCI30" s="3"/>
      <c r="NCJ30" s="3"/>
      <c r="NCK30" s="3"/>
      <c r="NCL30" s="3"/>
      <c r="NCM30" s="3"/>
      <c r="NCN30" s="3"/>
      <c r="NCO30" s="3"/>
      <c r="NCP30" s="3"/>
      <c r="NCQ30" s="3"/>
      <c r="NCR30" s="3"/>
      <c r="NCS30" s="3"/>
      <c r="NCT30" s="3"/>
      <c r="NCU30" s="3"/>
      <c r="NCV30" s="3"/>
      <c r="NCW30" s="3"/>
      <c r="NCX30" s="3"/>
      <c r="NCY30" s="3"/>
      <c r="NCZ30" s="3"/>
      <c r="NDA30" s="3"/>
      <c r="NDB30" s="3"/>
      <c r="NDC30" s="3"/>
      <c r="NDD30" s="3"/>
      <c r="NDE30" s="3"/>
      <c r="NDF30" s="3"/>
      <c r="NDG30" s="3"/>
      <c r="NDH30" s="3"/>
      <c r="NDI30" s="3"/>
      <c r="NDJ30" s="3"/>
      <c r="NDK30" s="3"/>
      <c r="NDL30" s="3"/>
      <c r="NDM30" s="3"/>
      <c r="NDN30" s="3"/>
      <c r="NDO30" s="3"/>
      <c r="NDP30" s="3"/>
      <c r="NDQ30" s="3"/>
      <c r="NDR30" s="3"/>
      <c r="NDS30" s="3"/>
      <c r="NDT30" s="3"/>
      <c r="NDU30" s="3"/>
      <c r="NDV30" s="3"/>
      <c r="NDW30" s="3"/>
      <c r="NDX30" s="3"/>
      <c r="NDY30" s="3"/>
      <c r="NDZ30" s="3"/>
      <c r="NEA30" s="3"/>
      <c r="NEB30" s="3"/>
      <c r="NEC30" s="3"/>
      <c r="NED30" s="3"/>
      <c r="NEE30" s="3"/>
      <c r="NEF30" s="3"/>
      <c r="NEG30" s="3"/>
      <c r="NEH30" s="3"/>
      <c r="NEI30" s="3"/>
      <c r="NEJ30" s="3"/>
      <c r="NEK30" s="3"/>
      <c r="NEL30" s="3"/>
      <c r="NEM30" s="3"/>
      <c r="NEN30" s="3"/>
      <c r="NEO30" s="3"/>
      <c r="NEP30" s="3"/>
      <c r="NEQ30" s="3"/>
      <c r="NER30" s="3"/>
      <c r="NES30" s="3"/>
      <c r="NET30" s="3"/>
      <c r="NEU30" s="3"/>
      <c r="NEV30" s="3"/>
      <c r="NEW30" s="3"/>
      <c r="NEX30" s="3"/>
      <c r="NEY30" s="3"/>
      <c r="NEZ30" s="3"/>
      <c r="NFA30" s="3"/>
      <c r="NFB30" s="3"/>
      <c r="NFC30" s="3"/>
      <c r="NFD30" s="3"/>
      <c r="NFE30" s="3"/>
      <c r="NFF30" s="3"/>
      <c r="NFG30" s="3"/>
      <c r="NFH30" s="3"/>
      <c r="NFI30" s="3"/>
      <c r="NFJ30" s="3"/>
      <c r="NFK30" s="3"/>
      <c r="NFL30" s="3"/>
      <c r="NFM30" s="3"/>
      <c r="NFN30" s="3"/>
      <c r="NFO30" s="3"/>
      <c r="NFP30" s="3"/>
      <c r="NFQ30" s="3"/>
      <c r="NFR30" s="3"/>
      <c r="NFS30" s="3"/>
      <c r="NFT30" s="3"/>
      <c r="NFU30" s="3"/>
      <c r="NFV30" s="3"/>
      <c r="NFW30" s="3"/>
      <c r="NFX30" s="3"/>
      <c r="NFY30" s="3"/>
      <c r="NFZ30" s="3"/>
      <c r="NGA30" s="3"/>
      <c r="NGB30" s="3"/>
      <c r="NGC30" s="3"/>
      <c r="NGD30" s="3"/>
      <c r="NGE30" s="3"/>
      <c r="NGF30" s="3"/>
      <c r="NGG30" s="3"/>
      <c r="NGH30" s="3"/>
      <c r="NGI30" s="3"/>
      <c r="NGJ30" s="3"/>
      <c r="NGK30" s="3"/>
      <c r="NGL30" s="3"/>
      <c r="NGM30" s="3"/>
      <c r="NGN30" s="3"/>
      <c r="NGO30" s="3"/>
      <c r="NGP30" s="3"/>
      <c r="NGQ30" s="3"/>
      <c r="NGR30" s="3"/>
      <c r="NGS30" s="3"/>
      <c r="NGT30" s="3"/>
      <c r="NGU30" s="3"/>
      <c r="NGV30" s="3"/>
      <c r="NGW30" s="3"/>
      <c r="NGX30" s="3"/>
      <c r="NGY30" s="3"/>
      <c r="NGZ30" s="3"/>
      <c r="NHA30" s="3"/>
      <c r="NHB30" s="3"/>
      <c r="NHC30" s="3"/>
      <c r="NHD30" s="3"/>
      <c r="NHE30" s="3"/>
      <c r="NHF30" s="3"/>
      <c r="NHG30" s="3"/>
      <c r="NHH30" s="3"/>
      <c r="NHI30" s="3"/>
      <c r="NHJ30" s="3"/>
      <c r="NHK30" s="3"/>
      <c r="NHL30" s="3"/>
      <c r="NHM30" s="3"/>
      <c r="NHN30" s="3"/>
      <c r="NHO30" s="3"/>
      <c r="NHP30" s="3"/>
      <c r="NHQ30" s="3"/>
      <c r="NHR30" s="3"/>
      <c r="NHS30" s="3"/>
      <c r="NHT30" s="3"/>
      <c r="NHU30" s="3"/>
      <c r="NHV30" s="3"/>
      <c r="NHW30" s="3"/>
      <c r="NHX30" s="3"/>
      <c r="NHY30" s="3"/>
      <c r="NHZ30" s="3"/>
      <c r="NIA30" s="3"/>
      <c r="NIB30" s="3"/>
      <c r="NIC30" s="3"/>
      <c r="NID30" s="3"/>
      <c r="NIE30" s="3"/>
      <c r="NIF30" s="3"/>
      <c r="NIG30" s="3"/>
      <c r="NIH30" s="3"/>
      <c r="NII30" s="3"/>
      <c r="NIJ30" s="3"/>
      <c r="NIK30" s="3"/>
      <c r="NIL30" s="3"/>
      <c r="NIM30" s="3"/>
      <c r="NIN30" s="3"/>
      <c r="NIO30" s="3"/>
      <c r="NIP30" s="3"/>
      <c r="NIQ30" s="3"/>
      <c r="NIR30" s="3"/>
      <c r="NIS30" s="3"/>
      <c r="NIT30" s="3"/>
      <c r="NIU30" s="3"/>
      <c r="NIV30" s="3"/>
      <c r="NIW30" s="3"/>
      <c r="NIX30" s="3"/>
      <c r="NIY30" s="3"/>
      <c r="NIZ30" s="3"/>
      <c r="NJA30" s="3"/>
      <c r="NJB30" s="3"/>
      <c r="NJC30" s="3"/>
      <c r="NJD30" s="3"/>
      <c r="NJE30" s="3"/>
      <c r="NJF30" s="3"/>
      <c r="NJG30" s="3"/>
      <c r="NJH30" s="3"/>
      <c r="NJI30" s="3"/>
      <c r="NJJ30" s="3"/>
      <c r="NJK30" s="3"/>
      <c r="NJL30" s="3"/>
      <c r="NJM30" s="3"/>
      <c r="NJN30" s="3"/>
      <c r="NJO30" s="3"/>
      <c r="NJP30" s="3"/>
      <c r="NJQ30" s="3"/>
      <c r="NJR30" s="3"/>
      <c r="NJS30" s="3"/>
      <c r="NJT30" s="3"/>
      <c r="NJU30" s="3"/>
      <c r="NJV30" s="3"/>
      <c r="NJW30" s="3"/>
      <c r="NJX30" s="3"/>
      <c r="NJY30" s="3"/>
      <c r="NJZ30" s="3"/>
      <c r="NKA30" s="3"/>
      <c r="NKB30" s="3"/>
      <c r="NKC30" s="3"/>
      <c r="NKD30" s="3"/>
      <c r="NKE30" s="3"/>
      <c r="NKF30" s="3"/>
      <c r="NKG30" s="3"/>
      <c r="NKH30" s="3"/>
      <c r="NKI30" s="3"/>
      <c r="NKJ30" s="3"/>
      <c r="NKK30" s="3"/>
      <c r="NKL30" s="3"/>
      <c r="NKM30" s="3"/>
      <c r="NKN30" s="3"/>
      <c r="NKO30" s="3"/>
      <c r="NKP30" s="3"/>
      <c r="NKQ30" s="3"/>
      <c r="NKR30" s="3"/>
      <c r="NKS30" s="3"/>
      <c r="NKT30" s="3"/>
      <c r="NKU30" s="3"/>
      <c r="NKV30" s="3"/>
      <c r="NKW30" s="3"/>
      <c r="NKX30" s="3"/>
      <c r="NKY30" s="3"/>
      <c r="NKZ30" s="3"/>
      <c r="NLA30" s="3"/>
      <c r="NLB30" s="3"/>
      <c r="NLC30" s="3"/>
      <c r="NLD30" s="3"/>
      <c r="NLE30" s="3"/>
      <c r="NLF30" s="3"/>
      <c r="NLG30" s="3"/>
      <c r="NLH30" s="3"/>
      <c r="NLI30" s="3"/>
      <c r="NLJ30" s="3"/>
      <c r="NLK30" s="3"/>
      <c r="NLL30" s="3"/>
      <c r="NLM30" s="3"/>
      <c r="NLN30" s="3"/>
      <c r="NLO30" s="3"/>
      <c r="NLP30" s="3"/>
      <c r="NLQ30" s="3"/>
      <c r="NLR30" s="3"/>
      <c r="NLS30" s="3"/>
      <c r="NLT30" s="3"/>
      <c r="NLU30" s="3"/>
      <c r="NLV30" s="3"/>
      <c r="NLW30" s="3"/>
      <c r="NLX30" s="3"/>
      <c r="NLY30" s="3"/>
      <c r="NLZ30" s="3"/>
      <c r="NMA30" s="3"/>
      <c r="NMB30" s="3"/>
      <c r="NMC30" s="3"/>
      <c r="NMD30" s="3"/>
      <c r="NME30" s="3"/>
      <c r="NMF30" s="3"/>
      <c r="NMG30" s="3"/>
      <c r="NMH30" s="3"/>
      <c r="NMI30" s="3"/>
      <c r="NMJ30" s="3"/>
      <c r="NMK30" s="3"/>
      <c r="NML30" s="3"/>
      <c r="NMM30" s="3"/>
      <c r="NMN30" s="3"/>
      <c r="NMO30" s="3"/>
      <c r="NMP30" s="3"/>
      <c r="NMQ30" s="3"/>
      <c r="NMR30" s="3"/>
      <c r="NMS30" s="3"/>
      <c r="NMT30" s="3"/>
      <c r="NMU30" s="3"/>
      <c r="NMV30" s="3"/>
      <c r="NMW30" s="3"/>
      <c r="NMX30" s="3"/>
      <c r="NMY30" s="3"/>
      <c r="NMZ30" s="3"/>
      <c r="NNA30" s="3"/>
      <c r="NNB30" s="3"/>
      <c r="NNC30" s="3"/>
      <c r="NND30" s="3"/>
      <c r="NNE30" s="3"/>
      <c r="NNF30" s="3"/>
      <c r="NNG30" s="3"/>
      <c r="NNH30" s="3"/>
      <c r="NNI30" s="3"/>
      <c r="NNJ30" s="3"/>
      <c r="NNK30" s="3"/>
      <c r="NNL30" s="3"/>
      <c r="NNM30" s="3"/>
      <c r="NNN30" s="3"/>
      <c r="NNO30" s="3"/>
      <c r="NNP30" s="3"/>
      <c r="NNQ30" s="3"/>
      <c r="NNR30" s="3"/>
      <c r="NNS30" s="3"/>
      <c r="NNT30" s="3"/>
      <c r="NNU30" s="3"/>
      <c r="NNV30" s="3"/>
      <c r="NNW30" s="3"/>
      <c r="NNX30" s="3"/>
      <c r="NNY30" s="3"/>
      <c r="NNZ30" s="3"/>
      <c r="NOA30" s="3"/>
      <c r="NOB30" s="3"/>
      <c r="NOC30" s="3"/>
      <c r="NOD30" s="3"/>
      <c r="NOE30" s="3"/>
      <c r="NOF30" s="3"/>
      <c r="NOG30" s="3"/>
      <c r="NOH30" s="3"/>
      <c r="NOI30" s="3"/>
      <c r="NOJ30" s="3"/>
      <c r="NOK30" s="3"/>
      <c r="NOL30" s="3"/>
      <c r="NOM30" s="3"/>
      <c r="NON30" s="3"/>
      <c r="NOO30" s="3"/>
      <c r="NOP30" s="3"/>
      <c r="NOQ30" s="3"/>
      <c r="NOR30" s="3"/>
      <c r="NOS30" s="3"/>
      <c r="NOT30" s="3"/>
      <c r="NOU30" s="3"/>
      <c r="NOV30" s="3"/>
      <c r="NOW30" s="3"/>
      <c r="NOX30" s="3"/>
      <c r="NOY30" s="3"/>
      <c r="NOZ30" s="3"/>
      <c r="NPA30" s="3"/>
      <c r="NPB30" s="3"/>
      <c r="NPC30" s="3"/>
      <c r="NPD30" s="3"/>
      <c r="NPE30" s="3"/>
      <c r="NPF30" s="3"/>
      <c r="NPG30" s="3"/>
      <c r="NPH30" s="3"/>
      <c r="NPI30" s="3"/>
      <c r="NPJ30" s="3"/>
      <c r="NPK30" s="3"/>
      <c r="NPL30" s="3"/>
      <c r="NPM30" s="3"/>
      <c r="NPN30" s="3"/>
      <c r="NPO30" s="3"/>
      <c r="NPP30" s="3"/>
      <c r="NPQ30" s="3"/>
      <c r="NPR30" s="3"/>
      <c r="NPS30" s="3"/>
      <c r="NPT30" s="3"/>
      <c r="NPU30" s="3"/>
      <c r="NPV30" s="3"/>
      <c r="NPW30" s="3"/>
      <c r="NPX30" s="3"/>
      <c r="NPY30" s="3"/>
      <c r="NPZ30" s="3"/>
      <c r="NQA30" s="3"/>
      <c r="NQB30" s="3"/>
      <c r="NQC30" s="3"/>
      <c r="NQD30" s="3"/>
      <c r="NQE30" s="3"/>
      <c r="NQF30" s="3"/>
      <c r="NQG30" s="3"/>
      <c r="NQH30" s="3"/>
      <c r="NQI30" s="3"/>
      <c r="NQJ30" s="3"/>
      <c r="NQK30" s="3"/>
      <c r="NQL30" s="3"/>
      <c r="NQM30" s="3"/>
      <c r="NQN30" s="3"/>
      <c r="NQO30" s="3"/>
      <c r="NQP30" s="3"/>
      <c r="NQQ30" s="3"/>
      <c r="NQR30" s="3"/>
      <c r="NQS30" s="3"/>
      <c r="NQT30" s="3"/>
      <c r="NQU30" s="3"/>
      <c r="NQV30" s="3"/>
      <c r="NQW30" s="3"/>
      <c r="NQX30" s="3"/>
      <c r="NQY30" s="3"/>
      <c r="NQZ30" s="3"/>
      <c r="NRA30" s="3"/>
      <c r="NRB30" s="3"/>
      <c r="NRC30" s="3"/>
      <c r="NRD30" s="3"/>
      <c r="NRE30" s="3"/>
      <c r="NRF30" s="3"/>
      <c r="NRG30" s="3"/>
      <c r="NRH30" s="3"/>
      <c r="NRI30" s="3"/>
      <c r="NRJ30" s="3"/>
      <c r="NRK30" s="3"/>
      <c r="NRL30" s="3"/>
      <c r="NRM30" s="3"/>
      <c r="NRN30" s="3"/>
      <c r="NRO30" s="3"/>
      <c r="NRP30" s="3"/>
      <c r="NRQ30" s="3"/>
      <c r="NRR30" s="3"/>
      <c r="NRS30" s="3"/>
      <c r="NRT30" s="3"/>
      <c r="NRU30" s="3"/>
      <c r="NRV30" s="3"/>
      <c r="NRW30" s="3"/>
      <c r="NRX30" s="3"/>
      <c r="NRY30" s="3"/>
      <c r="NRZ30" s="3"/>
      <c r="NSA30" s="3"/>
      <c r="NSB30" s="3"/>
      <c r="NSC30" s="3"/>
      <c r="NSD30" s="3"/>
      <c r="NSE30" s="3"/>
      <c r="NSF30" s="3"/>
      <c r="NSG30" s="3"/>
      <c r="NSH30" s="3"/>
      <c r="NSI30" s="3"/>
      <c r="NSJ30" s="3"/>
      <c r="NSK30" s="3"/>
      <c r="NSL30" s="3"/>
      <c r="NSM30" s="3"/>
      <c r="NSN30" s="3"/>
      <c r="NSO30" s="3"/>
      <c r="NSP30" s="3"/>
      <c r="NSQ30" s="3"/>
      <c r="NSR30" s="3"/>
      <c r="NSS30" s="3"/>
      <c r="NST30" s="3"/>
      <c r="NSU30" s="3"/>
      <c r="NSV30" s="3"/>
      <c r="NSW30" s="3"/>
      <c r="NSX30" s="3"/>
      <c r="NSY30" s="3"/>
      <c r="NSZ30" s="3"/>
      <c r="NTA30" s="3"/>
      <c r="NTB30" s="3"/>
      <c r="NTC30" s="3"/>
      <c r="NTD30" s="3"/>
      <c r="NTE30" s="3"/>
      <c r="NTF30" s="3"/>
      <c r="NTG30" s="3"/>
      <c r="NTH30" s="3"/>
      <c r="NTI30" s="3"/>
      <c r="NTJ30" s="3"/>
      <c r="NTK30" s="3"/>
      <c r="NTL30" s="3"/>
      <c r="NTM30" s="3"/>
      <c r="NTN30" s="3"/>
      <c r="NTO30" s="3"/>
      <c r="NTP30" s="3"/>
      <c r="NTQ30" s="3"/>
      <c r="NTR30" s="3"/>
      <c r="NTS30" s="3"/>
      <c r="NTT30" s="3"/>
      <c r="NTU30" s="3"/>
      <c r="NTV30" s="3"/>
      <c r="NTW30" s="3"/>
      <c r="NTX30" s="3"/>
      <c r="NTY30" s="3"/>
      <c r="NTZ30" s="3"/>
      <c r="NUA30" s="3"/>
      <c r="NUB30" s="3"/>
      <c r="NUC30" s="3"/>
      <c r="NUD30" s="3"/>
      <c r="NUE30" s="3"/>
      <c r="NUF30" s="3"/>
      <c r="NUG30" s="3"/>
      <c r="NUH30" s="3"/>
      <c r="NUI30" s="3"/>
      <c r="NUJ30" s="3"/>
      <c r="NUK30" s="3"/>
      <c r="NUL30" s="3"/>
      <c r="NUM30" s="3"/>
      <c r="NUN30" s="3"/>
      <c r="NUO30" s="3"/>
      <c r="NUP30" s="3"/>
      <c r="NUQ30" s="3"/>
      <c r="NUR30" s="3"/>
      <c r="NUS30" s="3"/>
      <c r="NUT30" s="3"/>
      <c r="NUU30" s="3"/>
      <c r="NUV30" s="3"/>
      <c r="NUW30" s="3"/>
      <c r="NUX30" s="3"/>
      <c r="NUY30" s="3"/>
      <c r="NUZ30" s="3"/>
      <c r="NVA30" s="3"/>
      <c r="NVB30" s="3"/>
      <c r="NVC30" s="3"/>
      <c r="NVD30" s="3"/>
      <c r="NVE30" s="3"/>
      <c r="NVF30" s="3"/>
      <c r="NVG30" s="3"/>
      <c r="NVH30" s="3"/>
      <c r="NVI30" s="3"/>
      <c r="NVJ30" s="3"/>
      <c r="NVK30" s="3"/>
      <c r="NVL30" s="3"/>
      <c r="NVM30" s="3"/>
      <c r="NVN30" s="3"/>
      <c r="NVO30" s="3"/>
      <c r="NVP30" s="3"/>
      <c r="NVQ30" s="3"/>
      <c r="NVR30" s="3"/>
      <c r="NVS30" s="3"/>
      <c r="NVT30" s="3"/>
      <c r="NVU30" s="3"/>
      <c r="NVV30" s="3"/>
      <c r="NVW30" s="3"/>
      <c r="NVX30" s="3"/>
      <c r="NVY30" s="3"/>
      <c r="NVZ30" s="3"/>
      <c r="NWA30" s="3"/>
      <c r="NWB30" s="3"/>
      <c r="NWC30" s="3"/>
      <c r="NWD30" s="3"/>
      <c r="NWE30" s="3"/>
      <c r="NWF30" s="3"/>
      <c r="NWG30" s="3"/>
      <c r="NWH30" s="3"/>
      <c r="NWI30" s="3"/>
      <c r="NWJ30" s="3"/>
      <c r="NWK30" s="3"/>
      <c r="NWL30" s="3"/>
      <c r="NWM30" s="3"/>
      <c r="NWN30" s="3"/>
      <c r="NWO30" s="3"/>
      <c r="NWP30" s="3"/>
      <c r="NWQ30" s="3"/>
      <c r="NWR30" s="3"/>
      <c r="NWS30" s="3"/>
      <c r="NWT30" s="3"/>
      <c r="NWU30" s="3"/>
      <c r="NWV30" s="3"/>
      <c r="NWW30" s="3"/>
      <c r="NWX30" s="3"/>
      <c r="NWY30" s="3"/>
      <c r="NWZ30" s="3"/>
      <c r="NXA30" s="3"/>
      <c r="NXB30" s="3"/>
      <c r="NXC30" s="3"/>
      <c r="NXD30" s="3"/>
      <c r="NXE30" s="3"/>
      <c r="NXF30" s="3"/>
      <c r="NXG30" s="3"/>
      <c r="NXH30" s="3"/>
      <c r="NXI30" s="3"/>
      <c r="NXJ30" s="3"/>
      <c r="NXK30" s="3"/>
      <c r="NXL30" s="3"/>
      <c r="NXM30" s="3"/>
      <c r="NXN30" s="3"/>
      <c r="NXO30" s="3"/>
      <c r="NXP30" s="3"/>
      <c r="NXQ30" s="3"/>
      <c r="NXR30" s="3"/>
      <c r="NXS30" s="3"/>
      <c r="NXT30" s="3"/>
      <c r="NXU30" s="3"/>
      <c r="NXV30" s="3"/>
      <c r="NXW30" s="3"/>
      <c r="NXX30" s="3"/>
      <c r="NXY30" s="3"/>
      <c r="NXZ30" s="3"/>
      <c r="NYA30" s="3"/>
      <c r="NYB30" s="3"/>
      <c r="NYC30" s="3"/>
      <c r="NYD30" s="3"/>
      <c r="NYE30" s="3"/>
      <c r="NYF30" s="3"/>
      <c r="NYG30" s="3"/>
      <c r="NYH30" s="3"/>
      <c r="NYI30" s="3"/>
      <c r="NYJ30" s="3"/>
      <c r="NYK30" s="3"/>
      <c r="NYL30" s="3"/>
      <c r="NYM30" s="3"/>
      <c r="NYN30" s="3"/>
      <c r="NYO30" s="3"/>
      <c r="NYP30" s="3"/>
      <c r="NYQ30" s="3"/>
      <c r="NYR30" s="3"/>
      <c r="NYS30" s="3"/>
      <c r="NYT30" s="3"/>
      <c r="NYU30" s="3"/>
      <c r="NYV30" s="3"/>
      <c r="NYW30" s="3"/>
      <c r="NYX30" s="3"/>
      <c r="NYY30" s="3"/>
      <c r="NYZ30" s="3"/>
      <c r="NZA30" s="3"/>
      <c r="NZB30" s="3"/>
      <c r="NZC30" s="3"/>
      <c r="NZD30" s="3"/>
      <c r="NZE30" s="3"/>
      <c r="NZF30" s="3"/>
      <c r="NZG30" s="3"/>
      <c r="NZH30" s="3"/>
      <c r="NZI30" s="3"/>
      <c r="NZJ30" s="3"/>
      <c r="NZK30" s="3"/>
      <c r="NZL30" s="3"/>
      <c r="NZM30" s="3"/>
      <c r="NZN30" s="3"/>
      <c r="NZO30" s="3"/>
      <c r="NZP30" s="3"/>
      <c r="NZQ30" s="3"/>
      <c r="NZR30" s="3"/>
      <c r="NZS30" s="3"/>
      <c r="NZT30" s="3"/>
      <c r="NZU30" s="3"/>
      <c r="NZV30" s="3"/>
      <c r="NZW30" s="3"/>
      <c r="NZX30" s="3"/>
      <c r="NZY30" s="3"/>
      <c r="NZZ30" s="3"/>
      <c r="OAA30" s="3"/>
      <c r="OAB30" s="3"/>
      <c r="OAC30" s="3"/>
      <c r="OAD30" s="3"/>
      <c r="OAE30" s="3"/>
      <c r="OAF30" s="3"/>
      <c r="OAG30" s="3"/>
      <c r="OAH30" s="3"/>
      <c r="OAI30" s="3"/>
      <c r="OAJ30" s="3"/>
      <c r="OAK30" s="3"/>
      <c r="OAL30" s="3"/>
      <c r="OAM30" s="3"/>
      <c r="OAN30" s="3"/>
      <c r="OAO30" s="3"/>
      <c r="OAP30" s="3"/>
      <c r="OAQ30" s="3"/>
      <c r="OAR30" s="3"/>
      <c r="OAS30" s="3"/>
      <c r="OAT30" s="3"/>
      <c r="OAU30" s="3"/>
      <c r="OAV30" s="3"/>
      <c r="OAW30" s="3"/>
      <c r="OAX30" s="3"/>
      <c r="OAY30" s="3"/>
      <c r="OAZ30" s="3"/>
      <c r="OBA30" s="3"/>
      <c r="OBB30" s="3"/>
      <c r="OBC30" s="3"/>
      <c r="OBD30" s="3"/>
      <c r="OBE30" s="3"/>
      <c r="OBF30" s="3"/>
      <c r="OBG30" s="3"/>
      <c r="OBH30" s="3"/>
      <c r="OBI30" s="3"/>
      <c r="OBJ30" s="3"/>
      <c r="OBK30" s="3"/>
      <c r="OBL30" s="3"/>
      <c r="OBM30" s="3"/>
      <c r="OBN30" s="3"/>
      <c r="OBO30" s="3"/>
      <c r="OBP30" s="3"/>
      <c r="OBQ30" s="3"/>
      <c r="OBR30" s="3"/>
      <c r="OBS30" s="3"/>
      <c r="OBT30" s="3"/>
      <c r="OBU30" s="3"/>
      <c r="OBV30" s="3"/>
      <c r="OBW30" s="3"/>
      <c r="OBX30" s="3"/>
      <c r="OBY30" s="3"/>
      <c r="OBZ30" s="3"/>
      <c r="OCA30" s="3"/>
      <c r="OCB30" s="3"/>
      <c r="OCC30" s="3"/>
      <c r="OCD30" s="3"/>
      <c r="OCE30" s="3"/>
      <c r="OCF30" s="3"/>
      <c r="OCG30" s="3"/>
      <c r="OCH30" s="3"/>
      <c r="OCI30" s="3"/>
      <c r="OCJ30" s="3"/>
      <c r="OCK30" s="3"/>
      <c r="OCL30" s="3"/>
      <c r="OCM30" s="3"/>
      <c r="OCN30" s="3"/>
      <c r="OCO30" s="3"/>
      <c r="OCP30" s="3"/>
      <c r="OCQ30" s="3"/>
      <c r="OCR30" s="3"/>
      <c r="OCS30" s="3"/>
      <c r="OCT30" s="3"/>
      <c r="OCU30" s="3"/>
      <c r="OCV30" s="3"/>
      <c r="OCW30" s="3"/>
      <c r="OCX30" s="3"/>
      <c r="OCY30" s="3"/>
      <c r="OCZ30" s="3"/>
      <c r="ODA30" s="3"/>
      <c r="ODB30" s="3"/>
      <c r="ODC30" s="3"/>
      <c r="ODD30" s="3"/>
      <c r="ODE30" s="3"/>
      <c r="ODF30" s="3"/>
      <c r="ODG30" s="3"/>
      <c r="ODH30" s="3"/>
      <c r="ODI30" s="3"/>
      <c r="ODJ30" s="3"/>
      <c r="ODK30" s="3"/>
      <c r="ODL30" s="3"/>
      <c r="ODM30" s="3"/>
      <c r="ODN30" s="3"/>
      <c r="ODO30" s="3"/>
      <c r="ODP30" s="3"/>
      <c r="ODQ30" s="3"/>
      <c r="ODR30" s="3"/>
      <c r="ODS30" s="3"/>
      <c r="ODT30" s="3"/>
      <c r="ODU30" s="3"/>
      <c r="ODV30" s="3"/>
      <c r="ODW30" s="3"/>
      <c r="ODX30" s="3"/>
      <c r="ODY30" s="3"/>
      <c r="ODZ30" s="3"/>
      <c r="OEA30" s="3"/>
      <c r="OEB30" s="3"/>
      <c r="OEC30" s="3"/>
      <c r="OED30" s="3"/>
      <c r="OEE30" s="3"/>
      <c r="OEF30" s="3"/>
      <c r="OEG30" s="3"/>
      <c r="OEH30" s="3"/>
      <c r="OEI30" s="3"/>
      <c r="OEJ30" s="3"/>
      <c r="OEK30" s="3"/>
      <c r="OEL30" s="3"/>
      <c r="OEM30" s="3"/>
      <c r="OEN30" s="3"/>
      <c r="OEO30" s="3"/>
      <c r="OEP30" s="3"/>
      <c r="OEQ30" s="3"/>
      <c r="OER30" s="3"/>
      <c r="OES30" s="3"/>
      <c r="OET30" s="3"/>
      <c r="OEU30" s="3"/>
      <c r="OEV30" s="3"/>
      <c r="OEW30" s="3"/>
      <c r="OEX30" s="3"/>
      <c r="OEY30" s="3"/>
      <c r="OEZ30" s="3"/>
      <c r="OFA30" s="3"/>
      <c r="OFB30" s="3"/>
      <c r="OFC30" s="3"/>
      <c r="OFD30" s="3"/>
      <c r="OFE30" s="3"/>
      <c r="OFF30" s="3"/>
      <c r="OFG30" s="3"/>
      <c r="OFH30" s="3"/>
      <c r="OFI30" s="3"/>
      <c r="OFJ30" s="3"/>
      <c r="OFK30" s="3"/>
      <c r="OFL30" s="3"/>
      <c r="OFM30" s="3"/>
      <c r="OFN30" s="3"/>
      <c r="OFO30" s="3"/>
      <c r="OFP30" s="3"/>
      <c r="OFQ30" s="3"/>
      <c r="OFR30" s="3"/>
      <c r="OFS30" s="3"/>
      <c r="OFT30" s="3"/>
      <c r="OFU30" s="3"/>
      <c r="OFV30" s="3"/>
      <c r="OFW30" s="3"/>
      <c r="OFX30" s="3"/>
      <c r="OFY30" s="3"/>
      <c r="OFZ30" s="3"/>
      <c r="OGA30" s="3"/>
      <c r="OGB30" s="3"/>
      <c r="OGC30" s="3"/>
      <c r="OGD30" s="3"/>
      <c r="OGE30" s="3"/>
      <c r="OGF30" s="3"/>
      <c r="OGG30" s="3"/>
      <c r="OGH30" s="3"/>
      <c r="OGI30" s="3"/>
      <c r="OGJ30" s="3"/>
      <c r="OGK30" s="3"/>
      <c r="OGL30" s="3"/>
      <c r="OGM30" s="3"/>
      <c r="OGN30" s="3"/>
      <c r="OGO30" s="3"/>
      <c r="OGP30" s="3"/>
      <c r="OGQ30" s="3"/>
      <c r="OGR30" s="3"/>
      <c r="OGS30" s="3"/>
      <c r="OGT30" s="3"/>
      <c r="OGU30" s="3"/>
      <c r="OGV30" s="3"/>
      <c r="OGW30" s="3"/>
      <c r="OGX30" s="3"/>
      <c r="OGY30" s="3"/>
      <c r="OGZ30" s="3"/>
      <c r="OHA30" s="3"/>
      <c r="OHB30" s="3"/>
      <c r="OHC30" s="3"/>
      <c r="OHD30" s="3"/>
      <c r="OHE30" s="3"/>
      <c r="OHF30" s="3"/>
      <c r="OHG30" s="3"/>
      <c r="OHH30" s="3"/>
      <c r="OHI30" s="3"/>
      <c r="OHJ30" s="3"/>
      <c r="OHK30" s="3"/>
      <c r="OHL30" s="3"/>
      <c r="OHM30" s="3"/>
      <c r="OHN30" s="3"/>
      <c r="OHO30" s="3"/>
      <c r="OHP30" s="3"/>
      <c r="OHQ30" s="3"/>
      <c r="OHR30" s="3"/>
      <c r="OHS30" s="3"/>
      <c r="OHT30" s="3"/>
      <c r="OHU30" s="3"/>
      <c r="OHV30" s="3"/>
      <c r="OHW30" s="3"/>
      <c r="OHX30" s="3"/>
      <c r="OHY30" s="3"/>
      <c r="OHZ30" s="3"/>
      <c r="OIA30" s="3"/>
      <c r="OIB30" s="3"/>
      <c r="OIC30" s="3"/>
      <c r="OID30" s="3"/>
      <c r="OIE30" s="3"/>
      <c r="OIF30" s="3"/>
      <c r="OIG30" s="3"/>
      <c r="OIH30" s="3"/>
      <c r="OII30" s="3"/>
      <c r="OIJ30" s="3"/>
      <c r="OIK30" s="3"/>
      <c r="OIL30" s="3"/>
      <c r="OIM30" s="3"/>
      <c r="OIN30" s="3"/>
      <c r="OIO30" s="3"/>
      <c r="OIP30" s="3"/>
      <c r="OIQ30" s="3"/>
      <c r="OIR30" s="3"/>
      <c r="OIS30" s="3"/>
      <c r="OIT30" s="3"/>
      <c r="OIU30" s="3"/>
      <c r="OIV30" s="3"/>
      <c r="OIW30" s="3"/>
      <c r="OIX30" s="3"/>
      <c r="OIY30" s="3"/>
      <c r="OIZ30" s="3"/>
      <c r="OJA30" s="3"/>
      <c r="OJB30" s="3"/>
      <c r="OJC30" s="3"/>
      <c r="OJD30" s="3"/>
      <c r="OJE30" s="3"/>
      <c r="OJF30" s="3"/>
      <c r="OJG30" s="3"/>
      <c r="OJH30" s="3"/>
      <c r="OJI30" s="3"/>
      <c r="OJJ30" s="3"/>
      <c r="OJK30" s="3"/>
      <c r="OJL30" s="3"/>
      <c r="OJM30" s="3"/>
      <c r="OJN30" s="3"/>
      <c r="OJO30" s="3"/>
      <c r="OJP30" s="3"/>
      <c r="OJQ30" s="3"/>
      <c r="OJR30" s="3"/>
      <c r="OJS30" s="3"/>
      <c r="OJT30" s="3"/>
      <c r="OJU30" s="3"/>
      <c r="OJV30" s="3"/>
      <c r="OJW30" s="3"/>
      <c r="OJX30" s="3"/>
      <c r="OJY30" s="3"/>
      <c r="OJZ30" s="3"/>
      <c r="OKA30" s="3"/>
      <c r="OKB30" s="3"/>
      <c r="OKC30" s="3"/>
      <c r="OKD30" s="3"/>
      <c r="OKE30" s="3"/>
      <c r="OKF30" s="3"/>
      <c r="OKG30" s="3"/>
      <c r="OKH30" s="3"/>
      <c r="OKI30" s="3"/>
      <c r="OKJ30" s="3"/>
      <c r="OKK30" s="3"/>
      <c r="OKL30" s="3"/>
      <c r="OKM30" s="3"/>
      <c r="OKN30" s="3"/>
      <c r="OKO30" s="3"/>
      <c r="OKP30" s="3"/>
      <c r="OKQ30" s="3"/>
      <c r="OKR30" s="3"/>
      <c r="OKS30" s="3"/>
      <c r="OKT30" s="3"/>
      <c r="OKU30" s="3"/>
      <c r="OKV30" s="3"/>
      <c r="OKW30" s="3"/>
      <c r="OKX30" s="3"/>
      <c r="OKY30" s="3"/>
      <c r="OKZ30" s="3"/>
      <c r="OLA30" s="3"/>
      <c r="OLB30" s="3"/>
      <c r="OLC30" s="3"/>
      <c r="OLD30" s="3"/>
      <c r="OLE30" s="3"/>
      <c r="OLF30" s="3"/>
      <c r="OLG30" s="3"/>
      <c r="OLH30" s="3"/>
      <c r="OLI30" s="3"/>
      <c r="OLJ30" s="3"/>
      <c r="OLK30" s="3"/>
      <c r="OLL30" s="3"/>
      <c r="OLM30" s="3"/>
      <c r="OLN30" s="3"/>
      <c r="OLO30" s="3"/>
      <c r="OLP30" s="3"/>
      <c r="OLQ30" s="3"/>
      <c r="OLR30" s="3"/>
      <c r="OLS30" s="3"/>
      <c r="OLT30" s="3"/>
      <c r="OLU30" s="3"/>
      <c r="OLV30" s="3"/>
      <c r="OLW30" s="3"/>
      <c r="OLX30" s="3"/>
      <c r="OLY30" s="3"/>
      <c r="OLZ30" s="3"/>
      <c r="OMA30" s="3"/>
      <c r="OMB30" s="3"/>
      <c r="OMC30" s="3"/>
      <c r="OMD30" s="3"/>
      <c r="OME30" s="3"/>
      <c r="OMF30" s="3"/>
      <c r="OMG30" s="3"/>
      <c r="OMH30" s="3"/>
      <c r="OMI30" s="3"/>
      <c r="OMJ30" s="3"/>
      <c r="OMK30" s="3"/>
      <c r="OML30" s="3"/>
      <c r="OMM30" s="3"/>
      <c r="OMN30" s="3"/>
      <c r="OMO30" s="3"/>
      <c r="OMP30" s="3"/>
      <c r="OMQ30" s="3"/>
      <c r="OMR30" s="3"/>
      <c r="OMS30" s="3"/>
      <c r="OMT30" s="3"/>
      <c r="OMU30" s="3"/>
      <c r="OMV30" s="3"/>
      <c r="OMW30" s="3"/>
      <c r="OMX30" s="3"/>
      <c r="OMY30" s="3"/>
      <c r="OMZ30" s="3"/>
      <c r="ONA30" s="3"/>
      <c r="ONB30" s="3"/>
      <c r="ONC30" s="3"/>
      <c r="OND30" s="3"/>
      <c r="ONE30" s="3"/>
      <c r="ONF30" s="3"/>
      <c r="ONG30" s="3"/>
      <c r="ONH30" s="3"/>
      <c r="ONI30" s="3"/>
      <c r="ONJ30" s="3"/>
      <c r="ONK30" s="3"/>
      <c r="ONL30" s="3"/>
      <c r="ONM30" s="3"/>
      <c r="ONN30" s="3"/>
      <c r="ONO30" s="3"/>
      <c r="ONP30" s="3"/>
      <c r="ONQ30" s="3"/>
      <c r="ONR30" s="3"/>
      <c r="ONS30" s="3"/>
      <c r="ONT30" s="3"/>
      <c r="ONU30" s="3"/>
      <c r="ONV30" s="3"/>
      <c r="ONW30" s="3"/>
      <c r="ONX30" s="3"/>
      <c r="ONY30" s="3"/>
      <c r="ONZ30" s="3"/>
      <c r="OOA30" s="3"/>
      <c r="OOB30" s="3"/>
      <c r="OOC30" s="3"/>
      <c r="OOD30" s="3"/>
      <c r="OOE30" s="3"/>
      <c r="OOF30" s="3"/>
      <c r="OOG30" s="3"/>
      <c r="OOH30" s="3"/>
      <c r="OOI30" s="3"/>
      <c r="OOJ30" s="3"/>
      <c r="OOK30" s="3"/>
      <c r="OOL30" s="3"/>
      <c r="OOM30" s="3"/>
      <c r="OON30" s="3"/>
      <c r="OOO30" s="3"/>
      <c r="OOP30" s="3"/>
      <c r="OOQ30" s="3"/>
      <c r="OOR30" s="3"/>
      <c r="OOS30" s="3"/>
      <c r="OOT30" s="3"/>
      <c r="OOU30" s="3"/>
      <c r="OOV30" s="3"/>
      <c r="OOW30" s="3"/>
      <c r="OOX30" s="3"/>
      <c r="OOY30" s="3"/>
      <c r="OOZ30" s="3"/>
      <c r="OPA30" s="3"/>
      <c r="OPB30" s="3"/>
      <c r="OPC30" s="3"/>
      <c r="OPD30" s="3"/>
      <c r="OPE30" s="3"/>
      <c r="OPF30" s="3"/>
      <c r="OPG30" s="3"/>
      <c r="OPH30" s="3"/>
      <c r="OPI30" s="3"/>
      <c r="OPJ30" s="3"/>
      <c r="OPK30" s="3"/>
      <c r="OPL30" s="3"/>
      <c r="OPM30" s="3"/>
      <c r="OPN30" s="3"/>
      <c r="OPO30" s="3"/>
      <c r="OPP30" s="3"/>
      <c r="OPQ30" s="3"/>
      <c r="OPR30" s="3"/>
      <c r="OPS30" s="3"/>
      <c r="OPT30" s="3"/>
      <c r="OPU30" s="3"/>
      <c r="OPV30" s="3"/>
      <c r="OPW30" s="3"/>
      <c r="OPX30" s="3"/>
      <c r="OPY30" s="3"/>
      <c r="OPZ30" s="3"/>
      <c r="OQA30" s="3"/>
      <c r="OQB30" s="3"/>
      <c r="OQC30" s="3"/>
      <c r="OQD30" s="3"/>
      <c r="OQE30" s="3"/>
      <c r="OQF30" s="3"/>
      <c r="OQG30" s="3"/>
      <c r="OQH30" s="3"/>
      <c r="OQI30" s="3"/>
      <c r="OQJ30" s="3"/>
      <c r="OQK30" s="3"/>
      <c r="OQL30" s="3"/>
      <c r="OQM30" s="3"/>
      <c r="OQN30" s="3"/>
      <c r="OQO30" s="3"/>
      <c r="OQP30" s="3"/>
      <c r="OQQ30" s="3"/>
      <c r="OQR30" s="3"/>
      <c r="OQS30" s="3"/>
      <c r="OQT30" s="3"/>
      <c r="OQU30" s="3"/>
      <c r="OQV30" s="3"/>
      <c r="OQW30" s="3"/>
      <c r="OQX30" s="3"/>
      <c r="OQY30" s="3"/>
      <c r="OQZ30" s="3"/>
      <c r="ORA30" s="3"/>
      <c r="ORB30" s="3"/>
      <c r="ORC30" s="3"/>
      <c r="ORD30" s="3"/>
      <c r="ORE30" s="3"/>
      <c r="ORF30" s="3"/>
      <c r="ORG30" s="3"/>
      <c r="ORH30" s="3"/>
      <c r="ORI30" s="3"/>
      <c r="ORJ30" s="3"/>
      <c r="ORK30" s="3"/>
      <c r="ORL30" s="3"/>
      <c r="ORM30" s="3"/>
      <c r="ORN30" s="3"/>
      <c r="ORO30" s="3"/>
      <c r="ORP30" s="3"/>
      <c r="ORQ30" s="3"/>
      <c r="ORR30" s="3"/>
      <c r="ORS30" s="3"/>
      <c r="ORT30" s="3"/>
      <c r="ORU30" s="3"/>
      <c r="ORV30" s="3"/>
      <c r="ORW30" s="3"/>
      <c r="ORX30" s="3"/>
      <c r="ORY30" s="3"/>
      <c r="ORZ30" s="3"/>
      <c r="OSA30" s="3"/>
      <c r="OSB30" s="3"/>
      <c r="OSC30" s="3"/>
      <c r="OSD30" s="3"/>
      <c r="OSE30" s="3"/>
      <c r="OSF30" s="3"/>
      <c r="OSG30" s="3"/>
      <c r="OSH30" s="3"/>
      <c r="OSI30" s="3"/>
      <c r="OSJ30" s="3"/>
      <c r="OSK30" s="3"/>
      <c r="OSL30" s="3"/>
      <c r="OSM30" s="3"/>
      <c r="OSN30" s="3"/>
      <c r="OSO30" s="3"/>
      <c r="OSP30" s="3"/>
      <c r="OSQ30" s="3"/>
      <c r="OSR30" s="3"/>
      <c r="OSS30" s="3"/>
      <c r="OST30" s="3"/>
      <c r="OSU30" s="3"/>
      <c r="OSV30" s="3"/>
      <c r="OSW30" s="3"/>
      <c r="OSX30" s="3"/>
      <c r="OSY30" s="3"/>
      <c r="OSZ30" s="3"/>
      <c r="OTA30" s="3"/>
      <c r="OTB30" s="3"/>
      <c r="OTC30" s="3"/>
      <c r="OTD30" s="3"/>
      <c r="OTE30" s="3"/>
      <c r="OTF30" s="3"/>
      <c r="OTG30" s="3"/>
      <c r="OTH30" s="3"/>
      <c r="OTI30" s="3"/>
      <c r="OTJ30" s="3"/>
      <c r="OTK30" s="3"/>
      <c r="OTL30" s="3"/>
      <c r="OTM30" s="3"/>
      <c r="OTN30" s="3"/>
      <c r="OTO30" s="3"/>
      <c r="OTP30" s="3"/>
      <c r="OTQ30" s="3"/>
      <c r="OTR30" s="3"/>
      <c r="OTS30" s="3"/>
      <c r="OTT30" s="3"/>
      <c r="OTU30" s="3"/>
      <c r="OTV30" s="3"/>
      <c r="OTW30" s="3"/>
      <c r="OTX30" s="3"/>
      <c r="OTY30" s="3"/>
      <c r="OTZ30" s="3"/>
      <c r="OUA30" s="3"/>
      <c r="OUB30" s="3"/>
      <c r="OUC30" s="3"/>
      <c r="OUD30" s="3"/>
      <c r="OUE30" s="3"/>
      <c r="OUF30" s="3"/>
      <c r="OUG30" s="3"/>
      <c r="OUH30" s="3"/>
      <c r="OUI30" s="3"/>
      <c r="OUJ30" s="3"/>
      <c r="OUK30" s="3"/>
      <c r="OUL30" s="3"/>
      <c r="OUM30" s="3"/>
      <c r="OUN30" s="3"/>
      <c r="OUO30" s="3"/>
      <c r="OUP30" s="3"/>
      <c r="OUQ30" s="3"/>
      <c r="OUR30" s="3"/>
      <c r="OUS30" s="3"/>
      <c r="OUT30" s="3"/>
      <c r="OUU30" s="3"/>
      <c r="OUV30" s="3"/>
      <c r="OUW30" s="3"/>
      <c r="OUX30" s="3"/>
      <c r="OUY30" s="3"/>
      <c r="OUZ30" s="3"/>
      <c r="OVA30" s="3"/>
      <c r="OVB30" s="3"/>
      <c r="OVC30" s="3"/>
      <c r="OVD30" s="3"/>
      <c r="OVE30" s="3"/>
      <c r="OVF30" s="3"/>
      <c r="OVG30" s="3"/>
      <c r="OVH30" s="3"/>
      <c r="OVI30" s="3"/>
      <c r="OVJ30" s="3"/>
      <c r="OVK30" s="3"/>
      <c r="OVL30" s="3"/>
      <c r="OVM30" s="3"/>
      <c r="OVN30" s="3"/>
      <c r="OVO30" s="3"/>
      <c r="OVP30" s="3"/>
      <c r="OVQ30" s="3"/>
      <c r="OVR30" s="3"/>
      <c r="OVS30" s="3"/>
      <c r="OVT30" s="3"/>
      <c r="OVU30" s="3"/>
      <c r="OVV30" s="3"/>
      <c r="OVW30" s="3"/>
      <c r="OVX30" s="3"/>
      <c r="OVY30" s="3"/>
      <c r="OVZ30" s="3"/>
      <c r="OWA30" s="3"/>
      <c r="OWB30" s="3"/>
      <c r="OWC30" s="3"/>
      <c r="OWD30" s="3"/>
      <c r="OWE30" s="3"/>
      <c r="OWF30" s="3"/>
      <c r="OWG30" s="3"/>
      <c r="OWH30" s="3"/>
      <c r="OWI30" s="3"/>
      <c r="OWJ30" s="3"/>
      <c r="OWK30" s="3"/>
      <c r="OWL30" s="3"/>
      <c r="OWM30" s="3"/>
      <c r="OWN30" s="3"/>
      <c r="OWO30" s="3"/>
      <c r="OWP30" s="3"/>
      <c r="OWQ30" s="3"/>
      <c r="OWR30" s="3"/>
      <c r="OWS30" s="3"/>
      <c r="OWT30" s="3"/>
      <c r="OWU30" s="3"/>
      <c r="OWV30" s="3"/>
      <c r="OWW30" s="3"/>
      <c r="OWX30" s="3"/>
      <c r="OWY30" s="3"/>
      <c r="OWZ30" s="3"/>
      <c r="OXA30" s="3"/>
      <c r="OXB30" s="3"/>
      <c r="OXC30" s="3"/>
      <c r="OXD30" s="3"/>
      <c r="OXE30" s="3"/>
      <c r="OXF30" s="3"/>
      <c r="OXG30" s="3"/>
      <c r="OXH30" s="3"/>
      <c r="OXI30" s="3"/>
      <c r="OXJ30" s="3"/>
      <c r="OXK30" s="3"/>
      <c r="OXL30" s="3"/>
      <c r="OXM30" s="3"/>
      <c r="OXN30" s="3"/>
      <c r="OXO30" s="3"/>
      <c r="OXP30" s="3"/>
      <c r="OXQ30" s="3"/>
      <c r="OXR30" s="3"/>
      <c r="OXS30" s="3"/>
      <c r="OXT30" s="3"/>
      <c r="OXU30" s="3"/>
      <c r="OXV30" s="3"/>
      <c r="OXW30" s="3"/>
      <c r="OXX30" s="3"/>
      <c r="OXY30" s="3"/>
      <c r="OXZ30" s="3"/>
      <c r="OYA30" s="3"/>
      <c r="OYB30" s="3"/>
      <c r="OYC30" s="3"/>
      <c r="OYD30" s="3"/>
      <c r="OYE30" s="3"/>
      <c r="OYF30" s="3"/>
      <c r="OYG30" s="3"/>
      <c r="OYH30" s="3"/>
      <c r="OYI30" s="3"/>
      <c r="OYJ30" s="3"/>
      <c r="OYK30" s="3"/>
      <c r="OYL30" s="3"/>
      <c r="OYM30" s="3"/>
      <c r="OYN30" s="3"/>
      <c r="OYO30" s="3"/>
      <c r="OYP30" s="3"/>
      <c r="OYQ30" s="3"/>
      <c r="OYR30" s="3"/>
      <c r="OYS30" s="3"/>
      <c r="OYT30" s="3"/>
      <c r="OYU30" s="3"/>
      <c r="OYV30" s="3"/>
      <c r="OYW30" s="3"/>
      <c r="OYX30" s="3"/>
      <c r="OYY30" s="3"/>
      <c r="OYZ30" s="3"/>
      <c r="OZA30" s="3"/>
      <c r="OZB30" s="3"/>
      <c r="OZC30" s="3"/>
      <c r="OZD30" s="3"/>
      <c r="OZE30" s="3"/>
      <c r="OZF30" s="3"/>
      <c r="OZG30" s="3"/>
      <c r="OZH30" s="3"/>
      <c r="OZI30" s="3"/>
      <c r="OZJ30" s="3"/>
      <c r="OZK30" s="3"/>
      <c r="OZL30" s="3"/>
      <c r="OZM30" s="3"/>
      <c r="OZN30" s="3"/>
      <c r="OZO30" s="3"/>
      <c r="OZP30" s="3"/>
      <c r="OZQ30" s="3"/>
      <c r="OZR30" s="3"/>
      <c r="OZS30" s="3"/>
      <c r="OZT30" s="3"/>
      <c r="OZU30" s="3"/>
      <c r="OZV30" s="3"/>
      <c r="OZW30" s="3"/>
      <c r="OZX30" s="3"/>
      <c r="OZY30" s="3"/>
      <c r="OZZ30" s="3"/>
      <c r="PAA30" s="3"/>
      <c r="PAB30" s="3"/>
      <c r="PAC30" s="3"/>
      <c r="PAD30" s="3"/>
      <c r="PAE30" s="3"/>
      <c r="PAF30" s="3"/>
      <c r="PAG30" s="3"/>
      <c r="PAH30" s="3"/>
      <c r="PAI30" s="3"/>
      <c r="PAJ30" s="3"/>
      <c r="PAK30" s="3"/>
      <c r="PAL30" s="3"/>
      <c r="PAM30" s="3"/>
      <c r="PAN30" s="3"/>
      <c r="PAO30" s="3"/>
      <c r="PAP30" s="3"/>
      <c r="PAQ30" s="3"/>
      <c r="PAR30" s="3"/>
      <c r="PAS30" s="3"/>
      <c r="PAT30" s="3"/>
      <c r="PAU30" s="3"/>
      <c r="PAV30" s="3"/>
      <c r="PAW30" s="3"/>
      <c r="PAX30" s="3"/>
      <c r="PAY30" s="3"/>
      <c r="PAZ30" s="3"/>
      <c r="PBA30" s="3"/>
      <c r="PBB30" s="3"/>
      <c r="PBC30" s="3"/>
      <c r="PBD30" s="3"/>
      <c r="PBE30" s="3"/>
      <c r="PBF30" s="3"/>
      <c r="PBG30" s="3"/>
      <c r="PBH30" s="3"/>
      <c r="PBI30" s="3"/>
      <c r="PBJ30" s="3"/>
      <c r="PBK30" s="3"/>
      <c r="PBL30" s="3"/>
      <c r="PBM30" s="3"/>
      <c r="PBN30" s="3"/>
      <c r="PBO30" s="3"/>
      <c r="PBP30" s="3"/>
      <c r="PBQ30" s="3"/>
      <c r="PBR30" s="3"/>
      <c r="PBS30" s="3"/>
      <c r="PBT30" s="3"/>
      <c r="PBU30" s="3"/>
      <c r="PBV30" s="3"/>
      <c r="PBW30" s="3"/>
      <c r="PBX30" s="3"/>
      <c r="PBY30" s="3"/>
      <c r="PBZ30" s="3"/>
      <c r="PCA30" s="3"/>
      <c r="PCB30" s="3"/>
      <c r="PCC30" s="3"/>
      <c r="PCD30" s="3"/>
      <c r="PCE30" s="3"/>
      <c r="PCF30" s="3"/>
      <c r="PCG30" s="3"/>
      <c r="PCH30" s="3"/>
      <c r="PCI30" s="3"/>
      <c r="PCJ30" s="3"/>
      <c r="PCK30" s="3"/>
      <c r="PCL30" s="3"/>
      <c r="PCM30" s="3"/>
      <c r="PCN30" s="3"/>
      <c r="PCO30" s="3"/>
      <c r="PCP30" s="3"/>
      <c r="PCQ30" s="3"/>
      <c r="PCR30" s="3"/>
      <c r="PCS30" s="3"/>
      <c r="PCT30" s="3"/>
      <c r="PCU30" s="3"/>
      <c r="PCV30" s="3"/>
      <c r="PCW30" s="3"/>
      <c r="PCX30" s="3"/>
      <c r="PCY30" s="3"/>
      <c r="PCZ30" s="3"/>
      <c r="PDA30" s="3"/>
      <c r="PDB30" s="3"/>
      <c r="PDC30" s="3"/>
      <c r="PDD30" s="3"/>
      <c r="PDE30" s="3"/>
      <c r="PDF30" s="3"/>
      <c r="PDG30" s="3"/>
      <c r="PDH30" s="3"/>
      <c r="PDI30" s="3"/>
      <c r="PDJ30" s="3"/>
      <c r="PDK30" s="3"/>
      <c r="PDL30" s="3"/>
      <c r="PDM30" s="3"/>
      <c r="PDN30" s="3"/>
      <c r="PDO30" s="3"/>
      <c r="PDP30" s="3"/>
      <c r="PDQ30" s="3"/>
      <c r="PDR30" s="3"/>
      <c r="PDS30" s="3"/>
      <c r="PDT30" s="3"/>
      <c r="PDU30" s="3"/>
      <c r="PDV30" s="3"/>
      <c r="PDW30" s="3"/>
      <c r="PDX30" s="3"/>
      <c r="PDY30" s="3"/>
      <c r="PDZ30" s="3"/>
      <c r="PEA30" s="3"/>
      <c r="PEB30" s="3"/>
      <c r="PEC30" s="3"/>
      <c r="PED30" s="3"/>
      <c r="PEE30" s="3"/>
      <c r="PEF30" s="3"/>
      <c r="PEG30" s="3"/>
      <c r="PEH30" s="3"/>
      <c r="PEI30" s="3"/>
      <c r="PEJ30" s="3"/>
      <c r="PEK30" s="3"/>
      <c r="PEL30" s="3"/>
      <c r="PEM30" s="3"/>
      <c r="PEN30" s="3"/>
      <c r="PEO30" s="3"/>
      <c r="PEP30" s="3"/>
      <c r="PEQ30" s="3"/>
      <c r="PER30" s="3"/>
      <c r="PES30" s="3"/>
      <c r="PET30" s="3"/>
      <c r="PEU30" s="3"/>
      <c r="PEV30" s="3"/>
      <c r="PEW30" s="3"/>
      <c r="PEX30" s="3"/>
      <c r="PEY30" s="3"/>
      <c r="PEZ30" s="3"/>
      <c r="PFA30" s="3"/>
      <c r="PFB30" s="3"/>
      <c r="PFC30" s="3"/>
      <c r="PFD30" s="3"/>
      <c r="PFE30" s="3"/>
      <c r="PFF30" s="3"/>
      <c r="PFG30" s="3"/>
      <c r="PFH30" s="3"/>
      <c r="PFI30" s="3"/>
      <c r="PFJ30" s="3"/>
      <c r="PFK30" s="3"/>
      <c r="PFL30" s="3"/>
      <c r="PFM30" s="3"/>
      <c r="PFN30" s="3"/>
      <c r="PFO30" s="3"/>
      <c r="PFP30" s="3"/>
      <c r="PFQ30" s="3"/>
      <c r="PFR30" s="3"/>
      <c r="PFS30" s="3"/>
      <c r="PFT30" s="3"/>
      <c r="PFU30" s="3"/>
      <c r="PFV30" s="3"/>
      <c r="PFW30" s="3"/>
      <c r="PFX30" s="3"/>
      <c r="PFY30" s="3"/>
      <c r="PFZ30" s="3"/>
      <c r="PGA30" s="3"/>
      <c r="PGB30" s="3"/>
      <c r="PGC30" s="3"/>
      <c r="PGD30" s="3"/>
      <c r="PGE30" s="3"/>
      <c r="PGF30" s="3"/>
      <c r="PGG30" s="3"/>
      <c r="PGH30" s="3"/>
      <c r="PGI30" s="3"/>
      <c r="PGJ30" s="3"/>
      <c r="PGK30" s="3"/>
      <c r="PGL30" s="3"/>
      <c r="PGM30" s="3"/>
      <c r="PGN30" s="3"/>
      <c r="PGO30" s="3"/>
      <c r="PGP30" s="3"/>
      <c r="PGQ30" s="3"/>
      <c r="PGR30" s="3"/>
      <c r="PGS30" s="3"/>
      <c r="PGT30" s="3"/>
      <c r="PGU30" s="3"/>
      <c r="PGV30" s="3"/>
      <c r="PGW30" s="3"/>
      <c r="PGX30" s="3"/>
      <c r="PGY30" s="3"/>
      <c r="PGZ30" s="3"/>
      <c r="PHA30" s="3"/>
      <c r="PHB30" s="3"/>
      <c r="PHC30" s="3"/>
      <c r="PHD30" s="3"/>
      <c r="PHE30" s="3"/>
      <c r="PHF30" s="3"/>
      <c r="PHG30" s="3"/>
      <c r="PHH30" s="3"/>
      <c r="PHI30" s="3"/>
      <c r="PHJ30" s="3"/>
      <c r="PHK30" s="3"/>
      <c r="PHL30" s="3"/>
      <c r="PHM30" s="3"/>
      <c r="PHN30" s="3"/>
      <c r="PHO30" s="3"/>
      <c r="PHP30" s="3"/>
      <c r="PHQ30" s="3"/>
      <c r="PHR30" s="3"/>
      <c r="PHS30" s="3"/>
      <c r="PHT30" s="3"/>
      <c r="PHU30" s="3"/>
      <c r="PHV30" s="3"/>
      <c r="PHW30" s="3"/>
      <c r="PHX30" s="3"/>
      <c r="PHY30" s="3"/>
      <c r="PHZ30" s="3"/>
      <c r="PIA30" s="3"/>
      <c r="PIB30" s="3"/>
      <c r="PIC30" s="3"/>
      <c r="PID30" s="3"/>
      <c r="PIE30" s="3"/>
      <c r="PIF30" s="3"/>
      <c r="PIG30" s="3"/>
      <c r="PIH30" s="3"/>
      <c r="PII30" s="3"/>
      <c r="PIJ30" s="3"/>
      <c r="PIK30" s="3"/>
      <c r="PIL30" s="3"/>
      <c r="PIM30" s="3"/>
      <c r="PIN30" s="3"/>
      <c r="PIO30" s="3"/>
      <c r="PIP30" s="3"/>
      <c r="PIQ30" s="3"/>
      <c r="PIR30" s="3"/>
      <c r="PIS30" s="3"/>
      <c r="PIT30" s="3"/>
      <c r="PIU30" s="3"/>
      <c r="PIV30" s="3"/>
      <c r="PIW30" s="3"/>
      <c r="PIX30" s="3"/>
      <c r="PIY30" s="3"/>
      <c r="PIZ30" s="3"/>
      <c r="PJA30" s="3"/>
      <c r="PJB30" s="3"/>
      <c r="PJC30" s="3"/>
      <c r="PJD30" s="3"/>
      <c r="PJE30" s="3"/>
      <c r="PJF30" s="3"/>
      <c r="PJG30" s="3"/>
      <c r="PJH30" s="3"/>
      <c r="PJI30" s="3"/>
      <c r="PJJ30" s="3"/>
      <c r="PJK30" s="3"/>
      <c r="PJL30" s="3"/>
      <c r="PJM30" s="3"/>
      <c r="PJN30" s="3"/>
      <c r="PJO30" s="3"/>
      <c r="PJP30" s="3"/>
      <c r="PJQ30" s="3"/>
      <c r="PJR30" s="3"/>
      <c r="PJS30" s="3"/>
      <c r="PJT30" s="3"/>
      <c r="PJU30" s="3"/>
      <c r="PJV30" s="3"/>
      <c r="PJW30" s="3"/>
      <c r="PJX30" s="3"/>
      <c r="PJY30" s="3"/>
      <c r="PJZ30" s="3"/>
      <c r="PKA30" s="3"/>
      <c r="PKB30" s="3"/>
      <c r="PKC30" s="3"/>
      <c r="PKD30" s="3"/>
      <c r="PKE30" s="3"/>
      <c r="PKF30" s="3"/>
      <c r="PKG30" s="3"/>
      <c r="PKH30" s="3"/>
      <c r="PKI30" s="3"/>
      <c r="PKJ30" s="3"/>
      <c r="PKK30" s="3"/>
      <c r="PKL30" s="3"/>
      <c r="PKM30" s="3"/>
      <c r="PKN30" s="3"/>
      <c r="PKO30" s="3"/>
      <c r="PKP30" s="3"/>
      <c r="PKQ30" s="3"/>
      <c r="PKR30" s="3"/>
      <c r="PKS30" s="3"/>
      <c r="PKT30" s="3"/>
      <c r="PKU30" s="3"/>
      <c r="PKV30" s="3"/>
      <c r="PKW30" s="3"/>
      <c r="PKX30" s="3"/>
      <c r="PKY30" s="3"/>
      <c r="PKZ30" s="3"/>
      <c r="PLA30" s="3"/>
      <c r="PLB30" s="3"/>
      <c r="PLC30" s="3"/>
      <c r="PLD30" s="3"/>
      <c r="PLE30" s="3"/>
      <c r="PLF30" s="3"/>
      <c r="PLG30" s="3"/>
      <c r="PLH30" s="3"/>
      <c r="PLI30" s="3"/>
      <c r="PLJ30" s="3"/>
      <c r="PLK30" s="3"/>
      <c r="PLL30" s="3"/>
      <c r="PLM30" s="3"/>
      <c r="PLN30" s="3"/>
      <c r="PLO30" s="3"/>
      <c r="PLP30" s="3"/>
      <c r="PLQ30" s="3"/>
      <c r="PLR30" s="3"/>
      <c r="PLS30" s="3"/>
      <c r="PLT30" s="3"/>
      <c r="PLU30" s="3"/>
      <c r="PLV30" s="3"/>
      <c r="PLW30" s="3"/>
      <c r="PLX30" s="3"/>
      <c r="PLY30" s="3"/>
      <c r="PLZ30" s="3"/>
      <c r="PMA30" s="3"/>
      <c r="PMB30" s="3"/>
      <c r="PMC30" s="3"/>
      <c r="PMD30" s="3"/>
      <c r="PME30" s="3"/>
      <c r="PMF30" s="3"/>
      <c r="PMG30" s="3"/>
      <c r="PMH30" s="3"/>
      <c r="PMI30" s="3"/>
      <c r="PMJ30" s="3"/>
      <c r="PMK30" s="3"/>
      <c r="PML30" s="3"/>
      <c r="PMM30" s="3"/>
      <c r="PMN30" s="3"/>
      <c r="PMO30" s="3"/>
      <c r="PMP30" s="3"/>
      <c r="PMQ30" s="3"/>
      <c r="PMR30" s="3"/>
      <c r="PMS30" s="3"/>
      <c r="PMT30" s="3"/>
      <c r="PMU30" s="3"/>
      <c r="PMV30" s="3"/>
      <c r="PMW30" s="3"/>
      <c r="PMX30" s="3"/>
      <c r="PMY30" s="3"/>
      <c r="PMZ30" s="3"/>
      <c r="PNA30" s="3"/>
      <c r="PNB30" s="3"/>
      <c r="PNC30" s="3"/>
      <c r="PND30" s="3"/>
      <c r="PNE30" s="3"/>
      <c r="PNF30" s="3"/>
      <c r="PNG30" s="3"/>
      <c r="PNH30" s="3"/>
      <c r="PNI30" s="3"/>
      <c r="PNJ30" s="3"/>
      <c r="PNK30" s="3"/>
      <c r="PNL30" s="3"/>
      <c r="PNM30" s="3"/>
      <c r="PNN30" s="3"/>
      <c r="PNO30" s="3"/>
      <c r="PNP30" s="3"/>
      <c r="PNQ30" s="3"/>
      <c r="PNR30" s="3"/>
      <c r="PNS30" s="3"/>
      <c r="PNT30" s="3"/>
      <c r="PNU30" s="3"/>
      <c r="PNV30" s="3"/>
      <c r="PNW30" s="3"/>
      <c r="PNX30" s="3"/>
      <c r="PNY30" s="3"/>
      <c r="PNZ30" s="3"/>
      <c r="POA30" s="3"/>
      <c r="POB30" s="3"/>
      <c r="POC30" s="3"/>
      <c r="POD30" s="3"/>
      <c r="POE30" s="3"/>
      <c r="POF30" s="3"/>
      <c r="POG30" s="3"/>
      <c r="POH30" s="3"/>
      <c r="POI30" s="3"/>
      <c r="POJ30" s="3"/>
      <c r="POK30" s="3"/>
      <c r="POL30" s="3"/>
      <c r="POM30" s="3"/>
      <c r="PON30" s="3"/>
      <c r="POO30" s="3"/>
      <c r="POP30" s="3"/>
      <c r="POQ30" s="3"/>
      <c r="POR30" s="3"/>
      <c r="POS30" s="3"/>
      <c r="POT30" s="3"/>
      <c r="POU30" s="3"/>
      <c r="POV30" s="3"/>
      <c r="POW30" s="3"/>
      <c r="POX30" s="3"/>
      <c r="POY30" s="3"/>
      <c r="POZ30" s="3"/>
      <c r="PPA30" s="3"/>
      <c r="PPB30" s="3"/>
      <c r="PPC30" s="3"/>
      <c r="PPD30" s="3"/>
      <c r="PPE30" s="3"/>
      <c r="PPF30" s="3"/>
      <c r="PPG30" s="3"/>
      <c r="PPH30" s="3"/>
      <c r="PPI30" s="3"/>
      <c r="PPJ30" s="3"/>
      <c r="PPK30" s="3"/>
      <c r="PPL30" s="3"/>
      <c r="PPM30" s="3"/>
      <c r="PPN30" s="3"/>
      <c r="PPO30" s="3"/>
      <c r="PPP30" s="3"/>
      <c r="PPQ30" s="3"/>
      <c r="PPR30" s="3"/>
      <c r="PPS30" s="3"/>
      <c r="PPT30" s="3"/>
      <c r="PPU30" s="3"/>
      <c r="PPV30" s="3"/>
      <c r="PPW30" s="3"/>
      <c r="PPX30" s="3"/>
      <c r="PPY30" s="3"/>
      <c r="PPZ30" s="3"/>
      <c r="PQA30" s="3"/>
      <c r="PQB30" s="3"/>
      <c r="PQC30" s="3"/>
      <c r="PQD30" s="3"/>
      <c r="PQE30" s="3"/>
      <c r="PQF30" s="3"/>
      <c r="PQG30" s="3"/>
      <c r="PQH30" s="3"/>
      <c r="PQI30" s="3"/>
      <c r="PQJ30" s="3"/>
      <c r="PQK30" s="3"/>
      <c r="PQL30" s="3"/>
      <c r="PQM30" s="3"/>
      <c r="PQN30" s="3"/>
      <c r="PQO30" s="3"/>
      <c r="PQP30" s="3"/>
      <c r="PQQ30" s="3"/>
      <c r="PQR30" s="3"/>
      <c r="PQS30" s="3"/>
      <c r="PQT30" s="3"/>
      <c r="PQU30" s="3"/>
      <c r="PQV30" s="3"/>
      <c r="PQW30" s="3"/>
      <c r="PQX30" s="3"/>
      <c r="PQY30" s="3"/>
      <c r="PQZ30" s="3"/>
      <c r="PRA30" s="3"/>
      <c r="PRB30" s="3"/>
      <c r="PRC30" s="3"/>
      <c r="PRD30" s="3"/>
      <c r="PRE30" s="3"/>
      <c r="PRF30" s="3"/>
      <c r="PRG30" s="3"/>
      <c r="PRH30" s="3"/>
      <c r="PRI30" s="3"/>
      <c r="PRJ30" s="3"/>
      <c r="PRK30" s="3"/>
      <c r="PRL30" s="3"/>
      <c r="PRM30" s="3"/>
      <c r="PRN30" s="3"/>
      <c r="PRO30" s="3"/>
      <c r="PRP30" s="3"/>
      <c r="PRQ30" s="3"/>
      <c r="PRR30" s="3"/>
      <c r="PRS30" s="3"/>
      <c r="PRT30" s="3"/>
      <c r="PRU30" s="3"/>
      <c r="PRV30" s="3"/>
      <c r="PRW30" s="3"/>
      <c r="PRX30" s="3"/>
      <c r="PRY30" s="3"/>
      <c r="PRZ30" s="3"/>
      <c r="PSA30" s="3"/>
      <c r="PSB30" s="3"/>
      <c r="PSC30" s="3"/>
      <c r="PSD30" s="3"/>
      <c r="PSE30" s="3"/>
      <c r="PSF30" s="3"/>
      <c r="PSG30" s="3"/>
      <c r="PSH30" s="3"/>
      <c r="PSI30" s="3"/>
      <c r="PSJ30" s="3"/>
      <c r="PSK30" s="3"/>
      <c r="PSL30" s="3"/>
      <c r="PSM30" s="3"/>
      <c r="PSN30" s="3"/>
      <c r="PSO30" s="3"/>
      <c r="PSP30" s="3"/>
      <c r="PSQ30" s="3"/>
      <c r="PSR30" s="3"/>
      <c r="PSS30" s="3"/>
      <c r="PST30" s="3"/>
      <c r="PSU30" s="3"/>
      <c r="PSV30" s="3"/>
      <c r="PSW30" s="3"/>
      <c r="PSX30" s="3"/>
      <c r="PSY30" s="3"/>
      <c r="PSZ30" s="3"/>
      <c r="PTA30" s="3"/>
      <c r="PTB30" s="3"/>
      <c r="PTC30" s="3"/>
      <c r="PTD30" s="3"/>
      <c r="PTE30" s="3"/>
      <c r="PTF30" s="3"/>
      <c r="PTG30" s="3"/>
      <c r="PTH30" s="3"/>
      <c r="PTI30" s="3"/>
      <c r="PTJ30" s="3"/>
      <c r="PTK30" s="3"/>
      <c r="PTL30" s="3"/>
      <c r="PTM30" s="3"/>
      <c r="PTN30" s="3"/>
      <c r="PTO30" s="3"/>
      <c r="PTP30" s="3"/>
      <c r="PTQ30" s="3"/>
      <c r="PTR30" s="3"/>
      <c r="PTS30" s="3"/>
      <c r="PTT30" s="3"/>
      <c r="PTU30" s="3"/>
      <c r="PTV30" s="3"/>
      <c r="PTW30" s="3"/>
      <c r="PTX30" s="3"/>
      <c r="PTY30" s="3"/>
      <c r="PTZ30" s="3"/>
      <c r="PUA30" s="3"/>
      <c r="PUB30" s="3"/>
      <c r="PUC30" s="3"/>
      <c r="PUD30" s="3"/>
      <c r="PUE30" s="3"/>
      <c r="PUF30" s="3"/>
      <c r="PUG30" s="3"/>
      <c r="PUH30" s="3"/>
      <c r="PUI30" s="3"/>
      <c r="PUJ30" s="3"/>
      <c r="PUK30" s="3"/>
      <c r="PUL30" s="3"/>
      <c r="PUM30" s="3"/>
      <c r="PUN30" s="3"/>
      <c r="PUO30" s="3"/>
      <c r="PUP30" s="3"/>
      <c r="PUQ30" s="3"/>
      <c r="PUR30" s="3"/>
      <c r="PUS30" s="3"/>
      <c r="PUT30" s="3"/>
      <c r="PUU30" s="3"/>
      <c r="PUV30" s="3"/>
      <c r="PUW30" s="3"/>
      <c r="PUX30" s="3"/>
      <c r="PUY30" s="3"/>
      <c r="PUZ30" s="3"/>
      <c r="PVA30" s="3"/>
      <c r="PVB30" s="3"/>
      <c r="PVC30" s="3"/>
      <c r="PVD30" s="3"/>
      <c r="PVE30" s="3"/>
      <c r="PVF30" s="3"/>
      <c r="PVG30" s="3"/>
      <c r="PVH30" s="3"/>
      <c r="PVI30" s="3"/>
      <c r="PVJ30" s="3"/>
      <c r="PVK30" s="3"/>
      <c r="PVL30" s="3"/>
      <c r="PVM30" s="3"/>
      <c r="PVN30" s="3"/>
      <c r="PVO30" s="3"/>
      <c r="PVP30" s="3"/>
      <c r="PVQ30" s="3"/>
      <c r="PVR30" s="3"/>
      <c r="PVS30" s="3"/>
      <c r="PVT30" s="3"/>
      <c r="PVU30" s="3"/>
      <c r="PVV30" s="3"/>
      <c r="PVW30" s="3"/>
      <c r="PVX30" s="3"/>
      <c r="PVY30" s="3"/>
      <c r="PVZ30" s="3"/>
      <c r="PWA30" s="3"/>
      <c r="PWB30" s="3"/>
      <c r="PWC30" s="3"/>
      <c r="PWD30" s="3"/>
      <c r="PWE30" s="3"/>
      <c r="PWF30" s="3"/>
      <c r="PWG30" s="3"/>
      <c r="PWH30" s="3"/>
      <c r="PWI30" s="3"/>
      <c r="PWJ30" s="3"/>
      <c r="PWK30" s="3"/>
      <c r="PWL30" s="3"/>
      <c r="PWM30" s="3"/>
      <c r="PWN30" s="3"/>
      <c r="PWO30" s="3"/>
      <c r="PWP30" s="3"/>
      <c r="PWQ30" s="3"/>
      <c r="PWR30" s="3"/>
      <c r="PWS30" s="3"/>
      <c r="PWT30" s="3"/>
      <c r="PWU30" s="3"/>
      <c r="PWV30" s="3"/>
      <c r="PWW30" s="3"/>
      <c r="PWX30" s="3"/>
      <c r="PWY30" s="3"/>
      <c r="PWZ30" s="3"/>
      <c r="PXA30" s="3"/>
      <c r="PXB30" s="3"/>
      <c r="PXC30" s="3"/>
      <c r="PXD30" s="3"/>
      <c r="PXE30" s="3"/>
      <c r="PXF30" s="3"/>
      <c r="PXG30" s="3"/>
      <c r="PXH30" s="3"/>
      <c r="PXI30" s="3"/>
      <c r="PXJ30" s="3"/>
      <c r="PXK30" s="3"/>
      <c r="PXL30" s="3"/>
      <c r="PXM30" s="3"/>
      <c r="PXN30" s="3"/>
      <c r="PXO30" s="3"/>
      <c r="PXP30" s="3"/>
      <c r="PXQ30" s="3"/>
      <c r="PXR30" s="3"/>
      <c r="PXS30" s="3"/>
      <c r="PXT30" s="3"/>
      <c r="PXU30" s="3"/>
      <c r="PXV30" s="3"/>
      <c r="PXW30" s="3"/>
      <c r="PXX30" s="3"/>
      <c r="PXY30" s="3"/>
      <c r="PXZ30" s="3"/>
      <c r="PYA30" s="3"/>
      <c r="PYB30" s="3"/>
      <c r="PYC30" s="3"/>
      <c r="PYD30" s="3"/>
      <c r="PYE30" s="3"/>
      <c r="PYF30" s="3"/>
      <c r="PYG30" s="3"/>
      <c r="PYH30" s="3"/>
      <c r="PYI30" s="3"/>
      <c r="PYJ30" s="3"/>
      <c r="PYK30" s="3"/>
      <c r="PYL30" s="3"/>
      <c r="PYM30" s="3"/>
      <c r="PYN30" s="3"/>
      <c r="PYO30" s="3"/>
      <c r="PYP30" s="3"/>
      <c r="PYQ30" s="3"/>
      <c r="PYR30" s="3"/>
      <c r="PYS30" s="3"/>
      <c r="PYT30" s="3"/>
      <c r="PYU30" s="3"/>
      <c r="PYV30" s="3"/>
      <c r="PYW30" s="3"/>
      <c r="PYX30" s="3"/>
      <c r="PYY30" s="3"/>
      <c r="PYZ30" s="3"/>
      <c r="PZA30" s="3"/>
      <c r="PZB30" s="3"/>
      <c r="PZC30" s="3"/>
      <c r="PZD30" s="3"/>
      <c r="PZE30" s="3"/>
      <c r="PZF30" s="3"/>
      <c r="PZG30" s="3"/>
      <c r="PZH30" s="3"/>
      <c r="PZI30" s="3"/>
      <c r="PZJ30" s="3"/>
      <c r="PZK30" s="3"/>
      <c r="PZL30" s="3"/>
      <c r="PZM30" s="3"/>
      <c r="PZN30" s="3"/>
      <c r="PZO30" s="3"/>
      <c r="PZP30" s="3"/>
      <c r="PZQ30" s="3"/>
      <c r="PZR30" s="3"/>
      <c r="PZS30" s="3"/>
      <c r="PZT30" s="3"/>
      <c r="PZU30" s="3"/>
      <c r="PZV30" s="3"/>
      <c r="PZW30" s="3"/>
      <c r="PZX30" s="3"/>
      <c r="PZY30" s="3"/>
      <c r="PZZ30" s="3"/>
      <c r="QAA30" s="3"/>
      <c r="QAB30" s="3"/>
      <c r="QAC30" s="3"/>
      <c r="QAD30" s="3"/>
      <c r="QAE30" s="3"/>
      <c r="QAF30" s="3"/>
      <c r="QAG30" s="3"/>
      <c r="QAH30" s="3"/>
      <c r="QAI30" s="3"/>
      <c r="QAJ30" s="3"/>
      <c r="QAK30" s="3"/>
      <c r="QAL30" s="3"/>
      <c r="QAM30" s="3"/>
      <c r="QAN30" s="3"/>
      <c r="QAO30" s="3"/>
      <c r="QAP30" s="3"/>
      <c r="QAQ30" s="3"/>
      <c r="QAR30" s="3"/>
      <c r="QAS30" s="3"/>
      <c r="QAT30" s="3"/>
      <c r="QAU30" s="3"/>
      <c r="QAV30" s="3"/>
      <c r="QAW30" s="3"/>
      <c r="QAX30" s="3"/>
      <c r="QAY30" s="3"/>
      <c r="QAZ30" s="3"/>
      <c r="QBA30" s="3"/>
      <c r="QBB30" s="3"/>
      <c r="QBC30" s="3"/>
      <c r="QBD30" s="3"/>
      <c r="QBE30" s="3"/>
      <c r="QBF30" s="3"/>
      <c r="QBG30" s="3"/>
      <c r="QBH30" s="3"/>
      <c r="QBI30" s="3"/>
      <c r="QBJ30" s="3"/>
      <c r="QBK30" s="3"/>
      <c r="QBL30" s="3"/>
      <c r="QBM30" s="3"/>
      <c r="QBN30" s="3"/>
      <c r="QBO30" s="3"/>
      <c r="QBP30" s="3"/>
      <c r="QBQ30" s="3"/>
      <c r="QBR30" s="3"/>
      <c r="QBS30" s="3"/>
      <c r="QBT30" s="3"/>
      <c r="QBU30" s="3"/>
      <c r="QBV30" s="3"/>
      <c r="QBW30" s="3"/>
      <c r="QBX30" s="3"/>
      <c r="QBY30" s="3"/>
      <c r="QBZ30" s="3"/>
      <c r="QCA30" s="3"/>
      <c r="QCB30" s="3"/>
      <c r="QCC30" s="3"/>
      <c r="QCD30" s="3"/>
      <c r="QCE30" s="3"/>
      <c r="QCF30" s="3"/>
      <c r="QCG30" s="3"/>
      <c r="QCH30" s="3"/>
      <c r="QCI30" s="3"/>
      <c r="QCJ30" s="3"/>
      <c r="QCK30" s="3"/>
      <c r="QCL30" s="3"/>
      <c r="QCM30" s="3"/>
      <c r="QCN30" s="3"/>
      <c r="QCO30" s="3"/>
      <c r="QCP30" s="3"/>
      <c r="QCQ30" s="3"/>
      <c r="QCR30" s="3"/>
      <c r="QCS30" s="3"/>
      <c r="QCT30" s="3"/>
      <c r="QCU30" s="3"/>
      <c r="QCV30" s="3"/>
      <c r="QCW30" s="3"/>
      <c r="QCX30" s="3"/>
      <c r="QCY30" s="3"/>
      <c r="QCZ30" s="3"/>
      <c r="QDA30" s="3"/>
      <c r="QDB30" s="3"/>
      <c r="QDC30" s="3"/>
      <c r="QDD30" s="3"/>
      <c r="QDE30" s="3"/>
      <c r="QDF30" s="3"/>
      <c r="QDG30" s="3"/>
      <c r="QDH30" s="3"/>
      <c r="QDI30" s="3"/>
      <c r="QDJ30" s="3"/>
      <c r="QDK30" s="3"/>
      <c r="QDL30" s="3"/>
      <c r="QDM30" s="3"/>
      <c r="QDN30" s="3"/>
      <c r="QDO30" s="3"/>
      <c r="QDP30" s="3"/>
      <c r="QDQ30" s="3"/>
      <c r="QDR30" s="3"/>
      <c r="QDS30" s="3"/>
      <c r="QDT30" s="3"/>
      <c r="QDU30" s="3"/>
      <c r="QDV30" s="3"/>
      <c r="QDW30" s="3"/>
      <c r="QDX30" s="3"/>
      <c r="QDY30" s="3"/>
      <c r="QDZ30" s="3"/>
      <c r="QEA30" s="3"/>
      <c r="QEB30" s="3"/>
      <c r="QEC30" s="3"/>
      <c r="QED30" s="3"/>
      <c r="QEE30" s="3"/>
      <c r="QEF30" s="3"/>
      <c r="QEG30" s="3"/>
      <c r="QEH30" s="3"/>
      <c r="QEI30" s="3"/>
      <c r="QEJ30" s="3"/>
      <c r="QEK30" s="3"/>
      <c r="QEL30" s="3"/>
      <c r="QEM30" s="3"/>
      <c r="QEN30" s="3"/>
      <c r="QEO30" s="3"/>
      <c r="QEP30" s="3"/>
      <c r="QEQ30" s="3"/>
      <c r="QER30" s="3"/>
      <c r="QES30" s="3"/>
      <c r="QET30" s="3"/>
      <c r="QEU30" s="3"/>
      <c r="QEV30" s="3"/>
      <c r="QEW30" s="3"/>
      <c r="QEX30" s="3"/>
      <c r="QEY30" s="3"/>
      <c r="QEZ30" s="3"/>
      <c r="QFA30" s="3"/>
      <c r="QFB30" s="3"/>
      <c r="QFC30" s="3"/>
      <c r="QFD30" s="3"/>
      <c r="QFE30" s="3"/>
      <c r="QFF30" s="3"/>
      <c r="QFG30" s="3"/>
      <c r="QFH30" s="3"/>
      <c r="QFI30" s="3"/>
      <c r="QFJ30" s="3"/>
      <c r="QFK30" s="3"/>
      <c r="QFL30" s="3"/>
      <c r="QFM30" s="3"/>
      <c r="QFN30" s="3"/>
      <c r="QFO30" s="3"/>
      <c r="QFP30" s="3"/>
      <c r="QFQ30" s="3"/>
      <c r="QFR30" s="3"/>
      <c r="QFS30" s="3"/>
      <c r="QFT30" s="3"/>
      <c r="QFU30" s="3"/>
      <c r="QFV30" s="3"/>
      <c r="QFW30" s="3"/>
      <c r="QFX30" s="3"/>
      <c r="QFY30" s="3"/>
      <c r="QFZ30" s="3"/>
      <c r="QGA30" s="3"/>
      <c r="QGB30" s="3"/>
      <c r="QGC30" s="3"/>
      <c r="QGD30" s="3"/>
      <c r="QGE30" s="3"/>
      <c r="QGF30" s="3"/>
      <c r="QGG30" s="3"/>
      <c r="QGH30" s="3"/>
      <c r="QGI30" s="3"/>
      <c r="QGJ30" s="3"/>
      <c r="QGK30" s="3"/>
      <c r="QGL30" s="3"/>
      <c r="QGM30" s="3"/>
      <c r="QGN30" s="3"/>
      <c r="QGO30" s="3"/>
      <c r="QGP30" s="3"/>
      <c r="QGQ30" s="3"/>
      <c r="QGR30" s="3"/>
      <c r="QGS30" s="3"/>
      <c r="QGT30" s="3"/>
      <c r="QGU30" s="3"/>
      <c r="QGV30" s="3"/>
      <c r="QGW30" s="3"/>
      <c r="QGX30" s="3"/>
      <c r="QGY30" s="3"/>
      <c r="QGZ30" s="3"/>
      <c r="QHA30" s="3"/>
      <c r="QHB30" s="3"/>
      <c r="QHC30" s="3"/>
      <c r="QHD30" s="3"/>
      <c r="QHE30" s="3"/>
      <c r="QHF30" s="3"/>
      <c r="QHG30" s="3"/>
      <c r="QHH30" s="3"/>
      <c r="QHI30" s="3"/>
      <c r="QHJ30" s="3"/>
      <c r="QHK30" s="3"/>
      <c r="QHL30" s="3"/>
      <c r="QHM30" s="3"/>
      <c r="QHN30" s="3"/>
      <c r="QHO30" s="3"/>
      <c r="QHP30" s="3"/>
      <c r="QHQ30" s="3"/>
      <c r="QHR30" s="3"/>
      <c r="QHS30" s="3"/>
      <c r="QHT30" s="3"/>
      <c r="QHU30" s="3"/>
      <c r="QHV30" s="3"/>
      <c r="QHW30" s="3"/>
      <c r="QHX30" s="3"/>
      <c r="QHY30" s="3"/>
      <c r="QHZ30" s="3"/>
      <c r="QIA30" s="3"/>
      <c r="QIB30" s="3"/>
      <c r="QIC30" s="3"/>
      <c r="QID30" s="3"/>
      <c r="QIE30" s="3"/>
      <c r="QIF30" s="3"/>
      <c r="QIG30" s="3"/>
      <c r="QIH30" s="3"/>
      <c r="QII30" s="3"/>
      <c r="QIJ30" s="3"/>
      <c r="QIK30" s="3"/>
      <c r="QIL30" s="3"/>
      <c r="QIM30" s="3"/>
      <c r="QIN30" s="3"/>
      <c r="QIO30" s="3"/>
      <c r="QIP30" s="3"/>
      <c r="QIQ30" s="3"/>
      <c r="QIR30" s="3"/>
      <c r="QIS30" s="3"/>
      <c r="QIT30" s="3"/>
      <c r="QIU30" s="3"/>
      <c r="QIV30" s="3"/>
      <c r="QIW30" s="3"/>
      <c r="QIX30" s="3"/>
      <c r="QIY30" s="3"/>
      <c r="QIZ30" s="3"/>
      <c r="QJA30" s="3"/>
      <c r="QJB30" s="3"/>
      <c r="QJC30" s="3"/>
      <c r="QJD30" s="3"/>
      <c r="QJE30" s="3"/>
      <c r="QJF30" s="3"/>
      <c r="QJG30" s="3"/>
      <c r="QJH30" s="3"/>
      <c r="QJI30" s="3"/>
      <c r="QJJ30" s="3"/>
      <c r="QJK30" s="3"/>
      <c r="QJL30" s="3"/>
      <c r="QJM30" s="3"/>
      <c r="QJN30" s="3"/>
      <c r="QJO30" s="3"/>
      <c r="QJP30" s="3"/>
      <c r="QJQ30" s="3"/>
      <c r="QJR30" s="3"/>
      <c r="QJS30" s="3"/>
      <c r="QJT30" s="3"/>
      <c r="QJU30" s="3"/>
      <c r="QJV30" s="3"/>
      <c r="QJW30" s="3"/>
      <c r="QJX30" s="3"/>
      <c r="QJY30" s="3"/>
      <c r="QJZ30" s="3"/>
      <c r="QKA30" s="3"/>
      <c r="QKB30" s="3"/>
      <c r="QKC30" s="3"/>
      <c r="QKD30" s="3"/>
      <c r="QKE30" s="3"/>
      <c r="QKF30" s="3"/>
      <c r="QKG30" s="3"/>
      <c r="QKH30" s="3"/>
      <c r="QKI30" s="3"/>
      <c r="QKJ30" s="3"/>
      <c r="QKK30" s="3"/>
      <c r="QKL30" s="3"/>
      <c r="QKM30" s="3"/>
      <c r="QKN30" s="3"/>
      <c r="QKO30" s="3"/>
      <c r="QKP30" s="3"/>
      <c r="QKQ30" s="3"/>
      <c r="QKR30" s="3"/>
      <c r="QKS30" s="3"/>
      <c r="QKT30" s="3"/>
      <c r="QKU30" s="3"/>
      <c r="QKV30" s="3"/>
      <c r="QKW30" s="3"/>
      <c r="QKX30" s="3"/>
      <c r="QKY30" s="3"/>
      <c r="QKZ30" s="3"/>
      <c r="QLA30" s="3"/>
      <c r="QLB30" s="3"/>
      <c r="QLC30" s="3"/>
      <c r="QLD30" s="3"/>
      <c r="QLE30" s="3"/>
      <c r="QLF30" s="3"/>
      <c r="QLG30" s="3"/>
      <c r="QLH30" s="3"/>
      <c r="QLI30" s="3"/>
      <c r="QLJ30" s="3"/>
      <c r="QLK30" s="3"/>
      <c r="QLL30" s="3"/>
      <c r="QLM30" s="3"/>
      <c r="QLN30" s="3"/>
      <c r="QLO30" s="3"/>
      <c r="QLP30" s="3"/>
      <c r="QLQ30" s="3"/>
      <c r="QLR30" s="3"/>
      <c r="QLS30" s="3"/>
      <c r="QLT30" s="3"/>
      <c r="QLU30" s="3"/>
      <c r="QLV30" s="3"/>
      <c r="QLW30" s="3"/>
      <c r="QLX30" s="3"/>
      <c r="QLY30" s="3"/>
      <c r="QLZ30" s="3"/>
      <c r="QMA30" s="3"/>
      <c r="QMB30" s="3"/>
      <c r="QMC30" s="3"/>
      <c r="QMD30" s="3"/>
      <c r="QME30" s="3"/>
      <c r="QMF30" s="3"/>
      <c r="QMG30" s="3"/>
      <c r="QMH30" s="3"/>
      <c r="QMI30" s="3"/>
      <c r="QMJ30" s="3"/>
      <c r="QMK30" s="3"/>
      <c r="QML30" s="3"/>
      <c r="QMM30" s="3"/>
      <c r="QMN30" s="3"/>
      <c r="QMO30" s="3"/>
      <c r="QMP30" s="3"/>
      <c r="QMQ30" s="3"/>
      <c r="QMR30" s="3"/>
      <c r="QMS30" s="3"/>
      <c r="QMT30" s="3"/>
      <c r="QMU30" s="3"/>
      <c r="QMV30" s="3"/>
      <c r="QMW30" s="3"/>
      <c r="QMX30" s="3"/>
      <c r="QMY30" s="3"/>
      <c r="QMZ30" s="3"/>
      <c r="QNA30" s="3"/>
      <c r="QNB30" s="3"/>
      <c r="QNC30" s="3"/>
      <c r="QND30" s="3"/>
      <c r="QNE30" s="3"/>
      <c r="QNF30" s="3"/>
      <c r="QNG30" s="3"/>
      <c r="QNH30" s="3"/>
      <c r="QNI30" s="3"/>
      <c r="QNJ30" s="3"/>
      <c r="QNK30" s="3"/>
      <c r="QNL30" s="3"/>
      <c r="QNM30" s="3"/>
      <c r="QNN30" s="3"/>
      <c r="QNO30" s="3"/>
      <c r="QNP30" s="3"/>
      <c r="QNQ30" s="3"/>
      <c r="QNR30" s="3"/>
      <c r="QNS30" s="3"/>
      <c r="QNT30" s="3"/>
      <c r="QNU30" s="3"/>
      <c r="QNV30" s="3"/>
      <c r="QNW30" s="3"/>
      <c r="QNX30" s="3"/>
      <c r="QNY30" s="3"/>
      <c r="QNZ30" s="3"/>
      <c r="QOA30" s="3"/>
      <c r="QOB30" s="3"/>
      <c r="QOC30" s="3"/>
      <c r="QOD30" s="3"/>
      <c r="QOE30" s="3"/>
      <c r="QOF30" s="3"/>
      <c r="QOG30" s="3"/>
      <c r="QOH30" s="3"/>
      <c r="QOI30" s="3"/>
      <c r="QOJ30" s="3"/>
      <c r="QOK30" s="3"/>
      <c r="QOL30" s="3"/>
      <c r="QOM30" s="3"/>
      <c r="QON30" s="3"/>
      <c r="QOO30" s="3"/>
      <c r="QOP30" s="3"/>
      <c r="QOQ30" s="3"/>
      <c r="QOR30" s="3"/>
      <c r="QOS30" s="3"/>
      <c r="QOT30" s="3"/>
      <c r="QOU30" s="3"/>
      <c r="QOV30" s="3"/>
      <c r="QOW30" s="3"/>
      <c r="QOX30" s="3"/>
      <c r="QOY30" s="3"/>
      <c r="QOZ30" s="3"/>
      <c r="QPA30" s="3"/>
      <c r="QPB30" s="3"/>
      <c r="QPC30" s="3"/>
      <c r="QPD30" s="3"/>
      <c r="QPE30" s="3"/>
      <c r="QPF30" s="3"/>
      <c r="QPG30" s="3"/>
      <c r="QPH30" s="3"/>
      <c r="QPI30" s="3"/>
      <c r="QPJ30" s="3"/>
      <c r="QPK30" s="3"/>
      <c r="QPL30" s="3"/>
      <c r="QPM30" s="3"/>
      <c r="QPN30" s="3"/>
      <c r="QPO30" s="3"/>
      <c r="QPP30" s="3"/>
      <c r="QPQ30" s="3"/>
      <c r="QPR30" s="3"/>
      <c r="QPS30" s="3"/>
      <c r="QPT30" s="3"/>
      <c r="QPU30" s="3"/>
      <c r="QPV30" s="3"/>
      <c r="QPW30" s="3"/>
      <c r="QPX30" s="3"/>
      <c r="QPY30" s="3"/>
      <c r="QPZ30" s="3"/>
      <c r="QQA30" s="3"/>
      <c r="QQB30" s="3"/>
      <c r="QQC30" s="3"/>
      <c r="QQD30" s="3"/>
      <c r="QQE30" s="3"/>
      <c r="QQF30" s="3"/>
      <c r="QQG30" s="3"/>
      <c r="QQH30" s="3"/>
      <c r="QQI30" s="3"/>
      <c r="QQJ30" s="3"/>
      <c r="QQK30" s="3"/>
      <c r="QQL30" s="3"/>
      <c r="QQM30" s="3"/>
      <c r="QQN30" s="3"/>
      <c r="QQO30" s="3"/>
      <c r="QQP30" s="3"/>
      <c r="QQQ30" s="3"/>
      <c r="QQR30" s="3"/>
      <c r="QQS30" s="3"/>
      <c r="QQT30" s="3"/>
      <c r="QQU30" s="3"/>
      <c r="QQV30" s="3"/>
      <c r="QQW30" s="3"/>
      <c r="QQX30" s="3"/>
      <c r="QQY30" s="3"/>
      <c r="QQZ30" s="3"/>
      <c r="QRA30" s="3"/>
      <c r="QRB30" s="3"/>
      <c r="QRC30" s="3"/>
      <c r="QRD30" s="3"/>
      <c r="QRE30" s="3"/>
      <c r="QRF30" s="3"/>
      <c r="QRG30" s="3"/>
      <c r="QRH30" s="3"/>
      <c r="QRI30" s="3"/>
      <c r="QRJ30" s="3"/>
      <c r="QRK30" s="3"/>
      <c r="QRL30" s="3"/>
      <c r="QRM30" s="3"/>
      <c r="QRN30" s="3"/>
      <c r="QRO30" s="3"/>
      <c r="QRP30" s="3"/>
      <c r="QRQ30" s="3"/>
      <c r="QRR30" s="3"/>
      <c r="QRS30" s="3"/>
      <c r="QRT30" s="3"/>
      <c r="QRU30" s="3"/>
      <c r="QRV30" s="3"/>
      <c r="QRW30" s="3"/>
      <c r="QRX30" s="3"/>
      <c r="QRY30" s="3"/>
      <c r="QRZ30" s="3"/>
      <c r="QSA30" s="3"/>
      <c r="QSB30" s="3"/>
      <c r="QSC30" s="3"/>
      <c r="QSD30" s="3"/>
      <c r="QSE30" s="3"/>
      <c r="QSF30" s="3"/>
      <c r="QSG30" s="3"/>
      <c r="QSH30" s="3"/>
      <c r="QSI30" s="3"/>
      <c r="QSJ30" s="3"/>
      <c r="QSK30" s="3"/>
      <c r="QSL30" s="3"/>
      <c r="QSM30" s="3"/>
      <c r="QSN30" s="3"/>
      <c r="QSO30" s="3"/>
      <c r="QSP30" s="3"/>
      <c r="QSQ30" s="3"/>
      <c r="QSR30" s="3"/>
      <c r="QSS30" s="3"/>
      <c r="QST30" s="3"/>
      <c r="QSU30" s="3"/>
      <c r="QSV30" s="3"/>
      <c r="QSW30" s="3"/>
      <c r="QSX30" s="3"/>
      <c r="QSY30" s="3"/>
      <c r="QSZ30" s="3"/>
      <c r="QTA30" s="3"/>
      <c r="QTB30" s="3"/>
      <c r="QTC30" s="3"/>
      <c r="QTD30" s="3"/>
      <c r="QTE30" s="3"/>
      <c r="QTF30" s="3"/>
      <c r="QTG30" s="3"/>
      <c r="QTH30" s="3"/>
      <c r="QTI30" s="3"/>
      <c r="QTJ30" s="3"/>
      <c r="QTK30" s="3"/>
      <c r="QTL30" s="3"/>
      <c r="QTM30" s="3"/>
      <c r="QTN30" s="3"/>
      <c r="QTO30" s="3"/>
      <c r="QTP30" s="3"/>
      <c r="QTQ30" s="3"/>
      <c r="QTR30" s="3"/>
      <c r="QTS30" s="3"/>
      <c r="QTT30" s="3"/>
      <c r="QTU30" s="3"/>
      <c r="QTV30" s="3"/>
      <c r="QTW30" s="3"/>
      <c r="QTX30" s="3"/>
      <c r="QTY30" s="3"/>
      <c r="QTZ30" s="3"/>
      <c r="QUA30" s="3"/>
      <c r="QUB30" s="3"/>
      <c r="QUC30" s="3"/>
      <c r="QUD30" s="3"/>
      <c r="QUE30" s="3"/>
      <c r="QUF30" s="3"/>
      <c r="QUG30" s="3"/>
      <c r="QUH30" s="3"/>
      <c r="QUI30" s="3"/>
      <c r="QUJ30" s="3"/>
      <c r="QUK30" s="3"/>
      <c r="QUL30" s="3"/>
      <c r="QUM30" s="3"/>
      <c r="QUN30" s="3"/>
      <c r="QUO30" s="3"/>
      <c r="QUP30" s="3"/>
      <c r="QUQ30" s="3"/>
      <c r="QUR30" s="3"/>
      <c r="QUS30" s="3"/>
      <c r="QUT30" s="3"/>
      <c r="QUU30" s="3"/>
      <c r="QUV30" s="3"/>
      <c r="QUW30" s="3"/>
      <c r="QUX30" s="3"/>
      <c r="QUY30" s="3"/>
      <c r="QUZ30" s="3"/>
      <c r="QVA30" s="3"/>
      <c r="QVB30" s="3"/>
      <c r="QVC30" s="3"/>
      <c r="QVD30" s="3"/>
      <c r="QVE30" s="3"/>
      <c r="QVF30" s="3"/>
      <c r="QVG30" s="3"/>
      <c r="QVH30" s="3"/>
      <c r="QVI30" s="3"/>
      <c r="QVJ30" s="3"/>
      <c r="QVK30" s="3"/>
      <c r="QVL30" s="3"/>
      <c r="QVM30" s="3"/>
      <c r="QVN30" s="3"/>
      <c r="QVO30" s="3"/>
      <c r="QVP30" s="3"/>
      <c r="QVQ30" s="3"/>
      <c r="QVR30" s="3"/>
      <c r="QVS30" s="3"/>
      <c r="QVT30" s="3"/>
      <c r="QVU30" s="3"/>
      <c r="QVV30" s="3"/>
      <c r="QVW30" s="3"/>
      <c r="QVX30" s="3"/>
      <c r="QVY30" s="3"/>
      <c r="QVZ30" s="3"/>
      <c r="QWA30" s="3"/>
      <c r="QWB30" s="3"/>
      <c r="QWC30" s="3"/>
      <c r="QWD30" s="3"/>
      <c r="QWE30" s="3"/>
      <c r="QWF30" s="3"/>
      <c r="QWG30" s="3"/>
      <c r="QWH30" s="3"/>
      <c r="QWI30" s="3"/>
      <c r="QWJ30" s="3"/>
      <c r="QWK30" s="3"/>
      <c r="QWL30" s="3"/>
      <c r="QWM30" s="3"/>
      <c r="QWN30" s="3"/>
      <c r="QWO30" s="3"/>
      <c r="QWP30" s="3"/>
      <c r="QWQ30" s="3"/>
      <c r="QWR30" s="3"/>
      <c r="QWS30" s="3"/>
      <c r="QWT30" s="3"/>
      <c r="QWU30" s="3"/>
      <c r="QWV30" s="3"/>
      <c r="QWW30" s="3"/>
      <c r="QWX30" s="3"/>
      <c r="QWY30" s="3"/>
      <c r="QWZ30" s="3"/>
      <c r="QXA30" s="3"/>
      <c r="QXB30" s="3"/>
      <c r="QXC30" s="3"/>
      <c r="QXD30" s="3"/>
      <c r="QXE30" s="3"/>
      <c r="QXF30" s="3"/>
      <c r="QXG30" s="3"/>
      <c r="QXH30" s="3"/>
      <c r="QXI30" s="3"/>
      <c r="QXJ30" s="3"/>
      <c r="QXK30" s="3"/>
      <c r="QXL30" s="3"/>
      <c r="QXM30" s="3"/>
      <c r="QXN30" s="3"/>
      <c r="QXO30" s="3"/>
      <c r="QXP30" s="3"/>
      <c r="QXQ30" s="3"/>
      <c r="QXR30" s="3"/>
      <c r="QXS30" s="3"/>
      <c r="QXT30" s="3"/>
      <c r="QXU30" s="3"/>
      <c r="QXV30" s="3"/>
      <c r="QXW30" s="3"/>
      <c r="QXX30" s="3"/>
      <c r="QXY30" s="3"/>
      <c r="QXZ30" s="3"/>
      <c r="QYA30" s="3"/>
      <c r="QYB30" s="3"/>
      <c r="QYC30" s="3"/>
      <c r="QYD30" s="3"/>
      <c r="QYE30" s="3"/>
      <c r="QYF30" s="3"/>
      <c r="QYG30" s="3"/>
      <c r="QYH30" s="3"/>
      <c r="QYI30" s="3"/>
      <c r="QYJ30" s="3"/>
      <c r="QYK30" s="3"/>
      <c r="QYL30" s="3"/>
      <c r="QYM30" s="3"/>
      <c r="QYN30" s="3"/>
      <c r="QYO30" s="3"/>
      <c r="QYP30" s="3"/>
      <c r="QYQ30" s="3"/>
      <c r="QYR30" s="3"/>
      <c r="QYS30" s="3"/>
      <c r="QYT30" s="3"/>
      <c r="QYU30" s="3"/>
      <c r="QYV30" s="3"/>
      <c r="QYW30" s="3"/>
      <c r="QYX30" s="3"/>
      <c r="QYY30" s="3"/>
      <c r="QYZ30" s="3"/>
      <c r="QZA30" s="3"/>
      <c r="QZB30" s="3"/>
      <c r="QZC30" s="3"/>
      <c r="QZD30" s="3"/>
      <c r="QZE30" s="3"/>
      <c r="QZF30" s="3"/>
      <c r="QZG30" s="3"/>
      <c r="QZH30" s="3"/>
      <c r="QZI30" s="3"/>
      <c r="QZJ30" s="3"/>
      <c r="QZK30" s="3"/>
      <c r="QZL30" s="3"/>
      <c r="QZM30" s="3"/>
      <c r="QZN30" s="3"/>
      <c r="QZO30" s="3"/>
      <c r="QZP30" s="3"/>
      <c r="QZQ30" s="3"/>
      <c r="QZR30" s="3"/>
      <c r="QZS30" s="3"/>
      <c r="QZT30" s="3"/>
      <c r="QZU30" s="3"/>
      <c r="QZV30" s="3"/>
      <c r="QZW30" s="3"/>
      <c r="QZX30" s="3"/>
      <c r="QZY30" s="3"/>
      <c r="QZZ30" s="3"/>
      <c r="RAA30" s="3"/>
      <c r="RAB30" s="3"/>
      <c r="RAC30" s="3"/>
      <c r="RAD30" s="3"/>
      <c r="RAE30" s="3"/>
      <c r="RAF30" s="3"/>
      <c r="RAG30" s="3"/>
      <c r="RAH30" s="3"/>
      <c r="RAI30" s="3"/>
      <c r="RAJ30" s="3"/>
      <c r="RAK30" s="3"/>
      <c r="RAL30" s="3"/>
      <c r="RAM30" s="3"/>
      <c r="RAN30" s="3"/>
      <c r="RAO30" s="3"/>
      <c r="RAP30" s="3"/>
      <c r="RAQ30" s="3"/>
      <c r="RAR30" s="3"/>
      <c r="RAS30" s="3"/>
      <c r="RAT30" s="3"/>
      <c r="RAU30" s="3"/>
      <c r="RAV30" s="3"/>
      <c r="RAW30" s="3"/>
      <c r="RAX30" s="3"/>
      <c r="RAY30" s="3"/>
      <c r="RAZ30" s="3"/>
      <c r="RBA30" s="3"/>
      <c r="RBB30" s="3"/>
      <c r="RBC30" s="3"/>
      <c r="RBD30" s="3"/>
      <c r="RBE30" s="3"/>
      <c r="RBF30" s="3"/>
      <c r="RBG30" s="3"/>
      <c r="RBH30" s="3"/>
      <c r="RBI30" s="3"/>
      <c r="RBJ30" s="3"/>
      <c r="RBK30" s="3"/>
      <c r="RBL30" s="3"/>
      <c r="RBM30" s="3"/>
      <c r="RBN30" s="3"/>
      <c r="RBO30" s="3"/>
      <c r="RBP30" s="3"/>
      <c r="RBQ30" s="3"/>
      <c r="RBR30" s="3"/>
      <c r="RBS30" s="3"/>
      <c r="RBT30" s="3"/>
      <c r="RBU30" s="3"/>
      <c r="RBV30" s="3"/>
      <c r="RBW30" s="3"/>
      <c r="RBX30" s="3"/>
      <c r="RBY30" s="3"/>
      <c r="RBZ30" s="3"/>
      <c r="RCA30" s="3"/>
      <c r="RCB30" s="3"/>
      <c r="RCC30" s="3"/>
      <c r="RCD30" s="3"/>
      <c r="RCE30" s="3"/>
      <c r="RCF30" s="3"/>
      <c r="RCG30" s="3"/>
      <c r="RCH30" s="3"/>
      <c r="RCI30" s="3"/>
      <c r="RCJ30" s="3"/>
      <c r="RCK30" s="3"/>
      <c r="RCL30" s="3"/>
      <c r="RCM30" s="3"/>
      <c r="RCN30" s="3"/>
      <c r="RCO30" s="3"/>
      <c r="RCP30" s="3"/>
      <c r="RCQ30" s="3"/>
      <c r="RCR30" s="3"/>
      <c r="RCS30" s="3"/>
      <c r="RCT30" s="3"/>
      <c r="RCU30" s="3"/>
      <c r="RCV30" s="3"/>
      <c r="RCW30" s="3"/>
      <c r="RCX30" s="3"/>
      <c r="RCY30" s="3"/>
      <c r="RCZ30" s="3"/>
      <c r="RDA30" s="3"/>
      <c r="RDB30" s="3"/>
      <c r="RDC30" s="3"/>
      <c r="RDD30" s="3"/>
      <c r="RDE30" s="3"/>
      <c r="RDF30" s="3"/>
      <c r="RDG30" s="3"/>
      <c r="RDH30" s="3"/>
      <c r="RDI30" s="3"/>
      <c r="RDJ30" s="3"/>
      <c r="RDK30" s="3"/>
      <c r="RDL30" s="3"/>
      <c r="RDM30" s="3"/>
      <c r="RDN30" s="3"/>
      <c r="RDO30" s="3"/>
      <c r="RDP30" s="3"/>
      <c r="RDQ30" s="3"/>
      <c r="RDR30" s="3"/>
      <c r="RDS30" s="3"/>
      <c r="RDT30" s="3"/>
      <c r="RDU30" s="3"/>
      <c r="RDV30" s="3"/>
      <c r="RDW30" s="3"/>
      <c r="RDX30" s="3"/>
      <c r="RDY30" s="3"/>
      <c r="RDZ30" s="3"/>
      <c r="REA30" s="3"/>
      <c r="REB30" s="3"/>
      <c r="REC30" s="3"/>
      <c r="RED30" s="3"/>
      <c r="REE30" s="3"/>
      <c r="REF30" s="3"/>
      <c r="REG30" s="3"/>
      <c r="REH30" s="3"/>
      <c r="REI30" s="3"/>
      <c r="REJ30" s="3"/>
      <c r="REK30" s="3"/>
      <c r="REL30" s="3"/>
      <c r="REM30" s="3"/>
      <c r="REN30" s="3"/>
      <c r="REO30" s="3"/>
      <c r="REP30" s="3"/>
      <c r="REQ30" s="3"/>
      <c r="RER30" s="3"/>
      <c r="RES30" s="3"/>
      <c r="RET30" s="3"/>
      <c r="REU30" s="3"/>
      <c r="REV30" s="3"/>
      <c r="REW30" s="3"/>
      <c r="REX30" s="3"/>
      <c r="REY30" s="3"/>
      <c r="REZ30" s="3"/>
      <c r="RFA30" s="3"/>
      <c r="RFB30" s="3"/>
      <c r="RFC30" s="3"/>
      <c r="RFD30" s="3"/>
      <c r="RFE30" s="3"/>
      <c r="RFF30" s="3"/>
      <c r="RFG30" s="3"/>
      <c r="RFH30" s="3"/>
      <c r="RFI30" s="3"/>
      <c r="RFJ30" s="3"/>
      <c r="RFK30" s="3"/>
      <c r="RFL30" s="3"/>
      <c r="RFM30" s="3"/>
      <c r="RFN30" s="3"/>
      <c r="RFO30" s="3"/>
      <c r="RFP30" s="3"/>
      <c r="RFQ30" s="3"/>
      <c r="RFR30" s="3"/>
      <c r="RFS30" s="3"/>
      <c r="RFT30" s="3"/>
      <c r="RFU30" s="3"/>
      <c r="RFV30" s="3"/>
      <c r="RFW30" s="3"/>
      <c r="RFX30" s="3"/>
      <c r="RFY30" s="3"/>
      <c r="RFZ30" s="3"/>
      <c r="RGA30" s="3"/>
      <c r="RGB30" s="3"/>
      <c r="RGC30" s="3"/>
      <c r="RGD30" s="3"/>
      <c r="RGE30" s="3"/>
      <c r="RGF30" s="3"/>
      <c r="RGG30" s="3"/>
      <c r="RGH30" s="3"/>
      <c r="RGI30" s="3"/>
      <c r="RGJ30" s="3"/>
      <c r="RGK30" s="3"/>
      <c r="RGL30" s="3"/>
      <c r="RGM30" s="3"/>
      <c r="RGN30" s="3"/>
      <c r="RGO30" s="3"/>
      <c r="RGP30" s="3"/>
      <c r="RGQ30" s="3"/>
      <c r="RGR30" s="3"/>
      <c r="RGS30" s="3"/>
      <c r="RGT30" s="3"/>
      <c r="RGU30" s="3"/>
      <c r="RGV30" s="3"/>
      <c r="RGW30" s="3"/>
      <c r="RGX30" s="3"/>
      <c r="RGY30" s="3"/>
      <c r="RGZ30" s="3"/>
      <c r="RHA30" s="3"/>
      <c r="RHB30" s="3"/>
      <c r="RHC30" s="3"/>
      <c r="RHD30" s="3"/>
      <c r="RHE30" s="3"/>
      <c r="RHF30" s="3"/>
      <c r="RHG30" s="3"/>
      <c r="RHH30" s="3"/>
      <c r="RHI30" s="3"/>
      <c r="RHJ30" s="3"/>
      <c r="RHK30" s="3"/>
      <c r="RHL30" s="3"/>
      <c r="RHM30" s="3"/>
      <c r="RHN30" s="3"/>
      <c r="RHO30" s="3"/>
      <c r="RHP30" s="3"/>
      <c r="RHQ30" s="3"/>
      <c r="RHR30" s="3"/>
      <c r="RHS30" s="3"/>
      <c r="RHT30" s="3"/>
      <c r="RHU30" s="3"/>
      <c r="RHV30" s="3"/>
      <c r="RHW30" s="3"/>
      <c r="RHX30" s="3"/>
      <c r="RHY30" s="3"/>
      <c r="RHZ30" s="3"/>
      <c r="RIA30" s="3"/>
      <c r="RIB30" s="3"/>
      <c r="RIC30" s="3"/>
      <c r="RID30" s="3"/>
      <c r="RIE30" s="3"/>
      <c r="RIF30" s="3"/>
      <c r="RIG30" s="3"/>
      <c r="RIH30" s="3"/>
      <c r="RII30" s="3"/>
      <c r="RIJ30" s="3"/>
      <c r="RIK30" s="3"/>
      <c r="RIL30" s="3"/>
      <c r="RIM30" s="3"/>
      <c r="RIN30" s="3"/>
      <c r="RIO30" s="3"/>
      <c r="RIP30" s="3"/>
      <c r="RIQ30" s="3"/>
      <c r="RIR30" s="3"/>
      <c r="RIS30" s="3"/>
      <c r="RIT30" s="3"/>
      <c r="RIU30" s="3"/>
      <c r="RIV30" s="3"/>
      <c r="RIW30" s="3"/>
      <c r="RIX30" s="3"/>
      <c r="RIY30" s="3"/>
      <c r="RIZ30" s="3"/>
      <c r="RJA30" s="3"/>
      <c r="RJB30" s="3"/>
      <c r="RJC30" s="3"/>
      <c r="RJD30" s="3"/>
      <c r="RJE30" s="3"/>
      <c r="RJF30" s="3"/>
      <c r="RJG30" s="3"/>
      <c r="RJH30" s="3"/>
      <c r="RJI30" s="3"/>
      <c r="RJJ30" s="3"/>
      <c r="RJK30" s="3"/>
      <c r="RJL30" s="3"/>
      <c r="RJM30" s="3"/>
      <c r="RJN30" s="3"/>
      <c r="RJO30" s="3"/>
      <c r="RJP30" s="3"/>
      <c r="RJQ30" s="3"/>
      <c r="RJR30" s="3"/>
      <c r="RJS30" s="3"/>
      <c r="RJT30" s="3"/>
      <c r="RJU30" s="3"/>
      <c r="RJV30" s="3"/>
      <c r="RJW30" s="3"/>
      <c r="RJX30" s="3"/>
      <c r="RJY30" s="3"/>
      <c r="RJZ30" s="3"/>
      <c r="RKA30" s="3"/>
      <c r="RKB30" s="3"/>
      <c r="RKC30" s="3"/>
      <c r="RKD30" s="3"/>
      <c r="RKE30" s="3"/>
      <c r="RKF30" s="3"/>
      <c r="RKG30" s="3"/>
      <c r="RKH30" s="3"/>
      <c r="RKI30" s="3"/>
      <c r="RKJ30" s="3"/>
      <c r="RKK30" s="3"/>
      <c r="RKL30" s="3"/>
      <c r="RKM30" s="3"/>
      <c r="RKN30" s="3"/>
      <c r="RKO30" s="3"/>
      <c r="RKP30" s="3"/>
      <c r="RKQ30" s="3"/>
      <c r="RKR30" s="3"/>
      <c r="RKS30" s="3"/>
      <c r="RKT30" s="3"/>
      <c r="RKU30" s="3"/>
      <c r="RKV30" s="3"/>
      <c r="RKW30" s="3"/>
      <c r="RKX30" s="3"/>
      <c r="RKY30" s="3"/>
      <c r="RKZ30" s="3"/>
      <c r="RLA30" s="3"/>
      <c r="RLB30" s="3"/>
      <c r="RLC30" s="3"/>
      <c r="RLD30" s="3"/>
      <c r="RLE30" s="3"/>
      <c r="RLF30" s="3"/>
      <c r="RLG30" s="3"/>
      <c r="RLH30" s="3"/>
      <c r="RLI30" s="3"/>
      <c r="RLJ30" s="3"/>
      <c r="RLK30" s="3"/>
      <c r="RLL30" s="3"/>
      <c r="RLM30" s="3"/>
      <c r="RLN30" s="3"/>
      <c r="RLO30" s="3"/>
      <c r="RLP30" s="3"/>
      <c r="RLQ30" s="3"/>
      <c r="RLR30" s="3"/>
      <c r="RLS30" s="3"/>
      <c r="RLT30" s="3"/>
      <c r="RLU30" s="3"/>
      <c r="RLV30" s="3"/>
      <c r="RLW30" s="3"/>
      <c r="RLX30" s="3"/>
      <c r="RLY30" s="3"/>
      <c r="RLZ30" s="3"/>
      <c r="RMA30" s="3"/>
      <c r="RMB30" s="3"/>
      <c r="RMC30" s="3"/>
      <c r="RMD30" s="3"/>
      <c r="RME30" s="3"/>
      <c r="RMF30" s="3"/>
      <c r="RMG30" s="3"/>
      <c r="RMH30" s="3"/>
      <c r="RMI30" s="3"/>
      <c r="RMJ30" s="3"/>
      <c r="RMK30" s="3"/>
      <c r="RML30" s="3"/>
      <c r="RMM30" s="3"/>
      <c r="RMN30" s="3"/>
      <c r="RMO30" s="3"/>
      <c r="RMP30" s="3"/>
      <c r="RMQ30" s="3"/>
      <c r="RMR30" s="3"/>
      <c r="RMS30" s="3"/>
      <c r="RMT30" s="3"/>
      <c r="RMU30" s="3"/>
      <c r="RMV30" s="3"/>
      <c r="RMW30" s="3"/>
      <c r="RMX30" s="3"/>
      <c r="RMY30" s="3"/>
      <c r="RMZ30" s="3"/>
      <c r="RNA30" s="3"/>
      <c r="RNB30" s="3"/>
      <c r="RNC30" s="3"/>
      <c r="RND30" s="3"/>
      <c r="RNE30" s="3"/>
      <c r="RNF30" s="3"/>
      <c r="RNG30" s="3"/>
      <c r="RNH30" s="3"/>
      <c r="RNI30" s="3"/>
      <c r="RNJ30" s="3"/>
      <c r="RNK30" s="3"/>
      <c r="RNL30" s="3"/>
      <c r="RNM30" s="3"/>
      <c r="RNN30" s="3"/>
      <c r="RNO30" s="3"/>
      <c r="RNP30" s="3"/>
      <c r="RNQ30" s="3"/>
      <c r="RNR30" s="3"/>
      <c r="RNS30" s="3"/>
      <c r="RNT30" s="3"/>
      <c r="RNU30" s="3"/>
      <c r="RNV30" s="3"/>
      <c r="RNW30" s="3"/>
      <c r="RNX30" s="3"/>
      <c r="RNY30" s="3"/>
      <c r="RNZ30" s="3"/>
      <c r="ROA30" s="3"/>
      <c r="ROB30" s="3"/>
      <c r="ROC30" s="3"/>
      <c r="ROD30" s="3"/>
      <c r="ROE30" s="3"/>
      <c r="ROF30" s="3"/>
      <c r="ROG30" s="3"/>
      <c r="ROH30" s="3"/>
      <c r="ROI30" s="3"/>
      <c r="ROJ30" s="3"/>
      <c r="ROK30" s="3"/>
      <c r="ROL30" s="3"/>
      <c r="ROM30" s="3"/>
      <c r="RON30" s="3"/>
      <c r="ROO30" s="3"/>
      <c r="ROP30" s="3"/>
      <c r="ROQ30" s="3"/>
      <c r="ROR30" s="3"/>
      <c r="ROS30" s="3"/>
      <c r="ROT30" s="3"/>
      <c r="ROU30" s="3"/>
      <c r="ROV30" s="3"/>
      <c r="ROW30" s="3"/>
      <c r="ROX30" s="3"/>
      <c r="ROY30" s="3"/>
      <c r="ROZ30" s="3"/>
      <c r="RPA30" s="3"/>
      <c r="RPB30" s="3"/>
      <c r="RPC30" s="3"/>
      <c r="RPD30" s="3"/>
      <c r="RPE30" s="3"/>
      <c r="RPF30" s="3"/>
      <c r="RPG30" s="3"/>
      <c r="RPH30" s="3"/>
      <c r="RPI30" s="3"/>
      <c r="RPJ30" s="3"/>
      <c r="RPK30" s="3"/>
      <c r="RPL30" s="3"/>
      <c r="RPM30" s="3"/>
      <c r="RPN30" s="3"/>
      <c r="RPO30" s="3"/>
      <c r="RPP30" s="3"/>
      <c r="RPQ30" s="3"/>
      <c r="RPR30" s="3"/>
      <c r="RPS30" s="3"/>
      <c r="RPT30" s="3"/>
      <c r="RPU30" s="3"/>
      <c r="RPV30" s="3"/>
      <c r="RPW30" s="3"/>
      <c r="RPX30" s="3"/>
      <c r="RPY30" s="3"/>
      <c r="RPZ30" s="3"/>
      <c r="RQA30" s="3"/>
      <c r="RQB30" s="3"/>
      <c r="RQC30" s="3"/>
      <c r="RQD30" s="3"/>
      <c r="RQE30" s="3"/>
      <c r="RQF30" s="3"/>
      <c r="RQG30" s="3"/>
      <c r="RQH30" s="3"/>
      <c r="RQI30" s="3"/>
      <c r="RQJ30" s="3"/>
      <c r="RQK30" s="3"/>
      <c r="RQL30" s="3"/>
      <c r="RQM30" s="3"/>
      <c r="RQN30" s="3"/>
      <c r="RQO30" s="3"/>
      <c r="RQP30" s="3"/>
      <c r="RQQ30" s="3"/>
      <c r="RQR30" s="3"/>
      <c r="RQS30" s="3"/>
      <c r="RQT30" s="3"/>
      <c r="RQU30" s="3"/>
      <c r="RQV30" s="3"/>
      <c r="RQW30" s="3"/>
      <c r="RQX30" s="3"/>
      <c r="RQY30" s="3"/>
      <c r="RQZ30" s="3"/>
      <c r="RRA30" s="3"/>
      <c r="RRB30" s="3"/>
      <c r="RRC30" s="3"/>
      <c r="RRD30" s="3"/>
      <c r="RRE30" s="3"/>
      <c r="RRF30" s="3"/>
      <c r="RRG30" s="3"/>
      <c r="RRH30" s="3"/>
      <c r="RRI30" s="3"/>
      <c r="RRJ30" s="3"/>
      <c r="RRK30" s="3"/>
      <c r="RRL30" s="3"/>
      <c r="RRM30" s="3"/>
      <c r="RRN30" s="3"/>
      <c r="RRO30" s="3"/>
      <c r="RRP30" s="3"/>
      <c r="RRQ30" s="3"/>
      <c r="RRR30" s="3"/>
      <c r="RRS30" s="3"/>
      <c r="RRT30" s="3"/>
      <c r="RRU30" s="3"/>
      <c r="RRV30" s="3"/>
      <c r="RRW30" s="3"/>
      <c r="RRX30" s="3"/>
      <c r="RRY30" s="3"/>
      <c r="RRZ30" s="3"/>
      <c r="RSA30" s="3"/>
      <c r="RSB30" s="3"/>
      <c r="RSC30" s="3"/>
      <c r="RSD30" s="3"/>
      <c r="RSE30" s="3"/>
      <c r="RSF30" s="3"/>
      <c r="RSG30" s="3"/>
      <c r="RSH30" s="3"/>
      <c r="RSI30" s="3"/>
      <c r="RSJ30" s="3"/>
      <c r="RSK30" s="3"/>
      <c r="RSL30" s="3"/>
      <c r="RSM30" s="3"/>
      <c r="RSN30" s="3"/>
      <c r="RSO30" s="3"/>
      <c r="RSP30" s="3"/>
      <c r="RSQ30" s="3"/>
      <c r="RSR30" s="3"/>
      <c r="RSS30" s="3"/>
      <c r="RST30" s="3"/>
      <c r="RSU30" s="3"/>
      <c r="RSV30" s="3"/>
      <c r="RSW30" s="3"/>
      <c r="RSX30" s="3"/>
      <c r="RSY30" s="3"/>
      <c r="RSZ30" s="3"/>
      <c r="RTA30" s="3"/>
      <c r="RTB30" s="3"/>
      <c r="RTC30" s="3"/>
      <c r="RTD30" s="3"/>
      <c r="RTE30" s="3"/>
      <c r="RTF30" s="3"/>
      <c r="RTG30" s="3"/>
      <c r="RTH30" s="3"/>
      <c r="RTI30" s="3"/>
      <c r="RTJ30" s="3"/>
      <c r="RTK30" s="3"/>
      <c r="RTL30" s="3"/>
      <c r="RTM30" s="3"/>
      <c r="RTN30" s="3"/>
      <c r="RTO30" s="3"/>
      <c r="RTP30" s="3"/>
      <c r="RTQ30" s="3"/>
      <c r="RTR30" s="3"/>
      <c r="RTS30" s="3"/>
      <c r="RTT30" s="3"/>
      <c r="RTU30" s="3"/>
      <c r="RTV30" s="3"/>
      <c r="RTW30" s="3"/>
      <c r="RTX30" s="3"/>
      <c r="RTY30" s="3"/>
      <c r="RTZ30" s="3"/>
      <c r="RUA30" s="3"/>
      <c r="RUB30" s="3"/>
      <c r="RUC30" s="3"/>
      <c r="RUD30" s="3"/>
      <c r="RUE30" s="3"/>
      <c r="RUF30" s="3"/>
      <c r="RUG30" s="3"/>
      <c r="RUH30" s="3"/>
      <c r="RUI30" s="3"/>
      <c r="RUJ30" s="3"/>
      <c r="RUK30" s="3"/>
      <c r="RUL30" s="3"/>
      <c r="RUM30" s="3"/>
      <c r="RUN30" s="3"/>
      <c r="RUO30" s="3"/>
      <c r="RUP30" s="3"/>
      <c r="RUQ30" s="3"/>
      <c r="RUR30" s="3"/>
      <c r="RUS30" s="3"/>
      <c r="RUT30" s="3"/>
      <c r="RUU30" s="3"/>
      <c r="RUV30" s="3"/>
      <c r="RUW30" s="3"/>
      <c r="RUX30" s="3"/>
      <c r="RUY30" s="3"/>
      <c r="RUZ30" s="3"/>
      <c r="RVA30" s="3"/>
      <c r="RVB30" s="3"/>
      <c r="RVC30" s="3"/>
      <c r="RVD30" s="3"/>
      <c r="RVE30" s="3"/>
      <c r="RVF30" s="3"/>
      <c r="RVG30" s="3"/>
      <c r="RVH30" s="3"/>
      <c r="RVI30" s="3"/>
      <c r="RVJ30" s="3"/>
      <c r="RVK30" s="3"/>
      <c r="RVL30" s="3"/>
      <c r="RVM30" s="3"/>
      <c r="RVN30" s="3"/>
      <c r="RVO30" s="3"/>
      <c r="RVP30" s="3"/>
      <c r="RVQ30" s="3"/>
      <c r="RVR30" s="3"/>
      <c r="RVS30" s="3"/>
      <c r="RVT30" s="3"/>
      <c r="RVU30" s="3"/>
      <c r="RVV30" s="3"/>
      <c r="RVW30" s="3"/>
      <c r="RVX30" s="3"/>
      <c r="RVY30" s="3"/>
      <c r="RVZ30" s="3"/>
      <c r="RWA30" s="3"/>
      <c r="RWB30" s="3"/>
      <c r="RWC30" s="3"/>
      <c r="RWD30" s="3"/>
      <c r="RWE30" s="3"/>
      <c r="RWF30" s="3"/>
      <c r="RWG30" s="3"/>
      <c r="RWH30" s="3"/>
      <c r="RWI30" s="3"/>
      <c r="RWJ30" s="3"/>
      <c r="RWK30" s="3"/>
      <c r="RWL30" s="3"/>
      <c r="RWM30" s="3"/>
      <c r="RWN30" s="3"/>
      <c r="RWO30" s="3"/>
      <c r="RWP30" s="3"/>
      <c r="RWQ30" s="3"/>
      <c r="RWR30" s="3"/>
      <c r="RWS30" s="3"/>
      <c r="RWT30" s="3"/>
      <c r="RWU30" s="3"/>
      <c r="RWV30" s="3"/>
      <c r="RWW30" s="3"/>
      <c r="RWX30" s="3"/>
      <c r="RWY30" s="3"/>
      <c r="RWZ30" s="3"/>
      <c r="RXA30" s="3"/>
      <c r="RXB30" s="3"/>
      <c r="RXC30" s="3"/>
      <c r="RXD30" s="3"/>
      <c r="RXE30" s="3"/>
      <c r="RXF30" s="3"/>
      <c r="RXG30" s="3"/>
      <c r="RXH30" s="3"/>
      <c r="RXI30" s="3"/>
      <c r="RXJ30" s="3"/>
      <c r="RXK30" s="3"/>
      <c r="RXL30" s="3"/>
      <c r="RXM30" s="3"/>
      <c r="RXN30" s="3"/>
      <c r="RXO30" s="3"/>
      <c r="RXP30" s="3"/>
      <c r="RXQ30" s="3"/>
      <c r="RXR30" s="3"/>
      <c r="RXS30" s="3"/>
      <c r="RXT30" s="3"/>
      <c r="RXU30" s="3"/>
      <c r="RXV30" s="3"/>
      <c r="RXW30" s="3"/>
      <c r="RXX30" s="3"/>
      <c r="RXY30" s="3"/>
      <c r="RXZ30" s="3"/>
      <c r="RYA30" s="3"/>
      <c r="RYB30" s="3"/>
      <c r="RYC30" s="3"/>
      <c r="RYD30" s="3"/>
      <c r="RYE30" s="3"/>
      <c r="RYF30" s="3"/>
      <c r="RYG30" s="3"/>
      <c r="RYH30" s="3"/>
      <c r="RYI30" s="3"/>
      <c r="RYJ30" s="3"/>
      <c r="RYK30" s="3"/>
      <c r="RYL30" s="3"/>
      <c r="RYM30" s="3"/>
      <c r="RYN30" s="3"/>
      <c r="RYO30" s="3"/>
      <c r="RYP30" s="3"/>
      <c r="RYQ30" s="3"/>
      <c r="RYR30" s="3"/>
      <c r="RYS30" s="3"/>
      <c r="RYT30" s="3"/>
      <c r="RYU30" s="3"/>
      <c r="RYV30" s="3"/>
      <c r="RYW30" s="3"/>
      <c r="RYX30" s="3"/>
      <c r="RYY30" s="3"/>
      <c r="RYZ30" s="3"/>
      <c r="RZA30" s="3"/>
      <c r="RZB30" s="3"/>
      <c r="RZC30" s="3"/>
      <c r="RZD30" s="3"/>
      <c r="RZE30" s="3"/>
      <c r="RZF30" s="3"/>
      <c r="RZG30" s="3"/>
      <c r="RZH30" s="3"/>
      <c r="RZI30" s="3"/>
      <c r="RZJ30" s="3"/>
      <c r="RZK30" s="3"/>
      <c r="RZL30" s="3"/>
      <c r="RZM30" s="3"/>
      <c r="RZN30" s="3"/>
      <c r="RZO30" s="3"/>
      <c r="RZP30" s="3"/>
      <c r="RZQ30" s="3"/>
      <c r="RZR30" s="3"/>
      <c r="RZS30" s="3"/>
      <c r="RZT30" s="3"/>
      <c r="RZU30" s="3"/>
      <c r="RZV30" s="3"/>
      <c r="RZW30" s="3"/>
      <c r="RZX30" s="3"/>
      <c r="RZY30" s="3"/>
      <c r="RZZ30" s="3"/>
      <c r="SAA30" s="3"/>
      <c r="SAB30" s="3"/>
      <c r="SAC30" s="3"/>
      <c r="SAD30" s="3"/>
      <c r="SAE30" s="3"/>
      <c r="SAF30" s="3"/>
      <c r="SAG30" s="3"/>
      <c r="SAH30" s="3"/>
      <c r="SAI30" s="3"/>
      <c r="SAJ30" s="3"/>
      <c r="SAK30" s="3"/>
      <c r="SAL30" s="3"/>
      <c r="SAM30" s="3"/>
      <c r="SAN30" s="3"/>
      <c r="SAO30" s="3"/>
      <c r="SAP30" s="3"/>
      <c r="SAQ30" s="3"/>
      <c r="SAR30" s="3"/>
      <c r="SAS30" s="3"/>
      <c r="SAT30" s="3"/>
      <c r="SAU30" s="3"/>
      <c r="SAV30" s="3"/>
      <c r="SAW30" s="3"/>
      <c r="SAX30" s="3"/>
      <c r="SAY30" s="3"/>
      <c r="SAZ30" s="3"/>
      <c r="SBA30" s="3"/>
      <c r="SBB30" s="3"/>
      <c r="SBC30" s="3"/>
      <c r="SBD30" s="3"/>
      <c r="SBE30" s="3"/>
      <c r="SBF30" s="3"/>
      <c r="SBG30" s="3"/>
      <c r="SBH30" s="3"/>
      <c r="SBI30" s="3"/>
      <c r="SBJ30" s="3"/>
      <c r="SBK30" s="3"/>
      <c r="SBL30" s="3"/>
      <c r="SBM30" s="3"/>
      <c r="SBN30" s="3"/>
      <c r="SBO30" s="3"/>
      <c r="SBP30" s="3"/>
      <c r="SBQ30" s="3"/>
      <c r="SBR30" s="3"/>
      <c r="SBS30" s="3"/>
      <c r="SBT30" s="3"/>
      <c r="SBU30" s="3"/>
      <c r="SBV30" s="3"/>
      <c r="SBW30" s="3"/>
      <c r="SBX30" s="3"/>
      <c r="SBY30" s="3"/>
      <c r="SBZ30" s="3"/>
      <c r="SCA30" s="3"/>
      <c r="SCB30" s="3"/>
      <c r="SCC30" s="3"/>
      <c r="SCD30" s="3"/>
      <c r="SCE30" s="3"/>
      <c r="SCF30" s="3"/>
      <c r="SCG30" s="3"/>
      <c r="SCH30" s="3"/>
      <c r="SCI30" s="3"/>
      <c r="SCJ30" s="3"/>
      <c r="SCK30" s="3"/>
      <c r="SCL30" s="3"/>
      <c r="SCM30" s="3"/>
      <c r="SCN30" s="3"/>
      <c r="SCO30" s="3"/>
      <c r="SCP30" s="3"/>
      <c r="SCQ30" s="3"/>
      <c r="SCR30" s="3"/>
      <c r="SCS30" s="3"/>
      <c r="SCT30" s="3"/>
      <c r="SCU30" s="3"/>
      <c r="SCV30" s="3"/>
      <c r="SCW30" s="3"/>
      <c r="SCX30" s="3"/>
      <c r="SCY30" s="3"/>
      <c r="SCZ30" s="3"/>
      <c r="SDA30" s="3"/>
      <c r="SDB30" s="3"/>
      <c r="SDC30" s="3"/>
      <c r="SDD30" s="3"/>
      <c r="SDE30" s="3"/>
      <c r="SDF30" s="3"/>
      <c r="SDG30" s="3"/>
      <c r="SDH30" s="3"/>
      <c r="SDI30" s="3"/>
      <c r="SDJ30" s="3"/>
      <c r="SDK30" s="3"/>
      <c r="SDL30" s="3"/>
      <c r="SDM30" s="3"/>
      <c r="SDN30" s="3"/>
      <c r="SDO30" s="3"/>
      <c r="SDP30" s="3"/>
      <c r="SDQ30" s="3"/>
      <c r="SDR30" s="3"/>
      <c r="SDS30" s="3"/>
      <c r="SDT30" s="3"/>
      <c r="SDU30" s="3"/>
      <c r="SDV30" s="3"/>
      <c r="SDW30" s="3"/>
      <c r="SDX30" s="3"/>
      <c r="SDY30" s="3"/>
      <c r="SDZ30" s="3"/>
      <c r="SEA30" s="3"/>
      <c r="SEB30" s="3"/>
      <c r="SEC30" s="3"/>
      <c r="SED30" s="3"/>
      <c r="SEE30" s="3"/>
      <c r="SEF30" s="3"/>
      <c r="SEG30" s="3"/>
      <c r="SEH30" s="3"/>
      <c r="SEI30" s="3"/>
      <c r="SEJ30" s="3"/>
      <c r="SEK30" s="3"/>
      <c r="SEL30" s="3"/>
      <c r="SEM30" s="3"/>
      <c r="SEN30" s="3"/>
      <c r="SEO30" s="3"/>
      <c r="SEP30" s="3"/>
      <c r="SEQ30" s="3"/>
      <c r="SER30" s="3"/>
      <c r="SES30" s="3"/>
      <c r="SET30" s="3"/>
      <c r="SEU30" s="3"/>
      <c r="SEV30" s="3"/>
      <c r="SEW30" s="3"/>
      <c r="SEX30" s="3"/>
      <c r="SEY30" s="3"/>
      <c r="SEZ30" s="3"/>
      <c r="SFA30" s="3"/>
      <c r="SFB30" s="3"/>
      <c r="SFC30" s="3"/>
      <c r="SFD30" s="3"/>
      <c r="SFE30" s="3"/>
      <c r="SFF30" s="3"/>
      <c r="SFG30" s="3"/>
      <c r="SFH30" s="3"/>
      <c r="SFI30" s="3"/>
      <c r="SFJ30" s="3"/>
      <c r="SFK30" s="3"/>
      <c r="SFL30" s="3"/>
      <c r="SFM30" s="3"/>
      <c r="SFN30" s="3"/>
      <c r="SFO30" s="3"/>
      <c r="SFP30" s="3"/>
      <c r="SFQ30" s="3"/>
      <c r="SFR30" s="3"/>
      <c r="SFS30" s="3"/>
      <c r="SFT30" s="3"/>
      <c r="SFU30" s="3"/>
      <c r="SFV30" s="3"/>
      <c r="SFW30" s="3"/>
      <c r="SFX30" s="3"/>
      <c r="SFY30" s="3"/>
      <c r="SFZ30" s="3"/>
      <c r="SGA30" s="3"/>
      <c r="SGB30" s="3"/>
      <c r="SGC30" s="3"/>
      <c r="SGD30" s="3"/>
      <c r="SGE30" s="3"/>
      <c r="SGF30" s="3"/>
      <c r="SGG30" s="3"/>
      <c r="SGH30" s="3"/>
      <c r="SGI30" s="3"/>
      <c r="SGJ30" s="3"/>
      <c r="SGK30" s="3"/>
      <c r="SGL30" s="3"/>
      <c r="SGM30" s="3"/>
      <c r="SGN30" s="3"/>
      <c r="SGO30" s="3"/>
      <c r="SGP30" s="3"/>
      <c r="SGQ30" s="3"/>
      <c r="SGR30" s="3"/>
      <c r="SGS30" s="3"/>
      <c r="SGT30" s="3"/>
      <c r="SGU30" s="3"/>
      <c r="SGV30" s="3"/>
      <c r="SGW30" s="3"/>
      <c r="SGX30" s="3"/>
      <c r="SGY30" s="3"/>
      <c r="SGZ30" s="3"/>
      <c r="SHA30" s="3"/>
      <c r="SHB30" s="3"/>
      <c r="SHC30" s="3"/>
      <c r="SHD30" s="3"/>
      <c r="SHE30" s="3"/>
      <c r="SHF30" s="3"/>
      <c r="SHG30" s="3"/>
      <c r="SHH30" s="3"/>
      <c r="SHI30" s="3"/>
      <c r="SHJ30" s="3"/>
      <c r="SHK30" s="3"/>
      <c r="SHL30" s="3"/>
      <c r="SHM30" s="3"/>
      <c r="SHN30" s="3"/>
      <c r="SHO30" s="3"/>
      <c r="SHP30" s="3"/>
      <c r="SHQ30" s="3"/>
      <c r="SHR30" s="3"/>
      <c r="SHS30" s="3"/>
      <c r="SHT30" s="3"/>
      <c r="SHU30" s="3"/>
      <c r="SHV30" s="3"/>
      <c r="SHW30" s="3"/>
      <c r="SHX30" s="3"/>
      <c r="SHY30" s="3"/>
      <c r="SHZ30" s="3"/>
      <c r="SIA30" s="3"/>
      <c r="SIB30" s="3"/>
      <c r="SIC30" s="3"/>
      <c r="SID30" s="3"/>
      <c r="SIE30" s="3"/>
      <c r="SIF30" s="3"/>
      <c r="SIG30" s="3"/>
      <c r="SIH30" s="3"/>
      <c r="SII30" s="3"/>
      <c r="SIJ30" s="3"/>
      <c r="SIK30" s="3"/>
      <c r="SIL30" s="3"/>
      <c r="SIM30" s="3"/>
      <c r="SIN30" s="3"/>
      <c r="SIO30" s="3"/>
      <c r="SIP30" s="3"/>
      <c r="SIQ30" s="3"/>
      <c r="SIR30" s="3"/>
      <c r="SIS30" s="3"/>
      <c r="SIT30" s="3"/>
      <c r="SIU30" s="3"/>
      <c r="SIV30" s="3"/>
      <c r="SIW30" s="3"/>
      <c r="SIX30" s="3"/>
      <c r="SIY30" s="3"/>
      <c r="SIZ30" s="3"/>
      <c r="SJA30" s="3"/>
      <c r="SJB30" s="3"/>
      <c r="SJC30" s="3"/>
      <c r="SJD30" s="3"/>
      <c r="SJE30" s="3"/>
      <c r="SJF30" s="3"/>
      <c r="SJG30" s="3"/>
      <c r="SJH30" s="3"/>
      <c r="SJI30" s="3"/>
      <c r="SJJ30" s="3"/>
      <c r="SJK30" s="3"/>
      <c r="SJL30" s="3"/>
      <c r="SJM30" s="3"/>
      <c r="SJN30" s="3"/>
      <c r="SJO30" s="3"/>
      <c r="SJP30" s="3"/>
      <c r="SJQ30" s="3"/>
      <c r="SJR30" s="3"/>
      <c r="SJS30" s="3"/>
      <c r="SJT30" s="3"/>
      <c r="SJU30" s="3"/>
      <c r="SJV30" s="3"/>
      <c r="SJW30" s="3"/>
      <c r="SJX30" s="3"/>
      <c r="SJY30" s="3"/>
      <c r="SJZ30" s="3"/>
      <c r="SKA30" s="3"/>
      <c r="SKB30" s="3"/>
      <c r="SKC30" s="3"/>
      <c r="SKD30" s="3"/>
      <c r="SKE30" s="3"/>
      <c r="SKF30" s="3"/>
      <c r="SKG30" s="3"/>
      <c r="SKH30" s="3"/>
      <c r="SKI30" s="3"/>
      <c r="SKJ30" s="3"/>
      <c r="SKK30" s="3"/>
      <c r="SKL30" s="3"/>
      <c r="SKM30" s="3"/>
      <c r="SKN30" s="3"/>
      <c r="SKO30" s="3"/>
      <c r="SKP30" s="3"/>
      <c r="SKQ30" s="3"/>
      <c r="SKR30" s="3"/>
      <c r="SKS30" s="3"/>
      <c r="SKT30" s="3"/>
      <c r="SKU30" s="3"/>
      <c r="SKV30" s="3"/>
      <c r="SKW30" s="3"/>
      <c r="SKX30" s="3"/>
      <c r="SKY30" s="3"/>
      <c r="SKZ30" s="3"/>
      <c r="SLA30" s="3"/>
      <c r="SLB30" s="3"/>
      <c r="SLC30" s="3"/>
      <c r="SLD30" s="3"/>
      <c r="SLE30" s="3"/>
      <c r="SLF30" s="3"/>
      <c r="SLG30" s="3"/>
      <c r="SLH30" s="3"/>
      <c r="SLI30" s="3"/>
      <c r="SLJ30" s="3"/>
      <c r="SLK30" s="3"/>
      <c r="SLL30" s="3"/>
      <c r="SLM30" s="3"/>
      <c r="SLN30" s="3"/>
      <c r="SLO30" s="3"/>
      <c r="SLP30" s="3"/>
      <c r="SLQ30" s="3"/>
      <c r="SLR30" s="3"/>
      <c r="SLS30" s="3"/>
      <c r="SLT30" s="3"/>
      <c r="SLU30" s="3"/>
      <c r="SLV30" s="3"/>
      <c r="SLW30" s="3"/>
      <c r="SLX30" s="3"/>
      <c r="SLY30" s="3"/>
      <c r="SLZ30" s="3"/>
      <c r="SMA30" s="3"/>
      <c r="SMB30" s="3"/>
      <c r="SMC30" s="3"/>
      <c r="SMD30" s="3"/>
      <c r="SME30" s="3"/>
      <c r="SMF30" s="3"/>
      <c r="SMG30" s="3"/>
      <c r="SMH30" s="3"/>
      <c r="SMI30" s="3"/>
      <c r="SMJ30" s="3"/>
      <c r="SMK30" s="3"/>
      <c r="SML30" s="3"/>
      <c r="SMM30" s="3"/>
      <c r="SMN30" s="3"/>
      <c r="SMO30" s="3"/>
      <c r="SMP30" s="3"/>
      <c r="SMQ30" s="3"/>
      <c r="SMR30" s="3"/>
      <c r="SMS30" s="3"/>
      <c r="SMT30" s="3"/>
      <c r="SMU30" s="3"/>
      <c r="SMV30" s="3"/>
      <c r="SMW30" s="3"/>
      <c r="SMX30" s="3"/>
      <c r="SMY30" s="3"/>
      <c r="SMZ30" s="3"/>
      <c r="SNA30" s="3"/>
      <c r="SNB30" s="3"/>
      <c r="SNC30" s="3"/>
      <c r="SND30" s="3"/>
      <c r="SNE30" s="3"/>
      <c r="SNF30" s="3"/>
      <c r="SNG30" s="3"/>
      <c r="SNH30" s="3"/>
      <c r="SNI30" s="3"/>
      <c r="SNJ30" s="3"/>
      <c r="SNK30" s="3"/>
      <c r="SNL30" s="3"/>
      <c r="SNM30" s="3"/>
      <c r="SNN30" s="3"/>
      <c r="SNO30" s="3"/>
      <c r="SNP30" s="3"/>
      <c r="SNQ30" s="3"/>
      <c r="SNR30" s="3"/>
      <c r="SNS30" s="3"/>
      <c r="SNT30" s="3"/>
      <c r="SNU30" s="3"/>
      <c r="SNV30" s="3"/>
      <c r="SNW30" s="3"/>
      <c r="SNX30" s="3"/>
      <c r="SNY30" s="3"/>
      <c r="SNZ30" s="3"/>
      <c r="SOA30" s="3"/>
      <c r="SOB30" s="3"/>
      <c r="SOC30" s="3"/>
      <c r="SOD30" s="3"/>
      <c r="SOE30" s="3"/>
      <c r="SOF30" s="3"/>
      <c r="SOG30" s="3"/>
      <c r="SOH30" s="3"/>
      <c r="SOI30" s="3"/>
      <c r="SOJ30" s="3"/>
      <c r="SOK30" s="3"/>
      <c r="SOL30" s="3"/>
      <c r="SOM30" s="3"/>
      <c r="SON30" s="3"/>
      <c r="SOO30" s="3"/>
      <c r="SOP30" s="3"/>
      <c r="SOQ30" s="3"/>
      <c r="SOR30" s="3"/>
      <c r="SOS30" s="3"/>
      <c r="SOT30" s="3"/>
      <c r="SOU30" s="3"/>
      <c r="SOV30" s="3"/>
      <c r="SOW30" s="3"/>
      <c r="SOX30" s="3"/>
      <c r="SOY30" s="3"/>
      <c r="SOZ30" s="3"/>
      <c r="SPA30" s="3"/>
      <c r="SPB30" s="3"/>
      <c r="SPC30" s="3"/>
      <c r="SPD30" s="3"/>
      <c r="SPE30" s="3"/>
      <c r="SPF30" s="3"/>
      <c r="SPG30" s="3"/>
      <c r="SPH30" s="3"/>
      <c r="SPI30" s="3"/>
      <c r="SPJ30" s="3"/>
      <c r="SPK30" s="3"/>
      <c r="SPL30" s="3"/>
      <c r="SPM30" s="3"/>
      <c r="SPN30" s="3"/>
      <c r="SPO30" s="3"/>
      <c r="SPP30" s="3"/>
      <c r="SPQ30" s="3"/>
      <c r="SPR30" s="3"/>
      <c r="SPS30" s="3"/>
      <c r="SPT30" s="3"/>
      <c r="SPU30" s="3"/>
      <c r="SPV30" s="3"/>
      <c r="SPW30" s="3"/>
      <c r="SPX30" s="3"/>
      <c r="SPY30" s="3"/>
      <c r="SPZ30" s="3"/>
      <c r="SQA30" s="3"/>
      <c r="SQB30" s="3"/>
      <c r="SQC30" s="3"/>
      <c r="SQD30" s="3"/>
      <c r="SQE30" s="3"/>
      <c r="SQF30" s="3"/>
      <c r="SQG30" s="3"/>
      <c r="SQH30" s="3"/>
      <c r="SQI30" s="3"/>
      <c r="SQJ30" s="3"/>
      <c r="SQK30" s="3"/>
      <c r="SQL30" s="3"/>
      <c r="SQM30" s="3"/>
      <c r="SQN30" s="3"/>
      <c r="SQO30" s="3"/>
      <c r="SQP30" s="3"/>
      <c r="SQQ30" s="3"/>
      <c r="SQR30" s="3"/>
      <c r="SQS30" s="3"/>
      <c r="SQT30" s="3"/>
      <c r="SQU30" s="3"/>
      <c r="SQV30" s="3"/>
      <c r="SQW30" s="3"/>
      <c r="SQX30" s="3"/>
      <c r="SQY30" s="3"/>
      <c r="SQZ30" s="3"/>
      <c r="SRA30" s="3"/>
      <c r="SRB30" s="3"/>
      <c r="SRC30" s="3"/>
      <c r="SRD30" s="3"/>
      <c r="SRE30" s="3"/>
      <c r="SRF30" s="3"/>
      <c r="SRG30" s="3"/>
      <c r="SRH30" s="3"/>
      <c r="SRI30" s="3"/>
      <c r="SRJ30" s="3"/>
      <c r="SRK30" s="3"/>
      <c r="SRL30" s="3"/>
      <c r="SRM30" s="3"/>
      <c r="SRN30" s="3"/>
      <c r="SRO30" s="3"/>
      <c r="SRP30" s="3"/>
      <c r="SRQ30" s="3"/>
      <c r="SRR30" s="3"/>
      <c r="SRS30" s="3"/>
      <c r="SRT30" s="3"/>
      <c r="SRU30" s="3"/>
      <c r="SRV30" s="3"/>
      <c r="SRW30" s="3"/>
      <c r="SRX30" s="3"/>
      <c r="SRY30" s="3"/>
      <c r="SRZ30" s="3"/>
      <c r="SSA30" s="3"/>
      <c r="SSB30" s="3"/>
      <c r="SSC30" s="3"/>
      <c r="SSD30" s="3"/>
      <c r="SSE30" s="3"/>
      <c r="SSF30" s="3"/>
      <c r="SSG30" s="3"/>
      <c r="SSH30" s="3"/>
      <c r="SSI30" s="3"/>
      <c r="SSJ30" s="3"/>
      <c r="SSK30" s="3"/>
      <c r="SSL30" s="3"/>
      <c r="SSM30" s="3"/>
      <c r="SSN30" s="3"/>
      <c r="SSO30" s="3"/>
      <c r="SSP30" s="3"/>
      <c r="SSQ30" s="3"/>
      <c r="SSR30" s="3"/>
      <c r="SSS30" s="3"/>
      <c r="SST30" s="3"/>
      <c r="SSU30" s="3"/>
      <c r="SSV30" s="3"/>
      <c r="SSW30" s="3"/>
      <c r="SSX30" s="3"/>
      <c r="SSY30" s="3"/>
      <c r="SSZ30" s="3"/>
      <c r="STA30" s="3"/>
      <c r="STB30" s="3"/>
      <c r="STC30" s="3"/>
      <c r="STD30" s="3"/>
      <c r="STE30" s="3"/>
      <c r="STF30" s="3"/>
      <c r="STG30" s="3"/>
      <c r="STH30" s="3"/>
      <c r="STI30" s="3"/>
      <c r="STJ30" s="3"/>
      <c r="STK30" s="3"/>
      <c r="STL30" s="3"/>
      <c r="STM30" s="3"/>
      <c r="STN30" s="3"/>
      <c r="STO30" s="3"/>
      <c r="STP30" s="3"/>
      <c r="STQ30" s="3"/>
      <c r="STR30" s="3"/>
      <c r="STS30" s="3"/>
      <c r="STT30" s="3"/>
      <c r="STU30" s="3"/>
      <c r="STV30" s="3"/>
      <c r="STW30" s="3"/>
      <c r="STX30" s="3"/>
      <c r="STY30" s="3"/>
      <c r="STZ30" s="3"/>
      <c r="SUA30" s="3"/>
      <c r="SUB30" s="3"/>
      <c r="SUC30" s="3"/>
      <c r="SUD30" s="3"/>
      <c r="SUE30" s="3"/>
      <c r="SUF30" s="3"/>
      <c r="SUG30" s="3"/>
      <c r="SUH30" s="3"/>
      <c r="SUI30" s="3"/>
      <c r="SUJ30" s="3"/>
      <c r="SUK30" s="3"/>
      <c r="SUL30" s="3"/>
      <c r="SUM30" s="3"/>
      <c r="SUN30" s="3"/>
      <c r="SUO30" s="3"/>
      <c r="SUP30" s="3"/>
      <c r="SUQ30" s="3"/>
      <c r="SUR30" s="3"/>
      <c r="SUS30" s="3"/>
      <c r="SUT30" s="3"/>
      <c r="SUU30" s="3"/>
      <c r="SUV30" s="3"/>
      <c r="SUW30" s="3"/>
      <c r="SUX30" s="3"/>
      <c r="SUY30" s="3"/>
      <c r="SUZ30" s="3"/>
      <c r="SVA30" s="3"/>
      <c r="SVB30" s="3"/>
      <c r="SVC30" s="3"/>
      <c r="SVD30" s="3"/>
      <c r="SVE30" s="3"/>
      <c r="SVF30" s="3"/>
      <c r="SVG30" s="3"/>
      <c r="SVH30" s="3"/>
      <c r="SVI30" s="3"/>
      <c r="SVJ30" s="3"/>
      <c r="SVK30" s="3"/>
      <c r="SVL30" s="3"/>
      <c r="SVM30" s="3"/>
      <c r="SVN30" s="3"/>
      <c r="SVO30" s="3"/>
      <c r="SVP30" s="3"/>
      <c r="SVQ30" s="3"/>
      <c r="SVR30" s="3"/>
      <c r="SVS30" s="3"/>
      <c r="SVT30" s="3"/>
      <c r="SVU30" s="3"/>
      <c r="SVV30" s="3"/>
      <c r="SVW30" s="3"/>
      <c r="SVX30" s="3"/>
      <c r="SVY30" s="3"/>
      <c r="SVZ30" s="3"/>
      <c r="SWA30" s="3"/>
      <c r="SWB30" s="3"/>
      <c r="SWC30" s="3"/>
      <c r="SWD30" s="3"/>
      <c r="SWE30" s="3"/>
      <c r="SWF30" s="3"/>
      <c r="SWG30" s="3"/>
      <c r="SWH30" s="3"/>
      <c r="SWI30" s="3"/>
      <c r="SWJ30" s="3"/>
      <c r="SWK30" s="3"/>
      <c r="SWL30" s="3"/>
      <c r="SWM30" s="3"/>
      <c r="SWN30" s="3"/>
      <c r="SWO30" s="3"/>
      <c r="SWP30" s="3"/>
      <c r="SWQ30" s="3"/>
      <c r="SWR30" s="3"/>
      <c r="SWS30" s="3"/>
      <c r="SWT30" s="3"/>
      <c r="SWU30" s="3"/>
      <c r="SWV30" s="3"/>
      <c r="SWW30" s="3"/>
      <c r="SWX30" s="3"/>
      <c r="SWY30" s="3"/>
      <c r="SWZ30" s="3"/>
      <c r="SXA30" s="3"/>
      <c r="SXB30" s="3"/>
      <c r="SXC30" s="3"/>
      <c r="SXD30" s="3"/>
      <c r="SXE30" s="3"/>
      <c r="SXF30" s="3"/>
      <c r="SXG30" s="3"/>
      <c r="SXH30" s="3"/>
      <c r="SXI30" s="3"/>
      <c r="SXJ30" s="3"/>
      <c r="SXK30" s="3"/>
      <c r="SXL30" s="3"/>
      <c r="SXM30" s="3"/>
      <c r="SXN30" s="3"/>
      <c r="SXO30" s="3"/>
      <c r="SXP30" s="3"/>
      <c r="SXQ30" s="3"/>
      <c r="SXR30" s="3"/>
      <c r="SXS30" s="3"/>
      <c r="SXT30" s="3"/>
      <c r="SXU30" s="3"/>
      <c r="SXV30" s="3"/>
      <c r="SXW30" s="3"/>
      <c r="SXX30" s="3"/>
      <c r="SXY30" s="3"/>
      <c r="SXZ30" s="3"/>
      <c r="SYA30" s="3"/>
      <c r="SYB30" s="3"/>
      <c r="SYC30" s="3"/>
      <c r="SYD30" s="3"/>
      <c r="SYE30" s="3"/>
      <c r="SYF30" s="3"/>
      <c r="SYG30" s="3"/>
      <c r="SYH30" s="3"/>
      <c r="SYI30" s="3"/>
      <c r="SYJ30" s="3"/>
      <c r="SYK30" s="3"/>
      <c r="SYL30" s="3"/>
      <c r="SYM30" s="3"/>
      <c r="SYN30" s="3"/>
      <c r="SYO30" s="3"/>
      <c r="SYP30" s="3"/>
      <c r="SYQ30" s="3"/>
      <c r="SYR30" s="3"/>
      <c r="SYS30" s="3"/>
      <c r="SYT30" s="3"/>
      <c r="SYU30" s="3"/>
      <c r="SYV30" s="3"/>
      <c r="SYW30" s="3"/>
      <c r="SYX30" s="3"/>
      <c r="SYY30" s="3"/>
      <c r="SYZ30" s="3"/>
      <c r="SZA30" s="3"/>
      <c r="SZB30" s="3"/>
      <c r="SZC30" s="3"/>
      <c r="SZD30" s="3"/>
      <c r="SZE30" s="3"/>
      <c r="SZF30" s="3"/>
      <c r="SZG30" s="3"/>
      <c r="SZH30" s="3"/>
      <c r="SZI30" s="3"/>
      <c r="SZJ30" s="3"/>
      <c r="SZK30" s="3"/>
      <c r="SZL30" s="3"/>
      <c r="SZM30" s="3"/>
      <c r="SZN30" s="3"/>
      <c r="SZO30" s="3"/>
      <c r="SZP30" s="3"/>
      <c r="SZQ30" s="3"/>
      <c r="SZR30" s="3"/>
      <c r="SZS30" s="3"/>
      <c r="SZT30" s="3"/>
      <c r="SZU30" s="3"/>
      <c r="SZV30" s="3"/>
      <c r="SZW30" s="3"/>
      <c r="SZX30" s="3"/>
      <c r="SZY30" s="3"/>
      <c r="SZZ30" s="3"/>
      <c r="TAA30" s="3"/>
      <c r="TAB30" s="3"/>
      <c r="TAC30" s="3"/>
      <c r="TAD30" s="3"/>
      <c r="TAE30" s="3"/>
      <c r="TAF30" s="3"/>
      <c r="TAG30" s="3"/>
      <c r="TAH30" s="3"/>
      <c r="TAI30" s="3"/>
      <c r="TAJ30" s="3"/>
      <c r="TAK30" s="3"/>
      <c r="TAL30" s="3"/>
      <c r="TAM30" s="3"/>
      <c r="TAN30" s="3"/>
      <c r="TAO30" s="3"/>
      <c r="TAP30" s="3"/>
      <c r="TAQ30" s="3"/>
      <c r="TAR30" s="3"/>
      <c r="TAS30" s="3"/>
      <c r="TAT30" s="3"/>
      <c r="TAU30" s="3"/>
      <c r="TAV30" s="3"/>
      <c r="TAW30" s="3"/>
      <c r="TAX30" s="3"/>
      <c r="TAY30" s="3"/>
      <c r="TAZ30" s="3"/>
      <c r="TBA30" s="3"/>
      <c r="TBB30" s="3"/>
      <c r="TBC30" s="3"/>
      <c r="TBD30" s="3"/>
      <c r="TBE30" s="3"/>
      <c r="TBF30" s="3"/>
      <c r="TBG30" s="3"/>
      <c r="TBH30" s="3"/>
      <c r="TBI30" s="3"/>
      <c r="TBJ30" s="3"/>
      <c r="TBK30" s="3"/>
      <c r="TBL30" s="3"/>
      <c r="TBM30" s="3"/>
      <c r="TBN30" s="3"/>
      <c r="TBO30" s="3"/>
      <c r="TBP30" s="3"/>
      <c r="TBQ30" s="3"/>
      <c r="TBR30" s="3"/>
      <c r="TBS30" s="3"/>
      <c r="TBT30" s="3"/>
      <c r="TBU30" s="3"/>
      <c r="TBV30" s="3"/>
      <c r="TBW30" s="3"/>
      <c r="TBX30" s="3"/>
      <c r="TBY30" s="3"/>
      <c r="TBZ30" s="3"/>
      <c r="TCA30" s="3"/>
      <c r="TCB30" s="3"/>
      <c r="TCC30" s="3"/>
      <c r="TCD30" s="3"/>
      <c r="TCE30" s="3"/>
      <c r="TCF30" s="3"/>
      <c r="TCG30" s="3"/>
      <c r="TCH30" s="3"/>
      <c r="TCI30" s="3"/>
      <c r="TCJ30" s="3"/>
      <c r="TCK30" s="3"/>
      <c r="TCL30" s="3"/>
      <c r="TCM30" s="3"/>
      <c r="TCN30" s="3"/>
      <c r="TCO30" s="3"/>
      <c r="TCP30" s="3"/>
      <c r="TCQ30" s="3"/>
      <c r="TCR30" s="3"/>
      <c r="TCS30" s="3"/>
      <c r="TCT30" s="3"/>
      <c r="TCU30" s="3"/>
      <c r="TCV30" s="3"/>
      <c r="TCW30" s="3"/>
      <c r="TCX30" s="3"/>
      <c r="TCY30" s="3"/>
      <c r="TCZ30" s="3"/>
      <c r="TDA30" s="3"/>
      <c r="TDB30" s="3"/>
      <c r="TDC30" s="3"/>
      <c r="TDD30" s="3"/>
      <c r="TDE30" s="3"/>
      <c r="TDF30" s="3"/>
      <c r="TDG30" s="3"/>
      <c r="TDH30" s="3"/>
      <c r="TDI30" s="3"/>
      <c r="TDJ30" s="3"/>
      <c r="TDK30" s="3"/>
      <c r="TDL30" s="3"/>
      <c r="TDM30" s="3"/>
      <c r="TDN30" s="3"/>
      <c r="TDO30" s="3"/>
      <c r="TDP30" s="3"/>
      <c r="TDQ30" s="3"/>
      <c r="TDR30" s="3"/>
      <c r="TDS30" s="3"/>
      <c r="TDT30" s="3"/>
      <c r="TDU30" s="3"/>
      <c r="TDV30" s="3"/>
      <c r="TDW30" s="3"/>
      <c r="TDX30" s="3"/>
      <c r="TDY30" s="3"/>
      <c r="TDZ30" s="3"/>
      <c r="TEA30" s="3"/>
      <c r="TEB30" s="3"/>
      <c r="TEC30" s="3"/>
      <c r="TED30" s="3"/>
      <c r="TEE30" s="3"/>
      <c r="TEF30" s="3"/>
      <c r="TEG30" s="3"/>
      <c r="TEH30" s="3"/>
      <c r="TEI30" s="3"/>
      <c r="TEJ30" s="3"/>
      <c r="TEK30" s="3"/>
      <c r="TEL30" s="3"/>
      <c r="TEM30" s="3"/>
      <c r="TEN30" s="3"/>
      <c r="TEO30" s="3"/>
      <c r="TEP30" s="3"/>
      <c r="TEQ30" s="3"/>
      <c r="TER30" s="3"/>
      <c r="TES30" s="3"/>
      <c r="TET30" s="3"/>
      <c r="TEU30" s="3"/>
      <c r="TEV30" s="3"/>
      <c r="TEW30" s="3"/>
      <c r="TEX30" s="3"/>
      <c r="TEY30" s="3"/>
      <c r="TEZ30" s="3"/>
      <c r="TFA30" s="3"/>
      <c r="TFB30" s="3"/>
      <c r="TFC30" s="3"/>
      <c r="TFD30" s="3"/>
      <c r="TFE30" s="3"/>
      <c r="TFF30" s="3"/>
      <c r="TFG30" s="3"/>
      <c r="TFH30" s="3"/>
      <c r="TFI30" s="3"/>
      <c r="TFJ30" s="3"/>
      <c r="TFK30" s="3"/>
      <c r="TFL30" s="3"/>
      <c r="TFM30" s="3"/>
      <c r="TFN30" s="3"/>
      <c r="TFO30" s="3"/>
      <c r="TFP30" s="3"/>
      <c r="TFQ30" s="3"/>
      <c r="TFR30" s="3"/>
      <c r="TFS30" s="3"/>
      <c r="TFT30" s="3"/>
      <c r="TFU30" s="3"/>
      <c r="TFV30" s="3"/>
      <c r="TFW30" s="3"/>
      <c r="TFX30" s="3"/>
      <c r="TFY30" s="3"/>
      <c r="TFZ30" s="3"/>
      <c r="TGA30" s="3"/>
      <c r="TGB30" s="3"/>
      <c r="TGC30" s="3"/>
      <c r="TGD30" s="3"/>
      <c r="TGE30" s="3"/>
      <c r="TGF30" s="3"/>
      <c r="TGG30" s="3"/>
      <c r="TGH30" s="3"/>
      <c r="TGI30" s="3"/>
      <c r="TGJ30" s="3"/>
      <c r="TGK30" s="3"/>
      <c r="TGL30" s="3"/>
      <c r="TGM30" s="3"/>
      <c r="TGN30" s="3"/>
      <c r="TGO30" s="3"/>
      <c r="TGP30" s="3"/>
      <c r="TGQ30" s="3"/>
      <c r="TGR30" s="3"/>
      <c r="TGS30" s="3"/>
      <c r="TGT30" s="3"/>
      <c r="TGU30" s="3"/>
      <c r="TGV30" s="3"/>
      <c r="TGW30" s="3"/>
      <c r="TGX30" s="3"/>
      <c r="TGY30" s="3"/>
      <c r="TGZ30" s="3"/>
      <c r="THA30" s="3"/>
      <c r="THB30" s="3"/>
      <c r="THC30" s="3"/>
      <c r="THD30" s="3"/>
      <c r="THE30" s="3"/>
      <c r="THF30" s="3"/>
      <c r="THG30" s="3"/>
      <c r="THH30" s="3"/>
      <c r="THI30" s="3"/>
      <c r="THJ30" s="3"/>
      <c r="THK30" s="3"/>
      <c r="THL30" s="3"/>
      <c r="THM30" s="3"/>
      <c r="THN30" s="3"/>
      <c r="THO30" s="3"/>
      <c r="THP30" s="3"/>
      <c r="THQ30" s="3"/>
      <c r="THR30" s="3"/>
      <c r="THS30" s="3"/>
      <c r="THT30" s="3"/>
      <c r="THU30" s="3"/>
      <c r="THV30" s="3"/>
      <c r="THW30" s="3"/>
      <c r="THX30" s="3"/>
      <c r="THY30" s="3"/>
      <c r="THZ30" s="3"/>
      <c r="TIA30" s="3"/>
      <c r="TIB30" s="3"/>
      <c r="TIC30" s="3"/>
      <c r="TID30" s="3"/>
      <c r="TIE30" s="3"/>
      <c r="TIF30" s="3"/>
      <c r="TIG30" s="3"/>
      <c r="TIH30" s="3"/>
      <c r="TII30" s="3"/>
      <c r="TIJ30" s="3"/>
      <c r="TIK30" s="3"/>
      <c r="TIL30" s="3"/>
      <c r="TIM30" s="3"/>
      <c r="TIN30" s="3"/>
      <c r="TIO30" s="3"/>
      <c r="TIP30" s="3"/>
      <c r="TIQ30" s="3"/>
      <c r="TIR30" s="3"/>
      <c r="TIS30" s="3"/>
      <c r="TIT30" s="3"/>
      <c r="TIU30" s="3"/>
      <c r="TIV30" s="3"/>
      <c r="TIW30" s="3"/>
      <c r="TIX30" s="3"/>
      <c r="TIY30" s="3"/>
      <c r="TIZ30" s="3"/>
      <c r="TJA30" s="3"/>
      <c r="TJB30" s="3"/>
      <c r="TJC30" s="3"/>
      <c r="TJD30" s="3"/>
      <c r="TJE30" s="3"/>
      <c r="TJF30" s="3"/>
      <c r="TJG30" s="3"/>
      <c r="TJH30" s="3"/>
      <c r="TJI30" s="3"/>
      <c r="TJJ30" s="3"/>
      <c r="TJK30" s="3"/>
      <c r="TJL30" s="3"/>
      <c r="TJM30" s="3"/>
      <c r="TJN30" s="3"/>
      <c r="TJO30" s="3"/>
      <c r="TJP30" s="3"/>
      <c r="TJQ30" s="3"/>
      <c r="TJR30" s="3"/>
      <c r="TJS30" s="3"/>
      <c r="TJT30" s="3"/>
      <c r="TJU30" s="3"/>
      <c r="TJV30" s="3"/>
      <c r="TJW30" s="3"/>
      <c r="TJX30" s="3"/>
      <c r="TJY30" s="3"/>
      <c r="TJZ30" s="3"/>
      <c r="TKA30" s="3"/>
      <c r="TKB30" s="3"/>
      <c r="TKC30" s="3"/>
      <c r="TKD30" s="3"/>
      <c r="TKE30" s="3"/>
      <c r="TKF30" s="3"/>
      <c r="TKG30" s="3"/>
      <c r="TKH30" s="3"/>
      <c r="TKI30" s="3"/>
      <c r="TKJ30" s="3"/>
      <c r="TKK30" s="3"/>
      <c r="TKL30" s="3"/>
      <c r="TKM30" s="3"/>
      <c r="TKN30" s="3"/>
      <c r="TKO30" s="3"/>
      <c r="TKP30" s="3"/>
      <c r="TKQ30" s="3"/>
      <c r="TKR30" s="3"/>
      <c r="TKS30" s="3"/>
      <c r="TKT30" s="3"/>
      <c r="TKU30" s="3"/>
      <c r="TKV30" s="3"/>
      <c r="TKW30" s="3"/>
      <c r="TKX30" s="3"/>
      <c r="TKY30" s="3"/>
      <c r="TKZ30" s="3"/>
      <c r="TLA30" s="3"/>
      <c r="TLB30" s="3"/>
      <c r="TLC30" s="3"/>
      <c r="TLD30" s="3"/>
      <c r="TLE30" s="3"/>
      <c r="TLF30" s="3"/>
      <c r="TLG30" s="3"/>
      <c r="TLH30" s="3"/>
      <c r="TLI30" s="3"/>
      <c r="TLJ30" s="3"/>
      <c r="TLK30" s="3"/>
      <c r="TLL30" s="3"/>
      <c r="TLM30" s="3"/>
      <c r="TLN30" s="3"/>
      <c r="TLO30" s="3"/>
      <c r="TLP30" s="3"/>
      <c r="TLQ30" s="3"/>
      <c r="TLR30" s="3"/>
      <c r="TLS30" s="3"/>
      <c r="TLT30" s="3"/>
      <c r="TLU30" s="3"/>
      <c r="TLV30" s="3"/>
      <c r="TLW30" s="3"/>
      <c r="TLX30" s="3"/>
      <c r="TLY30" s="3"/>
      <c r="TLZ30" s="3"/>
      <c r="TMA30" s="3"/>
      <c r="TMB30" s="3"/>
      <c r="TMC30" s="3"/>
      <c r="TMD30" s="3"/>
      <c r="TME30" s="3"/>
      <c r="TMF30" s="3"/>
      <c r="TMG30" s="3"/>
      <c r="TMH30" s="3"/>
      <c r="TMI30" s="3"/>
      <c r="TMJ30" s="3"/>
      <c r="TMK30" s="3"/>
      <c r="TML30" s="3"/>
      <c r="TMM30" s="3"/>
      <c r="TMN30" s="3"/>
      <c r="TMO30" s="3"/>
      <c r="TMP30" s="3"/>
      <c r="TMQ30" s="3"/>
      <c r="TMR30" s="3"/>
      <c r="TMS30" s="3"/>
      <c r="TMT30" s="3"/>
      <c r="TMU30" s="3"/>
      <c r="TMV30" s="3"/>
      <c r="TMW30" s="3"/>
      <c r="TMX30" s="3"/>
      <c r="TMY30" s="3"/>
      <c r="TMZ30" s="3"/>
      <c r="TNA30" s="3"/>
      <c r="TNB30" s="3"/>
      <c r="TNC30" s="3"/>
      <c r="TND30" s="3"/>
      <c r="TNE30" s="3"/>
      <c r="TNF30" s="3"/>
      <c r="TNG30" s="3"/>
      <c r="TNH30" s="3"/>
      <c r="TNI30" s="3"/>
      <c r="TNJ30" s="3"/>
      <c r="TNK30" s="3"/>
      <c r="TNL30" s="3"/>
      <c r="TNM30" s="3"/>
      <c r="TNN30" s="3"/>
      <c r="TNO30" s="3"/>
      <c r="TNP30" s="3"/>
      <c r="TNQ30" s="3"/>
      <c r="TNR30" s="3"/>
      <c r="TNS30" s="3"/>
      <c r="TNT30" s="3"/>
      <c r="TNU30" s="3"/>
      <c r="TNV30" s="3"/>
      <c r="TNW30" s="3"/>
      <c r="TNX30" s="3"/>
      <c r="TNY30" s="3"/>
      <c r="TNZ30" s="3"/>
      <c r="TOA30" s="3"/>
      <c r="TOB30" s="3"/>
      <c r="TOC30" s="3"/>
      <c r="TOD30" s="3"/>
      <c r="TOE30" s="3"/>
      <c r="TOF30" s="3"/>
      <c r="TOG30" s="3"/>
      <c r="TOH30" s="3"/>
      <c r="TOI30" s="3"/>
      <c r="TOJ30" s="3"/>
      <c r="TOK30" s="3"/>
      <c r="TOL30" s="3"/>
      <c r="TOM30" s="3"/>
      <c r="TON30" s="3"/>
      <c r="TOO30" s="3"/>
      <c r="TOP30" s="3"/>
      <c r="TOQ30" s="3"/>
      <c r="TOR30" s="3"/>
      <c r="TOS30" s="3"/>
      <c r="TOT30" s="3"/>
      <c r="TOU30" s="3"/>
      <c r="TOV30" s="3"/>
      <c r="TOW30" s="3"/>
      <c r="TOX30" s="3"/>
      <c r="TOY30" s="3"/>
      <c r="TOZ30" s="3"/>
      <c r="TPA30" s="3"/>
      <c r="TPB30" s="3"/>
      <c r="TPC30" s="3"/>
      <c r="TPD30" s="3"/>
      <c r="TPE30" s="3"/>
      <c r="TPF30" s="3"/>
      <c r="TPG30" s="3"/>
      <c r="TPH30" s="3"/>
      <c r="TPI30" s="3"/>
      <c r="TPJ30" s="3"/>
      <c r="TPK30" s="3"/>
      <c r="TPL30" s="3"/>
      <c r="TPM30" s="3"/>
      <c r="TPN30" s="3"/>
      <c r="TPO30" s="3"/>
      <c r="TPP30" s="3"/>
      <c r="TPQ30" s="3"/>
      <c r="TPR30" s="3"/>
      <c r="TPS30" s="3"/>
      <c r="TPT30" s="3"/>
      <c r="TPU30" s="3"/>
      <c r="TPV30" s="3"/>
      <c r="TPW30" s="3"/>
      <c r="TPX30" s="3"/>
      <c r="TPY30" s="3"/>
      <c r="TPZ30" s="3"/>
      <c r="TQA30" s="3"/>
      <c r="TQB30" s="3"/>
      <c r="TQC30" s="3"/>
      <c r="TQD30" s="3"/>
      <c r="TQE30" s="3"/>
      <c r="TQF30" s="3"/>
      <c r="TQG30" s="3"/>
      <c r="TQH30" s="3"/>
      <c r="TQI30" s="3"/>
      <c r="TQJ30" s="3"/>
      <c r="TQK30" s="3"/>
      <c r="TQL30" s="3"/>
      <c r="TQM30" s="3"/>
      <c r="TQN30" s="3"/>
      <c r="TQO30" s="3"/>
      <c r="TQP30" s="3"/>
      <c r="TQQ30" s="3"/>
      <c r="TQR30" s="3"/>
      <c r="TQS30" s="3"/>
      <c r="TQT30" s="3"/>
      <c r="TQU30" s="3"/>
      <c r="TQV30" s="3"/>
      <c r="TQW30" s="3"/>
      <c r="TQX30" s="3"/>
      <c r="TQY30" s="3"/>
      <c r="TQZ30" s="3"/>
      <c r="TRA30" s="3"/>
      <c r="TRB30" s="3"/>
      <c r="TRC30" s="3"/>
      <c r="TRD30" s="3"/>
      <c r="TRE30" s="3"/>
      <c r="TRF30" s="3"/>
      <c r="TRG30" s="3"/>
      <c r="TRH30" s="3"/>
      <c r="TRI30" s="3"/>
      <c r="TRJ30" s="3"/>
      <c r="TRK30" s="3"/>
      <c r="TRL30" s="3"/>
      <c r="TRM30" s="3"/>
      <c r="TRN30" s="3"/>
      <c r="TRO30" s="3"/>
      <c r="TRP30" s="3"/>
      <c r="TRQ30" s="3"/>
      <c r="TRR30" s="3"/>
      <c r="TRS30" s="3"/>
      <c r="TRT30" s="3"/>
      <c r="TRU30" s="3"/>
      <c r="TRV30" s="3"/>
      <c r="TRW30" s="3"/>
      <c r="TRX30" s="3"/>
      <c r="TRY30" s="3"/>
      <c r="TRZ30" s="3"/>
      <c r="TSA30" s="3"/>
      <c r="TSB30" s="3"/>
      <c r="TSC30" s="3"/>
      <c r="TSD30" s="3"/>
      <c r="TSE30" s="3"/>
      <c r="TSF30" s="3"/>
      <c r="TSG30" s="3"/>
      <c r="TSH30" s="3"/>
      <c r="TSI30" s="3"/>
      <c r="TSJ30" s="3"/>
      <c r="TSK30" s="3"/>
      <c r="TSL30" s="3"/>
      <c r="TSM30" s="3"/>
      <c r="TSN30" s="3"/>
      <c r="TSO30" s="3"/>
      <c r="TSP30" s="3"/>
      <c r="TSQ30" s="3"/>
      <c r="TSR30" s="3"/>
      <c r="TSS30" s="3"/>
      <c r="TST30" s="3"/>
      <c r="TSU30" s="3"/>
      <c r="TSV30" s="3"/>
      <c r="TSW30" s="3"/>
      <c r="TSX30" s="3"/>
      <c r="TSY30" s="3"/>
      <c r="TSZ30" s="3"/>
      <c r="TTA30" s="3"/>
      <c r="TTB30" s="3"/>
      <c r="TTC30" s="3"/>
      <c r="TTD30" s="3"/>
      <c r="TTE30" s="3"/>
      <c r="TTF30" s="3"/>
      <c r="TTG30" s="3"/>
      <c r="TTH30" s="3"/>
      <c r="TTI30" s="3"/>
      <c r="TTJ30" s="3"/>
      <c r="TTK30" s="3"/>
      <c r="TTL30" s="3"/>
      <c r="TTM30" s="3"/>
      <c r="TTN30" s="3"/>
      <c r="TTO30" s="3"/>
      <c r="TTP30" s="3"/>
      <c r="TTQ30" s="3"/>
      <c r="TTR30" s="3"/>
      <c r="TTS30" s="3"/>
      <c r="TTT30" s="3"/>
      <c r="TTU30" s="3"/>
      <c r="TTV30" s="3"/>
      <c r="TTW30" s="3"/>
      <c r="TTX30" s="3"/>
      <c r="TTY30" s="3"/>
      <c r="TTZ30" s="3"/>
      <c r="TUA30" s="3"/>
      <c r="TUB30" s="3"/>
      <c r="TUC30" s="3"/>
      <c r="TUD30" s="3"/>
      <c r="TUE30" s="3"/>
      <c r="TUF30" s="3"/>
      <c r="TUG30" s="3"/>
      <c r="TUH30" s="3"/>
      <c r="TUI30" s="3"/>
      <c r="TUJ30" s="3"/>
      <c r="TUK30" s="3"/>
      <c r="TUL30" s="3"/>
      <c r="TUM30" s="3"/>
      <c r="TUN30" s="3"/>
      <c r="TUO30" s="3"/>
      <c r="TUP30" s="3"/>
      <c r="TUQ30" s="3"/>
      <c r="TUR30" s="3"/>
      <c r="TUS30" s="3"/>
      <c r="TUT30" s="3"/>
      <c r="TUU30" s="3"/>
      <c r="TUV30" s="3"/>
      <c r="TUW30" s="3"/>
      <c r="TUX30" s="3"/>
      <c r="TUY30" s="3"/>
      <c r="TUZ30" s="3"/>
      <c r="TVA30" s="3"/>
      <c r="TVB30" s="3"/>
      <c r="TVC30" s="3"/>
      <c r="TVD30" s="3"/>
      <c r="TVE30" s="3"/>
      <c r="TVF30" s="3"/>
      <c r="TVG30" s="3"/>
      <c r="TVH30" s="3"/>
      <c r="TVI30" s="3"/>
      <c r="TVJ30" s="3"/>
      <c r="TVK30" s="3"/>
      <c r="TVL30" s="3"/>
      <c r="TVM30" s="3"/>
      <c r="TVN30" s="3"/>
      <c r="TVO30" s="3"/>
      <c r="TVP30" s="3"/>
      <c r="TVQ30" s="3"/>
      <c r="TVR30" s="3"/>
      <c r="TVS30" s="3"/>
      <c r="TVT30" s="3"/>
      <c r="TVU30" s="3"/>
      <c r="TVV30" s="3"/>
      <c r="TVW30" s="3"/>
      <c r="TVX30" s="3"/>
      <c r="TVY30" s="3"/>
      <c r="TVZ30" s="3"/>
      <c r="TWA30" s="3"/>
      <c r="TWB30" s="3"/>
      <c r="TWC30" s="3"/>
      <c r="TWD30" s="3"/>
      <c r="TWE30" s="3"/>
      <c r="TWF30" s="3"/>
      <c r="TWG30" s="3"/>
      <c r="TWH30" s="3"/>
      <c r="TWI30" s="3"/>
      <c r="TWJ30" s="3"/>
      <c r="TWK30" s="3"/>
      <c r="TWL30" s="3"/>
      <c r="TWM30" s="3"/>
      <c r="TWN30" s="3"/>
      <c r="TWO30" s="3"/>
      <c r="TWP30" s="3"/>
      <c r="TWQ30" s="3"/>
      <c r="TWR30" s="3"/>
      <c r="TWS30" s="3"/>
      <c r="TWT30" s="3"/>
      <c r="TWU30" s="3"/>
      <c r="TWV30" s="3"/>
      <c r="TWW30" s="3"/>
      <c r="TWX30" s="3"/>
      <c r="TWY30" s="3"/>
      <c r="TWZ30" s="3"/>
      <c r="TXA30" s="3"/>
      <c r="TXB30" s="3"/>
      <c r="TXC30" s="3"/>
      <c r="TXD30" s="3"/>
      <c r="TXE30" s="3"/>
      <c r="TXF30" s="3"/>
      <c r="TXG30" s="3"/>
      <c r="TXH30" s="3"/>
      <c r="TXI30" s="3"/>
      <c r="TXJ30" s="3"/>
      <c r="TXK30" s="3"/>
      <c r="TXL30" s="3"/>
      <c r="TXM30" s="3"/>
      <c r="TXN30" s="3"/>
      <c r="TXO30" s="3"/>
      <c r="TXP30" s="3"/>
      <c r="TXQ30" s="3"/>
      <c r="TXR30" s="3"/>
      <c r="TXS30" s="3"/>
      <c r="TXT30" s="3"/>
      <c r="TXU30" s="3"/>
      <c r="TXV30" s="3"/>
      <c r="TXW30" s="3"/>
      <c r="TXX30" s="3"/>
      <c r="TXY30" s="3"/>
      <c r="TXZ30" s="3"/>
      <c r="TYA30" s="3"/>
      <c r="TYB30" s="3"/>
      <c r="TYC30" s="3"/>
      <c r="TYD30" s="3"/>
      <c r="TYE30" s="3"/>
      <c r="TYF30" s="3"/>
      <c r="TYG30" s="3"/>
      <c r="TYH30" s="3"/>
      <c r="TYI30" s="3"/>
      <c r="TYJ30" s="3"/>
      <c r="TYK30" s="3"/>
      <c r="TYL30" s="3"/>
      <c r="TYM30" s="3"/>
      <c r="TYN30" s="3"/>
      <c r="TYO30" s="3"/>
      <c r="TYP30" s="3"/>
      <c r="TYQ30" s="3"/>
      <c r="TYR30" s="3"/>
      <c r="TYS30" s="3"/>
      <c r="TYT30" s="3"/>
      <c r="TYU30" s="3"/>
      <c r="TYV30" s="3"/>
      <c r="TYW30" s="3"/>
      <c r="TYX30" s="3"/>
      <c r="TYY30" s="3"/>
      <c r="TYZ30" s="3"/>
      <c r="TZA30" s="3"/>
      <c r="TZB30" s="3"/>
      <c r="TZC30" s="3"/>
      <c r="TZD30" s="3"/>
      <c r="TZE30" s="3"/>
      <c r="TZF30" s="3"/>
      <c r="TZG30" s="3"/>
      <c r="TZH30" s="3"/>
      <c r="TZI30" s="3"/>
      <c r="TZJ30" s="3"/>
      <c r="TZK30" s="3"/>
      <c r="TZL30" s="3"/>
      <c r="TZM30" s="3"/>
      <c r="TZN30" s="3"/>
      <c r="TZO30" s="3"/>
      <c r="TZP30" s="3"/>
      <c r="TZQ30" s="3"/>
      <c r="TZR30" s="3"/>
      <c r="TZS30" s="3"/>
      <c r="TZT30" s="3"/>
      <c r="TZU30" s="3"/>
      <c r="TZV30" s="3"/>
      <c r="TZW30" s="3"/>
      <c r="TZX30" s="3"/>
      <c r="TZY30" s="3"/>
      <c r="TZZ30" s="3"/>
      <c r="UAA30" s="3"/>
      <c r="UAB30" s="3"/>
      <c r="UAC30" s="3"/>
      <c r="UAD30" s="3"/>
      <c r="UAE30" s="3"/>
      <c r="UAF30" s="3"/>
      <c r="UAG30" s="3"/>
      <c r="UAH30" s="3"/>
      <c r="UAI30" s="3"/>
      <c r="UAJ30" s="3"/>
      <c r="UAK30" s="3"/>
      <c r="UAL30" s="3"/>
      <c r="UAM30" s="3"/>
      <c r="UAN30" s="3"/>
      <c r="UAO30" s="3"/>
      <c r="UAP30" s="3"/>
      <c r="UAQ30" s="3"/>
      <c r="UAR30" s="3"/>
      <c r="UAS30" s="3"/>
      <c r="UAT30" s="3"/>
      <c r="UAU30" s="3"/>
      <c r="UAV30" s="3"/>
      <c r="UAW30" s="3"/>
      <c r="UAX30" s="3"/>
      <c r="UAY30" s="3"/>
      <c r="UAZ30" s="3"/>
      <c r="UBA30" s="3"/>
      <c r="UBB30" s="3"/>
      <c r="UBC30" s="3"/>
      <c r="UBD30" s="3"/>
      <c r="UBE30" s="3"/>
      <c r="UBF30" s="3"/>
      <c r="UBG30" s="3"/>
      <c r="UBH30" s="3"/>
      <c r="UBI30" s="3"/>
      <c r="UBJ30" s="3"/>
      <c r="UBK30" s="3"/>
      <c r="UBL30" s="3"/>
      <c r="UBM30" s="3"/>
      <c r="UBN30" s="3"/>
      <c r="UBO30" s="3"/>
      <c r="UBP30" s="3"/>
      <c r="UBQ30" s="3"/>
      <c r="UBR30" s="3"/>
      <c r="UBS30" s="3"/>
      <c r="UBT30" s="3"/>
      <c r="UBU30" s="3"/>
      <c r="UBV30" s="3"/>
      <c r="UBW30" s="3"/>
      <c r="UBX30" s="3"/>
      <c r="UBY30" s="3"/>
      <c r="UBZ30" s="3"/>
      <c r="UCA30" s="3"/>
      <c r="UCB30" s="3"/>
      <c r="UCC30" s="3"/>
      <c r="UCD30" s="3"/>
      <c r="UCE30" s="3"/>
      <c r="UCF30" s="3"/>
      <c r="UCG30" s="3"/>
      <c r="UCH30" s="3"/>
      <c r="UCI30" s="3"/>
      <c r="UCJ30" s="3"/>
      <c r="UCK30" s="3"/>
      <c r="UCL30" s="3"/>
      <c r="UCM30" s="3"/>
      <c r="UCN30" s="3"/>
      <c r="UCO30" s="3"/>
      <c r="UCP30" s="3"/>
      <c r="UCQ30" s="3"/>
      <c r="UCR30" s="3"/>
      <c r="UCS30" s="3"/>
      <c r="UCT30" s="3"/>
      <c r="UCU30" s="3"/>
      <c r="UCV30" s="3"/>
      <c r="UCW30" s="3"/>
      <c r="UCX30" s="3"/>
      <c r="UCY30" s="3"/>
      <c r="UCZ30" s="3"/>
      <c r="UDA30" s="3"/>
      <c r="UDB30" s="3"/>
      <c r="UDC30" s="3"/>
      <c r="UDD30" s="3"/>
      <c r="UDE30" s="3"/>
      <c r="UDF30" s="3"/>
      <c r="UDG30" s="3"/>
      <c r="UDH30" s="3"/>
      <c r="UDI30" s="3"/>
      <c r="UDJ30" s="3"/>
      <c r="UDK30" s="3"/>
      <c r="UDL30" s="3"/>
      <c r="UDM30" s="3"/>
      <c r="UDN30" s="3"/>
      <c r="UDO30" s="3"/>
      <c r="UDP30" s="3"/>
      <c r="UDQ30" s="3"/>
      <c r="UDR30" s="3"/>
      <c r="UDS30" s="3"/>
      <c r="UDT30" s="3"/>
      <c r="UDU30" s="3"/>
      <c r="UDV30" s="3"/>
      <c r="UDW30" s="3"/>
      <c r="UDX30" s="3"/>
      <c r="UDY30" s="3"/>
      <c r="UDZ30" s="3"/>
      <c r="UEA30" s="3"/>
      <c r="UEB30" s="3"/>
      <c r="UEC30" s="3"/>
      <c r="UED30" s="3"/>
      <c r="UEE30" s="3"/>
      <c r="UEF30" s="3"/>
      <c r="UEG30" s="3"/>
      <c r="UEH30" s="3"/>
      <c r="UEI30" s="3"/>
      <c r="UEJ30" s="3"/>
      <c r="UEK30" s="3"/>
      <c r="UEL30" s="3"/>
      <c r="UEM30" s="3"/>
      <c r="UEN30" s="3"/>
      <c r="UEO30" s="3"/>
      <c r="UEP30" s="3"/>
      <c r="UEQ30" s="3"/>
      <c r="UER30" s="3"/>
      <c r="UES30" s="3"/>
      <c r="UET30" s="3"/>
      <c r="UEU30" s="3"/>
      <c r="UEV30" s="3"/>
      <c r="UEW30" s="3"/>
      <c r="UEX30" s="3"/>
      <c r="UEY30" s="3"/>
      <c r="UEZ30" s="3"/>
      <c r="UFA30" s="3"/>
      <c r="UFB30" s="3"/>
      <c r="UFC30" s="3"/>
      <c r="UFD30" s="3"/>
      <c r="UFE30" s="3"/>
      <c r="UFF30" s="3"/>
      <c r="UFG30" s="3"/>
      <c r="UFH30" s="3"/>
      <c r="UFI30" s="3"/>
      <c r="UFJ30" s="3"/>
      <c r="UFK30" s="3"/>
      <c r="UFL30" s="3"/>
      <c r="UFM30" s="3"/>
      <c r="UFN30" s="3"/>
      <c r="UFO30" s="3"/>
      <c r="UFP30" s="3"/>
      <c r="UFQ30" s="3"/>
      <c r="UFR30" s="3"/>
      <c r="UFS30" s="3"/>
      <c r="UFT30" s="3"/>
      <c r="UFU30" s="3"/>
      <c r="UFV30" s="3"/>
      <c r="UFW30" s="3"/>
      <c r="UFX30" s="3"/>
      <c r="UFY30" s="3"/>
      <c r="UFZ30" s="3"/>
      <c r="UGA30" s="3"/>
      <c r="UGB30" s="3"/>
      <c r="UGC30" s="3"/>
      <c r="UGD30" s="3"/>
      <c r="UGE30" s="3"/>
      <c r="UGF30" s="3"/>
      <c r="UGG30" s="3"/>
      <c r="UGH30" s="3"/>
      <c r="UGI30" s="3"/>
      <c r="UGJ30" s="3"/>
      <c r="UGK30" s="3"/>
      <c r="UGL30" s="3"/>
      <c r="UGM30" s="3"/>
      <c r="UGN30" s="3"/>
      <c r="UGO30" s="3"/>
      <c r="UGP30" s="3"/>
      <c r="UGQ30" s="3"/>
      <c r="UGR30" s="3"/>
      <c r="UGS30" s="3"/>
      <c r="UGT30" s="3"/>
      <c r="UGU30" s="3"/>
      <c r="UGV30" s="3"/>
      <c r="UGW30" s="3"/>
      <c r="UGX30" s="3"/>
      <c r="UGY30" s="3"/>
      <c r="UGZ30" s="3"/>
      <c r="UHA30" s="3"/>
      <c r="UHB30" s="3"/>
      <c r="UHC30" s="3"/>
      <c r="UHD30" s="3"/>
      <c r="UHE30" s="3"/>
      <c r="UHF30" s="3"/>
      <c r="UHG30" s="3"/>
      <c r="UHH30" s="3"/>
      <c r="UHI30" s="3"/>
      <c r="UHJ30" s="3"/>
      <c r="UHK30" s="3"/>
      <c r="UHL30" s="3"/>
      <c r="UHM30" s="3"/>
      <c r="UHN30" s="3"/>
      <c r="UHO30" s="3"/>
      <c r="UHP30" s="3"/>
      <c r="UHQ30" s="3"/>
      <c r="UHR30" s="3"/>
      <c r="UHS30" s="3"/>
      <c r="UHT30" s="3"/>
      <c r="UHU30" s="3"/>
      <c r="UHV30" s="3"/>
      <c r="UHW30" s="3"/>
      <c r="UHX30" s="3"/>
      <c r="UHY30" s="3"/>
      <c r="UHZ30" s="3"/>
      <c r="UIA30" s="3"/>
      <c r="UIB30" s="3"/>
      <c r="UIC30" s="3"/>
      <c r="UID30" s="3"/>
      <c r="UIE30" s="3"/>
      <c r="UIF30" s="3"/>
      <c r="UIG30" s="3"/>
      <c r="UIH30" s="3"/>
      <c r="UII30" s="3"/>
      <c r="UIJ30" s="3"/>
      <c r="UIK30" s="3"/>
      <c r="UIL30" s="3"/>
      <c r="UIM30" s="3"/>
      <c r="UIN30" s="3"/>
      <c r="UIO30" s="3"/>
      <c r="UIP30" s="3"/>
      <c r="UIQ30" s="3"/>
      <c r="UIR30" s="3"/>
      <c r="UIS30" s="3"/>
      <c r="UIT30" s="3"/>
      <c r="UIU30" s="3"/>
      <c r="UIV30" s="3"/>
      <c r="UIW30" s="3"/>
      <c r="UIX30" s="3"/>
      <c r="UIY30" s="3"/>
      <c r="UIZ30" s="3"/>
      <c r="UJA30" s="3"/>
      <c r="UJB30" s="3"/>
      <c r="UJC30" s="3"/>
      <c r="UJD30" s="3"/>
      <c r="UJE30" s="3"/>
      <c r="UJF30" s="3"/>
      <c r="UJG30" s="3"/>
      <c r="UJH30" s="3"/>
      <c r="UJI30" s="3"/>
      <c r="UJJ30" s="3"/>
      <c r="UJK30" s="3"/>
      <c r="UJL30" s="3"/>
      <c r="UJM30" s="3"/>
      <c r="UJN30" s="3"/>
      <c r="UJO30" s="3"/>
      <c r="UJP30" s="3"/>
      <c r="UJQ30" s="3"/>
      <c r="UJR30" s="3"/>
      <c r="UJS30" s="3"/>
      <c r="UJT30" s="3"/>
      <c r="UJU30" s="3"/>
      <c r="UJV30" s="3"/>
      <c r="UJW30" s="3"/>
      <c r="UJX30" s="3"/>
      <c r="UJY30" s="3"/>
      <c r="UJZ30" s="3"/>
      <c r="UKA30" s="3"/>
      <c r="UKB30" s="3"/>
      <c r="UKC30" s="3"/>
      <c r="UKD30" s="3"/>
      <c r="UKE30" s="3"/>
      <c r="UKF30" s="3"/>
      <c r="UKG30" s="3"/>
      <c r="UKH30" s="3"/>
      <c r="UKI30" s="3"/>
      <c r="UKJ30" s="3"/>
      <c r="UKK30" s="3"/>
      <c r="UKL30" s="3"/>
      <c r="UKM30" s="3"/>
      <c r="UKN30" s="3"/>
      <c r="UKO30" s="3"/>
      <c r="UKP30" s="3"/>
      <c r="UKQ30" s="3"/>
      <c r="UKR30" s="3"/>
      <c r="UKS30" s="3"/>
      <c r="UKT30" s="3"/>
      <c r="UKU30" s="3"/>
      <c r="UKV30" s="3"/>
      <c r="UKW30" s="3"/>
      <c r="UKX30" s="3"/>
      <c r="UKY30" s="3"/>
      <c r="UKZ30" s="3"/>
      <c r="ULA30" s="3"/>
      <c r="ULB30" s="3"/>
      <c r="ULC30" s="3"/>
      <c r="ULD30" s="3"/>
      <c r="ULE30" s="3"/>
      <c r="ULF30" s="3"/>
      <c r="ULG30" s="3"/>
      <c r="ULH30" s="3"/>
      <c r="ULI30" s="3"/>
      <c r="ULJ30" s="3"/>
      <c r="ULK30" s="3"/>
      <c r="ULL30" s="3"/>
      <c r="ULM30" s="3"/>
      <c r="ULN30" s="3"/>
      <c r="ULO30" s="3"/>
      <c r="ULP30" s="3"/>
      <c r="ULQ30" s="3"/>
      <c r="ULR30" s="3"/>
      <c r="ULS30" s="3"/>
      <c r="ULT30" s="3"/>
      <c r="ULU30" s="3"/>
      <c r="ULV30" s="3"/>
      <c r="ULW30" s="3"/>
      <c r="ULX30" s="3"/>
      <c r="ULY30" s="3"/>
      <c r="ULZ30" s="3"/>
      <c r="UMA30" s="3"/>
      <c r="UMB30" s="3"/>
      <c r="UMC30" s="3"/>
      <c r="UMD30" s="3"/>
      <c r="UME30" s="3"/>
      <c r="UMF30" s="3"/>
      <c r="UMG30" s="3"/>
      <c r="UMH30" s="3"/>
      <c r="UMI30" s="3"/>
      <c r="UMJ30" s="3"/>
      <c r="UMK30" s="3"/>
      <c r="UML30" s="3"/>
      <c r="UMM30" s="3"/>
      <c r="UMN30" s="3"/>
      <c r="UMO30" s="3"/>
      <c r="UMP30" s="3"/>
      <c r="UMQ30" s="3"/>
      <c r="UMR30" s="3"/>
      <c r="UMS30" s="3"/>
      <c r="UMT30" s="3"/>
      <c r="UMU30" s="3"/>
      <c r="UMV30" s="3"/>
      <c r="UMW30" s="3"/>
      <c r="UMX30" s="3"/>
      <c r="UMY30" s="3"/>
      <c r="UMZ30" s="3"/>
      <c r="UNA30" s="3"/>
      <c r="UNB30" s="3"/>
      <c r="UNC30" s="3"/>
      <c r="UND30" s="3"/>
      <c r="UNE30" s="3"/>
      <c r="UNF30" s="3"/>
      <c r="UNG30" s="3"/>
      <c r="UNH30" s="3"/>
      <c r="UNI30" s="3"/>
      <c r="UNJ30" s="3"/>
      <c r="UNK30" s="3"/>
      <c r="UNL30" s="3"/>
      <c r="UNM30" s="3"/>
      <c r="UNN30" s="3"/>
      <c r="UNO30" s="3"/>
      <c r="UNP30" s="3"/>
      <c r="UNQ30" s="3"/>
      <c r="UNR30" s="3"/>
      <c r="UNS30" s="3"/>
      <c r="UNT30" s="3"/>
      <c r="UNU30" s="3"/>
      <c r="UNV30" s="3"/>
      <c r="UNW30" s="3"/>
      <c r="UNX30" s="3"/>
      <c r="UNY30" s="3"/>
      <c r="UNZ30" s="3"/>
      <c r="UOA30" s="3"/>
      <c r="UOB30" s="3"/>
      <c r="UOC30" s="3"/>
      <c r="UOD30" s="3"/>
      <c r="UOE30" s="3"/>
      <c r="UOF30" s="3"/>
      <c r="UOG30" s="3"/>
      <c r="UOH30" s="3"/>
      <c r="UOI30" s="3"/>
      <c r="UOJ30" s="3"/>
      <c r="UOK30" s="3"/>
      <c r="UOL30" s="3"/>
      <c r="UOM30" s="3"/>
      <c r="UON30" s="3"/>
      <c r="UOO30" s="3"/>
      <c r="UOP30" s="3"/>
      <c r="UOQ30" s="3"/>
      <c r="UOR30" s="3"/>
      <c r="UOS30" s="3"/>
      <c r="UOT30" s="3"/>
      <c r="UOU30" s="3"/>
      <c r="UOV30" s="3"/>
      <c r="UOW30" s="3"/>
      <c r="UOX30" s="3"/>
      <c r="UOY30" s="3"/>
      <c r="UOZ30" s="3"/>
      <c r="UPA30" s="3"/>
      <c r="UPB30" s="3"/>
      <c r="UPC30" s="3"/>
      <c r="UPD30" s="3"/>
      <c r="UPE30" s="3"/>
      <c r="UPF30" s="3"/>
      <c r="UPG30" s="3"/>
      <c r="UPH30" s="3"/>
      <c r="UPI30" s="3"/>
      <c r="UPJ30" s="3"/>
      <c r="UPK30" s="3"/>
      <c r="UPL30" s="3"/>
      <c r="UPM30" s="3"/>
      <c r="UPN30" s="3"/>
      <c r="UPO30" s="3"/>
      <c r="UPP30" s="3"/>
      <c r="UPQ30" s="3"/>
      <c r="UPR30" s="3"/>
      <c r="UPS30" s="3"/>
      <c r="UPT30" s="3"/>
      <c r="UPU30" s="3"/>
      <c r="UPV30" s="3"/>
      <c r="UPW30" s="3"/>
      <c r="UPX30" s="3"/>
      <c r="UPY30" s="3"/>
      <c r="UPZ30" s="3"/>
      <c r="UQA30" s="3"/>
      <c r="UQB30" s="3"/>
      <c r="UQC30" s="3"/>
      <c r="UQD30" s="3"/>
      <c r="UQE30" s="3"/>
      <c r="UQF30" s="3"/>
      <c r="UQG30" s="3"/>
      <c r="UQH30" s="3"/>
      <c r="UQI30" s="3"/>
      <c r="UQJ30" s="3"/>
      <c r="UQK30" s="3"/>
      <c r="UQL30" s="3"/>
      <c r="UQM30" s="3"/>
      <c r="UQN30" s="3"/>
      <c r="UQO30" s="3"/>
      <c r="UQP30" s="3"/>
      <c r="UQQ30" s="3"/>
      <c r="UQR30" s="3"/>
      <c r="UQS30" s="3"/>
      <c r="UQT30" s="3"/>
      <c r="UQU30" s="3"/>
      <c r="UQV30" s="3"/>
      <c r="UQW30" s="3"/>
      <c r="UQX30" s="3"/>
      <c r="UQY30" s="3"/>
      <c r="UQZ30" s="3"/>
      <c r="URA30" s="3"/>
      <c r="URB30" s="3"/>
      <c r="URC30" s="3"/>
      <c r="URD30" s="3"/>
      <c r="URE30" s="3"/>
      <c r="URF30" s="3"/>
      <c r="URG30" s="3"/>
      <c r="URH30" s="3"/>
      <c r="URI30" s="3"/>
      <c r="URJ30" s="3"/>
      <c r="URK30" s="3"/>
      <c r="URL30" s="3"/>
      <c r="URM30" s="3"/>
      <c r="URN30" s="3"/>
      <c r="URO30" s="3"/>
      <c r="URP30" s="3"/>
      <c r="URQ30" s="3"/>
      <c r="URR30" s="3"/>
      <c r="URS30" s="3"/>
      <c r="URT30" s="3"/>
      <c r="URU30" s="3"/>
      <c r="URV30" s="3"/>
      <c r="URW30" s="3"/>
      <c r="URX30" s="3"/>
      <c r="URY30" s="3"/>
      <c r="URZ30" s="3"/>
      <c r="USA30" s="3"/>
      <c r="USB30" s="3"/>
      <c r="USC30" s="3"/>
      <c r="USD30" s="3"/>
      <c r="USE30" s="3"/>
      <c r="USF30" s="3"/>
      <c r="USG30" s="3"/>
      <c r="USH30" s="3"/>
      <c r="USI30" s="3"/>
      <c r="USJ30" s="3"/>
      <c r="USK30" s="3"/>
      <c r="USL30" s="3"/>
      <c r="USM30" s="3"/>
      <c r="USN30" s="3"/>
      <c r="USO30" s="3"/>
      <c r="USP30" s="3"/>
      <c r="USQ30" s="3"/>
      <c r="USR30" s="3"/>
      <c r="USS30" s="3"/>
      <c r="UST30" s="3"/>
      <c r="USU30" s="3"/>
      <c r="USV30" s="3"/>
      <c r="USW30" s="3"/>
      <c r="USX30" s="3"/>
      <c r="USY30" s="3"/>
      <c r="USZ30" s="3"/>
      <c r="UTA30" s="3"/>
      <c r="UTB30" s="3"/>
      <c r="UTC30" s="3"/>
      <c r="UTD30" s="3"/>
      <c r="UTE30" s="3"/>
      <c r="UTF30" s="3"/>
      <c r="UTG30" s="3"/>
      <c r="UTH30" s="3"/>
      <c r="UTI30" s="3"/>
      <c r="UTJ30" s="3"/>
      <c r="UTK30" s="3"/>
      <c r="UTL30" s="3"/>
      <c r="UTM30" s="3"/>
      <c r="UTN30" s="3"/>
      <c r="UTO30" s="3"/>
      <c r="UTP30" s="3"/>
      <c r="UTQ30" s="3"/>
      <c r="UTR30" s="3"/>
      <c r="UTS30" s="3"/>
      <c r="UTT30" s="3"/>
      <c r="UTU30" s="3"/>
      <c r="UTV30" s="3"/>
      <c r="UTW30" s="3"/>
      <c r="UTX30" s="3"/>
      <c r="UTY30" s="3"/>
      <c r="UTZ30" s="3"/>
      <c r="UUA30" s="3"/>
      <c r="UUB30" s="3"/>
      <c r="UUC30" s="3"/>
      <c r="UUD30" s="3"/>
      <c r="UUE30" s="3"/>
      <c r="UUF30" s="3"/>
      <c r="UUG30" s="3"/>
      <c r="UUH30" s="3"/>
      <c r="UUI30" s="3"/>
      <c r="UUJ30" s="3"/>
      <c r="UUK30" s="3"/>
      <c r="UUL30" s="3"/>
      <c r="UUM30" s="3"/>
      <c r="UUN30" s="3"/>
      <c r="UUO30" s="3"/>
      <c r="UUP30" s="3"/>
      <c r="UUQ30" s="3"/>
      <c r="UUR30" s="3"/>
      <c r="UUS30" s="3"/>
      <c r="UUT30" s="3"/>
      <c r="UUU30" s="3"/>
      <c r="UUV30" s="3"/>
      <c r="UUW30" s="3"/>
      <c r="UUX30" s="3"/>
      <c r="UUY30" s="3"/>
      <c r="UUZ30" s="3"/>
      <c r="UVA30" s="3"/>
      <c r="UVB30" s="3"/>
      <c r="UVC30" s="3"/>
      <c r="UVD30" s="3"/>
      <c r="UVE30" s="3"/>
      <c r="UVF30" s="3"/>
      <c r="UVG30" s="3"/>
      <c r="UVH30" s="3"/>
      <c r="UVI30" s="3"/>
      <c r="UVJ30" s="3"/>
      <c r="UVK30" s="3"/>
      <c r="UVL30" s="3"/>
      <c r="UVM30" s="3"/>
      <c r="UVN30" s="3"/>
      <c r="UVO30" s="3"/>
      <c r="UVP30" s="3"/>
      <c r="UVQ30" s="3"/>
      <c r="UVR30" s="3"/>
      <c r="UVS30" s="3"/>
      <c r="UVT30" s="3"/>
      <c r="UVU30" s="3"/>
      <c r="UVV30" s="3"/>
      <c r="UVW30" s="3"/>
      <c r="UVX30" s="3"/>
      <c r="UVY30" s="3"/>
      <c r="UVZ30" s="3"/>
      <c r="UWA30" s="3"/>
      <c r="UWB30" s="3"/>
      <c r="UWC30" s="3"/>
      <c r="UWD30" s="3"/>
      <c r="UWE30" s="3"/>
      <c r="UWF30" s="3"/>
      <c r="UWG30" s="3"/>
      <c r="UWH30" s="3"/>
      <c r="UWI30" s="3"/>
      <c r="UWJ30" s="3"/>
      <c r="UWK30" s="3"/>
      <c r="UWL30" s="3"/>
      <c r="UWM30" s="3"/>
      <c r="UWN30" s="3"/>
      <c r="UWO30" s="3"/>
      <c r="UWP30" s="3"/>
      <c r="UWQ30" s="3"/>
      <c r="UWR30" s="3"/>
      <c r="UWS30" s="3"/>
      <c r="UWT30" s="3"/>
      <c r="UWU30" s="3"/>
      <c r="UWV30" s="3"/>
      <c r="UWW30" s="3"/>
      <c r="UWX30" s="3"/>
      <c r="UWY30" s="3"/>
      <c r="UWZ30" s="3"/>
      <c r="UXA30" s="3"/>
      <c r="UXB30" s="3"/>
      <c r="UXC30" s="3"/>
      <c r="UXD30" s="3"/>
      <c r="UXE30" s="3"/>
      <c r="UXF30" s="3"/>
      <c r="UXG30" s="3"/>
      <c r="UXH30" s="3"/>
      <c r="UXI30" s="3"/>
      <c r="UXJ30" s="3"/>
      <c r="UXK30" s="3"/>
      <c r="UXL30" s="3"/>
      <c r="UXM30" s="3"/>
      <c r="UXN30" s="3"/>
      <c r="UXO30" s="3"/>
      <c r="UXP30" s="3"/>
      <c r="UXQ30" s="3"/>
      <c r="UXR30" s="3"/>
      <c r="UXS30" s="3"/>
      <c r="UXT30" s="3"/>
      <c r="UXU30" s="3"/>
      <c r="UXV30" s="3"/>
      <c r="UXW30" s="3"/>
      <c r="UXX30" s="3"/>
      <c r="UXY30" s="3"/>
      <c r="UXZ30" s="3"/>
      <c r="UYA30" s="3"/>
      <c r="UYB30" s="3"/>
      <c r="UYC30" s="3"/>
      <c r="UYD30" s="3"/>
      <c r="UYE30" s="3"/>
      <c r="UYF30" s="3"/>
      <c r="UYG30" s="3"/>
      <c r="UYH30" s="3"/>
      <c r="UYI30" s="3"/>
      <c r="UYJ30" s="3"/>
      <c r="UYK30" s="3"/>
      <c r="UYL30" s="3"/>
      <c r="UYM30" s="3"/>
      <c r="UYN30" s="3"/>
      <c r="UYO30" s="3"/>
      <c r="UYP30" s="3"/>
      <c r="UYQ30" s="3"/>
      <c r="UYR30" s="3"/>
      <c r="UYS30" s="3"/>
      <c r="UYT30" s="3"/>
      <c r="UYU30" s="3"/>
      <c r="UYV30" s="3"/>
      <c r="UYW30" s="3"/>
      <c r="UYX30" s="3"/>
      <c r="UYY30" s="3"/>
      <c r="UYZ30" s="3"/>
      <c r="UZA30" s="3"/>
      <c r="UZB30" s="3"/>
      <c r="UZC30" s="3"/>
      <c r="UZD30" s="3"/>
      <c r="UZE30" s="3"/>
      <c r="UZF30" s="3"/>
      <c r="UZG30" s="3"/>
      <c r="UZH30" s="3"/>
      <c r="UZI30" s="3"/>
      <c r="UZJ30" s="3"/>
      <c r="UZK30" s="3"/>
      <c r="UZL30" s="3"/>
      <c r="UZM30" s="3"/>
      <c r="UZN30" s="3"/>
      <c r="UZO30" s="3"/>
      <c r="UZP30" s="3"/>
      <c r="UZQ30" s="3"/>
      <c r="UZR30" s="3"/>
      <c r="UZS30" s="3"/>
      <c r="UZT30" s="3"/>
      <c r="UZU30" s="3"/>
      <c r="UZV30" s="3"/>
      <c r="UZW30" s="3"/>
      <c r="UZX30" s="3"/>
      <c r="UZY30" s="3"/>
      <c r="UZZ30" s="3"/>
      <c r="VAA30" s="3"/>
      <c r="VAB30" s="3"/>
      <c r="VAC30" s="3"/>
      <c r="VAD30" s="3"/>
      <c r="VAE30" s="3"/>
      <c r="VAF30" s="3"/>
      <c r="VAG30" s="3"/>
      <c r="VAH30" s="3"/>
      <c r="VAI30" s="3"/>
      <c r="VAJ30" s="3"/>
      <c r="VAK30" s="3"/>
      <c r="VAL30" s="3"/>
      <c r="VAM30" s="3"/>
      <c r="VAN30" s="3"/>
      <c r="VAO30" s="3"/>
      <c r="VAP30" s="3"/>
      <c r="VAQ30" s="3"/>
      <c r="VAR30" s="3"/>
      <c r="VAS30" s="3"/>
      <c r="VAT30" s="3"/>
      <c r="VAU30" s="3"/>
      <c r="VAV30" s="3"/>
      <c r="VAW30" s="3"/>
      <c r="VAX30" s="3"/>
      <c r="VAY30" s="3"/>
      <c r="VAZ30" s="3"/>
      <c r="VBA30" s="3"/>
      <c r="VBB30" s="3"/>
      <c r="VBC30" s="3"/>
      <c r="VBD30" s="3"/>
      <c r="VBE30" s="3"/>
      <c r="VBF30" s="3"/>
      <c r="VBG30" s="3"/>
      <c r="VBH30" s="3"/>
      <c r="VBI30" s="3"/>
      <c r="VBJ30" s="3"/>
      <c r="VBK30" s="3"/>
      <c r="VBL30" s="3"/>
      <c r="VBM30" s="3"/>
      <c r="VBN30" s="3"/>
      <c r="VBO30" s="3"/>
      <c r="VBP30" s="3"/>
      <c r="VBQ30" s="3"/>
      <c r="VBR30" s="3"/>
      <c r="VBS30" s="3"/>
      <c r="VBT30" s="3"/>
      <c r="VBU30" s="3"/>
      <c r="VBV30" s="3"/>
      <c r="VBW30" s="3"/>
      <c r="VBX30" s="3"/>
      <c r="VBY30" s="3"/>
      <c r="VBZ30" s="3"/>
      <c r="VCA30" s="3"/>
      <c r="VCB30" s="3"/>
      <c r="VCC30" s="3"/>
      <c r="VCD30" s="3"/>
      <c r="VCE30" s="3"/>
      <c r="VCF30" s="3"/>
      <c r="VCG30" s="3"/>
      <c r="VCH30" s="3"/>
      <c r="VCI30" s="3"/>
      <c r="VCJ30" s="3"/>
      <c r="VCK30" s="3"/>
      <c r="VCL30" s="3"/>
      <c r="VCM30" s="3"/>
      <c r="VCN30" s="3"/>
      <c r="VCO30" s="3"/>
      <c r="VCP30" s="3"/>
      <c r="VCQ30" s="3"/>
      <c r="VCR30" s="3"/>
      <c r="VCS30" s="3"/>
      <c r="VCT30" s="3"/>
      <c r="VCU30" s="3"/>
      <c r="VCV30" s="3"/>
      <c r="VCW30" s="3"/>
      <c r="VCX30" s="3"/>
      <c r="VCY30" s="3"/>
      <c r="VCZ30" s="3"/>
      <c r="VDA30" s="3"/>
      <c r="VDB30" s="3"/>
      <c r="VDC30" s="3"/>
      <c r="VDD30" s="3"/>
      <c r="VDE30" s="3"/>
      <c r="VDF30" s="3"/>
      <c r="VDG30" s="3"/>
      <c r="VDH30" s="3"/>
      <c r="VDI30" s="3"/>
      <c r="VDJ30" s="3"/>
      <c r="VDK30" s="3"/>
      <c r="VDL30" s="3"/>
      <c r="VDM30" s="3"/>
      <c r="VDN30" s="3"/>
      <c r="VDO30" s="3"/>
      <c r="VDP30" s="3"/>
      <c r="VDQ30" s="3"/>
      <c r="VDR30" s="3"/>
      <c r="VDS30" s="3"/>
      <c r="VDT30" s="3"/>
      <c r="VDU30" s="3"/>
      <c r="VDV30" s="3"/>
      <c r="VDW30" s="3"/>
      <c r="VDX30" s="3"/>
      <c r="VDY30" s="3"/>
      <c r="VDZ30" s="3"/>
      <c r="VEA30" s="3"/>
      <c r="VEB30" s="3"/>
      <c r="VEC30" s="3"/>
      <c r="VED30" s="3"/>
      <c r="VEE30" s="3"/>
      <c r="VEF30" s="3"/>
      <c r="VEG30" s="3"/>
      <c r="VEH30" s="3"/>
      <c r="VEI30" s="3"/>
      <c r="VEJ30" s="3"/>
      <c r="VEK30" s="3"/>
      <c r="VEL30" s="3"/>
      <c r="VEM30" s="3"/>
      <c r="VEN30" s="3"/>
      <c r="VEO30" s="3"/>
      <c r="VEP30" s="3"/>
      <c r="VEQ30" s="3"/>
      <c r="VER30" s="3"/>
      <c r="VES30" s="3"/>
      <c r="VET30" s="3"/>
      <c r="VEU30" s="3"/>
      <c r="VEV30" s="3"/>
      <c r="VEW30" s="3"/>
      <c r="VEX30" s="3"/>
      <c r="VEY30" s="3"/>
      <c r="VEZ30" s="3"/>
      <c r="VFA30" s="3"/>
      <c r="VFB30" s="3"/>
      <c r="VFC30" s="3"/>
      <c r="VFD30" s="3"/>
      <c r="VFE30" s="3"/>
      <c r="VFF30" s="3"/>
      <c r="VFG30" s="3"/>
      <c r="VFH30" s="3"/>
      <c r="VFI30" s="3"/>
      <c r="VFJ30" s="3"/>
      <c r="VFK30" s="3"/>
      <c r="VFL30" s="3"/>
      <c r="VFM30" s="3"/>
      <c r="VFN30" s="3"/>
      <c r="VFO30" s="3"/>
      <c r="VFP30" s="3"/>
      <c r="VFQ30" s="3"/>
      <c r="VFR30" s="3"/>
      <c r="VFS30" s="3"/>
      <c r="VFT30" s="3"/>
      <c r="VFU30" s="3"/>
      <c r="VFV30" s="3"/>
      <c r="VFW30" s="3"/>
      <c r="VFX30" s="3"/>
      <c r="VFY30" s="3"/>
      <c r="VFZ30" s="3"/>
      <c r="VGA30" s="3"/>
      <c r="VGB30" s="3"/>
      <c r="VGC30" s="3"/>
      <c r="VGD30" s="3"/>
      <c r="VGE30" s="3"/>
      <c r="VGF30" s="3"/>
      <c r="VGG30" s="3"/>
      <c r="VGH30" s="3"/>
      <c r="VGI30" s="3"/>
      <c r="VGJ30" s="3"/>
      <c r="VGK30" s="3"/>
      <c r="VGL30" s="3"/>
      <c r="VGM30" s="3"/>
      <c r="VGN30" s="3"/>
      <c r="VGO30" s="3"/>
      <c r="VGP30" s="3"/>
      <c r="VGQ30" s="3"/>
      <c r="VGR30" s="3"/>
      <c r="VGS30" s="3"/>
      <c r="VGT30" s="3"/>
      <c r="VGU30" s="3"/>
      <c r="VGV30" s="3"/>
      <c r="VGW30" s="3"/>
      <c r="VGX30" s="3"/>
      <c r="VGY30" s="3"/>
      <c r="VGZ30" s="3"/>
      <c r="VHA30" s="3"/>
      <c r="VHB30" s="3"/>
      <c r="VHC30" s="3"/>
      <c r="VHD30" s="3"/>
      <c r="VHE30" s="3"/>
      <c r="VHF30" s="3"/>
      <c r="VHG30" s="3"/>
      <c r="VHH30" s="3"/>
      <c r="VHI30" s="3"/>
      <c r="VHJ30" s="3"/>
      <c r="VHK30" s="3"/>
      <c r="VHL30" s="3"/>
      <c r="VHM30" s="3"/>
      <c r="VHN30" s="3"/>
      <c r="VHO30" s="3"/>
      <c r="VHP30" s="3"/>
      <c r="VHQ30" s="3"/>
      <c r="VHR30" s="3"/>
      <c r="VHS30" s="3"/>
      <c r="VHT30" s="3"/>
      <c r="VHU30" s="3"/>
      <c r="VHV30" s="3"/>
      <c r="VHW30" s="3"/>
      <c r="VHX30" s="3"/>
      <c r="VHY30" s="3"/>
      <c r="VHZ30" s="3"/>
      <c r="VIA30" s="3"/>
      <c r="VIB30" s="3"/>
      <c r="VIC30" s="3"/>
      <c r="VID30" s="3"/>
      <c r="VIE30" s="3"/>
      <c r="VIF30" s="3"/>
      <c r="VIG30" s="3"/>
      <c r="VIH30" s="3"/>
      <c r="VII30" s="3"/>
      <c r="VIJ30" s="3"/>
      <c r="VIK30" s="3"/>
      <c r="VIL30" s="3"/>
      <c r="VIM30" s="3"/>
      <c r="VIN30" s="3"/>
      <c r="VIO30" s="3"/>
      <c r="VIP30" s="3"/>
      <c r="VIQ30" s="3"/>
      <c r="VIR30" s="3"/>
      <c r="VIS30" s="3"/>
      <c r="VIT30" s="3"/>
      <c r="VIU30" s="3"/>
      <c r="VIV30" s="3"/>
      <c r="VIW30" s="3"/>
      <c r="VIX30" s="3"/>
      <c r="VIY30" s="3"/>
      <c r="VIZ30" s="3"/>
      <c r="VJA30" s="3"/>
      <c r="VJB30" s="3"/>
      <c r="VJC30" s="3"/>
      <c r="VJD30" s="3"/>
      <c r="VJE30" s="3"/>
      <c r="VJF30" s="3"/>
      <c r="VJG30" s="3"/>
      <c r="VJH30" s="3"/>
      <c r="VJI30" s="3"/>
      <c r="VJJ30" s="3"/>
      <c r="VJK30" s="3"/>
      <c r="VJL30" s="3"/>
      <c r="VJM30" s="3"/>
      <c r="VJN30" s="3"/>
      <c r="VJO30" s="3"/>
      <c r="VJP30" s="3"/>
      <c r="VJQ30" s="3"/>
      <c r="VJR30" s="3"/>
      <c r="VJS30" s="3"/>
      <c r="VJT30" s="3"/>
      <c r="VJU30" s="3"/>
      <c r="VJV30" s="3"/>
      <c r="VJW30" s="3"/>
      <c r="VJX30" s="3"/>
      <c r="VJY30" s="3"/>
      <c r="VJZ30" s="3"/>
      <c r="VKA30" s="3"/>
      <c r="VKB30" s="3"/>
      <c r="VKC30" s="3"/>
      <c r="VKD30" s="3"/>
      <c r="VKE30" s="3"/>
      <c r="VKF30" s="3"/>
      <c r="VKG30" s="3"/>
      <c r="VKH30" s="3"/>
      <c r="VKI30" s="3"/>
      <c r="VKJ30" s="3"/>
      <c r="VKK30" s="3"/>
      <c r="VKL30" s="3"/>
      <c r="VKM30" s="3"/>
      <c r="VKN30" s="3"/>
      <c r="VKO30" s="3"/>
      <c r="VKP30" s="3"/>
      <c r="VKQ30" s="3"/>
      <c r="VKR30" s="3"/>
      <c r="VKS30" s="3"/>
      <c r="VKT30" s="3"/>
      <c r="VKU30" s="3"/>
      <c r="VKV30" s="3"/>
      <c r="VKW30" s="3"/>
      <c r="VKX30" s="3"/>
      <c r="VKY30" s="3"/>
      <c r="VKZ30" s="3"/>
      <c r="VLA30" s="3"/>
      <c r="VLB30" s="3"/>
      <c r="VLC30" s="3"/>
      <c r="VLD30" s="3"/>
      <c r="VLE30" s="3"/>
      <c r="VLF30" s="3"/>
      <c r="VLG30" s="3"/>
      <c r="VLH30" s="3"/>
      <c r="VLI30" s="3"/>
      <c r="VLJ30" s="3"/>
      <c r="VLK30" s="3"/>
      <c r="VLL30" s="3"/>
      <c r="VLM30" s="3"/>
      <c r="VLN30" s="3"/>
      <c r="VLO30" s="3"/>
      <c r="VLP30" s="3"/>
      <c r="VLQ30" s="3"/>
      <c r="VLR30" s="3"/>
      <c r="VLS30" s="3"/>
      <c r="VLT30" s="3"/>
      <c r="VLU30" s="3"/>
      <c r="VLV30" s="3"/>
      <c r="VLW30" s="3"/>
      <c r="VLX30" s="3"/>
      <c r="VLY30" s="3"/>
      <c r="VLZ30" s="3"/>
      <c r="VMA30" s="3"/>
      <c r="VMB30" s="3"/>
      <c r="VMC30" s="3"/>
      <c r="VMD30" s="3"/>
      <c r="VME30" s="3"/>
      <c r="VMF30" s="3"/>
      <c r="VMG30" s="3"/>
      <c r="VMH30" s="3"/>
      <c r="VMI30" s="3"/>
      <c r="VMJ30" s="3"/>
      <c r="VMK30" s="3"/>
      <c r="VML30" s="3"/>
      <c r="VMM30" s="3"/>
      <c r="VMN30" s="3"/>
      <c r="VMO30" s="3"/>
      <c r="VMP30" s="3"/>
      <c r="VMQ30" s="3"/>
      <c r="VMR30" s="3"/>
      <c r="VMS30" s="3"/>
      <c r="VMT30" s="3"/>
      <c r="VMU30" s="3"/>
      <c r="VMV30" s="3"/>
      <c r="VMW30" s="3"/>
      <c r="VMX30" s="3"/>
      <c r="VMY30" s="3"/>
      <c r="VMZ30" s="3"/>
      <c r="VNA30" s="3"/>
      <c r="VNB30" s="3"/>
      <c r="VNC30" s="3"/>
      <c r="VND30" s="3"/>
      <c r="VNE30" s="3"/>
      <c r="VNF30" s="3"/>
      <c r="VNG30" s="3"/>
      <c r="VNH30" s="3"/>
      <c r="VNI30" s="3"/>
      <c r="VNJ30" s="3"/>
      <c r="VNK30" s="3"/>
      <c r="VNL30" s="3"/>
      <c r="VNM30" s="3"/>
      <c r="VNN30" s="3"/>
      <c r="VNO30" s="3"/>
      <c r="VNP30" s="3"/>
      <c r="VNQ30" s="3"/>
      <c r="VNR30" s="3"/>
      <c r="VNS30" s="3"/>
      <c r="VNT30" s="3"/>
      <c r="VNU30" s="3"/>
      <c r="VNV30" s="3"/>
      <c r="VNW30" s="3"/>
      <c r="VNX30" s="3"/>
      <c r="VNY30" s="3"/>
      <c r="VNZ30" s="3"/>
      <c r="VOA30" s="3"/>
      <c r="VOB30" s="3"/>
      <c r="VOC30" s="3"/>
      <c r="VOD30" s="3"/>
      <c r="VOE30" s="3"/>
      <c r="VOF30" s="3"/>
      <c r="VOG30" s="3"/>
      <c r="VOH30" s="3"/>
      <c r="VOI30" s="3"/>
      <c r="VOJ30" s="3"/>
      <c r="VOK30" s="3"/>
      <c r="VOL30" s="3"/>
      <c r="VOM30" s="3"/>
      <c r="VON30" s="3"/>
      <c r="VOO30" s="3"/>
      <c r="VOP30" s="3"/>
      <c r="VOQ30" s="3"/>
      <c r="VOR30" s="3"/>
      <c r="VOS30" s="3"/>
      <c r="VOT30" s="3"/>
      <c r="VOU30" s="3"/>
      <c r="VOV30" s="3"/>
      <c r="VOW30" s="3"/>
      <c r="VOX30" s="3"/>
      <c r="VOY30" s="3"/>
      <c r="VOZ30" s="3"/>
      <c r="VPA30" s="3"/>
      <c r="VPB30" s="3"/>
      <c r="VPC30" s="3"/>
      <c r="VPD30" s="3"/>
      <c r="VPE30" s="3"/>
      <c r="VPF30" s="3"/>
      <c r="VPG30" s="3"/>
      <c r="VPH30" s="3"/>
      <c r="VPI30" s="3"/>
      <c r="VPJ30" s="3"/>
      <c r="VPK30" s="3"/>
      <c r="VPL30" s="3"/>
      <c r="VPM30" s="3"/>
      <c r="VPN30" s="3"/>
      <c r="VPO30" s="3"/>
      <c r="VPP30" s="3"/>
      <c r="VPQ30" s="3"/>
      <c r="VPR30" s="3"/>
      <c r="VPS30" s="3"/>
      <c r="VPT30" s="3"/>
      <c r="VPU30" s="3"/>
      <c r="VPV30" s="3"/>
      <c r="VPW30" s="3"/>
      <c r="VPX30" s="3"/>
      <c r="VPY30" s="3"/>
      <c r="VPZ30" s="3"/>
      <c r="VQA30" s="3"/>
      <c r="VQB30" s="3"/>
      <c r="VQC30" s="3"/>
      <c r="VQD30" s="3"/>
      <c r="VQE30" s="3"/>
      <c r="VQF30" s="3"/>
      <c r="VQG30" s="3"/>
      <c r="VQH30" s="3"/>
      <c r="VQI30" s="3"/>
      <c r="VQJ30" s="3"/>
      <c r="VQK30" s="3"/>
      <c r="VQL30" s="3"/>
      <c r="VQM30" s="3"/>
      <c r="VQN30" s="3"/>
      <c r="VQO30" s="3"/>
      <c r="VQP30" s="3"/>
      <c r="VQQ30" s="3"/>
      <c r="VQR30" s="3"/>
      <c r="VQS30" s="3"/>
      <c r="VQT30" s="3"/>
      <c r="VQU30" s="3"/>
      <c r="VQV30" s="3"/>
      <c r="VQW30" s="3"/>
      <c r="VQX30" s="3"/>
      <c r="VQY30" s="3"/>
      <c r="VQZ30" s="3"/>
      <c r="VRA30" s="3"/>
      <c r="VRB30" s="3"/>
      <c r="VRC30" s="3"/>
      <c r="VRD30" s="3"/>
      <c r="VRE30" s="3"/>
      <c r="VRF30" s="3"/>
      <c r="VRG30" s="3"/>
      <c r="VRH30" s="3"/>
      <c r="VRI30" s="3"/>
      <c r="VRJ30" s="3"/>
      <c r="VRK30" s="3"/>
      <c r="VRL30" s="3"/>
      <c r="VRM30" s="3"/>
      <c r="VRN30" s="3"/>
      <c r="VRO30" s="3"/>
      <c r="VRP30" s="3"/>
      <c r="VRQ30" s="3"/>
      <c r="VRR30" s="3"/>
      <c r="VRS30" s="3"/>
      <c r="VRT30" s="3"/>
      <c r="VRU30" s="3"/>
      <c r="VRV30" s="3"/>
      <c r="VRW30" s="3"/>
      <c r="VRX30" s="3"/>
      <c r="VRY30" s="3"/>
      <c r="VRZ30" s="3"/>
      <c r="VSA30" s="3"/>
      <c r="VSB30" s="3"/>
      <c r="VSC30" s="3"/>
      <c r="VSD30" s="3"/>
      <c r="VSE30" s="3"/>
      <c r="VSF30" s="3"/>
      <c r="VSG30" s="3"/>
      <c r="VSH30" s="3"/>
      <c r="VSI30" s="3"/>
      <c r="VSJ30" s="3"/>
      <c r="VSK30" s="3"/>
      <c r="VSL30" s="3"/>
      <c r="VSM30" s="3"/>
      <c r="VSN30" s="3"/>
      <c r="VSO30" s="3"/>
      <c r="VSP30" s="3"/>
      <c r="VSQ30" s="3"/>
      <c r="VSR30" s="3"/>
      <c r="VSS30" s="3"/>
      <c r="VST30" s="3"/>
      <c r="VSU30" s="3"/>
      <c r="VSV30" s="3"/>
      <c r="VSW30" s="3"/>
      <c r="VSX30" s="3"/>
      <c r="VSY30" s="3"/>
      <c r="VSZ30" s="3"/>
      <c r="VTA30" s="3"/>
      <c r="VTB30" s="3"/>
      <c r="VTC30" s="3"/>
      <c r="VTD30" s="3"/>
      <c r="VTE30" s="3"/>
      <c r="VTF30" s="3"/>
      <c r="VTG30" s="3"/>
      <c r="VTH30" s="3"/>
      <c r="VTI30" s="3"/>
      <c r="VTJ30" s="3"/>
      <c r="VTK30" s="3"/>
      <c r="VTL30" s="3"/>
      <c r="VTM30" s="3"/>
      <c r="VTN30" s="3"/>
      <c r="VTO30" s="3"/>
      <c r="VTP30" s="3"/>
      <c r="VTQ30" s="3"/>
      <c r="VTR30" s="3"/>
      <c r="VTS30" s="3"/>
      <c r="VTT30" s="3"/>
      <c r="VTU30" s="3"/>
      <c r="VTV30" s="3"/>
      <c r="VTW30" s="3"/>
      <c r="VTX30" s="3"/>
      <c r="VTY30" s="3"/>
      <c r="VTZ30" s="3"/>
      <c r="VUA30" s="3"/>
      <c r="VUB30" s="3"/>
      <c r="VUC30" s="3"/>
      <c r="VUD30" s="3"/>
      <c r="VUE30" s="3"/>
      <c r="VUF30" s="3"/>
      <c r="VUG30" s="3"/>
      <c r="VUH30" s="3"/>
      <c r="VUI30" s="3"/>
      <c r="VUJ30" s="3"/>
      <c r="VUK30" s="3"/>
      <c r="VUL30" s="3"/>
      <c r="VUM30" s="3"/>
      <c r="VUN30" s="3"/>
      <c r="VUO30" s="3"/>
      <c r="VUP30" s="3"/>
      <c r="VUQ30" s="3"/>
      <c r="VUR30" s="3"/>
      <c r="VUS30" s="3"/>
      <c r="VUT30" s="3"/>
      <c r="VUU30" s="3"/>
      <c r="VUV30" s="3"/>
      <c r="VUW30" s="3"/>
      <c r="VUX30" s="3"/>
      <c r="VUY30" s="3"/>
      <c r="VUZ30" s="3"/>
      <c r="VVA30" s="3"/>
      <c r="VVB30" s="3"/>
      <c r="VVC30" s="3"/>
      <c r="VVD30" s="3"/>
      <c r="VVE30" s="3"/>
      <c r="VVF30" s="3"/>
      <c r="VVG30" s="3"/>
      <c r="VVH30" s="3"/>
      <c r="VVI30" s="3"/>
      <c r="VVJ30" s="3"/>
      <c r="VVK30" s="3"/>
      <c r="VVL30" s="3"/>
      <c r="VVM30" s="3"/>
      <c r="VVN30" s="3"/>
      <c r="VVO30" s="3"/>
      <c r="VVP30" s="3"/>
      <c r="VVQ30" s="3"/>
      <c r="VVR30" s="3"/>
      <c r="VVS30" s="3"/>
      <c r="VVT30" s="3"/>
      <c r="VVU30" s="3"/>
      <c r="VVV30" s="3"/>
      <c r="VVW30" s="3"/>
      <c r="VVX30" s="3"/>
      <c r="VVY30" s="3"/>
      <c r="VVZ30" s="3"/>
      <c r="VWA30" s="3"/>
      <c r="VWB30" s="3"/>
      <c r="VWC30" s="3"/>
      <c r="VWD30" s="3"/>
      <c r="VWE30" s="3"/>
      <c r="VWF30" s="3"/>
      <c r="VWG30" s="3"/>
      <c r="VWH30" s="3"/>
      <c r="VWI30" s="3"/>
      <c r="VWJ30" s="3"/>
      <c r="VWK30" s="3"/>
      <c r="VWL30" s="3"/>
      <c r="VWM30" s="3"/>
      <c r="VWN30" s="3"/>
      <c r="VWO30" s="3"/>
      <c r="VWP30" s="3"/>
      <c r="VWQ30" s="3"/>
      <c r="VWR30" s="3"/>
      <c r="VWS30" s="3"/>
      <c r="VWT30" s="3"/>
      <c r="VWU30" s="3"/>
      <c r="VWV30" s="3"/>
      <c r="VWW30" s="3"/>
      <c r="VWX30" s="3"/>
      <c r="VWY30" s="3"/>
      <c r="VWZ30" s="3"/>
      <c r="VXA30" s="3"/>
      <c r="VXB30" s="3"/>
      <c r="VXC30" s="3"/>
      <c r="VXD30" s="3"/>
      <c r="VXE30" s="3"/>
      <c r="VXF30" s="3"/>
      <c r="VXG30" s="3"/>
      <c r="VXH30" s="3"/>
      <c r="VXI30" s="3"/>
      <c r="VXJ30" s="3"/>
      <c r="VXK30" s="3"/>
      <c r="VXL30" s="3"/>
      <c r="VXM30" s="3"/>
      <c r="VXN30" s="3"/>
      <c r="VXO30" s="3"/>
      <c r="VXP30" s="3"/>
      <c r="VXQ30" s="3"/>
      <c r="VXR30" s="3"/>
      <c r="VXS30" s="3"/>
      <c r="VXT30" s="3"/>
      <c r="VXU30" s="3"/>
      <c r="VXV30" s="3"/>
      <c r="VXW30" s="3"/>
      <c r="VXX30" s="3"/>
      <c r="VXY30" s="3"/>
      <c r="VXZ30" s="3"/>
      <c r="VYA30" s="3"/>
      <c r="VYB30" s="3"/>
      <c r="VYC30" s="3"/>
      <c r="VYD30" s="3"/>
      <c r="VYE30" s="3"/>
      <c r="VYF30" s="3"/>
      <c r="VYG30" s="3"/>
      <c r="VYH30" s="3"/>
      <c r="VYI30" s="3"/>
      <c r="VYJ30" s="3"/>
      <c r="VYK30" s="3"/>
      <c r="VYL30" s="3"/>
      <c r="VYM30" s="3"/>
      <c r="VYN30" s="3"/>
      <c r="VYO30" s="3"/>
      <c r="VYP30" s="3"/>
      <c r="VYQ30" s="3"/>
      <c r="VYR30" s="3"/>
      <c r="VYS30" s="3"/>
      <c r="VYT30" s="3"/>
      <c r="VYU30" s="3"/>
      <c r="VYV30" s="3"/>
      <c r="VYW30" s="3"/>
      <c r="VYX30" s="3"/>
      <c r="VYY30" s="3"/>
      <c r="VYZ30" s="3"/>
      <c r="VZA30" s="3"/>
      <c r="VZB30" s="3"/>
      <c r="VZC30" s="3"/>
      <c r="VZD30" s="3"/>
      <c r="VZE30" s="3"/>
      <c r="VZF30" s="3"/>
      <c r="VZG30" s="3"/>
      <c r="VZH30" s="3"/>
      <c r="VZI30" s="3"/>
      <c r="VZJ30" s="3"/>
      <c r="VZK30" s="3"/>
      <c r="VZL30" s="3"/>
      <c r="VZM30" s="3"/>
      <c r="VZN30" s="3"/>
      <c r="VZO30" s="3"/>
      <c r="VZP30" s="3"/>
      <c r="VZQ30" s="3"/>
      <c r="VZR30" s="3"/>
      <c r="VZS30" s="3"/>
      <c r="VZT30" s="3"/>
      <c r="VZU30" s="3"/>
      <c r="VZV30" s="3"/>
      <c r="VZW30" s="3"/>
      <c r="VZX30" s="3"/>
      <c r="VZY30" s="3"/>
      <c r="VZZ30" s="3"/>
      <c r="WAA30" s="3"/>
      <c r="WAB30" s="3"/>
      <c r="WAC30" s="3"/>
      <c r="WAD30" s="3"/>
      <c r="WAE30" s="3"/>
      <c r="WAF30" s="3"/>
      <c r="WAG30" s="3"/>
      <c r="WAH30" s="3"/>
      <c r="WAI30" s="3"/>
      <c r="WAJ30" s="3"/>
      <c r="WAK30" s="3"/>
      <c r="WAL30" s="3"/>
      <c r="WAM30" s="3"/>
      <c r="WAN30" s="3"/>
      <c r="WAO30" s="3"/>
      <c r="WAP30" s="3"/>
      <c r="WAQ30" s="3"/>
      <c r="WAR30" s="3"/>
      <c r="WAS30" s="3"/>
      <c r="WAT30" s="3"/>
      <c r="WAU30" s="3"/>
      <c r="WAV30" s="3"/>
      <c r="WAW30" s="3"/>
      <c r="WAX30" s="3"/>
      <c r="WAY30" s="3"/>
      <c r="WAZ30" s="3"/>
      <c r="WBA30" s="3"/>
      <c r="WBB30" s="3"/>
      <c r="WBC30" s="3"/>
      <c r="WBD30" s="3"/>
      <c r="WBE30" s="3"/>
      <c r="WBF30" s="3"/>
      <c r="WBG30" s="3"/>
      <c r="WBH30" s="3"/>
      <c r="WBI30" s="3"/>
      <c r="WBJ30" s="3"/>
      <c r="WBK30" s="3"/>
      <c r="WBL30" s="3"/>
      <c r="WBM30" s="3"/>
      <c r="WBN30" s="3"/>
      <c r="WBO30" s="3"/>
      <c r="WBP30" s="3"/>
      <c r="WBQ30" s="3"/>
      <c r="WBR30" s="3"/>
      <c r="WBS30" s="3"/>
      <c r="WBT30" s="3"/>
      <c r="WBU30" s="3"/>
      <c r="WBV30" s="3"/>
      <c r="WBW30" s="3"/>
      <c r="WBX30" s="3"/>
      <c r="WBY30" s="3"/>
      <c r="WBZ30" s="3"/>
      <c r="WCA30" s="3"/>
      <c r="WCB30" s="3"/>
      <c r="WCC30" s="3"/>
      <c r="WCD30" s="3"/>
      <c r="WCE30" s="3"/>
      <c r="WCF30" s="3"/>
      <c r="WCG30" s="3"/>
      <c r="WCH30" s="3"/>
      <c r="WCI30" s="3"/>
      <c r="WCJ30" s="3"/>
      <c r="WCK30" s="3"/>
      <c r="WCL30" s="3"/>
      <c r="WCM30" s="3"/>
      <c r="WCN30" s="3"/>
      <c r="WCO30" s="3"/>
      <c r="WCP30" s="3"/>
      <c r="WCQ30" s="3"/>
      <c r="WCR30" s="3"/>
      <c r="WCS30" s="3"/>
      <c r="WCT30" s="3"/>
      <c r="WCU30" s="3"/>
      <c r="WCV30" s="3"/>
      <c r="WCW30" s="3"/>
      <c r="WCX30" s="3"/>
      <c r="WCY30" s="3"/>
      <c r="WCZ30" s="3"/>
      <c r="WDA30" s="3"/>
      <c r="WDB30" s="3"/>
      <c r="WDC30" s="3"/>
      <c r="WDD30" s="3"/>
      <c r="WDE30" s="3"/>
      <c r="WDF30" s="3"/>
      <c r="WDG30" s="3"/>
      <c r="WDH30" s="3"/>
      <c r="WDI30" s="3"/>
      <c r="WDJ30" s="3"/>
      <c r="WDK30" s="3"/>
      <c r="WDL30" s="3"/>
      <c r="WDM30" s="3"/>
      <c r="WDN30" s="3"/>
      <c r="WDO30" s="3"/>
      <c r="WDP30" s="3"/>
      <c r="WDQ30" s="3"/>
      <c r="WDR30" s="3"/>
      <c r="WDS30" s="3"/>
      <c r="WDT30" s="3"/>
      <c r="WDU30" s="3"/>
      <c r="WDV30" s="3"/>
      <c r="WDW30" s="3"/>
      <c r="WDX30" s="3"/>
      <c r="WDY30" s="3"/>
      <c r="WDZ30" s="3"/>
      <c r="WEA30" s="3"/>
      <c r="WEB30" s="3"/>
      <c r="WEC30" s="3"/>
      <c r="WED30" s="3"/>
      <c r="WEE30" s="3"/>
      <c r="WEF30" s="3"/>
      <c r="WEG30" s="3"/>
      <c r="WEH30" s="3"/>
      <c r="WEI30" s="3"/>
      <c r="WEJ30" s="3"/>
      <c r="WEK30" s="3"/>
      <c r="WEL30" s="3"/>
      <c r="WEM30" s="3"/>
      <c r="WEN30" s="3"/>
      <c r="WEO30" s="3"/>
      <c r="WEP30" s="3"/>
      <c r="WEQ30" s="3"/>
      <c r="WER30" s="3"/>
      <c r="WES30" s="3"/>
      <c r="WET30" s="3"/>
      <c r="WEU30" s="3"/>
      <c r="WEV30" s="3"/>
      <c r="WEW30" s="3"/>
      <c r="WEX30" s="3"/>
      <c r="WEY30" s="3"/>
      <c r="WEZ30" s="3"/>
      <c r="WFA30" s="3"/>
      <c r="WFB30" s="3"/>
      <c r="WFC30" s="3"/>
      <c r="WFD30" s="3"/>
      <c r="WFE30" s="3"/>
      <c r="WFF30" s="3"/>
      <c r="WFG30" s="3"/>
      <c r="WFH30" s="3"/>
      <c r="WFI30" s="3"/>
      <c r="WFJ30" s="3"/>
      <c r="WFK30" s="3"/>
      <c r="WFL30" s="3"/>
      <c r="WFM30" s="3"/>
      <c r="WFN30" s="3"/>
      <c r="WFO30" s="3"/>
      <c r="WFP30" s="3"/>
      <c r="WFQ30" s="3"/>
      <c r="WFR30" s="3"/>
      <c r="WFS30" s="3"/>
      <c r="WFT30" s="3"/>
      <c r="WFU30" s="3"/>
      <c r="WFV30" s="3"/>
      <c r="WFW30" s="3"/>
      <c r="WFX30" s="3"/>
      <c r="WFY30" s="3"/>
      <c r="WFZ30" s="3"/>
      <c r="WGA30" s="3"/>
      <c r="WGB30" s="3"/>
      <c r="WGC30" s="3"/>
      <c r="WGD30" s="3"/>
      <c r="WGE30" s="3"/>
      <c r="WGF30" s="3"/>
      <c r="WGG30" s="3"/>
      <c r="WGH30" s="3"/>
      <c r="WGI30" s="3"/>
      <c r="WGJ30" s="3"/>
      <c r="WGK30" s="3"/>
      <c r="WGL30" s="3"/>
      <c r="WGM30" s="3"/>
      <c r="WGN30" s="3"/>
      <c r="WGO30" s="3"/>
      <c r="WGP30" s="3"/>
      <c r="WGQ30" s="3"/>
      <c r="WGR30" s="3"/>
      <c r="WGS30" s="3"/>
      <c r="WGT30" s="3"/>
      <c r="WGU30" s="3"/>
      <c r="WGV30" s="3"/>
      <c r="WGW30" s="3"/>
      <c r="WGX30" s="3"/>
      <c r="WGY30" s="3"/>
      <c r="WGZ30" s="3"/>
      <c r="WHA30" s="3"/>
      <c r="WHB30" s="3"/>
      <c r="WHC30" s="3"/>
      <c r="WHD30" s="3"/>
      <c r="WHE30" s="3"/>
      <c r="WHF30" s="3"/>
      <c r="WHG30" s="3"/>
      <c r="WHH30" s="3"/>
      <c r="WHI30" s="3"/>
      <c r="WHJ30" s="3"/>
      <c r="WHK30" s="3"/>
      <c r="WHL30" s="3"/>
      <c r="WHM30" s="3"/>
      <c r="WHN30" s="3"/>
      <c r="WHO30" s="3"/>
      <c r="WHP30" s="3"/>
      <c r="WHQ30" s="3"/>
      <c r="WHR30" s="3"/>
      <c r="WHS30" s="3"/>
      <c r="WHT30" s="3"/>
      <c r="WHU30" s="3"/>
      <c r="WHV30" s="3"/>
      <c r="WHW30" s="3"/>
      <c r="WHX30" s="3"/>
      <c r="WHY30" s="3"/>
      <c r="WHZ30" s="3"/>
      <c r="WIA30" s="3"/>
      <c r="WIB30" s="3"/>
      <c r="WIC30" s="3"/>
      <c r="WID30" s="3"/>
      <c r="WIE30" s="3"/>
      <c r="WIF30" s="3"/>
      <c r="WIG30" s="3"/>
      <c r="WIH30" s="3"/>
      <c r="WII30" s="3"/>
      <c r="WIJ30" s="3"/>
      <c r="WIK30" s="3"/>
      <c r="WIL30" s="3"/>
      <c r="WIM30" s="3"/>
      <c r="WIN30" s="3"/>
      <c r="WIO30" s="3"/>
      <c r="WIP30" s="3"/>
      <c r="WIQ30" s="3"/>
      <c r="WIR30" s="3"/>
      <c r="WIS30" s="3"/>
      <c r="WIT30" s="3"/>
      <c r="WIU30" s="3"/>
      <c r="WIV30" s="3"/>
      <c r="WIW30" s="3"/>
      <c r="WIX30" s="3"/>
      <c r="WIY30" s="3"/>
      <c r="WIZ30" s="3"/>
      <c r="WJA30" s="3"/>
      <c r="WJB30" s="3"/>
      <c r="WJC30" s="3"/>
      <c r="WJD30" s="3"/>
      <c r="WJE30" s="3"/>
      <c r="WJF30" s="3"/>
      <c r="WJG30" s="3"/>
      <c r="WJH30" s="3"/>
      <c r="WJI30" s="3"/>
      <c r="WJJ30" s="3"/>
      <c r="WJK30" s="3"/>
      <c r="WJL30" s="3"/>
      <c r="WJM30" s="3"/>
      <c r="WJN30" s="3"/>
      <c r="WJO30" s="3"/>
      <c r="WJP30" s="3"/>
      <c r="WJQ30" s="3"/>
      <c r="WJR30" s="3"/>
      <c r="WJS30" s="3"/>
      <c r="WJT30" s="3"/>
      <c r="WJU30" s="3"/>
      <c r="WJV30" s="3"/>
      <c r="WJW30" s="3"/>
      <c r="WJX30" s="3"/>
      <c r="WJY30" s="3"/>
      <c r="WJZ30" s="3"/>
      <c r="WKA30" s="3"/>
      <c r="WKB30" s="3"/>
      <c r="WKC30" s="3"/>
      <c r="WKD30" s="3"/>
      <c r="WKE30" s="3"/>
      <c r="WKF30" s="3"/>
      <c r="WKG30" s="3"/>
      <c r="WKH30" s="3"/>
      <c r="WKI30" s="3"/>
      <c r="WKJ30" s="3"/>
      <c r="WKK30" s="3"/>
      <c r="WKL30" s="3"/>
      <c r="WKM30" s="3"/>
      <c r="WKN30" s="3"/>
      <c r="WKO30" s="3"/>
      <c r="WKP30" s="3"/>
      <c r="WKQ30" s="3"/>
      <c r="WKR30" s="3"/>
      <c r="WKS30" s="3"/>
      <c r="WKT30" s="3"/>
      <c r="WKU30" s="3"/>
      <c r="WKV30" s="3"/>
      <c r="WKW30" s="3"/>
      <c r="WKX30" s="3"/>
      <c r="WKY30" s="3"/>
      <c r="WKZ30" s="3"/>
      <c r="WLA30" s="3"/>
      <c r="WLB30" s="3"/>
      <c r="WLC30" s="3"/>
      <c r="WLD30" s="3"/>
      <c r="WLE30" s="3"/>
      <c r="WLF30" s="3"/>
      <c r="WLG30" s="3"/>
      <c r="WLH30" s="3"/>
      <c r="WLI30" s="3"/>
      <c r="WLJ30" s="3"/>
      <c r="WLK30" s="3"/>
      <c r="WLL30" s="3"/>
      <c r="WLM30" s="3"/>
      <c r="WLN30" s="3"/>
      <c r="WLO30" s="3"/>
      <c r="WLP30" s="3"/>
      <c r="WLQ30" s="3"/>
      <c r="WLR30" s="3"/>
      <c r="WLS30" s="3"/>
      <c r="WLT30" s="3"/>
      <c r="WLU30" s="3"/>
      <c r="WLV30" s="3"/>
      <c r="WLW30" s="3"/>
      <c r="WLX30" s="3"/>
      <c r="WLY30" s="3"/>
      <c r="WLZ30" s="3"/>
      <c r="WMA30" s="3"/>
      <c r="WMB30" s="3"/>
      <c r="WMC30" s="3"/>
      <c r="WMD30" s="3"/>
      <c r="WME30" s="3"/>
      <c r="WMF30" s="3"/>
      <c r="WMG30" s="3"/>
      <c r="WMH30" s="3"/>
      <c r="WMI30" s="3"/>
      <c r="WMJ30" s="3"/>
      <c r="WMK30" s="3"/>
      <c r="WML30" s="3"/>
      <c r="WMM30" s="3"/>
      <c r="WMN30" s="3"/>
      <c r="WMO30" s="3"/>
      <c r="WMP30" s="3"/>
      <c r="WMQ30" s="3"/>
      <c r="WMR30" s="3"/>
      <c r="WMS30" s="3"/>
      <c r="WMT30" s="3"/>
      <c r="WMU30" s="3"/>
      <c r="WMV30" s="3"/>
      <c r="WMW30" s="3"/>
      <c r="WMX30" s="3"/>
      <c r="WMY30" s="3"/>
      <c r="WMZ30" s="3"/>
      <c r="WNA30" s="3"/>
      <c r="WNB30" s="3"/>
      <c r="WNC30" s="3"/>
      <c r="WND30" s="3"/>
      <c r="WNE30" s="3"/>
      <c r="WNF30" s="3"/>
      <c r="WNG30" s="3"/>
      <c r="WNH30" s="3"/>
      <c r="WNI30" s="3"/>
      <c r="WNJ30" s="3"/>
      <c r="WNK30" s="3"/>
      <c r="WNL30" s="3"/>
      <c r="WNM30" s="3"/>
      <c r="WNN30" s="3"/>
      <c r="WNO30" s="3"/>
      <c r="WNP30" s="3"/>
      <c r="WNQ30" s="3"/>
      <c r="WNR30" s="3"/>
      <c r="WNS30" s="3"/>
      <c r="WNT30" s="3"/>
      <c r="WNU30" s="3"/>
      <c r="WNV30" s="3"/>
      <c r="WNW30" s="3"/>
      <c r="WNX30" s="3"/>
      <c r="WNY30" s="3"/>
      <c r="WNZ30" s="3"/>
      <c r="WOA30" s="3"/>
      <c r="WOB30" s="3"/>
      <c r="WOC30" s="3"/>
      <c r="WOD30" s="3"/>
      <c r="WOE30" s="3"/>
      <c r="WOF30" s="3"/>
      <c r="WOG30" s="3"/>
      <c r="WOH30" s="3"/>
      <c r="WOI30" s="3"/>
      <c r="WOJ30" s="3"/>
      <c r="WOK30" s="3"/>
      <c r="WOL30" s="3"/>
      <c r="WOM30" s="3"/>
      <c r="WON30" s="3"/>
      <c r="WOO30" s="3"/>
      <c r="WOP30" s="3"/>
      <c r="WOQ30" s="3"/>
      <c r="WOR30" s="3"/>
      <c r="WOS30" s="3"/>
      <c r="WOT30" s="3"/>
      <c r="WOU30" s="3"/>
      <c r="WOV30" s="3"/>
      <c r="WOW30" s="3"/>
      <c r="WOX30" s="3"/>
      <c r="WOY30" s="3"/>
      <c r="WOZ30" s="3"/>
      <c r="WPA30" s="3"/>
      <c r="WPB30" s="3"/>
      <c r="WPC30" s="3"/>
      <c r="WPD30" s="3"/>
      <c r="WPE30" s="3"/>
      <c r="WPF30" s="3"/>
      <c r="WPG30" s="3"/>
      <c r="WPH30" s="3"/>
      <c r="WPI30" s="3"/>
      <c r="WPJ30" s="3"/>
      <c r="WPK30" s="3"/>
      <c r="WPL30" s="3"/>
      <c r="WPM30" s="3"/>
      <c r="WPN30" s="3"/>
      <c r="WPO30" s="3"/>
      <c r="WPP30" s="3"/>
      <c r="WPQ30" s="3"/>
      <c r="WPR30" s="3"/>
      <c r="WPS30" s="3"/>
      <c r="WPT30" s="3"/>
      <c r="WPU30" s="3"/>
      <c r="WPV30" s="3"/>
      <c r="WPW30" s="3"/>
      <c r="WPX30" s="3"/>
      <c r="WPY30" s="3"/>
      <c r="WPZ30" s="3"/>
      <c r="WQA30" s="3"/>
      <c r="WQB30" s="3"/>
      <c r="WQC30" s="3"/>
      <c r="WQD30" s="3"/>
      <c r="WQE30" s="3"/>
      <c r="WQF30" s="3"/>
      <c r="WQG30" s="3"/>
      <c r="WQH30" s="3"/>
      <c r="WQI30" s="3"/>
      <c r="WQJ30" s="3"/>
      <c r="WQK30" s="3"/>
      <c r="WQL30" s="3"/>
      <c r="WQM30" s="3"/>
      <c r="WQN30" s="3"/>
      <c r="WQO30" s="3"/>
      <c r="WQP30" s="3"/>
      <c r="WQQ30" s="3"/>
      <c r="WQR30" s="3"/>
      <c r="WQS30" s="3"/>
      <c r="WQT30" s="3"/>
      <c r="WQU30" s="3"/>
      <c r="WQV30" s="3"/>
      <c r="WQW30" s="3"/>
      <c r="WQX30" s="3"/>
      <c r="WQY30" s="3"/>
      <c r="WQZ30" s="3"/>
      <c r="WRA30" s="3"/>
      <c r="WRB30" s="3"/>
      <c r="WRC30" s="3"/>
      <c r="WRD30" s="3"/>
      <c r="WRE30" s="3"/>
      <c r="WRF30" s="3"/>
      <c r="WRG30" s="3"/>
      <c r="WRH30" s="3"/>
      <c r="WRI30" s="3"/>
      <c r="WRJ30" s="3"/>
      <c r="WRK30" s="3"/>
      <c r="WRL30" s="3"/>
      <c r="WRM30" s="3"/>
      <c r="WRN30" s="3"/>
      <c r="WRO30" s="3"/>
      <c r="WRP30" s="3"/>
      <c r="WRQ30" s="3"/>
      <c r="WRR30" s="3"/>
      <c r="WRS30" s="3"/>
      <c r="WRT30" s="3"/>
      <c r="WRU30" s="3"/>
      <c r="WRV30" s="3"/>
      <c r="WRW30" s="3"/>
      <c r="WRX30" s="3"/>
      <c r="WRY30" s="3"/>
      <c r="WRZ30" s="3"/>
      <c r="WSA30" s="3"/>
      <c r="WSB30" s="3"/>
      <c r="WSC30" s="3"/>
      <c r="WSD30" s="3"/>
      <c r="WSE30" s="3"/>
      <c r="WSF30" s="3"/>
      <c r="WSG30" s="3"/>
      <c r="WSH30" s="3"/>
      <c r="WSI30" s="3"/>
      <c r="WSJ30" s="3"/>
      <c r="WSK30" s="3"/>
      <c r="WSL30" s="3"/>
      <c r="WSM30" s="3"/>
      <c r="WSN30" s="3"/>
      <c r="WSO30" s="3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1:16384">
      <c r="B31" s="286" t="s">
        <v>138</v>
      </c>
      <c r="C31" s="286"/>
      <c r="D31" s="286"/>
      <c r="E31" s="14"/>
      <c r="F31" s="14"/>
      <c r="G31" s="15">
        <f>AVERAGE(G27:G30)</f>
        <v>5.2050000000000001</v>
      </c>
      <c r="H31" s="16">
        <f>AVERAGE(H27:H30)</f>
        <v>1.98</v>
      </c>
      <c r="J31" s="19"/>
    </row>
    <row r="33" spans="1:16384">
      <c r="B33" s="3" t="s">
        <v>139</v>
      </c>
    </row>
    <row r="34" spans="1:16384" s="4" customFormat="1">
      <c r="A34" s="3"/>
      <c r="B34" s="3"/>
      <c r="C34" s="17" t="s">
        <v>140</v>
      </c>
      <c r="D34" s="17" t="s">
        <v>136</v>
      </c>
      <c r="E34" s="17" t="s">
        <v>137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/>
      <c r="AYE34" s="3"/>
      <c r="AYF34" s="3"/>
      <c r="AYG34" s="3"/>
      <c r="AYH34" s="3"/>
      <c r="AYI34" s="3"/>
      <c r="AYJ34" s="3"/>
      <c r="AYK34" s="3"/>
      <c r="AYL34" s="3"/>
      <c r="AYM34" s="3"/>
      <c r="AYN34" s="3"/>
      <c r="AYO34" s="3"/>
      <c r="AYP34" s="3"/>
      <c r="AYQ34" s="3"/>
      <c r="AYR34" s="3"/>
      <c r="AYS34" s="3"/>
      <c r="AYT34" s="3"/>
      <c r="AYU34" s="3"/>
      <c r="AYV34" s="3"/>
      <c r="AYW34" s="3"/>
      <c r="AYX34" s="3"/>
      <c r="AYY34" s="3"/>
      <c r="AYZ34" s="3"/>
      <c r="AZA34" s="3"/>
      <c r="AZB34" s="3"/>
      <c r="AZC34" s="3"/>
      <c r="AZD34" s="3"/>
      <c r="AZE34" s="3"/>
      <c r="AZF34" s="3"/>
      <c r="AZG34" s="3"/>
      <c r="AZH34" s="3"/>
      <c r="AZI34" s="3"/>
      <c r="AZJ34" s="3"/>
      <c r="AZK34" s="3"/>
      <c r="AZL34" s="3"/>
      <c r="AZM34" s="3"/>
      <c r="AZN34" s="3"/>
      <c r="AZO34" s="3"/>
      <c r="AZP34" s="3"/>
      <c r="AZQ34" s="3"/>
      <c r="AZR34" s="3"/>
      <c r="AZS34" s="3"/>
      <c r="AZT34" s="3"/>
      <c r="AZU34" s="3"/>
      <c r="AZV34" s="3"/>
      <c r="AZW34" s="3"/>
      <c r="AZX34" s="3"/>
      <c r="AZY34" s="3"/>
      <c r="AZZ34" s="3"/>
      <c r="BAA34" s="3"/>
      <c r="BAB34" s="3"/>
      <c r="BAC34" s="3"/>
      <c r="BAD34" s="3"/>
      <c r="BAE34" s="3"/>
      <c r="BAF34" s="3"/>
      <c r="BAG34" s="3"/>
      <c r="BAH34" s="3"/>
      <c r="BAI34" s="3"/>
      <c r="BAJ34" s="3"/>
      <c r="BAK34" s="3"/>
      <c r="BAL34" s="3"/>
      <c r="BAM34" s="3"/>
      <c r="BAN34" s="3"/>
      <c r="BAO34" s="3"/>
      <c r="BAP34" s="3"/>
      <c r="BAQ34" s="3"/>
      <c r="BAR34" s="3"/>
      <c r="BAS34" s="3"/>
      <c r="BAT34" s="3"/>
      <c r="BAU34" s="3"/>
      <c r="BAV34" s="3"/>
      <c r="BAW34" s="3"/>
      <c r="BAX34" s="3"/>
      <c r="BAY34" s="3"/>
      <c r="BAZ34" s="3"/>
      <c r="BBA34" s="3"/>
      <c r="BBB34" s="3"/>
      <c r="BBC34" s="3"/>
      <c r="BBD34" s="3"/>
      <c r="BBE34" s="3"/>
      <c r="BBF34" s="3"/>
      <c r="BBG34" s="3"/>
      <c r="BBH34" s="3"/>
      <c r="BBI34" s="3"/>
      <c r="BBJ34" s="3"/>
      <c r="BBK34" s="3"/>
      <c r="BBL34" s="3"/>
      <c r="BBM34" s="3"/>
      <c r="BBN34" s="3"/>
      <c r="BBO34" s="3"/>
      <c r="BBP34" s="3"/>
      <c r="BBQ34" s="3"/>
      <c r="BBR34" s="3"/>
      <c r="BBS34" s="3"/>
      <c r="BBT34" s="3"/>
      <c r="BBU34" s="3"/>
      <c r="BBV34" s="3"/>
      <c r="BBW34" s="3"/>
      <c r="BBX34" s="3"/>
      <c r="BBY34" s="3"/>
      <c r="BBZ34" s="3"/>
      <c r="BCA34" s="3"/>
      <c r="BCB34" s="3"/>
      <c r="BCC34" s="3"/>
      <c r="BCD34" s="3"/>
      <c r="BCE34" s="3"/>
      <c r="BCF34" s="3"/>
      <c r="BCG34" s="3"/>
      <c r="BCH34" s="3"/>
      <c r="BCI34" s="3"/>
      <c r="BCJ34" s="3"/>
      <c r="BCK34" s="3"/>
      <c r="BCL34" s="3"/>
      <c r="BCM34" s="3"/>
      <c r="BCN34" s="3"/>
      <c r="BCO34" s="3"/>
      <c r="BCP34" s="3"/>
      <c r="BCQ34" s="3"/>
      <c r="BCR34" s="3"/>
      <c r="BCS34" s="3"/>
      <c r="BCT34" s="3"/>
      <c r="BCU34" s="3"/>
      <c r="BCV34" s="3"/>
      <c r="BCW34" s="3"/>
      <c r="BCX34" s="3"/>
      <c r="BCY34" s="3"/>
      <c r="BCZ34" s="3"/>
      <c r="BDA34" s="3"/>
      <c r="BDB34" s="3"/>
      <c r="BDC34" s="3"/>
      <c r="BDD34" s="3"/>
      <c r="BDE34" s="3"/>
      <c r="BDF34" s="3"/>
      <c r="BDG34" s="3"/>
      <c r="BDH34" s="3"/>
      <c r="BDI34" s="3"/>
      <c r="BDJ34" s="3"/>
      <c r="BDK34" s="3"/>
      <c r="BDL34" s="3"/>
      <c r="BDM34" s="3"/>
      <c r="BDN34" s="3"/>
      <c r="BDO34" s="3"/>
      <c r="BDP34" s="3"/>
      <c r="BDQ34" s="3"/>
      <c r="BDR34" s="3"/>
      <c r="BDS34" s="3"/>
      <c r="BDT34" s="3"/>
      <c r="BDU34" s="3"/>
      <c r="BDV34" s="3"/>
      <c r="BDW34" s="3"/>
      <c r="BDX34" s="3"/>
      <c r="BDY34" s="3"/>
      <c r="BDZ34" s="3"/>
      <c r="BEA34" s="3"/>
      <c r="BEB34" s="3"/>
      <c r="BEC34" s="3"/>
      <c r="BED34" s="3"/>
      <c r="BEE34" s="3"/>
      <c r="BEF34" s="3"/>
      <c r="BEG34" s="3"/>
      <c r="BEH34" s="3"/>
      <c r="BEI34" s="3"/>
      <c r="BEJ34" s="3"/>
      <c r="BEK34" s="3"/>
      <c r="BEL34" s="3"/>
      <c r="BEM34" s="3"/>
      <c r="BEN34" s="3"/>
      <c r="BEO34" s="3"/>
      <c r="BEP34" s="3"/>
      <c r="BEQ34" s="3"/>
      <c r="BER34" s="3"/>
      <c r="BES34" s="3"/>
      <c r="BET34" s="3"/>
      <c r="BEU34" s="3"/>
      <c r="BEV34" s="3"/>
      <c r="BEW34" s="3"/>
      <c r="BEX34" s="3"/>
      <c r="BEY34" s="3"/>
      <c r="BEZ34" s="3"/>
      <c r="BFA34" s="3"/>
      <c r="BFB34" s="3"/>
      <c r="BFC34" s="3"/>
      <c r="BFD34" s="3"/>
      <c r="BFE34" s="3"/>
      <c r="BFF34" s="3"/>
      <c r="BFG34" s="3"/>
      <c r="BFH34" s="3"/>
      <c r="BFI34" s="3"/>
      <c r="BFJ34" s="3"/>
      <c r="BFK34" s="3"/>
      <c r="BFL34" s="3"/>
      <c r="BFM34" s="3"/>
      <c r="BFN34" s="3"/>
      <c r="BFO34" s="3"/>
      <c r="BFP34" s="3"/>
      <c r="BFQ34" s="3"/>
      <c r="BFR34" s="3"/>
      <c r="BFS34" s="3"/>
      <c r="BFT34" s="3"/>
      <c r="BFU34" s="3"/>
      <c r="BFV34" s="3"/>
      <c r="BFW34" s="3"/>
      <c r="BFX34" s="3"/>
      <c r="BFY34" s="3"/>
      <c r="BFZ34" s="3"/>
      <c r="BGA34" s="3"/>
      <c r="BGB34" s="3"/>
      <c r="BGC34" s="3"/>
      <c r="BGD34" s="3"/>
      <c r="BGE34" s="3"/>
      <c r="BGF34" s="3"/>
      <c r="BGG34" s="3"/>
      <c r="BGH34" s="3"/>
      <c r="BGI34" s="3"/>
      <c r="BGJ34" s="3"/>
      <c r="BGK34" s="3"/>
      <c r="BGL34" s="3"/>
      <c r="BGM34" s="3"/>
      <c r="BGN34" s="3"/>
      <c r="BGO34" s="3"/>
      <c r="BGP34" s="3"/>
      <c r="BGQ34" s="3"/>
      <c r="BGR34" s="3"/>
      <c r="BGS34" s="3"/>
      <c r="BGT34" s="3"/>
      <c r="BGU34" s="3"/>
      <c r="BGV34" s="3"/>
      <c r="BGW34" s="3"/>
      <c r="BGX34" s="3"/>
      <c r="BGY34" s="3"/>
      <c r="BGZ34" s="3"/>
      <c r="BHA34" s="3"/>
      <c r="BHB34" s="3"/>
      <c r="BHC34" s="3"/>
      <c r="BHD34" s="3"/>
      <c r="BHE34" s="3"/>
      <c r="BHF34" s="3"/>
      <c r="BHG34" s="3"/>
      <c r="BHH34" s="3"/>
      <c r="BHI34" s="3"/>
      <c r="BHJ34" s="3"/>
      <c r="BHK34" s="3"/>
      <c r="BHL34" s="3"/>
      <c r="BHM34" s="3"/>
      <c r="BHN34" s="3"/>
      <c r="BHO34" s="3"/>
      <c r="BHP34" s="3"/>
      <c r="BHQ34" s="3"/>
      <c r="BHR34" s="3"/>
      <c r="BHS34" s="3"/>
      <c r="BHT34" s="3"/>
      <c r="BHU34" s="3"/>
      <c r="BHV34" s="3"/>
      <c r="BHW34" s="3"/>
      <c r="BHX34" s="3"/>
      <c r="BHY34" s="3"/>
      <c r="BHZ34" s="3"/>
      <c r="BIA34" s="3"/>
      <c r="BIB34" s="3"/>
      <c r="BIC34" s="3"/>
      <c r="BID34" s="3"/>
      <c r="BIE34" s="3"/>
      <c r="BIF34" s="3"/>
      <c r="BIG34" s="3"/>
      <c r="BIH34" s="3"/>
      <c r="BII34" s="3"/>
      <c r="BIJ34" s="3"/>
      <c r="BIK34" s="3"/>
      <c r="BIL34" s="3"/>
      <c r="BIM34" s="3"/>
      <c r="BIN34" s="3"/>
      <c r="BIO34" s="3"/>
      <c r="BIP34" s="3"/>
      <c r="BIQ34" s="3"/>
      <c r="BIR34" s="3"/>
      <c r="BIS34" s="3"/>
      <c r="BIT34" s="3"/>
      <c r="BIU34" s="3"/>
      <c r="BIV34" s="3"/>
      <c r="BIW34" s="3"/>
      <c r="BIX34" s="3"/>
      <c r="BIY34" s="3"/>
      <c r="BIZ34" s="3"/>
      <c r="BJA34" s="3"/>
      <c r="BJB34" s="3"/>
      <c r="BJC34" s="3"/>
      <c r="BJD34" s="3"/>
      <c r="BJE34" s="3"/>
      <c r="BJF34" s="3"/>
      <c r="BJG34" s="3"/>
      <c r="BJH34" s="3"/>
      <c r="BJI34" s="3"/>
      <c r="BJJ34" s="3"/>
      <c r="BJK34" s="3"/>
      <c r="BJL34" s="3"/>
      <c r="BJM34" s="3"/>
      <c r="BJN34" s="3"/>
      <c r="BJO34" s="3"/>
      <c r="BJP34" s="3"/>
      <c r="BJQ34" s="3"/>
      <c r="BJR34" s="3"/>
      <c r="BJS34" s="3"/>
      <c r="BJT34" s="3"/>
      <c r="BJU34" s="3"/>
      <c r="BJV34" s="3"/>
      <c r="BJW34" s="3"/>
      <c r="BJX34" s="3"/>
      <c r="BJY34" s="3"/>
      <c r="BJZ34" s="3"/>
      <c r="BKA34" s="3"/>
      <c r="BKB34" s="3"/>
      <c r="BKC34" s="3"/>
      <c r="BKD34" s="3"/>
      <c r="BKE34" s="3"/>
      <c r="BKF34" s="3"/>
      <c r="BKG34" s="3"/>
      <c r="BKH34" s="3"/>
      <c r="BKI34" s="3"/>
      <c r="BKJ34" s="3"/>
      <c r="BKK34" s="3"/>
      <c r="BKL34" s="3"/>
      <c r="BKM34" s="3"/>
      <c r="BKN34" s="3"/>
      <c r="BKO34" s="3"/>
      <c r="BKP34" s="3"/>
      <c r="BKQ34" s="3"/>
      <c r="BKR34" s="3"/>
      <c r="BKS34" s="3"/>
      <c r="BKT34" s="3"/>
      <c r="BKU34" s="3"/>
      <c r="BKV34" s="3"/>
      <c r="BKW34" s="3"/>
      <c r="BKX34" s="3"/>
      <c r="BKY34" s="3"/>
      <c r="BKZ34" s="3"/>
      <c r="BLA34" s="3"/>
      <c r="BLB34" s="3"/>
      <c r="BLC34" s="3"/>
      <c r="BLD34" s="3"/>
      <c r="BLE34" s="3"/>
      <c r="BLF34" s="3"/>
      <c r="BLG34" s="3"/>
      <c r="BLH34" s="3"/>
      <c r="BLI34" s="3"/>
      <c r="BLJ34" s="3"/>
      <c r="BLK34" s="3"/>
      <c r="BLL34" s="3"/>
      <c r="BLM34" s="3"/>
      <c r="BLN34" s="3"/>
      <c r="BLO34" s="3"/>
      <c r="BLP34" s="3"/>
      <c r="BLQ34" s="3"/>
      <c r="BLR34" s="3"/>
      <c r="BLS34" s="3"/>
      <c r="BLT34" s="3"/>
      <c r="BLU34" s="3"/>
      <c r="BLV34" s="3"/>
      <c r="BLW34" s="3"/>
      <c r="BLX34" s="3"/>
      <c r="BLY34" s="3"/>
      <c r="BLZ34" s="3"/>
      <c r="BMA34" s="3"/>
      <c r="BMB34" s="3"/>
      <c r="BMC34" s="3"/>
      <c r="BMD34" s="3"/>
      <c r="BME34" s="3"/>
      <c r="BMF34" s="3"/>
      <c r="BMG34" s="3"/>
      <c r="BMH34" s="3"/>
      <c r="BMI34" s="3"/>
      <c r="BMJ34" s="3"/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  <c r="BYA34" s="3"/>
      <c r="BYB34" s="3"/>
      <c r="BYC34" s="3"/>
      <c r="BYD34" s="3"/>
      <c r="BYE34" s="3"/>
      <c r="BYF34" s="3"/>
      <c r="BYG34" s="3"/>
      <c r="BYH34" s="3"/>
      <c r="BYI34" s="3"/>
      <c r="BYJ34" s="3"/>
      <c r="BYK34" s="3"/>
      <c r="BYL34" s="3"/>
      <c r="BYM34" s="3"/>
      <c r="BYN34" s="3"/>
      <c r="BYO34" s="3"/>
      <c r="BYP34" s="3"/>
      <c r="BYQ34" s="3"/>
      <c r="BYR34" s="3"/>
      <c r="BYS34" s="3"/>
      <c r="BYT34" s="3"/>
      <c r="BYU34" s="3"/>
      <c r="BYV34" s="3"/>
      <c r="BYW34" s="3"/>
      <c r="BYX34" s="3"/>
      <c r="BYY34" s="3"/>
      <c r="BYZ34" s="3"/>
      <c r="BZA34" s="3"/>
      <c r="BZB34" s="3"/>
      <c r="BZC34" s="3"/>
      <c r="BZD34" s="3"/>
      <c r="BZE34" s="3"/>
      <c r="BZF34" s="3"/>
      <c r="BZG34" s="3"/>
      <c r="BZH34" s="3"/>
      <c r="BZI34" s="3"/>
      <c r="BZJ34" s="3"/>
      <c r="BZK34" s="3"/>
      <c r="BZL34" s="3"/>
      <c r="BZM34" s="3"/>
      <c r="BZN34" s="3"/>
      <c r="BZO34" s="3"/>
      <c r="BZP34" s="3"/>
      <c r="BZQ34" s="3"/>
      <c r="BZR34" s="3"/>
      <c r="BZS34" s="3"/>
      <c r="BZT34" s="3"/>
      <c r="BZU34" s="3"/>
      <c r="BZV34" s="3"/>
      <c r="BZW34" s="3"/>
      <c r="BZX34" s="3"/>
      <c r="BZY34" s="3"/>
      <c r="BZZ34" s="3"/>
      <c r="CAA34" s="3"/>
      <c r="CAB34" s="3"/>
      <c r="CAC34" s="3"/>
      <c r="CAD34" s="3"/>
      <c r="CAE34" s="3"/>
      <c r="CAF34" s="3"/>
      <c r="CAG34" s="3"/>
      <c r="CAH34" s="3"/>
      <c r="CAI34" s="3"/>
      <c r="CAJ34" s="3"/>
      <c r="CAK34" s="3"/>
      <c r="CAL34" s="3"/>
      <c r="CAM34" s="3"/>
      <c r="CAN34" s="3"/>
      <c r="CAO34" s="3"/>
      <c r="CAP34" s="3"/>
      <c r="CAQ34" s="3"/>
      <c r="CAR34" s="3"/>
      <c r="CAS34" s="3"/>
      <c r="CAT34" s="3"/>
      <c r="CAU34" s="3"/>
      <c r="CAV34" s="3"/>
      <c r="CAW34" s="3"/>
      <c r="CAX34" s="3"/>
      <c r="CAY34" s="3"/>
      <c r="CAZ34" s="3"/>
      <c r="CBA34" s="3"/>
      <c r="CBB34" s="3"/>
      <c r="CBC34" s="3"/>
      <c r="CBD34" s="3"/>
      <c r="CBE34" s="3"/>
      <c r="CBF34" s="3"/>
      <c r="CBG34" s="3"/>
      <c r="CBH34" s="3"/>
      <c r="CBI34" s="3"/>
      <c r="CBJ34" s="3"/>
      <c r="CBK34" s="3"/>
      <c r="CBL34" s="3"/>
      <c r="CBM34" s="3"/>
      <c r="CBN34" s="3"/>
      <c r="CBO34" s="3"/>
      <c r="CBP34" s="3"/>
      <c r="CBQ34" s="3"/>
      <c r="CBR34" s="3"/>
      <c r="CBS34" s="3"/>
      <c r="CBT34" s="3"/>
      <c r="CBU34" s="3"/>
      <c r="CBV34" s="3"/>
      <c r="CBW34" s="3"/>
      <c r="CBX34" s="3"/>
      <c r="CBY34" s="3"/>
      <c r="CBZ34" s="3"/>
      <c r="CCA34" s="3"/>
      <c r="CCB34" s="3"/>
      <c r="CCC34" s="3"/>
      <c r="CCD34" s="3"/>
      <c r="CCE34" s="3"/>
      <c r="CCF34" s="3"/>
      <c r="CCG34" s="3"/>
      <c r="CCH34" s="3"/>
      <c r="CCI34" s="3"/>
      <c r="CCJ34" s="3"/>
      <c r="CCK34" s="3"/>
      <c r="CCL34" s="3"/>
      <c r="CCM34" s="3"/>
      <c r="CCN34" s="3"/>
      <c r="CCO34" s="3"/>
      <c r="CCP34" s="3"/>
      <c r="CCQ34" s="3"/>
      <c r="CCR34" s="3"/>
      <c r="CCS34" s="3"/>
      <c r="CCT34" s="3"/>
      <c r="CCU34" s="3"/>
      <c r="CCV34" s="3"/>
      <c r="CCW34" s="3"/>
      <c r="CCX34" s="3"/>
      <c r="CCY34" s="3"/>
      <c r="CCZ34" s="3"/>
      <c r="CDA34" s="3"/>
      <c r="CDB34" s="3"/>
      <c r="CDC34" s="3"/>
      <c r="CDD34" s="3"/>
      <c r="CDE34" s="3"/>
      <c r="CDF34" s="3"/>
      <c r="CDG34" s="3"/>
      <c r="CDH34" s="3"/>
      <c r="CDI34" s="3"/>
      <c r="CDJ34" s="3"/>
      <c r="CDK34" s="3"/>
      <c r="CDL34" s="3"/>
      <c r="CDM34" s="3"/>
      <c r="CDN34" s="3"/>
      <c r="CDO34" s="3"/>
      <c r="CDP34" s="3"/>
      <c r="CDQ34" s="3"/>
      <c r="CDR34" s="3"/>
      <c r="CDS34" s="3"/>
      <c r="CDT34" s="3"/>
      <c r="CDU34" s="3"/>
      <c r="CDV34" s="3"/>
      <c r="CDW34" s="3"/>
      <c r="CDX34" s="3"/>
      <c r="CDY34" s="3"/>
      <c r="CDZ34" s="3"/>
      <c r="CEA34" s="3"/>
      <c r="CEB34" s="3"/>
      <c r="CEC34" s="3"/>
      <c r="CED34" s="3"/>
      <c r="CEE34" s="3"/>
      <c r="CEF34" s="3"/>
      <c r="CEG34" s="3"/>
      <c r="CEH34" s="3"/>
      <c r="CEI34" s="3"/>
      <c r="CEJ34" s="3"/>
      <c r="CEK34" s="3"/>
      <c r="CEL34" s="3"/>
      <c r="CEM34" s="3"/>
      <c r="CEN34" s="3"/>
      <c r="CEO34" s="3"/>
      <c r="CEP34" s="3"/>
      <c r="CEQ34" s="3"/>
      <c r="CER34" s="3"/>
      <c r="CES34" s="3"/>
      <c r="CET34" s="3"/>
      <c r="CEU34" s="3"/>
      <c r="CEV34" s="3"/>
      <c r="CEW34" s="3"/>
      <c r="CEX34" s="3"/>
      <c r="CEY34" s="3"/>
      <c r="CEZ34" s="3"/>
      <c r="CFA34" s="3"/>
      <c r="CFB34" s="3"/>
      <c r="CFC34" s="3"/>
      <c r="CFD34" s="3"/>
      <c r="CFE34" s="3"/>
      <c r="CFF34" s="3"/>
      <c r="CFG34" s="3"/>
      <c r="CFH34" s="3"/>
      <c r="CFI34" s="3"/>
      <c r="CFJ34" s="3"/>
      <c r="CFK34" s="3"/>
      <c r="CFL34" s="3"/>
      <c r="CFM34" s="3"/>
      <c r="CFN34" s="3"/>
      <c r="CFO34" s="3"/>
      <c r="CFP34" s="3"/>
      <c r="CFQ34" s="3"/>
      <c r="CFR34" s="3"/>
      <c r="CFS34" s="3"/>
      <c r="CFT34" s="3"/>
      <c r="CFU34" s="3"/>
      <c r="CFV34" s="3"/>
      <c r="CFW34" s="3"/>
      <c r="CFX34" s="3"/>
      <c r="CFY34" s="3"/>
      <c r="CFZ34" s="3"/>
      <c r="CGA34" s="3"/>
      <c r="CGB34" s="3"/>
      <c r="CGC34" s="3"/>
      <c r="CGD34" s="3"/>
      <c r="CGE34" s="3"/>
      <c r="CGF34" s="3"/>
      <c r="CGG34" s="3"/>
      <c r="CGH34" s="3"/>
      <c r="CGI34" s="3"/>
      <c r="CGJ34" s="3"/>
      <c r="CGK34" s="3"/>
      <c r="CGL34" s="3"/>
      <c r="CGM34" s="3"/>
      <c r="CGN34" s="3"/>
      <c r="CGO34" s="3"/>
      <c r="CGP34" s="3"/>
      <c r="CGQ34" s="3"/>
      <c r="CGR34" s="3"/>
      <c r="CGS34" s="3"/>
      <c r="CGT34" s="3"/>
      <c r="CGU34" s="3"/>
      <c r="CGV34" s="3"/>
      <c r="CGW34" s="3"/>
      <c r="CGX34" s="3"/>
      <c r="CGY34" s="3"/>
      <c r="CGZ34" s="3"/>
      <c r="CHA34" s="3"/>
      <c r="CHB34" s="3"/>
      <c r="CHC34" s="3"/>
      <c r="CHD34" s="3"/>
      <c r="CHE34" s="3"/>
      <c r="CHF34" s="3"/>
      <c r="CHG34" s="3"/>
      <c r="CHH34" s="3"/>
      <c r="CHI34" s="3"/>
      <c r="CHJ34" s="3"/>
      <c r="CHK34" s="3"/>
      <c r="CHL34" s="3"/>
      <c r="CHM34" s="3"/>
      <c r="CHN34" s="3"/>
      <c r="CHO34" s="3"/>
      <c r="CHP34" s="3"/>
      <c r="CHQ34" s="3"/>
      <c r="CHR34" s="3"/>
      <c r="CHS34" s="3"/>
      <c r="CHT34" s="3"/>
      <c r="CHU34" s="3"/>
      <c r="CHV34" s="3"/>
      <c r="CHW34" s="3"/>
      <c r="CHX34" s="3"/>
      <c r="CHY34" s="3"/>
      <c r="CHZ34" s="3"/>
      <c r="CIA34" s="3"/>
      <c r="CIB34" s="3"/>
      <c r="CIC34" s="3"/>
      <c r="CID34" s="3"/>
      <c r="CIE34" s="3"/>
      <c r="CIF34" s="3"/>
      <c r="CIG34" s="3"/>
      <c r="CIH34" s="3"/>
      <c r="CII34" s="3"/>
      <c r="CIJ34" s="3"/>
      <c r="CIK34" s="3"/>
      <c r="CIL34" s="3"/>
      <c r="CIM34" s="3"/>
      <c r="CIN34" s="3"/>
      <c r="CIO34" s="3"/>
      <c r="CIP34" s="3"/>
      <c r="CIQ34" s="3"/>
      <c r="CIR34" s="3"/>
      <c r="CIS34" s="3"/>
      <c r="CIT34" s="3"/>
      <c r="CIU34" s="3"/>
      <c r="CIV34" s="3"/>
      <c r="CIW34" s="3"/>
      <c r="CIX34" s="3"/>
      <c r="CIY34" s="3"/>
      <c r="CIZ34" s="3"/>
      <c r="CJA34" s="3"/>
      <c r="CJB34" s="3"/>
      <c r="CJC34" s="3"/>
      <c r="CJD34" s="3"/>
      <c r="CJE34" s="3"/>
      <c r="CJF34" s="3"/>
      <c r="CJG34" s="3"/>
      <c r="CJH34" s="3"/>
      <c r="CJI34" s="3"/>
      <c r="CJJ34" s="3"/>
      <c r="CJK34" s="3"/>
      <c r="CJL34" s="3"/>
      <c r="CJM34" s="3"/>
      <c r="CJN34" s="3"/>
      <c r="CJO34" s="3"/>
      <c r="CJP34" s="3"/>
      <c r="CJQ34" s="3"/>
      <c r="CJR34" s="3"/>
      <c r="CJS34" s="3"/>
      <c r="CJT34" s="3"/>
      <c r="CJU34" s="3"/>
      <c r="CJV34" s="3"/>
      <c r="CJW34" s="3"/>
      <c r="CJX34" s="3"/>
      <c r="CJY34" s="3"/>
      <c r="CJZ34" s="3"/>
      <c r="CKA34" s="3"/>
      <c r="CKB34" s="3"/>
      <c r="CKC34" s="3"/>
      <c r="CKD34" s="3"/>
      <c r="CKE34" s="3"/>
      <c r="CKF34" s="3"/>
      <c r="CKG34" s="3"/>
      <c r="CKH34" s="3"/>
      <c r="CKI34" s="3"/>
      <c r="CKJ34" s="3"/>
      <c r="CKK34" s="3"/>
      <c r="CKL34" s="3"/>
      <c r="CKM34" s="3"/>
      <c r="CKN34" s="3"/>
      <c r="CKO34" s="3"/>
      <c r="CKP34" s="3"/>
      <c r="CKQ34" s="3"/>
      <c r="CKR34" s="3"/>
      <c r="CKS34" s="3"/>
      <c r="CKT34" s="3"/>
      <c r="CKU34" s="3"/>
      <c r="CKV34" s="3"/>
      <c r="CKW34" s="3"/>
      <c r="CKX34" s="3"/>
      <c r="CKY34" s="3"/>
      <c r="CKZ34" s="3"/>
      <c r="CLA34" s="3"/>
      <c r="CLB34" s="3"/>
      <c r="CLC34" s="3"/>
      <c r="CLD34" s="3"/>
      <c r="CLE34" s="3"/>
      <c r="CLF34" s="3"/>
      <c r="CLG34" s="3"/>
      <c r="CLH34" s="3"/>
      <c r="CLI34" s="3"/>
      <c r="CLJ34" s="3"/>
      <c r="CLK34" s="3"/>
      <c r="CLL34" s="3"/>
      <c r="CLM34" s="3"/>
      <c r="CLN34" s="3"/>
      <c r="CLO34" s="3"/>
      <c r="CLP34" s="3"/>
      <c r="CLQ34" s="3"/>
      <c r="CLR34" s="3"/>
      <c r="CLS34" s="3"/>
      <c r="CLT34" s="3"/>
      <c r="CLU34" s="3"/>
      <c r="CLV34" s="3"/>
      <c r="CLW34" s="3"/>
      <c r="CLX34" s="3"/>
      <c r="CLY34" s="3"/>
      <c r="CLZ34" s="3"/>
      <c r="CMA34" s="3"/>
      <c r="CMB34" s="3"/>
      <c r="CMC34" s="3"/>
      <c r="CMD34" s="3"/>
      <c r="CME34" s="3"/>
      <c r="CMF34" s="3"/>
      <c r="CMG34" s="3"/>
      <c r="CMH34" s="3"/>
      <c r="CMI34" s="3"/>
      <c r="CMJ34" s="3"/>
      <c r="CMK34" s="3"/>
      <c r="CML34" s="3"/>
      <c r="CMM34" s="3"/>
      <c r="CMN34" s="3"/>
      <c r="CMO34" s="3"/>
      <c r="CMP34" s="3"/>
      <c r="CMQ34" s="3"/>
      <c r="CMR34" s="3"/>
      <c r="CMS34" s="3"/>
      <c r="CMT34" s="3"/>
      <c r="CMU34" s="3"/>
      <c r="CMV34" s="3"/>
      <c r="CMW34" s="3"/>
      <c r="CMX34" s="3"/>
      <c r="CMY34" s="3"/>
      <c r="CMZ34" s="3"/>
      <c r="CNA34" s="3"/>
      <c r="CNB34" s="3"/>
      <c r="CNC34" s="3"/>
      <c r="CND34" s="3"/>
      <c r="CNE34" s="3"/>
      <c r="CNF34" s="3"/>
      <c r="CNG34" s="3"/>
      <c r="CNH34" s="3"/>
      <c r="CNI34" s="3"/>
      <c r="CNJ34" s="3"/>
      <c r="CNK34" s="3"/>
      <c r="CNL34" s="3"/>
      <c r="CNM34" s="3"/>
      <c r="CNN34" s="3"/>
      <c r="CNO34" s="3"/>
      <c r="CNP34" s="3"/>
      <c r="CNQ34" s="3"/>
      <c r="CNR34" s="3"/>
      <c r="CNS34" s="3"/>
      <c r="CNT34" s="3"/>
      <c r="CNU34" s="3"/>
      <c r="CNV34" s="3"/>
      <c r="CNW34" s="3"/>
      <c r="CNX34" s="3"/>
      <c r="CNY34" s="3"/>
      <c r="CNZ34" s="3"/>
      <c r="COA34" s="3"/>
      <c r="COB34" s="3"/>
      <c r="COC34" s="3"/>
      <c r="COD34" s="3"/>
      <c r="COE34" s="3"/>
      <c r="COF34" s="3"/>
      <c r="COG34" s="3"/>
      <c r="COH34" s="3"/>
      <c r="COI34" s="3"/>
      <c r="COJ34" s="3"/>
      <c r="COK34" s="3"/>
      <c r="COL34" s="3"/>
      <c r="COM34" s="3"/>
      <c r="CON34" s="3"/>
      <c r="COO34" s="3"/>
      <c r="COP34" s="3"/>
      <c r="COQ34" s="3"/>
      <c r="COR34" s="3"/>
      <c r="COS34" s="3"/>
      <c r="COT34" s="3"/>
      <c r="COU34" s="3"/>
      <c r="COV34" s="3"/>
      <c r="COW34" s="3"/>
      <c r="COX34" s="3"/>
      <c r="COY34" s="3"/>
      <c r="COZ34" s="3"/>
      <c r="CPA34" s="3"/>
      <c r="CPB34" s="3"/>
      <c r="CPC34" s="3"/>
      <c r="CPD34" s="3"/>
      <c r="CPE34" s="3"/>
      <c r="CPF34" s="3"/>
      <c r="CPG34" s="3"/>
      <c r="CPH34" s="3"/>
      <c r="CPI34" s="3"/>
      <c r="CPJ34" s="3"/>
      <c r="CPK34" s="3"/>
      <c r="CPL34" s="3"/>
      <c r="CPM34" s="3"/>
      <c r="CPN34" s="3"/>
      <c r="CPO34" s="3"/>
      <c r="CPP34" s="3"/>
      <c r="CPQ34" s="3"/>
      <c r="CPR34" s="3"/>
      <c r="CPS34" s="3"/>
      <c r="CPT34" s="3"/>
      <c r="CPU34" s="3"/>
      <c r="CPV34" s="3"/>
      <c r="CPW34" s="3"/>
      <c r="CPX34" s="3"/>
      <c r="CPY34" s="3"/>
      <c r="CPZ34" s="3"/>
      <c r="CQA34" s="3"/>
      <c r="CQB34" s="3"/>
      <c r="CQC34" s="3"/>
      <c r="CQD34" s="3"/>
      <c r="CQE34" s="3"/>
      <c r="CQF34" s="3"/>
      <c r="CQG34" s="3"/>
      <c r="CQH34" s="3"/>
      <c r="CQI34" s="3"/>
      <c r="CQJ34" s="3"/>
      <c r="CQK34" s="3"/>
      <c r="CQL34" s="3"/>
      <c r="CQM34" s="3"/>
      <c r="CQN34" s="3"/>
      <c r="CQO34" s="3"/>
      <c r="CQP34" s="3"/>
      <c r="CQQ34" s="3"/>
      <c r="CQR34" s="3"/>
      <c r="CQS34" s="3"/>
      <c r="CQT34" s="3"/>
      <c r="CQU34" s="3"/>
      <c r="CQV34" s="3"/>
      <c r="CQW34" s="3"/>
      <c r="CQX34" s="3"/>
      <c r="CQY34" s="3"/>
      <c r="CQZ34" s="3"/>
      <c r="CRA34" s="3"/>
      <c r="CRB34" s="3"/>
      <c r="CRC34" s="3"/>
      <c r="CRD34" s="3"/>
      <c r="CRE34" s="3"/>
      <c r="CRF34" s="3"/>
      <c r="CRG34" s="3"/>
      <c r="CRH34" s="3"/>
      <c r="CRI34" s="3"/>
      <c r="CRJ34" s="3"/>
      <c r="CRK34" s="3"/>
      <c r="CRL34" s="3"/>
      <c r="CRM34" s="3"/>
      <c r="CRN34" s="3"/>
      <c r="CRO34" s="3"/>
      <c r="CRP34" s="3"/>
      <c r="CRQ34" s="3"/>
      <c r="CRR34" s="3"/>
      <c r="CRS34" s="3"/>
      <c r="CRT34" s="3"/>
      <c r="CRU34" s="3"/>
      <c r="CRV34" s="3"/>
      <c r="CRW34" s="3"/>
      <c r="CRX34" s="3"/>
      <c r="CRY34" s="3"/>
      <c r="CRZ34" s="3"/>
      <c r="CSA34" s="3"/>
      <c r="CSB34" s="3"/>
      <c r="CSC34" s="3"/>
      <c r="CSD34" s="3"/>
      <c r="CSE34" s="3"/>
      <c r="CSF34" s="3"/>
      <c r="CSG34" s="3"/>
      <c r="CSH34" s="3"/>
      <c r="CSI34" s="3"/>
      <c r="CSJ34" s="3"/>
      <c r="CSK34" s="3"/>
      <c r="CSL34" s="3"/>
      <c r="CSM34" s="3"/>
      <c r="CSN34" s="3"/>
      <c r="CSO34" s="3"/>
      <c r="CSP34" s="3"/>
      <c r="CSQ34" s="3"/>
      <c r="CSR34" s="3"/>
      <c r="CSS34" s="3"/>
      <c r="CST34" s="3"/>
      <c r="CSU34" s="3"/>
      <c r="CSV34" s="3"/>
      <c r="CSW34" s="3"/>
      <c r="CSX34" s="3"/>
      <c r="CSY34" s="3"/>
      <c r="CSZ34" s="3"/>
      <c r="CTA34" s="3"/>
      <c r="CTB34" s="3"/>
      <c r="CTC34" s="3"/>
      <c r="CTD34" s="3"/>
      <c r="CTE34" s="3"/>
      <c r="CTF34" s="3"/>
      <c r="CTG34" s="3"/>
      <c r="CTH34" s="3"/>
      <c r="CTI34" s="3"/>
      <c r="CTJ34" s="3"/>
      <c r="CTK34" s="3"/>
      <c r="CTL34" s="3"/>
      <c r="CTM34" s="3"/>
      <c r="CTN34" s="3"/>
      <c r="CTO34" s="3"/>
      <c r="CTP34" s="3"/>
      <c r="CTQ34" s="3"/>
      <c r="CTR34" s="3"/>
      <c r="CTS34" s="3"/>
      <c r="CTT34" s="3"/>
      <c r="CTU34" s="3"/>
      <c r="CTV34" s="3"/>
      <c r="CTW34" s="3"/>
      <c r="CTX34" s="3"/>
      <c r="CTY34" s="3"/>
      <c r="CTZ34" s="3"/>
      <c r="CUA34" s="3"/>
      <c r="CUB34" s="3"/>
      <c r="CUC34" s="3"/>
      <c r="CUD34" s="3"/>
      <c r="CUE34" s="3"/>
      <c r="CUF34" s="3"/>
      <c r="CUG34" s="3"/>
      <c r="CUH34" s="3"/>
      <c r="CUI34" s="3"/>
      <c r="CUJ34" s="3"/>
      <c r="CUK34" s="3"/>
      <c r="CUL34" s="3"/>
      <c r="CUM34" s="3"/>
      <c r="CUN34" s="3"/>
      <c r="CUO34" s="3"/>
      <c r="CUP34" s="3"/>
      <c r="CUQ34" s="3"/>
      <c r="CUR34" s="3"/>
      <c r="CUS34" s="3"/>
      <c r="CUT34" s="3"/>
      <c r="CUU34" s="3"/>
      <c r="CUV34" s="3"/>
      <c r="CUW34" s="3"/>
      <c r="CUX34" s="3"/>
      <c r="CUY34" s="3"/>
      <c r="CUZ34" s="3"/>
      <c r="CVA34" s="3"/>
      <c r="CVB34" s="3"/>
      <c r="CVC34" s="3"/>
      <c r="CVD34" s="3"/>
      <c r="CVE34" s="3"/>
      <c r="CVF34" s="3"/>
      <c r="CVG34" s="3"/>
      <c r="CVH34" s="3"/>
      <c r="CVI34" s="3"/>
      <c r="CVJ34" s="3"/>
      <c r="CVK34" s="3"/>
      <c r="CVL34" s="3"/>
      <c r="CVM34" s="3"/>
      <c r="CVN34" s="3"/>
      <c r="CVO34" s="3"/>
      <c r="CVP34" s="3"/>
      <c r="CVQ34" s="3"/>
      <c r="CVR34" s="3"/>
      <c r="CVS34" s="3"/>
      <c r="CVT34" s="3"/>
      <c r="CVU34" s="3"/>
      <c r="CVV34" s="3"/>
      <c r="CVW34" s="3"/>
      <c r="CVX34" s="3"/>
      <c r="CVY34" s="3"/>
      <c r="CVZ34" s="3"/>
      <c r="CWA34" s="3"/>
      <c r="CWB34" s="3"/>
      <c r="CWC34" s="3"/>
      <c r="CWD34" s="3"/>
      <c r="CWE34" s="3"/>
      <c r="CWF34" s="3"/>
      <c r="CWG34" s="3"/>
      <c r="CWH34" s="3"/>
      <c r="CWI34" s="3"/>
      <c r="CWJ34" s="3"/>
      <c r="CWK34" s="3"/>
      <c r="CWL34" s="3"/>
      <c r="CWM34" s="3"/>
      <c r="CWN34" s="3"/>
      <c r="CWO34" s="3"/>
      <c r="CWP34" s="3"/>
      <c r="CWQ34" s="3"/>
      <c r="CWR34" s="3"/>
      <c r="CWS34" s="3"/>
      <c r="CWT34" s="3"/>
      <c r="CWU34" s="3"/>
      <c r="CWV34" s="3"/>
      <c r="CWW34" s="3"/>
      <c r="CWX34" s="3"/>
      <c r="CWY34" s="3"/>
      <c r="CWZ34" s="3"/>
      <c r="CXA34" s="3"/>
      <c r="CXB34" s="3"/>
      <c r="CXC34" s="3"/>
      <c r="CXD34" s="3"/>
      <c r="CXE34" s="3"/>
      <c r="CXF34" s="3"/>
      <c r="CXG34" s="3"/>
      <c r="CXH34" s="3"/>
      <c r="CXI34" s="3"/>
      <c r="CXJ34" s="3"/>
      <c r="CXK34" s="3"/>
      <c r="CXL34" s="3"/>
      <c r="CXM34" s="3"/>
      <c r="CXN34" s="3"/>
      <c r="CXO34" s="3"/>
      <c r="CXP34" s="3"/>
      <c r="CXQ34" s="3"/>
      <c r="CXR34" s="3"/>
      <c r="CXS34" s="3"/>
      <c r="CXT34" s="3"/>
      <c r="CXU34" s="3"/>
      <c r="CXV34" s="3"/>
      <c r="CXW34" s="3"/>
      <c r="CXX34" s="3"/>
      <c r="CXY34" s="3"/>
      <c r="CXZ34" s="3"/>
      <c r="CYA34" s="3"/>
      <c r="CYB34" s="3"/>
      <c r="CYC34" s="3"/>
      <c r="CYD34" s="3"/>
      <c r="CYE34" s="3"/>
      <c r="CYF34" s="3"/>
      <c r="CYG34" s="3"/>
      <c r="CYH34" s="3"/>
      <c r="CYI34" s="3"/>
      <c r="CYJ34" s="3"/>
      <c r="CYK34" s="3"/>
      <c r="CYL34" s="3"/>
      <c r="CYM34" s="3"/>
      <c r="CYN34" s="3"/>
      <c r="CYO34" s="3"/>
      <c r="CYP34" s="3"/>
      <c r="CYQ34" s="3"/>
      <c r="CYR34" s="3"/>
      <c r="CYS34" s="3"/>
      <c r="CYT34" s="3"/>
      <c r="CYU34" s="3"/>
      <c r="CYV34" s="3"/>
      <c r="CYW34" s="3"/>
      <c r="CYX34" s="3"/>
      <c r="CYY34" s="3"/>
      <c r="CYZ34" s="3"/>
      <c r="CZA34" s="3"/>
      <c r="CZB34" s="3"/>
      <c r="CZC34" s="3"/>
      <c r="CZD34" s="3"/>
      <c r="CZE34" s="3"/>
      <c r="CZF34" s="3"/>
      <c r="CZG34" s="3"/>
      <c r="CZH34" s="3"/>
      <c r="CZI34" s="3"/>
      <c r="CZJ34" s="3"/>
      <c r="CZK34" s="3"/>
      <c r="CZL34" s="3"/>
      <c r="CZM34" s="3"/>
      <c r="CZN34" s="3"/>
      <c r="CZO34" s="3"/>
      <c r="CZP34" s="3"/>
      <c r="CZQ34" s="3"/>
      <c r="CZR34" s="3"/>
      <c r="CZS34" s="3"/>
      <c r="CZT34" s="3"/>
      <c r="CZU34" s="3"/>
      <c r="CZV34" s="3"/>
      <c r="CZW34" s="3"/>
      <c r="CZX34" s="3"/>
      <c r="CZY34" s="3"/>
      <c r="CZZ34" s="3"/>
      <c r="DAA34" s="3"/>
      <c r="DAB34" s="3"/>
      <c r="DAC34" s="3"/>
      <c r="DAD34" s="3"/>
      <c r="DAE34" s="3"/>
      <c r="DAF34" s="3"/>
      <c r="DAG34" s="3"/>
      <c r="DAH34" s="3"/>
      <c r="DAI34" s="3"/>
      <c r="DAJ34" s="3"/>
      <c r="DAK34" s="3"/>
      <c r="DAL34" s="3"/>
      <c r="DAM34" s="3"/>
      <c r="DAN34" s="3"/>
      <c r="DAO34" s="3"/>
      <c r="DAP34" s="3"/>
      <c r="DAQ34" s="3"/>
      <c r="DAR34" s="3"/>
      <c r="DAS34" s="3"/>
      <c r="DAT34" s="3"/>
      <c r="DAU34" s="3"/>
      <c r="DAV34" s="3"/>
      <c r="DAW34" s="3"/>
      <c r="DAX34" s="3"/>
      <c r="DAY34" s="3"/>
      <c r="DAZ34" s="3"/>
      <c r="DBA34" s="3"/>
      <c r="DBB34" s="3"/>
      <c r="DBC34" s="3"/>
      <c r="DBD34" s="3"/>
      <c r="DBE34" s="3"/>
      <c r="DBF34" s="3"/>
      <c r="DBG34" s="3"/>
      <c r="DBH34" s="3"/>
      <c r="DBI34" s="3"/>
      <c r="DBJ34" s="3"/>
      <c r="DBK34" s="3"/>
      <c r="DBL34" s="3"/>
      <c r="DBM34" s="3"/>
      <c r="DBN34" s="3"/>
      <c r="DBO34" s="3"/>
      <c r="DBP34" s="3"/>
      <c r="DBQ34" s="3"/>
      <c r="DBR34" s="3"/>
      <c r="DBS34" s="3"/>
      <c r="DBT34" s="3"/>
      <c r="DBU34" s="3"/>
      <c r="DBV34" s="3"/>
      <c r="DBW34" s="3"/>
      <c r="DBX34" s="3"/>
      <c r="DBY34" s="3"/>
      <c r="DBZ34" s="3"/>
      <c r="DCA34" s="3"/>
      <c r="DCB34" s="3"/>
      <c r="DCC34" s="3"/>
      <c r="DCD34" s="3"/>
      <c r="DCE34" s="3"/>
      <c r="DCF34" s="3"/>
      <c r="DCG34" s="3"/>
      <c r="DCH34" s="3"/>
      <c r="DCI34" s="3"/>
      <c r="DCJ34" s="3"/>
      <c r="DCK34" s="3"/>
      <c r="DCL34" s="3"/>
      <c r="DCM34" s="3"/>
      <c r="DCN34" s="3"/>
      <c r="DCO34" s="3"/>
      <c r="DCP34" s="3"/>
      <c r="DCQ34" s="3"/>
      <c r="DCR34" s="3"/>
      <c r="DCS34" s="3"/>
      <c r="DCT34" s="3"/>
      <c r="DCU34" s="3"/>
      <c r="DCV34" s="3"/>
      <c r="DCW34" s="3"/>
      <c r="DCX34" s="3"/>
      <c r="DCY34" s="3"/>
      <c r="DCZ34" s="3"/>
      <c r="DDA34" s="3"/>
      <c r="DDB34" s="3"/>
      <c r="DDC34" s="3"/>
      <c r="DDD34" s="3"/>
      <c r="DDE34" s="3"/>
      <c r="DDF34" s="3"/>
      <c r="DDG34" s="3"/>
      <c r="DDH34" s="3"/>
      <c r="DDI34" s="3"/>
      <c r="DDJ34" s="3"/>
      <c r="DDK34" s="3"/>
      <c r="DDL34" s="3"/>
      <c r="DDM34" s="3"/>
      <c r="DDN34" s="3"/>
      <c r="DDO34" s="3"/>
      <c r="DDP34" s="3"/>
      <c r="DDQ34" s="3"/>
      <c r="DDR34" s="3"/>
      <c r="DDS34" s="3"/>
      <c r="DDT34" s="3"/>
      <c r="DDU34" s="3"/>
      <c r="DDV34" s="3"/>
      <c r="DDW34" s="3"/>
      <c r="DDX34" s="3"/>
      <c r="DDY34" s="3"/>
      <c r="DDZ34" s="3"/>
      <c r="DEA34" s="3"/>
      <c r="DEB34" s="3"/>
      <c r="DEC34" s="3"/>
      <c r="DED34" s="3"/>
      <c r="DEE34" s="3"/>
      <c r="DEF34" s="3"/>
      <c r="DEG34" s="3"/>
      <c r="DEH34" s="3"/>
      <c r="DEI34" s="3"/>
      <c r="DEJ34" s="3"/>
      <c r="DEK34" s="3"/>
      <c r="DEL34" s="3"/>
      <c r="DEM34" s="3"/>
      <c r="DEN34" s="3"/>
      <c r="DEO34" s="3"/>
      <c r="DEP34" s="3"/>
      <c r="DEQ34" s="3"/>
      <c r="DER34" s="3"/>
      <c r="DES34" s="3"/>
      <c r="DET34" s="3"/>
      <c r="DEU34" s="3"/>
      <c r="DEV34" s="3"/>
      <c r="DEW34" s="3"/>
      <c r="DEX34" s="3"/>
      <c r="DEY34" s="3"/>
      <c r="DEZ34" s="3"/>
      <c r="DFA34" s="3"/>
      <c r="DFB34" s="3"/>
      <c r="DFC34" s="3"/>
      <c r="DFD34" s="3"/>
      <c r="DFE34" s="3"/>
      <c r="DFF34" s="3"/>
      <c r="DFG34" s="3"/>
      <c r="DFH34" s="3"/>
      <c r="DFI34" s="3"/>
      <c r="DFJ34" s="3"/>
      <c r="DFK34" s="3"/>
      <c r="DFL34" s="3"/>
      <c r="DFM34" s="3"/>
      <c r="DFN34" s="3"/>
      <c r="DFO34" s="3"/>
      <c r="DFP34" s="3"/>
      <c r="DFQ34" s="3"/>
      <c r="DFR34" s="3"/>
      <c r="DFS34" s="3"/>
      <c r="DFT34" s="3"/>
      <c r="DFU34" s="3"/>
      <c r="DFV34" s="3"/>
      <c r="DFW34" s="3"/>
      <c r="DFX34" s="3"/>
      <c r="DFY34" s="3"/>
      <c r="DFZ34" s="3"/>
      <c r="DGA34" s="3"/>
      <c r="DGB34" s="3"/>
      <c r="DGC34" s="3"/>
      <c r="DGD34" s="3"/>
      <c r="DGE34" s="3"/>
      <c r="DGF34" s="3"/>
      <c r="DGG34" s="3"/>
      <c r="DGH34" s="3"/>
      <c r="DGI34" s="3"/>
      <c r="DGJ34" s="3"/>
      <c r="DGK34" s="3"/>
      <c r="DGL34" s="3"/>
      <c r="DGM34" s="3"/>
      <c r="DGN34" s="3"/>
      <c r="DGO34" s="3"/>
      <c r="DGP34" s="3"/>
      <c r="DGQ34" s="3"/>
      <c r="DGR34" s="3"/>
      <c r="DGS34" s="3"/>
      <c r="DGT34" s="3"/>
      <c r="DGU34" s="3"/>
      <c r="DGV34" s="3"/>
      <c r="DGW34" s="3"/>
      <c r="DGX34" s="3"/>
      <c r="DGY34" s="3"/>
      <c r="DGZ34" s="3"/>
      <c r="DHA34" s="3"/>
      <c r="DHB34" s="3"/>
      <c r="DHC34" s="3"/>
      <c r="DHD34" s="3"/>
      <c r="DHE34" s="3"/>
      <c r="DHF34" s="3"/>
      <c r="DHG34" s="3"/>
      <c r="DHH34" s="3"/>
      <c r="DHI34" s="3"/>
      <c r="DHJ34" s="3"/>
      <c r="DHK34" s="3"/>
      <c r="DHL34" s="3"/>
      <c r="DHM34" s="3"/>
      <c r="DHN34" s="3"/>
      <c r="DHO34" s="3"/>
      <c r="DHP34" s="3"/>
      <c r="DHQ34" s="3"/>
      <c r="DHR34" s="3"/>
      <c r="DHS34" s="3"/>
      <c r="DHT34" s="3"/>
      <c r="DHU34" s="3"/>
      <c r="DHV34" s="3"/>
      <c r="DHW34" s="3"/>
      <c r="DHX34" s="3"/>
      <c r="DHY34" s="3"/>
      <c r="DHZ34" s="3"/>
      <c r="DIA34" s="3"/>
      <c r="DIB34" s="3"/>
      <c r="DIC34" s="3"/>
      <c r="DID34" s="3"/>
      <c r="DIE34" s="3"/>
      <c r="DIF34" s="3"/>
      <c r="DIG34" s="3"/>
      <c r="DIH34" s="3"/>
      <c r="DII34" s="3"/>
      <c r="DIJ34" s="3"/>
      <c r="DIK34" s="3"/>
      <c r="DIL34" s="3"/>
      <c r="DIM34" s="3"/>
      <c r="DIN34" s="3"/>
      <c r="DIO34" s="3"/>
      <c r="DIP34" s="3"/>
      <c r="DIQ34" s="3"/>
      <c r="DIR34" s="3"/>
      <c r="DIS34" s="3"/>
      <c r="DIT34" s="3"/>
      <c r="DIU34" s="3"/>
      <c r="DIV34" s="3"/>
      <c r="DIW34" s="3"/>
      <c r="DIX34" s="3"/>
      <c r="DIY34" s="3"/>
      <c r="DIZ34" s="3"/>
      <c r="DJA34" s="3"/>
      <c r="DJB34" s="3"/>
      <c r="DJC34" s="3"/>
      <c r="DJD34" s="3"/>
      <c r="DJE34" s="3"/>
      <c r="DJF34" s="3"/>
      <c r="DJG34" s="3"/>
      <c r="DJH34" s="3"/>
      <c r="DJI34" s="3"/>
      <c r="DJJ34" s="3"/>
      <c r="DJK34" s="3"/>
      <c r="DJL34" s="3"/>
      <c r="DJM34" s="3"/>
      <c r="DJN34" s="3"/>
      <c r="DJO34" s="3"/>
      <c r="DJP34" s="3"/>
      <c r="DJQ34" s="3"/>
      <c r="DJR34" s="3"/>
      <c r="DJS34" s="3"/>
      <c r="DJT34" s="3"/>
      <c r="DJU34" s="3"/>
      <c r="DJV34" s="3"/>
      <c r="DJW34" s="3"/>
      <c r="DJX34" s="3"/>
      <c r="DJY34" s="3"/>
      <c r="DJZ34" s="3"/>
      <c r="DKA34" s="3"/>
      <c r="DKB34" s="3"/>
      <c r="DKC34" s="3"/>
      <c r="DKD34" s="3"/>
      <c r="DKE34" s="3"/>
      <c r="DKF34" s="3"/>
      <c r="DKG34" s="3"/>
      <c r="DKH34" s="3"/>
      <c r="DKI34" s="3"/>
      <c r="DKJ34" s="3"/>
      <c r="DKK34" s="3"/>
      <c r="DKL34" s="3"/>
      <c r="DKM34" s="3"/>
      <c r="DKN34" s="3"/>
      <c r="DKO34" s="3"/>
      <c r="DKP34" s="3"/>
      <c r="DKQ34" s="3"/>
      <c r="DKR34" s="3"/>
      <c r="DKS34" s="3"/>
      <c r="DKT34" s="3"/>
      <c r="DKU34" s="3"/>
      <c r="DKV34" s="3"/>
      <c r="DKW34" s="3"/>
      <c r="DKX34" s="3"/>
      <c r="DKY34" s="3"/>
      <c r="DKZ34" s="3"/>
      <c r="DLA34" s="3"/>
      <c r="DLB34" s="3"/>
      <c r="DLC34" s="3"/>
      <c r="DLD34" s="3"/>
      <c r="DLE34" s="3"/>
      <c r="DLF34" s="3"/>
      <c r="DLG34" s="3"/>
      <c r="DLH34" s="3"/>
      <c r="DLI34" s="3"/>
      <c r="DLJ34" s="3"/>
      <c r="DLK34" s="3"/>
      <c r="DLL34" s="3"/>
      <c r="DLM34" s="3"/>
      <c r="DLN34" s="3"/>
      <c r="DLO34" s="3"/>
      <c r="DLP34" s="3"/>
      <c r="DLQ34" s="3"/>
      <c r="DLR34" s="3"/>
      <c r="DLS34" s="3"/>
      <c r="DLT34" s="3"/>
      <c r="DLU34" s="3"/>
      <c r="DLV34" s="3"/>
      <c r="DLW34" s="3"/>
      <c r="DLX34" s="3"/>
      <c r="DLY34" s="3"/>
      <c r="DLZ34" s="3"/>
      <c r="DMA34" s="3"/>
      <c r="DMB34" s="3"/>
      <c r="DMC34" s="3"/>
      <c r="DMD34" s="3"/>
      <c r="DME34" s="3"/>
      <c r="DMF34" s="3"/>
      <c r="DMG34" s="3"/>
      <c r="DMH34" s="3"/>
      <c r="DMI34" s="3"/>
      <c r="DMJ34" s="3"/>
      <c r="DMK34" s="3"/>
      <c r="DML34" s="3"/>
      <c r="DMM34" s="3"/>
      <c r="DMN34" s="3"/>
      <c r="DMO34" s="3"/>
      <c r="DMP34" s="3"/>
      <c r="DMQ34" s="3"/>
      <c r="DMR34" s="3"/>
      <c r="DMS34" s="3"/>
      <c r="DMT34" s="3"/>
      <c r="DMU34" s="3"/>
      <c r="DMV34" s="3"/>
      <c r="DMW34" s="3"/>
      <c r="DMX34" s="3"/>
      <c r="DMY34" s="3"/>
      <c r="DMZ34" s="3"/>
      <c r="DNA34" s="3"/>
      <c r="DNB34" s="3"/>
      <c r="DNC34" s="3"/>
      <c r="DND34" s="3"/>
      <c r="DNE34" s="3"/>
      <c r="DNF34" s="3"/>
      <c r="DNG34" s="3"/>
      <c r="DNH34" s="3"/>
      <c r="DNI34" s="3"/>
      <c r="DNJ34" s="3"/>
      <c r="DNK34" s="3"/>
      <c r="DNL34" s="3"/>
      <c r="DNM34" s="3"/>
      <c r="DNN34" s="3"/>
      <c r="DNO34" s="3"/>
      <c r="DNP34" s="3"/>
      <c r="DNQ34" s="3"/>
      <c r="DNR34" s="3"/>
      <c r="DNS34" s="3"/>
      <c r="DNT34" s="3"/>
      <c r="DNU34" s="3"/>
      <c r="DNV34" s="3"/>
      <c r="DNW34" s="3"/>
      <c r="DNX34" s="3"/>
      <c r="DNY34" s="3"/>
      <c r="DNZ34" s="3"/>
      <c r="DOA34" s="3"/>
      <c r="DOB34" s="3"/>
      <c r="DOC34" s="3"/>
      <c r="DOD34" s="3"/>
      <c r="DOE34" s="3"/>
      <c r="DOF34" s="3"/>
      <c r="DOG34" s="3"/>
      <c r="DOH34" s="3"/>
      <c r="DOI34" s="3"/>
      <c r="DOJ34" s="3"/>
      <c r="DOK34" s="3"/>
      <c r="DOL34" s="3"/>
      <c r="DOM34" s="3"/>
      <c r="DON34" s="3"/>
      <c r="DOO34" s="3"/>
      <c r="DOP34" s="3"/>
      <c r="DOQ34" s="3"/>
      <c r="DOR34" s="3"/>
      <c r="DOS34" s="3"/>
      <c r="DOT34" s="3"/>
      <c r="DOU34" s="3"/>
      <c r="DOV34" s="3"/>
      <c r="DOW34" s="3"/>
      <c r="DOX34" s="3"/>
      <c r="DOY34" s="3"/>
      <c r="DOZ34" s="3"/>
      <c r="DPA34" s="3"/>
      <c r="DPB34" s="3"/>
      <c r="DPC34" s="3"/>
      <c r="DPD34" s="3"/>
      <c r="DPE34" s="3"/>
      <c r="DPF34" s="3"/>
      <c r="DPG34" s="3"/>
      <c r="DPH34" s="3"/>
      <c r="DPI34" s="3"/>
      <c r="DPJ34" s="3"/>
      <c r="DPK34" s="3"/>
      <c r="DPL34" s="3"/>
      <c r="DPM34" s="3"/>
      <c r="DPN34" s="3"/>
      <c r="DPO34" s="3"/>
      <c r="DPP34" s="3"/>
      <c r="DPQ34" s="3"/>
      <c r="DPR34" s="3"/>
      <c r="DPS34" s="3"/>
      <c r="DPT34" s="3"/>
      <c r="DPU34" s="3"/>
      <c r="DPV34" s="3"/>
      <c r="DPW34" s="3"/>
      <c r="DPX34" s="3"/>
      <c r="DPY34" s="3"/>
      <c r="DPZ34" s="3"/>
      <c r="DQA34" s="3"/>
      <c r="DQB34" s="3"/>
      <c r="DQC34" s="3"/>
      <c r="DQD34" s="3"/>
      <c r="DQE34" s="3"/>
      <c r="DQF34" s="3"/>
      <c r="DQG34" s="3"/>
      <c r="DQH34" s="3"/>
      <c r="DQI34" s="3"/>
      <c r="DQJ34" s="3"/>
      <c r="DQK34" s="3"/>
      <c r="DQL34" s="3"/>
      <c r="DQM34" s="3"/>
      <c r="DQN34" s="3"/>
      <c r="DQO34" s="3"/>
      <c r="DQP34" s="3"/>
      <c r="DQQ34" s="3"/>
      <c r="DQR34" s="3"/>
      <c r="DQS34" s="3"/>
      <c r="DQT34" s="3"/>
      <c r="DQU34" s="3"/>
      <c r="DQV34" s="3"/>
      <c r="DQW34" s="3"/>
      <c r="DQX34" s="3"/>
      <c r="DQY34" s="3"/>
      <c r="DQZ34" s="3"/>
      <c r="DRA34" s="3"/>
      <c r="DRB34" s="3"/>
      <c r="DRC34" s="3"/>
      <c r="DRD34" s="3"/>
      <c r="DRE34" s="3"/>
      <c r="DRF34" s="3"/>
      <c r="DRG34" s="3"/>
      <c r="DRH34" s="3"/>
      <c r="DRI34" s="3"/>
      <c r="DRJ34" s="3"/>
      <c r="DRK34" s="3"/>
      <c r="DRL34" s="3"/>
      <c r="DRM34" s="3"/>
      <c r="DRN34" s="3"/>
      <c r="DRO34" s="3"/>
      <c r="DRP34" s="3"/>
      <c r="DRQ34" s="3"/>
      <c r="DRR34" s="3"/>
      <c r="DRS34" s="3"/>
      <c r="DRT34" s="3"/>
      <c r="DRU34" s="3"/>
      <c r="DRV34" s="3"/>
      <c r="DRW34" s="3"/>
      <c r="DRX34" s="3"/>
      <c r="DRY34" s="3"/>
      <c r="DRZ34" s="3"/>
      <c r="DSA34" s="3"/>
      <c r="DSB34" s="3"/>
      <c r="DSC34" s="3"/>
      <c r="DSD34" s="3"/>
      <c r="DSE34" s="3"/>
      <c r="DSF34" s="3"/>
      <c r="DSG34" s="3"/>
      <c r="DSH34" s="3"/>
      <c r="DSI34" s="3"/>
      <c r="DSJ34" s="3"/>
      <c r="DSK34" s="3"/>
      <c r="DSL34" s="3"/>
      <c r="DSM34" s="3"/>
      <c r="DSN34" s="3"/>
      <c r="DSO34" s="3"/>
      <c r="DSP34" s="3"/>
      <c r="DSQ34" s="3"/>
      <c r="DSR34" s="3"/>
      <c r="DSS34" s="3"/>
      <c r="DST34" s="3"/>
      <c r="DSU34" s="3"/>
      <c r="DSV34" s="3"/>
      <c r="DSW34" s="3"/>
      <c r="DSX34" s="3"/>
      <c r="DSY34" s="3"/>
      <c r="DSZ34" s="3"/>
      <c r="DTA34" s="3"/>
      <c r="DTB34" s="3"/>
      <c r="DTC34" s="3"/>
      <c r="DTD34" s="3"/>
      <c r="DTE34" s="3"/>
      <c r="DTF34" s="3"/>
      <c r="DTG34" s="3"/>
      <c r="DTH34" s="3"/>
      <c r="DTI34" s="3"/>
      <c r="DTJ34" s="3"/>
      <c r="DTK34" s="3"/>
      <c r="DTL34" s="3"/>
      <c r="DTM34" s="3"/>
      <c r="DTN34" s="3"/>
      <c r="DTO34" s="3"/>
      <c r="DTP34" s="3"/>
      <c r="DTQ34" s="3"/>
      <c r="DTR34" s="3"/>
      <c r="DTS34" s="3"/>
      <c r="DTT34" s="3"/>
      <c r="DTU34" s="3"/>
      <c r="DTV34" s="3"/>
      <c r="DTW34" s="3"/>
      <c r="DTX34" s="3"/>
      <c r="DTY34" s="3"/>
      <c r="DTZ34" s="3"/>
      <c r="DUA34" s="3"/>
      <c r="DUB34" s="3"/>
      <c r="DUC34" s="3"/>
      <c r="DUD34" s="3"/>
      <c r="DUE34" s="3"/>
      <c r="DUF34" s="3"/>
      <c r="DUG34" s="3"/>
      <c r="DUH34" s="3"/>
      <c r="DUI34" s="3"/>
      <c r="DUJ34" s="3"/>
      <c r="DUK34" s="3"/>
      <c r="DUL34" s="3"/>
      <c r="DUM34" s="3"/>
      <c r="DUN34" s="3"/>
      <c r="DUO34" s="3"/>
      <c r="DUP34" s="3"/>
      <c r="DUQ34" s="3"/>
      <c r="DUR34" s="3"/>
      <c r="DUS34" s="3"/>
      <c r="DUT34" s="3"/>
      <c r="DUU34" s="3"/>
      <c r="DUV34" s="3"/>
      <c r="DUW34" s="3"/>
      <c r="DUX34" s="3"/>
      <c r="DUY34" s="3"/>
      <c r="DUZ34" s="3"/>
      <c r="DVA34" s="3"/>
      <c r="DVB34" s="3"/>
      <c r="DVC34" s="3"/>
      <c r="DVD34" s="3"/>
      <c r="DVE34" s="3"/>
      <c r="DVF34" s="3"/>
      <c r="DVG34" s="3"/>
      <c r="DVH34" s="3"/>
      <c r="DVI34" s="3"/>
      <c r="DVJ34" s="3"/>
      <c r="DVK34" s="3"/>
      <c r="DVL34" s="3"/>
      <c r="DVM34" s="3"/>
      <c r="DVN34" s="3"/>
      <c r="DVO34" s="3"/>
      <c r="DVP34" s="3"/>
      <c r="DVQ34" s="3"/>
      <c r="DVR34" s="3"/>
      <c r="DVS34" s="3"/>
      <c r="DVT34" s="3"/>
      <c r="DVU34" s="3"/>
      <c r="DVV34" s="3"/>
      <c r="DVW34" s="3"/>
      <c r="DVX34" s="3"/>
      <c r="DVY34" s="3"/>
      <c r="DVZ34" s="3"/>
      <c r="DWA34" s="3"/>
      <c r="DWB34" s="3"/>
      <c r="DWC34" s="3"/>
      <c r="DWD34" s="3"/>
      <c r="DWE34" s="3"/>
      <c r="DWF34" s="3"/>
      <c r="DWG34" s="3"/>
      <c r="DWH34" s="3"/>
      <c r="DWI34" s="3"/>
      <c r="DWJ34" s="3"/>
      <c r="DWK34" s="3"/>
      <c r="DWL34" s="3"/>
      <c r="DWM34" s="3"/>
      <c r="DWN34" s="3"/>
      <c r="DWO34" s="3"/>
      <c r="DWP34" s="3"/>
      <c r="DWQ34" s="3"/>
      <c r="DWR34" s="3"/>
      <c r="DWS34" s="3"/>
      <c r="DWT34" s="3"/>
      <c r="DWU34" s="3"/>
      <c r="DWV34" s="3"/>
      <c r="DWW34" s="3"/>
      <c r="DWX34" s="3"/>
      <c r="DWY34" s="3"/>
      <c r="DWZ34" s="3"/>
      <c r="DXA34" s="3"/>
      <c r="DXB34" s="3"/>
      <c r="DXC34" s="3"/>
      <c r="DXD34" s="3"/>
      <c r="DXE34" s="3"/>
      <c r="DXF34" s="3"/>
      <c r="DXG34" s="3"/>
      <c r="DXH34" s="3"/>
      <c r="DXI34" s="3"/>
      <c r="DXJ34" s="3"/>
      <c r="DXK34" s="3"/>
      <c r="DXL34" s="3"/>
      <c r="DXM34" s="3"/>
      <c r="DXN34" s="3"/>
      <c r="DXO34" s="3"/>
      <c r="DXP34" s="3"/>
      <c r="DXQ34" s="3"/>
      <c r="DXR34" s="3"/>
      <c r="DXS34" s="3"/>
      <c r="DXT34" s="3"/>
      <c r="DXU34" s="3"/>
      <c r="DXV34" s="3"/>
      <c r="DXW34" s="3"/>
      <c r="DXX34" s="3"/>
      <c r="DXY34" s="3"/>
      <c r="DXZ34" s="3"/>
      <c r="DYA34" s="3"/>
      <c r="DYB34" s="3"/>
      <c r="DYC34" s="3"/>
      <c r="DYD34" s="3"/>
      <c r="DYE34" s="3"/>
      <c r="DYF34" s="3"/>
      <c r="DYG34" s="3"/>
      <c r="DYH34" s="3"/>
      <c r="DYI34" s="3"/>
      <c r="DYJ34" s="3"/>
      <c r="DYK34" s="3"/>
      <c r="DYL34" s="3"/>
      <c r="DYM34" s="3"/>
      <c r="DYN34" s="3"/>
      <c r="DYO34" s="3"/>
      <c r="DYP34" s="3"/>
      <c r="DYQ34" s="3"/>
      <c r="DYR34" s="3"/>
      <c r="DYS34" s="3"/>
      <c r="DYT34" s="3"/>
      <c r="DYU34" s="3"/>
      <c r="DYV34" s="3"/>
      <c r="DYW34" s="3"/>
      <c r="DYX34" s="3"/>
      <c r="DYY34" s="3"/>
      <c r="DYZ34" s="3"/>
      <c r="DZA34" s="3"/>
      <c r="DZB34" s="3"/>
      <c r="DZC34" s="3"/>
      <c r="DZD34" s="3"/>
      <c r="DZE34" s="3"/>
      <c r="DZF34" s="3"/>
      <c r="DZG34" s="3"/>
      <c r="DZH34" s="3"/>
      <c r="DZI34" s="3"/>
      <c r="DZJ34" s="3"/>
      <c r="DZK34" s="3"/>
      <c r="DZL34" s="3"/>
      <c r="DZM34" s="3"/>
      <c r="DZN34" s="3"/>
      <c r="DZO34" s="3"/>
      <c r="DZP34" s="3"/>
      <c r="DZQ34" s="3"/>
      <c r="DZR34" s="3"/>
      <c r="DZS34" s="3"/>
      <c r="DZT34" s="3"/>
      <c r="DZU34" s="3"/>
      <c r="DZV34" s="3"/>
      <c r="DZW34" s="3"/>
      <c r="DZX34" s="3"/>
      <c r="DZY34" s="3"/>
      <c r="DZZ34" s="3"/>
      <c r="EAA34" s="3"/>
      <c r="EAB34" s="3"/>
      <c r="EAC34" s="3"/>
      <c r="EAD34" s="3"/>
      <c r="EAE34" s="3"/>
      <c r="EAF34" s="3"/>
      <c r="EAG34" s="3"/>
      <c r="EAH34" s="3"/>
      <c r="EAI34" s="3"/>
      <c r="EAJ34" s="3"/>
      <c r="EAK34" s="3"/>
      <c r="EAL34" s="3"/>
      <c r="EAM34" s="3"/>
      <c r="EAN34" s="3"/>
      <c r="EAO34" s="3"/>
      <c r="EAP34" s="3"/>
      <c r="EAQ34" s="3"/>
      <c r="EAR34" s="3"/>
      <c r="EAS34" s="3"/>
      <c r="EAT34" s="3"/>
      <c r="EAU34" s="3"/>
      <c r="EAV34" s="3"/>
      <c r="EAW34" s="3"/>
      <c r="EAX34" s="3"/>
      <c r="EAY34" s="3"/>
      <c r="EAZ34" s="3"/>
      <c r="EBA34" s="3"/>
      <c r="EBB34" s="3"/>
      <c r="EBC34" s="3"/>
      <c r="EBD34" s="3"/>
      <c r="EBE34" s="3"/>
      <c r="EBF34" s="3"/>
      <c r="EBG34" s="3"/>
      <c r="EBH34" s="3"/>
      <c r="EBI34" s="3"/>
      <c r="EBJ34" s="3"/>
      <c r="EBK34" s="3"/>
      <c r="EBL34" s="3"/>
      <c r="EBM34" s="3"/>
      <c r="EBN34" s="3"/>
      <c r="EBO34" s="3"/>
      <c r="EBP34" s="3"/>
      <c r="EBQ34" s="3"/>
      <c r="EBR34" s="3"/>
      <c r="EBS34" s="3"/>
      <c r="EBT34" s="3"/>
      <c r="EBU34" s="3"/>
      <c r="EBV34" s="3"/>
      <c r="EBW34" s="3"/>
      <c r="EBX34" s="3"/>
      <c r="EBY34" s="3"/>
      <c r="EBZ34" s="3"/>
      <c r="ECA34" s="3"/>
      <c r="ECB34" s="3"/>
      <c r="ECC34" s="3"/>
      <c r="ECD34" s="3"/>
      <c r="ECE34" s="3"/>
      <c r="ECF34" s="3"/>
      <c r="ECG34" s="3"/>
      <c r="ECH34" s="3"/>
      <c r="ECI34" s="3"/>
      <c r="ECJ34" s="3"/>
      <c r="ECK34" s="3"/>
      <c r="ECL34" s="3"/>
      <c r="ECM34" s="3"/>
      <c r="ECN34" s="3"/>
      <c r="ECO34" s="3"/>
      <c r="ECP34" s="3"/>
      <c r="ECQ34" s="3"/>
      <c r="ECR34" s="3"/>
      <c r="ECS34" s="3"/>
      <c r="ECT34" s="3"/>
      <c r="ECU34" s="3"/>
      <c r="ECV34" s="3"/>
      <c r="ECW34" s="3"/>
      <c r="ECX34" s="3"/>
      <c r="ECY34" s="3"/>
      <c r="ECZ34" s="3"/>
      <c r="EDA34" s="3"/>
      <c r="EDB34" s="3"/>
      <c r="EDC34" s="3"/>
      <c r="EDD34" s="3"/>
      <c r="EDE34" s="3"/>
      <c r="EDF34" s="3"/>
      <c r="EDG34" s="3"/>
      <c r="EDH34" s="3"/>
      <c r="EDI34" s="3"/>
      <c r="EDJ34" s="3"/>
      <c r="EDK34" s="3"/>
      <c r="EDL34" s="3"/>
      <c r="EDM34" s="3"/>
      <c r="EDN34" s="3"/>
      <c r="EDO34" s="3"/>
      <c r="EDP34" s="3"/>
      <c r="EDQ34" s="3"/>
      <c r="EDR34" s="3"/>
      <c r="EDS34" s="3"/>
      <c r="EDT34" s="3"/>
      <c r="EDU34" s="3"/>
      <c r="EDV34" s="3"/>
      <c r="EDW34" s="3"/>
      <c r="EDX34" s="3"/>
      <c r="EDY34" s="3"/>
      <c r="EDZ34" s="3"/>
      <c r="EEA34" s="3"/>
      <c r="EEB34" s="3"/>
      <c r="EEC34" s="3"/>
      <c r="EED34" s="3"/>
      <c r="EEE34" s="3"/>
      <c r="EEF34" s="3"/>
      <c r="EEG34" s="3"/>
      <c r="EEH34" s="3"/>
      <c r="EEI34" s="3"/>
      <c r="EEJ34" s="3"/>
      <c r="EEK34" s="3"/>
      <c r="EEL34" s="3"/>
      <c r="EEM34" s="3"/>
      <c r="EEN34" s="3"/>
      <c r="EEO34" s="3"/>
      <c r="EEP34" s="3"/>
      <c r="EEQ34" s="3"/>
      <c r="EER34" s="3"/>
      <c r="EES34" s="3"/>
      <c r="EET34" s="3"/>
      <c r="EEU34" s="3"/>
      <c r="EEV34" s="3"/>
      <c r="EEW34" s="3"/>
      <c r="EEX34" s="3"/>
      <c r="EEY34" s="3"/>
      <c r="EEZ34" s="3"/>
      <c r="EFA34" s="3"/>
      <c r="EFB34" s="3"/>
      <c r="EFC34" s="3"/>
      <c r="EFD34" s="3"/>
      <c r="EFE34" s="3"/>
      <c r="EFF34" s="3"/>
      <c r="EFG34" s="3"/>
      <c r="EFH34" s="3"/>
      <c r="EFI34" s="3"/>
      <c r="EFJ34" s="3"/>
      <c r="EFK34" s="3"/>
      <c r="EFL34" s="3"/>
      <c r="EFM34" s="3"/>
      <c r="EFN34" s="3"/>
      <c r="EFO34" s="3"/>
      <c r="EFP34" s="3"/>
      <c r="EFQ34" s="3"/>
      <c r="EFR34" s="3"/>
      <c r="EFS34" s="3"/>
      <c r="EFT34" s="3"/>
      <c r="EFU34" s="3"/>
      <c r="EFV34" s="3"/>
      <c r="EFW34" s="3"/>
      <c r="EFX34" s="3"/>
      <c r="EFY34" s="3"/>
      <c r="EFZ34" s="3"/>
      <c r="EGA34" s="3"/>
      <c r="EGB34" s="3"/>
      <c r="EGC34" s="3"/>
      <c r="EGD34" s="3"/>
      <c r="EGE34" s="3"/>
      <c r="EGF34" s="3"/>
      <c r="EGG34" s="3"/>
      <c r="EGH34" s="3"/>
      <c r="EGI34" s="3"/>
      <c r="EGJ34" s="3"/>
      <c r="EGK34" s="3"/>
      <c r="EGL34" s="3"/>
      <c r="EGM34" s="3"/>
      <c r="EGN34" s="3"/>
      <c r="EGO34" s="3"/>
      <c r="EGP34" s="3"/>
      <c r="EGQ34" s="3"/>
      <c r="EGR34" s="3"/>
      <c r="EGS34" s="3"/>
      <c r="EGT34" s="3"/>
      <c r="EGU34" s="3"/>
      <c r="EGV34" s="3"/>
      <c r="EGW34" s="3"/>
      <c r="EGX34" s="3"/>
      <c r="EGY34" s="3"/>
      <c r="EGZ34" s="3"/>
      <c r="EHA34" s="3"/>
      <c r="EHB34" s="3"/>
      <c r="EHC34" s="3"/>
      <c r="EHD34" s="3"/>
      <c r="EHE34" s="3"/>
      <c r="EHF34" s="3"/>
      <c r="EHG34" s="3"/>
      <c r="EHH34" s="3"/>
      <c r="EHI34" s="3"/>
      <c r="EHJ34" s="3"/>
      <c r="EHK34" s="3"/>
      <c r="EHL34" s="3"/>
      <c r="EHM34" s="3"/>
      <c r="EHN34" s="3"/>
      <c r="EHO34" s="3"/>
      <c r="EHP34" s="3"/>
      <c r="EHQ34" s="3"/>
      <c r="EHR34" s="3"/>
      <c r="EHS34" s="3"/>
      <c r="EHT34" s="3"/>
      <c r="EHU34" s="3"/>
      <c r="EHV34" s="3"/>
      <c r="EHW34" s="3"/>
      <c r="EHX34" s="3"/>
      <c r="EHY34" s="3"/>
      <c r="EHZ34" s="3"/>
      <c r="EIA34" s="3"/>
      <c r="EIB34" s="3"/>
      <c r="EIC34" s="3"/>
      <c r="EID34" s="3"/>
      <c r="EIE34" s="3"/>
      <c r="EIF34" s="3"/>
      <c r="EIG34" s="3"/>
      <c r="EIH34" s="3"/>
      <c r="EII34" s="3"/>
      <c r="EIJ34" s="3"/>
      <c r="EIK34" s="3"/>
      <c r="EIL34" s="3"/>
      <c r="EIM34" s="3"/>
      <c r="EIN34" s="3"/>
      <c r="EIO34" s="3"/>
      <c r="EIP34" s="3"/>
      <c r="EIQ34" s="3"/>
      <c r="EIR34" s="3"/>
      <c r="EIS34" s="3"/>
      <c r="EIT34" s="3"/>
      <c r="EIU34" s="3"/>
      <c r="EIV34" s="3"/>
      <c r="EIW34" s="3"/>
      <c r="EIX34" s="3"/>
      <c r="EIY34" s="3"/>
      <c r="EIZ34" s="3"/>
      <c r="EJA34" s="3"/>
      <c r="EJB34" s="3"/>
      <c r="EJC34" s="3"/>
      <c r="EJD34" s="3"/>
      <c r="EJE34" s="3"/>
      <c r="EJF34" s="3"/>
      <c r="EJG34" s="3"/>
      <c r="EJH34" s="3"/>
      <c r="EJI34" s="3"/>
      <c r="EJJ34" s="3"/>
      <c r="EJK34" s="3"/>
      <c r="EJL34" s="3"/>
      <c r="EJM34" s="3"/>
      <c r="EJN34" s="3"/>
      <c r="EJO34" s="3"/>
      <c r="EJP34" s="3"/>
      <c r="EJQ34" s="3"/>
      <c r="EJR34" s="3"/>
      <c r="EJS34" s="3"/>
      <c r="EJT34" s="3"/>
      <c r="EJU34" s="3"/>
      <c r="EJV34" s="3"/>
      <c r="EJW34" s="3"/>
      <c r="EJX34" s="3"/>
      <c r="EJY34" s="3"/>
      <c r="EJZ34" s="3"/>
      <c r="EKA34" s="3"/>
      <c r="EKB34" s="3"/>
      <c r="EKC34" s="3"/>
      <c r="EKD34" s="3"/>
      <c r="EKE34" s="3"/>
      <c r="EKF34" s="3"/>
      <c r="EKG34" s="3"/>
      <c r="EKH34" s="3"/>
      <c r="EKI34" s="3"/>
      <c r="EKJ34" s="3"/>
      <c r="EKK34" s="3"/>
      <c r="EKL34" s="3"/>
      <c r="EKM34" s="3"/>
      <c r="EKN34" s="3"/>
      <c r="EKO34" s="3"/>
      <c r="EKP34" s="3"/>
      <c r="EKQ34" s="3"/>
      <c r="EKR34" s="3"/>
      <c r="EKS34" s="3"/>
      <c r="EKT34" s="3"/>
      <c r="EKU34" s="3"/>
      <c r="EKV34" s="3"/>
      <c r="EKW34" s="3"/>
      <c r="EKX34" s="3"/>
      <c r="EKY34" s="3"/>
      <c r="EKZ34" s="3"/>
      <c r="ELA34" s="3"/>
      <c r="ELB34" s="3"/>
      <c r="ELC34" s="3"/>
      <c r="ELD34" s="3"/>
      <c r="ELE34" s="3"/>
      <c r="ELF34" s="3"/>
      <c r="ELG34" s="3"/>
      <c r="ELH34" s="3"/>
      <c r="ELI34" s="3"/>
      <c r="ELJ34" s="3"/>
      <c r="ELK34" s="3"/>
      <c r="ELL34" s="3"/>
      <c r="ELM34" s="3"/>
      <c r="ELN34" s="3"/>
      <c r="ELO34" s="3"/>
      <c r="ELP34" s="3"/>
      <c r="ELQ34" s="3"/>
      <c r="ELR34" s="3"/>
      <c r="ELS34" s="3"/>
      <c r="ELT34" s="3"/>
      <c r="ELU34" s="3"/>
      <c r="ELV34" s="3"/>
      <c r="ELW34" s="3"/>
      <c r="ELX34" s="3"/>
      <c r="ELY34" s="3"/>
      <c r="ELZ34" s="3"/>
      <c r="EMA34" s="3"/>
      <c r="EMB34" s="3"/>
      <c r="EMC34" s="3"/>
      <c r="EMD34" s="3"/>
      <c r="EME34" s="3"/>
      <c r="EMF34" s="3"/>
      <c r="EMG34" s="3"/>
      <c r="EMH34" s="3"/>
      <c r="EMI34" s="3"/>
      <c r="EMJ34" s="3"/>
      <c r="EMK34" s="3"/>
      <c r="EML34" s="3"/>
      <c r="EMM34" s="3"/>
      <c r="EMN34" s="3"/>
      <c r="EMO34" s="3"/>
      <c r="EMP34" s="3"/>
      <c r="EMQ34" s="3"/>
      <c r="EMR34" s="3"/>
      <c r="EMS34" s="3"/>
      <c r="EMT34" s="3"/>
      <c r="EMU34" s="3"/>
      <c r="EMV34" s="3"/>
      <c r="EMW34" s="3"/>
      <c r="EMX34" s="3"/>
      <c r="EMY34" s="3"/>
      <c r="EMZ34" s="3"/>
      <c r="ENA34" s="3"/>
      <c r="ENB34" s="3"/>
      <c r="ENC34" s="3"/>
      <c r="END34" s="3"/>
      <c r="ENE34" s="3"/>
      <c r="ENF34" s="3"/>
      <c r="ENG34" s="3"/>
      <c r="ENH34" s="3"/>
      <c r="ENI34" s="3"/>
      <c r="ENJ34" s="3"/>
      <c r="ENK34" s="3"/>
      <c r="ENL34" s="3"/>
      <c r="ENM34" s="3"/>
      <c r="ENN34" s="3"/>
      <c r="ENO34" s="3"/>
      <c r="ENP34" s="3"/>
      <c r="ENQ34" s="3"/>
      <c r="ENR34" s="3"/>
      <c r="ENS34" s="3"/>
      <c r="ENT34" s="3"/>
      <c r="ENU34" s="3"/>
      <c r="ENV34" s="3"/>
      <c r="ENW34" s="3"/>
      <c r="ENX34" s="3"/>
      <c r="ENY34" s="3"/>
      <c r="ENZ34" s="3"/>
      <c r="EOA34" s="3"/>
      <c r="EOB34" s="3"/>
      <c r="EOC34" s="3"/>
      <c r="EOD34" s="3"/>
      <c r="EOE34" s="3"/>
      <c r="EOF34" s="3"/>
      <c r="EOG34" s="3"/>
      <c r="EOH34" s="3"/>
      <c r="EOI34" s="3"/>
      <c r="EOJ34" s="3"/>
      <c r="EOK34" s="3"/>
      <c r="EOL34" s="3"/>
      <c r="EOM34" s="3"/>
      <c r="EON34" s="3"/>
      <c r="EOO34" s="3"/>
      <c r="EOP34" s="3"/>
      <c r="EOQ34" s="3"/>
      <c r="EOR34" s="3"/>
      <c r="EOS34" s="3"/>
      <c r="EOT34" s="3"/>
      <c r="EOU34" s="3"/>
      <c r="EOV34" s="3"/>
      <c r="EOW34" s="3"/>
      <c r="EOX34" s="3"/>
      <c r="EOY34" s="3"/>
      <c r="EOZ34" s="3"/>
      <c r="EPA34" s="3"/>
      <c r="EPB34" s="3"/>
      <c r="EPC34" s="3"/>
      <c r="EPD34" s="3"/>
      <c r="EPE34" s="3"/>
      <c r="EPF34" s="3"/>
      <c r="EPG34" s="3"/>
      <c r="EPH34" s="3"/>
      <c r="EPI34" s="3"/>
      <c r="EPJ34" s="3"/>
      <c r="EPK34" s="3"/>
      <c r="EPL34" s="3"/>
      <c r="EPM34" s="3"/>
      <c r="EPN34" s="3"/>
      <c r="EPO34" s="3"/>
      <c r="EPP34" s="3"/>
      <c r="EPQ34" s="3"/>
      <c r="EPR34" s="3"/>
      <c r="EPS34" s="3"/>
      <c r="EPT34" s="3"/>
      <c r="EPU34" s="3"/>
      <c r="EPV34" s="3"/>
      <c r="EPW34" s="3"/>
      <c r="EPX34" s="3"/>
      <c r="EPY34" s="3"/>
      <c r="EPZ34" s="3"/>
      <c r="EQA34" s="3"/>
      <c r="EQB34" s="3"/>
      <c r="EQC34" s="3"/>
      <c r="EQD34" s="3"/>
      <c r="EQE34" s="3"/>
      <c r="EQF34" s="3"/>
      <c r="EQG34" s="3"/>
      <c r="EQH34" s="3"/>
      <c r="EQI34" s="3"/>
      <c r="EQJ34" s="3"/>
      <c r="EQK34" s="3"/>
      <c r="EQL34" s="3"/>
      <c r="EQM34" s="3"/>
      <c r="EQN34" s="3"/>
      <c r="EQO34" s="3"/>
      <c r="EQP34" s="3"/>
      <c r="EQQ34" s="3"/>
      <c r="EQR34" s="3"/>
      <c r="EQS34" s="3"/>
      <c r="EQT34" s="3"/>
      <c r="EQU34" s="3"/>
      <c r="EQV34" s="3"/>
      <c r="EQW34" s="3"/>
      <c r="EQX34" s="3"/>
      <c r="EQY34" s="3"/>
      <c r="EQZ34" s="3"/>
      <c r="ERA34" s="3"/>
      <c r="ERB34" s="3"/>
      <c r="ERC34" s="3"/>
      <c r="ERD34" s="3"/>
      <c r="ERE34" s="3"/>
      <c r="ERF34" s="3"/>
      <c r="ERG34" s="3"/>
      <c r="ERH34" s="3"/>
      <c r="ERI34" s="3"/>
      <c r="ERJ34" s="3"/>
      <c r="ERK34" s="3"/>
      <c r="ERL34" s="3"/>
      <c r="ERM34" s="3"/>
      <c r="ERN34" s="3"/>
      <c r="ERO34" s="3"/>
      <c r="ERP34" s="3"/>
      <c r="ERQ34" s="3"/>
      <c r="ERR34" s="3"/>
      <c r="ERS34" s="3"/>
      <c r="ERT34" s="3"/>
      <c r="ERU34" s="3"/>
      <c r="ERV34" s="3"/>
      <c r="ERW34" s="3"/>
      <c r="ERX34" s="3"/>
      <c r="ERY34" s="3"/>
      <c r="ERZ34" s="3"/>
      <c r="ESA34" s="3"/>
      <c r="ESB34" s="3"/>
      <c r="ESC34" s="3"/>
      <c r="ESD34" s="3"/>
      <c r="ESE34" s="3"/>
      <c r="ESF34" s="3"/>
      <c r="ESG34" s="3"/>
      <c r="ESH34" s="3"/>
      <c r="ESI34" s="3"/>
      <c r="ESJ34" s="3"/>
      <c r="ESK34" s="3"/>
      <c r="ESL34" s="3"/>
      <c r="ESM34" s="3"/>
      <c r="ESN34" s="3"/>
      <c r="ESO34" s="3"/>
      <c r="ESP34" s="3"/>
      <c r="ESQ34" s="3"/>
      <c r="ESR34" s="3"/>
      <c r="ESS34" s="3"/>
      <c r="EST34" s="3"/>
      <c r="ESU34" s="3"/>
      <c r="ESV34" s="3"/>
      <c r="ESW34" s="3"/>
      <c r="ESX34" s="3"/>
      <c r="ESY34" s="3"/>
      <c r="ESZ34" s="3"/>
      <c r="ETA34" s="3"/>
      <c r="ETB34" s="3"/>
      <c r="ETC34" s="3"/>
      <c r="ETD34" s="3"/>
      <c r="ETE34" s="3"/>
      <c r="ETF34" s="3"/>
      <c r="ETG34" s="3"/>
      <c r="ETH34" s="3"/>
      <c r="ETI34" s="3"/>
      <c r="ETJ34" s="3"/>
      <c r="ETK34" s="3"/>
      <c r="ETL34" s="3"/>
      <c r="ETM34" s="3"/>
      <c r="ETN34" s="3"/>
      <c r="ETO34" s="3"/>
      <c r="ETP34" s="3"/>
      <c r="ETQ34" s="3"/>
      <c r="ETR34" s="3"/>
      <c r="ETS34" s="3"/>
      <c r="ETT34" s="3"/>
      <c r="ETU34" s="3"/>
      <c r="ETV34" s="3"/>
      <c r="ETW34" s="3"/>
      <c r="ETX34" s="3"/>
      <c r="ETY34" s="3"/>
      <c r="ETZ34" s="3"/>
      <c r="EUA34" s="3"/>
      <c r="EUB34" s="3"/>
      <c r="EUC34" s="3"/>
      <c r="EUD34" s="3"/>
      <c r="EUE34" s="3"/>
      <c r="EUF34" s="3"/>
      <c r="EUG34" s="3"/>
      <c r="EUH34" s="3"/>
      <c r="EUI34" s="3"/>
      <c r="EUJ34" s="3"/>
      <c r="EUK34" s="3"/>
      <c r="EUL34" s="3"/>
      <c r="EUM34" s="3"/>
      <c r="EUN34" s="3"/>
      <c r="EUO34" s="3"/>
      <c r="EUP34" s="3"/>
      <c r="EUQ34" s="3"/>
      <c r="EUR34" s="3"/>
      <c r="EUS34" s="3"/>
      <c r="EUT34" s="3"/>
      <c r="EUU34" s="3"/>
      <c r="EUV34" s="3"/>
      <c r="EUW34" s="3"/>
      <c r="EUX34" s="3"/>
      <c r="EUY34" s="3"/>
      <c r="EUZ34" s="3"/>
      <c r="EVA34" s="3"/>
      <c r="EVB34" s="3"/>
      <c r="EVC34" s="3"/>
      <c r="EVD34" s="3"/>
      <c r="EVE34" s="3"/>
      <c r="EVF34" s="3"/>
      <c r="EVG34" s="3"/>
      <c r="EVH34" s="3"/>
      <c r="EVI34" s="3"/>
      <c r="EVJ34" s="3"/>
      <c r="EVK34" s="3"/>
      <c r="EVL34" s="3"/>
      <c r="EVM34" s="3"/>
      <c r="EVN34" s="3"/>
      <c r="EVO34" s="3"/>
      <c r="EVP34" s="3"/>
      <c r="EVQ34" s="3"/>
      <c r="EVR34" s="3"/>
      <c r="EVS34" s="3"/>
      <c r="EVT34" s="3"/>
      <c r="EVU34" s="3"/>
      <c r="EVV34" s="3"/>
      <c r="EVW34" s="3"/>
      <c r="EVX34" s="3"/>
      <c r="EVY34" s="3"/>
      <c r="EVZ34" s="3"/>
      <c r="EWA34" s="3"/>
      <c r="EWB34" s="3"/>
      <c r="EWC34" s="3"/>
      <c r="EWD34" s="3"/>
      <c r="EWE34" s="3"/>
      <c r="EWF34" s="3"/>
      <c r="EWG34" s="3"/>
      <c r="EWH34" s="3"/>
      <c r="EWI34" s="3"/>
      <c r="EWJ34" s="3"/>
      <c r="EWK34" s="3"/>
      <c r="EWL34" s="3"/>
      <c r="EWM34" s="3"/>
      <c r="EWN34" s="3"/>
      <c r="EWO34" s="3"/>
      <c r="EWP34" s="3"/>
      <c r="EWQ34" s="3"/>
      <c r="EWR34" s="3"/>
      <c r="EWS34" s="3"/>
      <c r="EWT34" s="3"/>
      <c r="EWU34" s="3"/>
      <c r="EWV34" s="3"/>
      <c r="EWW34" s="3"/>
      <c r="EWX34" s="3"/>
      <c r="EWY34" s="3"/>
      <c r="EWZ34" s="3"/>
      <c r="EXA34" s="3"/>
      <c r="EXB34" s="3"/>
      <c r="EXC34" s="3"/>
      <c r="EXD34" s="3"/>
      <c r="EXE34" s="3"/>
      <c r="EXF34" s="3"/>
      <c r="EXG34" s="3"/>
      <c r="EXH34" s="3"/>
      <c r="EXI34" s="3"/>
      <c r="EXJ34" s="3"/>
      <c r="EXK34" s="3"/>
      <c r="EXL34" s="3"/>
      <c r="EXM34" s="3"/>
      <c r="EXN34" s="3"/>
      <c r="EXO34" s="3"/>
      <c r="EXP34" s="3"/>
      <c r="EXQ34" s="3"/>
      <c r="EXR34" s="3"/>
      <c r="EXS34" s="3"/>
      <c r="EXT34" s="3"/>
      <c r="EXU34" s="3"/>
      <c r="EXV34" s="3"/>
      <c r="EXW34" s="3"/>
      <c r="EXX34" s="3"/>
      <c r="EXY34" s="3"/>
      <c r="EXZ34" s="3"/>
      <c r="EYA34" s="3"/>
      <c r="EYB34" s="3"/>
      <c r="EYC34" s="3"/>
      <c r="EYD34" s="3"/>
      <c r="EYE34" s="3"/>
      <c r="EYF34" s="3"/>
      <c r="EYG34" s="3"/>
      <c r="EYH34" s="3"/>
      <c r="EYI34" s="3"/>
      <c r="EYJ34" s="3"/>
      <c r="EYK34" s="3"/>
      <c r="EYL34" s="3"/>
      <c r="EYM34" s="3"/>
      <c r="EYN34" s="3"/>
      <c r="EYO34" s="3"/>
      <c r="EYP34" s="3"/>
      <c r="EYQ34" s="3"/>
      <c r="EYR34" s="3"/>
      <c r="EYS34" s="3"/>
      <c r="EYT34" s="3"/>
      <c r="EYU34" s="3"/>
      <c r="EYV34" s="3"/>
      <c r="EYW34" s="3"/>
      <c r="EYX34" s="3"/>
      <c r="EYY34" s="3"/>
      <c r="EYZ34" s="3"/>
      <c r="EZA34" s="3"/>
      <c r="EZB34" s="3"/>
      <c r="EZC34" s="3"/>
      <c r="EZD34" s="3"/>
      <c r="EZE34" s="3"/>
      <c r="EZF34" s="3"/>
      <c r="EZG34" s="3"/>
      <c r="EZH34" s="3"/>
      <c r="EZI34" s="3"/>
      <c r="EZJ34" s="3"/>
      <c r="EZK34" s="3"/>
      <c r="EZL34" s="3"/>
      <c r="EZM34" s="3"/>
      <c r="EZN34" s="3"/>
      <c r="EZO34" s="3"/>
      <c r="EZP34" s="3"/>
      <c r="EZQ34" s="3"/>
      <c r="EZR34" s="3"/>
      <c r="EZS34" s="3"/>
      <c r="EZT34" s="3"/>
      <c r="EZU34" s="3"/>
      <c r="EZV34" s="3"/>
      <c r="EZW34" s="3"/>
      <c r="EZX34" s="3"/>
      <c r="EZY34" s="3"/>
      <c r="EZZ34" s="3"/>
      <c r="FAA34" s="3"/>
      <c r="FAB34" s="3"/>
      <c r="FAC34" s="3"/>
      <c r="FAD34" s="3"/>
      <c r="FAE34" s="3"/>
      <c r="FAF34" s="3"/>
      <c r="FAG34" s="3"/>
      <c r="FAH34" s="3"/>
      <c r="FAI34" s="3"/>
      <c r="FAJ34" s="3"/>
      <c r="FAK34" s="3"/>
      <c r="FAL34" s="3"/>
      <c r="FAM34" s="3"/>
      <c r="FAN34" s="3"/>
      <c r="FAO34" s="3"/>
      <c r="FAP34" s="3"/>
      <c r="FAQ34" s="3"/>
      <c r="FAR34" s="3"/>
      <c r="FAS34" s="3"/>
      <c r="FAT34" s="3"/>
      <c r="FAU34" s="3"/>
      <c r="FAV34" s="3"/>
      <c r="FAW34" s="3"/>
      <c r="FAX34" s="3"/>
      <c r="FAY34" s="3"/>
      <c r="FAZ34" s="3"/>
      <c r="FBA34" s="3"/>
      <c r="FBB34" s="3"/>
      <c r="FBC34" s="3"/>
      <c r="FBD34" s="3"/>
      <c r="FBE34" s="3"/>
      <c r="FBF34" s="3"/>
      <c r="FBG34" s="3"/>
      <c r="FBH34" s="3"/>
      <c r="FBI34" s="3"/>
      <c r="FBJ34" s="3"/>
      <c r="FBK34" s="3"/>
      <c r="FBL34" s="3"/>
      <c r="FBM34" s="3"/>
      <c r="FBN34" s="3"/>
      <c r="FBO34" s="3"/>
      <c r="FBP34" s="3"/>
      <c r="FBQ34" s="3"/>
      <c r="FBR34" s="3"/>
      <c r="FBS34" s="3"/>
      <c r="FBT34" s="3"/>
      <c r="FBU34" s="3"/>
      <c r="FBV34" s="3"/>
      <c r="FBW34" s="3"/>
      <c r="FBX34" s="3"/>
      <c r="FBY34" s="3"/>
      <c r="FBZ34" s="3"/>
      <c r="FCA34" s="3"/>
      <c r="FCB34" s="3"/>
      <c r="FCC34" s="3"/>
      <c r="FCD34" s="3"/>
      <c r="FCE34" s="3"/>
      <c r="FCF34" s="3"/>
      <c r="FCG34" s="3"/>
      <c r="FCH34" s="3"/>
      <c r="FCI34" s="3"/>
      <c r="FCJ34" s="3"/>
      <c r="FCK34" s="3"/>
      <c r="FCL34" s="3"/>
      <c r="FCM34" s="3"/>
      <c r="FCN34" s="3"/>
      <c r="FCO34" s="3"/>
      <c r="FCP34" s="3"/>
      <c r="FCQ34" s="3"/>
      <c r="FCR34" s="3"/>
      <c r="FCS34" s="3"/>
      <c r="FCT34" s="3"/>
      <c r="FCU34" s="3"/>
      <c r="FCV34" s="3"/>
      <c r="FCW34" s="3"/>
      <c r="FCX34" s="3"/>
      <c r="FCY34" s="3"/>
      <c r="FCZ34" s="3"/>
      <c r="FDA34" s="3"/>
      <c r="FDB34" s="3"/>
      <c r="FDC34" s="3"/>
      <c r="FDD34" s="3"/>
      <c r="FDE34" s="3"/>
      <c r="FDF34" s="3"/>
      <c r="FDG34" s="3"/>
      <c r="FDH34" s="3"/>
      <c r="FDI34" s="3"/>
      <c r="FDJ34" s="3"/>
      <c r="FDK34" s="3"/>
      <c r="FDL34" s="3"/>
      <c r="FDM34" s="3"/>
      <c r="FDN34" s="3"/>
      <c r="FDO34" s="3"/>
      <c r="FDP34" s="3"/>
      <c r="FDQ34" s="3"/>
      <c r="FDR34" s="3"/>
      <c r="FDS34" s="3"/>
      <c r="FDT34" s="3"/>
      <c r="FDU34" s="3"/>
      <c r="FDV34" s="3"/>
      <c r="FDW34" s="3"/>
      <c r="FDX34" s="3"/>
      <c r="FDY34" s="3"/>
      <c r="FDZ34" s="3"/>
      <c r="FEA34" s="3"/>
      <c r="FEB34" s="3"/>
      <c r="FEC34" s="3"/>
      <c r="FED34" s="3"/>
      <c r="FEE34" s="3"/>
      <c r="FEF34" s="3"/>
      <c r="FEG34" s="3"/>
      <c r="FEH34" s="3"/>
      <c r="FEI34" s="3"/>
      <c r="FEJ34" s="3"/>
      <c r="FEK34" s="3"/>
      <c r="FEL34" s="3"/>
      <c r="FEM34" s="3"/>
      <c r="FEN34" s="3"/>
      <c r="FEO34" s="3"/>
      <c r="FEP34" s="3"/>
      <c r="FEQ34" s="3"/>
      <c r="FER34" s="3"/>
      <c r="FES34" s="3"/>
      <c r="FET34" s="3"/>
      <c r="FEU34" s="3"/>
      <c r="FEV34" s="3"/>
      <c r="FEW34" s="3"/>
      <c r="FEX34" s="3"/>
      <c r="FEY34" s="3"/>
      <c r="FEZ34" s="3"/>
      <c r="FFA34" s="3"/>
      <c r="FFB34" s="3"/>
      <c r="FFC34" s="3"/>
      <c r="FFD34" s="3"/>
      <c r="FFE34" s="3"/>
      <c r="FFF34" s="3"/>
      <c r="FFG34" s="3"/>
      <c r="FFH34" s="3"/>
      <c r="FFI34" s="3"/>
      <c r="FFJ34" s="3"/>
      <c r="FFK34" s="3"/>
      <c r="FFL34" s="3"/>
      <c r="FFM34" s="3"/>
      <c r="FFN34" s="3"/>
      <c r="FFO34" s="3"/>
      <c r="FFP34" s="3"/>
      <c r="FFQ34" s="3"/>
      <c r="FFR34" s="3"/>
      <c r="FFS34" s="3"/>
      <c r="FFT34" s="3"/>
      <c r="FFU34" s="3"/>
      <c r="FFV34" s="3"/>
      <c r="FFW34" s="3"/>
      <c r="FFX34" s="3"/>
      <c r="FFY34" s="3"/>
      <c r="FFZ34" s="3"/>
      <c r="FGA34" s="3"/>
      <c r="FGB34" s="3"/>
      <c r="FGC34" s="3"/>
      <c r="FGD34" s="3"/>
      <c r="FGE34" s="3"/>
      <c r="FGF34" s="3"/>
      <c r="FGG34" s="3"/>
      <c r="FGH34" s="3"/>
      <c r="FGI34" s="3"/>
      <c r="FGJ34" s="3"/>
      <c r="FGK34" s="3"/>
      <c r="FGL34" s="3"/>
      <c r="FGM34" s="3"/>
      <c r="FGN34" s="3"/>
      <c r="FGO34" s="3"/>
      <c r="FGP34" s="3"/>
      <c r="FGQ34" s="3"/>
      <c r="FGR34" s="3"/>
      <c r="FGS34" s="3"/>
      <c r="FGT34" s="3"/>
      <c r="FGU34" s="3"/>
      <c r="FGV34" s="3"/>
      <c r="FGW34" s="3"/>
      <c r="FGX34" s="3"/>
      <c r="FGY34" s="3"/>
      <c r="FGZ34" s="3"/>
      <c r="FHA34" s="3"/>
      <c r="FHB34" s="3"/>
      <c r="FHC34" s="3"/>
      <c r="FHD34" s="3"/>
      <c r="FHE34" s="3"/>
      <c r="FHF34" s="3"/>
      <c r="FHG34" s="3"/>
      <c r="FHH34" s="3"/>
      <c r="FHI34" s="3"/>
      <c r="FHJ34" s="3"/>
      <c r="FHK34" s="3"/>
      <c r="FHL34" s="3"/>
      <c r="FHM34" s="3"/>
      <c r="FHN34" s="3"/>
      <c r="FHO34" s="3"/>
      <c r="FHP34" s="3"/>
      <c r="FHQ34" s="3"/>
      <c r="FHR34" s="3"/>
      <c r="FHS34" s="3"/>
      <c r="FHT34" s="3"/>
      <c r="FHU34" s="3"/>
      <c r="FHV34" s="3"/>
      <c r="FHW34" s="3"/>
      <c r="FHX34" s="3"/>
      <c r="FHY34" s="3"/>
      <c r="FHZ34" s="3"/>
      <c r="FIA34" s="3"/>
      <c r="FIB34" s="3"/>
      <c r="FIC34" s="3"/>
      <c r="FID34" s="3"/>
      <c r="FIE34" s="3"/>
      <c r="FIF34" s="3"/>
      <c r="FIG34" s="3"/>
      <c r="FIH34" s="3"/>
      <c r="FII34" s="3"/>
      <c r="FIJ34" s="3"/>
      <c r="FIK34" s="3"/>
      <c r="FIL34" s="3"/>
      <c r="FIM34" s="3"/>
      <c r="FIN34" s="3"/>
      <c r="FIO34" s="3"/>
      <c r="FIP34" s="3"/>
      <c r="FIQ34" s="3"/>
      <c r="FIR34" s="3"/>
      <c r="FIS34" s="3"/>
      <c r="FIT34" s="3"/>
      <c r="FIU34" s="3"/>
      <c r="FIV34" s="3"/>
      <c r="FIW34" s="3"/>
      <c r="FIX34" s="3"/>
      <c r="FIY34" s="3"/>
      <c r="FIZ34" s="3"/>
      <c r="FJA34" s="3"/>
      <c r="FJB34" s="3"/>
      <c r="FJC34" s="3"/>
      <c r="FJD34" s="3"/>
      <c r="FJE34" s="3"/>
      <c r="FJF34" s="3"/>
      <c r="FJG34" s="3"/>
      <c r="FJH34" s="3"/>
      <c r="FJI34" s="3"/>
      <c r="FJJ34" s="3"/>
      <c r="FJK34" s="3"/>
      <c r="FJL34" s="3"/>
      <c r="FJM34" s="3"/>
      <c r="FJN34" s="3"/>
      <c r="FJO34" s="3"/>
      <c r="FJP34" s="3"/>
      <c r="FJQ34" s="3"/>
      <c r="FJR34" s="3"/>
      <c r="FJS34" s="3"/>
      <c r="FJT34" s="3"/>
      <c r="FJU34" s="3"/>
      <c r="FJV34" s="3"/>
      <c r="FJW34" s="3"/>
      <c r="FJX34" s="3"/>
      <c r="FJY34" s="3"/>
      <c r="FJZ34" s="3"/>
      <c r="FKA34" s="3"/>
      <c r="FKB34" s="3"/>
      <c r="FKC34" s="3"/>
      <c r="FKD34" s="3"/>
      <c r="FKE34" s="3"/>
      <c r="FKF34" s="3"/>
      <c r="FKG34" s="3"/>
      <c r="FKH34" s="3"/>
      <c r="FKI34" s="3"/>
      <c r="FKJ34" s="3"/>
      <c r="FKK34" s="3"/>
      <c r="FKL34" s="3"/>
      <c r="FKM34" s="3"/>
      <c r="FKN34" s="3"/>
      <c r="FKO34" s="3"/>
      <c r="FKP34" s="3"/>
      <c r="FKQ34" s="3"/>
      <c r="FKR34" s="3"/>
      <c r="FKS34" s="3"/>
      <c r="FKT34" s="3"/>
      <c r="FKU34" s="3"/>
      <c r="FKV34" s="3"/>
      <c r="FKW34" s="3"/>
      <c r="FKX34" s="3"/>
      <c r="FKY34" s="3"/>
      <c r="FKZ34" s="3"/>
      <c r="FLA34" s="3"/>
      <c r="FLB34" s="3"/>
      <c r="FLC34" s="3"/>
      <c r="FLD34" s="3"/>
      <c r="FLE34" s="3"/>
      <c r="FLF34" s="3"/>
      <c r="FLG34" s="3"/>
      <c r="FLH34" s="3"/>
      <c r="FLI34" s="3"/>
      <c r="FLJ34" s="3"/>
      <c r="FLK34" s="3"/>
      <c r="FLL34" s="3"/>
      <c r="FLM34" s="3"/>
      <c r="FLN34" s="3"/>
      <c r="FLO34" s="3"/>
      <c r="FLP34" s="3"/>
      <c r="FLQ34" s="3"/>
      <c r="FLR34" s="3"/>
      <c r="FLS34" s="3"/>
      <c r="FLT34" s="3"/>
      <c r="FLU34" s="3"/>
      <c r="FLV34" s="3"/>
      <c r="FLW34" s="3"/>
      <c r="FLX34" s="3"/>
      <c r="FLY34" s="3"/>
      <c r="FLZ34" s="3"/>
      <c r="FMA34" s="3"/>
      <c r="FMB34" s="3"/>
      <c r="FMC34" s="3"/>
      <c r="FMD34" s="3"/>
      <c r="FME34" s="3"/>
      <c r="FMF34" s="3"/>
      <c r="FMG34" s="3"/>
      <c r="FMH34" s="3"/>
      <c r="FMI34" s="3"/>
      <c r="FMJ34" s="3"/>
      <c r="FMK34" s="3"/>
      <c r="FML34" s="3"/>
      <c r="FMM34" s="3"/>
      <c r="FMN34" s="3"/>
      <c r="FMO34" s="3"/>
      <c r="FMP34" s="3"/>
      <c r="FMQ34" s="3"/>
      <c r="FMR34" s="3"/>
      <c r="FMS34" s="3"/>
      <c r="FMT34" s="3"/>
      <c r="FMU34" s="3"/>
      <c r="FMV34" s="3"/>
      <c r="FMW34" s="3"/>
      <c r="FMX34" s="3"/>
      <c r="FMY34" s="3"/>
      <c r="FMZ34" s="3"/>
      <c r="FNA34" s="3"/>
      <c r="FNB34" s="3"/>
      <c r="FNC34" s="3"/>
      <c r="FND34" s="3"/>
      <c r="FNE34" s="3"/>
      <c r="FNF34" s="3"/>
      <c r="FNG34" s="3"/>
      <c r="FNH34" s="3"/>
      <c r="FNI34" s="3"/>
      <c r="FNJ34" s="3"/>
      <c r="FNK34" s="3"/>
      <c r="FNL34" s="3"/>
      <c r="FNM34" s="3"/>
      <c r="FNN34" s="3"/>
      <c r="FNO34" s="3"/>
      <c r="FNP34" s="3"/>
      <c r="FNQ34" s="3"/>
      <c r="FNR34" s="3"/>
      <c r="FNS34" s="3"/>
      <c r="FNT34" s="3"/>
      <c r="FNU34" s="3"/>
      <c r="FNV34" s="3"/>
      <c r="FNW34" s="3"/>
      <c r="FNX34" s="3"/>
      <c r="FNY34" s="3"/>
      <c r="FNZ34" s="3"/>
      <c r="FOA34" s="3"/>
      <c r="FOB34" s="3"/>
      <c r="FOC34" s="3"/>
      <c r="FOD34" s="3"/>
      <c r="FOE34" s="3"/>
      <c r="FOF34" s="3"/>
      <c r="FOG34" s="3"/>
      <c r="FOH34" s="3"/>
      <c r="FOI34" s="3"/>
      <c r="FOJ34" s="3"/>
      <c r="FOK34" s="3"/>
      <c r="FOL34" s="3"/>
      <c r="FOM34" s="3"/>
      <c r="FON34" s="3"/>
      <c r="FOO34" s="3"/>
      <c r="FOP34" s="3"/>
      <c r="FOQ34" s="3"/>
      <c r="FOR34" s="3"/>
      <c r="FOS34" s="3"/>
      <c r="FOT34" s="3"/>
      <c r="FOU34" s="3"/>
      <c r="FOV34" s="3"/>
      <c r="FOW34" s="3"/>
      <c r="FOX34" s="3"/>
      <c r="FOY34" s="3"/>
      <c r="FOZ34" s="3"/>
      <c r="FPA34" s="3"/>
      <c r="FPB34" s="3"/>
      <c r="FPC34" s="3"/>
      <c r="FPD34" s="3"/>
      <c r="FPE34" s="3"/>
      <c r="FPF34" s="3"/>
      <c r="FPG34" s="3"/>
      <c r="FPH34" s="3"/>
      <c r="FPI34" s="3"/>
      <c r="FPJ34" s="3"/>
      <c r="FPK34" s="3"/>
      <c r="FPL34" s="3"/>
      <c r="FPM34" s="3"/>
      <c r="FPN34" s="3"/>
      <c r="FPO34" s="3"/>
      <c r="FPP34" s="3"/>
      <c r="FPQ34" s="3"/>
      <c r="FPR34" s="3"/>
      <c r="FPS34" s="3"/>
      <c r="FPT34" s="3"/>
      <c r="FPU34" s="3"/>
      <c r="FPV34" s="3"/>
      <c r="FPW34" s="3"/>
      <c r="FPX34" s="3"/>
      <c r="FPY34" s="3"/>
      <c r="FPZ34" s="3"/>
      <c r="FQA34" s="3"/>
      <c r="FQB34" s="3"/>
      <c r="FQC34" s="3"/>
      <c r="FQD34" s="3"/>
      <c r="FQE34" s="3"/>
      <c r="FQF34" s="3"/>
      <c r="FQG34" s="3"/>
      <c r="FQH34" s="3"/>
      <c r="FQI34" s="3"/>
      <c r="FQJ34" s="3"/>
      <c r="FQK34" s="3"/>
      <c r="FQL34" s="3"/>
      <c r="FQM34" s="3"/>
      <c r="FQN34" s="3"/>
      <c r="FQO34" s="3"/>
      <c r="FQP34" s="3"/>
      <c r="FQQ34" s="3"/>
      <c r="FQR34" s="3"/>
      <c r="FQS34" s="3"/>
      <c r="FQT34" s="3"/>
      <c r="FQU34" s="3"/>
      <c r="FQV34" s="3"/>
      <c r="FQW34" s="3"/>
      <c r="FQX34" s="3"/>
      <c r="FQY34" s="3"/>
      <c r="FQZ34" s="3"/>
      <c r="FRA34" s="3"/>
      <c r="FRB34" s="3"/>
      <c r="FRC34" s="3"/>
      <c r="FRD34" s="3"/>
      <c r="FRE34" s="3"/>
      <c r="FRF34" s="3"/>
      <c r="FRG34" s="3"/>
      <c r="FRH34" s="3"/>
      <c r="FRI34" s="3"/>
      <c r="FRJ34" s="3"/>
      <c r="FRK34" s="3"/>
      <c r="FRL34" s="3"/>
      <c r="FRM34" s="3"/>
      <c r="FRN34" s="3"/>
      <c r="FRO34" s="3"/>
      <c r="FRP34" s="3"/>
      <c r="FRQ34" s="3"/>
      <c r="FRR34" s="3"/>
      <c r="FRS34" s="3"/>
      <c r="FRT34" s="3"/>
      <c r="FRU34" s="3"/>
      <c r="FRV34" s="3"/>
      <c r="FRW34" s="3"/>
      <c r="FRX34" s="3"/>
      <c r="FRY34" s="3"/>
      <c r="FRZ34" s="3"/>
      <c r="FSA34" s="3"/>
      <c r="FSB34" s="3"/>
      <c r="FSC34" s="3"/>
      <c r="FSD34" s="3"/>
      <c r="FSE34" s="3"/>
      <c r="FSF34" s="3"/>
      <c r="FSG34" s="3"/>
      <c r="FSH34" s="3"/>
      <c r="FSI34" s="3"/>
      <c r="FSJ34" s="3"/>
      <c r="FSK34" s="3"/>
      <c r="FSL34" s="3"/>
      <c r="FSM34" s="3"/>
      <c r="FSN34" s="3"/>
      <c r="FSO34" s="3"/>
      <c r="FSP34" s="3"/>
      <c r="FSQ34" s="3"/>
      <c r="FSR34" s="3"/>
      <c r="FSS34" s="3"/>
      <c r="FST34" s="3"/>
      <c r="FSU34" s="3"/>
      <c r="FSV34" s="3"/>
      <c r="FSW34" s="3"/>
      <c r="FSX34" s="3"/>
      <c r="FSY34" s="3"/>
      <c r="FSZ34" s="3"/>
      <c r="FTA34" s="3"/>
      <c r="FTB34" s="3"/>
      <c r="FTC34" s="3"/>
      <c r="FTD34" s="3"/>
      <c r="FTE34" s="3"/>
      <c r="FTF34" s="3"/>
      <c r="FTG34" s="3"/>
      <c r="FTH34" s="3"/>
      <c r="FTI34" s="3"/>
      <c r="FTJ34" s="3"/>
      <c r="FTK34" s="3"/>
      <c r="FTL34" s="3"/>
      <c r="FTM34" s="3"/>
      <c r="FTN34" s="3"/>
      <c r="FTO34" s="3"/>
      <c r="FTP34" s="3"/>
      <c r="FTQ34" s="3"/>
      <c r="FTR34" s="3"/>
      <c r="FTS34" s="3"/>
      <c r="FTT34" s="3"/>
      <c r="FTU34" s="3"/>
      <c r="FTV34" s="3"/>
      <c r="FTW34" s="3"/>
      <c r="FTX34" s="3"/>
      <c r="FTY34" s="3"/>
      <c r="FTZ34" s="3"/>
      <c r="FUA34" s="3"/>
      <c r="FUB34" s="3"/>
      <c r="FUC34" s="3"/>
      <c r="FUD34" s="3"/>
      <c r="FUE34" s="3"/>
      <c r="FUF34" s="3"/>
      <c r="FUG34" s="3"/>
      <c r="FUH34" s="3"/>
      <c r="FUI34" s="3"/>
      <c r="FUJ34" s="3"/>
      <c r="FUK34" s="3"/>
      <c r="FUL34" s="3"/>
      <c r="FUM34" s="3"/>
      <c r="FUN34" s="3"/>
      <c r="FUO34" s="3"/>
      <c r="FUP34" s="3"/>
      <c r="FUQ34" s="3"/>
      <c r="FUR34" s="3"/>
      <c r="FUS34" s="3"/>
      <c r="FUT34" s="3"/>
      <c r="FUU34" s="3"/>
      <c r="FUV34" s="3"/>
      <c r="FUW34" s="3"/>
      <c r="FUX34" s="3"/>
      <c r="FUY34" s="3"/>
      <c r="FUZ34" s="3"/>
      <c r="FVA34" s="3"/>
      <c r="FVB34" s="3"/>
      <c r="FVC34" s="3"/>
      <c r="FVD34" s="3"/>
      <c r="FVE34" s="3"/>
      <c r="FVF34" s="3"/>
      <c r="FVG34" s="3"/>
      <c r="FVH34" s="3"/>
      <c r="FVI34" s="3"/>
      <c r="FVJ34" s="3"/>
      <c r="FVK34" s="3"/>
      <c r="FVL34" s="3"/>
      <c r="FVM34" s="3"/>
      <c r="FVN34" s="3"/>
      <c r="FVO34" s="3"/>
      <c r="FVP34" s="3"/>
      <c r="FVQ34" s="3"/>
      <c r="FVR34" s="3"/>
      <c r="FVS34" s="3"/>
      <c r="FVT34" s="3"/>
      <c r="FVU34" s="3"/>
      <c r="FVV34" s="3"/>
      <c r="FVW34" s="3"/>
      <c r="FVX34" s="3"/>
      <c r="FVY34" s="3"/>
      <c r="FVZ34" s="3"/>
      <c r="FWA34" s="3"/>
      <c r="FWB34" s="3"/>
      <c r="FWC34" s="3"/>
      <c r="FWD34" s="3"/>
      <c r="FWE34" s="3"/>
      <c r="FWF34" s="3"/>
      <c r="FWG34" s="3"/>
      <c r="FWH34" s="3"/>
      <c r="FWI34" s="3"/>
      <c r="FWJ34" s="3"/>
      <c r="FWK34" s="3"/>
      <c r="FWL34" s="3"/>
      <c r="FWM34" s="3"/>
      <c r="FWN34" s="3"/>
      <c r="FWO34" s="3"/>
      <c r="FWP34" s="3"/>
      <c r="FWQ34" s="3"/>
      <c r="FWR34" s="3"/>
      <c r="FWS34" s="3"/>
      <c r="FWT34" s="3"/>
      <c r="FWU34" s="3"/>
      <c r="FWV34" s="3"/>
      <c r="FWW34" s="3"/>
      <c r="FWX34" s="3"/>
      <c r="FWY34" s="3"/>
      <c r="FWZ34" s="3"/>
      <c r="FXA34" s="3"/>
      <c r="FXB34" s="3"/>
      <c r="FXC34" s="3"/>
      <c r="FXD34" s="3"/>
      <c r="FXE34" s="3"/>
      <c r="FXF34" s="3"/>
      <c r="FXG34" s="3"/>
      <c r="FXH34" s="3"/>
      <c r="FXI34" s="3"/>
      <c r="FXJ34" s="3"/>
      <c r="FXK34" s="3"/>
      <c r="FXL34" s="3"/>
      <c r="FXM34" s="3"/>
      <c r="FXN34" s="3"/>
      <c r="FXO34" s="3"/>
      <c r="FXP34" s="3"/>
      <c r="FXQ34" s="3"/>
      <c r="FXR34" s="3"/>
      <c r="FXS34" s="3"/>
      <c r="FXT34" s="3"/>
      <c r="FXU34" s="3"/>
      <c r="FXV34" s="3"/>
      <c r="FXW34" s="3"/>
      <c r="FXX34" s="3"/>
      <c r="FXY34" s="3"/>
      <c r="FXZ34" s="3"/>
      <c r="FYA34" s="3"/>
      <c r="FYB34" s="3"/>
      <c r="FYC34" s="3"/>
      <c r="FYD34" s="3"/>
      <c r="FYE34" s="3"/>
      <c r="FYF34" s="3"/>
      <c r="FYG34" s="3"/>
      <c r="FYH34" s="3"/>
      <c r="FYI34" s="3"/>
      <c r="FYJ34" s="3"/>
      <c r="FYK34" s="3"/>
      <c r="FYL34" s="3"/>
      <c r="FYM34" s="3"/>
      <c r="FYN34" s="3"/>
      <c r="FYO34" s="3"/>
      <c r="FYP34" s="3"/>
      <c r="FYQ34" s="3"/>
      <c r="FYR34" s="3"/>
      <c r="FYS34" s="3"/>
      <c r="FYT34" s="3"/>
      <c r="FYU34" s="3"/>
      <c r="FYV34" s="3"/>
      <c r="FYW34" s="3"/>
      <c r="FYX34" s="3"/>
      <c r="FYY34" s="3"/>
      <c r="FYZ34" s="3"/>
      <c r="FZA34" s="3"/>
      <c r="FZB34" s="3"/>
      <c r="FZC34" s="3"/>
      <c r="FZD34" s="3"/>
      <c r="FZE34" s="3"/>
      <c r="FZF34" s="3"/>
      <c r="FZG34" s="3"/>
      <c r="FZH34" s="3"/>
      <c r="FZI34" s="3"/>
      <c r="FZJ34" s="3"/>
      <c r="FZK34" s="3"/>
      <c r="FZL34" s="3"/>
      <c r="FZM34" s="3"/>
      <c r="FZN34" s="3"/>
      <c r="FZO34" s="3"/>
      <c r="FZP34" s="3"/>
      <c r="FZQ34" s="3"/>
      <c r="FZR34" s="3"/>
      <c r="FZS34" s="3"/>
      <c r="FZT34" s="3"/>
      <c r="FZU34" s="3"/>
      <c r="FZV34" s="3"/>
      <c r="FZW34" s="3"/>
      <c r="FZX34" s="3"/>
      <c r="FZY34" s="3"/>
      <c r="FZZ34" s="3"/>
      <c r="GAA34" s="3"/>
      <c r="GAB34" s="3"/>
      <c r="GAC34" s="3"/>
      <c r="GAD34" s="3"/>
      <c r="GAE34" s="3"/>
      <c r="GAF34" s="3"/>
      <c r="GAG34" s="3"/>
      <c r="GAH34" s="3"/>
      <c r="GAI34" s="3"/>
      <c r="GAJ34" s="3"/>
      <c r="GAK34" s="3"/>
      <c r="GAL34" s="3"/>
      <c r="GAM34" s="3"/>
      <c r="GAN34" s="3"/>
      <c r="GAO34" s="3"/>
      <c r="GAP34" s="3"/>
      <c r="GAQ34" s="3"/>
      <c r="GAR34" s="3"/>
      <c r="GAS34" s="3"/>
      <c r="GAT34" s="3"/>
      <c r="GAU34" s="3"/>
      <c r="GAV34" s="3"/>
      <c r="GAW34" s="3"/>
      <c r="GAX34" s="3"/>
      <c r="GAY34" s="3"/>
      <c r="GAZ34" s="3"/>
      <c r="GBA34" s="3"/>
      <c r="GBB34" s="3"/>
      <c r="GBC34" s="3"/>
      <c r="GBD34" s="3"/>
      <c r="GBE34" s="3"/>
      <c r="GBF34" s="3"/>
      <c r="GBG34" s="3"/>
      <c r="GBH34" s="3"/>
      <c r="GBI34" s="3"/>
      <c r="GBJ34" s="3"/>
      <c r="GBK34" s="3"/>
      <c r="GBL34" s="3"/>
      <c r="GBM34" s="3"/>
      <c r="GBN34" s="3"/>
      <c r="GBO34" s="3"/>
      <c r="GBP34" s="3"/>
      <c r="GBQ34" s="3"/>
      <c r="GBR34" s="3"/>
      <c r="GBS34" s="3"/>
      <c r="GBT34" s="3"/>
      <c r="GBU34" s="3"/>
      <c r="GBV34" s="3"/>
      <c r="GBW34" s="3"/>
      <c r="GBX34" s="3"/>
      <c r="GBY34" s="3"/>
      <c r="GBZ34" s="3"/>
      <c r="GCA34" s="3"/>
      <c r="GCB34" s="3"/>
      <c r="GCC34" s="3"/>
      <c r="GCD34" s="3"/>
      <c r="GCE34" s="3"/>
      <c r="GCF34" s="3"/>
      <c r="GCG34" s="3"/>
      <c r="GCH34" s="3"/>
      <c r="GCI34" s="3"/>
      <c r="GCJ34" s="3"/>
      <c r="GCK34" s="3"/>
      <c r="GCL34" s="3"/>
      <c r="GCM34" s="3"/>
      <c r="GCN34" s="3"/>
      <c r="GCO34" s="3"/>
      <c r="GCP34" s="3"/>
      <c r="GCQ34" s="3"/>
      <c r="GCR34" s="3"/>
      <c r="GCS34" s="3"/>
      <c r="GCT34" s="3"/>
      <c r="GCU34" s="3"/>
      <c r="GCV34" s="3"/>
      <c r="GCW34" s="3"/>
      <c r="GCX34" s="3"/>
      <c r="GCY34" s="3"/>
      <c r="GCZ34" s="3"/>
      <c r="GDA34" s="3"/>
      <c r="GDB34" s="3"/>
      <c r="GDC34" s="3"/>
      <c r="GDD34" s="3"/>
      <c r="GDE34" s="3"/>
      <c r="GDF34" s="3"/>
      <c r="GDG34" s="3"/>
      <c r="GDH34" s="3"/>
      <c r="GDI34" s="3"/>
      <c r="GDJ34" s="3"/>
      <c r="GDK34" s="3"/>
      <c r="GDL34" s="3"/>
      <c r="GDM34" s="3"/>
      <c r="GDN34" s="3"/>
      <c r="GDO34" s="3"/>
      <c r="GDP34" s="3"/>
      <c r="GDQ34" s="3"/>
      <c r="GDR34" s="3"/>
      <c r="GDS34" s="3"/>
      <c r="GDT34" s="3"/>
      <c r="GDU34" s="3"/>
      <c r="GDV34" s="3"/>
      <c r="GDW34" s="3"/>
      <c r="GDX34" s="3"/>
      <c r="GDY34" s="3"/>
      <c r="GDZ34" s="3"/>
      <c r="GEA34" s="3"/>
      <c r="GEB34" s="3"/>
      <c r="GEC34" s="3"/>
      <c r="GED34" s="3"/>
      <c r="GEE34" s="3"/>
      <c r="GEF34" s="3"/>
      <c r="GEG34" s="3"/>
      <c r="GEH34" s="3"/>
      <c r="GEI34" s="3"/>
      <c r="GEJ34" s="3"/>
      <c r="GEK34" s="3"/>
      <c r="GEL34" s="3"/>
      <c r="GEM34" s="3"/>
      <c r="GEN34" s="3"/>
      <c r="GEO34" s="3"/>
      <c r="GEP34" s="3"/>
      <c r="GEQ34" s="3"/>
      <c r="GER34" s="3"/>
      <c r="GES34" s="3"/>
      <c r="GET34" s="3"/>
      <c r="GEU34" s="3"/>
      <c r="GEV34" s="3"/>
      <c r="GEW34" s="3"/>
      <c r="GEX34" s="3"/>
      <c r="GEY34" s="3"/>
      <c r="GEZ34" s="3"/>
      <c r="GFA34" s="3"/>
      <c r="GFB34" s="3"/>
      <c r="GFC34" s="3"/>
      <c r="GFD34" s="3"/>
      <c r="GFE34" s="3"/>
      <c r="GFF34" s="3"/>
      <c r="GFG34" s="3"/>
      <c r="GFH34" s="3"/>
      <c r="GFI34" s="3"/>
      <c r="GFJ34" s="3"/>
      <c r="GFK34" s="3"/>
      <c r="GFL34" s="3"/>
      <c r="GFM34" s="3"/>
      <c r="GFN34" s="3"/>
      <c r="GFO34" s="3"/>
      <c r="GFP34" s="3"/>
      <c r="GFQ34" s="3"/>
      <c r="GFR34" s="3"/>
      <c r="GFS34" s="3"/>
      <c r="GFT34" s="3"/>
      <c r="GFU34" s="3"/>
      <c r="GFV34" s="3"/>
      <c r="GFW34" s="3"/>
      <c r="GFX34" s="3"/>
      <c r="GFY34" s="3"/>
      <c r="GFZ34" s="3"/>
      <c r="GGA34" s="3"/>
      <c r="GGB34" s="3"/>
      <c r="GGC34" s="3"/>
      <c r="GGD34" s="3"/>
      <c r="GGE34" s="3"/>
      <c r="GGF34" s="3"/>
      <c r="GGG34" s="3"/>
      <c r="GGH34" s="3"/>
      <c r="GGI34" s="3"/>
      <c r="GGJ34" s="3"/>
      <c r="GGK34" s="3"/>
      <c r="GGL34" s="3"/>
      <c r="GGM34" s="3"/>
      <c r="GGN34" s="3"/>
      <c r="GGO34" s="3"/>
      <c r="GGP34" s="3"/>
      <c r="GGQ34" s="3"/>
      <c r="GGR34" s="3"/>
      <c r="GGS34" s="3"/>
      <c r="GGT34" s="3"/>
      <c r="GGU34" s="3"/>
      <c r="GGV34" s="3"/>
      <c r="GGW34" s="3"/>
      <c r="GGX34" s="3"/>
      <c r="GGY34" s="3"/>
      <c r="GGZ34" s="3"/>
      <c r="GHA34" s="3"/>
      <c r="GHB34" s="3"/>
      <c r="GHC34" s="3"/>
      <c r="GHD34" s="3"/>
      <c r="GHE34" s="3"/>
      <c r="GHF34" s="3"/>
      <c r="GHG34" s="3"/>
      <c r="GHH34" s="3"/>
      <c r="GHI34" s="3"/>
      <c r="GHJ34" s="3"/>
      <c r="GHK34" s="3"/>
      <c r="GHL34" s="3"/>
      <c r="GHM34" s="3"/>
      <c r="GHN34" s="3"/>
      <c r="GHO34" s="3"/>
      <c r="GHP34" s="3"/>
      <c r="GHQ34" s="3"/>
      <c r="GHR34" s="3"/>
      <c r="GHS34" s="3"/>
      <c r="GHT34" s="3"/>
      <c r="GHU34" s="3"/>
      <c r="GHV34" s="3"/>
      <c r="GHW34" s="3"/>
      <c r="GHX34" s="3"/>
      <c r="GHY34" s="3"/>
      <c r="GHZ34" s="3"/>
      <c r="GIA34" s="3"/>
      <c r="GIB34" s="3"/>
      <c r="GIC34" s="3"/>
      <c r="GID34" s="3"/>
      <c r="GIE34" s="3"/>
      <c r="GIF34" s="3"/>
      <c r="GIG34" s="3"/>
      <c r="GIH34" s="3"/>
      <c r="GII34" s="3"/>
      <c r="GIJ34" s="3"/>
      <c r="GIK34" s="3"/>
      <c r="GIL34" s="3"/>
      <c r="GIM34" s="3"/>
      <c r="GIN34" s="3"/>
      <c r="GIO34" s="3"/>
      <c r="GIP34" s="3"/>
      <c r="GIQ34" s="3"/>
      <c r="GIR34" s="3"/>
      <c r="GIS34" s="3"/>
      <c r="GIT34" s="3"/>
      <c r="GIU34" s="3"/>
      <c r="GIV34" s="3"/>
      <c r="GIW34" s="3"/>
      <c r="GIX34" s="3"/>
      <c r="GIY34" s="3"/>
      <c r="GIZ34" s="3"/>
      <c r="GJA34" s="3"/>
      <c r="GJB34" s="3"/>
      <c r="GJC34" s="3"/>
      <c r="GJD34" s="3"/>
      <c r="GJE34" s="3"/>
      <c r="GJF34" s="3"/>
      <c r="GJG34" s="3"/>
      <c r="GJH34" s="3"/>
      <c r="GJI34" s="3"/>
      <c r="GJJ34" s="3"/>
      <c r="GJK34" s="3"/>
      <c r="GJL34" s="3"/>
      <c r="GJM34" s="3"/>
      <c r="GJN34" s="3"/>
      <c r="GJO34" s="3"/>
      <c r="GJP34" s="3"/>
      <c r="GJQ34" s="3"/>
      <c r="GJR34" s="3"/>
      <c r="GJS34" s="3"/>
      <c r="GJT34" s="3"/>
      <c r="GJU34" s="3"/>
      <c r="GJV34" s="3"/>
      <c r="GJW34" s="3"/>
      <c r="GJX34" s="3"/>
      <c r="GJY34" s="3"/>
      <c r="GJZ34" s="3"/>
      <c r="GKA34" s="3"/>
      <c r="GKB34" s="3"/>
      <c r="GKC34" s="3"/>
      <c r="GKD34" s="3"/>
      <c r="GKE34" s="3"/>
      <c r="GKF34" s="3"/>
      <c r="GKG34" s="3"/>
      <c r="GKH34" s="3"/>
      <c r="GKI34" s="3"/>
      <c r="GKJ34" s="3"/>
      <c r="GKK34" s="3"/>
      <c r="GKL34" s="3"/>
      <c r="GKM34" s="3"/>
      <c r="GKN34" s="3"/>
      <c r="GKO34" s="3"/>
      <c r="GKP34" s="3"/>
      <c r="GKQ34" s="3"/>
      <c r="GKR34" s="3"/>
      <c r="GKS34" s="3"/>
      <c r="GKT34" s="3"/>
      <c r="GKU34" s="3"/>
      <c r="GKV34" s="3"/>
      <c r="GKW34" s="3"/>
      <c r="GKX34" s="3"/>
      <c r="GKY34" s="3"/>
      <c r="GKZ34" s="3"/>
      <c r="GLA34" s="3"/>
      <c r="GLB34" s="3"/>
      <c r="GLC34" s="3"/>
      <c r="GLD34" s="3"/>
      <c r="GLE34" s="3"/>
      <c r="GLF34" s="3"/>
      <c r="GLG34" s="3"/>
      <c r="GLH34" s="3"/>
      <c r="GLI34" s="3"/>
      <c r="GLJ34" s="3"/>
      <c r="GLK34" s="3"/>
      <c r="GLL34" s="3"/>
      <c r="GLM34" s="3"/>
      <c r="GLN34" s="3"/>
      <c r="GLO34" s="3"/>
      <c r="GLP34" s="3"/>
      <c r="GLQ34" s="3"/>
      <c r="GLR34" s="3"/>
      <c r="GLS34" s="3"/>
      <c r="GLT34" s="3"/>
      <c r="GLU34" s="3"/>
      <c r="GLV34" s="3"/>
      <c r="GLW34" s="3"/>
      <c r="GLX34" s="3"/>
      <c r="GLY34" s="3"/>
      <c r="GLZ34" s="3"/>
      <c r="GMA34" s="3"/>
      <c r="GMB34" s="3"/>
      <c r="GMC34" s="3"/>
      <c r="GMD34" s="3"/>
      <c r="GME34" s="3"/>
      <c r="GMF34" s="3"/>
      <c r="GMG34" s="3"/>
      <c r="GMH34" s="3"/>
      <c r="GMI34" s="3"/>
      <c r="GMJ34" s="3"/>
      <c r="GMK34" s="3"/>
      <c r="GML34" s="3"/>
      <c r="GMM34" s="3"/>
      <c r="GMN34" s="3"/>
      <c r="GMO34" s="3"/>
      <c r="GMP34" s="3"/>
      <c r="GMQ34" s="3"/>
      <c r="GMR34" s="3"/>
      <c r="GMS34" s="3"/>
      <c r="GMT34" s="3"/>
      <c r="GMU34" s="3"/>
      <c r="GMV34" s="3"/>
      <c r="GMW34" s="3"/>
      <c r="GMX34" s="3"/>
      <c r="GMY34" s="3"/>
      <c r="GMZ34" s="3"/>
      <c r="GNA34" s="3"/>
      <c r="GNB34" s="3"/>
      <c r="GNC34" s="3"/>
      <c r="GND34" s="3"/>
      <c r="GNE34" s="3"/>
      <c r="GNF34" s="3"/>
      <c r="GNG34" s="3"/>
      <c r="GNH34" s="3"/>
      <c r="GNI34" s="3"/>
      <c r="GNJ34" s="3"/>
      <c r="GNK34" s="3"/>
      <c r="GNL34" s="3"/>
      <c r="GNM34" s="3"/>
      <c r="GNN34" s="3"/>
      <c r="GNO34" s="3"/>
      <c r="GNP34" s="3"/>
      <c r="GNQ34" s="3"/>
      <c r="GNR34" s="3"/>
      <c r="GNS34" s="3"/>
      <c r="GNT34" s="3"/>
      <c r="GNU34" s="3"/>
      <c r="GNV34" s="3"/>
      <c r="GNW34" s="3"/>
      <c r="GNX34" s="3"/>
      <c r="GNY34" s="3"/>
      <c r="GNZ34" s="3"/>
      <c r="GOA34" s="3"/>
      <c r="GOB34" s="3"/>
      <c r="GOC34" s="3"/>
      <c r="GOD34" s="3"/>
      <c r="GOE34" s="3"/>
      <c r="GOF34" s="3"/>
      <c r="GOG34" s="3"/>
      <c r="GOH34" s="3"/>
      <c r="GOI34" s="3"/>
      <c r="GOJ34" s="3"/>
      <c r="GOK34" s="3"/>
      <c r="GOL34" s="3"/>
      <c r="GOM34" s="3"/>
      <c r="GON34" s="3"/>
      <c r="GOO34" s="3"/>
      <c r="GOP34" s="3"/>
      <c r="GOQ34" s="3"/>
      <c r="GOR34" s="3"/>
      <c r="GOS34" s="3"/>
      <c r="GOT34" s="3"/>
      <c r="GOU34" s="3"/>
      <c r="GOV34" s="3"/>
      <c r="GOW34" s="3"/>
      <c r="GOX34" s="3"/>
      <c r="GOY34" s="3"/>
      <c r="GOZ34" s="3"/>
      <c r="GPA34" s="3"/>
      <c r="GPB34" s="3"/>
      <c r="GPC34" s="3"/>
      <c r="GPD34" s="3"/>
      <c r="GPE34" s="3"/>
      <c r="GPF34" s="3"/>
      <c r="GPG34" s="3"/>
      <c r="GPH34" s="3"/>
      <c r="GPI34" s="3"/>
      <c r="GPJ34" s="3"/>
      <c r="GPK34" s="3"/>
      <c r="GPL34" s="3"/>
      <c r="GPM34" s="3"/>
      <c r="GPN34" s="3"/>
      <c r="GPO34" s="3"/>
      <c r="GPP34" s="3"/>
      <c r="GPQ34" s="3"/>
      <c r="GPR34" s="3"/>
      <c r="GPS34" s="3"/>
      <c r="GPT34" s="3"/>
      <c r="GPU34" s="3"/>
      <c r="GPV34" s="3"/>
      <c r="GPW34" s="3"/>
      <c r="GPX34" s="3"/>
      <c r="GPY34" s="3"/>
      <c r="GPZ34" s="3"/>
      <c r="GQA34" s="3"/>
      <c r="GQB34" s="3"/>
      <c r="GQC34" s="3"/>
      <c r="GQD34" s="3"/>
      <c r="GQE34" s="3"/>
      <c r="GQF34" s="3"/>
      <c r="GQG34" s="3"/>
      <c r="GQH34" s="3"/>
      <c r="GQI34" s="3"/>
      <c r="GQJ34" s="3"/>
      <c r="GQK34" s="3"/>
      <c r="GQL34" s="3"/>
      <c r="GQM34" s="3"/>
      <c r="GQN34" s="3"/>
      <c r="GQO34" s="3"/>
      <c r="GQP34" s="3"/>
      <c r="GQQ34" s="3"/>
      <c r="GQR34" s="3"/>
      <c r="GQS34" s="3"/>
      <c r="GQT34" s="3"/>
      <c r="GQU34" s="3"/>
      <c r="GQV34" s="3"/>
      <c r="GQW34" s="3"/>
      <c r="GQX34" s="3"/>
      <c r="GQY34" s="3"/>
      <c r="GQZ34" s="3"/>
      <c r="GRA34" s="3"/>
      <c r="GRB34" s="3"/>
      <c r="GRC34" s="3"/>
      <c r="GRD34" s="3"/>
      <c r="GRE34" s="3"/>
      <c r="GRF34" s="3"/>
      <c r="GRG34" s="3"/>
      <c r="GRH34" s="3"/>
      <c r="GRI34" s="3"/>
      <c r="GRJ34" s="3"/>
      <c r="GRK34" s="3"/>
      <c r="GRL34" s="3"/>
      <c r="GRM34" s="3"/>
      <c r="GRN34" s="3"/>
      <c r="GRO34" s="3"/>
      <c r="GRP34" s="3"/>
      <c r="GRQ34" s="3"/>
      <c r="GRR34" s="3"/>
      <c r="GRS34" s="3"/>
      <c r="GRT34" s="3"/>
      <c r="GRU34" s="3"/>
      <c r="GRV34" s="3"/>
      <c r="GRW34" s="3"/>
      <c r="GRX34" s="3"/>
      <c r="GRY34" s="3"/>
      <c r="GRZ34" s="3"/>
      <c r="GSA34" s="3"/>
      <c r="GSB34" s="3"/>
      <c r="GSC34" s="3"/>
      <c r="GSD34" s="3"/>
      <c r="GSE34" s="3"/>
      <c r="GSF34" s="3"/>
      <c r="GSG34" s="3"/>
      <c r="GSH34" s="3"/>
      <c r="GSI34" s="3"/>
      <c r="GSJ34" s="3"/>
      <c r="GSK34" s="3"/>
      <c r="GSL34" s="3"/>
      <c r="GSM34" s="3"/>
      <c r="GSN34" s="3"/>
      <c r="GSO34" s="3"/>
      <c r="GSP34" s="3"/>
      <c r="GSQ34" s="3"/>
      <c r="GSR34" s="3"/>
      <c r="GSS34" s="3"/>
      <c r="GST34" s="3"/>
      <c r="GSU34" s="3"/>
      <c r="GSV34" s="3"/>
      <c r="GSW34" s="3"/>
      <c r="GSX34" s="3"/>
      <c r="GSY34" s="3"/>
      <c r="GSZ34" s="3"/>
      <c r="GTA34" s="3"/>
      <c r="GTB34" s="3"/>
      <c r="GTC34" s="3"/>
      <c r="GTD34" s="3"/>
      <c r="GTE34" s="3"/>
      <c r="GTF34" s="3"/>
      <c r="GTG34" s="3"/>
      <c r="GTH34" s="3"/>
      <c r="GTI34" s="3"/>
      <c r="GTJ34" s="3"/>
      <c r="GTK34" s="3"/>
      <c r="GTL34" s="3"/>
      <c r="GTM34" s="3"/>
      <c r="GTN34" s="3"/>
      <c r="GTO34" s="3"/>
      <c r="GTP34" s="3"/>
      <c r="GTQ34" s="3"/>
      <c r="GTR34" s="3"/>
      <c r="GTS34" s="3"/>
      <c r="GTT34" s="3"/>
      <c r="GTU34" s="3"/>
      <c r="GTV34" s="3"/>
      <c r="GTW34" s="3"/>
      <c r="GTX34" s="3"/>
      <c r="GTY34" s="3"/>
      <c r="GTZ34" s="3"/>
      <c r="GUA34" s="3"/>
      <c r="GUB34" s="3"/>
      <c r="GUC34" s="3"/>
      <c r="GUD34" s="3"/>
      <c r="GUE34" s="3"/>
      <c r="GUF34" s="3"/>
      <c r="GUG34" s="3"/>
      <c r="GUH34" s="3"/>
      <c r="GUI34" s="3"/>
      <c r="GUJ34" s="3"/>
      <c r="GUK34" s="3"/>
      <c r="GUL34" s="3"/>
      <c r="GUM34" s="3"/>
      <c r="GUN34" s="3"/>
      <c r="GUO34" s="3"/>
      <c r="GUP34" s="3"/>
      <c r="GUQ34" s="3"/>
      <c r="GUR34" s="3"/>
      <c r="GUS34" s="3"/>
      <c r="GUT34" s="3"/>
      <c r="GUU34" s="3"/>
      <c r="GUV34" s="3"/>
      <c r="GUW34" s="3"/>
      <c r="GUX34" s="3"/>
      <c r="GUY34" s="3"/>
      <c r="GUZ34" s="3"/>
      <c r="GVA34" s="3"/>
      <c r="GVB34" s="3"/>
      <c r="GVC34" s="3"/>
      <c r="GVD34" s="3"/>
      <c r="GVE34" s="3"/>
      <c r="GVF34" s="3"/>
      <c r="GVG34" s="3"/>
      <c r="GVH34" s="3"/>
      <c r="GVI34" s="3"/>
      <c r="GVJ34" s="3"/>
      <c r="GVK34" s="3"/>
      <c r="GVL34" s="3"/>
      <c r="GVM34" s="3"/>
      <c r="GVN34" s="3"/>
      <c r="GVO34" s="3"/>
      <c r="GVP34" s="3"/>
      <c r="GVQ34" s="3"/>
      <c r="GVR34" s="3"/>
      <c r="GVS34" s="3"/>
      <c r="GVT34" s="3"/>
      <c r="GVU34" s="3"/>
      <c r="GVV34" s="3"/>
      <c r="GVW34" s="3"/>
      <c r="GVX34" s="3"/>
      <c r="GVY34" s="3"/>
      <c r="GVZ34" s="3"/>
      <c r="GWA34" s="3"/>
      <c r="GWB34" s="3"/>
      <c r="GWC34" s="3"/>
      <c r="GWD34" s="3"/>
      <c r="GWE34" s="3"/>
      <c r="GWF34" s="3"/>
      <c r="GWG34" s="3"/>
      <c r="GWH34" s="3"/>
      <c r="GWI34" s="3"/>
      <c r="GWJ34" s="3"/>
      <c r="GWK34" s="3"/>
      <c r="GWL34" s="3"/>
      <c r="GWM34" s="3"/>
      <c r="GWN34" s="3"/>
      <c r="GWO34" s="3"/>
      <c r="GWP34" s="3"/>
      <c r="GWQ34" s="3"/>
      <c r="GWR34" s="3"/>
      <c r="GWS34" s="3"/>
      <c r="GWT34" s="3"/>
      <c r="GWU34" s="3"/>
      <c r="GWV34" s="3"/>
      <c r="GWW34" s="3"/>
      <c r="GWX34" s="3"/>
      <c r="GWY34" s="3"/>
      <c r="GWZ34" s="3"/>
      <c r="GXA34" s="3"/>
      <c r="GXB34" s="3"/>
      <c r="GXC34" s="3"/>
      <c r="GXD34" s="3"/>
      <c r="GXE34" s="3"/>
      <c r="GXF34" s="3"/>
      <c r="GXG34" s="3"/>
      <c r="GXH34" s="3"/>
      <c r="GXI34" s="3"/>
      <c r="GXJ34" s="3"/>
      <c r="GXK34" s="3"/>
      <c r="GXL34" s="3"/>
      <c r="GXM34" s="3"/>
      <c r="GXN34" s="3"/>
      <c r="GXO34" s="3"/>
      <c r="GXP34" s="3"/>
      <c r="GXQ34" s="3"/>
      <c r="GXR34" s="3"/>
      <c r="GXS34" s="3"/>
      <c r="GXT34" s="3"/>
      <c r="GXU34" s="3"/>
      <c r="GXV34" s="3"/>
      <c r="GXW34" s="3"/>
      <c r="GXX34" s="3"/>
      <c r="GXY34" s="3"/>
      <c r="GXZ34" s="3"/>
      <c r="GYA34" s="3"/>
      <c r="GYB34" s="3"/>
      <c r="GYC34" s="3"/>
      <c r="GYD34" s="3"/>
      <c r="GYE34" s="3"/>
      <c r="GYF34" s="3"/>
      <c r="GYG34" s="3"/>
      <c r="GYH34" s="3"/>
      <c r="GYI34" s="3"/>
      <c r="GYJ34" s="3"/>
      <c r="GYK34" s="3"/>
      <c r="GYL34" s="3"/>
      <c r="GYM34" s="3"/>
      <c r="GYN34" s="3"/>
      <c r="GYO34" s="3"/>
      <c r="GYP34" s="3"/>
      <c r="GYQ34" s="3"/>
      <c r="GYR34" s="3"/>
      <c r="GYS34" s="3"/>
      <c r="GYT34" s="3"/>
      <c r="GYU34" s="3"/>
      <c r="GYV34" s="3"/>
      <c r="GYW34" s="3"/>
      <c r="GYX34" s="3"/>
      <c r="GYY34" s="3"/>
      <c r="GYZ34" s="3"/>
      <c r="GZA34" s="3"/>
      <c r="GZB34" s="3"/>
      <c r="GZC34" s="3"/>
      <c r="GZD34" s="3"/>
      <c r="GZE34" s="3"/>
      <c r="GZF34" s="3"/>
      <c r="GZG34" s="3"/>
      <c r="GZH34" s="3"/>
      <c r="GZI34" s="3"/>
      <c r="GZJ34" s="3"/>
      <c r="GZK34" s="3"/>
      <c r="GZL34" s="3"/>
      <c r="GZM34" s="3"/>
      <c r="GZN34" s="3"/>
      <c r="GZO34" s="3"/>
      <c r="GZP34" s="3"/>
      <c r="GZQ34" s="3"/>
      <c r="GZR34" s="3"/>
      <c r="GZS34" s="3"/>
      <c r="GZT34" s="3"/>
      <c r="GZU34" s="3"/>
      <c r="GZV34" s="3"/>
      <c r="GZW34" s="3"/>
      <c r="GZX34" s="3"/>
      <c r="GZY34" s="3"/>
      <c r="GZZ34" s="3"/>
      <c r="HAA34" s="3"/>
      <c r="HAB34" s="3"/>
      <c r="HAC34" s="3"/>
      <c r="HAD34" s="3"/>
      <c r="HAE34" s="3"/>
      <c r="HAF34" s="3"/>
      <c r="HAG34" s="3"/>
      <c r="HAH34" s="3"/>
      <c r="HAI34" s="3"/>
      <c r="HAJ34" s="3"/>
      <c r="HAK34" s="3"/>
      <c r="HAL34" s="3"/>
      <c r="HAM34" s="3"/>
      <c r="HAN34" s="3"/>
      <c r="HAO34" s="3"/>
      <c r="HAP34" s="3"/>
      <c r="HAQ34" s="3"/>
      <c r="HAR34" s="3"/>
      <c r="HAS34" s="3"/>
      <c r="HAT34" s="3"/>
      <c r="HAU34" s="3"/>
      <c r="HAV34" s="3"/>
      <c r="HAW34" s="3"/>
      <c r="HAX34" s="3"/>
      <c r="HAY34" s="3"/>
      <c r="HAZ34" s="3"/>
      <c r="HBA34" s="3"/>
      <c r="HBB34" s="3"/>
      <c r="HBC34" s="3"/>
      <c r="HBD34" s="3"/>
      <c r="HBE34" s="3"/>
      <c r="HBF34" s="3"/>
      <c r="HBG34" s="3"/>
      <c r="HBH34" s="3"/>
      <c r="HBI34" s="3"/>
      <c r="HBJ34" s="3"/>
      <c r="HBK34" s="3"/>
      <c r="HBL34" s="3"/>
      <c r="HBM34" s="3"/>
      <c r="HBN34" s="3"/>
      <c r="HBO34" s="3"/>
      <c r="HBP34" s="3"/>
      <c r="HBQ34" s="3"/>
      <c r="HBR34" s="3"/>
      <c r="HBS34" s="3"/>
      <c r="HBT34" s="3"/>
      <c r="HBU34" s="3"/>
      <c r="HBV34" s="3"/>
      <c r="HBW34" s="3"/>
      <c r="HBX34" s="3"/>
      <c r="HBY34" s="3"/>
      <c r="HBZ34" s="3"/>
      <c r="HCA34" s="3"/>
      <c r="HCB34" s="3"/>
      <c r="HCC34" s="3"/>
      <c r="HCD34" s="3"/>
      <c r="HCE34" s="3"/>
      <c r="HCF34" s="3"/>
      <c r="HCG34" s="3"/>
      <c r="HCH34" s="3"/>
      <c r="HCI34" s="3"/>
      <c r="HCJ34" s="3"/>
      <c r="HCK34" s="3"/>
      <c r="HCL34" s="3"/>
      <c r="HCM34" s="3"/>
      <c r="HCN34" s="3"/>
      <c r="HCO34" s="3"/>
      <c r="HCP34" s="3"/>
      <c r="HCQ34" s="3"/>
      <c r="HCR34" s="3"/>
      <c r="HCS34" s="3"/>
      <c r="HCT34" s="3"/>
      <c r="HCU34" s="3"/>
      <c r="HCV34" s="3"/>
      <c r="HCW34" s="3"/>
      <c r="HCX34" s="3"/>
      <c r="HCY34" s="3"/>
      <c r="HCZ34" s="3"/>
      <c r="HDA34" s="3"/>
      <c r="HDB34" s="3"/>
      <c r="HDC34" s="3"/>
      <c r="HDD34" s="3"/>
      <c r="HDE34" s="3"/>
      <c r="HDF34" s="3"/>
      <c r="HDG34" s="3"/>
      <c r="HDH34" s="3"/>
      <c r="HDI34" s="3"/>
      <c r="HDJ34" s="3"/>
      <c r="HDK34" s="3"/>
      <c r="HDL34" s="3"/>
      <c r="HDM34" s="3"/>
      <c r="HDN34" s="3"/>
      <c r="HDO34" s="3"/>
      <c r="HDP34" s="3"/>
      <c r="HDQ34" s="3"/>
      <c r="HDR34" s="3"/>
      <c r="HDS34" s="3"/>
      <c r="HDT34" s="3"/>
      <c r="HDU34" s="3"/>
      <c r="HDV34" s="3"/>
      <c r="HDW34" s="3"/>
      <c r="HDX34" s="3"/>
      <c r="HDY34" s="3"/>
      <c r="HDZ34" s="3"/>
      <c r="HEA34" s="3"/>
      <c r="HEB34" s="3"/>
      <c r="HEC34" s="3"/>
      <c r="HED34" s="3"/>
      <c r="HEE34" s="3"/>
      <c r="HEF34" s="3"/>
      <c r="HEG34" s="3"/>
      <c r="HEH34" s="3"/>
      <c r="HEI34" s="3"/>
      <c r="HEJ34" s="3"/>
      <c r="HEK34" s="3"/>
      <c r="HEL34" s="3"/>
      <c r="HEM34" s="3"/>
      <c r="HEN34" s="3"/>
      <c r="HEO34" s="3"/>
      <c r="HEP34" s="3"/>
      <c r="HEQ34" s="3"/>
      <c r="HER34" s="3"/>
      <c r="HES34" s="3"/>
      <c r="HET34" s="3"/>
      <c r="HEU34" s="3"/>
      <c r="HEV34" s="3"/>
      <c r="HEW34" s="3"/>
      <c r="HEX34" s="3"/>
      <c r="HEY34" s="3"/>
      <c r="HEZ34" s="3"/>
      <c r="HFA34" s="3"/>
      <c r="HFB34" s="3"/>
      <c r="HFC34" s="3"/>
      <c r="HFD34" s="3"/>
      <c r="HFE34" s="3"/>
      <c r="HFF34" s="3"/>
      <c r="HFG34" s="3"/>
      <c r="HFH34" s="3"/>
      <c r="HFI34" s="3"/>
      <c r="HFJ34" s="3"/>
      <c r="HFK34" s="3"/>
      <c r="HFL34" s="3"/>
      <c r="HFM34" s="3"/>
      <c r="HFN34" s="3"/>
      <c r="HFO34" s="3"/>
      <c r="HFP34" s="3"/>
      <c r="HFQ34" s="3"/>
      <c r="HFR34" s="3"/>
      <c r="HFS34" s="3"/>
      <c r="HFT34" s="3"/>
      <c r="HFU34" s="3"/>
      <c r="HFV34" s="3"/>
      <c r="HFW34" s="3"/>
      <c r="HFX34" s="3"/>
      <c r="HFY34" s="3"/>
      <c r="HFZ34" s="3"/>
      <c r="HGA34" s="3"/>
      <c r="HGB34" s="3"/>
      <c r="HGC34" s="3"/>
      <c r="HGD34" s="3"/>
      <c r="HGE34" s="3"/>
      <c r="HGF34" s="3"/>
      <c r="HGG34" s="3"/>
      <c r="HGH34" s="3"/>
      <c r="HGI34" s="3"/>
      <c r="HGJ34" s="3"/>
      <c r="HGK34" s="3"/>
      <c r="HGL34" s="3"/>
      <c r="HGM34" s="3"/>
      <c r="HGN34" s="3"/>
      <c r="HGO34" s="3"/>
      <c r="HGP34" s="3"/>
      <c r="HGQ34" s="3"/>
      <c r="HGR34" s="3"/>
      <c r="HGS34" s="3"/>
      <c r="HGT34" s="3"/>
      <c r="HGU34" s="3"/>
      <c r="HGV34" s="3"/>
      <c r="HGW34" s="3"/>
      <c r="HGX34" s="3"/>
      <c r="HGY34" s="3"/>
      <c r="HGZ34" s="3"/>
      <c r="HHA34" s="3"/>
      <c r="HHB34" s="3"/>
      <c r="HHC34" s="3"/>
      <c r="HHD34" s="3"/>
      <c r="HHE34" s="3"/>
      <c r="HHF34" s="3"/>
      <c r="HHG34" s="3"/>
      <c r="HHH34" s="3"/>
      <c r="HHI34" s="3"/>
      <c r="HHJ34" s="3"/>
      <c r="HHK34" s="3"/>
      <c r="HHL34" s="3"/>
      <c r="HHM34" s="3"/>
      <c r="HHN34" s="3"/>
      <c r="HHO34" s="3"/>
      <c r="HHP34" s="3"/>
      <c r="HHQ34" s="3"/>
      <c r="HHR34" s="3"/>
      <c r="HHS34" s="3"/>
      <c r="HHT34" s="3"/>
      <c r="HHU34" s="3"/>
      <c r="HHV34" s="3"/>
      <c r="HHW34" s="3"/>
      <c r="HHX34" s="3"/>
      <c r="HHY34" s="3"/>
      <c r="HHZ34" s="3"/>
      <c r="HIA34" s="3"/>
      <c r="HIB34" s="3"/>
      <c r="HIC34" s="3"/>
      <c r="HID34" s="3"/>
      <c r="HIE34" s="3"/>
      <c r="HIF34" s="3"/>
      <c r="HIG34" s="3"/>
      <c r="HIH34" s="3"/>
      <c r="HII34" s="3"/>
      <c r="HIJ34" s="3"/>
      <c r="HIK34" s="3"/>
      <c r="HIL34" s="3"/>
      <c r="HIM34" s="3"/>
      <c r="HIN34" s="3"/>
      <c r="HIO34" s="3"/>
      <c r="HIP34" s="3"/>
      <c r="HIQ34" s="3"/>
      <c r="HIR34" s="3"/>
      <c r="HIS34" s="3"/>
      <c r="HIT34" s="3"/>
      <c r="HIU34" s="3"/>
      <c r="HIV34" s="3"/>
      <c r="HIW34" s="3"/>
      <c r="HIX34" s="3"/>
      <c r="HIY34" s="3"/>
      <c r="HIZ34" s="3"/>
      <c r="HJA34" s="3"/>
      <c r="HJB34" s="3"/>
      <c r="HJC34" s="3"/>
      <c r="HJD34" s="3"/>
      <c r="HJE34" s="3"/>
      <c r="HJF34" s="3"/>
      <c r="HJG34" s="3"/>
      <c r="HJH34" s="3"/>
      <c r="HJI34" s="3"/>
      <c r="HJJ34" s="3"/>
      <c r="HJK34" s="3"/>
      <c r="HJL34" s="3"/>
      <c r="HJM34" s="3"/>
      <c r="HJN34" s="3"/>
      <c r="HJO34" s="3"/>
      <c r="HJP34" s="3"/>
      <c r="HJQ34" s="3"/>
      <c r="HJR34" s="3"/>
      <c r="HJS34" s="3"/>
      <c r="HJT34" s="3"/>
      <c r="HJU34" s="3"/>
      <c r="HJV34" s="3"/>
      <c r="HJW34" s="3"/>
      <c r="HJX34" s="3"/>
      <c r="HJY34" s="3"/>
      <c r="HJZ34" s="3"/>
      <c r="HKA34" s="3"/>
      <c r="HKB34" s="3"/>
      <c r="HKC34" s="3"/>
      <c r="HKD34" s="3"/>
      <c r="HKE34" s="3"/>
      <c r="HKF34" s="3"/>
      <c r="HKG34" s="3"/>
      <c r="HKH34" s="3"/>
      <c r="HKI34" s="3"/>
      <c r="HKJ34" s="3"/>
      <c r="HKK34" s="3"/>
      <c r="HKL34" s="3"/>
      <c r="HKM34" s="3"/>
      <c r="HKN34" s="3"/>
      <c r="HKO34" s="3"/>
      <c r="HKP34" s="3"/>
      <c r="HKQ34" s="3"/>
      <c r="HKR34" s="3"/>
      <c r="HKS34" s="3"/>
      <c r="HKT34" s="3"/>
      <c r="HKU34" s="3"/>
      <c r="HKV34" s="3"/>
      <c r="HKW34" s="3"/>
      <c r="HKX34" s="3"/>
      <c r="HKY34" s="3"/>
      <c r="HKZ34" s="3"/>
      <c r="HLA34" s="3"/>
      <c r="HLB34" s="3"/>
      <c r="HLC34" s="3"/>
      <c r="HLD34" s="3"/>
      <c r="HLE34" s="3"/>
      <c r="HLF34" s="3"/>
      <c r="HLG34" s="3"/>
      <c r="HLH34" s="3"/>
      <c r="HLI34" s="3"/>
      <c r="HLJ34" s="3"/>
      <c r="HLK34" s="3"/>
      <c r="HLL34" s="3"/>
      <c r="HLM34" s="3"/>
      <c r="HLN34" s="3"/>
      <c r="HLO34" s="3"/>
      <c r="HLP34" s="3"/>
      <c r="HLQ34" s="3"/>
      <c r="HLR34" s="3"/>
      <c r="HLS34" s="3"/>
      <c r="HLT34" s="3"/>
      <c r="HLU34" s="3"/>
      <c r="HLV34" s="3"/>
      <c r="HLW34" s="3"/>
      <c r="HLX34" s="3"/>
      <c r="HLY34" s="3"/>
      <c r="HLZ34" s="3"/>
      <c r="HMA34" s="3"/>
      <c r="HMB34" s="3"/>
      <c r="HMC34" s="3"/>
      <c r="HMD34" s="3"/>
      <c r="HME34" s="3"/>
      <c r="HMF34" s="3"/>
      <c r="HMG34" s="3"/>
      <c r="HMH34" s="3"/>
      <c r="HMI34" s="3"/>
      <c r="HMJ34" s="3"/>
      <c r="HMK34" s="3"/>
      <c r="HML34" s="3"/>
      <c r="HMM34" s="3"/>
      <c r="HMN34" s="3"/>
      <c r="HMO34" s="3"/>
      <c r="HMP34" s="3"/>
      <c r="HMQ34" s="3"/>
      <c r="HMR34" s="3"/>
      <c r="HMS34" s="3"/>
      <c r="HMT34" s="3"/>
      <c r="HMU34" s="3"/>
      <c r="HMV34" s="3"/>
      <c r="HMW34" s="3"/>
      <c r="HMX34" s="3"/>
      <c r="HMY34" s="3"/>
      <c r="HMZ34" s="3"/>
      <c r="HNA34" s="3"/>
      <c r="HNB34" s="3"/>
      <c r="HNC34" s="3"/>
      <c r="HND34" s="3"/>
      <c r="HNE34" s="3"/>
      <c r="HNF34" s="3"/>
      <c r="HNG34" s="3"/>
      <c r="HNH34" s="3"/>
      <c r="HNI34" s="3"/>
      <c r="HNJ34" s="3"/>
      <c r="HNK34" s="3"/>
      <c r="HNL34" s="3"/>
      <c r="HNM34" s="3"/>
      <c r="HNN34" s="3"/>
      <c r="HNO34" s="3"/>
      <c r="HNP34" s="3"/>
      <c r="HNQ34" s="3"/>
      <c r="HNR34" s="3"/>
      <c r="HNS34" s="3"/>
      <c r="HNT34" s="3"/>
      <c r="HNU34" s="3"/>
      <c r="HNV34" s="3"/>
      <c r="HNW34" s="3"/>
      <c r="HNX34" s="3"/>
      <c r="HNY34" s="3"/>
      <c r="HNZ34" s="3"/>
      <c r="HOA34" s="3"/>
      <c r="HOB34" s="3"/>
      <c r="HOC34" s="3"/>
      <c r="HOD34" s="3"/>
      <c r="HOE34" s="3"/>
      <c r="HOF34" s="3"/>
      <c r="HOG34" s="3"/>
      <c r="HOH34" s="3"/>
      <c r="HOI34" s="3"/>
      <c r="HOJ34" s="3"/>
      <c r="HOK34" s="3"/>
      <c r="HOL34" s="3"/>
      <c r="HOM34" s="3"/>
      <c r="HON34" s="3"/>
      <c r="HOO34" s="3"/>
      <c r="HOP34" s="3"/>
      <c r="HOQ34" s="3"/>
      <c r="HOR34" s="3"/>
      <c r="HOS34" s="3"/>
      <c r="HOT34" s="3"/>
      <c r="HOU34" s="3"/>
      <c r="HOV34" s="3"/>
      <c r="HOW34" s="3"/>
      <c r="HOX34" s="3"/>
      <c r="HOY34" s="3"/>
      <c r="HOZ34" s="3"/>
      <c r="HPA34" s="3"/>
      <c r="HPB34" s="3"/>
      <c r="HPC34" s="3"/>
      <c r="HPD34" s="3"/>
      <c r="HPE34" s="3"/>
      <c r="HPF34" s="3"/>
      <c r="HPG34" s="3"/>
      <c r="HPH34" s="3"/>
      <c r="HPI34" s="3"/>
      <c r="HPJ34" s="3"/>
      <c r="HPK34" s="3"/>
      <c r="HPL34" s="3"/>
      <c r="HPM34" s="3"/>
      <c r="HPN34" s="3"/>
      <c r="HPO34" s="3"/>
      <c r="HPP34" s="3"/>
      <c r="HPQ34" s="3"/>
      <c r="HPR34" s="3"/>
      <c r="HPS34" s="3"/>
      <c r="HPT34" s="3"/>
      <c r="HPU34" s="3"/>
      <c r="HPV34" s="3"/>
      <c r="HPW34" s="3"/>
      <c r="HPX34" s="3"/>
      <c r="HPY34" s="3"/>
      <c r="HPZ34" s="3"/>
      <c r="HQA34" s="3"/>
      <c r="HQB34" s="3"/>
      <c r="HQC34" s="3"/>
      <c r="HQD34" s="3"/>
      <c r="HQE34" s="3"/>
      <c r="HQF34" s="3"/>
      <c r="HQG34" s="3"/>
      <c r="HQH34" s="3"/>
      <c r="HQI34" s="3"/>
      <c r="HQJ34" s="3"/>
      <c r="HQK34" s="3"/>
      <c r="HQL34" s="3"/>
      <c r="HQM34" s="3"/>
      <c r="HQN34" s="3"/>
      <c r="HQO34" s="3"/>
      <c r="HQP34" s="3"/>
      <c r="HQQ34" s="3"/>
      <c r="HQR34" s="3"/>
      <c r="HQS34" s="3"/>
      <c r="HQT34" s="3"/>
      <c r="HQU34" s="3"/>
      <c r="HQV34" s="3"/>
      <c r="HQW34" s="3"/>
      <c r="HQX34" s="3"/>
      <c r="HQY34" s="3"/>
      <c r="HQZ34" s="3"/>
      <c r="HRA34" s="3"/>
      <c r="HRB34" s="3"/>
      <c r="HRC34" s="3"/>
      <c r="HRD34" s="3"/>
      <c r="HRE34" s="3"/>
      <c r="HRF34" s="3"/>
      <c r="HRG34" s="3"/>
      <c r="HRH34" s="3"/>
      <c r="HRI34" s="3"/>
      <c r="HRJ34" s="3"/>
      <c r="HRK34" s="3"/>
      <c r="HRL34" s="3"/>
      <c r="HRM34" s="3"/>
      <c r="HRN34" s="3"/>
      <c r="HRO34" s="3"/>
      <c r="HRP34" s="3"/>
      <c r="HRQ34" s="3"/>
      <c r="HRR34" s="3"/>
      <c r="HRS34" s="3"/>
      <c r="HRT34" s="3"/>
      <c r="HRU34" s="3"/>
      <c r="HRV34" s="3"/>
      <c r="HRW34" s="3"/>
      <c r="HRX34" s="3"/>
      <c r="HRY34" s="3"/>
      <c r="HRZ34" s="3"/>
      <c r="HSA34" s="3"/>
      <c r="HSB34" s="3"/>
      <c r="HSC34" s="3"/>
      <c r="HSD34" s="3"/>
      <c r="HSE34" s="3"/>
      <c r="HSF34" s="3"/>
      <c r="HSG34" s="3"/>
      <c r="HSH34" s="3"/>
      <c r="HSI34" s="3"/>
      <c r="HSJ34" s="3"/>
      <c r="HSK34" s="3"/>
      <c r="HSL34" s="3"/>
      <c r="HSM34" s="3"/>
      <c r="HSN34" s="3"/>
      <c r="HSO34" s="3"/>
      <c r="HSP34" s="3"/>
      <c r="HSQ34" s="3"/>
      <c r="HSR34" s="3"/>
      <c r="HSS34" s="3"/>
      <c r="HST34" s="3"/>
      <c r="HSU34" s="3"/>
      <c r="HSV34" s="3"/>
      <c r="HSW34" s="3"/>
      <c r="HSX34" s="3"/>
      <c r="HSY34" s="3"/>
      <c r="HSZ34" s="3"/>
      <c r="HTA34" s="3"/>
      <c r="HTB34" s="3"/>
      <c r="HTC34" s="3"/>
      <c r="HTD34" s="3"/>
      <c r="HTE34" s="3"/>
      <c r="HTF34" s="3"/>
      <c r="HTG34" s="3"/>
      <c r="HTH34" s="3"/>
      <c r="HTI34" s="3"/>
      <c r="HTJ34" s="3"/>
      <c r="HTK34" s="3"/>
      <c r="HTL34" s="3"/>
      <c r="HTM34" s="3"/>
      <c r="HTN34" s="3"/>
      <c r="HTO34" s="3"/>
      <c r="HTP34" s="3"/>
      <c r="HTQ34" s="3"/>
      <c r="HTR34" s="3"/>
      <c r="HTS34" s="3"/>
      <c r="HTT34" s="3"/>
      <c r="HTU34" s="3"/>
      <c r="HTV34" s="3"/>
      <c r="HTW34" s="3"/>
      <c r="HTX34" s="3"/>
      <c r="HTY34" s="3"/>
      <c r="HTZ34" s="3"/>
      <c r="HUA34" s="3"/>
      <c r="HUB34" s="3"/>
      <c r="HUC34" s="3"/>
      <c r="HUD34" s="3"/>
      <c r="HUE34" s="3"/>
      <c r="HUF34" s="3"/>
      <c r="HUG34" s="3"/>
      <c r="HUH34" s="3"/>
      <c r="HUI34" s="3"/>
      <c r="HUJ34" s="3"/>
      <c r="HUK34" s="3"/>
      <c r="HUL34" s="3"/>
      <c r="HUM34" s="3"/>
      <c r="HUN34" s="3"/>
      <c r="HUO34" s="3"/>
      <c r="HUP34" s="3"/>
      <c r="HUQ34" s="3"/>
      <c r="HUR34" s="3"/>
      <c r="HUS34" s="3"/>
      <c r="HUT34" s="3"/>
      <c r="HUU34" s="3"/>
      <c r="HUV34" s="3"/>
      <c r="HUW34" s="3"/>
      <c r="HUX34" s="3"/>
      <c r="HUY34" s="3"/>
      <c r="HUZ34" s="3"/>
      <c r="HVA34" s="3"/>
      <c r="HVB34" s="3"/>
      <c r="HVC34" s="3"/>
      <c r="HVD34" s="3"/>
      <c r="HVE34" s="3"/>
      <c r="HVF34" s="3"/>
      <c r="HVG34" s="3"/>
      <c r="HVH34" s="3"/>
      <c r="HVI34" s="3"/>
      <c r="HVJ34" s="3"/>
      <c r="HVK34" s="3"/>
      <c r="HVL34" s="3"/>
      <c r="HVM34" s="3"/>
      <c r="HVN34" s="3"/>
      <c r="HVO34" s="3"/>
      <c r="HVP34" s="3"/>
      <c r="HVQ34" s="3"/>
      <c r="HVR34" s="3"/>
      <c r="HVS34" s="3"/>
      <c r="HVT34" s="3"/>
      <c r="HVU34" s="3"/>
      <c r="HVV34" s="3"/>
      <c r="HVW34" s="3"/>
      <c r="HVX34" s="3"/>
      <c r="HVY34" s="3"/>
      <c r="HVZ34" s="3"/>
      <c r="HWA34" s="3"/>
      <c r="HWB34" s="3"/>
      <c r="HWC34" s="3"/>
      <c r="HWD34" s="3"/>
      <c r="HWE34" s="3"/>
      <c r="HWF34" s="3"/>
      <c r="HWG34" s="3"/>
      <c r="HWH34" s="3"/>
      <c r="HWI34" s="3"/>
      <c r="HWJ34" s="3"/>
      <c r="HWK34" s="3"/>
      <c r="HWL34" s="3"/>
      <c r="HWM34" s="3"/>
      <c r="HWN34" s="3"/>
      <c r="HWO34" s="3"/>
      <c r="HWP34" s="3"/>
      <c r="HWQ34" s="3"/>
      <c r="HWR34" s="3"/>
      <c r="HWS34" s="3"/>
      <c r="HWT34" s="3"/>
      <c r="HWU34" s="3"/>
      <c r="HWV34" s="3"/>
      <c r="HWW34" s="3"/>
      <c r="HWX34" s="3"/>
      <c r="HWY34" s="3"/>
      <c r="HWZ34" s="3"/>
      <c r="HXA34" s="3"/>
      <c r="HXB34" s="3"/>
      <c r="HXC34" s="3"/>
      <c r="HXD34" s="3"/>
      <c r="HXE34" s="3"/>
      <c r="HXF34" s="3"/>
      <c r="HXG34" s="3"/>
      <c r="HXH34" s="3"/>
      <c r="HXI34" s="3"/>
      <c r="HXJ34" s="3"/>
      <c r="HXK34" s="3"/>
      <c r="HXL34" s="3"/>
      <c r="HXM34" s="3"/>
      <c r="HXN34" s="3"/>
      <c r="HXO34" s="3"/>
      <c r="HXP34" s="3"/>
      <c r="HXQ34" s="3"/>
      <c r="HXR34" s="3"/>
      <c r="HXS34" s="3"/>
      <c r="HXT34" s="3"/>
      <c r="HXU34" s="3"/>
      <c r="HXV34" s="3"/>
      <c r="HXW34" s="3"/>
      <c r="HXX34" s="3"/>
      <c r="HXY34" s="3"/>
      <c r="HXZ34" s="3"/>
      <c r="HYA34" s="3"/>
      <c r="HYB34" s="3"/>
      <c r="HYC34" s="3"/>
      <c r="HYD34" s="3"/>
      <c r="HYE34" s="3"/>
      <c r="HYF34" s="3"/>
      <c r="HYG34" s="3"/>
      <c r="HYH34" s="3"/>
      <c r="HYI34" s="3"/>
      <c r="HYJ34" s="3"/>
      <c r="HYK34" s="3"/>
      <c r="HYL34" s="3"/>
      <c r="HYM34" s="3"/>
      <c r="HYN34" s="3"/>
      <c r="HYO34" s="3"/>
      <c r="HYP34" s="3"/>
      <c r="HYQ34" s="3"/>
      <c r="HYR34" s="3"/>
      <c r="HYS34" s="3"/>
      <c r="HYT34" s="3"/>
      <c r="HYU34" s="3"/>
      <c r="HYV34" s="3"/>
      <c r="HYW34" s="3"/>
      <c r="HYX34" s="3"/>
      <c r="HYY34" s="3"/>
      <c r="HYZ34" s="3"/>
      <c r="HZA34" s="3"/>
      <c r="HZB34" s="3"/>
      <c r="HZC34" s="3"/>
      <c r="HZD34" s="3"/>
      <c r="HZE34" s="3"/>
      <c r="HZF34" s="3"/>
      <c r="HZG34" s="3"/>
      <c r="HZH34" s="3"/>
      <c r="HZI34" s="3"/>
      <c r="HZJ34" s="3"/>
      <c r="HZK34" s="3"/>
      <c r="HZL34" s="3"/>
      <c r="HZM34" s="3"/>
      <c r="HZN34" s="3"/>
      <c r="HZO34" s="3"/>
      <c r="HZP34" s="3"/>
      <c r="HZQ34" s="3"/>
      <c r="HZR34" s="3"/>
      <c r="HZS34" s="3"/>
      <c r="HZT34" s="3"/>
      <c r="HZU34" s="3"/>
      <c r="HZV34" s="3"/>
      <c r="HZW34" s="3"/>
      <c r="HZX34" s="3"/>
      <c r="HZY34" s="3"/>
      <c r="HZZ34" s="3"/>
      <c r="IAA34" s="3"/>
      <c r="IAB34" s="3"/>
      <c r="IAC34" s="3"/>
      <c r="IAD34" s="3"/>
      <c r="IAE34" s="3"/>
      <c r="IAF34" s="3"/>
      <c r="IAG34" s="3"/>
      <c r="IAH34" s="3"/>
      <c r="IAI34" s="3"/>
      <c r="IAJ34" s="3"/>
      <c r="IAK34" s="3"/>
      <c r="IAL34" s="3"/>
      <c r="IAM34" s="3"/>
      <c r="IAN34" s="3"/>
      <c r="IAO34" s="3"/>
      <c r="IAP34" s="3"/>
      <c r="IAQ34" s="3"/>
      <c r="IAR34" s="3"/>
      <c r="IAS34" s="3"/>
      <c r="IAT34" s="3"/>
      <c r="IAU34" s="3"/>
      <c r="IAV34" s="3"/>
      <c r="IAW34" s="3"/>
      <c r="IAX34" s="3"/>
      <c r="IAY34" s="3"/>
      <c r="IAZ34" s="3"/>
      <c r="IBA34" s="3"/>
      <c r="IBB34" s="3"/>
      <c r="IBC34" s="3"/>
      <c r="IBD34" s="3"/>
      <c r="IBE34" s="3"/>
      <c r="IBF34" s="3"/>
      <c r="IBG34" s="3"/>
      <c r="IBH34" s="3"/>
      <c r="IBI34" s="3"/>
      <c r="IBJ34" s="3"/>
      <c r="IBK34" s="3"/>
      <c r="IBL34" s="3"/>
      <c r="IBM34" s="3"/>
      <c r="IBN34" s="3"/>
      <c r="IBO34" s="3"/>
      <c r="IBP34" s="3"/>
      <c r="IBQ34" s="3"/>
      <c r="IBR34" s="3"/>
      <c r="IBS34" s="3"/>
      <c r="IBT34" s="3"/>
      <c r="IBU34" s="3"/>
      <c r="IBV34" s="3"/>
      <c r="IBW34" s="3"/>
      <c r="IBX34" s="3"/>
      <c r="IBY34" s="3"/>
      <c r="IBZ34" s="3"/>
      <c r="ICA34" s="3"/>
      <c r="ICB34" s="3"/>
      <c r="ICC34" s="3"/>
      <c r="ICD34" s="3"/>
      <c r="ICE34" s="3"/>
      <c r="ICF34" s="3"/>
      <c r="ICG34" s="3"/>
      <c r="ICH34" s="3"/>
      <c r="ICI34" s="3"/>
      <c r="ICJ34" s="3"/>
      <c r="ICK34" s="3"/>
      <c r="ICL34" s="3"/>
      <c r="ICM34" s="3"/>
      <c r="ICN34" s="3"/>
      <c r="ICO34" s="3"/>
      <c r="ICP34" s="3"/>
      <c r="ICQ34" s="3"/>
      <c r="ICR34" s="3"/>
      <c r="ICS34" s="3"/>
      <c r="ICT34" s="3"/>
      <c r="ICU34" s="3"/>
      <c r="ICV34" s="3"/>
      <c r="ICW34" s="3"/>
      <c r="ICX34" s="3"/>
      <c r="ICY34" s="3"/>
      <c r="ICZ34" s="3"/>
      <c r="IDA34" s="3"/>
      <c r="IDB34" s="3"/>
      <c r="IDC34" s="3"/>
      <c r="IDD34" s="3"/>
      <c r="IDE34" s="3"/>
      <c r="IDF34" s="3"/>
      <c r="IDG34" s="3"/>
      <c r="IDH34" s="3"/>
      <c r="IDI34" s="3"/>
      <c r="IDJ34" s="3"/>
      <c r="IDK34" s="3"/>
      <c r="IDL34" s="3"/>
      <c r="IDM34" s="3"/>
      <c r="IDN34" s="3"/>
      <c r="IDO34" s="3"/>
      <c r="IDP34" s="3"/>
      <c r="IDQ34" s="3"/>
      <c r="IDR34" s="3"/>
      <c r="IDS34" s="3"/>
      <c r="IDT34" s="3"/>
      <c r="IDU34" s="3"/>
      <c r="IDV34" s="3"/>
      <c r="IDW34" s="3"/>
      <c r="IDX34" s="3"/>
      <c r="IDY34" s="3"/>
      <c r="IDZ34" s="3"/>
      <c r="IEA34" s="3"/>
      <c r="IEB34" s="3"/>
      <c r="IEC34" s="3"/>
      <c r="IED34" s="3"/>
      <c r="IEE34" s="3"/>
      <c r="IEF34" s="3"/>
      <c r="IEG34" s="3"/>
      <c r="IEH34" s="3"/>
      <c r="IEI34" s="3"/>
      <c r="IEJ34" s="3"/>
      <c r="IEK34" s="3"/>
      <c r="IEL34" s="3"/>
      <c r="IEM34" s="3"/>
      <c r="IEN34" s="3"/>
      <c r="IEO34" s="3"/>
      <c r="IEP34" s="3"/>
      <c r="IEQ34" s="3"/>
      <c r="IER34" s="3"/>
      <c r="IES34" s="3"/>
      <c r="IET34" s="3"/>
      <c r="IEU34" s="3"/>
      <c r="IEV34" s="3"/>
      <c r="IEW34" s="3"/>
      <c r="IEX34" s="3"/>
      <c r="IEY34" s="3"/>
      <c r="IEZ34" s="3"/>
      <c r="IFA34" s="3"/>
      <c r="IFB34" s="3"/>
      <c r="IFC34" s="3"/>
      <c r="IFD34" s="3"/>
      <c r="IFE34" s="3"/>
      <c r="IFF34" s="3"/>
      <c r="IFG34" s="3"/>
      <c r="IFH34" s="3"/>
      <c r="IFI34" s="3"/>
      <c r="IFJ34" s="3"/>
      <c r="IFK34" s="3"/>
      <c r="IFL34" s="3"/>
      <c r="IFM34" s="3"/>
      <c r="IFN34" s="3"/>
      <c r="IFO34" s="3"/>
      <c r="IFP34" s="3"/>
      <c r="IFQ34" s="3"/>
      <c r="IFR34" s="3"/>
      <c r="IFS34" s="3"/>
      <c r="IFT34" s="3"/>
      <c r="IFU34" s="3"/>
      <c r="IFV34" s="3"/>
      <c r="IFW34" s="3"/>
      <c r="IFX34" s="3"/>
      <c r="IFY34" s="3"/>
      <c r="IFZ34" s="3"/>
      <c r="IGA34" s="3"/>
      <c r="IGB34" s="3"/>
      <c r="IGC34" s="3"/>
      <c r="IGD34" s="3"/>
      <c r="IGE34" s="3"/>
      <c r="IGF34" s="3"/>
      <c r="IGG34" s="3"/>
      <c r="IGH34" s="3"/>
      <c r="IGI34" s="3"/>
      <c r="IGJ34" s="3"/>
      <c r="IGK34" s="3"/>
      <c r="IGL34" s="3"/>
      <c r="IGM34" s="3"/>
      <c r="IGN34" s="3"/>
      <c r="IGO34" s="3"/>
      <c r="IGP34" s="3"/>
      <c r="IGQ34" s="3"/>
      <c r="IGR34" s="3"/>
      <c r="IGS34" s="3"/>
      <c r="IGT34" s="3"/>
      <c r="IGU34" s="3"/>
      <c r="IGV34" s="3"/>
      <c r="IGW34" s="3"/>
      <c r="IGX34" s="3"/>
      <c r="IGY34" s="3"/>
      <c r="IGZ34" s="3"/>
      <c r="IHA34" s="3"/>
      <c r="IHB34" s="3"/>
      <c r="IHC34" s="3"/>
      <c r="IHD34" s="3"/>
      <c r="IHE34" s="3"/>
      <c r="IHF34" s="3"/>
      <c r="IHG34" s="3"/>
      <c r="IHH34" s="3"/>
      <c r="IHI34" s="3"/>
      <c r="IHJ34" s="3"/>
      <c r="IHK34" s="3"/>
      <c r="IHL34" s="3"/>
      <c r="IHM34" s="3"/>
      <c r="IHN34" s="3"/>
      <c r="IHO34" s="3"/>
      <c r="IHP34" s="3"/>
      <c r="IHQ34" s="3"/>
      <c r="IHR34" s="3"/>
      <c r="IHS34" s="3"/>
      <c r="IHT34" s="3"/>
      <c r="IHU34" s="3"/>
      <c r="IHV34" s="3"/>
      <c r="IHW34" s="3"/>
      <c r="IHX34" s="3"/>
      <c r="IHY34" s="3"/>
      <c r="IHZ34" s="3"/>
      <c r="IIA34" s="3"/>
      <c r="IIB34" s="3"/>
      <c r="IIC34" s="3"/>
      <c r="IID34" s="3"/>
      <c r="IIE34" s="3"/>
      <c r="IIF34" s="3"/>
      <c r="IIG34" s="3"/>
      <c r="IIH34" s="3"/>
      <c r="III34" s="3"/>
      <c r="IIJ34" s="3"/>
      <c r="IIK34" s="3"/>
      <c r="IIL34" s="3"/>
      <c r="IIM34" s="3"/>
      <c r="IIN34" s="3"/>
      <c r="IIO34" s="3"/>
      <c r="IIP34" s="3"/>
      <c r="IIQ34" s="3"/>
      <c r="IIR34" s="3"/>
      <c r="IIS34" s="3"/>
      <c r="IIT34" s="3"/>
      <c r="IIU34" s="3"/>
      <c r="IIV34" s="3"/>
      <c r="IIW34" s="3"/>
      <c r="IIX34" s="3"/>
      <c r="IIY34" s="3"/>
      <c r="IIZ34" s="3"/>
      <c r="IJA34" s="3"/>
      <c r="IJB34" s="3"/>
      <c r="IJC34" s="3"/>
      <c r="IJD34" s="3"/>
      <c r="IJE34" s="3"/>
      <c r="IJF34" s="3"/>
      <c r="IJG34" s="3"/>
      <c r="IJH34" s="3"/>
      <c r="IJI34" s="3"/>
      <c r="IJJ34" s="3"/>
      <c r="IJK34" s="3"/>
      <c r="IJL34" s="3"/>
      <c r="IJM34" s="3"/>
      <c r="IJN34" s="3"/>
      <c r="IJO34" s="3"/>
      <c r="IJP34" s="3"/>
      <c r="IJQ34" s="3"/>
      <c r="IJR34" s="3"/>
      <c r="IJS34" s="3"/>
      <c r="IJT34" s="3"/>
      <c r="IJU34" s="3"/>
      <c r="IJV34" s="3"/>
      <c r="IJW34" s="3"/>
      <c r="IJX34" s="3"/>
      <c r="IJY34" s="3"/>
      <c r="IJZ34" s="3"/>
      <c r="IKA34" s="3"/>
      <c r="IKB34" s="3"/>
      <c r="IKC34" s="3"/>
      <c r="IKD34" s="3"/>
      <c r="IKE34" s="3"/>
      <c r="IKF34" s="3"/>
      <c r="IKG34" s="3"/>
      <c r="IKH34" s="3"/>
      <c r="IKI34" s="3"/>
      <c r="IKJ34" s="3"/>
      <c r="IKK34" s="3"/>
      <c r="IKL34" s="3"/>
      <c r="IKM34" s="3"/>
      <c r="IKN34" s="3"/>
      <c r="IKO34" s="3"/>
      <c r="IKP34" s="3"/>
      <c r="IKQ34" s="3"/>
      <c r="IKR34" s="3"/>
      <c r="IKS34" s="3"/>
      <c r="IKT34" s="3"/>
      <c r="IKU34" s="3"/>
      <c r="IKV34" s="3"/>
      <c r="IKW34" s="3"/>
      <c r="IKX34" s="3"/>
      <c r="IKY34" s="3"/>
      <c r="IKZ34" s="3"/>
      <c r="ILA34" s="3"/>
      <c r="ILB34" s="3"/>
      <c r="ILC34" s="3"/>
      <c r="ILD34" s="3"/>
      <c r="ILE34" s="3"/>
      <c r="ILF34" s="3"/>
      <c r="ILG34" s="3"/>
      <c r="ILH34" s="3"/>
      <c r="ILI34" s="3"/>
      <c r="ILJ34" s="3"/>
      <c r="ILK34" s="3"/>
      <c r="ILL34" s="3"/>
      <c r="ILM34" s="3"/>
      <c r="ILN34" s="3"/>
      <c r="ILO34" s="3"/>
      <c r="ILP34" s="3"/>
      <c r="ILQ34" s="3"/>
      <c r="ILR34" s="3"/>
      <c r="ILS34" s="3"/>
      <c r="ILT34" s="3"/>
      <c r="ILU34" s="3"/>
      <c r="ILV34" s="3"/>
      <c r="ILW34" s="3"/>
      <c r="ILX34" s="3"/>
      <c r="ILY34" s="3"/>
      <c r="ILZ34" s="3"/>
      <c r="IMA34" s="3"/>
      <c r="IMB34" s="3"/>
      <c r="IMC34" s="3"/>
      <c r="IMD34" s="3"/>
      <c r="IME34" s="3"/>
      <c r="IMF34" s="3"/>
      <c r="IMG34" s="3"/>
      <c r="IMH34" s="3"/>
      <c r="IMI34" s="3"/>
      <c r="IMJ34" s="3"/>
      <c r="IMK34" s="3"/>
      <c r="IML34" s="3"/>
      <c r="IMM34" s="3"/>
      <c r="IMN34" s="3"/>
      <c r="IMO34" s="3"/>
      <c r="IMP34" s="3"/>
      <c r="IMQ34" s="3"/>
      <c r="IMR34" s="3"/>
      <c r="IMS34" s="3"/>
      <c r="IMT34" s="3"/>
      <c r="IMU34" s="3"/>
      <c r="IMV34" s="3"/>
      <c r="IMW34" s="3"/>
      <c r="IMX34" s="3"/>
      <c r="IMY34" s="3"/>
      <c r="IMZ34" s="3"/>
      <c r="INA34" s="3"/>
      <c r="INB34" s="3"/>
      <c r="INC34" s="3"/>
      <c r="IND34" s="3"/>
      <c r="INE34" s="3"/>
      <c r="INF34" s="3"/>
      <c r="ING34" s="3"/>
      <c r="INH34" s="3"/>
      <c r="INI34" s="3"/>
      <c r="INJ34" s="3"/>
      <c r="INK34" s="3"/>
      <c r="INL34" s="3"/>
      <c r="INM34" s="3"/>
      <c r="INN34" s="3"/>
      <c r="INO34" s="3"/>
      <c r="INP34" s="3"/>
      <c r="INQ34" s="3"/>
      <c r="INR34" s="3"/>
      <c r="INS34" s="3"/>
      <c r="INT34" s="3"/>
      <c r="INU34" s="3"/>
      <c r="INV34" s="3"/>
      <c r="INW34" s="3"/>
      <c r="INX34" s="3"/>
      <c r="INY34" s="3"/>
      <c r="INZ34" s="3"/>
      <c r="IOA34" s="3"/>
      <c r="IOB34" s="3"/>
      <c r="IOC34" s="3"/>
      <c r="IOD34" s="3"/>
      <c r="IOE34" s="3"/>
      <c r="IOF34" s="3"/>
      <c r="IOG34" s="3"/>
      <c r="IOH34" s="3"/>
      <c r="IOI34" s="3"/>
      <c r="IOJ34" s="3"/>
      <c r="IOK34" s="3"/>
      <c r="IOL34" s="3"/>
      <c r="IOM34" s="3"/>
      <c r="ION34" s="3"/>
      <c r="IOO34" s="3"/>
      <c r="IOP34" s="3"/>
      <c r="IOQ34" s="3"/>
      <c r="IOR34" s="3"/>
      <c r="IOS34" s="3"/>
      <c r="IOT34" s="3"/>
      <c r="IOU34" s="3"/>
      <c r="IOV34" s="3"/>
      <c r="IOW34" s="3"/>
      <c r="IOX34" s="3"/>
      <c r="IOY34" s="3"/>
      <c r="IOZ34" s="3"/>
      <c r="IPA34" s="3"/>
      <c r="IPB34" s="3"/>
      <c r="IPC34" s="3"/>
      <c r="IPD34" s="3"/>
      <c r="IPE34" s="3"/>
      <c r="IPF34" s="3"/>
      <c r="IPG34" s="3"/>
      <c r="IPH34" s="3"/>
      <c r="IPI34" s="3"/>
      <c r="IPJ34" s="3"/>
      <c r="IPK34" s="3"/>
      <c r="IPL34" s="3"/>
      <c r="IPM34" s="3"/>
      <c r="IPN34" s="3"/>
      <c r="IPO34" s="3"/>
      <c r="IPP34" s="3"/>
      <c r="IPQ34" s="3"/>
      <c r="IPR34" s="3"/>
      <c r="IPS34" s="3"/>
      <c r="IPT34" s="3"/>
      <c r="IPU34" s="3"/>
      <c r="IPV34" s="3"/>
      <c r="IPW34" s="3"/>
      <c r="IPX34" s="3"/>
      <c r="IPY34" s="3"/>
      <c r="IPZ34" s="3"/>
      <c r="IQA34" s="3"/>
      <c r="IQB34" s="3"/>
      <c r="IQC34" s="3"/>
      <c r="IQD34" s="3"/>
      <c r="IQE34" s="3"/>
      <c r="IQF34" s="3"/>
      <c r="IQG34" s="3"/>
      <c r="IQH34" s="3"/>
      <c r="IQI34" s="3"/>
      <c r="IQJ34" s="3"/>
      <c r="IQK34" s="3"/>
      <c r="IQL34" s="3"/>
      <c r="IQM34" s="3"/>
      <c r="IQN34" s="3"/>
      <c r="IQO34" s="3"/>
      <c r="IQP34" s="3"/>
      <c r="IQQ34" s="3"/>
      <c r="IQR34" s="3"/>
      <c r="IQS34" s="3"/>
      <c r="IQT34" s="3"/>
      <c r="IQU34" s="3"/>
      <c r="IQV34" s="3"/>
      <c r="IQW34" s="3"/>
      <c r="IQX34" s="3"/>
      <c r="IQY34" s="3"/>
      <c r="IQZ34" s="3"/>
      <c r="IRA34" s="3"/>
      <c r="IRB34" s="3"/>
      <c r="IRC34" s="3"/>
      <c r="IRD34" s="3"/>
      <c r="IRE34" s="3"/>
      <c r="IRF34" s="3"/>
      <c r="IRG34" s="3"/>
      <c r="IRH34" s="3"/>
      <c r="IRI34" s="3"/>
      <c r="IRJ34" s="3"/>
      <c r="IRK34" s="3"/>
      <c r="IRL34" s="3"/>
      <c r="IRM34" s="3"/>
      <c r="IRN34" s="3"/>
      <c r="IRO34" s="3"/>
      <c r="IRP34" s="3"/>
      <c r="IRQ34" s="3"/>
      <c r="IRR34" s="3"/>
      <c r="IRS34" s="3"/>
      <c r="IRT34" s="3"/>
      <c r="IRU34" s="3"/>
      <c r="IRV34" s="3"/>
      <c r="IRW34" s="3"/>
      <c r="IRX34" s="3"/>
      <c r="IRY34" s="3"/>
      <c r="IRZ34" s="3"/>
      <c r="ISA34" s="3"/>
      <c r="ISB34" s="3"/>
      <c r="ISC34" s="3"/>
      <c r="ISD34" s="3"/>
      <c r="ISE34" s="3"/>
      <c r="ISF34" s="3"/>
      <c r="ISG34" s="3"/>
      <c r="ISH34" s="3"/>
      <c r="ISI34" s="3"/>
      <c r="ISJ34" s="3"/>
      <c r="ISK34" s="3"/>
      <c r="ISL34" s="3"/>
      <c r="ISM34" s="3"/>
      <c r="ISN34" s="3"/>
      <c r="ISO34" s="3"/>
      <c r="ISP34" s="3"/>
      <c r="ISQ34" s="3"/>
      <c r="ISR34" s="3"/>
      <c r="ISS34" s="3"/>
      <c r="IST34" s="3"/>
      <c r="ISU34" s="3"/>
      <c r="ISV34" s="3"/>
      <c r="ISW34" s="3"/>
      <c r="ISX34" s="3"/>
      <c r="ISY34" s="3"/>
      <c r="ISZ34" s="3"/>
      <c r="ITA34" s="3"/>
      <c r="ITB34" s="3"/>
      <c r="ITC34" s="3"/>
      <c r="ITD34" s="3"/>
      <c r="ITE34" s="3"/>
      <c r="ITF34" s="3"/>
      <c r="ITG34" s="3"/>
      <c r="ITH34" s="3"/>
      <c r="ITI34" s="3"/>
      <c r="ITJ34" s="3"/>
      <c r="ITK34" s="3"/>
      <c r="ITL34" s="3"/>
      <c r="ITM34" s="3"/>
      <c r="ITN34" s="3"/>
      <c r="ITO34" s="3"/>
      <c r="ITP34" s="3"/>
      <c r="ITQ34" s="3"/>
      <c r="ITR34" s="3"/>
      <c r="ITS34" s="3"/>
      <c r="ITT34" s="3"/>
      <c r="ITU34" s="3"/>
      <c r="ITV34" s="3"/>
      <c r="ITW34" s="3"/>
      <c r="ITX34" s="3"/>
      <c r="ITY34" s="3"/>
      <c r="ITZ34" s="3"/>
      <c r="IUA34" s="3"/>
      <c r="IUB34" s="3"/>
      <c r="IUC34" s="3"/>
      <c r="IUD34" s="3"/>
      <c r="IUE34" s="3"/>
      <c r="IUF34" s="3"/>
      <c r="IUG34" s="3"/>
      <c r="IUH34" s="3"/>
      <c r="IUI34" s="3"/>
      <c r="IUJ34" s="3"/>
      <c r="IUK34" s="3"/>
      <c r="IUL34" s="3"/>
      <c r="IUM34" s="3"/>
      <c r="IUN34" s="3"/>
      <c r="IUO34" s="3"/>
      <c r="IUP34" s="3"/>
      <c r="IUQ34" s="3"/>
      <c r="IUR34" s="3"/>
      <c r="IUS34" s="3"/>
      <c r="IUT34" s="3"/>
      <c r="IUU34" s="3"/>
      <c r="IUV34" s="3"/>
      <c r="IUW34" s="3"/>
      <c r="IUX34" s="3"/>
      <c r="IUY34" s="3"/>
      <c r="IUZ34" s="3"/>
      <c r="IVA34" s="3"/>
      <c r="IVB34" s="3"/>
      <c r="IVC34" s="3"/>
      <c r="IVD34" s="3"/>
      <c r="IVE34" s="3"/>
      <c r="IVF34" s="3"/>
      <c r="IVG34" s="3"/>
      <c r="IVH34" s="3"/>
      <c r="IVI34" s="3"/>
      <c r="IVJ34" s="3"/>
      <c r="IVK34" s="3"/>
      <c r="IVL34" s="3"/>
      <c r="IVM34" s="3"/>
      <c r="IVN34" s="3"/>
      <c r="IVO34" s="3"/>
      <c r="IVP34" s="3"/>
      <c r="IVQ34" s="3"/>
      <c r="IVR34" s="3"/>
      <c r="IVS34" s="3"/>
      <c r="IVT34" s="3"/>
      <c r="IVU34" s="3"/>
      <c r="IVV34" s="3"/>
      <c r="IVW34" s="3"/>
      <c r="IVX34" s="3"/>
      <c r="IVY34" s="3"/>
      <c r="IVZ34" s="3"/>
      <c r="IWA34" s="3"/>
      <c r="IWB34" s="3"/>
      <c r="IWC34" s="3"/>
      <c r="IWD34" s="3"/>
      <c r="IWE34" s="3"/>
      <c r="IWF34" s="3"/>
      <c r="IWG34" s="3"/>
      <c r="IWH34" s="3"/>
      <c r="IWI34" s="3"/>
      <c r="IWJ34" s="3"/>
      <c r="IWK34" s="3"/>
      <c r="IWL34" s="3"/>
      <c r="IWM34" s="3"/>
      <c r="IWN34" s="3"/>
      <c r="IWO34" s="3"/>
      <c r="IWP34" s="3"/>
      <c r="IWQ34" s="3"/>
      <c r="IWR34" s="3"/>
      <c r="IWS34" s="3"/>
      <c r="IWT34" s="3"/>
      <c r="IWU34" s="3"/>
      <c r="IWV34" s="3"/>
      <c r="IWW34" s="3"/>
      <c r="IWX34" s="3"/>
      <c r="IWY34" s="3"/>
      <c r="IWZ34" s="3"/>
      <c r="IXA34" s="3"/>
      <c r="IXB34" s="3"/>
      <c r="IXC34" s="3"/>
      <c r="IXD34" s="3"/>
      <c r="IXE34" s="3"/>
      <c r="IXF34" s="3"/>
      <c r="IXG34" s="3"/>
      <c r="IXH34" s="3"/>
      <c r="IXI34" s="3"/>
      <c r="IXJ34" s="3"/>
      <c r="IXK34" s="3"/>
      <c r="IXL34" s="3"/>
      <c r="IXM34" s="3"/>
      <c r="IXN34" s="3"/>
      <c r="IXO34" s="3"/>
      <c r="IXP34" s="3"/>
      <c r="IXQ34" s="3"/>
      <c r="IXR34" s="3"/>
      <c r="IXS34" s="3"/>
      <c r="IXT34" s="3"/>
      <c r="IXU34" s="3"/>
      <c r="IXV34" s="3"/>
      <c r="IXW34" s="3"/>
      <c r="IXX34" s="3"/>
      <c r="IXY34" s="3"/>
      <c r="IXZ34" s="3"/>
      <c r="IYA34" s="3"/>
      <c r="IYB34" s="3"/>
      <c r="IYC34" s="3"/>
      <c r="IYD34" s="3"/>
      <c r="IYE34" s="3"/>
      <c r="IYF34" s="3"/>
      <c r="IYG34" s="3"/>
      <c r="IYH34" s="3"/>
      <c r="IYI34" s="3"/>
      <c r="IYJ34" s="3"/>
      <c r="IYK34" s="3"/>
      <c r="IYL34" s="3"/>
      <c r="IYM34" s="3"/>
      <c r="IYN34" s="3"/>
      <c r="IYO34" s="3"/>
      <c r="IYP34" s="3"/>
      <c r="IYQ34" s="3"/>
      <c r="IYR34" s="3"/>
      <c r="IYS34" s="3"/>
      <c r="IYT34" s="3"/>
      <c r="IYU34" s="3"/>
      <c r="IYV34" s="3"/>
      <c r="IYW34" s="3"/>
      <c r="IYX34" s="3"/>
      <c r="IYY34" s="3"/>
      <c r="IYZ34" s="3"/>
      <c r="IZA34" s="3"/>
      <c r="IZB34" s="3"/>
      <c r="IZC34" s="3"/>
      <c r="IZD34" s="3"/>
      <c r="IZE34" s="3"/>
      <c r="IZF34" s="3"/>
      <c r="IZG34" s="3"/>
      <c r="IZH34" s="3"/>
      <c r="IZI34" s="3"/>
      <c r="IZJ34" s="3"/>
      <c r="IZK34" s="3"/>
      <c r="IZL34" s="3"/>
      <c r="IZM34" s="3"/>
      <c r="IZN34" s="3"/>
      <c r="IZO34" s="3"/>
      <c r="IZP34" s="3"/>
      <c r="IZQ34" s="3"/>
      <c r="IZR34" s="3"/>
      <c r="IZS34" s="3"/>
      <c r="IZT34" s="3"/>
      <c r="IZU34" s="3"/>
      <c r="IZV34" s="3"/>
      <c r="IZW34" s="3"/>
      <c r="IZX34" s="3"/>
      <c r="IZY34" s="3"/>
      <c r="IZZ34" s="3"/>
      <c r="JAA34" s="3"/>
      <c r="JAB34" s="3"/>
      <c r="JAC34" s="3"/>
      <c r="JAD34" s="3"/>
      <c r="JAE34" s="3"/>
      <c r="JAF34" s="3"/>
      <c r="JAG34" s="3"/>
      <c r="JAH34" s="3"/>
      <c r="JAI34" s="3"/>
      <c r="JAJ34" s="3"/>
      <c r="JAK34" s="3"/>
      <c r="JAL34" s="3"/>
      <c r="JAM34" s="3"/>
      <c r="JAN34" s="3"/>
      <c r="JAO34" s="3"/>
      <c r="JAP34" s="3"/>
      <c r="JAQ34" s="3"/>
      <c r="JAR34" s="3"/>
      <c r="JAS34" s="3"/>
      <c r="JAT34" s="3"/>
      <c r="JAU34" s="3"/>
      <c r="JAV34" s="3"/>
      <c r="JAW34" s="3"/>
      <c r="JAX34" s="3"/>
      <c r="JAY34" s="3"/>
      <c r="JAZ34" s="3"/>
      <c r="JBA34" s="3"/>
      <c r="JBB34" s="3"/>
      <c r="JBC34" s="3"/>
      <c r="JBD34" s="3"/>
      <c r="JBE34" s="3"/>
      <c r="JBF34" s="3"/>
      <c r="JBG34" s="3"/>
      <c r="JBH34" s="3"/>
      <c r="JBI34" s="3"/>
      <c r="JBJ34" s="3"/>
      <c r="JBK34" s="3"/>
      <c r="JBL34" s="3"/>
      <c r="JBM34" s="3"/>
      <c r="JBN34" s="3"/>
      <c r="JBO34" s="3"/>
      <c r="JBP34" s="3"/>
      <c r="JBQ34" s="3"/>
      <c r="JBR34" s="3"/>
      <c r="JBS34" s="3"/>
      <c r="JBT34" s="3"/>
      <c r="JBU34" s="3"/>
      <c r="JBV34" s="3"/>
      <c r="JBW34" s="3"/>
      <c r="JBX34" s="3"/>
      <c r="JBY34" s="3"/>
      <c r="JBZ34" s="3"/>
      <c r="JCA34" s="3"/>
      <c r="JCB34" s="3"/>
      <c r="JCC34" s="3"/>
      <c r="JCD34" s="3"/>
      <c r="JCE34" s="3"/>
      <c r="JCF34" s="3"/>
      <c r="JCG34" s="3"/>
      <c r="JCH34" s="3"/>
      <c r="JCI34" s="3"/>
      <c r="JCJ34" s="3"/>
      <c r="JCK34" s="3"/>
      <c r="JCL34" s="3"/>
      <c r="JCM34" s="3"/>
      <c r="JCN34" s="3"/>
      <c r="JCO34" s="3"/>
      <c r="JCP34" s="3"/>
      <c r="JCQ34" s="3"/>
      <c r="JCR34" s="3"/>
      <c r="JCS34" s="3"/>
      <c r="JCT34" s="3"/>
      <c r="JCU34" s="3"/>
      <c r="JCV34" s="3"/>
      <c r="JCW34" s="3"/>
      <c r="JCX34" s="3"/>
      <c r="JCY34" s="3"/>
      <c r="JCZ34" s="3"/>
      <c r="JDA34" s="3"/>
      <c r="JDB34" s="3"/>
      <c r="JDC34" s="3"/>
      <c r="JDD34" s="3"/>
      <c r="JDE34" s="3"/>
      <c r="JDF34" s="3"/>
      <c r="JDG34" s="3"/>
      <c r="JDH34" s="3"/>
      <c r="JDI34" s="3"/>
      <c r="JDJ34" s="3"/>
      <c r="JDK34" s="3"/>
      <c r="JDL34" s="3"/>
      <c r="JDM34" s="3"/>
      <c r="JDN34" s="3"/>
      <c r="JDO34" s="3"/>
      <c r="JDP34" s="3"/>
      <c r="JDQ34" s="3"/>
      <c r="JDR34" s="3"/>
      <c r="JDS34" s="3"/>
      <c r="JDT34" s="3"/>
      <c r="JDU34" s="3"/>
      <c r="JDV34" s="3"/>
      <c r="JDW34" s="3"/>
      <c r="JDX34" s="3"/>
      <c r="JDY34" s="3"/>
      <c r="JDZ34" s="3"/>
      <c r="JEA34" s="3"/>
      <c r="JEB34" s="3"/>
      <c r="JEC34" s="3"/>
      <c r="JED34" s="3"/>
      <c r="JEE34" s="3"/>
      <c r="JEF34" s="3"/>
      <c r="JEG34" s="3"/>
      <c r="JEH34" s="3"/>
      <c r="JEI34" s="3"/>
      <c r="JEJ34" s="3"/>
      <c r="JEK34" s="3"/>
      <c r="JEL34" s="3"/>
      <c r="JEM34" s="3"/>
      <c r="JEN34" s="3"/>
      <c r="JEO34" s="3"/>
      <c r="JEP34" s="3"/>
      <c r="JEQ34" s="3"/>
      <c r="JER34" s="3"/>
      <c r="JES34" s="3"/>
      <c r="JET34" s="3"/>
      <c r="JEU34" s="3"/>
      <c r="JEV34" s="3"/>
      <c r="JEW34" s="3"/>
      <c r="JEX34" s="3"/>
      <c r="JEY34" s="3"/>
      <c r="JEZ34" s="3"/>
      <c r="JFA34" s="3"/>
      <c r="JFB34" s="3"/>
      <c r="JFC34" s="3"/>
      <c r="JFD34" s="3"/>
      <c r="JFE34" s="3"/>
      <c r="JFF34" s="3"/>
      <c r="JFG34" s="3"/>
      <c r="JFH34" s="3"/>
      <c r="JFI34" s="3"/>
      <c r="JFJ34" s="3"/>
      <c r="JFK34" s="3"/>
      <c r="JFL34" s="3"/>
      <c r="JFM34" s="3"/>
      <c r="JFN34" s="3"/>
      <c r="JFO34" s="3"/>
      <c r="JFP34" s="3"/>
      <c r="JFQ34" s="3"/>
      <c r="JFR34" s="3"/>
      <c r="JFS34" s="3"/>
      <c r="JFT34" s="3"/>
      <c r="JFU34" s="3"/>
      <c r="JFV34" s="3"/>
      <c r="JFW34" s="3"/>
      <c r="JFX34" s="3"/>
      <c r="JFY34" s="3"/>
      <c r="JFZ34" s="3"/>
      <c r="JGA34" s="3"/>
      <c r="JGB34" s="3"/>
      <c r="JGC34" s="3"/>
      <c r="JGD34" s="3"/>
      <c r="JGE34" s="3"/>
      <c r="JGF34" s="3"/>
      <c r="JGG34" s="3"/>
      <c r="JGH34" s="3"/>
      <c r="JGI34" s="3"/>
      <c r="JGJ34" s="3"/>
      <c r="JGK34" s="3"/>
      <c r="JGL34" s="3"/>
      <c r="JGM34" s="3"/>
      <c r="JGN34" s="3"/>
      <c r="JGO34" s="3"/>
      <c r="JGP34" s="3"/>
      <c r="JGQ34" s="3"/>
      <c r="JGR34" s="3"/>
      <c r="JGS34" s="3"/>
      <c r="JGT34" s="3"/>
      <c r="JGU34" s="3"/>
      <c r="JGV34" s="3"/>
      <c r="JGW34" s="3"/>
      <c r="JGX34" s="3"/>
      <c r="JGY34" s="3"/>
      <c r="JGZ34" s="3"/>
      <c r="JHA34" s="3"/>
      <c r="JHB34" s="3"/>
      <c r="JHC34" s="3"/>
      <c r="JHD34" s="3"/>
      <c r="JHE34" s="3"/>
      <c r="JHF34" s="3"/>
      <c r="JHG34" s="3"/>
      <c r="JHH34" s="3"/>
      <c r="JHI34" s="3"/>
      <c r="JHJ34" s="3"/>
      <c r="JHK34" s="3"/>
      <c r="JHL34" s="3"/>
      <c r="JHM34" s="3"/>
      <c r="JHN34" s="3"/>
      <c r="JHO34" s="3"/>
      <c r="JHP34" s="3"/>
      <c r="JHQ34" s="3"/>
      <c r="JHR34" s="3"/>
      <c r="JHS34" s="3"/>
      <c r="JHT34" s="3"/>
      <c r="JHU34" s="3"/>
      <c r="JHV34" s="3"/>
      <c r="JHW34" s="3"/>
      <c r="JHX34" s="3"/>
      <c r="JHY34" s="3"/>
      <c r="JHZ34" s="3"/>
      <c r="JIA34" s="3"/>
      <c r="JIB34" s="3"/>
      <c r="JIC34" s="3"/>
      <c r="JID34" s="3"/>
      <c r="JIE34" s="3"/>
      <c r="JIF34" s="3"/>
      <c r="JIG34" s="3"/>
      <c r="JIH34" s="3"/>
      <c r="JII34" s="3"/>
      <c r="JIJ34" s="3"/>
      <c r="JIK34" s="3"/>
      <c r="JIL34" s="3"/>
      <c r="JIM34" s="3"/>
      <c r="JIN34" s="3"/>
      <c r="JIO34" s="3"/>
      <c r="JIP34" s="3"/>
      <c r="JIQ34" s="3"/>
      <c r="JIR34" s="3"/>
      <c r="JIS34" s="3"/>
      <c r="JIT34" s="3"/>
      <c r="JIU34" s="3"/>
      <c r="JIV34" s="3"/>
      <c r="JIW34" s="3"/>
      <c r="JIX34" s="3"/>
      <c r="JIY34" s="3"/>
      <c r="JIZ34" s="3"/>
      <c r="JJA34" s="3"/>
      <c r="JJB34" s="3"/>
      <c r="JJC34" s="3"/>
      <c r="JJD34" s="3"/>
      <c r="JJE34" s="3"/>
      <c r="JJF34" s="3"/>
      <c r="JJG34" s="3"/>
      <c r="JJH34" s="3"/>
      <c r="JJI34" s="3"/>
      <c r="JJJ34" s="3"/>
      <c r="JJK34" s="3"/>
      <c r="JJL34" s="3"/>
      <c r="JJM34" s="3"/>
      <c r="JJN34" s="3"/>
      <c r="JJO34" s="3"/>
      <c r="JJP34" s="3"/>
      <c r="JJQ34" s="3"/>
      <c r="JJR34" s="3"/>
      <c r="JJS34" s="3"/>
      <c r="JJT34" s="3"/>
      <c r="JJU34" s="3"/>
      <c r="JJV34" s="3"/>
      <c r="JJW34" s="3"/>
      <c r="JJX34" s="3"/>
      <c r="JJY34" s="3"/>
      <c r="JJZ34" s="3"/>
      <c r="JKA34" s="3"/>
      <c r="JKB34" s="3"/>
      <c r="JKC34" s="3"/>
      <c r="JKD34" s="3"/>
      <c r="JKE34" s="3"/>
      <c r="JKF34" s="3"/>
      <c r="JKG34" s="3"/>
      <c r="JKH34" s="3"/>
      <c r="JKI34" s="3"/>
      <c r="JKJ34" s="3"/>
      <c r="JKK34" s="3"/>
      <c r="JKL34" s="3"/>
      <c r="JKM34" s="3"/>
      <c r="JKN34" s="3"/>
      <c r="JKO34" s="3"/>
      <c r="JKP34" s="3"/>
      <c r="JKQ34" s="3"/>
      <c r="JKR34" s="3"/>
      <c r="JKS34" s="3"/>
      <c r="JKT34" s="3"/>
      <c r="JKU34" s="3"/>
      <c r="JKV34" s="3"/>
      <c r="JKW34" s="3"/>
      <c r="JKX34" s="3"/>
      <c r="JKY34" s="3"/>
      <c r="JKZ34" s="3"/>
      <c r="JLA34" s="3"/>
      <c r="JLB34" s="3"/>
      <c r="JLC34" s="3"/>
      <c r="JLD34" s="3"/>
      <c r="JLE34" s="3"/>
      <c r="JLF34" s="3"/>
      <c r="JLG34" s="3"/>
      <c r="JLH34" s="3"/>
      <c r="JLI34" s="3"/>
      <c r="JLJ34" s="3"/>
      <c r="JLK34" s="3"/>
      <c r="JLL34" s="3"/>
      <c r="JLM34" s="3"/>
      <c r="JLN34" s="3"/>
      <c r="JLO34" s="3"/>
      <c r="JLP34" s="3"/>
      <c r="JLQ34" s="3"/>
      <c r="JLR34" s="3"/>
      <c r="JLS34" s="3"/>
      <c r="JLT34" s="3"/>
      <c r="JLU34" s="3"/>
      <c r="JLV34" s="3"/>
      <c r="JLW34" s="3"/>
      <c r="JLX34" s="3"/>
      <c r="JLY34" s="3"/>
      <c r="JLZ34" s="3"/>
      <c r="JMA34" s="3"/>
      <c r="JMB34" s="3"/>
      <c r="JMC34" s="3"/>
      <c r="JMD34" s="3"/>
      <c r="JME34" s="3"/>
      <c r="JMF34" s="3"/>
      <c r="JMG34" s="3"/>
      <c r="JMH34" s="3"/>
      <c r="JMI34" s="3"/>
      <c r="JMJ34" s="3"/>
      <c r="JMK34" s="3"/>
      <c r="JML34" s="3"/>
      <c r="JMM34" s="3"/>
      <c r="JMN34" s="3"/>
      <c r="JMO34" s="3"/>
      <c r="JMP34" s="3"/>
      <c r="JMQ34" s="3"/>
      <c r="JMR34" s="3"/>
      <c r="JMS34" s="3"/>
      <c r="JMT34" s="3"/>
      <c r="JMU34" s="3"/>
      <c r="JMV34" s="3"/>
      <c r="JMW34" s="3"/>
      <c r="JMX34" s="3"/>
      <c r="JMY34" s="3"/>
      <c r="JMZ34" s="3"/>
      <c r="JNA34" s="3"/>
      <c r="JNB34" s="3"/>
      <c r="JNC34" s="3"/>
      <c r="JND34" s="3"/>
      <c r="JNE34" s="3"/>
      <c r="JNF34" s="3"/>
      <c r="JNG34" s="3"/>
      <c r="JNH34" s="3"/>
      <c r="JNI34" s="3"/>
      <c r="JNJ34" s="3"/>
      <c r="JNK34" s="3"/>
      <c r="JNL34" s="3"/>
      <c r="JNM34" s="3"/>
      <c r="JNN34" s="3"/>
      <c r="JNO34" s="3"/>
      <c r="JNP34" s="3"/>
      <c r="JNQ34" s="3"/>
      <c r="JNR34" s="3"/>
      <c r="JNS34" s="3"/>
      <c r="JNT34" s="3"/>
      <c r="JNU34" s="3"/>
      <c r="JNV34" s="3"/>
      <c r="JNW34" s="3"/>
      <c r="JNX34" s="3"/>
      <c r="JNY34" s="3"/>
      <c r="JNZ34" s="3"/>
      <c r="JOA34" s="3"/>
      <c r="JOB34" s="3"/>
      <c r="JOC34" s="3"/>
      <c r="JOD34" s="3"/>
      <c r="JOE34" s="3"/>
      <c r="JOF34" s="3"/>
      <c r="JOG34" s="3"/>
      <c r="JOH34" s="3"/>
      <c r="JOI34" s="3"/>
      <c r="JOJ34" s="3"/>
      <c r="JOK34" s="3"/>
      <c r="JOL34" s="3"/>
      <c r="JOM34" s="3"/>
      <c r="JON34" s="3"/>
      <c r="JOO34" s="3"/>
      <c r="JOP34" s="3"/>
      <c r="JOQ34" s="3"/>
      <c r="JOR34" s="3"/>
      <c r="JOS34" s="3"/>
      <c r="JOT34" s="3"/>
      <c r="JOU34" s="3"/>
      <c r="JOV34" s="3"/>
      <c r="JOW34" s="3"/>
      <c r="JOX34" s="3"/>
      <c r="JOY34" s="3"/>
      <c r="JOZ34" s="3"/>
      <c r="JPA34" s="3"/>
      <c r="JPB34" s="3"/>
      <c r="JPC34" s="3"/>
      <c r="JPD34" s="3"/>
      <c r="JPE34" s="3"/>
      <c r="JPF34" s="3"/>
      <c r="JPG34" s="3"/>
      <c r="JPH34" s="3"/>
      <c r="JPI34" s="3"/>
      <c r="JPJ34" s="3"/>
      <c r="JPK34" s="3"/>
      <c r="JPL34" s="3"/>
      <c r="JPM34" s="3"/>
      <c r="JPN34" s="3"/>
      <c r="JPO34" s="3"/>
      <c r="JPP34" s="3"/>
      <c r="JPQ34" s="3"/>
      <c r="JPR34" s="3"/>
      <c r="JPS34" s="3"/>
      <c r="JPT34" s="3"/>
      <c r="JPU34" s="3"/>
      <c r="JPV34" s="3"/>
      <c r="JPW34" s="3"/>
      <c r="JPX34" s="3"/>
      <c r="JPY34" s="3"/>
      <c r="JPZ34" s="3"/>
      <c r="JQA34" s="3"/>
      <c r="JQB34" s="3"/>
      <c r="JQC34" s="3"/>
      <c r="JQD34" s="3"/>
      <c r="JQE34" s="3"/>
      <c r="JQF34" s="3"/>
      <c r="JQG34" s="3"/>
      <c r="JQH34" s="3"/>
      <c r="JQI34" s="3"/>
      <c r="JQJ34" s="3"/>
      <c r="JQK34" s="3"/>
      <c r="JQL34" s="3"/>
      <c r="JQM34" s="3"/>
      <c r="JQN34" s="3"/>
      <c r="JQO34" s="3"/>
      <c r="JQP34" s="3"/>
      <c r="JQQ34" s="3"/>
      <c r="JQR34" s="3"/>
      <c r="JQS34" s="3"/>
      <c r="JQT34" s="3"/>
      <c r="JQU34" s="3"/>
      <c r="JQV34" s="3"/>
      <c r="JQW34" s="3"/>
      <c r="JQX34" s="3"/>
      <c r="JQY34" s="3"/>
      <c r="JQZ34" s="3"/>
      <c r="JRA34" s="3"/>
      <c r="JRB34" s="3"/>
      <c r="JRC34" s="3"/>
      <c r="JRD34" s="3"/>
      <c r="JRE34" s="3"/>
      <c r="JRF34" s="3"/>
      <c r="JRG34" s="3"/>
      <c r="JRH34" s="3"/>
      <c r="JRI34" s="3"/>
      <c r="JRJ34" s="3"/>
      <c r="JRK34" s="3"/>
      <c r="JRL34" s="3"/>
      <c r="JRM34" s="3"/>
      <c r="JRN34" s="3"/>
      <c r="JRO34" s="3"/>
      <c r="JRP34" s="3"/>
      <c r="JRQ34" s="3"/>
      <c r="JRR34" s="3"/>
      <c r="JRS34" s="3"/>
      <c r="JRT34" s="3"/>
      <c r="JRU34" s="3"/>
      <c r="JRV34" s="3"/>
      <c r="JRW34" s="3"/>
      <c r="JRX34" s="3"/>
      <c r="JRY34" s="3"/>
      <c r="JRZ34" s="3"/>
      <c r="JSA34" s="3"/>
      <c r="JSB34" s="3"/>
      <c r="JSC34" s="3"/>
      <c r="JSD34" s="3"/>
      <c r="JSE34" s="3"/>
      <c r="JSF34" s="3"/>
      <c r="JSG34" s="3"/>
      <c r="JSH34" s="3"/>
      <c r="JSI34" s="3"/>
      <c r="JSJ34" s="3"/>
      <c r="JSK34" s="3"/>
      <c r="JSL34" s="3"/>
      <c r="JSM34" s="3"/>
      <c r="JSN34" s="3"/>
      <c r="JSO34" s="3"/>
      <c r="JSP34" s="3"/>
      <c r="JSQ34" s="3"/>
      <c r="JSR34" s="3"/>
      <c r="JSS34" s="3"/>
      <c r="JST34" s="3"/>
      <c r="JSU34" s="3"/>
      <c r="JSV34" s="3"/>
      <c r="JSW34" s="3"/>
      <c r="JSX34" s="3"/>
      <c r="JSY34" s="3"/>
      <c r="JSZ34" s="3"/>
      <c r="JTA34" s="3"/>
      <c r="JTB34" s="3"/>
      <c r="JTC34" s="3"/>
      <c r="JTD34" s="3"/>
      <c r="JTE34" s="3"/>
      <c r="JTF34" s="3"/>
      <c r="JTG34" s="3"/>
      <c r="JTH34" s="3"/>
      <c r="JTI34" s="3"/>
      <c r="JTJ34" s="3"/>
      <c r="JTK34" s="3"/>
      <c r="JTL34" s="3"/>
      <c r="JTM34" s="3"/>
      <c r="JTN34" s="3"/>
      <c r="JTO34" s="3"/>
      <c r="JTP34" s="3"/>
      <c r="JTQ34" s="3"/>
      <c r="JTR34" s="3"/>
      <c r="JTS34" s="3"/>
      <c r="JTT34" s="3"/>
      <c r="JTU34" s="3"/>
      <c r="JTV34" s="3"/>
      <c r="JTW34" s="3"/>
      <c r="JTX34" s="3"/>
      <c r="JTY34" s="3"/>
      <c r="JTZ34" s="3"/>
      <c r="JUA34" s="3"/>
      <c r="JUB34" s="3"/>
      <c r="JUC34" s="3"/>
      <c r="JUD34" s="3"/>
      <c r="JUE34" s="3"/>
      <c r="JUF34" s="3"/>
      <c r="JUG34" s="3"/>
      <c r="JUH34" s="3"/>
      <c r="JUI34" s="3"/>
      <c r="JUJ34" s="3"/>
      <c r="JUK34" s="3"/>
      <c r="JUL34" s="3"/>
      <c r="JUM34" s="3"/>
      <c r="JUN34" s="3"/>
      <c r="JUO34" s="3"/>
      <c r="JUP34" s="3"/>
      <c r="JUQ34" s="3"/>
      <c r="JUR34" s="3"/>
      <c r="JUS34" s="3"/>
      <c r="JUT34" s="3"/>
      <c r="JUU34" s="3"/>
      <c r="JUV34" s="3"/>
      <c r="JUW34" s="3"/>
      <c r="JUX34" s="3"/>
      <c r="JUY34" s="3"/>
      <c r="JUZ34" s="3"/>
      <c r="JVA34" s="3"/>
      <c r="JVB34" s="3"/>
      <c r="JVC34" s="3"/>
      <c r="JVD34" s="3"/>
      <c r="JVE34" s="3"/>
      <c r="JVF34" s="3"/>
      <c r="JVG34" s="3"/>
      <c r="JVH34" s="3"/>
      <c r="JVI34" s="3"/>
      <c r="JVJ34" s="3"/>
      <c r="JVK34" s="3"/>
      <c r="JVL34" s="3"/>
      <c r="JVM34" s="3"/>
      <c r="JVN34" s="3"/>
      <c r="JVO34" s="3"/>
      <c r="JVP34" s="3"/>
      <c r="JVQ34" s="3"/>
      <c r="JVR34" s="3"/>
      <c r="JVS34" s="3"/>
      <c r="JVT34" s="3"/>
      <c r="JVU34" s="3"/>
      <c r="JVV34" s="3"/>
      <c r="JVW34" s="3"/>
      <c r="JVX34" s="3"/>
      <c r="JVY34" s="3"/>
      <c r="JVZ34" s="3"/>
      <c r="JWA34" s="3"/>
      <c r="JWB34" s="3"/>
      <c r="JWC34" s="3"/>
      <c r="JWD34" s="3"/>
      <c r="JWE34" s="3"/>
      <c r="JWF34" s="3"/>
      <c r="JWG34" s="3"/>
      <c r="JWH34" s="3"/>
      <c r="JWI34" s="3"/>
      <c r="JWJ34" s="3"/>
      <c r="JWK34" s="3"/>
      <c r="JWL34" s="3"/>
      <c r="JWM34" s="3"/>
      <c r="JWN34" s="3"/>
      <c r="JWO34" s="3"/>
      <c r="JWP34" s="3"/>
      <c r="JWQ34" s="3"/>
      <c r="JWR34" s="3"/>
      <c r="JWS34" s="3"/>
      <c r="JWT34" s="3"/>
      <c r="JWU34" s="3"/>
      <c r="JWV34" s="3"/>
      <c r="JWW34" s="3"/>
      <c r="JWX34" s="3"/>
      <c r="JWY34" s="3"/>
      <c r="JWZ34" s="3"/>
      <c r="JXA34" s="3"/>
      <c r="JXB34" s="3"/>
      <c r="JXC34" s="3"/>
      <c r="JXD34" s="3"/>
      <c r="JXE34" s="3"/>
      <c r="JXF34" s="3"/>
      <c r="JXG34" s="3"/>
      <c r="JXH34" s="3"/>
      <c r="JXI34" s="3"/>
      <c r="JXJ34" s="3"/>
      <c r="JXK34" s="3"/>
      <c r="JXL34" s="3"/>
      <c r="JXM34" s="3"/>
      <c r="JXN34" s="3"/>
      <c r="JXO34" s="3"/>
      <c r="JXP34" s="3"/>
      <c r="JXQ34" s="3"/>
      <c r="JXR34" s="3"/>
      <c r="JXS34" s="3"/>
      <c r="JXT34" s="3"/>
      <c r="JXU34" s="3"/>
      <c r="JXV34" s="3"/>
      <c r="JXW34" s="3"/>
      <c r="JXX34" s="3"/>
      <c r="JXY34" s="3"/>
      <c r="JXZ34" s="3"/>
      <c r="JYA34" s="3"/>
      <c r="JYB34" s="3"/>
      <c r="JYC34" s="3"/>
      <c r="JYD34" s="3"/>
      <c r="JYE34" s="3"/>
      <c r="JYF34" s="3"/>
      <c r="JYG34" s="3"/>
      <c r="JYH34" s="3"/>
      <c r="JYI34" s="3"/>
      <c r="JYJ34" s="3"/>
      <c r="JYK34" s="3"/>
      <c r="JYL34" s="3"/>
      <c r="JYM34" s="3"/>
      <c r="JYN34" s="3"/>
      <c r="JYO34" s="3"/>
      <c r="JYP34" s="3"/>
      <c r="JYQ34" s="3"/>
      <c r="JYR34" s="3"/>
      <c r="JYS34" s="3"/>
      <c r="JYT34" s="3"/>
      <c r="JYU34" s="3"/>
      <c r="JYV34" s="3"/>
      <c r="JYW34" s="3"/>
      <c r="JYX34" s="3"/>
      <c r="JYY34" s="3"/>
      <c r="JYZ34" s="3"/>
      <c r="JZA34" s="3"/>
      <c r="JZB34" s="3"/>
      <c r="JZC34" s="3"/>
      <c r="JZD34" s="3"/>
      <c r="JZE34" s="3"/>
      <c r="JZF34" s="3"/>
      <c r="JZG34" s="3"/>
      <c r="JZH34" s="3"/>
      <c r="JZI34" s="3"/>
      <c r="JZJ34" s="3"/>
      <c r="JZK34" s="3"/>
      <c r="JZL34" s="3"/>
      <c r="JZM34" s="3"/>
      <c r="JZN34" s="3"/>
      <c r="JZO34" s="3"/>
      <c r="JZP34" s="3"/>
      <c r="JZQ34" s="3"/>
      <c r="JZR34" s="3"/>
      <c r="JZS34" s="3"/>
      <c r="JZT34" s="3"/>
      <c r="JZU34" s="3"/>
      <c r="JZV34" s="3"/>
      <c r="JZW34" s="3"/>
      <c r="JZX34" s="3"/>
      <c r="JZY34" s="3"/>
      <c r="JZZ34" s="3"/>
      <c r="KAA34" s="3"/>
      <c r="KAB34" s="3"/>
      <c r="KAC34" s="3"/>
      <c r="KAD34" s="3"/>
      <c r="KAE34" s="3"/>
      <c r="KAF34" s="3"/>
      <c r="KAG34" s="3"/>
      <c r="KAH34" s="3"/>
      <c r="KAI34" s="3"/>
      <c r="KAJ34" s="3"/>
      <c r="KAK34" s="3"/>
      <c r="KAL34" s="3"/>
      <c r="KAM34" s="3"/>
      <c r="KAN34" s="3"/>
      <c r="KAO34" s="3"/>
      <c r="KAP34" s="3"/>
      <c r="KAQ34" s="3"/>
      <c r="KAR34" s="3"/>
      <c r="KAS34" s="3"/>
      <c r="KAT34" s="3"/>
      <c r="KAU34" s="3"/>
      <c r="KAV34" s="3"/>
      <c r="KAW34" s="3"/>
      <c r="KAX34" s="3"/>
      <c r="KAY34" s="3"/>
      <c r="KAZ34" s="3"/>
      <c r="KBA34" s="3"/>
      <c r="KBB34" s="3"/>
      <c r="KBC34" s="3"/>
      <c r="KBD34" s="3"/>
      <c r="KBE34" s="3"/>
      <c r="KBF34" s="3"/>
      <c r="KBG34" s="3"/>
      <c r="KBH34" s="3"/>
      <c r="KBI34" s="3"/>
      <c r="KBJ34" s="3"/>
      <c r="KBK34" s="3"/>
      <c r="KBL34" s="3"/>
      <c r="KBM34" s="3"/>
      <c r="KBN34" s="3"/>
      <c r="KBO34" s="3"/>
      <c r="KBP34" s="3"/>
      <c r="KBQ34" s="3"/>
      <c r="KBR34" s="3"/>
      <c r="KBS34" s="3"/>
      <c r="KBT34" s="3"/>
      <c r="KBU34" s="3"/>
      <c r="KBV34" s="3"/>
      <c r="KBW34" s="3"/>
      <c r="KBX34" s="3"/>
      <c r="KBY34" s="3"/>
      <c r="KBZ34" s="3"/>
      <c r="KCA34" s="3"/>
      <c r="KCB34" s="3"/>
      <c r="KCC34" s="3"/>
      <c r="KCD34" s="3"/>
      <c r="KCE34" s="3"/>
      <c r="KCF34" s="3"/>
      <c r="KCG34" s="3"/>
      <c r="KCH34" s="3"/>
      <c r="KCI34" s="3"/>
      <c r="KCJ34" s="3"/>
      <c r="KCK34" s="3"/>
      <c r="KCL34" s="3"/>
      <c r="KCM34" s="3"/>
      <c r="KCN34" s="3"/>
      <c r="KCO34" s="3"/>
      <c r="KCP34" s="3"/>
      <c r="KCQ34" s="3"/>
      <c r="KCR34" s="3"/>
      <c r="KCS34" s="3"/>
      <c r="KCT34" s="3"/>
      <c r="KCU34" s="3"/>
      <c r="KCV34" s="3"/>
      <c r="KCW34" s="3"/>
      <c r="KCX34" s="3"/>
      <c r="KCY34" s="3"/>
      <c r="KCZ34" s="3"/>
      <c r="KDA34" s="3"/>
      <c r="KDB34" s="3"/>
      <c r="KDC34" s="3"/>
      <c r="KDD34" s="3"/>
      <c r="KDE34" s="3"/>
      <c r="KDF34" s="3"/>
      <c r="KDG34" s="3"/>
      <c r="KDH34" s="3"/>
      <c r="KDI34" s="3"/>
      <c r="KDJ34" s="3"/>
      <c r="KDK34" s="3"/>
      <c r="KDL34" s="3"/>
      <c r="KDM34" s="3"/>
      <c r="KDN34" s="3"/>
      <c r="KDO34" s="3"/>
      <c r="KDP34" s="3"/>
      <c r="KDQ34" s="3"/>
      <c r="KDR34" s="3"/>
      <c r="KDS34" s="3"/>
      <c r="KDT34" s="3"/>
      <c r="KDU34" s="3"/>
      <c r="KDV34" s="3"/>
      <c r="KDW34" s="3"/>
      <c r="KDX34" s="3"/>
      <c r="KDY34" s="3"/>
      <c r="KDZ34" s="3"/>
      <c r="KEA34" s="3"/>
      <c r="KEB34" s="3"/>
      <c r="KEC34" s="3"/>
      <c r="KED34" s="3"/>
      <c r="KEE34" s="3"/>
      <c r="KEF34" s="3"/>
      <c r="KEG34" s="3"/>
      <c r="KEH34" s="3"/>
      <c r="KEI34" s="3"/>
      <c r="KEJ34" s="3"/>
      <c r="KEK34" s="3"/>
      <c r="KEL34" s="3"/>
      <c r="KEM34" s="3"/>
      <c r="KEN34" s="3"/>
      <c r="KEO34" s="3"/>
      <c r="KEP34" s="3"/>
      <c r="KEQ34" s="3"/>
      <c r="KER34" s="3"/>
      <c r="KES34" s="3"/>
      <c r="KET34" s="3"/>
      <c r="KEU34" s="3"/>
      <c r="KEV34" s="3"/>
      <c r="KEW34" s="3"/>
      <c r="KEX34" s="3"/>
      <c r="KEY34" s="3"/>
      <c r="KEZ34" s="3"/>
      <c r="KFA34" s="3"/>
      <c r="KFB34" s="3"/>
      <c r="KFC34" s="3"/>
      <c r="KFD34" s="3"/>
      <c r="KFE34" s="3"/>
      <c r="KFF34" s="3"/>
      <c r="KFG34" s="3"/>
      <c r="KFH34" s="3"/>
      <c r="KFI34" s="3"/>
      <c r="KFJ34" s="3"/>
      <c r="KFK34" s="3"/>
      <c r="KFL34" s="3"/>
      <c r="KFM34" s="3"/>
      <c r="KFN34" s="3"/>
      <c r="KFO34" s="3"/>
      <c r="KFP34" s="3"/>
      <c r="KFQ34" s="3"/>
      <c r="KFR34" s="3"/>
      <c r="KFS34" s="3"/>
      <c r="KFT34" s="3"/>
      <c r="KFU34" s="3"/>
      <c r="KFV34" s="3"/>
      <c r="KFW34" s="3"/>
      <c r="KFX34" s="3"/>
      <c r="KFY34" s="3"/>
      <c r="KFZ34" s="3"/>
      <c r="KGA34" s="3"/>
      <c r="KGB34" s="3"/>
      <c r="KGC34" s="3"/>
      <c r="KGD34" s="3"/>
      <c r="KGE34" s="3"/>
      <c r="KGF34" s="3"/>
      <c r="KGG34" s="3"/>
      <c r="KGH34" s="3"/>
      <c r="KGI34" s="3"/>
      <c r="KGJ34" s="3"/>
      <c r="KGK34" s="3"/>
      <c r="KGL34" s="3"/>
      <c r="KGM34" s="3"/>
      <c r="KGN34" s="3"/>
      <c r="KGO34" s="3"/>
      <c r="KGP34" s="3"/>
      <c r="KGQ34" s="3"/>
      <c r="KGR34" s="3"/>
      <c r="KGS34" s="3"/>
      <c r="KGT34" s="3"/>
      <c r="KGU34" s="3"/>
      <c r="KGV34" s="3"/>
      <c r="KGW34" s="3"/>
      <c r="KGX34" s="3"/>
      <c r="KGY34" s="3"/>
      <c r="KGZ34" s="3"/>
      <c r="KHA34" s="3"/>
      <c r="KHB34" s="3"/>
      <c r="KHC34" s="3"/>
      <c r="KHD34" s="3"/>
      <c r="KHE34" s="3"/>
      <c r="KHF34" s="3"/>
      <c r="KHG34" s="3"/>
      <c r="KHH34" s="3"/>
      <c r="KHI34" s="3"/>
      <c r="KHJ34" s="3"/>
      <c r="KHK34" s="3"/>
      <c r="KHL34" s="3"/>
      <c r="KHM34" s="3"/>
      <c r="KHN34" s="3"/>
      <c r="KHO34" s="3"/>
      <c r="KHP34" s="3"/>
      <c r="KHQ34" s="3"/>
      <c r="KHR34" s="3"/>
      <c r="KHS34" s="3"/>
      <c r="KHT34" s="3"/>
      <c r="KHU34" s="3"/>
      <c r="KHV34" s="3"/>
      <c r="KHW34" s="3"/>
      <c r="KHX34" s="3"/>
      <c r="KHY34" s="3"/>
      <c r="KHZ34" s="3"/>
      <c r="KIA34" s="3"/>
      <c r="KIB34" s="3"/>
      <c r="KIC34" s="3"/>
      <c r="KID34" s="3"/>
      <c r="KIE34" s="3"/>
      <c r="KIF34" s="3"/>
      <c r="KIG34" s="3"/>
      <c r="KIH34" s="3"/>
      <c r="KII34" s="3"/>
      <c r="KIJ34" s="3"/>
      <c r="KIK34" s="3"/>
      <c r="KIL34" s="3"/>
      <c r="KIM34" s="3"/>
      <c r="KIN34" s="3"/>
      <c r="KIO34" s="3"/>
      <c r="KIP34" s="3"/>
      <c r="KIQ34" s="3"/>
      <c r="KIR34" s="3"/>
      <c r="KIS34" s="3"/>
      <c r="KIT34" s="3"/>
      <c r="KIU34" s="3"/>
      <c r="KIV34" s="3"/>
      <c r="KIW34" s="3"/>
      <c r="KIX34" s="3"/>
      <c r="KIY34" s="3"/>
      <c r="KIZ34" s="3"/>
      <c r="KJA34" s="3"/>
      <c r="KJB34" s="3"/>
      <c r="KJC34" s="3"/>
      <c r="KJD34" s="3"/>
      <c r="KJE34" s="3"/>
      <c r="KJF34" s="3"/>
      <c r="KJG34" s="3"/>
      <c r="KJH34" s="3"/>
      <c r="KJI34" s="3"/>
      <c r="KJJ34" s="3"/>
      <c r="KJK34" s="3"/>
      <c r="KJL34" s="3"/>
      <c r="KJM34" s="3"/>
      <c r="KJN34" s="3"/>
      <c r="KJO34" s="3"/>
      <c r="KJP34" s="3"/>
      <c r="KJQ34" s="3"/>
      <c r="KJR34" s="3"/>
      <c r="KJS34" s="3"/>
      <c r="KJT34" s="3"/>
      <c r="KJU34" s="3"/>
      <c r="KJV34" s="3"/>
      <c r="KJW34" s="3"/>
      <c r="KJX34" s="3"/>
      <c r="KJY34" s="3"/>
      <c r="KJZ34" s="3"/>
      <c r="KKA34" s="3"/>
      <c r="KKB34" s="3"/>
      <c r="KKC34" s="3"/>
      <c r="KKD34" s="3"/>
      <c r="KKE34" s="3"/>
      <c r="KKF34" s="3"/>
      <c r="KKG34" s="3"/>
      <c r="KKH34" s="3"/>
      <c r="KKI34" s="3"/>
      <c r="KKJ34" s="3"/>
      <c r="KKK34" s="3"/>
      <c r="KKL34" s="3"/>
      <c r="KKM34" s="3"/>
      <c r="KKN34" s="3"/>
      <c r="KKO34" s="3"/>
      <c r="KKP34" s="3"/>
      <c r="KKQ34" s="3"/>
      <c r="KKR34" s="3"/>
      <c r="KKS34" s="3"/>
      <c r="KKT34" s="3"/>
      <c r="KKU34" s="3"/>
      <c r="KKV34" s="3"/>
      <c r="KKW34" s="3"/>
      <c r="KKX34" s="3"/>
      <c r="KKY34" s="3"/>
      <c r="KKZ34" s="3"/>
      <c r="KLA34" s="3"/>
      <c r="KLB34" s="3"/>
      <c r="KLC34" s="3"/>
      <c r="KLD34" s="3"/>
      <c r="KLE34" s="3"/>
      <c r="KLF34" s="3"/>
      <c r="KLG34" s="3"/>
      <c r="KLH34" s="3"/>
      <c r="KLI34" s="3"/>
      <c r="KLJ34" s="3"/>
      <c r="KLK34" s="3"/>
      <c r="KLL34" s="3"/>
      <c r="KLM34" s="3"/>
      <c r="KLN34" s="3"/>
      <c r="KLO34" s="3"/>
      <c r="KLP34" s="3"/>
      <c r="KLQ34" s="3"/>
      <c r="KLR34" s="3"/>
      <c r="KLS34" s="3"/>
      <c r="KLT34" s="3"/>
      <c r="KLU34" s="3"/>
      <c r="KLV34" s="3"/>
      <c r="KLW34" s="3"/>
      <c r="KLX34" s="3"/>
      <c r="KLY34" s="3"/>
      <c r="KLZ34" s="3"/>
      <c r="KMA34" s="3"/>
      <c r="KMB34" s="3"/>
      <c r="KMC34" s="3"/>
      <c r="KMD34" s="3"/>
      <c r="KME34" s="3"/>
      <c r="KMF34" s="3"/>
      <c r="KMG34" s="3"/>
      <c r="KMH34" s="3"/>
      <c r="KMI34" s="3"/>
      <c r="KMJ34" s="3"/>
      <c r="KMK34" s="3"/>
      <c r="KML34" s="3"/>
      <c r="KMM34" s="3"/>
      <c r="KMN34" s="3"/>
      <c r="KMO34" s="3"/>
      <c r="KMP34" s="3"/>
      <c r="KMQ34" s="3"/>
      <c r="KMR34" s="3"/>
      <c r="KMS34" s="3"/>
      <c r="KMT34" s="3"/>
      <c r="KMU34" s="3"/>
      <c r="KMV34" s="3"/>
      <c r="KMW34" s="3"/>
      <c r="KMX34" s="3"/>
      <c r="KMY34" s="3"/>
      <c r="KMZ34" s="3"/>
      <c r="KNA34" s="3"/>
      <c r="KNB34" s="3"/>
      <c r="KNC34" s="3"/>
      <c r="KND34" s="3"/>
      <c r="KNE34" s="3"/>
      <c r="KNF34" s="3"/>
      <c r="KNG34" s="3"/>
      <c r="KNH34" s="3"/>
      <c r="KNI34" s="3"/>
      <c r="KNJ34" s="3"/>
      <c r="KNK34" s="3"/>
      <c r="KNL34" s="3"/>
      <c r="KNM34" s="3"/>
      <c r="KNN34" s="3"/>
      <c r="KNO34" s="3"/>
      <c r="KNP34" s="3"/>
      <c r="KNQ34" s="3"/>
      <c r="KNR34" s="3"/>
      <c r="KNS34" s="3"/>
      <c r="KNT34" s="3"/>
      <c r="KNU34" s="3"/>
      <c r="KNV34" s="3"/>
      <c r="KNW34" s="3"/>
      <c r="KNX34" s="3"/>
      <c r="KNY34" s="3"/>
      <c r="KNZ34" s="3"/>
      <c r="KOA34" s="3"/>
      <c r="KOB34" s="3"/>
      <c r="KOC34" s="3"/>
      <c r="KOD34" s="3"/>
      <c r="KOE34" s="3"/>
      <c r="KOF34" s="3"/>
      <c r="KOG34" s="3"/>
      <c r="KOH34" s="3"/>
      <c r="KOI34" s="3"/>
      <c r="KOJ34" s="3"/>
      <c r="KOK34" s="3"/>
      <c r="KOL34" s="3"/>
      <c r="KOM34" s="3"/>
      <c r="KON34" s="3"/>
      <c r="KOO34" s="3"/>
      <c r="KOP34" s="3"/>
      <c r="KOQ34" s="3"/>
      <c r="KOR34" s="3"/>
      <c r="KOS34" s="3"/>
      <c r="KOT34" s="3"/>
      <c r="KOU34" s="3"/>
      <c r="KOV34" s="3"/>
      <c r="KOW34" s="3"/>
      <c r="KOX34" s="3"/>
      <c r="KOY34" s="3"/>
      <c r="KOZ34" s="3"/>
      <c r="KPA34" s="3"/>
      <c r="KPB34" s="3"/>
      <c r="KPC34" s="3"/>
      <c r="KPD34" s="3"/>
      <c r="KPE34" s="3"/>
      <c r="KPF34" s="3"/>
      <c r="KPG34" s="3"/>
      <c r="KPH34" s="3"/>
      <c r="KPI34" s="3"/>
      <c r="KPJ34" s="3"/>
      <c r="KPK34" s="3"/>
      <c r="KPL34" s="3"/>
      <c r="KPM34" s="3"/>
      <c r="KPN34" s="3"/>
      <c r="KPO34" s="3"/>
      <c r="KPP34" s="3"/>
      <c r="KPQ34" s="3"/>
      <c r="KPR34" s="3"/>
      <c r="KPS34" s="3"/>
      <c r="KPT34" s="3"/>
      <c r="KPU34" s="3"/>
      <c r="KPV34" s="3"/>
      <c r="KPW34" s="3"/>
      <c r="KPX34" s="3"/>
      <c r="KPY34" s="3"/>
      <c r="KPZ34" s="3"/>
      <c r="KQA34" s="3"/>
      <c r="KQB34" s="3"/>
      <c r="KQC34" s="3"/>
      <c r="KQD34" s="3"/>
      <c r="KQE34" s="3"/>
      <c r="KQF34" s="3"/>
      <c r="KQG34" s="3"/>
      <c r="KQH34" s="3"/>
      <c r="KQI34" s="3"/>
      <c r="KQJ34" s="3"/>
      <c r="KQK34" s="3"/>
      <c r="KQL34" s="3"/>
      <c r="KQM34" s="3"/>
      <c r="KQN34" s="3"/>
      <c r="KQO34" s="3"/>
      <c r="KQP34" s="3"/>
      <c r="KQQ34" s="3"/>
      <c r="KQR34" s="3"/>
      <c r="KQS34" s="3"/>
      <c r="KQT34" s="3"/>
      <c r="KQU34" s="3"/>
      <c r="KQV34" s="3"/>
      <c r="KQW34" s="3"/>
      <c r="KQX34" s="3"/>
      <c r="KQY34" s="3"/>
      <c r="KQZ34" s="3"/>
      <c r="KRA34" s="3"/>
      <c r="KRB34" s="3"/>
      <c r="KRC34" s="3"/>
      <c r="KRD34" s="3"/>
      <c r="KRE34" s="3"/>
      <c r="KRF34" s="3"/>
      <c r="KRG34" s="3"/>
      <c r="KRH34" s="3"/>
      <c r="KRI34" s="3"/>
      <c r="KRJ34" s="3"/>
      <c r="KRK34" s="3"/>
      <c r="KRL34" s="3"/>
      <c r="KRM34" s="3"/>
      <c r="KRN34" s="3"/>
      <c r="KRO34" s="3"/>
      <c r="KRP34" s="3"/>
      <c r="KRQ34" s="3"/>
      <c r="KRR34" s="3"/>
      <c r="KRS34" s="3"/>
      <c r="KRT34" s="3"/>
      <c r="KRU34" s="3"/>
      <c r="KRV34" s="3"/>
      <c r="KRW34" s="3"/>
      <c r="KRX34" s="3"/>
      <c r="KRY34" s="3"/>
      <c r="KRZ34" s="3"/>
      <c r="KSA34" s="3"/>
      <c r="KSB34" s="3"/>
      <c r="KSC34" s="3"/>
      <c r="KSD34" s="3"/>
      <c r="KSE34" s="3"/>
      <c r="KSF34" s="3"/>
      <c r="KSG34" s="3"/>
      <c r="KSH34" s="3"/>
      <c r="KSI34" s="3"/>
      <c r="KSJ34" s="3"/>
      <c r="KSK34" s="3"/>
      <c r="KSL34" s="3"/>
      <c r="KSM34" s="3"/>
      <c r="KSN34" s="3"/>
      <c r="KSO34" s="3"/>
      <c r="KSP34" s="3"/>
      <c r="KSQ34" s="3"/>
      <c r="KSR34" s="3"/>
      <c r="KSS34" s="3"/>
      <c r="KST34" s="3"/>
      <c r="KSU34" s="3"/>
      <c r="KSV34" s="3"/>
      <c r="KSW34" s="3"/>
      <c r="KSX34" s="3"/>
      <c r="KSY34" s="3"/>
      <c r="KSZ34" s="3"/>
      <c r="KTA34" s="3"/>
      <c r="KTB34" s="3"/>
      <c r="KTC34" s="3"/>
      <c r="KTD34" s="3"/>
      <c r="KTE34" s="3"/>
      <c r="KTF34" s="3"/>
      <c r="KTG34" s="3"/>
      <c r="KTH34" s="3"/>
      <c r="KTI34" s="3"/>
      <c r="KTJ34" s="3"/>
      <c r="KTK34" s="3"/>
      <c r="KTL34" s="3"/>
      <c r="KTM34" s="3"/>
      <c r="KTN34" s="3"/>
      <c r="KTO34" s="3"/>
      <c r="KTP34" s="3"/>
      <c r="KTQ34" s="3"/>
      <c r="KTR34" s="3"/>
      <c r="KTS34" s="3"/>
      <c r="KTT34" s="3"/>
      <c r="KTU34" s="3"/>
      <c r="KTV34" s="3"/>
      <c r="KTW34" s="3"/>
      <c r="KTX34" s="3"/>
      <c r="KTY34" s="3"/>
      <c r="KTZ34" s="3"/>
      <c r="KUA34" s="3"/>
      <c r="KUB34" s="3"/>
      <c r="KUC34" s="3"/>
      <c r="KUD34" s="3"/>
      <c r="KUE34" s="3"/>
      <c r="KUF34" s="3"/>
      <c r="KUG34" s="3"/>
      <c r="KUH34" s="3"/>
      <c r="KUI34" s="3"/>
      <c r="KUJ34" s="3"/>
      <c r="KUK34" s="3"/>
      <c r="KUL34" s="3"/>
      <c r="KUM34" s="3"/>
      <c r="KUN34" s="3"/>
      <c r="KUO34" s="3"/>
      <c r="KUP34" s="3"/>
      <c r="KUQ34" s="3"/>
      <c r="KUR34" s="3"/>
      <c r="KUS34" s="3"/>
      <c r="KUT34" s="3"/>
      <c r="KUU34" s="3"/>
      <c r="KUV34" s="3"/>
      <c r="KUW34" s="3"/>
      <c r="KUX34" s="3"/>
      <c r="KUY34" s="3"/>
      <c r="KUZ34" s="3"/>
      <c r="KVA34" s="3"/>
      <c r="KVB34" s="3"/>
      <c r="KVC34" s="3"/>
      <c r="KVD34" s="3"/>
      <c r="KVE34" s="3"/>
      <c r="KVF34" s="3"/>
      <c r="KVG34" s="3"/>
      <c r="KVH34" s="3"/>
      <c r="KVI34" s="3"/>
      <c r="KVJ34" s="3"/>
      <c r="KVK34" s="3"/>
      <c r="KVL34" s="3"/>
      <c r="KVM34" s="3"/>
      <c r="KVN34" s="3"/>
      <c r="KVO34" s="3"/>
      <c r="KVP34" s="3"/>
      <c r="KVQ34" s="3"/>
      <c r="KVR34" s="3"/>
      <c r="KVS34" s="3"/>
      <c r="KVT34" s="3"/>
      <c r="KVU34" s="3"/>
      <c r="KVV34" s="3"/>
      <c r="KVW34" s="3"/>
      <c r="KVX34" s="3"/>
      <c r="KVY34" s="3"/>
      <c r="KVZ34" s="3"/>
      <c r="KWA34" s="3"/>
      <c r="KWB34" s="3"/>
      <c r="KWC34" s="3"/>
      <c r="KWD34" s="3"/>
      <c r="KWE34" s="3"/>
      <c r="KWF34" s="3"/>
      <c r="KWG34" s="3"/>
      <c r="KWH34" s="3"/>
      <c r="KWI34" s="3"/>
      <c r="KWJ34" s="3"/>
      <c r="KWK34" s="3"/>
      <c r="KWL34" s="3"/>
      <c r="KWM34" s="3"/>
      <c r="KWN34" s="3"/>
      <c r="KWO34" s="3"/>
      <c r="KWP34" s="3"/>
      <c r="KWQ34" s="3"/>
      <c r="KWR34" s="3"/>
      <c r="KWS34" s="3"/>
      <c r="KWT34" s="3"/>
      <c r="KWU34" s="3"/>
      <c r="KWV34" s="3"/>
      <c r="KWW34" s="3"/>
      <c r="KWX34" s="3"/>
      <c r="KWY34" s="3"/>
      <c r="KWZ34" s="3"/>
      <c r="KXA34" s="3"/>
      <c r="KXB34" s="3"/>
      <c r="KXC34" s="3"/>
      <c r="KXD34" s="3"/>
      <c r="KXE34" s="3"/>
      <c r="KXF34" s="3"/>
      <c r="KXG34" s="3"/>
      <c r="KXH34" s="3"/>
      <c r="KXI34" s="3"/>
      <c r="KXJ34" s="3"/>
      <c r="KXK34" s="3"/>
      <c r="KXL34" s="3"/>
      <c r="KXM34" s="3"/>
      <c r="KXN34" s="3"/>
      <c r="KXO34" s="3"/>
      <c r="KXP34" s="3"/>
      <c r="KXQ34" s="3"/>
      <c r="KXR34" s="3"/>
      <c r="KXS34" s="3"/>
      <c r="KXT34" s="3"/>
      <c r="KXU34" s="3"/>
      <c r="KXV34" s="3"/>
      <c r="KXW34" s="3"/>
      <c r="KXX34" s="3"/>
      <c r="KXY34" s="3"/>
      <c r="KXZ34" s="3"/>
      <c r="KYA34" s="3"/>
      <c r="KYB34" s="3"/>
      <c r="KYC34" s="3"/>
      <c r="KYD34" s="3"/>
      <c r="KYE34" s="3"/>
      <c r="KYF34" s="3"/>
      <c r="KYG34" s="3"/>
      <c r="KYH34" s="3"/>
      <c r="KYI34" s="3"/>
      <c r="KYJ34" s="3"/>
      <c r="KYK34" s="3"/>
      <c r="KYL34" s="3"/>
      <c r="KYM34" s="3"/>
      <c r="KYN34" s="3"/>
      <c r="KYO34" s="3"/>
      <c r="KYP34" s="3"/>
      <c r="KYQ34" s="3"/>
      <c r="KYR34" s="3"/>
      <c r="KYS34" s="3"/>
      <c r="KYT34" s="3"/>
      <c r="KYU34" s="3"/>
      <c r="KYV34" s="3"/>
      <c r="KYW34" s="3"/>
      <c r="KYX34" s="3"/>
      <c r="KYY34" s="3"/>
      <c r="KYZ34" s="3"/>
      <c r="KZA34" s="3"/>
      <c r="KZB34" s="3"/>
      <c r="KZC34" s="3"/>
      <c r="KZD34" s="3"/>
      <c r="KZE34" s="3"/>
      <c r="KZF34" s="3"/>
      <c r="KZG34" s="3"/>
      <c r="KZH34" s="3"/>
      <c r="KZI34" s="3"/>
      <c r="KZJ34" s="3"/>
      <c r="KZK34" s="3"/>
      <c r="KZL34" s="3"/>
      <c r="KZM34" s="3"/>
      <c r="KZN34" s="3"/>
      <c r="KZO34" s="3"/>
      <c r="KZP34" s="3"/>
      <c r="KZQ34" s="3"/>
      <c r="KZR34" s="3"/>
      <c r="KZS34" s="3"/>
      <c r="KZT34" s="3"/>
      <c r="KZU34" s="3"/>
      <c r="KZV34" s="3"/>
      <c r="KZW34" s="3"/>
      <c r="KZX34" s="3"/>
      <c r="KZY34" s="3"/>
      <c r="KZZ34" s="3"/>
      <c r="LAA34" s="3"/>
      <c r="LAB34" s="3"/>
      <c r="LAC34" s="3"/>
      <c r="LAD34" s="3"/>
      <c r="LAE34" s="3"/>
      <c r="LAF34" s="3"/>
      <c r="LAG34" s="3"/>
      <c r="LAH34" s="3"/>
      <c r="LAI34" s="3"/>
      <c r="LAJ34" s="3"/>
      <c r="LAK34" s="3"/>
      <c r="LAL34" s="3"/>
      <c r="LAM34" s="3"/>
      <c r="LAN34" s="3"/>
      <c r="LAO34" s="3"/>
      <c r="LAP34" s="3"/>
      <c r="LAQ34" s="3"/>
      <c r="LAR34" s="3"/>
      <c r="LAS34" s="3"/>
      <c r="LAT34" s="3"/>
      <c r="LAU34" s="3"/>
      <c r="LAV34" s="3"/>
      <c r="LAW34" s="3"/>
      <c r="LAX34" s="3"/>
      <c r="LAY34" s="3"/>
      <c r="LAZ34" s="3"/>
      <c r="LBA34" s="3"/>
      <c r="LBB34" s="3"/>
      <c r="LBC34" s="3"/>
      <c r="LBD34" s="3"/>
      <c r="LBE34" s="3"/>
      <c r="LBF34" s="3"/>
      <c r="LBG34" s="3"/>
      <c r="LBH34" s="3"/>
      <c r="LBI34" s="3"/>
      <c r="LBJ34" s="3"/>
      <c r="LBK34" s="3"/>
      <c r="LBL34" s="3"/>
      <c r="LBM34" s="3"/>
      <c r="LBN34" s="3"/>
      <c r="LBO34" s="3"/>
      <c r="LBP34" s="3"/>
      <c r="LBQ34" s="3"/>
      <c r="LBR34" s="3"/>
      <c r="LBS34" s="3"/>
      <c r="LBT34" s="3"/>
      <c r="LBU34" s="3"/>
      <c r="LBV34" s="3"/>
      <c r="LBW34" s="3"/>
      <c r="LBX34" s="3"/>
      <c r="LBY34" s="3"/>
      <c r="LBZ34" s="3"/>
      <c r="LCA34" s="3"/>
      <c r="LCB34" s="3"/>
      <c r="LCC34" s="3"/>
      <c r="LCD34" s="3"/>
      <c r="LCE34" s="3"/>
      <c r="LCF34" s="3"/>
      <c r="LCG34" s="3"/>
      <c r="LCH34" s="3"/>
      <c r="LCI34" s="3"/>
      <c r="LCJ34" s="3"/>
      <c r="LCK34" s="3"/>
      <c r="LCL34" s="3"/>
      <c r="LCM34" s="3"/>
      <c r="LCN34" s="3"/>
      <c r="LCO34" s="3"/>
      <c r="LCP34" s="3"/>
      <c r="LCQ34" s="3"/>
      <c r="LCR34" s="3"/>
      <c r="LCS34" s="3"/>
      <c r="LCT34" s="3"/>
      <c r="LCU34" s="3"/>
      <c r="LCV34" s="3"/>
      <c r="LCW34" s="3"/>
      <c r="LCX34" s="3"/>
      <c r="LCY34" s="3"/>
      <c r="LCZ34" s="3"/>
      <c r="LDA34" s="3"/>
      <c r="LDB34" s="3"/>
      <c r="LDC34" s="3"/>
      <c r="LDD34" s="3"/>
      <c r="LDE34" s="3"/>
      <c r="LDF34" s="3"/>
      <c r="LDG34" s="3"/>
      <c r="LDH34" s="3"/>
      <c r="LDI34" s="3"/>
      <c r="LDJ34" s="3"/>
      <c r="LDK34" s="3"/>
      <c r="LDL34" s="3"/>
      <c r="LDM34" s="3"/>
      <c r="LDN34" s="3"/>
      <c r="LDO34" s="3"/>
      <c r="LDP34" s="3"/>
      <c r="LDQ34" s="3"/>
      <c r="LDR34" s="3"/>
      <c r="LDS34" s="3"/>
      <c r="LDT34" s="3"/>
      <c r="LDU34" s="3"/>
      <c r="LDV34" s="3"/>
      <c r="LDW34" s="3"/>
      <c r="LDX34" s="3"/>
      <c r="LDY34" s="3"/>
      <c r="LDZ34" s="3"/>
      <c r="LEA34" s="3"/>
      <c r="LEB34" s="3"/>
      <c r="LEC34" s="3"/>
      <c r="LED34" s="3"/>
      <c r="LEE34" s="3"/>
      <c r="LEF34" s="3"/>
      <c r="LEG34" s="3"/>
      <c r="LEH34" s="3"/>
      <c r="LEI34" s="3"/>
      <c r="LEJ34" s="3"/>
      <c r="LEK34" s="3"/>
      <c r="LEL34" s="3"/>
      <c r="LEM34" s="3"/>
      <c r="LEN34" s="3"/>
      <c r="LEO34" s="3"/>
      <c r="LEP34" s="3"/>
      <c r="LEQ34" s="3"/>
      <c r="LER34" s="3"/>
      <c r="LES34" s="3"/>
      <c r="LET34" s="3"/>
      <c r="LEU34" s="3"/>
      <c r="LEV34" s="3"/>
      <c r="LEW34" s="3"/>
      <c r="LEX34" s="3"/>
      <c r="LEY34" s="3"/>
      <c r="LEZ34" s="3"/>
      <c r="LFA34" s="3"/>
      <c r="LFB34" s="3"/>
      <c r="LFC34" s="3"/>
      <c r="LFD34" s="3"/>
      <c r="LFE34" s="3"/>
      <c r="LFF34" s="3"/>
      <c r="LFG34" s="3"/>
      <c r="LFH34" s="3"/>
      <c r="LFI34" s="3"/>
      <c r="LFJ34" s="3"/>
      <c r="LFK34" s="3"/>
      <c r="LFL34" s="3"/>
      <c r="LFM34" s="3"/>
      <c r="LFN34" s="3"/>
      <c r="LFO34" s="3"/>
      <c r="LFP34" s="3"/>
      <c r="LFQ34" s="3"/>
      <c r="LFR34" s="3"/>
      <c r="LFS34" s="3"/>
      <c r="LFT34" s="3"/>
      <c r="LFU34" s="3"/>
      <c r="LFV34" s="3"/>
      <c r="LFW34" s="3"/>
      <c r="LFX34" s="3"/>
      <c r="LFY34" s="3"/>
      <c r="LFZ34" s="3"/>
      <c r="LGA34" s="3"/>
      <c r="LGB34" s="3"/>
      <c r="LGC34" s="3"/>
      <c r="LGD34" s="3"/>
      <c r="LGE34" s="3"/>
      <c r="LGF34" s="3"/>
      <c r="LGG34" s="3"/>
      <c r="LGH34" s="3"/>
      <c r="LGI34" s="3"/>
      <c r="LGJ34" s="3"/>
      <c r="LGK34" s="3"/>
      <c r="LGL34" s="3"/>
      <c r="LGM34" s="3"/>
      <c r="LGN34" s="3"/>
      <c r="LGO34" s="3"/>
      <c r="LGP34" s="3"/>
      <c r="LGQ34" s="3"/>
      <c r="LGR34" s="3"/>
      <c r="LGS34" s="3"/>
      <c r="LGT34" s="3"/>
      <c r="LGU34" s="3"/>
      <c r="LGV34" s="3"/>
      <c r="LGW34" s="3"/>
      <c r="LGX34" s="3"/>
      <c r="LGY34" s="3"/>
      <c r="LGZ34" s="3"/>
      <c r="LHA34" s="3"/>
      <c r="LHB34" s="3"/>
      <c r="LHC34" s="3"/>
      <c r="LHD34" s="3"/>
      <c r="LHE34" s="3"/>
      <c r="LHF34" s="3"/>
      <c r="LHG34" s="3"/>
      <c r="LHH34" s="3"/>
      <c r="LHI34" s="3"/>
      <c r="LHJ34" s="3"/>
      <c r="LHK34" s="3"/>
      <c r="LHL34" s="3"/>
      <c r="LHM34" s="3"/>
      <c r="LHN34" s="3"/>
      <c r="LHO34" s="3"/>
      <c r="LHP34" s="3"/>
      <c r="LHQ34" s="3"/>
      <c r="LHR34" s="3"/>
      <c r="LHS34" s="3"/>
      <c r="LHT34" s="3"/>
      <c r="LHU34" s="3"/>
      <c r="LHV34" s="3"/>
      <c r="LHW34" s="3"/>
      <c r="LHX34" s="3"/>
      <c r="LHY34" s="3"/>
      <c r="LHZ34" s="3"/>
      <c r="LIA34" s="3"/>
      <c r="LIB34" s="3"/>
      <c r="LIC34" s="3"/>
      <c r="LID34" s="3"/>
      <c r="LIE34" s="3"/>
      <c r="LIF34" s="3"/>
      <c r="LIG34" s="3"/>
      <c r="LIH34" s="3"/>
      <c r="LII34" s="3"/>
      <c r="LIJ34" s="3"/>
      <c r="LIK34" s="3"/>
      <c r="LIL34" s="3"/>
      <c r="LIM34" s="3"/>
      <c r="LIN34" s="3"/>
      <c r="LIO34" s="3"/>
      <c r="LIP34" s="3"/>
      <c r="LIQ34" s="3"/>
      <c r="LIR34" s="3"/>
      <c r="LIS34" s="3"/>
      <c r="LIT34" s="3"/>
      <c r="LIU34" s="3"/>
      <c r="LIV34" s="3"/>
      <c r="LIW34" s="3"/>
      <c r="LIX34" s="3"/>
      <c r="LIY34" s="3"/>
      <c r="LIZ34" s="3"/>
      <c r="LJA34" s="3"/>
      <c r="LJB34" s="3"/>
      <c r="LJC34" s="3"/>
      <c r="LJD34" s="3"/>
      <c r="LJE34" s="3"/>
      <c r="LJF34" s="3"/>
      <c r="LJG34" s="3"/>
      <c r="LJH34" s="3"/>
      <c r="LJI34" s="3"/>
      <c r="LJJ34" s="3"/>
      <c r="LJK34" s="3"/>
      <c r="LJL34" s="3"/>
      <c r="LJM34" s="3"/>
      <c r="LJN34" s="3"/>
      <c r="LJO34" s="3"/>
      <c r="LJP34" s="3"/>
      <c r="LJQ34" s="3"/>
      <c r="LJR34" s="3"/>
      <c r="LJS34" s="3"/>
      <c r="LJT34" s="3"/>
      <c r="LJU34" s="3"/>
      <c r="LJV34" s="3"/>
      <c r="LJW34" s="3"/>
      <c r="LJX34" s="3"/>
      <c r="LJY34" s="3"/>
      <c r="LJZ34" s="3"/>
      <c r="LKA34" s="3"/>
      <c r="LKB34" s="3"/>
      <c r="LKC34" s="3"/>
      <c r="LKD34" s="3"/>
      <c r="LKE34" s="3"/>
      <c r="LKF34" s="3"/>
      <c r="LKG34" s="3"/>
      <c r="LKH34" s="3"/>
      <c r="LKI34" s="3"/>
      <c r="LKJ34" s="3"/>
      <c r="LKK34" s="3"/>
      <c r="LKL34" s="3"/>
      <c r="LKM34" s="3"/>
      <c r="LKN34" s="3"/>
      <c r="LKO34" s="3"/>
      <c r="LKP34" s="3"/>
      <c r="LKQ34" s="3"/>
      <c r="LKR34" s="3"/>
      <c r="LKS34" s="3"/>
      <c r="LKT34" s="3"/>
      <c r="LKU34" s="3"/>
      <c r="LKV34" s="3"/>
      <c r="LKW34" s="3"/>
      <c r="LKX34" s="3"/>
      <c r="LKY34" s="3"/>
      <c r="LKZ34" s="3"/>
      <c r="LLA34" s="3"/>
      <c r="LLB34" s="3"/>
      <c r="LLC34" s="3"/>
      <c r="LLD34" s="3"/>
      <c r="LLE34" s="3"/>
      <c r="LLF34" s="3"/>
      <c r="LLG34" s="3"/>
      <c r="LLH34" s="3"/>
      <c r="LLI34" s="3"/>
      <c r="LLJ34" s="3"/>
      <c r="LLK34" s="3"/>
      <c r="LLL34" s="3"/>
      <c r="LLM34" s="3"/>
      <c r="LLN34" s="3"/>
      <c r="LLO34" s="3"/>
      <c r="LLP34" s="3"/>
      <c r="LLQ34" s="3"/>
      <c r="LLR34" s="3"/>
      <c r="LLS34" s="3"/>
      <c r="LLT34" s="3"/>
      <c r="LLU34" s="3"/>
      <c r="LLV34" s="3"/>
      <c r="LLW34" s="3"/>
      <c r="LLX34" s="3"/>
      <c r="LLY34" s="3"/>
      <c r="LLZ34" s="3"/>
      <c r="LMA34" s="3"/>
      <c r="LMB34" s="3"/>
      <c r="LMC34" s="3"/>
      <c r="LMD34" s="3"/>
      <c r="LME34" s="3"/>
      <c r="LMF34" s="3"/>
      <c r="LMG34" s="3"/>
      <c r="LMH34" s="3"/>
      <c r="LMI34" s="3"/>
      <c r="LMJ34" s="3"/>
      <c r="LMK34" s="3"/>
      <c r="LML34" s="3"/>
      <c r="LMM34" s="3"/>
      <c r="LMN34" s="3"/>
      <c r="LMO34" s="3"/>
      <c r="LMP34" s="3"/>
      <c r="LMQ34" s="3"/>
      <c r="LMR34" s="3"/>
      <c r="LMS34" s="3"/>
      <c r="LMT34" s="3"/>
      <c r="LMU34" s="3"/>
      <c r="LMV34" s="3"/>
      <c r="LMW34" s="3"/>
      <c r="LMX34" s="3"/>
      <c r="LMY34" s="3"/>
      <c r="LMZ34" s="3"/>
      <c r="LNA34" s="3"/>
      <c r="LNB34" s="3"/>
      <c r="LNC34" s="3"/>
      <c r="LND34" s="3"/>
      <c r="LNE34" s="3"/>
      <c r="LNF34" s="3"/>
      <c r="LNG34" s="3"/>
      <c r="LNH34" s="3"/>
      <c r="LNI34" s="3"/>
      <c r="LNJ34" s="3"/>
      <c r="LNK34" s="3"/>
      <c r="LNL34" s="3"/>
      <c r="LNM34" s="3"/>
      <c r="LNN34" s="3"/>
      <c r="LNO34" s="3"/>
      <c r="LNP34" s="3"/>
      <c r="LNQ34" s="3"/>
      <c r="LNR34" s="3"/>
      <c r="LNS34" s="3"/>
      <c r="LNT34" s="3"/>
      <c r="LNU34" s="3"/>
      <c r="LNV34" s="3"/>
      <c r="LNW34" s="3"/>
      <c r="LNX34" s="3"/>
      <c r="LNY34" s="3"/>
      <c r="LNZ34" s="3"/>
      <c r="LOA34" s="3"/>
      <c r="LOB34" s="3"/>
      <c r="LOC34" s="3"/>
      <c r="LOD34" s="3"/>
      <c r="LOE34" s="3"/>
      <c r="LOF34" s="3"/>
      <c r="LOG34" s="3"/>
      <c r="LOH34" s="3"/>
      <c r="LOI34" s="3"/>
      <c r="LOJ34" s="3"/>
      <c r="LOK34" s="3"/>
      <c r="LOL34" s="3"/>
      <c r="LOM34" s="3"/>
      <c r="LON34" s="3"/>
      <c r="LOO34" s="3"/>
      <c r="LOP34" s="3"/>
      <c r="LOQ34" s="3"/>
      <c r="LOR34" s="3"/>
      <c r="LOS34" s="3"/>
      <c r="LOT34" s="3"/>
      <c r="LOU34" s="3"/>
      <c r="LOV34" s="3"/>
      <c r="LOW34" s="3"/>
      <c r="LOX34" s="3"/>
      <c r="LOY34" s="3"/>
      <c r="LOZ34" s="3"/>
      <c r="LPA34" s="3"/>
      <c r="LPB34" s="3"/>
      <c r="LPC34" s="3"/>
      <c r="LPD34" s="3"/>
      <c r="LPE34" s="3"/>
      <c r="LPF34" s="3"/>
      <c r="LPG34" s="3"/>
      <c r="LPH34" s="3"/>
      <c r="LPI34" s="3"/>
      <c r="LPJ34" s="3"/>
      <c r="LPK34" s="3"/>
      <c r="LPL34" s="3"/>
      <c r="LPM34" s="3"/>
      <c r="LPN34" s="3"/>
      <c r="LPO34" s="3"/>
      <c r="LPP34" s="3"/>
      <c r="LPQ34" s="3"/>
      <c r="LPR34" s="3"/>
      <c r="LPS34" s="3"/>
      <c r="LPT34" s="3"/>
      <c r="LPU34" s="3"/>
      <c r="LPV34" s="3"/>
      <c r="LPW34" s="3"/>
      <c r="LPX34" s="3"/>
      <c r="LPY34" s="3"/>
      <c r="LPZ34" s="3"/>
      <c r="LQA34" s="3"/>
      <c r="LQB34" s="3"/>
      <c r="LQC34" s="3"/>
      <c r="LQD34" s="3"/>
      <c r="LQE34" s="3"/>
      <c r="LQF34" s="3"/>
      <c r="LQG34" s="3"/>
      <c r="LQH34" s="3"/>
      <c r="LQI34" s="3"/>
      <c r="LQJ34" s="3"/>
      <c r="LQK34" s="3"/>
      <c r="LQL34" s="3"/>
      <c r="LQM34" s="3"/>
      <c r="LQN34" s="3"/>
      <c r="LQO34" s="3"/>
      <c r="LQP34" s="3"/>
      <c r="LQQ34" s="3"/>
      <c r="LQR34" s="3"/>
      <c r="LQS34" s="3"/>
      <c r="LQT34" s="3"/>
      <c r="LQU34" s="3"/>
      <c r="LQV34" s="3"/>
      <c r="LQW34" s="3"/>
      <c r="LQX34" s="3"/>
      <c r="LQY34" s="3"/>
      <c r="LQZ34" s="3"/>
      <c r="LRA34" s="3"/>
      <c r="LRB34" s="3"/>
      <c r="LRC34" s="3"/>
      <c r="LRD34" s="3"/>
      <c r="LRE34" s="3"/>
      <c r="LRF34" s="3"/>
      <c r="LRG34" s="3"/>
      <c r="LRH34" s="3"/>
      <c r="LRI34" s="3"/>
      <c r="LRJ34" s="3"/>
      <c r="LRK34" s="3"/>
      <c r="LRL34" s="3"/>
      <c r="LRM34" s="3"/>
      <c r="LRN34" s="3"/>
      <c r="LRO34" s="3"/>
      <c r="LRP34" s="3"/>
      <c r="LRQ34" s="3"/>
      <c r="LRR34" s="3"/>
      <c r="LRS34" s="3"/>
      <c r="LRT34" s="3"/>
      <c r="LRU34" s="3"/>
      <c r="LRV34" s="3"/>
      <c r="LRW34" s="3"/>
      <c r="LRX34" s="3"/>
      <c r="LRY34" s="3"/>
      <c r="LRZ34" s="3"/>
      <c r="LSA34" s="3"/>
      <c r="LSB34" s="3"/>
      <c r="LSC34" s="3"/>
      <c r="LSD34" s="3"/>
      <c r="LSE34" s="3"/>
      <c r="LSF34" s="3"/>
      <c r="LSG34" s="3"/>
      <c r="LSH34" s="3"/>
      <c r="LSI34" s="3"/>
      <c r="LSJ34" s="3"/>
      <c r="LSK34" s="3"/>
      <c r="LSL34" s="3"/>
      <c r="LSM34" s="3"/>
      <c r="LSN34" s="3"/>
      <c r="LSO34" s="3"/>
      <c r="LSP34" s="3"/>
      <c r="LSQ34" s="3"/>
      <c r="LSR34" s="3"/>
      <c r="LSS34" s="3"/>
      <c r="LST34" s="3"/>
      <c r="LSU34" s="3"/>
      <c r="LSV34" s="3"/>
      <c r="LSW34" s="3"/>
      <c r="LSX34" s="3"/>
      <c r="LSY34" s="3"/>
      <c r="LSZ34" s="3"/>
      <c r="LTA34" s="3"/>
      <c r="LTB34" s="3"/>
      <c r="LTC34" s="3"/>
      <c r="LTD34" s="3"/>
      <c r="LTE34" s="3"/>
      <c r="LTF34" s="3"/>
      <c r="LTG34" s="3"/>
      <c r="LTH34" s="3"/>
      <c r="LTI34" s="3"/>
      <c r="LTJ34" s="3"/>
      <c r="LTK34" s="3"/>
      <c r="LTL34" s="3"/>
      <c r="LTM34" s="3"/>
      <c r="LTN34" s="3"/>
      <c r="LTO34" s="3"/>
      <c r="LTP34" s="3"/>
      <c r="LTQ34" s="3"/>
      <c r="LTR34" s="3"/>
      <c r="LTS34" s="3"/>
      <c r="LTT34" s="3"/>
      <c r="LTU34" s="3"/>
      <c r="LTV34" s="3"/>
      <c r="LTW34" s="3"/>
      <c r="LTX34" s="3"/>
      <c r="LTY34" s="3"/>
      <c r="LTZ34" s="3"/>
      <c r="LUA34" s="3"/>
      <c r="LUB34" s="3"/>
      <c r="LUC34" s="3"/>
      <c r="LUD34" s="3"/>
      <c r="LUE34" s="3"/>
      <c r="LUF34" s="3"/>
      <c r="LUG34" s="3"/>
      <c r="LUH34" s="3"/>
      <c r="LUI34" s="3"/>
      <c r="LUJ34" s="3"/>
      <c r="LUK34" s="3"/>
      <c r="LUL34" s="3"/>
      <c r="LUM34" s="3"/>
      <c r="LUN34" s="3"/>
      <c r="LUO34" s="3"/>
      <c r="LUP34" s="3"/>
      <c r="LUQ34" s="3"/>
      <c r="LUR34" s="3"/>
      <c r="LUS34" s="3"/>
      <c r="LUT34" s="3"/>
      <c r="LUU34" s="3"/>
      <c r="LUV34" s="3"/>
      <c r="LUW34" s="3"/>
      <c r="LUX34" s="3"/>
      <c r="LUY34" s="3"/>
      <c r="LUZ34" s="3"/>
      <c r="LVA34" s="3"/>
      <c r="LVB34" s="3"/>
      <c r="LVC34" s="3"/>
      <c r="LVD34" s="3"/>
      <c r="LVE34" s="3"/>
      <c r="LVF34" s="3"/>
      <c r="LVG34" s="3"/>
      <c r="LVH34" s="3"/>
      <c r="LVI34" s="3"/>
      <c r="LVJ34" s="3"/>
      <c r="LVK34" s="3"/>
      <c r="LVL34" s="3"/>
      <c r="LVM34" s="3"/>
      <c r="LVN34" s="3"/>
      <c r="LVO34" s="3"/>
      <c r="LVP34" s="3"/>
      <c r="LVQ34" s="3"/>
      <c r="LVR34" s="3"/>
      <c r="LVS34" s="3"/>
      <c r="LVT34" s="3"/>
      <c r="LVU34" s="3"/>
      <c r="LVV34" s="3"/>
      <c r="LVW34" s="3"/>
      <c r="LVX34" s="3"/>
      <c r="LVY34" s="3"/>
      <c r="LVZ34" s="3"/>
      <c r="LWA34" s="3"/>
      <c r="LWB34" s="3"/>
      <c r="LWC34" s="3"/>
      <c r="LWD34" s="3"/>
      <c r="LWE34" s="3"/>
      <c r="LWF34" s="3"/>
      <c r="LWG34" s="3"/>
      <c r="LWH34" s="3"/>
      <c r="LWI34" s="3"/>
      <c r="LWJ34" s="3"/>
      <c r="LWK34" s="3"/>
      <c r="LWL34" s="3"/>
      <c r="LWM34" s="3"/>
      <c r="LWN34" s="3"/>
      <c r="LWO34" s="3"/>
      <c r="LWP34" s="3"/>
      <c r="LWQ34" s="3"/>
      <c r="LWR34" s="3"/>
      <c r="LWS34" s="3"/>
      <c r="LWT34" s="3"/>
      <c r="LWU34" s="3"/>
      <c r="LWV34" s="3"/>
      <c r="LWW34" s="3"/>
      <c r="LWX34" s="3"/>
      <c r="LWY34" s="3"/>
      <c r="LWZ34" s="3"/>
      <c r="LXA34" s="3"/>
      <c r="LXB34" s="3"/>
      <c r="LXC34" s="3"/>
      <c r="LXD34" s="3"/>
      <c r="LXE34" s="3"/>
      <c r="LXF34" s="3"/>
      <c r="LXG34" s="3"/>
      <c r="LXH34" s="3"/>
      <c r="LXI34" s="3"/>
      <c r="LXJ34" s="3"/>
      <c r="LXK34" s="3"/>
      <c r="LXL34" s="3"/>
      <c r="LXM34" s="3"/>
      <c r="LXN34" s="3"/>
      <c r="LXO34" s="3"/>
      <c r="LXP34" s="3"/>
      <c r="LXQ34" s="3"/>
      <c r="LXR34" s="3"/>
      <c r="LXS34" s="3"/>
      <c r="LXT34" s="3"/>
      <c r="LXU34" s="3"/>
      <c r="LXV34" s="3"/>
      <c r="LXW34" s="3"/>
      <c r="LXX34" s="3"/>
      <c r="LXY34" s="3"/>
      <c r="LXZ34" s="3"/>
      <c r="LYA34" s="3"/>
      <c r="LYB34" s="3"/>
      <c r="LYC34" s="3"/>
      <c r="LYD34" s="3"/>
      <c r="LYE34" s="3"/>
      <c r="LYF34" s="3"/>
      <c r="LYG34" s="3"/>
      <c r="LYH34" s="3"/>
      <c r="LYI34" s="3"/>
      <c r="LYJ34" s="3"/>
      <c r="LYK34" s="3"/>
      <c r="LYL34" s="3"/>
      <c r="LYM34" s="3"/>
      <c r="LYN34" s="3"/>
      <c r="LYO34" s="3"/>
      <c r="LYP34" s="3"/>
      <c r="LYQ34" s="3"/>
      <c r="LYR34" s="3"/>
      <c r="LYS34" s="3"/>
      <c r="LYT34" s="3"/>
      <c r="LYU34" s="3"/>
      <c r="LYV34" s="3"/>
      <c r="LYW34" s="3"/>
      <c r="LYX34" s="3"/>
      <c r="LYY34" s="3"/>
      <c r="LYZ34" s="3"/>
      <c r="LZA34" s="3"/>
      <c r="LZB34" s="3"/>
      <c r="LZC34" s="3"/>
      <c r="LZD34" s="3"/>
      <c r="LZE34" s="3"/>
      <c r="LZF34" s="3"/>
      <c r="LZG34" s="3"/>
      <c r="LZH34" s="3"/>
      <c r="LZI34" s="3"/>
      <c r="LZJ34" s="3"/>
      <c r="LZK34" s="3"/>
      <c r="LZL34" s="3"/>
      <c r="LZM34" s="3"/>
      <c r="LZN34" s="3"/>
      <c r="LZO34" s="3"/>
      <c r="LZP34" s="3"/>
      <c r="LZQ34" s="3"/>
      <c r="LZR34" s="3"/>
      <c r="LZS34" s="3"/>
      <c r="LZT34" s="3"/>
      <c r="LZU34" s="3"/>
      <c r="LZV34" s="3"/>
      <c r="LZW34" s="3"/>
      <c r="LZX34" s="3"/>
      <c r="LZY34" s="3"/>
      <c r="LZZ34" s="3"/>
      <c r="MAA34" s="3"/>
      <c r="MAB34" s="3"/>
      <c r="MAC34" s="3"/>
      <c r="MAD34" s="3"/>
      <c r="MAE34" s="3"/>
      <c r="MAF34" s="3"/>
      <c r="MAG34" s="3"/>
      <c r="MAH34" s="3"/>
      <c r="MAI34" s="3"/>
      <c r="MAJ34" s="3"/>
      <c r="MAK34" s="3"/>
      <c r="MAL34" s="3"/>
      <c r="MAM34" s="3"/>
      <c r="MAN34" s="3"/>
      <c r="MAO34" s="3"/>
      <c r="MAP34" s="3"/>
      <c r="MAQ34" s="3"/>
      <c r="MAR34" s="3"/>
      <c r="MAS34" s="3"/>
      <c r="MAT34" s="3"/>
      <c r="MAU34" s="3"/>
      <c r="MAV34" s="3"/>
      <c r="MAW34" s="3"/>
      <c r="MAX34" s="3"/>
      <c r="MAY34" s="3"/>
      <c r="MAZ34" s="3"/>
      <c r="MBA34" s="3"/>
      <c r="MBB34" s="3"/>
      <c r="MBC34" s="3"/>
      <c r="MBD34" s="3"/>
      <c r="MBE34" s="3"/>
      <c r="MBF34" s="3"/>
      <c r="MBG34" s="3"/>
      <c r="MBH34" s="3"/>
      <c r="MBI34" s="3"/>
      <c r="MBJ34" s="3"/>
      <c r="MBK34" s="3"/>
      <c r="MBL34" s="3"/>
      <c r="MBM34" s="3"/>
      <c r="MBN34" s="3"/>
      <c r="MBO34" s="3"/>
      <c r="MBP34" s="3"/>
      <c r="MBQ34" s="3"/>
      <c r="MBR34" s="3"/>
      <c r="MBS34" s="3"/>
      <c r="MBT34" s="3"/>
      <c r="MBU34" s="3"/>
      <c r="MBV34" s="3"/>
      <c r="MBW34" s="3"/>
      <c r="MBX34" s="3"/>
      <c r="MBY34" s="3"/>
      <c r="MBZ34" s="3"/>
      <c r="MCA34" s="3"/>
      <c r="MCB34" s="3"/>
      <c r="MCC34" s="3"/>
      <c r="MCD34" s="3"/>
      <c r="MCE34" s="3"/>
      <c r="MCF34" s="3"/>
      <c r="MCG34" s="3"/>
      <c r="MCH34" s="3"/>
      <c r="MCI34" s="3"/>
      <c r="MCJ34" s="3"/>
      <c r="MCK34" s="3"/>
      <c r="MCL34" s="3"/>
      <c r="MCM34" s="3"/>
      <c r="MCN34" s="3"/>
      <c r="MCO34" s="3"/>
      <c r="MCP34" s="3"/>
      <c r="MCQ34" s="3"/>
      <c r="MCR34" s="3"/>
      <c r="MCS34" s="3"/>
      <c r="MCT34" s="3"/>
      <c r="MCU34" s="3"/>
      <c r="MCV34" s="3"/>
      <c r="MCW34" s="3"/>
      <c r="MCX34" s="3"/>
      <c r="MCY34" s="3"/>
      <c r="MCZ34" s="3"/>
      <c r="MDA34" s="3"/>
      <c r="MDB34" s="3"/>
      <c r="MDC34" s="3"/>
      <c r="MDD34" s="3"/>
      <c r="MDE34" s="3"/>
      <c r="MDF34" s="3"/>
      <c r="MDG34" s="3"/>
      <c r="MDH34" s="3"/>
      <c r="MDI34" s="3"/>
      <c r="MDJ34" s="3"/>
      <c r="MDK34" s="3"/>
      <c r="MDL34" s="3"/>
      <c r="MDM34" s="3"/>
      <c r="MDN34" s="3"/>
      <c r="MDO34" s="3"/>
      <c r="MDP34" s="3"/>
      <c r="MDQ34" s="3"/>
      <c r="MDR34" s="3"/>
      <c r="MDS34" s="3"/>
      <c r="MDT34" s="3"/>
      <c r="MDU34" s="3"/>
      <c r="MDV34" s="3"/>
      <c r="MDW34" s="3"/>
      <c r="MDX34" s="3"/>
      <c r="MDY34" s="3"/>
      <c r="MDZ34" s="3"/>
      <c r="MEA34" s="3"/>
      <c r="MEB34" s="3"/>
      <c r="MEC34" s="3"/>
      <c r="MED34" s="3"/>
      <c r="MEE34" s="3"/>
      <c r="MEF34" s="3"/>
      <c r="MEG34" s="3"/>
      <c r="MEH34" s="3"/>
      <c r="MEI34" s="3"/>
      <c r="MEJ34" s="3"/>
      <c r="MEK34" s="3"/>
      <c r="MEL34" s="3"/>
      <c r="MEM34" s="3"/>
      <c r="MEN34" s="3"/>
      <c r="MEO34" s="3"/>
      <c r="MEP34" s="3"/>
      <c r="MEQ34" s="3"/>
      <c r="MER34" s="3"/>
      <c r="MES34" s="3"/>
      <c r="MET34" s="3"/>
      <c r="MEU34" s="3"/>
      <c r="MEV34" s="3"/>
      <c r="MEW34" s="3"/>
      <c r="MEX34" s="3"/>
      <c r="MEY34" s="3"/>
      <c r="MEZ34" s="3"/>
      <c r="MFA34" s="3"/>
      <c r="MFB34" s="3"/>
      <c r="MFC34" s="3"/>
      <c r="MFD34" s="3"/>
      <c r="MFE34" s="3"/>
      <c r="MFF34" s="3"/>
      <c r="MFG34" s="3"/>
      <c r="MFH34" s="3"/>
      <c r="MFI34" s="3"/>
      <c r="MFJ34" s="3"/>
      <c r="MFK34" s="3"/>
      <c r="MFL34" s="3"/>
      <c r="MFM34" s="3"/>
      <c r="MFN34" s="3"/>
      <c r="MFO34" s="3"/>
      <c r="MFP34" s="3"/>
      <c r="MFQ34" s="3"/>
      <c r="MFR34" s="3"/>
      <c r="MFS34" s="3"/>
      <c r="MFT34" s="3"/>
      <c r="MFU34" s="3"/>
      <c r="MFV34" s="3"/>
      <c r="MFW34" s="3"/>
      <c r="MFX34" s="3"/>
      <c r="MFY34" s="3"/>
      <c r="MFZ34" s="3"/>
      <c r="MGA34" s="3"/>
      <c r="MGB34" s="3"/>
      <c r="MGC34" s="3"/>
      <c r="MGD34" s="3"/>
      <c r="MGE34" s="3"/>
      <c r="MGF34" s="3"/>
      <c r="MGG34" s="3"/>
      <c r="MGH34" s="3"/>
      <c r="MGI34" s="3"/>
      <c r="MGJ34" s="3"/>
      <c r="MGK34" s="3"/>
      <c r="MGL34" s="3"/>
      <c r="MGM34" s="3"/>
      <c r="MGN34" s="3"/>
      <c r="MGO34" s="3"/>
      <c r="MGP34" s="3"/>
      <c r="MGQ34" s="3"/>
      <c r="MGR34" s="3"/>
      <c r="MGS34" s="3"/>
      <c r="MGT34" s="3"/>
      <c r="MGU34" s="3"/>
      <c r="MGV34" s="3"/>
      <c r="MGW34" s="3"/>
      <c r="MGX34" s="3"/>
      <c r="MGY34" s="3"/>
      <c r="MGZ34" s="3"/>
      <c r="MHA34" s="3"/>
      <c r="MHB34" s="3"/>
      <c r="MHC34" s="3"/>
      <c r="MHD34" s="3"/>
      <c r="MHE34" s="3"/>
      <c r="MHF34" s="3"/>
      <c r="MHG34" s="3"/>
      <c r="MHH34" s="3"/>
      <c r="MHI34" s="3"/>
      <c r="MHJ34" s="3"/>
      <c r="MHK34" s="3"/>
      <c r="MHL34" s="3"/>
      <c r="MHM34" s="3"/>
      <c r="MHN34" s="3"/>
      <c r="MHO34" s="3"/>
      <c r="MHP34" s="3"/>
      <c r="MHQ34" s="3"/>
      <c r="MHR34" s="3"/>
      <c r="MHS34" s="3"/>
      <c r="MHT34" s="3"/>
      <c r="MHU34" s="3"/>
      <c r="MHV34" s="3"/>
      <c r="MHW34" s="3"/>
      <c r="MHX34" s="3"/>
      <c r="MHY34" s="3"/>
      <c r="MHZ34" s="3"/>
      <c r="MIA34" s="3"/>
      <c r="MIB34" s="3"/>
      <c r="MIC34" s="3"/>
      <c r="MID34" s="3"/>
      <c r="MIE34" s="3"/>
      <c r="MIF34" s="3"/>
      <c r="MIG34" s="3"/>
      <c r="MIH34" s="3"/>
      <c r="MII34" s="3"/>
      <c r="MIJ34" s="3"/>
      <c r="MIK34" s="3"/>
      <c r="MIL34" s="3"/>
      <c r="MIM34" s="3"/>
      <c r="MIN34" s="3"/>
      <c r="MIO34" s="3"/>
      <c r="MIP34" s="3"/>
      <c r="MIQ34" s="3"/>
      <c r="MIR34" s="3"/>
      <c r="MIS34" s="3"/>
      <c r="MIT34" s="3"/>
      <c r="MIU34" s="3"/>
      <c r="MIV34" s="3"/>
      <c r="MIW34" s="3"/>
      <c r="MIX34" s="3"/>
      <c r="MIY34" s="3"/>
      <c r="MIZ34" s="3"/>
      <c r="MJA34" s="3"/>
      <c r="MJB34" s="3"/>
      <c r="MJC34" s="3"/>
      <c r="MJD34" s="3"/>
      <c r="MJE34" s="3"/>
      <c r="MJF34" s="3"/>
      <c r="MJG34" s="3"/>
      <c r="MJH34" s="3"/>
      <c r="MJI34" s="3"/>
      <c r="MJJ34" s="3"/>
      <c r="MJK34" s="3"/>
      <c r="MJL34" s="3"/>
      <c r="MJM34" s="3"/>
      <c r="MJN34" s="3"/>
      <c r="MJO34" s="3"/>
      <c r="MJP34" s="3"/>
      <c r="MJQ34" s="3"/>
      <c r="MJR34" s="3"/>
      <c r="MJS34" s="3"/>
      <c r="MJT34" s="3"/>
      <c r="MJU34" s="3"/>
      <c r="MJV34" s="3"/>
      <c r="MJW34" s="3"/>
      <c r="MJX34" s="3"/>
      <c r="MJY34" s="3"/>
      <c r="MJZ34" s="3"/>
      <c r="MKA34" s="3"/>
      <c r="MKB34" s="3"/>
      <c r="MKC34" s="3"/>
      <c r="MKD34" s="3"/>
      <c r="MKE34" s="3"/>
      <c r="MKF34" s="3"/>
      <c r="MKG34" s="3"/>
      <c r="MKH34" s="3"/>
      <c r="MKI34" s="3"/>
      <c r="MKJ34" s="3"/>
      <c r="MKK34" s="3"/>
      <c r="MKL34" s="3"/>
      <c r="MKM34" s="3"/>
      <c r="MKN34" s="3"/>
      <c r="MKO34" s="3"/>
      <c r="MKP34" s="3"/>
      <c r="MKQ34" s="3"/>
      <c r="MKR34" s="3"/>
      <c r="MKS34" s="3"/>
      <c r="MKT34" s="3"/>
      <c r="MKU34" s="3"/>
      <c r="MKV34" s="3"/>
      <c r="MKW34" s="3"/>
      <c r="MKX34" s="3"/>
      <c r="MKY34" s="3"/>
      <c r="MKZ34" s="3"/>
      <c r="MLA34" s="3"/>
      <c r="MLB34" s="3"/>
      <c r="MLC34" s="3"/>
      <c r="MLD34" s="3"/>
      <c r="MLE34" s="3"/>
      <c r="MLF34" s="3"/>
      <c r="MLG34" s="3"/>
      <c r="MLH34" s="3"/>
      <c r="MLI34" s="3"/>
      <c r="MLJ34" s="3"/>
      <c r="MLK34" s="3"/>
      <c r="MLL34" s="3"/>
      <c r="MLM34" s="3"/>
      <c r="MLN34" s="3"/>
      <c r="MLO34" s="3"/>
      <c r="MLP34" s="3"/>
      <c r="MLQ34" s="3"/>
      <c r="MLR34" s="3"/>
      <c r="MLS34" s="3"/>
      <c r="MLT34" s="3"/>
      <c r="MLU34" s="3"/>
      <c r="MLV34" s="3"/>
      <c r="MLW34" s="3"/>
      <c r="MLX34" s="3"/>
      <c r="MLY34" s="3"/>
      <c r="MLZ34" s="3"/>
      <c r="MMA34" s="3"/>
      <c r="MMB34" s="3"/>
      <c r="MMC34" s="3"/>
      <c r="MMD34" s="3"/>
      <c r="MME34" s="3"/>
      <c r="MMF34" s="3"/>
      <c r="MMG34" s="3"/>
      <c r="MMH34" s="3"/>
      <c r="MMI34" s="3"/>
      <c r="MMJ34" s="3"/>
      <c r="MMK34" s="3"/>
      <c r="MML34" s="3"/>
      <c r="MMM34" s="3"/>
      <c r="MMN34" s="3"/>
      <c r="MMO34" s="3"/>
      <c r="MMP34" s="3"/>
      <c r="MMQ34" s="3"/>
      <c r="MMR34" s="3"/>
      <c r="MMS34" s="3"/>
      <c r="MMT34" s="3"/>
      <c r="MMU34" s="3"/>
      <c r="MMV34" s="3"/>
      <c r="MMW34" s="3"/>
      <c r="MMX34" s="3"/>
      <c r="MMY34" s="3"/>
      <c r="MMZ34" s="3"/>
      <c r="MNA34" s="3"/>
      <c r="MNB34" s="3"/>
      <c r="MNC34" s="3"/>
      <c r="MND34" s="3"/>
      <c r="MNE34" s="3"/>
      <c r="MNF34" s="3"/>
      <c r="MNG34" s="3"/>
      <c r="MNH34" s="3"/>
      <c r="MNI34" s="3"/>
      <c r="MNJ34" s="3"/>
      <c r="MNK34" s="3"/>
      <c r="MNL34" s="3"/>
      <c r="MNM34" s="3"/>
      <c r="MNN34" s="3"/>
      <c r="MNO34" s="3"/>
      <c r="MNP34" s="3"/>
      <c r="MNQ34" s="3"/>
      <c r="MNR34" s="3"/>
      <c r="MNS34" s="3"/>
      <c r="MNT34" s="3"/>
      <c r="MNU34" s="3"/>
      <c r="MNV34" s="3"/>
      <c r="MNW34" s="3"/>
      <c r="MNX34" s="3"/>
      <c r="MNY34" s="3"/>
      <c r="MNZ34" s="3"/>
      <c r="MOA34" s="3"/>
      <c r="MOB34" s="3"/>
      <c r="MOC34" s="3"/>
      <c r="MOD34" s="3"/>
      <c r="MOE34" s="3"/>
      <c r="MOF34" s="3"/>
      <c r="MOG34" s="3"/>
      <c r="MOH34" s="3"/>
      <c r="MOI34" s="3"/>
      <c r="MOJ34" s="3"/>
      <c r="MOK34" s="3"/>
      <c r="MOL34" s="3"/>
      <c r="MOM34" s="3"/>
      <c r="MON34" s="3"/>
      <c r="MOO34" s="3"/>
      <c r="MOP34" s="3"/>
      <c r="MOQ34" s="3"/>
      <c r="MOR34" s="3"/>
      <c r="MOS34" s="3"/>
      <c r="MOT34" s="3"/>
      <c r="MOU34" s="3"/>
      <c r="MOV34" s="3"/>
      <c r="MOW34" s="3"/>
      <c r="MOX34" s="3"/>
      <c r="MOY34" s="3"/>
      <c r="MOZ34" s="3"/>
      <c r="MPA34" s="3"/>
      <c r="MPB34" s="3"/>
      <c r="MPC34" s="3"/>
      <c r="MPD34" s="3"/>
      <c r="MPE34" s="3"/>
      <c r="MPF34" s="3"/>
      <c r="MPG34" s="3"/>
      <c r="MPH34" s="3"/>
      <c r="MPI34" s="3"/>
      <c r="MPJ34" s="3"/>
      <c r="MPK34" s="3"/>
      <c r="MPL34" s="3"/>
      <c r="MPM34" s="3"/>
      <c r="MPN34" s="3"/>
      <c r="MPO34" s="3"/>
      <c r="MPP34" s="3"/>
      <c r="MPQ34" s="3"/>
      <c r="MPR34" s="3"/>
      <c r="MPS34" s="3"/>
      <c r="MPT34" s="3"/>
      <c r="MPU34" s="3"/>
      <c r="MPV34" s="3"/>
      <c r="MPW34" s="3"/>
      <c r="MPX34" s="3"/>
      <c r="MPY34" s="3"/>
      <c r="MPZ34" s="3"/>
      <c r="MQA34" s="3"/>
      <c r="MQB34" s="3"/>
      <c r="MQC34" s="3"/>
      <c r="MQD34" s="3"/>
      <c r="MQE34" s="3"/>
      <c r="MQF34" s="3"/>
      <c r="MQG34" s="3"/>
      <c r="MQH34" s="3"/>
      <c r="MQI34" s="3"/>
      <c r="MQJ34" s="3"/>
      <c r="MQK34" s="3"/>
      <c r="MQL34" s="3"/>
      <c r="MQM34" s="3"/>
      <c r="MQN34" s="3"/>
      <c r="MQO34" s="3"/>
      <c r="MQP34" s="3"/>
      <c r="MQQ34" s="3"/>
      <c r="MQR34" s="3"/>
      <c r="MQS34" s="3"/>
      <c r="MQT34" s="3"/>
      <c r="MQU34" s="3"/>
      <c r="MQV34" s="3"/>
      <c r="MQW34" s="3"/>
      <c r="MQX34" s="3"/>
      <c r="MQY34" s="3"/>
      <c r="MQZ34" s="3"/>
      <c r="MRA34" s="3"/>
      <c r="MRB34" s="3"/>
      <c r="MRC34" s="3"/>
      <c r="MRD34" s="3"/>
      <c r="MRE34" s="3"/>
      <c r="MRF34" s="3"/>
      <c r="MRG34" s="3"/>
      <c r="MRH34" s="3"/>
      <c r="MRI34" s="3"/>
      <c r="MRJ34" s="3"/>
      <c r="MRK34" s="3"/>
      <c r="MRL34" s="3"/>
      <c r="MRM34" s="3"/>
      <c r="MRN34" s="3"/>
      <c r="MRO34" s="3"/>
      <c r="MRP34" s="3"/>
      <c r="MRQ34" s="3"/>
      <c r="MRR34" s="3"/>
      <c r="MRS34" s="3"/>
      <c r="MRT34" s="3"/>
      <c r="MRU34" s="3"/>
      <c r="MRV34" s="3"/>
      <c r="MRW34" s="3"/>
      <c r="MRX34" s="3"/>
      <c r="MRY34" s="3"/>
      <c r="MRZ34" s="3"/>
      <c r="MSA34" s="3"/>
      <c r="MSB34" s="3"/>
      <c r="MSC34" s="3"/>
      <c r="MSD34" s="3"/>
      <c r="MSE34" s="3"/>
      <c r="MSF34" s="3"/>
      <c r="MSG34" s="3"/>
      <c r="MSH34" s="3"/>
      <c r="MSI34" s="3"/>
      <c r="MSJ34" s="3"/>
      <c r="MSK34" s="3"/>
      <c r="MSL34" s="3"/>
      <c r="MSM34" s="3"/>
      <c r="MSN34" s="3"/>
      <c r="MSO34" s="3"/>
      <c r="MSP34" s="3"/>
      <c r="MSQ34" s="3"/>
      <c r="MSR34" s="3"/>
      <c r="MSS34" s="3"/>
      <c r="MST34" s="3"/>
      <c r="MSU34" s="3"/>
      <c r="MSV34" s="3"/>
      <c r="MSW34" s="3"/>
      <c r="MSX34" s="3"/>
      <c r="MSY34" s="3"/>
      <c r="MSZ34" s="3"/>
      <c r="MTA34" s="3"/>
      <c r="MTB34" s="3"/>
      <c r="MTC34" s="3"/>
      <c r="MTD34" s="3"/>
      <c r="MTE34" s="3"/>
      <c r="MTF34" s="3"/>
      <c r="MTG34" s="3"/>
      <c r="MTH34" s="3"/>
      <c r="MTI34" s="3"/>
      <c r="MTJ34" s="3"/>
      <c r="MTK34" s="3"/>
      <c r="MTL34" s="3"/>
      <c r="MTM34" s="3"/>
      <c r="MTN34" s="3"/>
      <c r="MTO34" s="3"/>
      <c r="MTP34" s="3"/>
      <c r="MTQ34" s="3"/>
      <c r="MTR34" s="3"/>
      <c r="MTS34" s="3"/>
      <c r="MTT34" s="3"/>
      <c r="MTU34" s="3"/>
      <c r="MTV34" s="3"/>
      <c r="MTW34" s="3"/>
      <c r="MTX34" s="3"/>
      <c r="MTY34" s="3"/>
      <c r="MTZ34" s="3"/>
      <c r="MUA34" s="3"/>
      <c r="MUB34" s="3"/>
      <c r="MUC34" s="3"/>
      <c r="MUD34" s="3"/>
      <c r="MUE34" s="3"/>
      <c r="MUF34" s="3"/>
      <c r="MUG34" s="3"/>
      <c r="MUH34" s="3"/>
      <c r="MUI34" s="3"/>
      <c r="MUJ34" s="3"/>
      <c r="MUK34" s="3"/>
      <c r="MUL34" s="3"/>
      <c r="MUM34" s="3"/>
      <c r="MUN34" s="3"/>
      <c r="MUO34" s="3"/>
      <c r="MUP34" s="3"/>
      <c r="MUQ34" s="3"/>
      <c r="MUR34" s="3"/>
      <c r="MUS34" s="3"/>
      <c r="MUT34" s="3"/>
      <c r="MUU34" s="3"/>
      <c r="MUV34" s="3"/>
      <c r="MUW34" s="3"/>
      <c r="MUX34" s="3"/>
      <c r="MUY34" s="3"/>
      <c r="MUZ34" s="3"/>
      <c r="MVA34" s="3"/>
      <c r="MVB34" s="3"/>
      <c r="MVC34" s="3"/>
      <c r="MVD34" s="3"/>
      <c r="MVE34" s="3"/>
      <c r="MVF34" s="3"/>
      <c r="MVG34" s="3"/>
      <c r="MVH34" s="3"/>
      <c r="MVI34" s="3"/>
      <c r="MVJ34" s="3"/>
      <c r="MVK34" s="3"/>
      <c r="MVL34" s="3"/>
      <c r="MVM34" s="3"/>
      <c r="MVN34" s="3"/>
      <c r="MVO34" s="3"/>
      <c r="MVP34" s="3"/>
      <c r="MVQ34" s="3"/>
      <c r="MVR34" s="3"/>
      <c r="MVS34" s="3"/>
      <c r="MVT34" s="3"/>
      <c r="MVU34" s="3"/>
      <c r="MVV34" s="3"/>
      <c r="MVW34" s="3"/>
      <c r="MVX34" s="3"/>
      <c r="MVY34" s="3"/>
      <c r="MVZ34" s="3"/>
      <c r="MWA34" s="3"/>
      <c r="MWB34" s="3"/>
      <c r="MWC34" s="3"/>
      <c r="MWD34" s="3"/>
      <c r="MWE34" s="3"/>
      <c r="MWF34" s="3"/>
      <c r="MWG34" s="3"/>
      <c r="MWH34" s="3"/>
      <c r="MWI34" s="3"/>
      <c r="MWJ34" s="3"/>
      <c r="MWK34" s="3"/>
      <c r="MWL34" s="3"/>
      <c r="MWM34" s="3"/>
      <c r="MWN34" s="3"/>
      <c r="MWO34" s="3"/>
      <c r="MWP34" s="3"/>
      <c r="MWQ34" s="3"/>
      <c r="MWR34" s="3"/>
      <c r="MWS34" s="3"/>
      <c r="MWT34" s="3"/>
      <c r="MWU34" s="3"/>
      <c r="MWV34" s="3"/>
      <c r="MWW34" s="3"/>
      <c r="MWX34" s="3"/>
      <c r="MWY34" s="3"/>
      <c r="MWZ34" s="3"/>
      <c r="MXA34" s="3"/>
      <c r="MXB34" s="3"/>
      <c r="MXC34" s="3"/>
      <c r="MXD34" s="3"/>
      <c r="MXE34" s="3"/>
      <c r="MXF34" s="3"/>
      <c r="MXG34" s="3"/>
      <c r="MXH34" s="3"/>
      <c r="MXI34" s="3"/>
      <c r="MXJ34" s="3"/>
      <c r="MXK34" s="3"/>
      <c r="MXL34" s="3"/>
      <c r="MXM34" s="3"/>
      <c r="MXN34" s="3"/>
      <c r="MXO34" s="3"/>
      <c r="MXP34" s="3"/>
      <c r="MXQ34" s="3"/>
      <c r="MXR34" s="3"/>
      <c r="MXS34" s="3"/>
      <c r="MXT34" s="3"/>
      <c r="MXU34" s="3"/>
      <c r="MXV34" s="3"/>
      <c r="MXW34" s="3"/>
      <c r="MXX34" s="3"/>
      <c r="MXY34" s="3"/>
      <c r="MXZ34" s="3"/>
      <c r="MYA34" s="3"/>
      <c r="MYB34" s="3"/>
      <c r="MYC34" s="3"/>
      <c r="MYD34" s="3"/>
      <c r="MYE34" s="3"/>
      <c r="MYF34" s="3"/>
      <c r="MYG34" s="3"/>
      <c r="MYH34" s="3"/>
      <c r="MYI34" s="3"/>
      <c r="MYJ34" s="3"/>
      <c r="MYK34" s="3"/>
      <c r="MYL34" s="3"/>
      <c r="MYM34" s="3"/>
      <c r="MYN34" s="3"/>
      <c r="MYO34" s="3"/>
      <c r="MYP34" s="3"/>
      <c r="MYQ34" s="3"/>
      <c r="MYR34" s="3"/>
      <c r="MYS34" s="3"/>
      <c r="MYT34" s="3"/>
      <c r="MYU34" s="3"/>
      <c r="MYV34" s="3"/>
      <c r="MYW34" s="3"/>
      <c r="MYX34" s="3"/>
      <c r="MYY34" s="3"/>
      <c r="MYZ34" s="3"/>
      <c r="MZA34" s="3"/>
      <c r="MZB34" s="3"/>
      <c r="MZC34" s="3"/>
      <c r="MZD34" s="3"/>
      <c r="MZE34" s="3"/>
      <c r="MZF34" s="3"/>
      <c r="MZG34" s="3"/>
      <c r="MZH34" s="3"/>
      <c r="MZI34" s="3"/>
      <c r="MZJ34" s="3"/>
      <c r="MZK34" s="3"/>
      <c r="MZL34" s="3"/>
      <c r="MZM34" s="3"/>
      <c r="MZN34" s="3"/>
      <c r="MZO34" s="3"/>
      <c r="MZP34" s="3"/>
      <c r="MZQ34" s="3"/>
      <c r="MZR34" s="3"/>
      <c r="MZS34" s="3"/>
      <c r="MZT34" s="3"/>
      <c r="MZU34" s="3"/>
      <c r="MZV34" s="3"/>
      <c r="MZW34" s="3"/>
      <c r="MZX34" s="3"/>
      <c r="MZY34" s="3"/>
      <c r="MZZ34" s="3"/>
      <c r="NAA34" s="3"/>
      <c r="NAB34" s="3"/>
      <c r="NAC34" s="3"/>
      <c r="NAD34" s="3"/>
      <c r="NAE34" s="3"/>
      <c r="NAF34" s="3"/>
      <c r="NAG34" s="3"/>
      <c r="NAH34" s="3"/>
      <c r="NAI34" s="3"/>
      <c r="NAJ34" s="3"/>
      <c r="NAK34" s="3"/>
      <c r="NAL34" s="3"/>
      <c r="NAM34" s="3"/>
      <c r="NAN34" s="3"/>
      <c r="NAO34" s="3"/>
      <c r="NAP34" s="3"/>
      <c r="NAQ34" s="3"/>
      <c r="NAR34" s="3"/>
      <c r="NAS34" s="3"/>
      <c r="NAT34" s="3"/>
      <c r="NAU34" s="3"/>
      <c r="NAV34" s="3"/>
      <c r="NAW34" s="3"/>
      <c r="NAX34" s="3"/>
      <c r="NAY34" s="3"/>
      <c r="NAZ34" s="3"/>
      <c r="NBA34" s="3"/>
      <c r="NBB34" s="3"/>
      <c r="NBC34" s="3"/>
      <c r="NBD34" s="3"/>
      <c r="NBE34" s="3"/>
      <c r="NBF34" s="3"/>
      <c r="NBG34" s="3"/>
      <c r="NBH34" s="3"/>
      <c r="NBI34" s="3"/>
      <c r="NBJ34" s="3"/>
      <c r="NBK34" s="3"/>
      <c r="NBL34" s="3"/>
      <c r="NBM34" s="3"/>
      <c r="NBN34" s="3"/>
      <c r="NBO34" s="3"/>
      <c r="NBP34" s="3"/>
      <c r="NBQ34" s="3"/>
      <c r="NBR34" s="3"/>
      <c r="NBS34" s="3"/>
      <c r="NBT34" s="3"/>
      <c r="NBU34" s="3"/>
      <c r="NBV34" s="3"/>
      <c r="NBW34" s="3"/>
      <c r="NBX34" s="3"/>
      <c r="NBY34" s="3"/>
      <c r="NBZ34" s="3"/>
      <c r="NCA34" s="3"/>
      <c r="NCB34" s="3"/>
      <c r="NCC34" s="3"/>
      <c r="NCD34" s="3"/>
      <c r="NCE34" s="3"/>
      <c r="NCF34" s="3"/>
      <c r="NCG34" s="3"/>
      <c r="NCH34" s="3"/>
      <c r="NCI34" s="3"/>
      <c r="NCJ34" s="3"/>
      <c r="NCK34" s="3"/>
      <c r="NCL34" s="3"/>
      <c r="NCM34" s="3"/>
      <c r="NCN34" s="3"/>
      <c r="NCO34" s="3"/>
      <c r="NCP34" s="3"/>
      <c r="NCQ34" s="3"/>
      <c r="NCR34" s="3"/>
      <c r="NCS34" s="3"/>
      <c r="NCT34" s="3"/>
      <c r="NCU34" s="3"/>
      <c r="NCV34" s="3"/>
      <c r="NCW34" s="3"/>
      <c r="NCX34" s="3"/>
      <c r="NCY34" s="3"/>
      <c r="NCZ34" s="3"/>
      <c r="NDA34" s="3"/>
      <c r="NDB34" s="3"/>
      <c r="NDC34" s="3"/>
      <c r="NDD34" s="3"/>
      <c r="NDE34" s="3"/>
      <c r="NDF34" s="3"/>
      <c r="NDG34" s="3"/>
      <c r="NDH34" s="3"/>
      <c r="NDI34" s="3"/>
      <c r="NDJ34" s="3"/>
      <c r="NDK34" s="3"/>
      <c r="NDL34" s="3"/>
      <c r="NDM34" s="3"/>
      <c r="NDN34" s="3"/>
      <c r="NDO34" s="3"/>
      <c r="NDP34" s="3"/>
      <c r="NDQ34" s="3"/>
      <c r="NDR34" s="3"/>
      <c r="NDS34" s="3"/>
      <c r="NDT34" s="3"/>
      <c r="NDU34" s="3"/>
      <c r="NDV34" s="3"/>
      <c r="NDW34" s="3"/>
      <c r="NDX34" s="3"/>
      <c r="NDY34" s="3"/>
      <c r="NDZ34" s="3"/>
      <c r="NEA34" s="3"/>
      <c r="NEB34" s="3"/>
      <c r="NEC34" s="3"/>
      <c r="NED34" s="3"/>
      <c r="NEE34" s="3"/>
      <c r="NEF34" s="3"/>
      <c r="NEG34" s="3"/>
      <c r="NEH34" s="3"/>
      <c r="NEI34" s="3"/>
      <c r="NEJ34" s="3"/>
      <c r="NEK34" s="3"/>
      <c r="NEL34" s="3"/>
      <c r="NEM34" s="3"/>
      <c r="NEN34" s="3"/>
      <c r="NEO34" s="3"/>
      <c r="NEP34" s="3"/>
      <c r="NEQ34" s="3"/>
      <c r="NER34" s="3"/>
      <c r="NES34" s="3"/>
      <c r="NET34" s="3"/>
      <c r="NEU34" s="3"/>
      <c r="NEV34" s="3"/>
      <c r="NEW34" s="3"/>
      <c r="NEX34" s="3"/>
      <c r="NEY34" s="3"/>
      <c r="NEZ34" s="3"/>
      <c r="NFA34" s="3"/>
      <c r="NFB34" s="3"/>
      <c r="NFC34" s="3"/>
      <c r="NFD34" s="3"/>
      <c r="NFE34" s="3"/>
      <c r="NFF34" s="3"/>
      <c r="NFG34" s="3"/>
      <c r="NFH34" s="3"/>
      <c r="NFI34" s="3"/>
      <c r="NFJ34" s="3"/>
      <c r="NFK34" s="3"/>
      <c r="NFL34" s="3"/>
      <c r="NFM34" s="3"/>
      <c r="NFN34" s="3"/>
      <c r="NFO34" s="3"/>
      <c r="NFP34" s="3"/>
      <c r="NFQ34" s="3"/>
      <c r="NFR34" s="3"/>
      <c r="NFS34" s="3"/>
      <c r="NFT34" s="3"/>
      <c r="NFU34" s="3"/>
      <c r="NFV34" s="3"/>
      <c r="NFW34" s="3"/>
      <c r="NFX34" s="3"/>
      <c r="NFY34" s="3"/>
      <c r="NFZ34" s="3"/>
      <c r="NGA34" s="3"/>
      <c r="NGB34" s="3"/>
      <c r="NGC34" s="3"/>
      <c r="NGD34" s="3"/>
      <c r="NGE34" s="3"/>
      <c r="NGF34" s="3"/>
      <c r="NGG34" s="3"/>
      <c r="NGH34" s="3"/>
      <c r="NGI34" s="3"/>
      <c r="NGJ34" s="3"/>
      <c r="NGK34" s="3"/>
      <c r="NGL34" s="3"/>
      <c r="NGM34" s="3"/>
      <c r="NGN34" s="3"/>
      <c r="NGO34" s="3"/>
      <c r="NGP34" s="3"/>
      <c r="NGQ34" s="3"/>
      <c r="NGR34" s="3"/>
      <c r="NGS34" s="3"/>
      <c r="NGT34" s="3"/>
      <c r="NGU34" s="3"/>
      <c r="NGV34" s="3"/>
      <c r="NGW34" s="3"/>
      <c r="NGX34" s="3"/>
      <c r="NGY34" s="3"/>
      <c r="NGZ34" s="3"/>
      <c r="NHA34" s="3"/>
      <c r="NHB34" s="3"/>
      <c r="NHC34" s="3"/>
      <c r="NHD34" s="3"/>
      <c r="NHE34" s="3"/>
      <c r="NHF34" s="3"/>
      <c r="NHG34" s="3"/>
      <c r="NHH34" s="3"/>
      <c r="NHI34" s="3"/>
      <c r="NHJ34" s="3"/>
      <c r="NHK34" s="3"/>
      <c r="NHL34" s="3"/>
      <c r="NHM34" s="3"/>
      <c r="NHN34" s="3"/>
      <c r="NHO34" s="3"/>
      <c r="NHP34" s="3"/>
      <c r="NHQ34" s="3"/>
      <c r="NHR34" s="3"/>
      <c r="NHS34" s="3"/>
      <c r="NHT34" s="3"/>
      <c r="NHU34" s="3"/>
      <c r="NHV34" s="3"/>
      <c r="NHW34" s="3"/>
      <c r="NHX34" s="3"/>
      <c r="NHY34" s="3"/>
      <c r="NHZ34" s="3"/>
      <c r="NIA34" s="3"/>
      <c r="NIB34" s="3"/>
      <c r="NIC34" s="3"/>
      <c r="NID34" s="3"/>
      <c r="NIE34" s="3"/>
      <c r="NIF34" s="3"/>
      <c r="NIG34" s="3"/>
      <c r="NIH34" s="3"/>
      <c r="NII34" s="3"/>
      <c r="NIJ34" s="3"/>
      <c r="NIK34" s="3"/>
      <c r="NIL34" s="3"/>
      <c r="NIM34" s="3"/>
      <c r="NIN34" s="3"/>
      <c r="NIO34" s="3"/>
      <c r="NIP34" s="3"/>
      <c r="NIQ34" s="3"/>
      <c r="NIR34" s="3"/>
      <c r="NIS34" s="3"/>
      <c r="NIT34" s="3"/>
      <c r="NIU34" s="3"/>
      <c r="NIV34" s="3"/>
      <c r="NIW34" s="3"/>
      <c r="NIX34" s="3"/>
      <c r="NIY34" s="3"/>
      <c r="NIZ34" s="3"/>
      <c r="NJA34" s="3"/>
      <c r="NJB34" s="3"/>
      <c r="NJC34" s="3"/>
      <c r="NJD34" s="3"/>
      <c r="NJE34" s="3"/>
      <c r="NJF34" s="3"/>
      <c r="NJG34" s="3"/>
      <c r="NJH34" s="3"/>
      <c r="NJI34" s="3"/>
      <c r="NJJ34" s="3"/>
      <c r="NJK34" s="3"/>
      <c r="NJL34" s="3"/>
      <c r="NJM34" s="3"/>
      <c r="NJN34" s="3"/>
      <c r="NJO34" s="3"/>
      <c r="NJP34" s="3"/>
      <c r="NJQ34" s="3"/>
      <c r="NJR34" s="3"/>
      <c r="NJS34" s="3"/>
      <c r="NJT34" s="3"/>
      <c r="NJU34" s="3"/>
      <c r="NJV34" s="3"/>
      <c r="NJW34" s="3"/>
      <c r="NJX34" s="3"/>
      <c r="NJY34" s="3"/>
      <c r="NJZ34" s="3"/>
      <c r="NKA34" s="3"/>
      <c r="NKB34" s="3"/>
      <c r="NKC34" s="3"/>
      <c r="NKD34" s="3"/>
      <c r="NKE34" s="3"/>
      <c r="NKF34" s="3"/>
      <c r="NKG34" s="3"/>
      <c r="NKH34" s="3"/>
      <c r="NKI34" s="3"/>
      <c r="NKJ34" s="3"/>
      <c r="NKK34" s="3"/>
      <c r="NKL34" s="3"/>
      <c r="NKM34" s="3"/>
      <c r="NKN34" s="3"/>
      <c r="NKO34" s="3"/>
      <c r="NKP34" s="3"/>
      <c r="NKQ34" s="3"/>
      <c r="NKR34" s="3"/>
      <c r="NKS34" s="3"/>
      <c r="NKT34" s="3"/>
      <c r="NKU34" s="3"/>
      <c r="NKV34" s="3"/>
      <c r="NKW34" s="3"/>
      <c r="NKX34" s="3"/>
      <c r="NKY34" s="3"/>
      <c r="NKZ34" s="3"/>
      <c r="NLA34" s="3"/>
      <c r="NLB34" s="3"/>
      <c r="NLC34" s="3"/>
      <c r="NLD34" s="3"/>
      <c r="NLE34" s="3"/>
      <c r="NLF34" s="3"/>
      <c r="NLG34" s="3"/>
      <c r="NLH34" s="3"/>
      <c r="NLI34" s="3"/>
      <c r="NLJ34" s="3"/>
      <c r="NLK34" s="3"/>
      <c r="NLL34" s="3"/>
      <c r="NLM34" s="3"/>
      <c r="NLN34" s="3"/>
      <c r="NLO34" s="3"/>
      <c r="NLP34" s="3"/>
      <c r="NLQ34" s="3"/>
      <c r="NLR34" s="3"/>
      <c r="NLS34" s="3"/>
      <c r="NLT34" s="3"/>
      <c r="NLU34" s="3"/>
      <c r="NLV34" s="3"/>
      <c r="NLW34" s="3"/>
      <c r="NLX34" s="3"/>
      <c r="NLY34" s="3"/>
      <c r="NLZ34" s="3"/>
      <c r="NMA34" s="3"/>
      <c r="NMB34" s="3"/>
      <c r="NMC34" s="3"/>
      <c r="NMD34" s="3"/>
      <c r="NME34" s="3"/>
      <c r="NMF34" s="3"/>
      <c r="NMG34" s="3"/>
      <c r="NMH34" s="3"/>
      <c r="NMI34" s="3"/>
      <c r="NMJ34" s="3"/>
      <c r="NMK34" s="3"/>
      <c r="NML34" s="3"/>
      <c r="NMM34" s="3"/>
      <c r="NMN34" s="3"/>
      <c r="NMO34" s="3"/>
      <c r="NMP34" s="3"/>
      <c r="NMQ34" s="3"/>
      <c r="NMR34" s="3"/>
      <c r="NMS34" s="3"/>
      <c r="NMT34" s="3"/>
      <c r="NMU34" s="3"/>
      <c r="NMV34" s="3"/>
      <c r="NMW34" s="3"/>
      <c r="NMX34" s="3"/>
      <c r="NMY34" s="3"/>
      <c r="NMZ34" s="3"/>
      <c r="NNA34" s="3"/>
      <c r="NNB34" s="3"/>
      <c r="NNC34" s="3"/>
      <c r="NND34" s="3"/>
      <c r="NNE34" s="3"/>
      <c r="NNF34" s="3"/>
      <c r="NNG34" s="3"/>
      <c r="NNH34" s="3"/>
      <c r="NNI34" s="3"/>
      <c r="NNJ34" s="3"/>
      <c r="NNK34" s="3"/>
      <c r="NNL34" s="3"/>
      <c r="NNM34" s="3"/>
      <c r="NNN34" s="3"/>
      <c r="NNO34" s="3"/>
      <c r="NNP34" s="3"/>
      <c r="NNQ34" s="3"/>
      <c r="NNR34" s="3"/>
      <c r="NNS34" s="3"/>
      <c r="NNT34" s="3"/>
      <c r="NNU34" s="3"/>
      <c r="NNV34" s="3"/>
      <c r="NNW34" s="3"/>
      <c r="NNX34" s="3"/>
      <c r="NNY34" s="3"/>
      <c r="NNZ34" s="3"/>
      <c r="NOA34" s="3"/>
      <c r="NOB34" s="3"/>
      <c r="NOC34" s="3"/>
      <c r="NOD34" s="3"/>
      <c r="NOE34" s="3"/>
      <c r="NOF34" s="3"/>
      <c r="NOG34" s="3"/>
      <c r="NOH34" s="3"/>
      <c r="NOI34" s="3"/>
      <c r="NOJ34" s="3"/>
      <c r="NOK34" s="3"/>
      <c r="NOL34" s="3"/>
      <c r="NOM34" s="3"/>
      <c r="NON34" s="3"/>
      <c r="NOO34" s="3"/>
      <c r="NOP34" s="3"/>
      <c r="NOQ34" s="3"/>
      <c r="NOR34" s="3"/>
      <c r="NOS34" s="3"/>
      <c r="NOT34" s="3"/>
      <c r="NOU34" s="3"/>
      <c r="NOV34" s="3"/>
      <c r="NOW34" s="3"/>
      <c r="NOX34" s="3"/>
      <c r="NOY34" s="3"/>
      <c r="NOZ34" s="3"/>
      <c r="NPA34" s="3"/>
      <c r="NPB34" s="3"/>
      <c r="NPC34" s="3"/>
      <c r="NPD34" s="3"/>
      <c r="NPE34" s="3"/>
      <c r="NPF34" s="3"/>
      <c r="NPG34" s="3"/>
      <c r="NPH34" s="3"/>
      <c r="NPI34" s="3"/>
      <c r="NPJ34" s="3"/>
      <c r="NPK34" s="3"/>
      <c r="NPL34" s="3"/>
      <c r="NPM34" s="3"/>
      <c r="NPN34" s="3"/>
      <c r="NPO34" s="3"/>
      <c r="NPP34" s="3"/>
      <c r="NPQ34" s="3"/>
      <c r="NPR34" s="3"/>
      <c r="NPS34" s="3"/>
      <c r="NPT34" s="3"/>
      <c r="NPU34" s="3"/>
      <c r="NPV34" s="3"/>
      <c r="NPW34" s="3"/>
      <c r="NPX34" s="3"/>
      <c r="NPY34" s="3"/>
      <c r="NPZ34" s="3"/>
      <c r="NQA34" s="3"/>
      <c r="NQB34" s="3"/>
      <c r="NQC34" s="3"/>
      <c r="NQD34" s="3"/>
      <c r="NQE34" s="3"/>
      <c r="NQF34" s="3"/>
      <c r="NQG34" s="3"/>
      <c r="NQH34" s="3"/>
      <c r="NQI34" s="3"/>
      <c r="NQJ34" s="3"/>
      <c r="NQK34" s="3"/>
      <c r="NQL34" s="3"/>
      <c r="NQM34" s="3"/>
      <c r="NQN34" s="3"/>
      <c r="NQO34" s="3"/>
      <c r="NQP34" s="3"/>
      <c r="NQQ34" s="3"/>
      <c r="NQR34" s="3"/>
      <c r="NQS34" s="3"/>
      <c r="NQT34" s="3"/>
      <c r="NQU34" s="3"/>
      <c r="NQV34" s="3"/>
      <c r="NQW34" s="3"/>
      <c r="NQX34" s="3"/>
      <c r="NQY34" s="3"/>
      <c r="NQZ34" s="3"/>
      <c r="NRA34" s="3"/>
      <c r="NRB34" s="3"/>
      <c r="NRC34" s="3"/>
      <c r="NRD34" s="3"/>
      <c r="NRE34" s="3"/>
      <c r="NRF34" s="3"/>
      <c r="NRG34" s="3"/>
      <c r="NRH34" s="3"/>
      <c r="NRI34" s="3"/>
      <c r="NRJ34" s="3"/>
      <c r="NRK34" s="3"/>
      <c r="NRL34" s="3"/>
      <c r="NRM34" s="3"/>
      <c r="NRN34" s="3"/>
      <c r="NRO34" s="3"/>
      <c r="NRP34" s="3"/>
      <c r="NRQ34" s="3"/>
      <c r="NRR34" s="3"/>
      <c r="NRS34" s="3"/>
      <c r="NRT34" s="3"/>
      <c r="NRU34" s="3"/>
      <c r="NRV34" s="3"/>
      <c r="NRW34" s="3"/>
      <c r="NRX34" s="3"/>
      <c r="NRY34" s="3"/>
      <c r="NRZ34" s="3"/>
      <c r="NSA34" s="3"/>
      <c r="NSB34" s="3"/>
      <c r="NSC34" s="3"/>
      <c r="NSD34" s="3"/>
      <c r="NSE34" s="3"/>
      <c r="NSF34" s="3"/>
      <c r="NSG34" s="3"/>
      <c r="NSH34" s="3"/>
      <c r="NSI34" s="3"/>
      <c r="NSJ34" s="3"/>
      <c r="NSK34" s="3"/>
      <c r="NSL34" s="3"/>
      <c r="NSM34" s="3"/>
      <c r="NSN34" s="3"/>
      <c r="NSO34" s="3"/>
      <c r="NSP34" s="3"/>
      <c r="NSQ34" s="3"/>
      <c r="NSR34" s="3"/>
      <c r="NSS34" s="3"/>
      <c r="NST34" s="3"/>
      <c r="NSU34" s="3"/>
      <c r="NSV34" s="3"/>
      <c r="NSW34" s="3"/>
      <c r="NSX34" s="3"/>
      <c r="NSY34" s="3"/>
      <c r="NSZ34" s="3"/>
      <c r="NTA34" s="3"/>
      <c r="NTB34" s="3"/>
      <c r="NTC34" s="3"/>
      <c r="NTD34" s="3"/>
      <c r="NTE34" s="3"/>
      <c r="NTF34" s="3"/>
      <c r="NTG34" s="3"/>
      <c r="NTH34" s="3"/>
      <c r="NTI34" s="3"/>
      <c r="NTJ34" s="3"/>
      <c r="NTK34" s="3"/>
      <c r="NTL34" s="3"/>
      <c r="NTM34" s="3"/>
      <c r="NTN34" s="3"/>
      <c r="NTO34" s="3"/>
      <c r="NTP34" s="3"/>
      <c r="NTQ34" s="3"/>
      <c r="NTR34" s="3"/>
      <c r="NTS34" s="3"/>
      <c r="NTT34" s="3"/>
      <c r="NTU34" s="3"/>
      <c r="NTV34" s="3"/>
      <c r="NTW34" s="3"/>
      <c r="NTX34" s="3"/>
      <c r="NTY34" s="3"/>
      <c r="NTZ34" s="3"/>
      <c r="NUA34" s="3"/>
      <c r="NUB34" s="3"/>
      <c r="NUC34" s="3"/>
      <c r="NUD34" s="3"/>
      <c r="NUE34" s="3"/>
      <c r="NUF34" s="3"/>
      <c r="NUG34" s="3"/>
      <c r="NUH34" s="3"/>
      <c r="NUI34" s="3"/>
      <c r="NUJ34" s="3"/>
      <c r="NUK34" s="3"/>
      <c r="NUL34" s="3"/>
      <c r="NUM34" s="3"/>
      <c r="NUN34" s="3"/>
      <c r="NUO34" s="3"/>
      <c r="NUP34" s="3"/>
      <c r="NUQ34" s="3"/>
      <c r="NUR34" s="3"/>
      <c r="NUS34" s="3"/>
      <c r="NUT34" s="3"/>
      <c r="NUU34" s="3"/>
      <c r="NUV34" s="3"/>
      <c r="NUW34" s="3"/>
      <c r="NUX34" s="3"/>
      <c r="NUY34" s="3"/>
      <c r="NUZ34" s="3"/>
      <c r="NVA34" s="3"/>
      <c r="NVB34" s="3"/>
      <c r="NVC34" s="3"/>
      <c r="NVD34" s="3"/>
      <c r="NVE34" s="3"/>
      <c r="NVF34" s="3"/>
      <c r="NVG34" s="3"/>
      <c r="NVH34" s="3"/>
      <c r="NVI34" s="3"/>
      <c r="NVJ34" s="3"/>
      <c r="NVK34" s="3"/>
      <c r="NVL34" s="3"/>
      <c r="NVM34" s="3"/>
      <c r="NVN34" s="3"/>
      <c r="NVO34" s="3"/>
      <c r="NVP34" s="3"/>
      <c r="NVQ34" s="3"/>
      <c r="NVR34" s="3"/>
      <c r="NVS34" s="3"/>
      <c r="NVT34" s="3"/>
      <c r="NVU34" s="3"/>
      <c r="NVV34" s="3"/>
      <c r="NVW34" s="3"/>
      <c r="NVX34" s="3"/>
      <c r="NVY34" s="3"/>
      <c r="NVZ34" s="3"/>
      <c r="NWA34" s="3"/>
      <c r="NWB34" s="3"/>
      <c r="NWC34" s="3"/>
      <c r="NWD34" s="3"/>
      <c r="NWE34" s="3"/>
      <c r="NWF34" s="3"/>
      <c r="NWG34" s="3"/>
      <c r="NWH34" s="3"/>
      <c r="NWI34" s="3"/>
      <c r="NWJ34" s="3"/>
      <c r="NWK34" s="3"/>
      <c r="NWL34" s="3"/>
      <c r="NWM34" s="3"/>
      <c r="NWN34" s="3"/>
      <c r="NWO34" s="3"/>
      <c r="NWP34" s="3"/>
      <c r="NWQ34" s="3"/>
      <c r="NWR34" s="3"/>
      <c r="NWS34" s="3"/>
      <c r="NWT34" s="3"/>
      <c r="NWU34" s="3"/>
      <c r="NWV34" s="3"/>
      <c r="NWW34" s="3"/>
      <c r="NWX34" s="3"/>
      <c r="NWY34" s="3"/>
      <c r="NWZ34" s="3"/>
      <c r="NXA34" s="3"/>
      <c r="NXB34" s="3"/>
      <c r="NXC34" s="3"/>
      <c r="NXD34" s="3"/>
      <c r="NXE34" s="3"/>
      <c r="NXF34" s="3"/>
      <c r="NXG34" s="3"/>
      <c r="NXH34" s="3"/>
      <c r="NXI34" s="3"/>
      <c r="NXJ34" s="3"/>
      <c r="NXK34" s="3"/>
      <c r="NXL34" s="3"/>
      <c r="NXM34" s="3"/>
      <c r="NXN34" s="3"/>
      <c r="NXO34" s="3"/>
      <c r="NXP34" s="3"/>
      <c r="NXQ34" s="3"/>
      <c r="NXR34" s="3"/>
      <c r="NXS34" s="3"/>
      <c r="NXT34" s="3"/>
      <c r="NXU34" s="3"/>
      <c r="NXV34" s="3"/>
      <c r="NXW34" s="3"/>
      <c r="NXX34" s="3"/>
      <c r="NXY34" s="3"/>
      <c r="NXZ34" s="3"/>
      <c r="NYA34" s="3"/>
      <c r="NYB34" s="3"/>
      <c r="NYC34" s="3"/>
      <c r="NYD34" s="3"/>
      <c r="NYE34" s="3"/>
      <c r="NYF34" s="3"/>
      <c r="NYG34" s="3"/>
      <c r="NYH34" s="3"/>
      <c r="NYI34" s="3"/>
      <c r="NYJ34" s="3"/>
      <c r="NYK34" s="3"/>
      <c r="NYL34" s="3"/>
      <c r="NYM34" s="3"/>
      <c r="NYN34" s="3"/>
      <c r="NYO34" s="3"/>
      <c r="NYP34" s="3"/>
      <c r="NYQ34" s="3"/>
      <c r="NYR34" s="3"/>
      <c r="NYS34" s="3"/>
      <c r="NYT34" s="3"/>
      <c r="NYU34" s="3"/>
      <c r="NYV34" s="3"/>
      <c r="NYW34" s="3"/>
      <c r="NYX34" s="3"/>
      <c r="NYY34" s="3"/>
      <c r="NYZ34" s="3"/>
      <c r="NZA34" s="3"/>
      <c r="NZB34" s="3"/>
      <c r="NZC34" s="3"/>
      <c r="NZD34" s="3"/>
      <c r="NZE34" s="3"/>
      <c r="NZF34" s="3"/>
      <c r="NZG34" s="3"/>
      <c r="NZH34" s="3"/>
      <c r="NZI34" s="3"/>
      <c r="NZJ34" s="3"/>
      <c r="NZK34" s="3"/>
      <c r="NZL34" s="3"/>
      <c r="NZM34" s="3"/>
      <c r="NZN34" s="3"/>
      <c r="NZO34" s="3"/>
      <c r="NZP34" s="3"/>
      <c r="NZQ34" s="3"/>
      <c r="NZR34" s="3"/>
      <c r="NZS34" s="3"/>
      <c r="NZT34" s="3"/>
      <c r="NZU34" s="3"/>
      <c r="NZV34" s="3"/>
      <c r="NZW34" s="3"/>
      <c r="NZX34" s="3"/>
      <c r="NZY34" s="3"/>
      <c r="NZZ34" s="3"/>
      <c r="OAA34" s="3"/>
      <c r="OAB34" s="3"/>
      <c r="OAC34" s="3"/>
      <c r="OAD34" s="3"/>
      <c r="OAE34" s="3"/>
      <c r="OAF34" s="3"/>
      <c r="OAG34" s="3"/>
      <c r="OAH34" s="3"/>
      <c r="OAI34" s="3"/>
      <c r="OAJ34" s="3"/>
      <c r="OAK34" s="3"/>
      <c r="OAL34" s="3"/>
      <c r="OAM34" s="3"/>
      <c r="OAN34" s="3"/>
      <c r="OAO34" s="3"/>
      <c r="OAP34" s="3"/>
      <c r="OAQ34" s="3"/>
      <c r="OAR34" s="3"/>
      <c r="OAS34" s="3"/>
      <c r="OAT34" s="3"/>
      <c r="OAU34" s="3"/>
      <c r="OAV34" s="3"/>
      <c r="OAW34" s="3"/>
      <c r="OAX34" s="3"/>
      <c r="OAY34" s="3"/>
      <c r="OAZ34" s="3"/>
      <c r="OBA34" s="3"/>
      <c r="OBB34" s="3"/>
      <c r="OBC34" s="3"/>
      <c r="OBD34" s="3"/>
      <c r="OBE34" s="3"/>
      <c r="OBF34" s="3"/>
      <c r="OBG34" s="3"/>
      <c r="OBH34" s="3"/>
      <c r="OBI34" s="3"/>
      <c r="OBJ34" s="3"/>
      <c r="OBK34" s="3"/>
      <c r="OBL34" s="3"/>
      <c r="OBM34" s="3"/>
      <c r="OBN34" s="3"/>
      <c r="OBO34" s="3"/>
      <c r="OBP34" s="3"/>
      <c r="OBQ34" s="3"/>
      <c r="OBR34" s="3"/>
      <c r="OBS34" s="3"/>
      <c r="OBT34" s="3"/>
      <c r="OBU34" s="3"/>
      <c r="OBV34" s="3"/>
      <c r="OBW34" s="3"/>
      <c r="OBX34" s="3"/>
      <c r="OBY34" s="3"/>
      <c r="OBZ34" s="3"/>
      <c r="OCA34" s="3"/>
      <c r="OCB34" s="3"/>
      <c r="OCC34" s="3"/>
      <c r="OCD34" s="3"/>
      <c r="OCE34" s="3"/>
      <c r="OCF34" s="3"/>
      <c r="OCG34" s="3"/>
      <c r="OCH34" s="3"/>
      <c r="OCI34" s="3"/>
      <c r="OCJ34" s="3"/>
      <c r="OCK34" s="3"/>
      <c r="OCL34" s="3"/>
      <c r="OCM34" s="3"/>
      <c r="OCN34" s="3"/>
      <c r="OCO34" s="3"/>
      <c r="OCP34" s="3"/>
      <c r="OCQ34" s="3"/>
      <c r="OCR34" s="3"/>
      <c r="OCS34" s="3"/>
      <c r="OCT34" s="3"/>
      <c r="OCU34" s="3"/>
      <c r="OCV34" s="3"/>
      <c r="OCW34" s="3"/>
      <c r="OCX34" s="3"/>
      <c r="OCY34" s="3"/>
      <c r="OCZ34" s="3"/>
      <c r="ODA34" s="3"/>
      <c r="ODB34" s="3"/>
      <c r="ODC34" s="3"/>
      <c r="ODD34" s="3"/>
      <c r="ODE34" s="3"/>
      <c r="ODF34" s="3"/>
      <c r="ODG34" s="3"/>
      <c r="ODH34" s="3"/>
      <c r="ODI34" s="3"/>
      <c r="ODJ34" s="3"/>
      <c r="ODK34" s="3"/>
      <c r="ODL34" s="3"/>
      <c r="ODM34" s="3"/>
      <c r="ODN34" s="3"/>
      <c r="ODO34" s="3"/>
      <c r="ODP34" s="3"/>
      <c r="ODQ34" s="3"/>
      <c r="ODR34" s="3"/>
      <c r="ODS34" s="3"/>
      <c r="ODT34" s="3"/>
      <c r="ODU34" s="3"/>
      <c r="ODV34" s="3"/>
      <c r="ODW34" s="3"/>
      <c r="ODX34" s="3"/>
      <c r="ODY34" s="3"/>
      <c r="ODZ34" s="3"/>
      <c r="OEA34" s="3"/>
      <c r="OEB34" s="3"/>
      <c r="OEC34" s="3"/>
      <c r="OED34" s="3"/>
      <c r="OEE34" s="3"/>
      <c r="OEF34" s="3"/>
      <c r="OEG34" s="3"/>
      <c r="OEH34" s="3"/>
      <c r="OEI34" s="3"/>
      <c r="OEJ34" s="3"/>
      <c r="OEK34" s="3"/>
      <c r="OEL34" s="3"/>
      <c r="OEM34" s="3"/>
      <c r="OEN34" s="3"/>
      <c r="OEO34" s="3"/>
      <c r="OEP34" s="3"/>
      <c r="OEQ34" s="3"/>
      <c r="OER34" s="3"/>
      <c r="OES34" s="3"/>
      <c r="OET34" s="3"/>
      <c r="OEU34" s="3"/>
      <c r="OEV34" s="3"/>
      <c r="OEW34" s="3"/>
      <c r="OEX34" s="3"/>
      <c r="OEY34" s="3"/>
      <c r="OEZ34" s="3"/>
      <c r="OFA34" s="3"/>
      <c r="OFB34" s="3"/>
      <c r="OFC34" s="3"/>
      <c r="OFD34" s="3"/>
      <c r="OFE34" s="3"/>
      <c r="OFF34" s="3"/>
      <c r="OFG34" s="3"/>
      <c r="OFH34" s="3"/>
      <c r="OFI34" s="3"/>
      <c r="OFJ34" s="3"/>
      <c r="OFK34" s="3"/>
      <c r="OFL34" s="3"/>
      <c r="OFM34" s="3"/>
      <c r="OFN34" s="3"/>
      <c r="OFO34" s="3"/>
      <c r="OFP34" s="3"/>
      <c r="OFQ34" s="3"/>
      <c r="OFR34" s="3"/>
      <c r="OFS34" s="3"/>
      <c r="OFT34" s="3"/>
      <c r="OFU34" s="3"/>
      <c r="OFV34" s="3"/>
      <c r="OFW34" s="3"/>
      <c r="OFX34" s="3"/>
      <c r="OFY34" s="3"/>
      <c r="OFZ34" s="3"/>
      <c r="OGA34" s="3"/>
      <c r="OGB34" s="3"/>
      <c r="OGC34" s="3"/>
      <c r="OGD34" s="3"/>
      <c r="OGE34" s="3"/>
      <c r="OGF34" s="3"/>
      <c r="OGG34" s="3"/>
      <c r="OGH34" s="3"/>
      <c r="OGI34" s="3"/>
      <c r="OGJ34" s="3"/>
      <c r="OGK34" s="3"/>
      <c r="OGL34" s="3"/>
      <c r="OGM34" s="3"/>
      <c r="OGN34" s="3"/>
      <c r="OGO34" s="3"/>
      <c r="OGP34" s="3"/>
      <c r="OGQ34" s="3"/>
      <c r="OGR34" s="3"/>
      <c r="OGS34" s="3"/>
      <c r="OGT34" s="3"/>
      <c r="OGU34" s="3"/>
      <c r="OGV34" s="3"/>
      <c r="OGW34" s="3"/>
      <c r="OGX34" s="3"/>
      <c r="OGY34" s="3"/>
      <c r="OGZ34" s="3"/>
      <c r="OHA34" s="3"/>
      <c r="OHB34" s="3"/>
      <c r="OHC34" s="3"/>
      <c r="OHD34" s="3"/>
      <c r="OHE34" s="3"/>
      <c r="OHF34" s="3"/>
      <c r="OHG34" s="3"/>
      <c r="OHH34" s="3"/>
      <c r="OHI34" s="3"/>
      <c r="OHJ34" s="3"/>
      <c r="OHK34" s="3"/>
      <c r="OHL34" s="3"/>
      <c r="OHM34" s="3"/>
      <c r="OHN34" s="3"/>
      <c r="OHO34" s="3"/>
      <c r="OHP34" s="3"/>
      <c r="OHQ34" s="3"/>
      <c r="OHR34" s="3"/>
      <c r="OHS34" s="3"/>
      <c r="OHT34" s="3"/>
      <c r="OHU34" s="3"/>
      <c r="OHV34" s="3"/>
      <c r="OHW34" s="3"/>
      <c r="OHX34" s="3"/>
      <c r="OHY34" s="3"/>
      <c r="OHZ34" s="3"/>
      <c r="OIA34" s="3"/>
      <c r="OIB34" s="3"/>
      <c r="OIC34" s="3"/>
      <c r="OID34" s="3"/>
      <c r="OIE34" s="3"/>
      <c r="OIF34" s="3"/>
      <c r="OIG34" s="3"/>
      <c r="OIH34" s="3"/>
      <c r="OII34" s="3"/>
      <c r="OIJ34" s="3"/>
      <c r="OIK34" s="3"/>
      <c r="OIL34" s="3"/>
      <c r="OIM34" s="3"/>
      <c r="OIN34" s="3"/>
      <c r="OIO34" s="3"/>
      <c r="OIP34" s="3"/>
      <c r="OIQ34" s="3"/>
      <c r="OIR34" s="3"/>
      <c r="OIS34" s="3"/>
      <c r="OIT34" s="3"/>
      <c r="OIU34" s="3"/>
      <c r="OIV34" s="3"/>
      <c r="OIW34" s="3"/>
      <c r="OIX34" s="3"/>
      <c r="OIY34" s="3"/>
      <c r="OIZ34" s="3"/>
      <c r="OJA34" s="3"/>
      <c r="OJB34" s="3"/>
      <c r="OJC34" s="3"/>
      <c r="OJD34" s="3"/>
      <c r="OJE34" s="3"/>
      <c r="OJF34" s="3"/>
      <c r="OJG34" s="3"/>
      <c r="OJH34" s="3"/>
      <c r="OJI34" s="3"/>
      <c r="OJJ34" s="3"/>
      <c r="OJK34" s="3"/>
      <c r="OJL34" s="3"/>
      <c r="OJM34" s="3"/>
      <c r="OJN34" s="3"/>
      <c r="OJO34" s="3"/>
      <c r="OJP34" s="3"/>
      <c r="OJQ34" s="3"/>
      <c r="OJR34" s="3"/>
      <c r="OJS34" s="3"/>
      <c r="OJT34" s="3"/>
      <c r="OJU34" s="3"/>
      <c r="OJV34" s="3"/>
      <c r="OJW34" s="3"/>
      <c r="OJX34" s="3"/>
      <c r="OJY34" s="3"/>
      <c r="OJZ34" s="3"/>
      <c r="OKA34" s="3"/>
      <c r="OKB34" s="3"/>
      <c r="OKC34" s="3"/>
      <c r="OKD34" s="3"/>
      <c r="OKE34" s="3"/>
      <c r="OKF34" s="3"/>
      <c r="OKG34" s="3"/>
      <c r="OKH34" s="3"/>
      <c r="OKI34" s="3"/>
      <c r="OKJ34" s="3"/>
      <c r="OKK34" s="3"/>
      <c r="OKL34" s="3"/>
      <c r="OKM34" s="3"/>
      <c r="OKN34" s="3"/>
      <c r="OKO34" s="3"/>
      <c r="OKP34" s="3"/>
      <c r="OKQ34" s="3"/>
      <c r="OKR34" s="3"/>
      <c r="OKS34" s="3"/>
      <c r="OKT34" s="3"/>
      <c r="OKU34" s="3"/>
      <c r="OKV34" s="3"/>
      <c r="OKW34" s="3"/>
      <c r="OKX34" s="3"/>
      <c r="OKY34" s="3"/>
      <c r="OKZ34" s="3"/>
      <c r="OLA34" s="3"/>
      <c r="OLB34" s="3"/>
      <c r="OLC34" s="3"/>
      <c r="OLD34" s="3"/>
      <c r="OLE34" s="3"/>
      <c r="OLF34" s="3"/>
      <c r="OLG34" s="3"/>
      <c r="OLH34" s="3"/>
      <c r="OLI34" s="3"/>
      <c r="OLJ34" s="3"/>
      <c r="OLK34" s="3"/>
      <c r="OLL34" s="3"/>
      <c r="OLM34" s="3"/>
      <c r="OLN34" s="3"/>
      <c r="OLO34" s="3"/>
      <c r="OLP34" s="3"/>
      <c r="OLQ34" s="3"/>
      <c r="OLR34" s="3"/>
      <c r="OLS34" s="3"/>
      <c r="OLT34" s="3"/>
      <c r="OLU34" s="3"/>
      <c r="OLV34" s="3"/>
      <c r="OLW34" s="3"/>
      <c r="OLX34" s="3"/>
      <c r="OLY34" s="3"/>
      <c r="OLZ34" s="3"/>
      <c r="OMA34" s="3"/>
      <c r="OMB34" s="3"/>
      <c r="OMC34" s="3"/>
      <c r="OMD34" s="3"/>
      <c r="OME34" s="3"/>
      <c r="OMF34" s="3"/>
      <c r="OMG34" s="3"/>
      <c r="OMH34" s="3"/>
      <c r="OMI34" s="3"/>
      <c r="OMJ34" s="3"/>
      <c r="OMK34" s="3"/>
      <c r="OML34" s="3"/>
      <c r="OMM34" s="3"/>
      <c r="OMN34" s="3"/>
      <c r="OMO34" s="3"/>
      <c r="OMP34" s="3"/>
      <c r="OMQ34" s="3"/>
      <c r="OMR34" s="3"/>
      <c r="OMS34" s="3"/>
      <c r="OMT34" s="3"/>
      <c r="OMU34" s="3"/>
      <c r="OMV34" s="3"/>
      <c r="OMW34" s="3"/>
      <c r="OMX34" s="3"/>
      <c r="OMY34" s="3"/>
      <c r="OMZ34" s="3"/>
      <c r="ONA34" s="3"/>
      <c r="ONB34" s="3"/>
      <c r="ONC34" s="3"/>
      <c r="OND34" s="3"/>
      <c r="ONE34" s="3"/>
      <c r="ONF34" s="3"/>
      <c r="ONG34" s="3"/>
      <c r="ONH34" s="3"/>
      <c r="ONI34" s="3"/>
      <c r="ONJ34" s="3"/>
      <c r="ONK34" s="3"/>
      <c r="ONL34" s="3"/>
      <c r="ONM34" s="3"/>
      <c r="ONN34" s="3"/>
      <c r="ONO34" s="3"/>
      <c r="ONP34" s="3"/>
      <c r="ONQ34" s="3"/>
      <c r="ONR34" s="3"/>
      <c r="ONS34" s="3"/>
      <c r="ONT34" s="3"/>
      <c r="ONU34" s="3"/>
      <c r="ONV34" s="3"/>
      <c r="ONW34" s="3"/>
      <c r="ONX34" s="3"/>
      <c r="ONY34" s="3"/>
      <c r="ONZ34" s="3"/>
      <c r="OOA34" s="3"/>
      <c r="OOB34" s="3"/>
      <c r="OOC34" s="3"/>
      <c r="OOD34" s="3"/>
      <c r="OOE34" s="3"/>
      <c r="OOF34" s="3"/>
      <c r="OOG34" s="3"/>
      <c r="OOH34" s="3"/>
      <c r="OOI34" s="3"/>
      <c r="OOJ34" s="3"/>
      <c r="OOK34" s="3"/>
      <c r="OOL34" s="3"/>
      <c r="OOM34" s="3"/>
      <c r="OON34" s="3"/>
      <c r="OOO34" s="3"/>
      <c r="OOP34" s="3"/>
      <c r="OOQ34" s="3"/>
      <c r="OOR34" s="3"/>
      <c r="OOS34" s="3"/>
      <c r="OOT34" s="3"/>
      <c r="OOU34" s="3"/>
      <c r="OOV34" s="3"/>
      <c r="OOW34" s="3"/>
      <c r="OOX34" s="3"/>
      <c r="OOY34" s="3"/>
      <c r="OOZ34" s="3"/>
      <c r="OPA34" s="3"/>
      <c r="OPB34" s="3"/>
      <c r="OPC34" s="3"/>
      <c r="OPD34" s="3"/>
      <c r="OPE34" s="3"/>
      <c r="OPF34" s="3"/>
      <c r="OPG34" s="3"/>
      <c r="OPH34" s="3"/>
      <c r="OPI34" s="3"/>
      <c r="OPJ34" s="3"/>
      <c r="OPK34" s="3"/>
      <c r="OPL34" s="3"/>
      <c r="OPM34" s="3"/>
      <c r="OPN34" s="3"/>
      <c r="OPO34" s="3"/>
      <c r="OPP34" s="3"/>
      <c r="OPQ34" s="3"/>
      <c r="OPR34" s="3"/>
      <c r="OPS34" s="3"/>
      <c r="OPT34" s="3"/>
      <c r="OPU34" s="3"/>
      <c r="OPV34" s="3"/>
      <c r="OPW34" s="3"/>
      <c r="OPX34" s="3"/>
      <c r="OPY34" s="3"/>
      <c r="OPZ34" s="3"/>
      <c r="OQA34" s="3"/>
      <c r="OQB34" s="3"/>
      <c r="OQC34" s="3"/>
      <c r="OQD34" s="3"/>
      <c r="OQE34" s="3"/>
      <c r="OQF34" s="3"/>
      <c r="OQG34" s="3"/>
      <c r="OQH34" s="3"/>
      <c r="OQI34" s="3"/>
      <c r="OQJ34" s="3"/>
      <c r="OQK34" s="3"/>
      <c r="OQL34" s="3"/>
      <c r="OQM34" s="3"/>
      <c r="OQN34" s="3"/>
      <c r="OQO34" s="3"/>
      <c r="OQP34" s="3"/>
      <c r="OQQ34" s="3"/>
      <c r="OQR34" s="3"/>
      <c r="OQS34" s="3"/>
      <c r="OQT34" s="3"/>
      <c r="OQU34" s="3"/>
      <c r="OQV34" s="3"/>
      <c r="OQW34" s="3"/>
      <c r="OQX34" s="3"/>
      <c r="OQY34" s="3"/>
      <c r="OQZ34" s="3"/>
      <c r="ORA34" s="3"/>
      <c r="ORB34" s="3"/>
      <c r="ORC34" s="3"/>
      <c r="ORD34" s="3"/>
      <c r="ORE34" s="3"/>
      <c r="ORF34" s="3"/>
      <c r="ORG34" s="3"/>
      <c r="ORH34" s="3"/>
      <c r="ORI34" s="3"/>
      <c r="ORJ34" s="3"/>
      <c r="ORK34" s="3"/>
      <c r="ORL34" s="3"/>
      <c r="ORM34" s="3"/>
      <c r="ORN34" s="3"/>
      <c r="ORO34" s="3"/>
      <c r="ORP34" s="3"/>
      <c r="ORQ34" s="3"/>
      <c r="ORR34" s="3"/>
      <c r="ORS34" s="3"/>
      <c r="ORT34" s="3"/>
      <c r="ORU34" s="3"/>
      <c r="ORV34" s="3"/>
      <c r="ORW34" s="3"/>
      <c r="ORX34" s="3"/>
      <c r="ORY34" s="3"/>
      <c r="ORZ34" s="3"/>
      <c r="OSA34" s="3"/>
      <c r="OSB34" s="3"/>
      <c r="OSC34" s="3"/>
      <c r="OSD34" s="3"/>
      <c r="OSE34" s="3"/>
      <c r="OSF34" s="3"/>
      <c r="OSG34" s="3"/>
      <c r="OSH34" s="3"/>
      <c r="OSI34" s="3"/>
      <c r="OSJ34" s="3"/>
      <c r="OSK34" s="3"/>
      <c r="OSL34" s="3"/>
      <c r="OSM34" s="3"/>
      <c r="OSN34" s="3"/>
      <c r="OSO34" s="3"/>
      <c r="OSP34" s="3"/>
      <c r="OSQ34" s="3"/>
      <c r="OSR34" s="3"/>
      <c r="OSS34" s="3"/>
      <c r="OST34" s="3"/>
      <c r="OSU34" s="3"/>
      <c r="OSV34" s="3"/>
      <c r="OSW34" s="3"/>
      <c r="OSX34" s="3"/>
      <c r="OSY34" s="3"/>
      <c r="OSZ34" s="3"/>
      <c r="OTA34" s="3"/>
      <c r="OTB34" s="3"/>
      <c r="OTC34" s="3"/>
      <c r="OTD34" s="3"/>
      <c r="OTE34" s="3"/>
      <c r="OTF34" s="3"/>
      <c r="OTG34" s="3"/>
      <c r="OTH34" s="3"/>
      <c r="OTI34" s="3"/>
      <c r="OTJ34" s="3"/>
      <c r="OTK34" s="3"/>
      <c r="OTL34" s="3"/>
      <c r="OTM34" s="3"/>
      <c r="OTN34" s="3"/>
      <c r="OTO34" s="3"/>
      <c r="OTP34" s="3"/>
      <c r="OTQ34" s="3"/>
      <c r="OTR34" s="3"/>
      <c r="OTS34" s="3"/>
      <c r="OTT34" s="3"/>
      <c r="OTU34" s="3"/>
      <c r="OTV34" s="3"/>
      <c r="OTW34" s="3"/>
      <c r="OTX34" s="3"/>
      <c r="OTY34" s="3"/>
      <c r="OTZ34" s="3"/>
      <c r="OUA34" s="3"/>
      <c r="OUB34" s="3"/>
      <c r="OUC34" s="3"/>
      <c r="OUD34" s="3"/>
      <c r="OUE34" s="3"/>
      <c r="OUF34" s="3"/>
      <c r="OUG34" s="3"/>
      <c r="OUH34" s="3"/>
      <c r="OUI34" s="3"/>
      <c r="OUJ34" s="3"/>
      <c r="OUK34" s="3"/>
      <c r="OUL34" s="3"/>
      <c r="OUM34" s="3"/>
      <c r="OUN34" s="3"/>
      <c r="OUO34" s="3"/>
      <c r="OUP34" s="3"/>
      <c r="OUQ34" s="3"/>
      <c r="OUR34" s="3"/>
      <c r="OUS34" s="3"/>
      <c r="OUT34" s="3"/>
      <c r="OUU34" s="3"/>
      <c r="OUV34" s="3"/>
      <c r="OUW34" s="3"/>
      <c r="OUX34" s="3"/>
      <c r="OUY34" s="3"/>
      <c r="OUZ34" s="3"/>
      <c r="OVA34" s="3"/>
      <c r="OVB34" s="3"/>
      <c r="OVC34" s="3"/>
      <c r="OVD34" s="3"/>
      <c r="OVE34" s="3"/>
      <c r="OVF34" s="3"/>
      <c r="OVG34" s="3"/>
      <c r="OVH34" s="3"/>
      <c r="OVI34" s="3"/>
      <c r="OVJ34" s="3"/>
      <c r="OVK34" s="3"/>
      <c r="OVL34" s="3"/>
      <c r="OVM34" s="3"/>
      <c r="OVN34" s="3"/>
      <c r="OVO34" s="3"/>
      <c r="OVP34" s="3"/>
      <c r="OVQ34" s="3"/>
      <c r="OVR34" s="3"/>
      <c r="OVS34" s="3"/>
      <c r="OVT34" s="3"/>
      <c r="OVU34" s="3"/>
      <c r="OVV34" s="3"/>
      <c r="OVW34" s="3"/>
      <c r="OVX34" s="3"/>
      <c r="OVY34" s="3"/>
      <c r="OVZ34" s="3"/>
      <c r="OWA34" s="3"/>
      <c r="OWB34" s="3"/>
      <c r="OWC34" s="3"/>
      <c r="OWD34" s="3"/>
      <c r="OWE34" s="3"/>
      <c r="OWF34" s="3"/>
      <c r="OWG34" s="3"/>
      <c r="OWH34" s="3"/>
      <c r="OWI34" s="3"/>
      <c r="OWJ34" s="3"/>
      <c r="OWK34" s="3"/>
      <c r="OWL34" s="3"/>
      <c r="OWM34" s="3"/>
      <c r="OWN34" s="3"/>
      <c r="OWO34" s="3"/>
      <c r="OWP34" s="3"/>
      <c r="OWQ34" s="3"/>
      <c r="OWR34" s="3"/>
      <c r="OWS34" s="3"/>
      <c r="OWT34" s="3"/>
      <c r="OWU34" s="3"/>
      <c r="OWV34" s="3"/>
      <c r="OWW34" s="3"/>
      <c r="OWX34" s="3"/>
      <c r="OWY34" s="3"/>
      <c r="OWZ34" s="3"/>
      <c r="OXA34" s="3"/>
      <c r="OXB34" s="3"/>
      <c r="OXC34" s="3"/>
      <c r="OXD34" s="3"/>
      <c r="OXE34" s="3"/>
      <c r="OXF34" s="3"/>
      <c r="OXG34" s="3"/>
      <c r="OXH34" s="3"/>
      <c r="OXI34" s="3"/>
      <c r="OXJ34" s="3"/>
      <c r="OXK34" s="3"/>
      <c r="OXL34" s="3"/>
      <c r="OXM34" s="3"/>
      <c r="OXN34" s="3"/>
      <c r="OXO34" s="3"/>
      <c r="OXP34" s="3"/>
      <c r="OXQ34" s="3"/>
      <c r="OXR34" s="3"/>
      <c r="OXS34" s="3"/>
      <c r="OXT34" s="3"/>
      <c r="OXU34" s="3"/>
      <c r="OXV34" s="3"/>
      <c r="OXW34" s="3"/>
      <c r="OXX34" s="3"/>
      <c r="OXY34" s="3"/>
      <c r="OXZ34" s="3"/>
      <c r="OYA34" s="3"/>
      <c r="OYB34" s="3"/>
      <c r="OYC34" s="3"/>
      <c r="OYD34" s="3"/>
      <c r="OYE34" s="3"/>
      <c r="OYF34" s="3"/>
      <c r="OYG34" s="3"/>
      <c r="OYH34" s="3"/>
      <c r="OYI34" s="3"/>
      <c r="OYJ34" s="3"/>
      <c r="OYK34" s="3"/>
      <c r="OYL34" s="3"/>
      <c r="OYM34" s="3"/>
      <c r="OYN34" s="3"/>
      <c r="OYO34" s="3"/>
      <c r="OYP34" s="3"/>
      <c r="OYQ34" s="3"/>
      <c r="OYR34" s="3"/>
      <c r="OYS34" s="3"/>
      <c r="OYT34" s="3"/>
      <c r="OYU34" s="3"/>
      <c r="OYV34" s="3"/>
      <c r="OYW34" s="3"/>
      <c r="OYX34" s="3"/>
      <c r="OYY34" s="3"/>
      <c r="OYZ34" s="3"/>
      <c r="OZA34" s="3"/>
      <c r="OZB34" s="3"/>
      <c r="OZC34" s="3"/>
      <c r="OZD34" s="3"/>
      <c r="OZE34" s="3"/>
      <c r="OZF34" s="3"/>
      <c r="OZG34" s="3"/>
      <c r="OZH34" s="3"/>
      <c r="OZI34" s="3"/>
      <c r="OZJ34" s="3"/>
      <c r="OZK34" s="3"/>
      <c r="OZL34" s="3"/>
      <c r="OZM34" s="3"/>
      <c r="OZN34" s="3"/>
      <c r="OZO34" s="3"/>
      <c r="OZP34" s="3"/>
      <c r="OZQ34" s="3"/>
      <c r="OZR34" s="3"/>
      <c r="OZS34" s="3"/>
      <c r="OZT34" s="3"/>
      <c r="OZU34" s="3"/>
      <c r="OZV34" s="3"/>
      <c r="OZW34" s="3"/>
      <c r="OZX34" s="3"/>
      <c r="OZY34" s="3"/>
      <c r="OZZ34" s="3"/>
      <c r="PAA34" s="3"/>
      <c r="PAB34" s="3"/>
      <c r="PAC34" s="3"/>
      <c r="PAD34" s="3"/>
      <c r="PAE34" s="3"/>
      <c r="PAF34" s="3"/>
      <c r="PAG34" s="3"/>
      <c r="PAH34" s="3"/>
      <c r="PAI34" s="3"/>
      <c r="PAJ34" s="3"/>
      <c r="PAK34" s="3"/>
      <c r="PAL34" s="3"/>
      <c r="PAM34" s="3"/>
      <c r="PAN34" s="3"/>
      <c r="PAO34" s="3"/>
      <c r="PAP34" s="3"/>
      <c r="PAQ34" s="3"/>
      <c r="PAR34" s="3"/>
      <c r="PAS34" s="3"/>
      <c r="PAT34" s="3"/>
      <c r="PAU34" s="3"/>
      <c r="PAV34" s="3"/>
      <c r="PAW34" s="3"/>
      <c r="PAX34" s="3"/>
      <c r="PAY34" s="3"/>
      <c r="PAZ34" s="3"/>
      <c r="PBA34" s="3"/>
      <c r="PBB34" s="3"/>
      <c r="PBC34" s="3"/>
      <c r="PBD34" s="3"/>
      <c r="PBE34" s="3"/>
      <c r="PBF34" s="3"/>
      <c r="PBG34" s="3"/>
      <c r="PBH34" s="3"/>
      <c r="PBI34" s="3"/>
      <c r="PBJ34" s="3"/>
      <c r="PBK34" s="3"/>
      <c r="PBL34" s="3"/>
      <c r="PBM34" s="3"/>
      <c r="PBN34" s="3"/>
      <c r="PBO34" s="3"/>
      <c r="PBP34" s="3"/>
      <c r="PBQ34" s="3"/>
      <c r="PBR34" s="3"/>
      <c r="PBS34" s="3"/>
      <c r="PBT34" s="3"/>
      <c r="PBU34" s="3"/>
      <c r="PBV34" s="3"/>
      <c r="PBW34" s="3"/>
      <c r="PBX34" s="3"/>
      <c r="PBY34" s="3"/>
      <c r="PBZ34" s="3"/>
      <c r="PCA34" s="3"/>
      <c r="PCB34" s="3"/>
      <c r="PCC34" s="3"/>
      <c r="PCD34" s="3"/>
      <c r="PCE34" s="3"/>
      <c r="PCF34" s="3"/>
      <c r="PCG34" s="3"/>
      <c r="PCH34" s="3"/>
      <c r="PCI34" s="3"/>
      <c r="PCJ34" s="3"/>
      <c r="PCK34" s="3"/>
      <c r="PCL34" s="3"/>
      <c r="PCM34" s="3"/>
      <c r="PCN34" s="3"/>
      <c r="PCO34" s="3"/>
      <c r="PCP34" s="3"/>
      <c r="PCQ34" s="3"/>
      <c r="PCR34" s="3"/>
      <c r="PCS34" s="3"/>
      <c r="PCT34" s="3"/>
      <c r="PCU34" s="3"/>
      <c r="PCV34" s="3"/>
      <c r="PCW34" s="3"/>
      <c r="PCX34" s="3"/>
      <c r="PCY34" s="3"/>
      <c r="PCZ34" s="3"/>
      <c r="PDA34" s="3"/>
      <c r="PDB34" s="3"/>
      <c r="PDC34" s="3"/>
      <c r="PDD34" s="3"/>
      <c r="PDE34" s="3"/>
      <c r="PDF34" s="3"/>
      <c r="PDG34" s="3"/>
      <c r="PDH34" s="3"/>
      <c r="PDI34" s="3"/>
      <c r="PDJ34" s="3"/>
      <c r="PDK34" s="3"/>
      <c r="PDL34" s="3"/>
      <c r="PDM34" s="3"/>
      <c r="PDN34" s="3"/>
      <c r="PDO34" s="3"/>
      <c r="PDP34" s="3"/>
      <c r="PDQ34" s="3"/>
      <c r="PDR34" s="3"/>
      <c r="PDS34" s="3"/>
      <c r="PDT34" s="3"/>
      <c r="PDU34" s="3"/>
      <c r="PDV34" s="3"/>
      <c r="PDW34" s="3"/>
      <c r="PDX34" s="3"/>
      <c r="PDY34" s="3"/>
      <c r="PDZ34" s="3"/>
      <c r="PEA34" s="3"/>
      <c r="PEB34" s="3"/>
      <c r="PEC34" s="3"/>
      <c r="PED34" s="3"/>
      <c r="PEE34" s="3"/>
      <c r="PEF34" s="3"/>
      <c r="PEG34" s="3"/>
      <c r="PEH34" s="3"/>
      <c r="PEI34" s="3"/>
      <c r="PEJ34" s="3"/>
      <c r="PEK34" s="3"/>
      <c r="PEL34" s="3"/>
      <c r="PEM34" s="3"/>
      <c r="PEN34" s="3"/>
      <c r="PEO34" s="3"/>
      <c r="PEP34" s="3"/>
      <c r="PEQ34" s="3"/>
      <c r="PER34" s="3"/>
      <c r="PES34" s="3"/>
      <c r="PET34" s="3"/>
      <c r="PEU34" s="3"/>
      <c r="PEV34" s="3"/>
      <c r="PEW34" s="3"/>
      <c r="PEX34" s="3"/>
      <c r="PEY34" s="3"/>
      <c r="PEZ34" s="3"/>
      <c r="PFA34" s="3"/>
      <c r="PFB34" s="3"/>
      <c r="PFC34" s="3"/>
      <c r="PFD34" s="3"/>
      <c r="PFE34" s="3"/>
      <c r="PFF34" s="3"/>
      <c r="PFG34" s="3"/>
      <c r="PFH34" s="3"/>
      <c r="PFI34" s="3"/>
      <c r="PFJ34" s="3"/>
      <c r="PFK34" s="3"/>
      <c r="PFL34" s="3"/>
      <c r="PFM34" s="3"/>
      <c r="PFN34" s="3"/>
      <c r="PFO34" s="3"/>
      <c r="PFP34" s="3"/>
      <c r="PFQ34" s="3"/>
      <c r="PFR34" s="3"/>
      <c r="PFS34" s="3"/>
      <c r="PFT34" s="3"/>
      <c r="PFU34" s="3"/>
      <c r="PFV34" s="3"/>
      <c r="PFW34" s="3"/>
      <c r="PFX34" s="3"/>
      <c r="PFY34" s="3"/>
      <c r="PFZ34" s="3"/>
      <c r="PGA34" s="3"/>
      <c r="PGB34" s="3"/>
      <c r="PGC34" s="3"/>
      <c r="PGD34" s="3"/>
      <c r="PGE34" s="3"/>
      <c r="PGF34" s="3"/>
      <c r="PGG34" s="3"/>
      <c r="PGH34" s="3"/>
      <c r="PGI34" s="3"/>
      <c r="PGJ34" s="3"/>
      <c r="PGK34" s="3"/>
      <c r="PGL34" s="3"/>
      <c r="PGM34" s="3"/>
      <c r="PGN34" s="3"/>
      <c r="PGO34" s="3"/>
      <c r="PGP34" s="3"/>
      <c r="PGQ34" s="3"/>
      <c r="PGR34" s="3"/>
      <c r="PGS34" s="3"/>
      <c r="PGT34" s="3"/>
      <c r="PGU34" s="3"/>
      <c r="PGV34" s="3"/>
      <c r="PGW34" s="3"/>
      <c r="PGX34" s="3"/>
      <c r="PGY34" s="3"/>
      <c r="PGZ34" s="3"/>
      <c r="PHA34" s="3"/>
      <c r="PHB34" s="3"/>
      <c r="PHC34" s="3"/>
      <c r="PHD34" s="3"/>
      <c r="PHE34" s="3"/>
      <c r="PHF34" s="3"/>
      <c r="PHG34" s="3"/>
      <c r="PHH34" s="3"/>
      <c r="PHI34" s="3"/>
      <c r="PHJ34" s="3"/>
      <c r="PHK34" s="3"/>
      <c r="PHL34" s="3"/>
      <c r="PHM34" s="3"/>
      <c r="PHN34" s="3"/>
      <c r="PHO34" s="3"/>
      <c r="PHP34" s="3"/>
      <c r="PHQ34" s="3"/>
      <c r="PHR34" s="3"/>
      <c r="PHS34" s="3"/>
      <c r="PHT34" s="3"/>
      <c r="PHU34" s="3"/>
      <c r="PHV34" s="3"/>
      <c r="PHW34" s="3"/>
      <c r="PHX34" s="3"/>
      <c r="PHY34" s="3"/>
      <c r="PHZ34" s="3"/>
      <c r="PIA34" s="3"/>
      <c r="PIB34" s="3"/>
      <c r="PIC34" s="3"/>
      <c r="PID34" s="3"/>
      <c r="PIE34" s="3"/>
      <c r="PIF34" s="3"/>
      <c r="PIG34" s="3"/>
      <c r="PIH34" s="3"/>
      <c r="PII34" s="3"/>
      <c r="PIJ34" s="3"/>
      <c r="PIK34" s="3"/>
      <c r="PIL34" s="3"/>
      <c r="PIM34" s="3"/>
      <c r="PIN34" s="3"/>
      <c r="PIO34" s="3"/>
      <c r="PIP34" s="3"/>
      <c r="PIQ34" s="3"/>
      <c r="PIR34" s="3"/>
      <c r="PIS34" s="3"/>
      <c r="PIT34" s="3"/>
      <c r="PIU34" s="3"/>
      <c r="PIV34" s="3"/>
      <c r="PIW34" s="3"/>
      <c r="PIX34" s="3"/>
      <c r="PIY34" s="3"/>
      <c r="PIZ34" s="3"/>
      <c r="PJA34" s="3"/>
      <c r="PJB34" s="3"/>
      <c r="PJC34" s="3"/>
      <c r="PJD34" s="3"/>
      <c r="PJE34" s="3"/>
      <c r="PJF34" s="3"/>
      <c r="PJG34" s="3"/>
      <c r="PJH34" s="3"/>
      <c r="PJI34" s="3"/>
      <c r="PJJ34" s="3"/>
      <c r="PJK34" s="3"/>
      <c r="PJL34" s="3"/>
      <c r="PJM34" s="3"/>
      <c r="PJN34" s="3"/>
      <c r="PJO34" s="3"/>
      <c r="PJP34" s="3"/>
      <c r="PJQ34" s="3"/>
      <c r="PJR34" s="3"/>
      <c r="PJS34" s="3"/>
      <c r="PJT34" s="3"/>
      <c r="PJU34" s="3"/>
      <c r="PJV34" s="3"/>
      <c r="PJW34" s="3"/>
      <c r="PJX34" s="3"/>
      <c r="PJY34" s="3"/>
      <c r="PJZ34" s="3"/>
      <c r="PKA34" s="3"/>
      <c r="PKB34" s="3"/>
      <c r="PKC34" s="3"/>
      <c r="PKD34" s="3"/>
      <c r="PKE34" s="3"/>
      <c r="PKF34" s="3"/>
      <c r="PKG34" s="3"/>
      <c r="PKH34" s="3"/>
      <c r="PKI34" s="3"/>
      <c r="PKJ34" s="3"/>
      <c r="PKK34" s="3"/>
      <c r="PKL34" s="3"/>
      <c r="PKM34" s="3"/>
      <c r="PKN34" s="3"/>
      <c r="PKO34" s="3"/>
      <c r="PKP34" s="3"/>
      <c r="PKQ34" s="3"/>
      <c r="PKR34" s="3"/>
      <c r="PKS34" s="3"/>
      <c r="PKT34" s="3"/>
      <c r="PKU34" s="3"/>
      <c r="PKV34" s="3"/>
      <c r="PKW34" s="3"/>
      <c r="PKX34" s="3"/>
      <c r="PKY34" s="3"/>
      <c r="PKZ34" s="3"/>
      <c r="PLA34" s="3"/>
      <c r="PLB34" s="3"/>
      <c r="PLC34" s="3"/>
      <c r="PLD34" s="3"/>
      <c r="PLE34" s="3"/>
      <c r="PLF34" s="3"/>
      <c r="PLG34" s="3"/>
      <c r="PLH34" s="3"/>
      <c r="PLI34" s="3"/>
      <c r="PLJ34" s="3"/>
      <c r="PLK34" s="3"/>
      <c r="PLL34" s="3"/>
      <c r="PLM34" s="3"/>
      <c r="PLN34" s="3"/>
      <c r="PLO34" s="3"/>
      <c r="PLP34" s="3"/>
      <c r="PLQ34" s="3"/>
      <c r="PLR34" s="3"/>
      <c r="PLS34" s="3"/>
      <c r="PLT34" s="3"/>
      <c r="PLU34" s="3"/>
      <c r="PLV34" s="3"/>
      <c r="PLW34" s="3"/>
      <c r="PLX34" s="3"/>
      <c r="PLY34" s="3"/>
      <c r="PLZ34" s="3"/>
      <c r="PMA34" s="3"/>
      <c r="PMB34" s="3"/>
      <c r="PMC34" s="3"/>
      <c r="PMD34" s="3"/>
      <c r="PME34" s="3"/>
      <c r="PMF34" s="3"/>
      <c r="PMG34" s="3"/>
      <c r="PMH34" s="3"/>
      <c r="PMI34" s="3"/>
      <c r="PMJ34" s="3"/>
      <c r="PMK34" s="3"/>
      <c r="PML34" s="3"/>
      <c r="PMM34" s="3"/>
      <c r="PMN34" s="3"/>
      <c r="PMO34" s="3"/>
      <c r="PMP34" s="3"/>
      <c r="PMQ34" s="3"/>
      <c r="PMR34" s="3"/>
      <c r="PMS34" s="3"/>
      <c r="PMT34" s="3"/>
      <c r="PMU34" s="3"/>
      <c r="PMV34" s="3"/>
      <c r="PMW34" s="3"/>
      <c r="PMX34" s="3"/>
      <c r="PMY34" s="3"/>
      <c r="PMZ34" s="3"/>
      <c r="PNA34" s="3"/>
      <c r="PNB34" s="3"/>
      <c r="PNC34" s="3"/>
      <c r="PND34" s="3"/>
      <c r="PNE34" s="3"/>
      <c r="PNF34" s="3"/>
      <c r="PNG34" s="3"/>
      <c r="PNH34" s="3"/>
      <c r="PNI34" s="3"/>
      <c r="PNJ34" s="3"/>
      <c r="PNK34" s="3"/>
      <c r="PNL34" s="3"/>
      <c r="PNM34" s="3"/>
      <c r="PNN34" s="3"/>
      <c r="PNO34" s="3"/>
      <c r="PNP34" s="3"/>
      <c r="PNQ34" s="3"/>
      <c r="PNR34" s="3"/>
      <c r="PNS34" s="3"/>
      <c r="PNT34" s="3"/>
      <c r="PNU34" s="3"/>
      <c r="PNV34" s="3"/>
      <c r="PNW34" s="3"/>
      <c r="PNX34" s="3"/>
      <c r="PNY34" s="3"/>
      <c r="PNZ34" s="3"/>
      <c r="POA34" s="3"/>
      <c r="POB34" s="3"/>
      <c r="POC34" s="3"/>
      <c r="POD34" s="3"/>
      <c r="POE34" s="3"/>
      <c r="POF34" s="3"/>
      <c r="POG34" s="3"/>
      <c r="POH34" s="3"/>
      <c r="POI34" s="3"/>
      <c r="POJ34" s="3"/>
      <c r="POK34" s="3"/>
      <c r="POL34" s="3"/>
      <c r="POM34" s="3"/>
      <c r="PON34" s="3"/>
      <c r="POO34" s="3"/>
      <c r="POP34" s="3"/>
      <c r="POQ34" s="3"/>
      <c r="POR34" s="3"/>
      <c r="POS34" s="3"/>
      <c r="POT34" s="3"/>
      <c r="POU34" s="3"/>
      <c r="POV34" s="3"/>
      <c r="POW34" s="3"/>
      <c r="POX34" s="3"/>
      <c r="POY34" s="3"/>
      <c r="POZ34" s="3"/>
      <c r="PPA34" s="3"/>
      <c r="PPB34" s="3"/>
      <c r="PPC34" s="3"/>
      <c r="PPD34" s="3"/>
      <c r="PPE34" s="3"/>
      <c r="PPF34" s="3"/>
      <c r="PPG34" s="3"/>
      <c r="PPH34" s="3"/>
      <c r="PPI34" s="3"/>
      <c r="PPJ34" s="3"/>
      <c r="PPK34" s="3"/>
      <c r="PPL34" s="3"/>
      <c r="PPM34" s="3"/>
      <c r="PPN34" s="3"/>
      <c r="PPO34" s="3"/>
      <c r="PPP34" s="3"/>
      <c r="PPQ34" s="3"/>
      <c r="PPR34" s="3"/>
      <c r="PPS34" s="3"/>
      <c r="PPT34" s="3"/>
      <c r="PPU34" s="3"/>
      <c r="PPV34" s="3"/>
      <c r="PPW34" s="3"/>
      <c r="PPX34" s="3"/>
      <c r="PPY34" s="3"/>
      <c r="PPZ34" s="3"/>
      <c r="PQA34" s="3"/>
      <c r="PQB34" s="3"/>
      <c r="PQC34" s="3"/>
      <c r="PQD34" s="3"/>
      <c r="PQE34" s="3"/>
      <c r="PQF34" s="3"/>
      <c r="PQG34" s="3"/>
      <c r="PQH34" s="3"/>
      <c r="PQI34" s="3"/>
      <c r="PQJ34" s="3"/>
      <c r="PQK34" s="3"/>
      <c r="PQL34" s="3"/>
      <c r="PQM34" s="3"/>
      <c r="PQN34" s="3"/>
      <c r="PQO34" s="3"/>
      <c r="PQP34" s="3"/>
      <c r="PQQ34" s="3"/>
      <c r="PQR34" s="3"/>
      <c r="PQS34" s="3"/>
      <c r="PQT34" s="3"/>
      <c r="PQU34" s="3"/>
      <c r="PQV34" s="3"/>
      <c r="PQW34" s="3"/>
      <c r="PQX34" s="3"/>
      <c r="PQY34" s="3"/>
      <c r="PQZ34" s="3"/>
      <c r="PRA34" s="3"/>
      <c r="PRB34" s="3"/>
      <c r="PRC34" s="3"/>
      <c r="PRD34" s="3"/>
      <c r="PRE34" s="3"/>
      <c r="PRF34" s="3"/>
      <c r="PRG34" s="3"/>
      <c r="PRH34" s="3"/>
      <c r="PRI34" s="3"/>
      <c r="PRJ34" s="3"/>
      <c r="PRK34" s="3"/>
      <c r="PRL34" s="3"/>
      <c r="PRM34" s="3"/>
      <c r="PRN34" s="3"/>
      <c r="PRO34" s="3"/>
      <c r="PRP34" s="3"/>
      <c r="PRQ34" s="3"/>
      <c r="PRR34" s="3"/>
      <c r="PRS34" s="3"/>
      <c r="PRT34" s="3"/>
      <c r="PRU34" s="3"/>
      <c r="PRV34" s="3"/>
      <c r="PRW34" s="3"/>
      <c r="PRX34" s="3"/>
      <c r="PRY34" s="3"/>
      <c r="PRZ34" s="3"/>
      <c r="PSA34" s="3"/>
      <c r="PSB34" s="3"/>
      <c r="PSC34" s="3"/>
      <c r="PSD34" s="3"/>
      <c r="PSE34" s="3"/>
      <c r="PSF34" s="3"/>
      <c r="PSG34" s="3"/>
      <c r="PSH34" s="3"/>
      <c r="PSI34" s="3"/>
      <c r="PSJ34" s="3"/>
      <c r="PSK34" s="3"/>
      <c r="PSL34" s="3"/>
      <c r="PSM34" s="3"/>
      <c r="PSN34" s="3"/>
      <c r="PSO34" s="3"/>
      <c r="PSP34" s="3"/>
      <c r="PSQ34" s="3"/>
      <c r="PSR34" s="3"/>
      <c r="PSS34" s="3"/>
      <c r="PST34" s="3"/>
      <c r="PSU34" s="3"/>
      <c r="PSV34" s="3"/>
      <c r="PSW34" s="3"/>
      <c r="PSX34" s="3"/>
      <c r="PSY34" s="3"/>
      <c r="PSZ34" s="3"/>
      <c r="PTA34" s="3"/>
      <c r="PTB34" s="3"/>
      <c r="PTC34" s="3"/>
      <c r="PTD34" s="3"/>
      <c r="PTE34" s="3"/>
      <c r="PTF34" s="3"/>
      <c r="PTG34" s="3"/>
      <c r="PTH34" s="3"/>
      <c r="PTI34" s="3"/>
      <c r="PTJ34" s="3"/>
      <c r="PTK34" s="3"/>
      <c r="PTL34" s="3"/>
      <c r="PTM34" s="3"/>
      <c r="PTN34" s="3"/>
      <c r="PTO34" s="3"/>
      <c r="PTP34" s="3"/>
      <c r="PTQ34" s="3"/>
      <c r="PTR34" s="3"/>
      <c r="PTS34" s="3"/>
      <c r="PTT34" s="3"/>
      <c r="PTU34" s="3"/>
      <c r="PTV34" s="3"/>
      <c r="PTW34" s="3"/>
      <c r="PTX34" s="3"/>
      <c r="PTY34" s="3"/>
      <c r="PTZ34" s="3"/>
      <c r="PUA34" s="3"/>
      <c r="PUB34" s="3"/>
      <c r="PUC34" s="3"/>
      <c r="PUD34" s="3"/>
      <c r="PUE34" s="3"/>
      <c r="PUF34" s="3"/>
      <c r="PUG34" s="3"/>
      <c r="PUH34" s="3"/>
      <c r="PUI34" s="3"/>
      <c r="PUJ34" s="3"/>
      <c r="PUK34" s="3"/>
      <c r="PUL34" s="3"/>
      <c r="PUM34" s="3"/>
      <c r="PUN34" s="3"/>
      <c r="PUO34" s="3"/>
      <c r="PUP34" s="3"/>
      <c r="PUQ34" s="3"/>
      <c r="PUR34" s="3"/>
      <c r="PUS34" s="3"/>
      <c r="PUT34" s="3"/>
      <c r="PUU34" s="3"/>
      <c r="PUV34" s="3"/>
      <c r="PUW34" s="3"/>
      <c r="PUX34" s="3"/>
      <c r="PUY34" s="3"/>
      <c r="PUZ34" s="3"/>
      <c r="PVA34" s="3"/>
      <c r="PVB34" s="3"/>
      <c r="PVC34" s="3"/>
      <c r="PVD34" s="3"/>
      <c r="PVE34" s="3"/>
      <c r="PVF34" s="3"/>
      <c r="PVG34" s="3"/>
      <c r="PVH34" s="3"/>
      <c r="PVI34" s="3"/>
      <c r="PVJ34" s="3"/>
      <c r="PVK34" s="3"/>
      <c r="PVL34" s="3"/>
      <c r="PVM34" s="3"/>
      <c r="PVN34" s="3"/>
      <c r="PVO34" s="3"/>
      <c r="PVP34" s="3"/>
      <c r="PVQ34" s="3"/>
      <c r="PVR34" s="3"/>
      <c r="PVS34" s="3"/>
      <c r="PVT34" s="3"/>
      <c r="PVU34" s="3"/>
      <c r="PVV34" s="3"/>
      <c r="PVW34" s="3"/>
      <c r="PVX34" s="3"/>
      <c r="PVY34" s="3"/>
      <c r="PVZ34" s="3"/>
      <c r="PWA34" s="3"/>
      <c r="PWB34" s="3"/>
      <c r="PWC34" s="3"/>
      <c r="PWD34" s="3"/>
      <c r="PWE34" s="3"/>
      <c r="PWF34" s="3"/>
      <c r="PWG34" s="3"/>
      <c r="PWH34" s="3"/>
      <c r="PWI34" s="3"/>
      <c r="PWJ34" s="3"/>
      <c r="PWK34" s="3"/>
      <c r="PWL34" s="3"/>
      <c r="PWM34" s="3"/>
      <c r="PWN34" s="3"/>
      <c r="PWO34" s="3"/>
      <c r="PWP34" s="3"/>
      <c r="PWQ34" s="3"/>
      <c r="PWR34" s="3"/>
      <c r="PWS34" s="3"/>
      <c r="PWT34" s="3"/>
      <c r="PWU34" s="3"/>
      <c r="PWV34" s="3"/>
      <c r="PWW34" s="3"/>
      <c r="PWX34" s="3"/>
      <c r="PWY34" s="3"/>
      <c r="PWZ34" s="3"/>
      <c r="PXA34" s="3"/>
      <c r="PXB34" s="3"/>
      <c r="PXC34" s="3"/>
      <c r="PXD34" s="3"/>
      <c r="PXE34" s="3"/>
      <c r="PXF34" s="3"/>
      <c r="PXG34" s="3"/>
      <c r="PXH34" s="3"/>
      <c r="PXI34" s="3"/>
      <c r="PXJ34" s="3"/>
      <c r="PXK34" s="3"/>
      <c r="PXL34" s="3"/>
      <c r="PXM34" s="3"/>
      <c r="PXN34" s="3"/>
      <c r="PXO34" s="3"/>
      <c r="PXP34" s="3"/>
      <c r="PXQ34" s="3"/>
      <c r="PXR34" s="3"/>
      <c r="PXS34" s="3"/>
      <c r="PXT34" s="3"/>
      <c r="PXU34" s="3"/>
      <c r="PXV34" s="3"/>
      <c r="PXW34" s="3"/>
      <c r="PXX34" s="3"/>
      <c r="PXY34" s="3"/>
      <c r="PXZ34" s="3"/>
      <c r="PYA34" s="3"/>
      <c r="PYB34" s="3"/>
      <c r="PYC34" s="3"/>
      <c r="PYD34" s="3"/>
      <c r="PYE34" s="3"/>
      <c r="PYF34" s="3"/>
      <c r="PYG34" s="3"/>
      <c r="PYH34" s="3"/>
      <c r="PYI34" s="3"/>
      <c r="PYJ34" s="3"/>
      <c r="PYK34" s="3"/>
      <c r="PYL34" s="3"/>
      <c r="PYM34" s="3"/>
      <c r="PYN34" s="3"/>
      <c r="PYO34" s="3"/>
      <c r="PYP34" s="3"/>
      <c r="PYQ34" s="3"/>
      <c r="PYR34" s="3"/>
      <c r="PYS34" s="3"/>
      <c r="PYT34" s="3"/>
      <c r="PYU34" s="3"/>
      <c r="PYV34" s="3"/>
      <c r="PYW34" s="3"/>
      <c r="PYX34" s="3"/>
      <c r="PYY34" s="3"/>
      <c r="PYZ34" s="3"/>
      <c r="PZA34" s="3"/>
      <c r="PZB34" s="3"/>
      <c r="PZC34" s="3"/>
      <c r="PZD34" s="3"/>
      <c r="PZE34" s="3"/>
      <c r="PZF34" s="3"/>
      <c r="PZG34" s="3"/>
      <c r="PZH34" s="3"/>
      <c r="PZI34" s="3"/>
      <c r="PZJ34" s="3"/>
      <c r="PZK34" s="3"/>
      <c r="PZL34" s="3"/>
      <c r="PZM34" s="3"/>
      <c r="PZN34" s="3"/>
      <c r="PZO34" s="3"/>
      <c r="PZP34" s="3"/>
      <c r="PZQ34" s="3"/>
      <c r="PZR34" s="3"/>
      <c r="PZS34" s="3"/>
      <c r="PZT34" s="3"/>
      <c r="PZU34" s="3"/>
      <c r="PZV34" s="3"/>
      <c r="PZW34" s="3"/>
      <c r="PZX34" s="3"/>
      <c r="PZY34" s="3"/>
      <c r="PZZ34" s="3"/>
      <c r="QAA34" s="3"/>
      <c r="QAB34" s="3"/>
      <c r="QAC34" s="3"/>
      <c r="QAD34" s="3"/>
      <c r="QAE34" s="3"/>
      <c r="QAF34" s="3"/>
      <c r="QAG34" s="3"/>
      <c r="QAH34" s="3"/>
      <c r="QAI34" s="3"/>
      <c r="QAJ34" s="3"/>
      <c r="QAK34" s="3"/>
      <c r="QAL34" s="3"/>
      <c r="QAM34" s="3"/>
      <c r="QAN34" s="3"/>
      <c r="QAO34" s="3"/>
      <c r="QAP34" s="3"/>
      <c r="QAQ34" s="3"/>
      <c r="QAR34" s="3"/>
      <c r="QAS34" s="3"/>
      <c r="QAT34" s="3"/>
      <c r="QAU34" s="3"/>
      <c r="QAV34" s="3"/>
      <c r="QAW34" s="3"/>
      <c r="QAX34" s="3"/>
      <c r="QAY34" s="3"/>
      <c r="QAZ34" s="3"/>
      <c r="QBA34" s="3"/>
      <c r="QBB34" s="3"/>
      <c r="QBC34" s="3"/>
      <c r="QBD34" s="3"/>
      <c r="QBE34" s="3"/>
      <c r="QBF34" s="3"/>
      <c r="QBG34" s="3"/>
      <c r="QBH34" s="3"/>
      <c r="QBI34" s="3"/>
      <c r="QBJ34" s="3"/>
      <c r="QBK34" s="3"/>
      <c r="QBL34" s="3"/>
      <c r="QBM34" s="3"/>
      <c r="QBN34" s="3"/>
      <c r="QBO34" s="3"/>
      <c r="QBP34" s="3"/>
      <c r="QBQ34" s="3"/>
      <c r="QBR34" s="3"/>
      <c r="QBS34" s="3"/>
      <c r="QBT34" s="3"/>
      <c r="QBU34" s="3"/>
      <c r="QBV34" s="3"/>
      <c r="QBW34" s="3"/>
      <c r="QBX34" s="3"/>
      <c r="QBY34" s="3"/>
      <c r="QBZ34" s="3"/>
      <c r="QCA34" s="3"/>
      <c r="QCB34" s="3"/>
      <c r="QCC34" s="3"/>
      <c r="QCD34" s="3"/>
      <c r="QCE34" s="3"/>
      <c r="QCF34" s="3"/>
      <c r="QCG34" s="3"/>
      <c r="QCH34" s="3"/>
      <c r="QCI34" s="3"/>
      <c r="QCJ34" s="3"/>
      <c r="QCK34" s="3"/>
      <c r="QCL34" s="3"/>
      <c r="QCM34" s="3"/>
      <c r="QCN34" s="3"/>
      <c r="QCO34" s="3"/>
      <c r="QCP34" s="3"/>
      <c r="QCQ34" s="3"/>
      <c r="QCR34" s="3"/>
      <c r="QCS34" s="3"/>
      <c r="QCT34" s="3"/>
      <c r="QCU34" s="3"/>
      <c r="QCV34" s="3"/>
      <c r="QCW34" s="3"/>
      <c r="QCX34" s="3"/>
      <c r="QCY34" s="3"/>
      <c r="QCZ34" s="3"/>
      <c r="QDA34" s="3"/>
      <c r="QDB34" s="3"/>
      <c r="QDC34" s="3"/>
      <c r="QDD34" s="3"/>
      <c r="QDE34" s="3"/>
      <c r="QDF34" s="3"/>
      <c r="QDG34" s="3"/>
      <c r="QDH34" s="3"/>
      <c r="QDI34" s="3"/>
      <c r="QDJ34" s="3"/>
      <c r="QDK34" s="3"/>
      <c r="QDL34" s="3"/>
      <c r="QDM34" s="3"/>
      <c r="QDN34" s="3"/>
      <c r="QDO34" s="3"/>
      <c r="QDP34" s="3"/>
      <c r="QDQ34" s="3"/>
      <c r="QDR34" s="3"/>
      <c r="QDS34" s="3"/>
      <c r="QDT34" s="3"/>
      <c r="QDU34" s="3"/>
      <c r="QDV34" s="3"/>
      <c r="QDW34" s="3"/>
      <c r="QDX34" s="3"/>
      <c r="QDY34" s="3"/>
      <c r="QDZ34" s="3"/>
      <c r="QEA34" s="3"/>
      <c r="QEB34" s="3"/>
      <c r="QEC34" s="3"/>
      <c r="QED34" s="3"/>
      <c r="QEE34" s="3"/>
      <c r="QEF34" s="3"/>
      <c r="QEG34" s="3"/>
      <c r="QEH34" s="3"/>
      <c r="QEI34" s="3"/>
      <c r="QEJ34" s="3"/>
      <c r="QEK34" s="3"/>
      <c r="QEL34" s="3"/>
      <c r="QEM34" s="3"/>
      <c r="QEN34" s="3"/>
      <c r="QEO34" s="3"/>
      <c r="QEP34" s="3"/>
      <c r="QEQ34" s="3"/>
      <c r="QER34" s="3"/>
      <c r="QES34" s="3"/>
      <c r="QET34" s="3"/>
      <c r="QEU34" s="3"/>
      <c r="QEV34" s="3"/>
      <c r="QEW34" s="3"/>
      <c r="QEX34" s="3"/>
      <c r="QEY34" s="3"/>
      <c r="QEZ34" s="3"/>
      <c r="QFA34" s="3"/>
      <c r="QFB34" s="3"/>
      <c r="QFC34" s="3"/>
      <c r="QFD34" s="3"/>
      <c r="QFE34" s="3"/>
      <c r="QFF34" s="3"/>
      <c r="QFG34" s="3"/>
      <c r="QFH34" s="3"/>
      <c r="QFI34" s="3"/>
      <c r="QFJ34" s="3"/>
      <c r="QFK34" s="3"/>
      <c r="QFL34" s="3"/>
      <c r="QFM34" s="3"/>
      <c r="QFN34" s="3"/>
      <c r="QFO34" s="3"/>
      <c r="QFP34" s="3"/>
      <c r="QFQ34" s="3"/>
      <c r="QFR34" s="3"/>
      <c r="QFS34" s="3"/>
      <c r="QFT34" s="3"/>
      <c r="QFU34" s="3"/>
      <c r="QFV34" s="3"/>
      <c r="QFW34" s="3"/>
      <c r="QFX34" s="3"/>
      <c r="QFY34" s="3"/>
      <c r="QFZ34" s="3"/>
      <c r="QGA34" s="3"/>
      <c r="QGB34" s="3"/>
      <c r="QGC34" s="3"/>
      <c r="QGD34" s="3"/>
      <c r="QGE34" s="3"/>
      <c r="QGF34" s="3"/>
      <c r="QGG34" s="3"/>
      <c r="QGH34" s="3"/>
      <c r="QGI34" s="3"/>
      <c r="QGJ34" s="3"/>
      <c r="QGK34" s="3"/>
      <c r="QGL34" s="3"/>
      <c r="QGM34" s="3"/>
      <c r="QGN34" s="3"/>
      <c r="QGO34" s="3"/>
      <c r="QGP34" s="3"/>
      <c r="QGQ34" s="3"/>
      <c r="QGR34" s="3"/>
      <c r="QGS34" s="3"/>
      <c r="QGT34" s="3"/>
      <c r="QGU34" s="3"/>
      <c r="QGV34" s="3"/>
      <c r="QGW34" s="3"/>
      <c r="QGX34" s="3"/>
      <c r="QGY34" s="3"/>
      <c r="QGZ34" s="3"/>
      <c r="QHA34" s="3"/>
      <c r="QHB34" s="3"/>
      <c r="QHC34" s="3"/>
      <c r="QHD34" s="3"/>
      <c r="QHE34" s="3"/>
      <c r="QHF34" s="3"/>
      <c r="QHG34" s="3"/>
      <c r="QHH34" s="3"/>
      <c r="QHI34" s="3"/>
      <c r="QHJ34" s="3"/>
      <c r="QHK34" s="3"/>
      <c r="QHL34" s="3"/>
      <c r="QHM34" s="3"/>
      <c r="QHN34" s="3"/>
      <c r="QHO34" s="3"/>
      <c r="QHP34" s="3"/>
      <c r="QHQ34" s="3"/>
      <c r="QHR34" s="3"/>
      <c r="QHS34" s="3"/>
      <c r="QHT34" s="3"/>
      <c r="QHU34" s="3"/>
      <c r="QHV34" s="3"/>
      <c r="QHW34" s="3"/>
      <c r="QHX34" s="3"/>
      <c r="QHY34" s="3"/>
      <c r="QHZ34" s="3"/>
      <c r="QIA34" s="3"/>
      <c r="QIB34" s="3"/>
      <c r="QIC34" s="3"/>
      <c r="QID34" s="3"/>
      <c r="QIE34" s="3"/>
      <c r="QIF34" s="3"/>
      <c r="QIG34" s="3"/>
      <c r="QIH34" s="3"/>
      <c r="QII34" s="3"/>
      <c r="QIJ34" s="3"/>
      <c r="QIK34" s="3"/>
      <c r="QIL34" s="3"/>
      <c r="QIM34" s="3"/>
      <c r="QIN34" s="3"/>
      <c r="QIO34" s="3"/>
      <c r="QIP34" s="3"/>
      <c r="QIQ34" s="3"/>
      <c r="QIR34" s="3"/>
      <c r="QIS34" s="3"/>
      <c r="QIT34" s="3"/>
      <c r="QIU34" s="3"/>
      <c r="QIV34" s="3"/>
      <c r="QIW34" s="3"/>
      <c r="QIX34" s="3"/>
      <c r="QIY34" s="3"/>
      <c r="QIZ34" s="3"/>
      <c r="QJA34" s="3"/>
      <c r="QJB34" s="3"/>
      <c r="QJC34" s="3"/>
      <c r="QJD34" s="3"/>
      <c r="QJE34" s="3"/>
      <c r="QJF34" s="3"/>
      <c r="QJG34" s="3"/>
      <c r="QJH34" s="3"/>
      <c r="QJI34" s="3"/>
      <c r="QJJ34" s="3"/>
      <c r="QJK34" s="3"/>
      <c r="QJL34" s="3"/>
      <c r="QJM34" s="3"/>
      <c r="QJN34" s="3"/>
      <c r="QJO34" s="3"/>
      <c r="QJP34" s="3"/>
      <c r="QJQ34" s="3"/>
      <c r="QJR34" s="3"/>
      <c r="QJS34" s="3"/>
      <c r="QJT34" s="3"/>
      <c r="QJU34" s="3"/>
      <c r="QJV34" s="3"/>
      <c r="QJW34" s="3"/>
      <c r="QJX34" s="3"/>
      <c r="QJY34" s="3"/>
      <c r="QJZ34" s="3"/>
      <c r="QKA34" s="3"/>
      <c r="QKB34" s="3"/>
      <c r="QKC34" s="3"/>
      <c r="QKD34" s="3"/>
      <c r="QKE34" s="3"/>
      <c r="QKF34" s="3"/>
      <c r="QKG34" s="3"/>
      <c r="QKH34" s="3"/>
      <c r="QKI34" s="3"/>
      <c r="QKJ34" s="3"/>
      <c r="QKK34" s="3"/>
      <c r="QKL34" s="3"/>
      <c r="QKM34" s="3"/>
      <c r="QKN34" s="3"/>
      <c r="QKO34" s="3"/>
      <c r="QKP34" s="3"/>
      <c r="QKQ34" s="3"/>
      <c r="QKR34" s="3"/>
      <c r="QKS34" s="3"/>
      <c r="QKT34" s="3"/>
      <c r="QKU34" s="3"/>
      <c r="QKV34" s="3"/>
      <c r="QKW34" s="3"/>
      <c r="QKX34" s="3"/>
      <c r="QKY34" s="3"/>
      <c r="QKZ34" s="3"/>
      <c r="QLA34" s="3"/>
      <c r="QLB34" s="3"/>
      <c r="QLC34" s="3"/>
      <c r="QLD34" s="3"/>
      <c r="QLE34" s="3"/>
      <c r="QLF34" s="3"/>
      <c r="QLG34" s="3"/>
      <c r="QLH34" s="3"/>
      <c r="QLI34" s="3"/>
      <c r="QLJ34" s="3"/>
      <c r="QLK34" s="3"/>
      <c r="QLL34" s="3"/>
      <c r="QLM34" s="3"/>
      <c r="QLN34" s="3"/>
      <c r="QLO34" s="3"/>
      <c r="QLP34" s="3"/>
      <c r="QLQ34" s="3"/>
      <c r="QLR34" s="3"/>
      <c r="QLS34" s="3"/>
      <c r="QLT34" s="3"/>
      <c r="QLU34" s="3"/>
      <c r="QLV34" s="3"/>
      <c r="QLW34" s="3"/>
      <c r="QLX34" s="3"/>
      <c r="QLY34" s="3"/>
      <c r="QLZ34" s="3"/>
      <c r="QMA34" s="3"/>
      <c r="QMB34" s="3"/>
      <c r="QMC34" s="3"/>
      <c r="QMD34" s="3"/>
      <c r="QME34" s="3"/>
      <c r="QMF34" s="3"/>
      <c r="QMG34" s="3"/>
      <c r="QMH34" s="3"/>
      <c r="QMI34" s="3"/>
      <c r="QMJ34" s="3"/>
      <c r="QMK34" s="3"/>
      <c r="QML34" s="3"/>
      <c r="QMM34" s="3"/>
      <c r="QMN34" s="3"/>
      <c r="QMO34" s="3"/>
      <c r="QMP34" s="3"/>
      <c r="QMQ34" s="3"/>
      <c r="QMR34" s="3"/>
      <c r="QMS34" s="3"/>
      <c r="QMT34" s="3"/>
      <c r="QMU34" s="3"/>
      <c r="QMV34" s="3"/>
      <c r="QMW34" s="3"/>
      <c r="QMX34" s="3"/>
      <c r="QMY34" s="3"/>
      <c r="QMZ34" s="3"/>
      <c r="QNA34" s="3"/>
      <c r="QNB34" s="3"/>
      <c r="QNC34" s="3"/>
      <c r="QND34" s="3"/>
      <c r="QNE34" s="3"/>
      <c r="QNF34" s="3"/>
      <c r="QNG34" s="3"/>
      <c r="QNH34" s="3"/>
      <c r="QNI34" s="3"/>
      <c r="QNJ34" s="3"/>
      <c r="QNK34" s="3"/>
      <c r="QNL34" s="3"/>
      <c r="QNM34" s="3"/>
      <c r="QNN34" s="3"/>
      <c r="QNO34" s="3"/>
      <c r="QNP34" s="3"/>
      <c r="QNQ34" s="3"/>
      <c r="QNR34" s="3"/>
      <c r="QNS34" s="3"/>
      <c r="QNT34" s="3"/>
      <c r="QNU34" s="3"/>
      <c r="QNV34" s="3"/>
      <c r="QNW34" s="3"/>
      <c r="QNX34" s="3"/>
      <c r="QNY34" s="3"/>
      <c r="QNZ34" s="3"/>
      <c r="QOA34" s="3"/>
      <c r="QOB34" s="3"/>
      <c r="QOC34" s="3"/>
      <c r="QOD34" s="3"/>
      <c r="QOE34" s="3"/>
      <c r="QOF34" s="3"/>
      <c r="QOG34" s="3"/>
      <c r="QOH34" s="3"/>
      <c r="QOI34" s="3"/>
      <c r="QOJ34" s="3"/>
      <c r="QOK34" s="3"/>
      <c r="QOL34" s="3"/>
      <c r="QOM34" s="3"/>
      <c r="QON34" s="3"/>
      <c r="QOO34" s="3"/>
      <c r="QOP34" s="3"/>
      <c r="QOQ34" s="3"/>
      <c r="QOR34" s="3"/>
      <c r="QOS34" s="3"/>
      <c r="QOT34" s="3"/>
      <c r="QOU34" s="3"/>
      <c r="QOV34" s="3"/>
      <c r="QOW34" s="3"/>
      <c r="QOX34" s="3"/>
      <c r="QOY34" s="3"/>
      <c r="QOZ34" s="3"/>
      <c r="QPA34" s="3"/>
      <c r="QPB34" s="3"/>
      <c r="QPC34" s="3"/>
      <c r="QPD34" s="3"/>
      <c r="QPE34" s="3"/>
      <c r="QPF34" s="3"/>
      <c r="QPG34" s="3"/>
      <c r="QPH34" s="3"/>
      <c r="QPI34" s="3"/>
      <c r="QPJ34" s="3"/>
      <c r="QPK34" s="3"/>
      <c r="QPL34" s="3"/>
      <c r="QPM34" s="3"/>
      <c r="QPN34" s="3"/>
      <c r="QPO34" s="3"/>
      <c r="QPP34" s="3"/>
      <c r="QPQ34" s="3"/>
      <c r="QPR34" s="3"/>
      <c r="QPS34" s="3"/>
      <c r="QPT34" s="3"/>
      <c r="QPU34" s="3"/>
      <c r="QPV34" s="3"/>
      <c r="QPW34" s="3"/>
      <c r="QPX34" s="3"/>
      <c r="QPY34" s="3"/>
      <c r="QPZ34" s="3"/>
      <c r="QQA34" s="3"/>
      <c r="QQB34" s="3"/>
      <c r="QQC34" s="3"/>
      <c r="QQD34" s="3"/>
      <c r="QQE34" s="3"/>
      <c r="QQF34" s="3"/>
      <c r="QQG34" s="3"/>
      <c r="QQH34" s="3"/>
      <c r="QQI34" s="3"/>
      <c r="QQJ34" s="3"/>
      <c r="QQK34" s="3"/>
      <c r="QQL34" s="3"/>
      <c r="QQM34" s="3"/>
      <c r="QQN34" s="3"/>
      <c r="QQO34" s="3"/>
      <c r="QQP34" s="3"/>
      <c r="QQQ34" s="3"/>
      <c r="QQR34" s="3"/>
      <c r="QQS34" s="3"/>
      <c r="QQT34" s="3"/>
      <c r="QQU34" s="3"/>
      <c r="QQV34" s="3"/>
      <c r="QQW34" s="3"/>
      <c r="QQX34" s="3"/>
      <c r="QQY34" s="3"/>
      <c r="QQZ34" s="3"/>
      <c r="QRA34" s="3"/>
      <c r="QRB34" s="3"/>
      <c r="QRC34" s="3"/>
      <c r="QRD34" s="3"/>
      <c r="QRE34" s="3"/>
      <c r="QRF34" s="3"/>
      <c r="QRG34" s="3"/>
      <c r="QRH34" s="3"/>
      <c r="QRI34" s="3"/>
      <c r="QRJ34" s="3"/>
      <c r="QRK34" s="3"/>
      <c r="QRL34" s="3"/>
      <c r="QRM34" s="3"/>
      <c r="QRN34" s="3"/>
      <c r="QRO34" s="3"/>
      <c r="QRP34" s="3"/>
      <c r="QRQ34" s="3"/>
      <c r="QRR34" s="3"/>
      <c r="QRS34" s="3"/>
      <c r="QRT34" s="3"/>
      <c r="QRU34" s="3"/>
      <c r="QRV34" s="3"/>
      <c r="QRW34" s="3"/>
      <c r="QRX34" s="3"/>
      <c r="QRY34" s="3"/>
      <c r="QRZ34" s="3"/>
      <c r="QSA34" s="3"/>
      <c r="QSB34" s="3"/>
      <c r="QSC34" s="3"/>
      <c r="QSD34" s="3"/>
      <c r="QSE34" s="3"/>
      <c r="QSF34" s="3"/>
      <c r="QSG34" s="3"/>
      <c r="QSH34" s="3"/>
      <c r="QSI34" s="3"/>
      <c r="QSJ34" s="3"/>
      <c r="QSK34" s="3"/>
      <c r="QSL34" s="3"/>
      <c r="QSM34" s="3"/>
      <c r="QSN34" s="3"/>
      <c r="QSO34" s="3"/>
      <c r="QSP34" s="3"/>
      <c r="QSQ34" s="3"/>
      <c r="QSR34" s="3"/>
      <c r="QSS34" s="3"/>
      <c r="QST34" s="3"/>
      <c r="QSU34" s="3"/>
      <c r="QSV34" s="3"/>
      <c r="QSW34" s="3"/>
      <c r="QSX34" s="3"/>
      <c r="QSY34" s="3"/>
      <c r="QSZ34" s="3"/>
      <c r="QTA34" s="3"/>
      <c r="QTB34" s="3"/>
      <c r="QTC34" s="3"/>
      <c r="QTD34" s="3"/>
      <c r="QTE34" s="3"/>
      <c r="QTF34" s="3"/>
      <c r="QTG34" s="3"/>
      <c r="QTH34" s="3"/>
      <c r="QTI34" s="3"/>
      <c r="QTJ34" s="3"/>
      <c r="QTK34" s="3"/>
      <c r="QTL34" s="3"/>
      <c r="QTM34" s="3"/>
      <c r="QTN34" s="3"/>
      <c r="QTO34" s="3"/>
      <c r="QTP34" s="3"/>
      <c r="QTQ34" s="3"/>
      <c r="QTR34" s="3"/>
      <c r="QTS34" s="3"/>
      <c r="QTT34" s="3"/>
      <c r="QTU34" s="3"/>
      <c r="QTV34" s="3"/>
      <c r="QTW34" s="3"/>
      <c r="QTX34" s="3"/>
      <c r="QTY34" s="3"/>
      <c r="QTZ34" s="3"/>
      <c r="QUA34" s="3"/>
      <c r="QUB34" s="3"/>
      <c r="QUC34" s="3"/>
      <c r="QUD34" s="3"/>
      <c r="QUE34" s="3"/>
      <c r="QUF34" s="3"/>
      <c r="QUG34" s="3"/>
      <c r="QUH34" s="3"/>
      <c r="QUI34" s="3"/>
      <c r="QUJ34" s="3"/>
      <c r="QUK34" s="3"/>
      <c r="QUL34" s="3"/>
      <c r="QUM34" s="3"/>
      <c r="QUN34" s="3"/>
      <c r="QUO34" s="3"/>
      <c r="QUP34" s="3"/>
      <c r="QUQ34" s="3"/>
      <c r="QUR34" s="3"/>
      <c r="QUS34" s="3"/>
      <c r="QUT34" s="3"/>
      <c r="QUU34" s="3"/>
      <c r="QUV34" s="3"/>
      <c r="QUW34" s="3"/>
      <c r="QUX34" s="3"/>
      <c r="QUY34" s="3"/>
      <c r="QUZ34" s="3"/>
      <c r="QVA34" s="3"/>
      <c r="QVB34" s="3"/>
      <c r="QVC34" s="3"/>
      <c r="QVD34" s="3"/>
      <c r="QVE34" s="3"/>
      <c r="QVF34" s="3"/>
      <c r="QVG34" s="3"/>
      <c r="QVH34" s="3"/>
      <c r="QVI34" s="3"/>
      <c r="QVJ34" s="3"/>
      <c r="QVK34" s="3"/>
      <c r="QVL34" s="3"/>
      <c r="QVM34" s="3"/>
      <c r="QVN34" s="3"/>
      <c r="QVO34" s="3"/>
      <c r="QVP34" s="3"/>
      <c r="QVQ34" s="3"/>
      <c r="QVR34" s="3"/>
      <c r="QVS34" s="3"/>
      <c r="QVT34" s="3"/>
      <c r="QVU34" s="3"/>
      <c r="QVV34" s="3"/>
      <c r="QVW34" s="3"/>
      <c r="QVX34" s="3"/>
      <c r="QVY34" s="3"/>
      <c r="QVZ34" s="3"/>
      <c r="QWA34" s="3"/>
      <c r="QWB34" s="3"/>
      <c r="QWC34" s="3"/>
      <c r="QWD34" s="3"/>
      <c r="QWE34" s="3"/>
      <c r="QWF34" s="3"/>
      <c r="QWG34" s="3"/>
      <c r="QWH34" s="3"/>
      <c r="QWI34" s="3"/>
      <c r="QWJ34" s="3"/>
      <c r="QWK34" s="3"/>
      <c r="QWL34" s="3"/>
      <c r="QWM34" s="3"/>
      <c r="QWN34" s="3"/>
      <c r="QWO34" s="3"/>
      <c r="QWP34" s="3"/>
      <c r="QWQ34" s="3"/>
      <c r="QWR34" s="3"/>
      <c r="QWS34" s="3"/>
      <c r="QWT34" s="3"/>
      <c r="QWU34" s="3"/>
      <c r="QWV34" s="3"/>
      <c r="QWW34" s="3"/>
      <c r="QWX34" s="3"/>
      <c r="QWY34" s="3"/>
      <c r="QWZ34" s="3"/>
      <c r="QXA34" s="3"/>
      <c r="QXB34" s="3"/>
      <c r="QXC34" s="3"/>
      <c r="QXD34" s="3"/>
      <c r="QXE34" s="3"/>
      <c r="QXF34" s="3"/>
      <c r="QXG34" s="3"/>
      <c r="QXH34" s="3"/>
      <c r="QXI34" s="3"/>
      <c r="QXJ34" s="3"/>
      <c r="QXK34" s="3"/>
      <c r="QXL34" s="3"/>
      <c r="QXM34" s="3"/>
      <c r="QXN34" s="3"/>
      <c r="QXO34" s="3"/>
      <c r="QXP34" s="3"/>
      <c r="QXQ34" s="3"/>
      <c r="QXR34" s="3"/>
      <c r="QXS34" s="3"/>
      <c r="QXT34" s="3"/>
      <c r="QXU34" s="3"/>
      <c r="QXV34" s="3"/>
      <c r="QXW34" s="3"/>
      <c r="QXX34" s="3"/>
      <c r="QXY34" s="3"/>
      <c r="QXZ34" s="3"/>
      <c r="QYA34" s="3"/>
      <c r="QYB34" s="3"/>
      <c r="QYC34" s="3"/>
      <c r="QYD34" s="3"/>
      <c r="QYE34" s="3"/>
      <c r="QYF34" s="3"/>
      <c r="QYG34" s="3"/>
      <c r="QYH34" s="3"/>
      <c r="QYI34" s="3"/>
      <c r="QYJ34" s="3"/>
      <c r="QYK34" s="3"/>
      <c r="QYL34" s="3"/>
      <c r="QYM34" s="3"/>
      <c r="QYN34" s="3"/>
      <c r="QYO34" s="3"/>
      <c r="QYP34" s="3"/>
      <c r="QYQ34" s="3"/>
      <c r="QYR34" s="3"/>
      <c r="QYS34" s="3"/>
      <c r="QYT34" s="3"/>
      <c r="QYU34" s="3"/>
      <c r="QYV34" s="3"/>
      <c r="QYW34" s="3"/>
      <c r="QYX34" s="3"/>
      <c r="QYY34" s="3"/>
      <c r="QYZ34" s="3"/>
      <c r="QZA34" s="3"/>
      <c r="QZB34" s="3"/>
      <c r="QZC34" s="3"/>
      <c r="QZD34" s="3"/>
      <c r="QZE34" s="3"/>
      <c r="QZF34" s="3"/>
      <c r="QZG34" s="3"/>
      <c r="QZH34" s="3"/>
      <c r="QZI34" s="3"/>
      <c r="QZJ34" s="3"/>
      <c r="QZK34" s="3"/>
      <c r="QZL34" s="3"/>
      <c r="QZM34" s="3"/>
      <c r="QZN34" s="3"/>
      <c r="QZO34" s="3"/>
      <c r="QZP34" s="3"/>
      <c r="QZQ34" s="3"/>
      <c r="QZR34" s="3"/>
      <c r="QZS34" s="3"/>
      <c r="QZT34" s="3"/>
      <c r="QZU34" s="3"/>
      <c r="QZV34" s="3"/>
      <c r="QZW34" s="3"/>
      <c r="QZX34" s="3"/>
      <c r="QZY34" s="3"/>
      <c r="QZZ34" s="3"/>
      <c r="RAA34" s="3"/>
      <c r="RAB34" s="3"/>
      <c r="RAC34" s="3"/>
      <c r="RAD34" s="3"/>
      <c r="RAE34" s="3"/>
      <c r="RAF34" s="3"/>
      <c r="RAG34" s="3"/>
      <c r="RAH34" s="3"/>
      <c r="RAI34" s="3"/>
      <c r="RAJ34" s="3"/>
      <c r="RAK34" s="3"/>
      <c r="RAL34" s="3"/>
      <c r="RAM34" s="3"/>
      <c r="RAN34" s="3"/>
      <c r="RAO34" s="3"/>
      <c r="RAP34" s="3"/>
      <c r="RAQ34" s="3"/>
      <c r="RAR34" s="3"/>
      <c r="RAS34" s="3"/>
      <c r="RAT34" s="3"/>
      <c r="RAU34" s="3"/>
      <c r="RAV34" s="3"/>
      <c r="RAW34" s="3"/>
      <c r="RAX34" s="3"/>
      <c r="RAY34" s="3"/>
      <c r="RAZ34" s="3"/>
      <c r="RBA34" s="3"/>
      <c r="RBB34" s="3"/>
      <c r="RBC34" s="3"/>
      <c r="RBD34" s="3"/>
      <c r="RBE34" s="3"/>
      <c r="RBF34" s="3"/>
      <c r="RBG34" s="3"/>
      <c r="RBH34" s="3"/>
      <c r="RBI34" s="3"/>
      <c r="RBJ34" s="3"/>
      <c r="RBK34" s="3"/>
      <c r="RBL34" s="3"/>
      <c r="RBM34" s="3"/>
      <c r="RBN34" s="3"/>
      <c r="RBO34" s="3"/>
      <c r="RBP34" s="3"/>
      <c r="RBQ34" s="3"/>
      <c r="RBR34" s="3"/>
      <c r="RBS34" s="3"/>
      <c r="RBT34" s="3"/>
      <c r="RBU34" s="3"/>
      <c r="RBV34" s="3"/>
      <c r="RBW34" s="3"/>
      <c r="RBX34" s="3"/>
      <c r="RBY34" s="3"/>
      <c r="RBZ34" s="3"/>
      <c r="RCA34" s="3"/>
      <c r="RCB34" s="3"/>
      <c r="RCC34" s="3"/>
      <c r="RCD34" s="3"/>
      <c r="RCE34" s="3"/>
      <c r="RCF34" s="3"/>
      <c r="RCG34" s="3"/>
      <c r="RCH34" s="3"/>
      <c r="RCI34" s="3"/>
      <c r="RCJ34" s="3"/>
      <c r="RCK34" s="3"/>
      <c r="RCL34" s="3"/>
      <c r="RCM34" s="3"/>
      <c r="RCN34" s="3"/>
      <c r="RCO34" s="3"/>
      <c r="RCP34" s="3"/>
      <c r="RCQ34" s="3"/>
      <c r="RCR34" s="3"/>
      <c r="RCS34" s="3"/>
      <c r="RCT34" s="3"/>
      <c r="RCU34" s="3"/>
      <c r="RCV34" s="3"/>
      <c r="RCW34" s="3"/>
      <c r="RCX34" s="3"/>
      <c r="RCY34" s="3"/>
      <c r="RCZ34" s="3"/>
      <c r="RDA34" s="3"/>
      <c r="RDB34" s="3"/>
      <c r="RDC34" s="3"/>
      <c r="RDD34" s="3"/>
      <c r="RDE34" s="3"/>
      <c r="RDF34" s="3"/>
      <c r="RDG34" s="3"/>
      <c r="RDH34" s="3"/>
      <c r="RDI34" s="3"/>
      <c r="RDJ34" s="3"/>
      <c r="RDK34" s="3"/>
      <c r="RDL34" s="3"/>
      <c r="RDM34" s="3"/>
      <c r="RDN34" s="3"/>
      <c r="RDO34" s="3"/>
      <c r="RDP34" s="3"/>
      <c r="RDQ34" s="3"/>
      <c r="RDR34" s="3"/>
      <c r="RDS34" s="3"/>
      <c r="RDT34" s="3"/>
      <c r="RDU34" s="3"/>
      <c r="RDV34" s="3"/>
      <c r="RDW34" s="3"/>
      <c r="RDX34" s="3"/>
      <c r="RDY34" s="3"/>
      <c r="RDZ34" s="3"/>
      <c r="REA34" s="3"/>
      <c r="REB34" s="3"/>
      <c r="REC34" s="3"/>
      <c r="RED34" s="3"/>
      <c r="REE34" s="3"/>
      <c r="REF34" s="3"/>
      <c r="REG34" s="3"/>
      <c r="REH34" s="3"/>
      <c r="REI34" s="3"/>
      <c r="REJ34" s="3"/>
      <c r="REK34" s="3"/>
      <c r="REL34" s="3"/>
      <c r="REM34" s="3"/>
      <c r="REN34" s="3"/>
      <c r="REO34" s="3"/>
      <c r="REP34" s="3"/>
      <c r="REQ34" s="3"/>
      <c r="RER34" s="3"/>
      <c r="RES34" s="3"/>
      <c r="RET34" s="3"/>
      <c r="REU34" s="3"/>
      <c r="REV34" s="3"/>
      <c r="REW34" s="3"/>
      <c r="REX34" s="3"/>
      <c r="REY34" s="3"/>
      <c r="REZ34" s="3"/>
      <c r="RFA34" s="3"/>
      <c r="RFB34" s="3"/>
      <c r="RFC34" s="3"/>
      <c r="RFD34" s="3"/>
      <c r="RFE34" s="3"/>
      <c r="RFF34" s="3"/>
      <c r="RFG34" s="3"/>
      <c r="RFH34" s="3"/>
      <c r="RFI34" s="3"/>
      <c r="RFJ34" s="3"/>
      <c r="RFK34" s="3"/>
      <c r="RFL34" s="3"/>
      <c r="RFM34" s="3"/>
      <c r="RFN34" s="3"/>
      <c r="RFO34" s="3"/>
      <c r="RFP34" s="3"/>
      <c r="RFQ34" s="3"/>
      <c r="RFR34" s="3"/>
      <c r="RFS34" s="3"/>
      <c r="RFT34" s="3"/>
      <c r="RFU34" s="3"/>
      <c r="RFV34" s="3"/>
      <c r="RFW34" s="3"/>
      <c r="RFX34" s="3"/>
      <c r="RFY34" s="3"/>
      <c r="RFZ34" s="3"/>
      <c r="RGA34" s="3"/>
      <c r="RGB34" s="3"/>
      <c r="RGC34" s="3"/>
      <c r="RGD34" s="3"/>
      <c r="RGE34" s="3"/>
      <c r="RGF34" s="3"/>
      <c r="RGG34" s="3"/>
      <c r="RGH34" s="3"/>
      <c r="RGI34" s="3"/>
      <c r="RGJ34" s="3"/>
      <c r="RGK34" s="3"/>
      <c r="RGL34" s="3"/>
      <c r="RGM34" s="3"/>
      <c r="RGN34" s="3"/>
      <c r="RGO34" s="3"/>
      <c r="RGP34" s="3"/>
      <c r="RGQ34" s="3"/>
      <c r="RGR34" s="3"/>
      <c r="RGS34" s="3"/>
      <c r="RGT34" s="3"/>
      <c r="RGU34" s="3"/>
      <c r="RGV34" s="3"/>
      <c r="RGW34" s="3"/>
      <c r="RGX34" s="3"/>
      <c r="RGY34" s="3"/>
      <c r="RGZ34" s="3"/>
      <c r="RHA34" s="3"/>
      <c r="RHB34" s="3"/>
      <c r="RHC34" s="3"/>
      <c r="RHD34" s="3"/>
      <c r="RHE34" s="3"/>
      <c r="RHF34" s="3"/>
      <c r="RHG34" s="3"/>
      <c r="RHH34" s="3"/>
      <c r="RHI34" s="3"/>
      <c r="RHJ34" s="3"/>
      <c r="RHK34" s="3"/>
      <c r="RHL34" s="3"/>
      <c r="RHM34" s="3"/>
      <c r="RHN34" s="3"/>
      <c r="RHO34" s="3"/>
      <c r="RHP34" s="3"/>
      <c r="RHQ34" s="3"/>
      <c r="RHR34" s="3"/>
      <c r="RHS34" s="3"/>
      <c r="RHT34" s="3"/>
      <c r="RHU34" s="3"/>
      <c r="RHV34" s="3"/>
      <c r="RHW34" s="3"/>
      <c r="RHX34" s="3"/>
      <c r="RHY34" s="3"/>
      <c r="RHZ34" s="3"/>
      <c r="RIA34" s="3"/>
      <c r="RIB34" s="3"/>
      <c r="RIC34" s="3"/>
      <c r="RID34" s="3"/>
      <c r="RIE34" s="3"/>
      <c r="RIF34" s="3"/>
      <c r="RIG34" s="3"/>
      <c r="RIH34" s="3"/>
      <c r="RII34" s="3"/>
      <c r="RIJ34" s="3"/>
      <c r="RIK34" s="3"/>
      <c r="RIL34" s="3"/>
      <c r="RIM34" s="3"/>
      <c r="RIN34" s="3"/>
      <c r="RIO34" s="3"/>
      <c r="RIP34" s="3"/>
      <c r="RIQ34" s="3"/>
      <c r="RIR34" s="3"/>
      <c r="RIS34" s="3"/>
      <c r="RIT34" s="3"/>
      <c r="RIU34" s="3"/>
      <c r="RIV34" s="3"/>
      <c r="RIW34" s="3"/>
      <c r="RIX34" s="3"/>
      <c r="RIY34" s="3"/>
      <c r="RIZ34" s="3"/>
      <c r="RJA34" s="3"/>
      <c r="RJB34" s="3"/>
      <c r="RJC34" s="3"/>
      <c r="RJD34" s="3"/>
      <c r="RJE34" s="3"/>
      <c r="RJF34" s="3"/>
      <c r="RJG34" s="3"/>
      <c r="RJH34" s="3"/>
      <c r="RJI34" s="3"/>
      <c r="RJJ34" s="3"/>
      <c r="RJK34" s="3"/>
      <c r="RJL34" s="3"/>
      <c r="RJM34" s="3"/>
      <c r="RJN34" s="3"/>
      <c r="RJO34" s="3"/>
      <c r="RJP34" s="3"/>
      <c r="RJQ34" s="3"/>
      <c r="RJR34" s="3"/>
      <c r="RJS34" s="3"/>
      <c r="RJT34" s="3"/>
      <c r="RJU34" s="3"/>
      <c r="RJV34" s="3"/>
      <c r="RJW34" s="3"/>
      <c r="RJX34" s="3"/>
      <c r="RJY34" s="3"/>
      <c r="RJZ34" s="3"/>
      <c r="RKA34" s="3"/>
      <c r="RKB34" s="3"/>
      <c r="RKC34" s="3"/>
      <c r="RKD34" s="3"/>
      <c r="RKE34" s="3"/>
      <c r="RKF34" s="3"/>
      <c r="RKG34" s="3"/>
      <c r="RKH34" s="3"/>
      <c r="RKI34" s="3"/>
      <c r="RKJ34" s="3"/>
      <c r="RKK34" s="3"/>
      <c r="RKL34" s="3"/>
      <c r="RKM34" s="3"/>
      <c r="RKN34" s="3"/>
      <c r="RKO34" s="3"/>
      <c r="RKP34" s="3"/>
      <c r="RKQ34" s="3"/>
      <c r="RKR34" s="3"/>
      <c r="RKS34" s="3"/>
      <c r="RKT34" s="3"/>
      <c r="RKU34" s="3"/>
      <c r="RKV34" s="3"/>
      <c r="RKW34" s="3"/>
      <c r="RKX34" s="3"/>
      <c r="RKY34" s="3"/>
      <c r="RKZ34" s="3"/>
      <c r="RLA34" s="3"/>
      <c r="RLB34" s="3"/>
      <c r="RLC34" s="3"/>
      <c r="RLD34" s="3"/>
      <c r="RLE34" s="3"/>
      <c r="RLF34" s="3"/>
      <c r="RLG34" s="3"/>
      <c r="RLH34" s="3"/>
      <c r="RLI34" s="3"/>
      <c r="RLJ34" s="3"/>
      <c r="RLK34" s="3"/>
      <c r="RLL34" s="3"/>
      <c r="RLM34" s="3"/>
      <c r="RLN34" s="3"/>
      <c r="RLO34" s="3"/>
      <c r="RLP34" s="3"/>
      <c r="RLQ34" s="3"/>
      <c r="RLR34" s="3"/>
      <c r="RLS34" s="3"/>
      <c r="RLT34" s="3"/>
      <c r="RLU34" s="3"/>
      <c r="RLV34" s="3"/>
      <c r="RLW34" s="3"/>
      <c r="RLX34" s="3"/>
      <c r="RLY34" s="3"/>
      <c r="RLZ34" s="3"/>
      <c r="RMA34" s="3"/>
      <c r="RMB34" s="3"/>
      <c r="RMC34" s="3"/>
      <c r="RMD34" s="3"/>
      <c r="RME34" s="3"/>
      <c r="RMF34" s="3"/>
      <c r="RMG34" s="3"/>
      <c r="RMH34" s="3"/>
      <c r="RMI34" s="3"/>
      <c r="RMJ34" s="3"/>
      <c r="RMK34" s="3"/>
      <c r="RML34" s="3"/>
      <c r="RMM34" s="3"/>
      <c r="RMN34" s="3"/>
      <c r="RMO34" s="3"/>
      <c r="RMP34" s="3"/>
      <c r="RMQ34" s="3"/>
      <c r="RMR34" s="3"/>
      <c r="RMS34" s="3"/>
      <c r="RMT34" s="3"/>
      <c r="RMU34" s="3"/>
      <c r="RMV34" s="3"/>
      <c r="RMW34" s="3"/>
      <c r="RMX34" s="3"/>
      <c r="RMY34" s="3"/>
      <c r="RMZ34" s="3"/>
      <c r="RNA34" s="3"/>
      <c r="RNB34" s="3"/>
      <c r="RNC34" s="3"/>
      <c r="RND34" s="3"/>
      <c r="RNE34" s="3"/>
      <c r="RNF34" s="3"/>
      <c r="RNG34" s="3"/>
      <c r="RNH34" s="3"/>
      <c r="RNI34" s="3"/>
      <c r="RNJ34" s="3"/>
      <c r="RNK34" s="3"/>
      <c r="RNL34" s="3"/>
      <c r="RNM34" s="3"/>
      <c r="RNN34" s="3"/>
      <c r="RNO34" s="3"/>
      <c r="RNP34" s="3"/>
      <c r="RNQ34" s="3"/>
      <c r="RNR34" s="3"/>
      <c r="RNS34" s="3"/>
      <c r="RNT34" s="3"/>
      <c r="RNU34" s="3"/>
      <c r="RNV34" s="3"/>
      <c r="RNW34" s="3"/>
      <c r="RNX34" s="3"/>
      <c r="RNY34" s="3"/>
      <c r="RNZ34" s="3"/>
      <c r="ROA34" s="3"/>
      <c r="ROB34" s="3"/>
      <c r="ROC34" s="3"/>
      <c r="ROD34" s="3"/>
      <c r="ROE34" s="3"/>
      <c r="ROF34" s="3"/>
      <c r="ROG34" s="3"/>
      <c r="ROH34" s="3"/>
      <c r="ROI34" s="3"/>
      <c r="ROJ34" s="3"/>
      <c r="ROK34" s="3"/>
      <c r="ROL34" s="3"/>
      <c r="ROM34" s="3"/>
      <c r="RON34" s="3"/>
      <c r="ROO34" s="3"/>
      <c r="ROP34" s="3"/>
      <c r="ROQ34" s="3"/>
      <c r="ROR34" s="3"/>
      <c r="ROS34" s="3"/>
      <c r="ROT34" s="3"/>
      <c r="ROU34" s="3"/>
      <c r="ROV34" s="3"/>
      <c r="ROW34" s="3"/>
      <c r="ROX34" s="3"/>
      <c r="ROY34" s="3"/>
      <c r="ROZ34" s="3"/>
      <c r="RPA34" s="3"/>
      <c r="RPB34" s="3"/>
      <c r="RPC34" s="3"/>
      <c r="RPD34" s="3"/>
      <c r="RPE34" s="3"/>
      <c r="RPF34" s="3"/>
      <c r="RPG34" s="3"/>
      <c r="RPH34" s="3"/>
      <c r="RPI34" s="3"/>
      <c r="RPJ34" s="3"/>
      <c r="RPK34" s="3"/>
      <c r="RPL34" s="3"/>
      <c r="RPM34" s="3"/>
      <c r="RPN34" s="3"/>
      <c r="RPO34" s="3"/>
      <c r="RPP34" s="3"/>
      <c r="RPQ34" s="3"/>
      <c r="RPR34" s="3"/>
      <c r="RPS34" s="3"/>
      <c r="RPT34" s="3"/>
      <c r="RPU34" s="3"/>
      <c r="RPV34" s="3"/>
      <c r="RPW34" s="3"/>
      <c r="RPX34" s="3"/>
      <c r="RPY34" s="3"/>
      <c r="RPZ34" s="3"/>
      <c r="RQA34" s="3"/>
      <c r="RQB34" s="3"/>
      <c r="RQC34" s="3"/>
      <c r="RQD34" s="3"/>
      <c r="RQE34" s="3"/>
      <c r="RQF34" s="3"/>
      <c r="RQG34" s="3"/>
      <c r="RQH34" s="3"/>
      <c r="RQI34" s="3"/>
      <c r="RQJ34" s="3"/>
      <c r="RQK34" s="3"/>
      <c r="RQL34" s="3"/>
      <c r="RQM34" s="3"/>
      <c r="RQN34" s="3"/>
      <c r="RQO34" s="3"/>
      <c r="RQP34" s="3"/>
      <c r="RQQ34" s="3"/>
      <c r="RQR34" s="3"/>
      <c r="RQS34" s="3"/>
      <c r="RQT34" s="3"/>
      <c r="RQU34" s="3"/>
      <c r="RQV34" s="3"/>
      <c r="RQW34" s="3"/>
      <c r="RQX34" s="3"/>
      <c r="RQY34" s="3"/>
      <c r="RQZ34" s="3"/>
      <c r="RRA34" s="3"/>
      <c r="RRB34" s="3"/>
      <c r="RRC34" s="3"/>
      <c r="RRD34" s="3"/>
      <c r="RRE34" s="3"/>
      <c r="RRF34" s="3"/>
      <c r="RRG34" s="3"/>
      <c r="RRH34" s="3"/>
      <c r="RRI34" s="3"/>
      <c r="RRJ34" s="3"/>
      <c r="RRK34" s="3"/>
      <c r="RRL34" s="3"/>
      <c r="RRM34" s="3"/>
      <c r="RRN34" s="3"/>
      <c r="RRO34" s="3"/>
      <c r="RRP34" s="3"/>
      <c r="RRQ34" s="3"/>
      <c r="RRR34" s="3"/>
      <c r="RRS34" s="3"/>
      <c r="RRT34" s="3"/>
      <c r="RRU34" s="3"/>
      <c r="RRV34" s="3"/>
      <c r="RRW34" s="3"/>
      <c r="RRX34" s="3"/>
      <c r="RRY34" s="3"/>
      <c r="RRZ34" s="3"/>
      <c r="RSA34" s="3"/>
      <c r="RSB34" s="3"/>
      <c r="RSC34" s="3"/>
      <c r="RSD34" s="3"/>
      <c r="RSE34" s="3"/>
      <c r="RSF34" s="3"/>
      <c r="RSG34" s="3"/>
      <c r="RSH34" s="3"/>
      <c r="RSI34" s="3"/>
      <c r="RSJ34" s="3"/>
      <c r="RSK34" s="3"/>
      <c r="RSL34" s="3"/>
      <c r="RSM34" s="3"/>
      <c r="RSN34" s="3"/>
      <c r="RSO34" s="3"/>
      <c r="RSP34" s="3"/>
      <c r="RSQ34" s="3"/>
      <c r="RSR34" s="3"/>
      <c r="RSS34" s="3"/>
      <c r="RST34" s="3"/>
      <c r="RSU34" s="3"/>
      <c r="RSV34" s="3"/>
      <c r="RSW34" s="3"/>
      <c r="RSX34" s="3"/>
      <c r="RSY34" s="3"/>
      <c r="RSZ34" s="3"/>
      <c r="RTA34" s="3"/>
      <c r="RTB34" s="3"/>
      <c r="RTC34" s="3"/>
      <c r="RTD34" s="3"/>
      <c r="RTE34" s="3"/>
      <c r="RTF34" s="3"/>
      <c r="RTG34" s="3"/>
      <c r="RTH34" s="3"/>
      <c r="RTI34" s="3"/>
      <c r="RTJ34" s="3"/>
      <c r="RTK34" s="3"/>
      <c r="RTL34" s="3"/>
      <c r="RTM34" s="3"/>
      <c r="RTN34" s="3"/>
      <c r="RTO34" s="3"/>
      <c r="RTP34" s="3"/>
      <c r="RTQ34" s="3"/>
      <c r="RTR34" s="3"/>
      <c r="RTS34" s="3"/>
      <c r="RTT34" s="3"/>
      <c r="RTU34" s="3"/>
      <c r="RTV34" s="3"/>
      <c r="RTW34" s="3"/>
      <c r="RTX34" s="3"/>
      <c r="RTY34" s="3"/>
      <c r="RTZ34" s="3"/>
      <c r="RUA34" s="3"/>
      <c r="RUB34" s="3"/>
      <c r="RUC34" s="3"/>
      <c r="RUD34" s="3"/>
      <c r="RUE34" s="3"/>
      <c r="RUF34" s="3"/>
      <c r="RUG34" s="3"/>
      <c r="RUH34" s="3"/>
      <c r="RUI34" s="3"/>
      <c r="RUJ34" s="3"/>
      <c r="RUK34" s="3"/>
      <c r="RUL34" s="3"/>
      <c r="RUM34" s="3"/>
      <c r="RUN34" s="3"/>
      <c r="RUO34" s="3"/>
      <c r="RUP34" s="3"/>
      <c r="RUQ34" s="3"/>
      <c r="RUR34" s="3"/>
      <c r="RUS34" s="3"/>
      <c r="RUT34" s="3"/>
      <c r="RUU34" s="3"/>
      <c r="RUV34" s="3"/>
      <c r="RUW34" s="3"/>
      <c r="RUX34" s="3"/>
      <c r="RUY34" s="3"/>
      <c r="RUZ34" s="3"/>
      <c r="RVA34" s="3"/>
      <c r="RVB34" s="3"/>
      <c r="RVC34" s="3"/>
      <c r="RVD34" s="3"/>
      <c r="RVE34" s="3"/>
      <c r="RVF34" s="3"/>
      <c r="RVG34" s="3"/>
      <c r="RVH34" s="3"/>
      <c r="RVI34" s="3"/>
      <c r="RVJ34" s="3"/>
      <c r="RVK34" s="3"/>
      <c r="RVL34" s="3"/>
      <c r="RVM34" s="3"/>
      <c r="RVN34" s="3"/>
      <c r="RVO34" s="3"/>
      <c r="RVP34" s="3"/>
      <c r="RVQ34" s="3"/>
      <c r="RVR34" s="3"/>
      <c r="RVS34" s="3"/>
      <c r="RVT34" s="3"/>
      <c r="RVU34" s="3"/>
      <c r="RVV34" s="3"/>
      <c r="RVW34" s="3"/>
      <c r="RVX34" s="3"/>
      <c r="RVY34" s="3"/>
      <c r="RVZ34" s="3"/>
      <c r="RWA34" s="3"/>
      <c r="RWB34" s="3"/>
      <c r="RWC34" s="3"/>
      <c r="RWD34" s="3"/>
      <c r="RWE34" s="3"/>
      <c r="RWF34" s="3"/>
      <c r="RWG34" s="3"/>
      <c r="RWH34" s="3"/>
      <c r="RWI34" s="3"/>
      <c r="RWJ34" s="3"/>
      <c r="RWK34" s="3"/>
      <c r="RWL34" s="3"/>
      <c r="RWM34" s="3"/>
      <c r="RWN34" s="3"/>
      <c r="RWO34" s="3"/>
      <c r="RWP34" s="3"/>
      <c r="RWQ34" s="3"/>
      <c r="RWR34" s="3"/>
      <c r="RWS34" s="3"/>
      <c r="RWT34" s="3"/>
      <c r="RWU34" s="3"/>
      <c r="RWV34" s="3"/>
      <c r="RWW34" s="3"/>
      <c r="RWX34" s="3"/>
      <c r="RWY34" s="3"/>
      <c r="RWZ34" s="3"/>
      <c r="RXA34" s="3"/>
      <c r="RXB34" s="3"/>
      <c r="RXC34" s="3"/>
      <c r="RXD34" s="3"/>
      <c r="RXE34" s="3"/>
      <c r="RXF34" s="3"/>
      <c r="RXG34" s="3"/>
      <c r="RXH34" s="3"/>
      <c r="RXI34" s="3"/>
      <c r="RXJ34" s="3"/>
      <c r="RXK34" s="3"/>
      <c r="RXL34" s="3"/>
      <c r="RXM34" s="3"/>
      <c r="RXN34" s="3"/>
      <c r="RXO34" s="3"/>
      <c r="RXP34" s="3"/>
      <c r="RXQ34" s="3"/>
      <c r="RXR34" s="3"/>
      <c r="RXS34" s="3"/>
      <c r="RXT34" s="3"/>
      <c r="RXU34" s="3"/>
      <c r="RXV34" s="3"/>
      <c r="RXW34" s="3"/>
      <c r="RXX34" s="3"/>
      <c r="RXY34" s="3"/>
      <c r="RXZ34" s="3"/>
      <c r="RYA34" s="3"/>
      <c r="RYB34" s="3"/>
      <c r="RYC34" s="3"/>
      <c r="RYD34" s="3"/>
      <c r="RYE34" s="3"/>
      <c r="RYF34" s="3"/>
      <c r="RYG34" s="3"/>
      <c r="RYH34" s="3"/>
      <c r="RYI34" s="3"/>
      <c r="RYJ34" s="3"/>
      <c r="RYK34" s="3"/>
      <c r="RYL34" s="3"/>
      <c r="RYM34" s="3"/>
      <c r="RYN34" s="3"/>
      <c r="RYO34" s="3"/>
      <c r="RYP34" s="3"/>
      <c r="RYQ34" s="3"/>
      <c r="RYR34" s="3"/>
      <c r="RYS34" s="3"/>
      <c r="RYT34" s="3"/>
      <c r="RYU34" s="3"/>
      <c r="RYV34" s="3"/>
      <c r="RYW34" s="3"/>
      <c r="RYX34" s="3"/>
      <c r="RYY34" s="3"/>
      <c r="RYZ34" s="3"/>
      <c r="RZA34" s="3"/>
      <c r="RZB34" s="3"/>
      <c r="RZC34" s="3"/>
      <c r="RZD34" s="3"/>
      <c r="RZE34" s="3"/>
      <c r="RZF34" s="3"/>
      <c r="RZG34" s="3"/>
      <c r="RZH34" s="3"/>
      <c r="RZI34" s="3"/>
      <c r="RZJ34" s="3"/>
      <c r="RZK34" s="3"/>
      <c r="RZL34" s="3"/>
      <c r="RZM34" s="3"/>
      <c r="RZN34" s="3"/>
      <c r="RZO34" s="3"/>
      <c r="RZP34" s="3"/>
      <c r="RZQ34" s="3"/>
      <c r="RZR34" s="3"/>
      <c r="RZS34" s="3"/>
      <c r="RZT34" s="3"/>
      <c r="RZU34" s="3"/>
      <c r="RZV34" s="3"/>
      <c r="RZW34" s="3"/>
      <c r="RZX34" s="3"/>
      <c r="RZY34" s="3"/>
      <c r="RZZ34" s="3"/>
      <c r="SAA34" s="3"/>
      <c r="SAB34" s="3"/>
      <c r="SAC34" s="3"/>
      <c r="SAD34" s="3"/>
      <c r="SAE34" s="3"/>
      <c r="SAF34" s="3"/>
      <c r="SAG34" s="3"/>
      <c r="SAH34" s="3"/>
      <c r="SAI34" s="3"/>
      <c r="SAJ34" s="3"/>
      <c r="SAK34" s="3"/>
      <c r="SAL34" s="3"/>
      <c r="SAM34" s="3"/>
      <c r="SAN34" s="3"/>
      <c r="SAO34" s="3"/>
      <c r="SAP34" s="3"/>
      <c r="SAQ34" s="3"/>
      <c r="SAR34" s="3"/>
      <c r="SAS34" s="3"/>
      <c r="SAT34" s="3"/>
      <c r="SAU34" s="3"/>
      <c r="SAV34" s="3"/>
      <c r="SAW34" s="3"/>
      <c r="SAX34" s="3"/>
      <c r="SAY34" s="3"/>
      <c r="SAZ34" s="3"/>
      <c r="SBA34" s="3"/>
      <c r="SBB34" s="3"/>
      <c r="SBC34" s="3"/>
      <c r="SBD34" s="3"/>
      <c r="SBE34" s="3"/>
      <c r="SBF34" s="3"/>
      <c r="SBG34" s="3"/>
      <c r="SBH34" s="3"/>
      <c r="SBI34" s="3"/>
      <c r="SBJ34" s="3"/>
      <c r="SBK34" s="3"/>
      <c r="SBL34" s="3"/>
      <c r="SBM34" s="3"/>
      <c r="SBN34" s="3"/>
      <c r="SBO34" s="3"/>
      <c r="SBP34" s="3"/>
      <c r="SBQ34" s="3"/>
      <c r="SBR34" s="3"/>
      <c r="SBS34" s="3"/>
      <c r="SBT34" s="3"/>
      <c r="SBU34" s="3"/>
      <c r="SBV34" s="3"/>
      <c r="SBW34" s="3"/>
      <c r="SBX34" s="3"/>
      <c r="SBY34" s="3"/>
      <c r="SBZ34" s="3"/>
      <c r="SCA34" s="3"/>
      <c r="SCB34" s="3"/>
      <c r="SCC34" s="3"/>
      <c r="SCD34" s="3"/>
      <c r="SCE34" s="3"/>
      <c r="SCF34" s="3"/>
      <c r="SCG34" s="3"/>
      <c r="SCH34" s="3"/>
      <c r="SCI34" s="3"/>
      <c r="SCJ34" s="3"/>
      <c r="SCK34" s="3"/>
      <c r="SCL34" s="3"/>
      <c r="SCM34" s="3"/>
      <c r="SCN34" s="3"/>
      <c r="SCO34" s="3"/>
      <c r="SCP34" s="3"/>
      <c r="SCQ34" s="3"/>
      <c r="SCR34" s="3"/>
      <c r="SCS34" s="3"/>
      <c r="SCT34" s="3"/>
      <c r="SCU34" s="3"/>
      <c r="SCV34" s="3"/>
      <c r="SCW34" s="3"/>
      <c r="SCX34" s="3"/>
      <c r="SCY34" s="3"/>
      <c r="SCZ34" s="3"/>
      <c r="SDA34" s="3"/>
      <c r="SDB34" s="3"/>
      <c r="SDC34" s="3"/>
      <c r="SDD34" s="3"/>
      <c r="SDE34" s="3"/>
      <c r="SDF34" s="3"/>
      <c r="SDG34" s="3"/>
      <c r="SDH34" s="3"/>
      <c r="SDI34" s="3"/>
      <c r="SDJ34" s="3"/>
      <c r="SDK34" s="3"/>
      <c r="SDL34" s="3"/>
      <c r="SDM34" s="3"/>
      <c r="SDN34" s="3"/>
      <c r="SDO34" s="3"/>
      <c r="SDP34" s="3"/>
      <c r="SDQ34" s="3"/>
      <c r="SDR34" s="3"/>
      <c r="SDS34" s="3"/>
      <c r="SDT34" s="3"/>
      <c r="SDU34" s="3"/>
      <c r="SDV34" s="3"/>
      <c r="SDW34" s="3"/>
      <c r="SDX34" s="3"/>
      <c r="SDY34" s="3"/>
      <c r="SDZ34" s="3"/>
      <c r="SEA34" s="3"/>
      <c r="SEB34" s="3"/>
      <c r="SEC34" s="3"/>
      <c r="SED34" s="3"/>
      <c r="SEE34" s="3"/>
      <c r="SEF34" s="3"/>
      <c r="SEG34" s="3"/>
      <c r="SEH34" s="3"/>
      <c r="SEI34" s="3"/>
      <c r="SEJ34" s="3"/>
      <c r="SEK34" s="3"/>
      <c r="SEL34" s="3"/>
      <c r="SEM34" s="3"/>
      <c r="SEN34" s="3"/>
      <c r="SEO34" s="3"/>
      <c r="SEP34" s="3"/>
      <c r="SEQ34" s="3"/>
      <c r="SER34" s="3"/>
      <c r="SES34" s="3"/>
      <c r="SET34" s="3"/>
      <c r="SEU34" s="3"/>
      <c r="SEV34" s="3"/>
      <c r="SEW34" s="3"/>
      <c r="SEX34" s="3"/>
      <c r="SEY34" s="3"/>
      <c r="SEZ34" s="3"/>
      <c r="SFA34" s="3"/>
      <c r="SFB34" s="3"/>
      <c r="SFC34" s="3"/>
      <c r="SFD34" s="3"/>
      <c r="SFE34" s="3"/>
      <c r="SFF34" s="3"/>
      <c r="SFG34" s="3"/>
      <c r="SFH34" s="3"/>
      <c r="SFI34" s="3"/>
      <c r="SFJ34" s="3"/>
      <c r="SFK34" s="3"/>
      <c r="SFL34" s="3"/>
      <c r="SFM34" s="3"/>
      <c r="SFN34" s="3"/>
      <c r="SFO34" s="3"/>
      <c r="SFP34" s="3"/>
      <c r="SFQ34" s="3"/>
      <c r="SFR34" s="3"/>
      <c r="SFS34" s="3"/>
      <c r="SFT34" s="3"/>
      <c r="SFU34" s="3"/>
      <c r="SFV34" s="3"/>
      <c r="SFW34" s="3"/>
      <c r="SFX34" s="3"/>
      <c r="SFY34" s="3"/>
      <c r="SFZ34" s="3"/>
      <c r="SGA34" s="3"/>
      <c r="SGB34" s="3"/>
      <c r="SGC34" s="3"/>
      <c r="SGD34" s="3"/>
      <c r="SGE34" s="3"/>
      <c r="SGF34" s="3"/>
      <c r="SGG34" s="3"/>
      <c r="SGH34" s="3"/>
      <c r="SGI34" s="3"/>
      <c r="SGJ34" s="3"/>
      <c r="SGK34" s="3"/>
      <c r="SGL34" s="3"/>
      <c r="SGM34" s="3"/>
      <c r="SGN34" s="3"/>
      <c r="SGO34" s="3"/>
      <c r="SGP34" s="3"/>
      <c r="SGQ34" s="3"/>
      <c r="SGR34" s="3"/>
      <c r="SGS34" s="3"/>
      <c r="SGT34" s="3"/>
      <c r="SGU34" s="3"/>
      <c r="SGV34" s="3"/>
      <c r="SGW34" s="3"/>
      <c r="SGX34" s="3"/>
      <c r="SGY34" s="3"/>
      <c r="SGZ34" s="3"/>
      <c r="SHA34" s="3"/>
      <c r="SHB34" s="3"/>
      <c r="SHC34" s="3"/>
      <c r="SHD34" s="3"/>
      <c r="SHE34" s="3"/>
      <c r="SHF34" s="3"/>
      <c r="SHG34" s="3"/>
      <c r="SHH34" s="3"/>
      <c r="SHI34" s="3"/>
      <c r="SHJ34" s="3"/>
      <c r="SHK34" s="3"/>
      <c r="SHL34" s="3"/>
      <c r="SHM34" s="3"/>
      <c r="SHN34" s="3"/>
      <c r="SHO34" s="3"/>
      <c r="SHP34" s="3"/>
      <c r="SHQ34" s="3"/>
      <c r="SHR34" s="3"/>
      <c r="SHS34" s="3"/>
      <c r="SHT34" s="3"/>
      <c r="SHU34" s="3"/>
      <c r="SHV34" s="3"/>
      <c r="SHW34" s="3"/>
      <c r="SHX34" s="3"/>
      <c r="SHY34" s="3"/>
      <c r="SHZ34" s="3"/>
      <c r="SIA34" s="3"/>
      <c r="SIB34" s="3"/>
      <c r="SIC34" s="3"/>
      <c r="SID34" s="3"/>
      <c r="SIE34" s="3"/>
      <c r="SIF34" s="3"/>
      <c r="SIG34" s="3"/>
      <c r="SIH34" s="3"/>
      <c r="SII34" s="3"/>
      <c r="SIJ34" s="3"/>
      <c r="SIK34" s="3"/>
      <c r="SIL34" s="3"/>
      <c r="SIM34" s="3"/>
      <c r="SIN34" s="3"/>
      <c r="SIO34" s="3"/>
      <c r="SIP34" s="3"/>
      <c r="SIQ34" s="3"/>
      <c r="SIR34" s="3"/>
      <c r="SIS34" s="3"/>
      <c r="SIT34" s="3"/>
      <c r="SIU34" s="3"/>
      <c r="SIV34" s="3"/>
      <c r="SIW34" s="3"/>
      <c r="SIX34" s="3"/>
      <c r="SIY34" s="3"/>
      <c r="SIZ34" s="3"/>
      <c r="SJA34" s="3"/>
      <c r="SJB34" s="3"/>
      <c r="SJC34" s="3"/>
      <c r="SJD34" s="3"/>
      <c r="SJE34" s="3"/>
      <c r="SJF34" s="3"/>
      <c r="SJG34" s="3"/>
      <c r="SJH34" s="3"/>
      <c r="SJI34" s="3"/>
      <c r="SJJ34" s="3"/>
      <c r="SJK34" s="3"/>
      <c r="SJL34" s="3"/>
      <c r="SJM34" s="3"/>
      <c r="SJN34" s="3"/>
      <c r="SJO34" s="3"/>
      <c r="SJP34" s="3"/>
      <c r="SJQ34" s="3"/>
      <c r="SJR34" s="3"/>
      <c r="SJS34" s="3"/>
      <c r="SJT34" s="3"/>
      <c r="SJU34" s="3"/>
      <c r="SJV34" s="3"/>
      <c r="SJW34" s="3"/>
      <c r="SJX34" s="3"/>
      <c r="SJY34" s="3"/>
      <c r="SJZ34" s="3"/>
      <c r="SKA34" s="3"/>
      <c r="SKB34" s="3"/>
      <c r="SKC34" s="3"/>
      <c r="SKD34" s="3"/>
      <c r="SKE34" s="3"/>
      <c r="SKF34" s="3"/>
      <c r="SKG34" s="3"/>
      <c r="SKH34" s="3"/>
      <c r="SKI34" s="3"/>
      <c r="SKJ34" s="3"/>
      <c r="SKK34" s="3"/>
      <c r="SKL34" s="3"/>
      <c r="SKM34" s="3"/>
      <c r="SKN34" s="3"/>
      <c r="SKO34" s="3"/>
      <c r="SKP34" s="3"/>
      <c r="SKQ34" s="3"/>
      <c r="SKR34" s="3"/>
      <c r="SKS34" s="3"/>
      <c r="SKT34" s="3"/>
      <c r="SKU34" s="3"/>
      <c r="SKV34" s="3"/>
      <c r="SKW34" s="3"/>
      <c r="SKX34" s="3"/>
      <c r="SKY34" s="3"/>
      <c r="SKZ34" s="3"/>
      <c r="SLA34" s="3"/>
      <c r="SLB34" s="3"/>
      <c r="SLC34" s="3"/>
      <c r="SLD34" s="3"/>
      <c r="SLE34" s="3"/>
      <c r="SLF34" s="3"/>
      <c r="SLG34" s="3"/>
      <c r="SLH34" s="3"/>
      <c r="SLI34" s="3"/>
      <c r="SLJ34" s="3"/>
      <c r="SLK34" s="3"/>
      <c r="SLL34" s="3"/>
      <c r="SLM34" s="3"/>
      <c r="SLN34" s="3"/>
      <c r="SLO34" s="3"/>
      <c r="SLP34" s="3"/>
      <c r="SLQ34" s="3"/>
      <c r="SLR34" s="3"/>
      <c r="SLS34" s="3"/>
      <c r="SLT34" s="3"/>
      <c r="SLU34" s="3"/>
      <c r="SLV34" s="3"/>
      <c r="SLW34" s="3"/>
      <c r="SLX34" s="3"/>
      <c r="SLY34" s="3"/>
      <c r="SLZ34" s="3"/>
      <c r="SMA34" s="3"/>
      <c r="SMB34" s="3"/>
      <c r="SMC34" s="3"/>
      <c r="SMD34" s="3"/>
      <c r="SME34" s="3"/>
      <c r="SMF34" s="3"/>
      <c r="SMG34" s="3"/>
      <c r="SMH34" s="3"/>
      <c r="SMI34" s="3"/>
      <c r="SMJ34" s="3"/>
      <c r="SMK34" s="3"/>
      <c r="SML34" s="3"/>
      <c r="SMM34" s="3"/>
      <c r="SMN34" s="3"/>
      <c r="SMO34" s="3"/>
      <c r="SMP34" s="3"/>
      <c r="SMQ34" s="3"/>
      <c r="SMR34" s="3"/>
      <c r="SMS34" s="3"/>
      <c r="SMT34" s="3"/>
      <c r="SMU34" s="3"/>
      <c r="SMV34" s="3"/>
      <c r="SMW34" s="3"/>
      <c r="SMX34" s="3"/>
      <c r="SMY34" s="3"/>
      <c r="SMZ34" s="3"/>
      <c r="SNA34" s="3"/>
      <c r="SNB34" s="3"/>
      <c r="SNC34" s="3"/>
      <c r="SND34" s="3"/>
      <c r="SNE34" s="3"/>
      <c r="SNF34" s="3"/>
      <c r="SNG34" s="3"/>
      <c r="SNH34" s="3"/>
      <c r="SNI34" s="3"/>
      <c r="SNJ34" s="3"/>
      <c r="SNK34" s="3"/>
      <c r="SNL34" s="3"/>
      <c r="SNM34" s="3"/>
      <c r="SNN34" s="3"/>
      <c r="SNO34" s="3"/>
      <c r="SNP34" s="3"/>
      <c r="SNQ34" s="3"/>
      <c r="SNR34" s="3"/>
      <c r="SNS34" s="3"/>
      <c r="SNT34" s="3"/>
      <c r="SNU34" s="3"/>
      <c r="SNV34" s="3"/>
      <c r="SNW34" s="3"/>
      <c r="SNX34" s="3"/>
      <c r="SNY34" s="3"/>
      <c r="SNZ34" s="3"/>
      <c r="SOA34" s="3"/>
      <c r="SOB34" s="3"/>
      <c r="SOC34" s="3"/>
      <c r="SOD34" s="3"/>
      <c r="SOE34" s="3"/>
      <c r="SOF34" s="3"/>
      <c r="SOG34" s="3"/>
      <c r="SOH34" s="3"/>
      <c r="SOI34" s="3"/>
      <c r="SOJ34" s="3"/>
      <c r="SOK34" s="3"/>
      <c r="SOL34" s="3"/>
      <c r="SOM34" s="3"/>
      <c r="SON34" s="3"/>
      <c r="SOO34" s="3"/>
      <c r="SOP34" s="3"/>
      <c r="SOQ34" s="3"/>
      <c r="SOR34" s="3"/>
      <c r="SOS34" s="3"/>
      <c r="SOT34" s="3"/>
      <c r="SOU34" s="3"/>
      <c r="SOV34" s="3"/>
      <c r="SOW34" s="3"/>
      <c r="SOX34" s="3"/>
      <c r="SOY34" s="3"/>
      <c r="SOZ34" s="3"/>
      <c r="SPA34" s="3"/>
      <c r="SPB34" s="3"/>
      <c r="SPC34" s="3"/>
      <c r="SPD34" s="3"/>
      <c r="SPE34" s="3"/>
      <c r="SPF34" s="3"/>
      <c r="SPG34" s="3"/>
      <c r="SPH34" s="3"/>
      <c r="SPI34" s="3"/>
      <c r="SPJ34" s="3"/>
      <c r="SPK34" s="3"/>
      <c r="SPL34" s="3"/>
      <c r="SPM34" s="3"/>
      <c r="SPN34" s="3"/>
      <c r="SPO34" s="3"/>
      <c r="SPP34" s="3"/>
      <c r="SPQ34" s="3"/>
      <c r="SPR34" s="3"/>
      <c r="SPS34" s="3"/>
      <c r="SPT34" s="3"/>
      <c r="SPU34" s="3"/>
      <c r="SPV34" s="3"/>
      <c r="SPW34" s="3"/>
      <c r="SPX34" s="3"/>
      <c r="SPY34" s="3"/>
      <c r="SPZ34" s="3"/>
      <c r="SQA34" s="3"/>
      <c r="SQB34" s="3"/>
      <c r="SQC34" s="3"/>
      <c r="SQD34" s="3"/>
      <c r="SQE34" s="3"/>
      <c r="SQF34" s="3"/>
      <c r="SQG34" s="3"/>
      <c r="SQH34" s="3"/>
      <c r="SQI34" s="3"/>
      <c r="SQJ34" s="3"/>
      <c r="SQK34" s="3"/>
      <c r="SQL34" s="3"/>
      <c r="SQM34" s="3"/>
      <c r="SQN34" s="3"/>
      <c r="SQO34" s="3"/>
      <c r="SQP34" s="3"/>
      <c r="SQQ34" s="3"/>
      <c r="SQR34" s="3"/>
      <c r="SQS34" s="3"/>
      <c r="SQT34" s="3"/>
      <c r="SQU34" s="3"/>
      <c r="SQV34" s="3"/>
      <c r="SQW34" s="3"/>
      <c r="SQX34" s="3"/>
      <c r="SQY34" s="3"/>
      <c r="SQZ34" s="3"/>
      <c r="SRA34" s="3"/>
      <c r="SRB34" s="3"/>
      <c r="SRC34" s="3"/>
      <c r="SRD34" s="3"/>
      <c r="SRE34" s="3"/>
      <c r="SRF34" s="3"/>
      <c r="SRG34" s="3"/>
      <c r="SRH34" s="3"/>
      <c r="SRI34" s="3"/>
      <c r="SRJ34" s="3"/>
      <c r="SRK34" s="3"/>
      <c r="SRL34" s="3"/>
      <c r="SRM34" s="3"/>
      <c r="SRN34" s="3"/>
      <c r="SRO34" s="3"/>
      <c r="SRP34" s="3"/>
      <c r="SRQ34" s="3"/>
      <c r="SRR34" s="3"/>
      <c r="SRS34" s="3"/>
      <c r="SRT34" s="3"/>
      <c r="SRU34" s="3"/>
      <c r="SRV34" s="3"/>
      <c r="SRW34" s="3"/>
      <c r="SRX34" s="3"/>
      <c r="SRY34" s="3"/>
      <c r="SRZ34" s="3"/>
      <c r="SSA34" s="3"/>
      <c r="SSB34" s="3"/>
      <c r="SSC34" s="3"/>
      <c r="SSD34" s="3"/>
      <c r="SSE34" s="3"/>
      <c r="SSF34" s="3"/>
      <c r="SSG34" s="3"/>
      <c r="SSH34" s="3"/>
      <c r="SSI34" s="3"/>
      <c r="SSJ34" s="3"/>
      <c r="SSK34" s="3"/>
      <c r="SSL34" s="3"/>
      <c r="SSM34" s="3"/>
      <c r="SSN34" s="3"/>
      <c r="SSO34" s="3"/>
      <c r="SSP34" s="3"/>
      <c r="SSQ34" s="3"/>
      <c r="SSR34" s="3"/>
      <c r="SSS34" s="3"/>
      <c r="SST34" s="3"/>
      <c r="SSU34" s="3"/>
      <c r="SSV34" s="3"/>
      <c r="SSW34" s="3"/>
      <c r="SSX34" s="3"/>
      <c r="SSY34" s="3"/>
      <c r="SSZ34" s="3"/>
      <c r="STA34" s="3"/>
      <c r="STB34" s="3"/>
      <c r="STC34" s="3"/>
      <c r="STD34" s="3"/>
      <c r="STE34" s="3"/>
      <c r="STF34" s="3"/>
      <c r="STG34" s="3"/>
      <c r="STH34" s="3"/>
      <c r="STI34" s="3"/>
      <c r="STJ34" s="3"/>
      <c r="STK34" s="3"/>
      <c r="STL34" s="3"/>
      <c r="STM34" s="3"/>
      <c r="STN34" s="3"/>
      <c r="STO34" s="3"/>
      <c r="STP34" s="3"/>
      <c r="STQ34" s="3"/>
      <c r="STR34" s="3"/>
      <c r="STS34" s="3"/>
      <c r="STT34" s="3"/>
      <c r="STU34" s="3"/>
      <c r="STV34" s="3"/>
      <c r="STW34" s="3"/>
      <c r="STX34" s="3"/>
      <c r="STY34" s="3"/>
      <c r="STZ34" s="3"/>
      <c r="SUA34" s="3"/>
      <c r="SUB34" s="3"/>
      <c r="SUC34" s="3"/>
      <c r="SUD34" s="3"/>
      <c r="SUE34" s="3"/>
      <c r="SUF34" s="3"/>
      <c r="SUG34" s="3"/>
      <c r="SUH34" s="3"/>
      <c r="SUI34" s="3"/>
      <c r="SUJ34" s="3"/>
      <c r="SUK34" s="3"/>
      <c r="SUL34" s="3"/>
      <c r="SUM34" s="3"/>
      <c r="SUN34" s="3"/>
      <c r="SUO34" s="3"/>
      <c r="SUP34" s="3"/>
      <c r="SUQ34" s="3"/>
      <c r="SUR34" s="3"/>
      <c r="SUS34" s="3"/>
      <c r="SUT34" s="3"/>
      <c r="SUU34" s="3"/>
      <c r="SUV34" s="3"/>
      <c r="SUW34" s="3"/>
      <c r="SUX34" s="3"/>
      <c r="SUY34" s="3"/>
      <c r="SUZ34" s="3"/>
      <c r="SVA34" s="3"/>
      <c r="SVB34" s="3"/>
      <c r="SVC34" s="3"/>
      <c r="SVD34" s="3"/>
      <c r="SVE34" s="3"/>
      <c r="SVF34" s="3"/>
      <c r="SVG34" s="3"/>
      <c r="SVH34" s="3"/>
      <c r="SVI34" s="3"/>
      <c r="SVJ34" s="3"/>
      <c r="SVK34" s="3"/>
      <c r="SVL34" s="3"/>
      <c r="SVM34" s="3"/>
      <c r="SVN34" s="3"/>
      <c r="SVO34" s="3"/>
      <c r="SVP34" s="3"/>
      <c r="SVQ34" s="3"/>
      <c r="SVR34" s="3"/>
      <c r="SVS34" s="3"/>
      <c r="SVT34" s="3"/>
      <c r="SVU34" s="3"/>
      <c r="SVV34" s="3"/>
      <c r="SVW34" s="3"/>
      <c r="SVX34" s="3"/>
      <c r="SVY34" s="3"/>
      <c r="SVZ34" s="3"/>
      <c r="SWA34" s="3"/>
      <c r="SWB34" s="3"/>
      <c r="SWC34" s="3"/>
      <c r="SWD34" s="3"/>
      <c r="SWE34" s="3"/>
      <c r="SWF34" s="3"/>
      <c r="SWG34" s="3"/>
      <c r="SWH34" s="3"/>
      <c r="SWI34" s="3"/>
      <c r="SWJ34" s="3"/>
      <c r="SWK34" s="3"/>
      <c r="SWL34" s="3"/>
      <c r="SWM34" s="3"/>
      <c r="SWN34" s="3"/>
      <c r="SWO34" s="3"/>
      <c r="SWP34" s="3"/>
      <c r="SWQ34" s="3"/>
      <c r="SWR34" s="3"/>
      <c r="SWS34" s="3"/>
      <c r="SWT34" s="3"/>
      <c r="SWU34" s="3"/>
      <c r="SWV34" s="3"/>
      <c r="SWW34" s="3"/>
      <c r="SWX34" s="3"/>
      <c r="SWY34" s="3"/>
      <c r="SWZ34" s="3"/>
      <c r="SXA34" s="3"/>
      <c r="SXB34" s="3"/>
      <c r="SXC34" s="3"/>
      <c r="SXD34" s="3"/>
      <c r="SXE34" s="3"/>
      <c r="SXF34" s="3"/>
      <c r="SXG34" s="3"/>
      <c r="SXH34" s="3"/>
      <c r="SXI34" s="3"/>
      <c r="SXJ34" s="3"/>
      <c r="SXK34" s="3"/>
      <c r="SXL34" s="3"/>
      <c r="SXM34" s="3"/>
      <c r="SXN34" s="3"/>
      <c r="SXO34" s="3"/>
      <c r="SXP34" s="3"/>
      <c r="SXQ34" s="3"/>
      <c r="SXR34" s="3"/>
      <c r="SXS34" s="3"/>
      <c r="SXT34" s="3"/>
      <c r="SXU34" s="3"/>
      <c r="SXV34" s="3"/>
      <c r="SXW34" s="3"/>
      <c r="SXX34" s="3"/>
      <c r="SXY34" s="3"/>
      <c r="SXZ34" s="3"/>
      <c r="SYA34" s="3"/>
      <c r="SYB34" s="3"/>
      <c r="SYC34" s="3"/>
      <c r="SYD34" s="3"/>
      <c r="SYE34" s="3"/>
      <c r="SYF34" s="3"/>
      <c r="SYG34" s="3"/>
      <c r="SYH34" s="3"/>
      <c r="SYI34" s="3"/>
      <c r="SYJ34" s="3"/>
      <c r="SYK34" s="3"/>
      <c r="SYL34" s="3"/>
      <c r="SYM34" s="3"/>
      <c r="SYN34" s="3"/>
      <c r="SYO34" s="3"/>
      <c r="SYP34" s="3"/>
      <c r="SYQ34" s="3"/>
      <c r="SYR34" s="3"/>
      <c r="SYS34" s="3"/>
      <c r="SYT34" s="3"/>
      <c r="SYU34" s="3"/>
      <c r="SYV34" s="3"/>
      <c r="SYW34" s="3"/>
      <c r="SYX34" s="3"/>
      <c r="SYY34" s="3"/>
      <c r="SYZ34" s="3"/>
      <c r="SZA34" s="3"/>
      <c r="SZB34" s="3"/>
      <c r="SZC34" s="3"/>
      <c r="SZD34" s="3"/>
      <c r="SZE34" s="3"/>
      <c r="SZF34" s="3"/>
      <c r="SZG34" s="3"/>
      <c r="SZH34" s="3"/>
      <c r="SZI34" s="3"/>
      <c r="SZJ34" s="3"/>
      <c r="SZK34" s="3"/>
      <c r="SZL34" s="3"/>
      <c r="SZM34" s="3"/>
      <c r="SZN34" s="3"/>
      <c r="SZO34" s="3"/>
      <c r="SZP34" s="3"/>
      <c r="SZQ34" s="3"/>
      <c r="SZR34" s="3"/>
      <c r="SZS34" s="3"/>
      <c r="SZT34" s="3"/>
      <c r="SZU34" s="3"/>
      <c r="SZV34" s="3"/>
      <c r="SZW34" s="3"/>
      <c r="SZX34" s="3"/>
      <c r="SZY34" s="3"/>
      <c r="SZZ34" s="3"/>
      <c r="TAA34" s="3"/>
      <c r="TAB34" s="3"/>
      <c r="TAC34" s="3"/>
      <c r="TAD34" s="3"/>
      <c r="TAE34" s="3"/>
      <c r="TAF34" s="3"/>
      <c r="TAG34" s="3"/>
      <c r="TAH34" s="3"/>
      <c r="TAI34" s="3"/>
      <c r="TAJ34" s="3"/>
      <c r="TAK34" s="3"/>
      <c r="TAL34" s="3"/>
      <c r="TAM34" s="3"/>
      <c r="TAN34" s="3"/>
      <c r="TAO34" s="3"/>
      <c r="TAP34" s="3"/>
      <c r="TAQ34" s="3"/>
      <c r="TAR34" s="3"/>
      <c r="TAS34" s="3"/>
      <c r="TAT34" s="3"/>
      <c r="TAU34" s="3"/>
      <c r="TAV34" s="3"/>
      <c r="TAW34" s="3"/>
      <c r="TAX34" s="3"/>
      <c r="TAY34" s="3"/>
      <c r="TAZ34" s="3"/>
      <c r="TBA34" s="3"/>
      <c r="TBB34" s="3"/>
      <c r="TBC34" s="3"/>
      <c r="TBD34" s="3"/>
      <c r="TBE34" s="3"/>
      <c r="TBF34" s="3"/>
      <c r="TBG34" s="3"/>
      <c r="TBH34" s="3"/>
      <c r="TBI34" s="3"/>
      <c r="TBJ34" s="3"/>
      <c r="TBK34" s="3"/>
      <c r="TBL34" s="3"/>
      <c r="TBM34" s="3"/>
      <c r="TBN34" s="3"/>
      <c r="TBO34" s="3"/>
      <c r="TBP34" s="3"/>
      <c r="TBQ34" s="3"/>
      <c r="TBR34" s="3"/>
      <c r="TBS34" s="3"/>
      <c r="TBT34" s="3"/>
      <c r="TBU34" s="3"/>
      <c r="TBV34" s="3"/>
      <c r="TBW34" s="3"/>
      <c r="TBX34" s="3"/>
      <c r="TBY34" s="3"/>
      <c r="TBZ34" s="3"/>
      <c r="TCA34" s="3"/>
      <c r="TCB34" s="3"/>
      <c r="TCC34" s="3"/>
      <c r="TCD34" s="3"/>
      <c r="TCE34" s="3"/>
      <c r="TCF34" s="3"/>
      <c r="TCG34" s="3"/>
      <c r="TCH34" s="3"/>
      <c r="TCI34" s="3"/>
      <c r="TCJ34" s="3"/>
      <c r="TCK34" s="3"/>
      <c r="TCL34" s="3"/>
      <c r="TCM34" s="3"/>
      <c r="TCN34" s="3"/>
      <c r="TCO34" s="3"/>
      <c r="TCP34" s="3"/>
      <c r="TCQ34" s="3"/>
      <c r="TCR34" s="3"/>
      <c r="TCS34" s="3"/>
      <c r="TCT34" s="3"/>
      <c r="TCU34" s="3"/>
      <c r="TCV34" s="3"/>
      <c r="TCW34" s="3"/>
      <c r="TCX34" s="3"/>
      <c r="TCY34" s="3"/>
      <c r="TCZ34" s="3"/>
      <c r="TDA34" s="3"/>
      <c r="TDB34" s="3"/>
      <c r="TDC34" s="3"/>
      <c r="TDD34" s="3"/>
      <c r="TDE34" s="3"/>
      <c r="TDF34" s="3"/>
      <c r="TDG34" s="3"/>
      <c r="TDH34" s="3"/>
      <c r="TDI34" s="3"/>
      <c r="TDJ34" s="3"/>
      <c r="TDK34" s="3"/>
      <c r="TDL34" s="3"/>
      <c r="TDM34" s="3"/>
      <c r="TDN34" s="3"/>
      <c r="TDO34" s="3"/>
      <c r="TDP34" s="3"/>
      <c r="TDQ34" s="3"/>
      <c r="TDR34" s="3"/>
      <c r="TDS34" s="3"/>
      <c r="TDT34" s="3"/>
      <c r="TDU34" s="3"/>
      <c r="TDV34" s="3"/>
      <c r="TDW34" s="3"/>
      <c r="TDX34" s="3"/>
      <c r="TDY34" s="3"/>
      <c r="TDZ34" s="3"/>
      <c r="TEA34" s="3"/>
      <c r="TEB34" s="3"/>
      <c r="TEC34" s="3"/>
      <c r="TED34" s="3"/>
      <c r="TEE34" s="3"/>
      <c r="TEF34" s="3"/>
      <c r="TEG34" s="3"/>
      <c r="TEH34" s="3"/>
      <c r="TEI34" s="3"/>
      <c r="TEJ34" s="3"/>
      <c r="TEK34" s="3"/>
      <c r="TEL34" s="3"/>
      <c r="TEM34" s="3"/>
      <c r="TEN34" s="3"/>
      <c r="TEO34" s="3"/>
      <c r="TEP34" s="3"/>
      <c r="TEQ34" s="3"/>
      <c r="TER34" s="3"/>
      <c r="TES34" s="3"/>
      <c r="TET34" s="3"/>
      <c r="TEU34" s="3"/>
      <c r="TEV34" s="3"/>
      <c r="TEW34" s="3"/>
      <c r="TEX34" s="3"/>
      <c r="TEY34" s="3"/>
      <c r="TEZ34" s="3"/>
      <c r="TFA34" s="3"/>
      <c r="TFB34" s="3"/>
      <c r="TFC34" s="3"/>
      <c r="TFD34" s="3"/>
      <c r="TFE34" s="3"/>
      <c r="TFF34" s="3"/>
      <c r="TFG34" s="3"/>
      <c r="TFH34" s="3"/>
      <c r="TFI34" s="3"/>
      <c r="TFJ34" s="3"/>
      <c r="TFK34" s="3"/>
      <c r="TFL34" s="3"/>
      <c r="TFM34" s="3"/>
      <c r="TFN34" s="3"/>
      <c r="TFO34" s="3"/>
      <c r="TFP34" s="3"/>
      <c r="TFQ34" s="3"/>
      <c r="TFR34" s="3"/>
      <c r="TFS34" s="3"/>
      <c r="TFT34" s="3"/>
      <c r="TFU34" s="3"/>
      <c r="TFV34" s="3"/>
      <c r="TFW34" s="3"/>
      <c r="TFX34" s="3"/>
      <c r="TFY34" s="3"/>
      <c r="TFZ34" s="3"/>
      <c r="TGA34" s="3"/>
      <c r="TGB34" s="3"/>
      <c r="TGC34" s="3"/>
      <c r="TGD34" s="3"/>
      <c r="TGE34" s="3"/>
      <c r="TGF34" s="3"/>
      <c r="TGG34" s="3"/>
      <c r="TGH34" s="3"/>
      <c r="TGI34" s="3"/>
      <c r="TGJ34" s="3"/>
      <c r="TGK34" s="3"/>
      <c r="TGL34" s="3"/>
      <c r="TGM34" s="3"/>
      <c r="TGN34" s="3"/>
      <c r="TGO34" s="3"/>
      <c r="TGP34" s="3"/>
      <c r="TGQ34" s="3"/>
      <c r="TGR34" s="3"/>
      <c r="TGS34" s="3"/>
      <c r="TGT34" s="3"/>
      <c r="TGU34" s="3"/>
      <c r="TGV34" s="3"/>
      <c r="TGW34" s="3"/>
      <c r="TGX34" s="3"/>
      <c r="TGY34" s="3"/>
      <c r="TGZ34" s="3"/>
      <c r="THA34" s="3"/>
      <c r="THB34" s="3"/>
      <c r="THC34" s="3"/>
      <c r="THD34" s="3"/>
      <c r="THE34" s="3"/>
      <c r="THF34" s="3"/>
      <c r="THG34" s="3"/>
      <c r="THH34" s="3"/>
      <c r="THI34" s="3"/>
      <c r="THJ34" s="3"/>
      <c r="THK34" s="3"/>
      <c r="THL34" s="3"/>
      <c r="THM34" s="3"/>
      <c r="THN34" s="3"/>
      <c r="THO34" s="3"/>
      <c r="THP34" s="3"/>
      <c r="THQ34" s="3"/>
      <c r="THR34" s="3"/>
      <c r="THS34" s="3"/>
      <c r="THT34" s="3"/>
      <c r="THU34" s="3"/>
      <c r="THV34" s="3"/>
      <c r="THW34" s="3"/>
      <c r="THX34" s="3"/>
      <c r="THY34" s="3"/>
      <c r="THZ34" s="3"/>
      <c r="TIA34" s="3"/>
      <c r="TIB34" s="3"/>
      <c r="TIC34" s="3"/>
      <c r="TID34" s="3"/>
      <c r="TIE34" s="3"/>
      <c r="TIF34" s="3"/>
      <c r="TIG34" s="3"/>
      <c r="TIH34" s="3"/>
      <c r="TII34" s="3"/>
      <c r="TIJ34" s="3"/>
      <c r="TIK34" s="3"/>
      <c r="TIL34" s="3"/>
      <c r="TIM34" s="3"/>
      <c r="TIN34" s="3"/>
      <c r="TIO34" s="3"/>
      <c r="TIP34" s="3"/>
      <c r="TIQ34" s="3"/>
      <c r="TIR34" s="3"/>
      <c r="TIS34" s="3"/>
      <c r="TIT34" s="3"/>
      <c r="TIU34" s="3"/>
      <c r="TIV34" s="3"/>
      <c r="TIW34" s="3"/>
      <c r="TIX34" s="3"/>
      <c r="TIY34" s="3"/>
      <c r="TIZ34" s="3"/>
      <c r="TJA34" s="3"/>
      <c r="TJB34" s="3"/>
      <c r="TJC34" s="3"/>
      <c r="TJD34" s="3"/>
      <c r="TJE34" s="3"/>
      <c r="TJF34" s="3"/>
      <c r="TJG34" s="3"/>
      <c r="TJH34" s="3"/>
      <c r="TJI34" s="3"/>
      <c r="TJJ34" s="3"/>
      <c r="TJK34" s="3"/>
      <c r="TJL34" s="3"/>
      <c r="TJM34" s="3"/>
      <c r="TJN34" s="3"/>
      <c r="TJO34" s="3"/>
      <c r="TJP34" s="3"/>
      <c r="TJQ34" s="3"/>
      <c r="TJR34" s="3"/>
      <c r="TJS34" s="3"/>
      <c r="TJT34" s="3"/>
      <c r="TJU34" s="3"/>
      <c r="TJV34" s="3"/>
      <c r="TJW34" s="3"/>
      <c r="TJX34" s="3"/>
      <c r="TJY34" s="3"/>
      <c r="TJZ34" s="3"/>
      <c r="TKA34" s="3"/>
      <c r="TKB34" s="3"/>
      <c r="TKC34" s="3"/>
      <c r="TKD34" s="3"/>
      <c r="TKE34" s="3"/>
      <c r="TKF34" s="3"/>
      <c r="TKG34" s="3"/>
      <c r="TKH34" s="3"/>
      <c r="TKI34" s="3"/>
      <c r="TKJ34" s="3"/>
      <c r="TKK34" s="3"/>
      <c r="TKL34" s="3"/>
      <c r="TKM34" s="3"/>
      <c r="TKN34" s="3"/>
      <c r="TKO34" s="3"/>
      <c r="TKP34" s="3"/>
      <c r="TKQ34" s="3"/>
      <c r="TKR34" s="3"/>
      <c r="TKS34" s="3"/>
      <c r="TKT34" s="3"/>
      <c r="TKU34" s="3"/>
      <c r="TKV34" s="3"/>
      <c r="TKW34" s="3"/>
      <c r="TKX34" s="3"/>
      <c r="TKY34" s="3"/>
      <c r="TKZ34" s="3"/>
      <c r="TLA34" s="3"/>
      <c r="TLB34" s="3"/>
      <c r="TLC34" s="3"/>
      <c r="TLD34" s="3"/>
      <c r="TLE34" s="3"/>
      <c r="TLF34" s="3"/>
      <c r="TLG34" s="3"/>
      <c r="TLH34" s="3"/>
      <c r="TLI34" s="3"/>
      <c r="TLJ34" s="3"/>
      <c r="TLK34" s="3"/>
      <c r="TLL34" s="3"/>
      <c r="TLM34" s="3"/>
      <c r="TLN34" s="3"/>
      <c r="TLO34" s="3"/>
      <c r="TLP34" s="3"/>
      <c r="TLQ34" s="3"/>
      <c r="TLR34" s="3"/>
      <c r="TLS34" s="3"/>
      <c r="TLT34" s="3"/>
      <c r="TLU34" s="3"/>
      <c r="TLV34" s="3"/>
      <c r="TLW34" s="3"/>
      <c r="TLX34" s="3"/>
      <c r="TLY34" s="3"/>
      <c r="TLZ34" s="3"/>
      <c r="TMA34" s="3"/>
      <c r="TMB34" s="3"/>
      <c r="TMC34" s="3"/>
      <c r="TMD34" s="3"/>
      <c r="TME34" s="3"/>
      <c r="TMF34" s="3"/>
      <c r="TMG34" s="3"/>
      <c r="TMH34" s="3"/>
      <c r="TMI34" s="3"/>
      <c r="TMJ34" s="3"/>
      <c r="TMK34" s="3"/>
      <c r="TML34" s="3"/>
      <c r="TMM34" s="3"/>
      <c r="TMN34" s="3"/>
      <c r="TMO34" s="3"/>
      <c r="TMP34" s="3"/>
      <c r="TMQ34" s="3"/>
      <c r="TMR34" s="3"/>
      <c r="TMS34" s="3"/>
      <c r="TMT34" s="3"/>
      <c r="TMU34" s="3"/>
      <c r="TMV34" s="3"/>
      <c r="TMW34" s="3"/>
      <c r="TMX34" s="3"/>
      <c r="TMY34" s="3"/>
      <c r="TMZ34" s="3"/>
      <c r="TNA34" s="3"/>
      <c r="TNB34" s="3"/>
      <c r="TNC34" s="3"/>
      <c r="TND34" s="3"/>
      <c r="TNE34" s="3"/>
      <c r="TNF34" s="3"/>
      <c r="TNG34" s="3"/>
      <c r="TNH34" s="3"/>
      <c r="TNI34" s="3"/>
      <c r="TNJ34" s="3"/>
      <c r="TNK34" s="3"/>
      <c r="TNL34" s="3"/>
      <c r="TNM34" s="3"/>
      <c r="TNN34" s="3"/>
      <c r="TNO34" s="3"/>
      <c r="TNP34" s="3"/>
      <c r="TNQ34" s="3"/>
      <c r="TNR34" s="3"/>
      <c r="TNS34" s="3"/>
      <c r="TNT34" s="3"/>
      <c r="TNU34" s="3"/>
      <c r="TNV34" s="3"/>
      <c r="TNW34" s="3"/>
      <c r="TNX34" s="3"/>
      <c r="TNY34" s="3"/>
      <c r="TNZ34" s="3"/>
      <c r="TOA34" s="3"/>
      <c r="TOB34" s="3"/>
      <c r="TOC34" s="3"/>
      <c r="TOD34" s="3"/>
      <c r="TOE34" s="3"/>
      <c r="TOF34" s="3"/>
      <c r="TOG34" s="3"/>
      <c r="TOH34" s="3"/>
      <c r="TOI34" s="3"/>
      <c r="TOJ34" s="3"/>
      <c r="TOK34" s="3"/>
      <c r="TOL34" s="3"/>
      <c r="TOM34" s="3"/>
      <c r="TON34" s="3"/>
      <c r="TOO34" s="3"/>
      <c r="TOP34" s="3"/>
      <c r="TOQ34" s="3"/>
      <c r="TOR34" s="3"/>
      <c r="TOS34" s="3"/>
      <c r="TOT34" s="3"/>
      <c r="TOU34" s="3"/>
      <c r="TOV34" s="3"/>
      <c r="TOW34" s="3"/>
      <c r="TOX34" s="3"/>
      <c r="TOY34" s="3"/>
      <c r="TOZ34" s="3"/>
      <c r="TPA34" s="3"/>
      <c r="TPB34" s="3"/>
      <c r="TPC34" s="3"/>
      <c r="TPD34" s="3"/>
      <c r="TPE34" s="3"/>
      <c r="TPF34" s="3"/>
      <c r="TPG34" s="3"/>
      <c r="TPH34" s="3"/>
      <c r="TPI34" s="3"/>
      <c r="TPJ34" s="3"/>
      <c r="TPK34" s="3"/>
      <c r="TPL34" s="3"/>
      <c r="TPM34" s="3"/>
      <c r="TPN34" s="3"/>
      <c r="TPO34" s="3"/>
      <c r="TPP34" s="3"/>
      <c r="TPQ34" s="3"/>
      <c r="TPR34" s="3"/>
      <c r="TPS34" s="3"/>
      <c r="TPT34" s="3"/>
      <c r="TPU34" s="3"/>
      <c r="TPV34" s="3"/>
      <c r="TPW34" s="3"/>
      <c r="TPX34" s="3"/>
      <c r="TPY34" s="3"/>
      <c r="TPZ34" s="3"/>
      <c r="TQA34" s="3"/>
      <c r="TQB34" s="3"/>
      <c r="TQC34" s="3"/>
      <c r="TQD34" s="3"/>
      <c r="TQE34" s="3"/>
      <c r="TQF34" s="3"/>
      <c r="TQG34" s="3"/>
      <c r="TQH34" s="3"/>
      <c r="TQI34" s="3"/>
      <c r="TQJ34" s="3"/>
      <c r="TQK34" s="3"/>
      <c r="TQL34" s="3"/>
      <c r="TQM34" s="3"/>
      <c r="TQN34" s="3"/>
      <c r="TQO34" s="3"/>
      <c r="TQP34" s="3"/>
      <c r="TQQ34" s="3"/>
      <c r="TQR34" s="3"/>
      <c r="TQS34" s="3"/>
      <c r="TQT34" s="3"/>
      <c r="TQU34" s="3"/>
      <c r="TQV34" s="3"/>
      <c r="TQW34" s="3"/>
      <c r="TQX34" s="3"/>
      <c r="TQY34" s="3"/>
      <c r="TQZ34" s="3"/>
      <c r="TRA34" s="3"/>
      <c r="TRB34" s="3"/>
      <c r="TRC34" s="3"/>
      <c r="TRD34" s="3"/>
      <c r="TRE34" s="3"/>
      <c r="TRF34" s="3"/>
      <c r="TRG34" s="3"/>
      <c r="TRH34" s="3"/>
      <c r="TRI34" s="3"/>
      <c r="TRJ34" s="3"/>
      <c r="TRK34" s="3"/>
      <c r="TRL34" s="3"/>
      <c r="TRM34" s="3"/>
      <c r="TRN34" s="3"/>
      <c r="TRO34" s="3"/>
      <c r="TRP34" s="3"/>
      <c r="TRQ34" s="3"/>
      <c r="TRR34" s="3"/>
      <c r="TRS34" s="3"/>
      <c r="TRT34" s="3"/>
      <c r="TRU34" s="3"/>
      <c r="TRV34" s="3"/>
      <c r="TRW34" s="3"/>
      <c r="TRX34" s="3"/>
      <c r="TRY34" s="3"/>
      <c r="TRZ34" s="3"/>
      <c r="TSA34" s="3"/>
      <c r="TSB34" s="3"/>
      <c r="TSC34" s="3"/>
      <c r="TSD34" s="3"/>
      <c r="TSE34" s="3"/>
      <c r="TSF34" s="3"/>
      <c r="TSG34" s="3"/>
      <c r="TSH34" s="3"/>
      <c r="TSI34" s="3"/>
      <c r="TSJ34" s="3"/>
      <c r="TSK34" s="3"/>
      <c r="TSL34" s="3"/>
      <c r="TSM34" s="3"/>
      <c r="TSN34" s="3"/>
      <c r="TSO34" s="3"/>
      <c r="TSP34" s="3"/>
      <c r="TSQ34" s="3"/>
      <c r="TSR34" s="3"/>
      <c r="TSS34" s="3"/>
      <c r="TST34" s="3"/>
      <c r="TSU34" s="3"/>
      <c r="TSV34" s="3"/>
      <c r="TSW34" s="3"/>
      <c r="TSX34" s="3"/>
      <c r="TSY34" s="3"/>
      <c r="TSZ34" s="3"/>
      <c r="TTA34" s="3"/>
      <c r="TTB34" s="3"/>
      <c r="TTC34" s="3"/>
      <c r="TTD34" s="3"/>
      <c r="TTE34" s="3"/>
      <c r="TTF34" s="3"/>
      <c r="TTG34" s="3"/>
      <c r="TTH34" s="3"/>
      <c r="TTI34" s="3"/>
      <c r="TTJ34" s="3"/>
      <c r="TTK34" s="3"/>
      <c r="TTL34" s="3"/>
      <c r="TTM34" s="3"/>
      <c r="TTN34" s="3"/>
      <c r="TTO34" s="3"/>
      <c r="TTP34" s="3"/>
      <c r="TTQ34" s="3"/>
      <c r="TTR34" s="3"/>
      <c r="TTS34" s="3"/>
      <c r="TTT34" s="3"/>
      <c r="TTU34" s="3"/>
      <c r="TTV34" s="3"/>
      <c r="TTW34" s="3"/>
      <c r="TTX34" s="3"/>
      <c r="TTY34" s="3"/>
      <c r="TTZ34" s="3"/>
      <c r="TUA34" s="3"/>
      <c r="TUB34" s="3"/>
      <c r="TUC34" s="3"/>
      <c r="TUD34" s="3"/>
      <c r="TUE34" s="3"/>
      <c r="TUF34" s="3"/>
      <c r="TUG34" s="3"/>
      <c r="TUH34" s="3"/>
      <c r="TUI34" s="3"/>
      <c r="TUJ34" s="3"/>
      <c r="TUK34" s="3"/>
      <c r="TUL34" s="3"/>
      <c r="TUM34" s="3"/>
      <c r="TUN34" s="3"/>
      <c r="TUO34" s="3"/>
      <c r="TUP34" s="3"/>
      <c r="TUQ34" s="3"/>
      <c r="TUR34" s="3"/>
      <c r="TUS34" s="3"/>
      <c r="TUT34" s="3"/>
      <c r="TUU34" s="3"/>
      <c r="TUV34" s="3"/>
      <c r="TUW34" s="3"/>
      <c r="TUX34" s="3"/>
      <c r="TUY34" s="3"/>
      <c r="TUZ34" s="3"/>
      <c r="TVA34" s="3"/>
      <c r="TVB34" s="3"/>
      <c r="TVC34" s="3"/>
      <c r="TVD34" s="3"/>
      <c r="TVE34" s="3"/>
      <c r="TVF34" s="3"/>
      <c r="TVG34" s="3"/>
      <c r="TVH34" s="3"/>
      <c r="TVI34" s="3"/>
      <c r="TVJ34" s="3"/>
      <c r="TVK34" s="3"/>
      <c r="TVL34" s="3"/>
      <c r="TVM34" s="3"/>
      <c r="TVN34" s="3"/>
      <c r="TVO34" s="3"/>
      <c r="TVP34" s="3"/>
      <c r="TVQ34" s="3"/>
      <c r="TVR34" s="3"/>
      <c r="TVS34" s="3"/>
      <c r="TVT34" s="3"/>
      <c r="TVU34" s="3"/>
      <c r="TVV34" s="3"/>
      <c r="TVW34" s="3"/>
      <c r="TVX34" s="3"/>
      <c r="TVY34" s="3"/>
      <c r="TVZ34" s="3"/>
      <c r="TWA34" s="3"/>
      <c r="TWB34" s="3"/>
      <c r="TWC34" s="3"/>
      <c r="TWD34" s="3"/>
      <c r="TWE34" s="3"/>
      <c r="TWF34" s="3"/>
      <c r="TWG34" s="3"/>
      <c r="TWH34" s="3"/>
      <c r="TWI34" s="3"/>
      <c r="TWJ34" s="3"/>
      <c r="TWK34" s="3"/>
      <c r="TWL34" s="3"/>
      <c r="TWM34" s="3"/>
      <c r="TWN34" s="3"/>
      <c r="TWO34" s="3"/>
      <c r="TWP34" s="3"/>
      <c r="TWQ34" s="3"/>
      <c r="TWR34" s="3"/>
      <c r="TWS34" s="3"/>
      <c r="TWT34" s="3"/>
      <c r="TWU34" s="3"/>
      <c r="TWV34" s="3"/>
      <c r="TWW34" s="3"/>
      <c r="TWX34" s="3"/>
      <c r="TWY34" s="3"/>
      <c r="TWZ34" s="3"/>
      <c r="TXA34" s="3"/>
      <c r="TXB34" s="3"/>
      <c r="TXC34" s="3"/>
      <c r="TXD34" s="3"/>
      <c r="TXE34" s="3"/>
      <c r="TXF34" s="3"/>
      <c r="TXG34" s="3"/>
      <c r="TXH34" s="3"/>
      <c r="TXI34" s="3"/>
      <c r="TXJ34" s="3"/>
      <c r="TXK34" s="3"/>
      <c r="TXL34" s="3"/>
      <c r="TXM34" s="3"/>
      <c r="TXN34" s="3"/>
      <c r="TXO34" s="3"/>
      <c r="TXP34" s="3"/>
      <c r="TXQ34" s="3"/>
      <c r="TXR34" s="3"/>
      <c r="TXS34" s="3"/>
      <c r="TXT34" s="3"/>
      <c r="TXU34" s="3"/>
      <c r="TXV34" s="3"/>
      <c r="TXW34" s="3"/>
      <c r="TXX34" s="3"/>
      <c r="TXY34" s="3"/>
      <c r="TXZ34" s="3"/>
      <c r="TYA34" s="3"/>
      <c r="TYB34" s="3"/>
      <c r="TYC34" s="3"/>
      <c r="TYD34" s="3"/>
      <c r="TYE34" s="3"/>
      <c r="TYF34" s="3"/>
      <c r="TYG34" s="3"/>
      <c r="TYH34" s="3"/>
      <c r="TYI34" s="3"/>
      <c r="TYJ34" s="3"/>
      <c r="TYK34" s="3"/>
      <c r="TYL34" s="3"/>
      <c r="TYM34" s="3"/>
      <c r="TYN34" s="3"/>
      <c r="TYO34" s="3"/>
      <c r="TYP34" s="3"/>
      <c r="TYQ34" s="3"/>
      <c r="TYR34" s="3"/>
      <c r="TYS34" s="3"/>
      <c r="TYT34" s="3"/>
      <c r="TYU34" s="3"/>
      <c r="TYV34" s="3"/>
      <c r="TYW34" s="3"/>
      <c r="TYX34" s="3"/>
      <c r="TYY34" s="3"/>
      <c r="TYZ34" s="3"/>
      <c r="TZA34" s="3"/>
      <c r="TZB34" s="3"/>
      <c r="TZC34" s="3"/>
      <c r="TZD34" s="3"/>
      <c r="TZE34" s="3"/>
      <c r="TZF34" s="3"/>
      <c r="TZG34" s="3"/>
      <c r="TZH34" s="3"/>
      <c r="TZI34" s="3"/>
      <c r="TZJ34" s="3"/>
      <c r="TZK34" s="3"/>
      <c r="TZL34" s="3"/>
      <c r="TZM34" s="3"/>
      <c r="TZN34" s="3"/>
      <c r="TZO34" s="3"/>
      <c r="TZP34" s="3"/>
      <c r="TZQ34" s="3"/>
      <c r="TZR34" s="3"/>
      <c r="TZS34" s="3"/>
      <c r="TZT34" s="3"/>
      <c r="TZU34" s="3"/>
      <c r="TZV34" s="3"/>
      <c r="TZW34" s="3"/>
      <c r="TZX34" s="3"/>
      <c r="TZY34" s="3"/>
      <c r="TZZ34" s="3"/>
      <c r="UAA34" s="3"/>
      <c r="UAB34" s="3"/>
      <c r="UAC34" s="3"/>
      <c r="UAD34" s="3"/>
      <c r="UAE34" s="3"/>
      <c r="UAF34" s="3"/>
      <c r="UAG34" s="3"/>
      <c r="UAH34" s="3"/>
      <c r="UAI34" s="3"/>
      <c r="UAJ34" s="3"/>
      <c r="UAK34" s="3"/>
      <c r="UAL34" s="3"/>
      <c r="UAM34" s="3"/>
      <c r="UAN34" s="3"/>
      <c r="UAO34" s="3"/>
      <c r="UAP34" s="3"/>
      <c r="UAQ34" s="3"/>
      <c r="UAR34" s="3"/>
      <c r="UAS34" s="3"/>
      <c r="UAT34" s="3"/>
      <c r="UAU34" s="3"/>
      <c r="UAV34" s="3"/>
      <c r="UAW34" s="3"/>
      <c r="UAX34" s="3"/>
      <c r="UAY34" s="3"/>
      <c r="UAZ34" s="3"/>
      <c r="UBA34" s="3"/>
      <c r="UBB34" s="3"/>
      <c r="UBC34" s="3"/>
      <c r="UBD34" s="3"/>
      <c r="UBE34" s="3"/>
      <c r="UBF34" s="3"/>
      <c r="UBG34" s="3"/>
      <c r="UBH34" s="3"/>
      <c r="UBI34" s="3"/>
      <c r="UBJ34" s="3"/>
      <c r="UBK34" s="3"/>
      <c r="UBL34" s="3"/>
      <c r="UBM34" s="3"/>
      <c r="UBN34" s="3"/>
      <c r="UBO34" s="3"/>
      <c r="UBP34" s="3"/>
      <c r="UBQ34" s="3"/>
      <c r="UBR34" s="3"/>
      <c r="UBS34" s="3"/>
      <c r="UBT34" s="3"/>
      <c r="UBU34" s="3"/>
      <c r="UBV34" s="3"/>
      <c r="UBW34" s="3"/>
      <c r="UBX34" s="3"/>
      <c r="UBY34" s="3"/>
      <c r="UBZ34" s="3"/>
      <c r="UCA34" s="3"/>
      <c r="UCB34" s="3"/>
      <c r="UCC34" s="3"/>
      <c r="UCD34" s="3"/>
      <c r="UCE34" s="3"/>
      <c r="UCF34" s="3"/>
      <c r="UCG34" s="3"/>
      <c r="UCH34" s="3"/>
      <c r="UCI34" s="3"/>
      <c r="UCJ34" s="3"/>
      <c r="UCK34" s="3"/>
      <c r="UCL34" s="3"/>
      <c r="UCM34" s="3"/>
      <c r="UCN34" s="3"/>
      <c r="UCO34" s="3"/>
      <c r="UCP34" s="3"/>
      <c r="UCQ34" s="3"/>
      <c r="UCR34" s="3"/>
      <c r="UCS34" s="3"/>
      <c r="UCT34" s="3"/>
      <c r="UCU34" s="3"/>
      <c r="UCV34" s="3"/>
      <c r="UCW34" s="3"/>
      <c r="UCX34" s="3"/>
      <c r="UCY34" s="3"/>
      <c r="UCZ34" s="3"/>
      <c r="UDA34" s="3"/>
      <c r="UDB34" s="3"/>
      <c r="UDC34" s="3"/>
      <c r="UDD34" s="3"/>
      <c r="UDE34" s="3"/>
      <c r="UDF34" s="3"/>
      <c r="UDG34" s="3"/>
      <c r="UDH34" s="3"/>
      <c r="UDI34" s="3"/>
      <c r="UDJ34" s="3"/>
      <c r="UDK34" s="3"/>
      <c r="UDL34" s="3"/>
      <c r="UDM34" s="3"/>
      <c r="UDN34" s="3"/>
      <c r="UDO34" s="3"/>
      <c r="UDP34" s="3"/>
      <c r="UDQ34" s="3"/>
      <c r="UDR34" s="3"/>
      <c r="UDS34" s="3"/>
      <c r="UDT34" s="3"/>
      <c r="UDU34" s="3"/>
      <c r="UDV34" s="3"/>
      <c r="UDW34" s="3"/>
      <c r="UDX34" s="3"/>
      <c r="UDY34" s="3"/>
      <c r="UDZ34" s="3"/>
      <c r="UEA34" s="3"/>
      <c r="UEB34" s="3"/>
      <c r="UEC34" s="3"/>
      <c r="UED34" s="3"/>
      <c r="UEE34" s="3"/>
      <c r="UEF34" s="3"/>
      <c r="UEG34" s="3"/>
      <c r="UEH34" s="3"/>
      <c r="UEI34" s="3"/>
      <c r="UEJ34" s="3"/>
      <c r="UEK34" s="3"/>
      <c r="UEL34" s="3"/>
      <c r="UEM34" s="3"/>
      <c r="UEN34" s="3"/>
      <c r="UEO34" s="3"/>
      <c r="UEP34" s="3"/>
      <c r="UEQ34" s="3"/>
      <c r="UER34" s="3"/>
      <c r="UES34" s="3"/>
      <c r="UET34" s="3"/>
      <c r="UEU34" s="3"/>
      <c r="UEV34" s="3"/>
      <c r="UEW34" s="3"/>
      <c r="UEX34" s="3"/>
      <c r="UEY34" s="3"/>
      <c r="UEZ34" s="3"/>
      <c r="UFA34" s="3"/>
      <c r="UFB34" s="3"/>
      <c r="UFC34" s="3"/>
      <c r="UFD34" s="3"/>
      <c r="UFE34" s="3"/>
      <c r="UFF34" s="3"/>
      <c r="UFG34" s="3"/>
      <c r="UFH34" s="3"/>
      <c r="UFI34" s="3"/>
      <c r="UFJ34" s="3"/>
      <c r="UFK34" s="3"/>
      <c r="UFL34" s="3"/>
      <c r="UFM34" s="3"/>
      <c r="UFN34" s="3"/>
      <c r="UFO34" s="3"/>
      <c r="UFP34" s="3"/>
      <c r="UFQ34" s="3"/>
      <c r="UFR34" s="3"/>
      <c r="UFS34" s="3"/>
      <c r="UFT34" s="3"/>
      <c r="UFU34" s="3"/>
      <c r="UFV34" s="3"/>
      <c r="UFW34" s="3"/>
      <c r="UFX34" s="3"/>
      <c r="UFY34" s="3"/>
      <c r="UFZ34" s="3"/>
      <c r="UGA34" s="3"/>
      <c r="UGB34" s="3"/>
      <c r="UGC34" s="3"/>
      <c r="UGD34" s="3"/>
      <c r="UGE34" s="3"/>
      <c r="UGF34" s="3"/>
      <c r="UGG34" s="3"/>
      <c r="UGH34" s="3"/>
      <c r="UGI34" s="3"/>
      <c r="UGJ34" s="3"/>
      <c r="UGK34" s="3"/>
      <c r="UGL34" s="3"/>
      <c r="UGM34" s="3"/>
      <c r="UGN34" s="3"/>
      <c r="UGO34" s="3"/>
      <c r="UGP34" s="3"/>
      <c r="UGQ34" s="3"/>
      <c r="UGR34" s="3"/>
      <c r="UGS34" s="3"/>
      <c r="UGT34" s="3"/>
      <c r="UGU34" s="3"/>
      <c r="UGV34" s="3"/>
      <c r="UGW34" s="3"/>
      <c r="UGX34" s="3"/>
      <c r="UGY34" s="3"/>
      <c r="UGZ34" s="3"/>
      <c r="UHA34" s="3"/>
      <c r="UHB34" s="3"/>
      <c r="UHC34" s="3"/>
      <c r="UHD34" s="3"/>
      <c r="UHE34" s="3"/>
      <c r="UHF34" s="3"/>
      <c r="UHG34" s="3"/>
      <c r="UHH34" s="3"/>
      <c r="UHI34" s="3"/>
      <c r="UHJ34" s="3"/>
      <c r="UHK34" s="3"/>
      <c r="UHL34" s="3"/>
      <c r="UHM34" s="3"/>
      <c r="UHN34" s="3"/>
      <c r="UHO34" s="3"/>
      <c r="UHP34" s="3"/>
      <c r="UHQ34" s="3"/>
      <c r="UHR34" s="3"/>
      <c r="UHS34" s="3"/>
      <c r="UHT34" s="3"/>
      <c r="UHU34" s="3"/>
      <c r="UHV34" s="3"/>
      <c r="UHW34" s="3"/>
      <c r="UHX34" s="3"/>
      <c r="UHY34" s="3"/>
      <c r="UHZ34" s="3"/>
      <c r="UIA34" s="3"/>
      <c r="UIB34" s="3"/>
      <c r="UIC34" s="3"/>
      <c r="UID34" s="3"/>
      <c r="UIE34" s="3"/>
      <c r="UIF34" s="3"/>
      <c r="UIG34" s="3"/>
      <c r="UIH34" s="3"/>
      <c r="UII34" s="3"/>
      <c r="UIJ34" s="3"/>
      <c r="UIK34" s="3"/>
      <c r="UIL34" s="3"/>
      <c r="UIM34" s="3"/>
      <c r="UIN34" s="3"/>
      <c r="UIO34" s="3"/>
      <c r="UIP34" s="3"/>
      <c r="UIQ34" s="3"/>
      <c r="UIR34" s="3"/>
      <c r="UIS34" s="3"/>
      <c r="UIT34" s="3"/>
      <c r="UIU34" s="3"/>
      <c r="UIV34" s="3"/>
      <c r="UIW34" s="3"/>
      <c r="UIX34" s="3"/>
      <c r="UIY34" s="3"/>
      <c r="UIZ34" s="3"/>
      <c r="UJA34" s="3"/>
      <c r="UJB34" s="3"/>
      <c r="UJC34" s="3"/>
      <c r="UJD34" s="3"/>
      <c r="UJE34" s="3"/>
      <c r="UJF34" s="3"/>
      <c r="UJG34" s="3"/>
      <c r="UJH34" s="3"/>
      <c r="UJI34" s="3"/>
      <c r="UJJ34" s="3"/>
      <c r="UJK34" s="3"/>
      <c r="UJL34" s="3"/>
      <c r="UJM34" s="3"/>
      <c r="UJN34" s="3"/>
      <c r="UJO34" s="3"/>
      <c r="UJP34" s="3"/>
      <c r="UJQ34" s="3"/>
      <c r="UJR34" s="3"/>
      <c r="UJS34" s="3"/>
      <c r="UJT34" s="3"/>
      <c r="UJU34" s="3"/>
      <c r="UJV34" s="3"/>
      <c r="UJW34" s="3"/>
      <c r="UJX34" s="3"/>
      <c r="UJY34" s="3"/>
      <c r="UJZ34" s="3"/>
      <c r="UKA34" s="3"/>
      <c r="UKB34" s="3"/>
      <c r="UKC34" s="3"/>
      <c r="UKD34" s="3"/>
      <c r="UKE34" s="3"/>
      <c r="UKF34" s="3"/>
      <c r="UKG34" s="3"/>
      <c r="UKH34" s="3"/>
      <c r="UKI34" s="3"/>
      <c r="UKJ34" s="3"/>
      <c r="UKK34" s="3"/>
      <c r="UKL34" s="3"/>
      <c r="UKM34" s="3"/>
      <c r="UKN34" s="3"/>
      <c r="UKO34" s="3"/>
      <c r="UKP34" s="3"/>
      <c r="UKQ34" s="3"/>
      <c r="UKR34" s="3"/>
      <c r="UKS34" s="3"/>
      <c r="UKT34" s="3"/>
      <c r="UKU34" s="3"/>
      <c r="UKV34" s="3"/>
      <c r="UKW34" s="3"/>
      <c r="UKX34" s="3"/>
      <c r="UKY34" s="3"/>
      <c r="UKZ34" s="3"/>
      <c r="ULA34" s="3"/>
      <c r="ULB34" s="3"/>
      <c r="ULC34" s="3"/>
      <c r="ULD34" s="3"/>
      <c r="ULE34" s="3"/>
      <c r="ULF34" s="3"/>
      <c r="ULG34" s="3"/>
      <c r="ULH34" s="3"/>
      <c r="ULI34" s="3"/>
      <c r="ULJ34" s="3"/>
      <c r="ULK34" s="3"/>
      <c r="ULL34" s="3"/>
      <c r="ULM34" s="3"/>
      <c r="ULN34" s="3"/>
      <c r="ULO34" s="3"/>
      <c r="ULP34" s="3"/>
      <c r="ULQ34" s="3"/>
      <c r="ULR34" s="3"/>
      <c r="ULS34" s="3"/>
      <c r="ULT34" s="3"/>
      <c r="ULU34" s="3"/>
      <c r="ULV34" s="3"/>
      <c r="ULW34" s="3"/>
      <c r="ULX34" s="3"/>
      <c r="ULY34" s="3"/>
      <c r="ULZ34" s="3"/>
      <c r="UMA34" s="3"/>
      <c r="UMB34" s="3"/>
      <c r="UMC34" s="3"/>
      <c r="UMD34" s="3"/>
      <c r="UME34" s="3"/>
      <c r="UMF34" s="3"/>
      <c r="UMG34" s="3"/>
      <c r="UMH34" s="3"/>
      <c r="UMI34" s="3"/>
      <c r="UMJ34" s="3"/>
      <c r="UMK34" s="3"/>
      <c r="UML34" s="3"/>
      <c r="UMM34" s="3"/>
      <c r="UMN34" s="3"/>
      <c r="UMO34" s="3"/>
      <c r="UMP34" s="3"/>
      <c r="UMQ34" s="3"/>
      <c r="UMR34" s="3"/>
      <c r="UMS34" s="3"/>
      <c r="UMT34" s="3"/>
      <c r="UMU34" s="3"/>
      <c r="UMV34" s="3"/>
      <c r="UMW34" s="3"/>
      <c r="UMX34" s="3"/>
      <c r="UMY34" s="3"/>
      <c r="UMZ34" s="3"/>
      <c r="UNA34" s="3"/>
      <c r="UNB34" s="3"/>
      <c r="UNC34" s="3"/>
      <c r="UND34" s="3"/>
      <c r="UNE34" s="3"/>
      <c r="UNF34" s="3"/>
      <c r="UNG34" s="3"/>
      <c r="UNH34" s="3"/>
      <c r="UNI34" s="3"/>
      <c r="UNJ34" s="3"/>
      <c r="UNK34" s="3"/>
      <c r="UNL34" s="3"/>
      <c r="UNM34" s="3"/>
      <c r="UNN34" s="3"/>
      <c r="UNO34" s="3"/>
      <c r="UNP34" s="3"/>
      <c r="UNQ34" s="3"/>
      <c r="UNR34" s="3"/>
      <c r="UNS34" s="3"/>
      <c r="UNT34" s="3"/>
      <c r="UNU34" s="3"/>
      <c r="UNV34" s="3"/>
      <c r="UNW34" s="3"/>
      <c r="UNX34" s="3"/>
      <c r="UNY34" s="3"/>
      <c r="UNZ34" s="3"/>
      <c r="UOA34" s="3"/>
      <c r="UOB34" s="3"/>
      <c r="UOC34" s="3"/>
      <c r="UOD34" s="3"/>
      <c r="UOE34" s="3"/>
      <c r="UOF34" s="3"/>
      <c r="UOG34" s="3"/>
      <c r="UOH34" s="3"/>
      <c r="UOI34" s="3"/>
      <c r="UOJ34" s="3"/>
      <c r="UOK34" s="3"/>
      <c r="UOL34" s="3"/>
      <c r="UOM34" s="3"/>
      <c r="UON34" s="3"/>
      <c r="UOO34" s="3"/>
      <c r="UOP34" s="3"/>
      <c r="UOQ34" s="3"/>
      <c r="UOR34" s="3"/>
      <c r="UOS34" s="3"/>
      <c r="UOT34" s="3"/>
      <c r="UOU34" s="3"/>
      <c r="UOV34" s="3"/>
      <c r="UOW34" s="3"/>
      <c r="UOX34" s="3"/>
      <c r="UOY34" s="3"/>
      <c r="UOZ34" s="3"/>
      <c r="UPA34" s="3"/>
      <c r="UPB34" s="3"/>
      <c r="UPC34" s="3"/>
      <c r="UPD34" s="3"/>
      <c r="UPE34" s="3"/>
      <c r="UPF34" s="3"/>
      <c r="UPG34" s="3"/>
      <c r="UPH34" s="3"/>
      <c r="UPI34" s="3"/>
      <c r="UPJ34" s="3"/>
      <c r="UPK34" s="3"/>
      <c r="UPL34" s="3"/>
      <c r="UPM34" s="3"/>
      <c r="UPN34" s="3"/>
      <c r="UPO34" s="3"/>
      <c r="UPP34" s="3"/>
      <c r="UPQ34" s="3"/>
      <c r="UPR34" s="3"/>
      <c r="UPS34" s="3"/>
      <c r="UPT34" s="3"/>
      <c r="UPU34" s="3"/>
      <c r="UPV34" s="3"/>
      <c r="UPW34" s="3"/>
      <c r="UPX34" s="3"/>
      <c r="UPY34" s="3"/>
      <c r="UPZ34" s="3"/>
      <c r="UQA34" s="3"/>
      <c r="UQB34" s="3"/>
      <c r="UQC34" s="3"/>
      <c r="UQD34" s="3"/>
      <c r="UQE34" s="3"/>
      <c r="UQF34" s="3"/>
      <c r="UQG34" s="3"/>
      <c r="UQH34" s="3"/>
      <c r="UQI34" s="3"/>
      <c r="UQJ34" s="3"/>
      <c r="UQK34" s="3"/>
      <c r="UQL34" s="3"/>
      <c r="UQM34" s="3"/>
      <c r="UQN34" s="3"/>
      <c r="UQO34" s="3"/>
      <c r="UQP34" s="3"/>
      <c r="UQQ34" s="3"/>
      <c r="UQR34" s="3"/>
      <c r="UQS34" s="3"/>
      <c r="UQT34" s="3"/>
      <c r="UQU34" s="3"/>
      <c r="UQV34" s="3"/>
      <c r="UQW34" s="3"/>
      <c r="UQX34" s="3"/>
      <c r="UQY34" s="3"/>
      <c r="UQZ34" s="3"/>
      <c r="URA34" s="3"/>
      <c r="URB34" s="3"/>
      <c r="URC34" s="3"/>
      <c r="URD34" s="3"/>
      <c r="URE34" s="3"/>
      <c r="URF34" s="3"/>
      <c r="URG34" s="3"/>
      <c r="URH34" s="3"/>
      <c r="URI34" s="3"/>
      <c r="URJ34" s="3"/>
      <c r="URK34" s="3"/>
      <c r="URL34" s="3"/>
      <c r="URM34" s="3"/>
      <c r="URN34" s="3"/>
      <c r="URO34" s="3"/>
      <c r="URP34" s="3"/>
      <c r="URQ34" s="3"/>
      <c r="URR34" s="3"/>
      <c r="URS34" s="3"/>
      <c r="URT34" s="3"/>
      <c r="URU34" s="3"/>
      <c r="URV34" s="3"/>
      <c r="URW34" s="3"/>
      <c r="URX34" s="3"/>
      <c r="URY34" s="3"/>
      <c r="URZ34" s="3"/>
      <c r="USA34" s="3"/>
      <c r="USB34" s="3"/>
      <c r="USC34" s="3"/>
      <c r="USD34" s="3"/>
      <c r="USE34" s="3"/>
      <c r="USF34" s="3"/>
      <c r="USG34" s="3"/>
      <c r="USH34" s="3"/>
      <c r="USI34" s="3"/>
      <c r="USJ34" s="3"/>
      <c r="USK34" s="3"/>
      <c r="USL34" s="3"/>
      <c r="USM34" s="3"/>
      <c r="USN34" s="3"/>
      <c r="USO34" s="3"/>
      <c r="USP34" s="3"/>
      <c r="USQ34" s="3"/>
      <c r="USR34" s="3"/>
      <c r="USS34" s="3"/>
      <c r="UST34" s="3"/>
      <c r="USU34" s="3"/>
      <c r="USV34" s="3"/>
      <c r="USW34" s="3"/>
      <c r="USX34" s="3"/>
      <c r="USY34" s="3"/>
      <c r="USZ34" s="3"/>
      <c r="UTA34" s="3"/>
      <c r="UTB34" s="3"/>
      <c r="UTC34" s="3"/>
      <c r="UTD34" s="3"/>
      <c r="UTE34" s="3"/>
      <c r="UTF34" s="3"/>
      <c r="UTG34" s="3"/>
      <c r="UTH34" s="3"/>
      <c r="UTI34" s="3"/>
      <c r="UTJ34" s="3"/>
      <c r="UTK34" s="3"/>
      <c r="UTL34" s="3"/>
      <c r="UTM34" s="3"/>
      <c r="UTN34" s="3"/>
      <c r="UTO34" s="3"/>
      <c r="UTP34" s="3"/>
      <c r="UTQ34" s="3"/>
      <c r="UTR34" s="3"/>
      <c r="UTS34" s="3"/>
      <c r="UTT34" s="3"/>
      <c r="UTU34" s="3"/>
      <c r="UTV34" s="3"/>
      <c r="UTW34" s="3"/>
      <c r="UTX34" s="3"/>
      <c r="UTY34" s="3"/>
      <c r="UTZ34" s="3"/>
      <c r="UUA34" s="3"/>
      <c r="UUB34" s="3"/>
      <c r="UUC34" s="3"/>
      <c r="UUD34" s="3"/>
      <c r="UUE34" s="3"/>
      <c r="UUF34" s="3"/>
      <c r="UUG34" s="3"/>
      <c r="UUH34" s="3"/>
      <c r="UUI34" s="3"/>
      <c r="UUJ34" s="3"/>
      <c r="UUK34" s="3"/>
      <c r="UUL34" s="3"/>
      <c r="UUM34" s="3"/>
      <c r="UUN34" s="3"/>
      <c r="UUO34" s="3"/>
      <c r="UUP34" s="3"/>
      <c r="UUQ34" s="3"/>
      <c r="UUR34" s="3"/>
      <c r="UUS34" s="3"/>
      <c r="UUT34" s="3"/>
      <c r="UUU34" s="3"/>
      <c r="UUV34" s="3"/>
      <c r="UUW34" s="3"/>
      <c r="UUX34" s="3"/>
      <c r="UUY34" s="3"/>
      <c r="UUZ34" s="3"/>
      <c r="UVA34" s="3"/>
      <c r="UVB34" s="3"/>
      <c r="UVC34" s="3"/>
      <c r="UVD34" s="3"/>
      <c r="UVE34" s="3"/>
      <c r="UVF34" s="3"/>
      <c r="UVG34" s="3"/>
      <c r="UVH34" s="3"/>
      <c r="UVI34" s="3"/>
      <c r="UVJ34" s="3"/>
      <c r="UVK34" s="3"/>
      <c r="UVL34" s="3"/>
      <c r="UVM34" s="3"/>
      <c r="UVN34" s="3"/>
      <c r="UVO34" s="3"/>
      <c r="UVP34" s="3"/>
      <c r="UVQ34" s="3"/>
      <c r="UVR34" s="3"/>
      <c r="UVS34" s="3"/>
      <c r="UVT34" s="3"/>
      <c r="UVU34" s="3"/>
      <c r="UVV34" s="3"/>
      <c r="UVW34" s="3"/>
      <c r="UVX34" s="3"/>
      <c r="UVY34" s="3"/>
      <c r="UVZ34" s="3"/>
      <c r="UWA34" s="3"/>
      <c r="UWB34" s="3"/>
      <c r="UWC34" s="3"/>
      <c r="UWD34" s="3"/>
      <c r="UWE34" s="3"/>
      <c r="UWF34" s="3"/>
      <c r="UWG34" s="3"/>
      <c r="UWH34" s="3"/>
      <c r="UWI34" s="3"/>
      <c r="UWJ34" s="3"/>
      <c r="UWK34" s="3"/>
      <c r="UWL34" s="3"/>
      <c r="UWM34" s="3"/>
      <c r="UWN34" s="3"/>
      <c r="UWO34" s="3"/>
      <c r="UWP34" s="3"/>
      <c r="UWQ34" s="3"/>
      <c r="UWR34" s="3"/>
      <c r="UWS34" s="3"/>
      <c r="UWT34" s="3"/>
      <c r="UWU34" s="3"/>
      <c r="UWV34" s="3"/>
      <c r="UWW34" s="3"/>
      <c r="UWX34" s="3"/>
      <c r="UWY34" s="3"/>
      <c r="UWZ34" s="3"/>
      <c r="UXA34" s="3"/>
      <c r="UXB34" s="3"/>
      <c r="UXC34" s="3"/>
      <c r="UXD34" s="3"/>
      <c r="UXE34" s="3"/>
      <c r="UXF34" s="3"/>
      <c r="UXG34" s="3"/>
      <c r="UXH34" s="3"/>
      <c r="UXI34" s="3"/>
      <c r="UXJ34" s="3"/>
      <c r="UXK34" s="3"/>
      <c r="UXL34" s="3"/>
      <c r="UXM34" s="3"/>
      <c r="UXN34" s="3"/>
      <c r="UXO34" s="3"/>
      <c r="UXP34" s="3"/>
      <c r="UXQ34" s="3"/>
      <c r="UXR34" s="3"/>
      <c r="UXS34" s="3"/>
      <c r="UXT34" s="3"/>
      <c r="UXU34" s="3"/>
      <c r="UXV34" s="3"/>
      <c r="UXW34" s="3"/>
      <c r="UXX34" s="3"/>
      <c r="UXY34" s="3"/>
      <c r="UXZ34" s="3"/>
      <c r="UYA34" s="3"/>
      <c r="UYB34" s="3"/>
      <c r="UYC34" s="3"/>
      <c r="UYD34" s="3"/>
      <c r="UYE34" s="3"/>
      <c r="UYF34" s="3"/>
      <c r="UYG34" s="3"/>
      <c r="UYH34" s="3"/>
      <c r="UYI34" s="3"/>
      <c r="UYJ34" s="3"/>
      <c r="UYK34" s="3"/>
      <c r="UYL34" s="3"/>
      <c r="UYM34" s="3"/>
      <c r="UYN34" s="3"/>
      <c r="UYO34" s="3"/>
      <c r="UYP34" s="3"/>
      <c r="UYQ34" s="3"/>
      <c r="UYR34" s="3"/>
      <c r="UYS34" s="3"/>
      <c r="UYT34" s="3"/>
      <c r="UYU34" s="3"/>
      <c r="UYV34" s="3"/>
      <c r="UYW34" s="3"/>
      <c r="UYX34" s="3"/>
      <c r="UYY34" s="3"/>
      <c r="UYZ34" s="3"/>
      <c r="UZA34" s="3"/>
      <c r="UZB34" s="3"/>
      <c r="UZC34" s="3"/>
      <c r="UZD34" s="3"/>
      <c r="UZE34" s="3"/>
      <c r="UZF34" s="3"/>
      <c r="UZG34" s="3"/>
      <c r="UZH34" s="3"/>
      <c r="UZI34" s="3"/>
      <c r="UZJ34" s="3"/>
      <c r="UZK34" s="3"/>
      <c r="UZL34" s="3"/>
      <c r="UZM34" s="3"/>
      <c r="UZN34" s="3"/>
      <c r="UZO34" s="3"/>
      <c r="UZP34" s="3"/>
      <c r="UZQ34" s="3"/>
      <c r="UZR34" s="3"/>
      <c r="UZS34" s="3"/>
      <c r="UZT34" s="3"/>
      <c r="UZU34" s="3"/>
      <c r="UZV34" s="3"/>
      <c r="UZW34" s="3"/>
      <c r="UZX34" s="3"/>
      <c r="UZY34" s="3"/>
      <c r="UZZ34" s="3"/>
      <c r="VAA34" s="3"/>
      <c r="VAB34" s="3"/>
      <c r="VAC34" s="3"/>
      <c r="VAD34" s="3"/>
      <c r="VAE34" s="3"/>
      <c r="VAF34" s="3"/>
      <c r="VAG34" s="3"/>
      <c r="VAH34" s="3"/>
      <c r="VAI34" s="3"/>
      <c r="VAJ34" s="3"/>
      <c r="VAK34" s="3"/>
      <c r="VAL34" s="3"/>
      <c r="VAM34" s="3"/>
      <c r="VAN34" s="3"/>
      <c r="VAO34" s="3"/>
      <c r="VAP34" s="3"/>
      <c r="VAQ34" s="3"/>
      <c r="VAR34" s="3"/>
      <c r="VAS34" s="3"/>
      <c r="VAT34" s="3"/>
      <c r="VAU34" s="3"/>
      <c r="VAV34" s="3"/>
      <c r="VAW34" s="3"/>
      <c r="VAX34" s="3"/>
      <c r="VAY34" s="3"/>
      <c r="VAZ34" s="3"/>
      <c r="VBA34" s="3"/>
      <c r="VBB34" s="3"/>
      <c r="VBC34" s="3"/>
      <c r="VBD34" s="3"/>
      <c r="VBE34" s="3"/>
      <c r="VBF34" s="3"/>
      <c r="VBG34" s="3"/>
      <c r="VBH34" s="3"/>
      <c r="VBI34" s="3"/>
      <c r="VBJ34" s="3"/>
      <c r="VBK34" s="3"/>
      <c r="VBL34" s="3"/>
      <c r="VBM34" s="3"/>
      <c r="VBN34" s="3"/>
      <c r="VBO34" s="3"/>
      <c r="VBP34" s="3"/>
      <c r="VBQ34" s="3"/>
      <c r="VBR34" s="3"/>
      <c r="VBS34" s="3"/>
      <c r="VBT34" s="3"/>
      <c r="VBU34" s="3"/>
      <c r="VBV34" s="3"/>
      <c r="VBW34" s="3"/>
      <c r="VBX34" s="3"/>
      <c r="VBY34" s="3"/>
      <c r="VBZ34" s="3"/>
      <c r="VCA34" s="3"/>
      <c r="VCB34" s="3"/>
      <c r="VCC34" s="3"/>
      <c r="VCD34" s="3"/>
      <c r="VCE34" s="3"/>
      <c r="VCF34" s="3"/>
      <c r="VCG34" s="3"/>
      <c r="VCH34" s="3"/>
      <c r="VCI34" s="3"/>
      <c r="VCJ34" s="3"/>
      <c r="VCK34" s="3"/>
      <c r="VCL34" s="3"/>
      <c r="VCM34" s="3"/>
      <c r="VCN34" s="3"/>
      <c r="VCO34" s="3"/>
      <c r="VCP34" s="3"/>
      <c r="VCQ34" s="3"/>
      <c r="VCR34" s="3"/>
      <c r="VCS34" s="3"/>
      <c r="VCT34" s="3"/>
      <c r="VCU34" s="3"/>
      <c r="VCV34" s="3"/>
      <c r="VCW34" s="3"/>
      <c r="VCX34" s="3"/>
      <c r="VCY34" s="3"/>
      <c r="VCZ34" s="3"/>
      <c r="VDA34" s="3"/>
      <c r="VDB34" s="3"/>
      <c r="VDC34" s="3"/>
      <c r="VDD34" s="3"/>
      <c r="VDE34" s="3"/>
      <c r="VDF34" s="3"/>
      <c r="VDG34" s="3"/>
      <c r="VDH34" s="3"/>
      <c r="VDI34" s="3"/>
      <c r="VDJ34" s="3"/>
      <c r="VDK34" s="3"/>
      <c r="VDL34" s="3"/>
      <c r="VDM34" s="3"/>
      <c r="VDN34" s="3"/>
      <c r="VDO34" s="3"/>
      <c r="VDP34" s="3"/>
      <c r="VDQ34" s="3"/>
      <c r="VDR34" s="3"/>
      <c r="VDS34" s="3"/>
      <c r="VDT34" s="3"/>
      <c r="VDU34" s="3"/>
      <c r="VDV34" s="3"/>
      <c r="VDW34" s="3"/>
      <c r="VDX34" s="3"/>
      <c r="VDY34" s="3"/>
      <c r="VDZ34" s="3"/>
      <c r="VEA34" s="3"/>
      <c r="VEB34" s="3"/>
      <c r="VEC34" s="3"/>
      <c r="VED34" s="3"/>
      <c r="VEE34" s="3"/>
      <c r="VEF34" s="3"/>
      <c r="VEG34" s="3"/>
      <c r="VEH34" s="3"/>
      <c r="VEI34" s="3"/>
      <c r="VEJ34" s="3"/>
      <c r="VEK34" s="3"/>
      <c r="VEL34" s="3"/>
      <c r="VEM34" s="3"/>
      <c r="VEN34" s="3"/>
      <c r="VEO34" s="3"/>
      <c r="VEP34" s="3"/>
      <c r="VEQ34" s="3"/>
      <c r="VER34" s="3"/>
      <c r="VES34" s="3"/>
      <c r="VET34" s="3"/>
      <c r="VEU34" s="3"/>
      <c r="VEV34" s="3"/>
      <c r="VEW34" s="3"/>
      <c r="VEX34" s="3"/>
      <c r="VEY34" s="3"/>
      <c r="VEZ34" s="3"/>
      <c r="VFA34" s="3"/>
      <c r="VFB34" s="3"/>
      <c r="VFC34" s="3"/>
      <c r="VFD34" s="3"/>
      <c r="VFE34" s="3"/>
      <c r="VFF34" s="3"/>
      <c r="VFG34" s="3"/>
      <c r="VFH34" s="3"/>
      <c r="VFI34" s="3"/>
      <c r="VFJ34" s="3"/>
      <c r="VFK34" s="3"/>
      <c r="VFL34" s="3"/>
      <c r="VFM34" s="3"/>
      <c r="VFN34" s="3"/>
      <c r="VFO34" s="3"/>
      <c r="VFP34" s="3"/>
      <c r="VFQ34" s="3"/>
      <c r="VFR34" s="3"/>
      <c r="VFS34" s="3"/>
      <c r="VFT34" s="3"/>
      <c r="VFU34" s="3"/>
      <c r="VFV34" s="3"/>
      <c r="VFW34" s="3"/>
      <c r="VFX34" s="3"/>
      <c r="VFY34" s="3"/>
      <c r="VFZ34" s="3"/>
      <c r="VGA34" s="3"/>
      <c r="VGB34" s="3"/>
      <c r="VGC34" s="3"/>
      <c r="VGD34" s="3"/>
      <c r="VGE34" s="3"/>
      <c r="VGF34" s="3"/>
      <c r="VGG34" s="3"/>
      <c r="VGH34" s="3"/>
      <c r="VGI34" s="3"/>
      <c r="VGJ34" s="3"/>
      <c r="VGK34" s="3"/>
      <c r="VGL34" s="3"/>
      <c r="VGM34" s="3"/>
      <c r="VGN34" s="3"/>
      <c r="VGO34" s="3"/>
      <c r="VGP34" s="3"/>
      <c r="VGQ34" s="3"/>
      <c r="VGR34" s="3"/>
      <c r="VGS34" s="3"/>
      <c r="VGT34" s="3"/>
      <c r="VGU34" s="3"/>
      <c r="VGV34" s="3"/>
      <c r="VGW34" s="3"/>
      <c r="VGX34" s="3"/>
      <c r="VGY34" s="3"/>
      <c r="VGZ34" s="3"/>
      <c r="VHA34" s="3"/>
      <c r="VHB34" s="3"/>
      <c r="VHC34" s="3"/>
      <c r="VHD34" s="3"/>
      <c r="VHE34" s="3"/>
      <c r="VHF34" s="3"/>
      <c r="VHG34" s="3"/>
      <c r="VHH34" s="3"/>
      <c r="VHI34" s="3"/>
      <c r="VHJ34" s="3"/>
      <c r="VHK34" s="3"/>
      <c r="VHL34" s="3"/>
      <c r="VHM34" s="3"/>
      <c r="VHN34" s="3"/>
      <c r="VHO34" s="3"/>
      <c r="VHP34" s="3"/>
      <c r="VHQ34" s="3"/>
      <c r="VHR34" s="3"/>
      <c r="VHS34" s="3"/>
      <c r="VHT34" s="3"/>
      <c r="VHU34" s="3"/>
      <c r="VHV34" s="3"/>
      <c r="VHW34" s="3"/>
      <c r="VHX34" s="3"/>
      <c r="VHY34" s="3"/>
      <c r="VHZ34" s="3"/>
      <c r="VIA34" s="3"/>
      <c r="VIB34" s="3"/>
      <c r="VIC34" s="3"/>
      <c r="VID34" s="3"/>
      <c r="VIE34" s="3"/>
      <c r="VIF34" s="3"/>
      <c r="VIG34" s="3"/>
      <c r="VIH34" s="3"/>
      <c r="VII34" s="3"/>
      <c r="VIJ34" s="3"/>
      <c r="VIK34" s="3"/>
      <c r="VIL34" s="3"/>
      <c r="VIM34" s="3"/>
      <c r="VIN34" s="3"/>
      <c r="VIO34" s="3"/>
      <c r="VIP34" s="3"/>
      <c r="VIQ34" s="3"/>
      <c r="VIR34" s="3"/>
      <c r="VIS34" s="3"/>
      <c r="VIT34" s="3"/>
      <c r="VIU34" s="3"/>
      <c r="VIV34" s="3"/>
      <c r="VIW34" s="3"/>
      <c r="VIX34" s="3"/>
      <c r="VIY34" s="3"/>
      <c r="VIZ34" s="3"/>
      <c r="VJA34" s="3"/>
      <c r="VJB34" s="3"/>
      <c r="VJC34" s="3"/>
      <c r="VJD34" s="3"/>
      <c r="VJE34" s="3"/>
      <c r="VJF34" s="3"/>
      <c r="VJG34" s="3"/>
      <c r="VJH34" s="3"/>
      <c r="VJI34" s="3"/>
      <c r="VJJ34" s="3"/>
      <c r="VJK34" s="3"/>
      <c r="VJL34" s="3"/>
      <c r="VJM34" s="3"/>
      <c r="VJN34" s="3"/>
      <c r="VJO34" s="3"/>
      <c r="VJP34" s="3"/>
      <c r="VJQ34" s="3"/>
      <c r="VJR34" s="3"/>
      <c r="VJS34" s="3"/>
      <c r="VJT34" s="3"/>
      <c r="VJU34" s="3"/>
      <c r="VJV34" s="3"/>
      <c r="VJW34" s="3"/>
      <c r="VJX34" s="3"/>
      <c r="VJY34" s="3"/>
      <c r="VJZ34" s="3"/>
      <c r="VKA34" s="3"/>
      <c r="VKB34" s="3"/>
      <c r="VKC34" s="3"/>
      <c r="VKD34" s="3"/>
      <c r="VKE34" s="3"/>
      <c r="VKF34" s="3"/>
      <c r="VKG34" s="3"/>
      <c r="VKH34" s="3"/>
      <c r="VKI34" s="3"/>
      <c r="VKJ34" s="3"/>
      <c r="VKK34" s="3"/>
      <c r="VKL34" s="3"/>
      <c r="VKM34" s="3"/>
      <c r="VKN34" s="3"/>
      <c r="VKO34" s="3"/>
      <c r="VKP34" s="3"/>
      <c r="VKQ34" s="3"/>
      <c r="VKR34" s="3"/>
      <c r="VKS34" s="3"/>
      <c r="VKT34" s="3"/>
      <c r="VKU34" s="3"/>
      <c r="VKV34" s="3"/>
      <c r="VKW34" s="3"/>
      <c r="VKX34" s="3"/>
      <c r="VKY34" s="3"/>
      <c r="VKZ34" s="3"/>
      <c r="VLA34" s="3"/>
      <c r="VLB34" s="3"/>
      <c r="VLC34" s="3"/>
      <c r="VLD34" s="3"/>
      <c r="VLE34" s="3"/>
      <c r="VLF34" s="3"/>
      <c r="VLG34" s="3"/>
      <c r="VLH34" s="3"/>
      <c r="VLI34" s="3"/>
      <c r="VLJ34" s="3"/>
      <c r="VLK34" s="3"/>
      <c r="VLL34" s="3"/>
      <c r="VLM34" s="3"/>
      <c r="VLN34" s="3"/>
      <c r="VLO34" s="3"/>
      <c r="VLP34" s="3"/>
      <c r="VLQ34" s="3"/>
      <c r="VLR34" s="3"/>
      <c r="VLS34" s="3"/>
      <c r="VLT34" s="3"/>
      <c r="VLU34" s="3"/>
      <c r="VLV34" s="3"/>
      <c r="VLW34" s="3"/>
      <c r="VLX34" s="3"/>
      <c r="VLY34" s="3"/>
      <c r="VLZ34" s="3"/>
      <c r="VMA34" s="3"/>
      <c r="VMB34" s="3"/>
      <c r="VMC34" s="3"/>
      <c r="VMD34" s="3"/>
      <c r="VME34" s="3"/>
      <c r="VMF34" s="3"/>
      <c r="VMG34" s="3"/>
      <c r="VMH34" s="3"/>
      <c r="VMI34" s="3"/>
      <c r="VMJ34" s="3"/>
      <c r="VMK34" s="3"/>
      <c r="VML34" s="3"/>
      <c r="VMM34" s="3"/>
      <c r="VMN34" s="3"/>
      <c r="VMO34" s="3"/>
      <c r="VMP34" s="3"/>
      <c r="VMQ34" s="3"/>
      <c r="VMR34" s="3"/>
      <c r="VMS34" s="3"/>
      <c r="VMT34" s="3"/>
      <c r="VMU34" s="3"/>
      <c r="VMV34" s="3"/>
      <c r="VMW34" s="3"/>
      <c r="VMX34" s="3"/>
      <c r="VMY34" s="3"/>
      <c r="VMZ34" s="3"/>
      <c r="VNA34" s="3"/>
      <c r="VNB34" s="3"/>
      <c r="VNC34" s="3"/>
      <c r="VND34" s="3"/>
      <c r="VNE34" s="3"/>
      <c r="VNF34" s="3"/>
      <c r="VNG34" s="3"/>
      <c r="VNH34" s="3"/>
      <c r="VNI34" s="3"/>
      <c r="VNJ34" s="3"/>
      <c r="VNK34" s="3"/>
      <c r="VNL34" s="3"/>
      <c r="VNM34" s="3"/>
      <c r="VNN34" s="3"/>
      <c r="VNO34" s="3"/>
      <c r="VNP34" s="3"/>
      <c r="VNQ34" s="3"/>
      <c r="VNR34" s="3"/>
      <c r="VNS34" s="3"/>
      <c r="VNT34" s="3"/>
      <c r="VNU34" s="3"/>
      <c r="VNV34" s="3"/>
      <c r="VNW34" s="3"/>
      <c r="VNX34" s="3"/>
      <c r="VNY34" s="3"/>
      <c r="VNZ34" s="3"/>
      <c r="VOA34" s="3"/>
      <c r="VOB34" s="3"/>
      <c r="VOC34" s="3"/>
      <c r="VOD34" s="3"/>
      <c r="VOE34" s="3"/>
      <c r="VOF34" s="3"/>
      <c r="VOG34" s="3"/>
      <c r="VOH34" s="3"/>
      <c r="VOI34" s="3"/>
      <c r="VOJ34" s="3"/>
      <c r="VOK34" s="3"/>
      <c r="VOL34" s="3"/>
      <c r="VOM34" s="3"/>
      <c r="VON34" s="3"/>
      <c r="VOO34" s="3"/>
      <c r="VOP34" s="3"/>
      <c r="VOQ34" s="3"/>
      <c r="VOR34" s="3"/>
      <c r="VOS34" s="3"/>
      <c r="VOT34" s="3"/>
      <c r="VOU34" s="3"/>
      <c r="VOV34" s="3"/>
      <c r="VOW34" s="3"/>
      <c r="VOX34" s="3"/>
      <c r="VOY34" s="3"/>
      <c r="VOZ34" s="3"/>
      <c r="VPA34" s="3"/>
      <c r="VPB34" s="3"/>
      <c r="VPC34" s="3"/>
      <c r="VPD34" s="3"/>
      <c r="VPE34" s="3"/>
      <c r="VPF34" s="3"/>
      <c r="VPG34" s="3"/>
      <c r="VPH34" s="3"/>
      <c r="VPI34" s="3"/>
      <c r="VPJ34" s="3"/>
      <c r="VPK34" s="3"/>
      <c r="VPL34" s="3"/>
      <c r="VPM34" s="3"/>
      <c r="VPN34" s="3"/>
      <c r="VPO34" s="3"/>
      <c r="VPP34" s="3"/>
      <c r="VPQ34" s="3"/>
      <c r="VPR34" s="3"/>
      <c r="VPS34" s="3"/>
      <c r="VPT34" s="3"/>
      <c r="VPU34" s="3"/>
      <c r="VPV34" s="3"/>
      <c r="VPW34" s="3"/>
      <c r="VPX34" s="3"/>
      <c r="VPY34" s="3"/>
      <c r="VPZ34" s="3"/>
      <c r="VQA34" s="3"/>
      <c r="VQB34" s="3"/>
      <c r="VQC34" s="3"/>
      <c r="VQD34" s="3"/>
      <c r="VQE34" s="3"/>
      <c r="VQF34" s="3"/>
      <c r="VQG34" s="3"/>
      <c r="VQH34" s="3"/>
      <c r="VQI34" s="3"/>
      <c r="VQJ34" s="3"/>
      <c r="VQK34" s="3"/>
      <c r="VQL34" s="3"/>
      <c r="VQM34" s="3"/>
      <c r="VQN34" s="3"/>
      <c r="VQO34" s="3"/>
      <c r="VQP34" s="3"/>
      <c r="VQQ34" s="3"/>
      <c r="VQR34" s="3"/>
      <c r="VQS34" s="3"/>
      <c r="VQT34" s="3"/>
      <c r="VQU34" s="3"/>
      <c r="VQV34" s="3"/>
      <c r="VQW34" s="3"/>
      <c r="VQX34" s="3"/>
      <c r="VQY34" s="3"/>
      <c r="VQZ34" s="3"/>
      <c r="VRA34" s="3"/>
      <c r="VRB34" s="3"/>
      <c r="VRC34" s="3"/>
      <c r="VRD34" s="3"/>
      <c r="VRE34" s="3"/>
      <c r="VRF34" s="3"/>
      <c r="VRG34" s="3"/>
      <c r="VRH34" s="3"/>
      <c r="VRI34" s="3"/>
      <c r="VRJ34" s="3"/>
      <c r="VRK34" s="3"/>
      <c r="VRL34" s="3"/>
      <c r="VRM34" s="3"/>
      <c r="VRN34" s="3"/>
      <c r="VRO34" s="3"/>
      <c r="VRP34" s="3"/>
      <c r="VRQ34" s="3"/>
      <c r="VRR34" s="3"/>
      <c r="VRS34" s="3"/>
      <c r="VRT34" s="3"/>
      <c r="VRU34" s="3"/>
      <c r="VRV34" s="3"/>
      <c r="VRW34" s="3"/>
      <c r="VRX34" s="3"/>
      <c r="VRY34" s="3"/>
      <c r="VRZ34" s="3"/>
      <c r="VSA34" s="3"/>
      <c r="VSB34" s="3"/>
      <c r="VSC34" s="3"/>
      <c r="VSD34" s="3"/>
      <c r="VSE34" s="3"/>
      <c r="VSF34" s="3"/>
      <c r="VSG34" s="3"/>
      <c r="VSH34" s="3"/>
      <c r="VSI34" s="3"/>
      <c r="VSJ34" s="3"/>
      <c r="VSK34" s="3"/>
      <c r="VSL34" s="3"/>
      <c r="VSM34" s="3"/>
      <c r="VSN34" s="3"/>
      <c r="VSO34" s="3"/>
      <c r="VSP34" s="3"/>
      <c r="VSQ34" s="3"/>
      <c r="VSR34" s="3"/>
      <c r="VSS34" s="3"/>
      <c r="VST34" s="3"/>
      <c r="VSU34" s="3"/>
      <c r="VSV34" s="3"/>
      <c r="VSW34" s="3"/>
      <c r="VSX34" s="3"/>
      <c r="VSY34" s="3"/>
      <c r="VSZ34" s="3"/>
      <c r="VTA34" s="3"/>
      <c r="VTB34" s="3"/>
      <c r="VTC34" s="3"/>
      <c r="VTD34" s="3"/>
      <c r="VTE34" s="3"/>
      <c r="VTF34" s="3"/>
      <c r="VTG34" s="3"/>
      <c r="VTH34" s="3"/>
      <c r="VTI34" s="3"/>
      <c r="VTJ34" s="3"/>
      <c r="VTK34" s="3"/>
      <c r="VTL34" s="3"/>
      <c r="VTM34" s="3"/>
      <c r="VTN34" s="3"/>
      <c r="VTO34" s="3"/>
      <c r="VTP34" s="3"/>
      <c r="VTQ34" s="3"/>
      <c r="VTR34" s="3"/>
      <c r="VTS34" s="3"/>
      <c r="VTT34" s="3"/>
      <c r="VTU34" s="3"/>
      <c r="VTV34" s="3"/>
      <c r="VTW34" s="3"/>
      <c r="VTX34" s="3"/>
      <c r="VTY34" s="3"/>
      <c r="VTZ34" s="3"/>
      <c r="VUA34" s="3"/>
      <c r="VUB34" s="3"/>
      <c r="VUC34" s="3"/>
      <c r="VUD34" s="3"/>
      <c r="VUE34" s="3"/>
      <c r="VUF34" s="3"/>
      <c r="VUG34" s="3"/>
      <c r="VUH34" s="3"/>
      <c r="VUI34" s="3"/>
      <c r="VUJ34" s="3"/>
      <c r="VUK34" s="3"/>
      <c r="VUL34" s="3"/>
      <c r="VUM34" s="3"/>
      <c r="VUN34" s="3"/>
      <c r="VUO34" s="3"/>
      <c r="VUP34" s="3"/>
      <c r="VUQ34" s="3"/>
      <c r="VUR34" s="3"/>
      <c r="VUS34" s="3"/>
      <c r="VUT34" s="3"/>
      <c r="VUU34" s="3"/>
      <c r="VUV34" s="3"/>
      <c r="VUW34" s="3"/>
      <c r="VUX34" s="3"/>
      <c r="VUY34" s="3"/>
      <c r="VUZ34" s="3"/>
      <c r="VVA34" s="3"/>
      <c r="VVB34" s="3"/>
      <c r="VVC34" s="3"/>
      <c r="VVD34" s="3"/>
      <c r="VVE34" s="3"/>
      <c r="VVF34" s="3"/>
      <c r="VVG34" s="3"/>
      <c r="VVH34" s="3"/>
      <c r="VVI34" s="3"/>
      <c r="VVJ34" s="3"/>
      <c r="VVK34" s="3"/>
      <c r="VVL34" s="3"/>
      <c r="VVM34" s="3"/>
      <c r="VVN34" s="3"/>
      <c r="VVO34" s="3"/>
      <c r="VVP34" s="3"/>
      <c r="VVQ34" s="3"/>
      <c r="VVR34" s="3"/>
      <c r="VVS34" s="3"/>
      <c r="VVT34" s="3"/>
      <c r="VVU34" s="3"/>
      <c r="VVV34" s="3"/>
      <c r="VVW34" s="3"/>
      <c r="VVX34" s="3"/>
      <c r="VVY34" s="3"/>
      <c r="VVZ34" s="3"/>
      <c r="VWA34" s="3"/>
      <c r="VWB34" s="3"/>
      <c r="VWC34" s="3"/>
      <c r="VWD34" s="3"/>
      <c r="VWE34" s="3"/>
      <c r="VWF34" s="3"/>
      <c r="VWG34" s="3"/>
      <c r="VWH34" s="3"/>
      <c r="VWI34" s="3"/>
      <c r="VWJ34" s="3"/>
      <c r="VWK34" s="3"/>
      <c r="VWL34" s="3"/>
      <c r="VWM34" s="3"/>
      <c r="VWN34" s="3"/>
      <c r="VWO34" s="3"/>
      <c r="VWP34" s="3"/>
      <c r="VWQ34" s="3"/>
      <c r="VWR34" s="3"/>
      <c r="VWS34" s="3"/>
      <c r="VWT34" s="3"/>
      <c r="VWU34" s="3"/>
      <c r="VWV34" s="3"/>
      <c r="VWW34" s="3"/>
      <c r="VWX34" s="3"/>
      <c r="VWY34" s="3"/>
      <c r="VWZ34" s="3"/>
      <c r="VXA34" s="3"/>
      <c r="VXB34" s="3"/>
      <c r="VXC34" s="3"/>
      <c r="VXD34" s="3"/>
      <c r="VXE34" s="3"/>
      <c r="VXF34" s="3"/>
      <c r="VXG34" s="3"/>
      <c r="VXH34" s="3"/>
      <c r="VXI34" s="3"/>
      <c r="VXJ34" s="3"/>
      <c r="VXK34" s="3"/>
      <c r="VXL34" s="3"/>
      <c r="VXM34" s="3"/>
      <c r="VXN34" s="3"/>
      <c r="VXO34" s="3"/>
      <c r="VXP34" s="3"/>
      <c r="VXQ34" s="3"/>
      <c r="VXR34" s="3"/>
      <c r="VXS34" s="3"/>
      <c r="VXT34" s="3"/>
      <c r="VXU34" s="3"/>
      <c r="VXV34" s="3"/>
      <c r="VXW34" s="3"/>
      <c r="VXX34" s="3"/>
      <c r="VXY34" s="3"/>
      <c r="VXZ34" s="3"/>
      <c r="VYA34" s="3"/>
      <c r="VYB34" s="3"/>
      <c r="VYC34" s="3"/>
      <c r="VYD34" s="3"/>
      <c r="VYE34" s="3"/>
      <c r="VYF34" s="3"/>
      <c r="VYG34" s="3"/>
      <c r="VYH34" s="3"/>
      <c r="VYI34" s="3"/>
      <c r="VYJ34" s="3"/>
      <c r="VYK34" s="3"/>
      <c r="VYL34" s="3"/>
      <c r="VYM34" s="3"/>
      <c r="VYN34" s="3"/>
      <c r="VYO34" s="3"/>
      <c r="VYP34" s="3"/>
      <c r="VYQ34" s="3"/>
      <c r="VYR34" s="3"/>
      <c r="VYS34" s="3"/>
      <c r="VYT34" s="3"/>
      <c r="VYU34" s="3"/>
      <c r="VYV34" s="3"/>
      <c r="VYW34" s="3"/>
      <c r="VYX34" s="3"/>
      <c r="VYY34" s="3"/>
      <c r="VYZ34" s="3"/>
      <c r="VZA34" s="3"/>
      <c r="VZB34" s="3"/>
      <c r="VZC34" s="3"/>
      <c r="VZD34" s="3"/>
      <c r="VZE34" s="3"/>
      <c r="VZF34" s="3"/>
      <c r="VZG34" s="3"/>
      <c r="VZH34" s="3"/>
      <c r="VZI34" s="3"/>
      <c r="VZJ34" s="3"/>
      <c r="VZK34" s="3"/>
      <c r="VZL34" s="3"/>
      <c r="VZM34" s="3"/>
      <c r="VZN34" s="3"/>
      <c r="VZO34" s="3"/>
      <c r="VZP34" s="3"/>
      <c r="VZQ34" s="3"/>
      <c r="VZR34" s="3"/>
      <c r="VZS34" s="3"/>
      <c r="VZT34" s="3"/>
      <c r="VZU34" s="3"/>
      <c r="VZV34" s="3"/>
      <c r="VZW34" s="3"/>
      <c r="VZX34" s="3"/>
      <c r="VZY34" s="3"/>
      <c r="VZZ34" s="3"/>
      <c r="WAA34" s="3"/>
      <c r="WAB34" s="3"/>
      <c r="WAC34" s="3"/>
      <c r="WAD34" s="3"/>
      <c r="WAE34" s="3"/>
      <c r="WAF34" s="3"/>
      <c r="WAG34" s="3"/>
      <c r="WAH34" s="3"/>
      <c r="WAI34" s="3"/>
      <c r="WAJ34" s="3"/>
      <c r="WAK34" s="3"/>
      <c r="WAL34" s="3"/>
      <c r="WAM34" s="3"/>
      <c r="WAN34" s="3"/>
      <c r="WAO34" s="3"/>
      <c r="WAP34" s="3"/>
      <c r="WAQ34" s="3"/>
      <c r="WAR34" s="3"/>
      <c r="WAS34" s="3"/>
      <c r="WAT34" s="3"/>
      <c r="WAU34" s="3"/>
      <c r="WAV34" s="3"/>
      <c r="WAW34" s="3"/>
      <c r="WAX34" s="3"/>
      <c r="WAY34" s="3"/>
      <c r="WAZ34" s="3"/>
      <c r="WBA34" s="3"/>
      <c r="WBB34" s="3"/>
      <c r="WBC34" s="3"/>
      <c r="WBD34" s="3"/>
      <c r="WBE34" s="3"/>
      <c r="WBF34" s="3"/>
      <c r="WBG34" s="3"/>
      <c r="WBH34" s="3"/>
      <c r="WBI34" s="3"/>
      <c r="WBJ34" s="3"/>
      <c r="WBK34" s="3"/>
      <c r="WBL34" s="3"/>
      <c r="WBM34" s="3"/>
      <c r="WBN34" s="3"/>
      <c r="WBO34" s="3"/>
      <c r="WBP34" s="3"/>
      <c r="WBQ34" s="3"/>
      <c r="WBR34" s="3"/>
      <c r="WBS34" s="3"/>
      <c r="WBT34" s="3"/>
      <c r="WBU34" s="3"/>
      <c r="WBV34" s="3"/>
      <c r="WBW34" s="3"/>
      <c r="WBX34" s="3"/>
      <c r="WBY34" s="3"/>
      <c r="WBZ34" s="3"/>
      <c r="WCA34" s="3"/>
      <c r="WCB34" s="3"/>
      <c r="WCC34" s="3"/>
      <c r="WCD34" s="3"/>
      <c r="WCE34" s="3"/>
      <c r="WCF34" s="3"/>
      <c r="WCG34" s="3"/>
      <c r="WCH34" s="3"/>
      <c r="WCI34" s="3"/>
      <c r="WCJ34" s="3"/>
      <c r="WCK34" s="3"/>
      <c r="WCL34" s="3"/>
      <c r="WCM34" s="3"/>
      <c r="WCN34" s="3"/>
      <c r="WCO34" s="3"/>
      <c r="WCP34" s="3"/>
      <c r="WCQ34" s="3"/>
      <c r="WCR34" s="3"/>
      <c r="WCS34" s="3"/>
      <c r="WCT34" s="3"/>
      <c r="WCU34" s="3"/>
      <c r="WCV34" s="3"/>
      <c r="WCW34" s="3"/>
      <c r="WCX34" s="3"/>
      <c r="WCY34" s="3"/>
      <c r="WCZ34" s="3"/>
      <c r="WDA34" s="3"/>
      <c r="WDB34" s="3"/>
      <c r="WDC34" s="3"/>
      <c r="WDD34" s="3"/>
      <c r="WDE34" s="3"/>
      <c r="WDF34" s="3"/>
      <c r="WDG34" s="3"/>
      <c r="WDH34" s="3"/>
      <c r="WDI34" s="3"/>
      <c r="WDJ34" s="3"/>
      <c r="WDK34" s="3"/>
      <c r="WDL34" s="3"/>
      <c r="WDM34" s="3"/>
      <c r="WDN34" s="3"/>
      <c r="WDO34" s="3"/>
      <c r="WDP34" s="3"/>
      <c r="WDQ34" s="3"/>
      <c r="WDR34" s="3"/>
      <c r="WDS34" s="3"/>
      <c r="WDT34" s="3"/>
      <c r="WDU34" s="3"/>
      <c r="WDV34" s="3"/>
      <c r="WDW34" s="3"/>
      <c r="WDX34" s="3"/>
      <c r="WDY34" s="3"/>
      <c r="WDZ34" s="3"/>
      <c r="WEA34" s="3"/>
      <c r="WEB34" s="3"/>
      <c r="WEC34" s="3"/>
      <c r="WED34" s="3"/>
      <c r="WEE34" s="3"/>
      <c r="WEF34" s="3"/>
      <c r="WEG34" s="3"/>
      <c r="WEH34" s="3"/>
      <c r="WEI34" s="3"/>
      <c r="WEJ34" s="3"/>
      <c r="WEK34" s="3"/>
      <c r="WEL34" s="3"/>
      <c r="WEM34" s="3"/>
      <c r="WEN34" s="3"/>
      <c r="WEO34" s="3"/>
      <c r="WEP34" s="3"/>
      <c r="WEQ34" s="3"/>
      <c r="WER34" s="3"/>
      <c r="WES34" s="3"/>
      <c r="WET34" s="3"/>
      <c r="WEU34" s="3"/>
      <c r="WEV34" s="3"/>
      <c r="WEW34" s="3"/>
      <c r="WEX34" s="3"/>
      <c r="WEY34" s="3"/>
      <c r="WEZ34" s="3"/>
      <c r="WFA34" s="3"/>
      <c r="WFB34" s="3"/>
      <c r="WFC34" s="3"/>
      <c r="WFD34" s="3"/>
      <c r="WFE34" s="3"/>
      <c r="WFF34" s="3"/>
      <c r="WFG34" s="3"/>
      <c r="WFH34" s="3"/>
      <c r="WFI34" s="3"/>
      <c r="WFJ34" s="3"/>
      <c r="WFK34" s="3"/>
      <c r="WFL34" s="3"/>
      <c r="WFM34" s="3"/>
      <c r="WFN34" s="3"/>
      <c r="WFO34" s="3"/>
      <c r="WFP34" s="3"/>
      <c r="WFQ34" s="3"/>
      <c r="WFR34" s="3"/>
      <c r="WFS34" s="3"/>
      <c r="WFT34" s="3"/>
      <c r="WFU34" s="3"/>
      <c r="WFV34" s="3"/>
      <c r="WFW34" s="3"/>
      <c r="WFX34" s="3"/>
      <c r="WFY34" s="3"/>
      <c r="WFZ34" s="3"/>
      <c r="WGA34" s="3"/>
      <c r="WGB34" s="3"/>
      <c r="WGC34" s="3"/>
      <c r="WGD34" s="3"/>
      <c r="WGE34" s="3"/>
      <c r="WGF34" s="3"/>
      <c r="WGG34" s="3"/>
      <c r="WGH34" s="3"/>
      <c r="WGI34" s="3"/>
      <c r="WGJ34" s="3"/>
      <c r="WGK34" s="3"/>
      <c r="WGL34" s="3"/>
      <c r="WGM34" s="3"/>
      <c r="WGN34" s="3"/>
      <c r="WGO34" s="3"/>
      <c r="WGP34" s="3"/>
      <c r="WGQ34" s="3"/>
      <c r="WGR34" s="3"/>
      <c r="WGS34" s="3"/>
      <c r="WGT34" s="3"/>
      <c r="WGU34" s="3"/>
      <c r="WGV34" s="3"/>
      <c r="WGW34" s="3"/>
      <c r="WGX34" s="3"/>
      <c r="WGY34" s="3"/>
      <c r="WGZ34" s="3"/>
      <c r="WHA34" s="3"/>
      <c r="WHB34" s="3"/>
      <c r="WHC34" s="3"/>
      <c r="WHD34" s="3"/>
      <c r="WHE34" s="3"/>
      <c r="WHF34" s="3"/>
      <c r="WHG34" s="3"/>
      <c r="WHH34" s="3"/>
      <c r="WHI34" s="3"/>
      <c r="WHJ34" s="3"/>
      <c r="WHK34" s="3"/>
      <c r="WHL34" s="3"/>
      <c r="WHM34" s="3"/>
      <c r="WHN34" s="3"/>
      <c r="WHO34" s="3"/>
      <c r="WHP34" s="3"/>
      <c r="WHQ34" s="3"/>
      <c r="WHR34" s="3"/>
      <c r="WHS34" s="3"/>
      <c r="WHT34" s="3"/>
      <c r="WHU34" s="3"/>
      <c r="WHV34" s="3"/>
      <c r="WHW34" s="3"/>
      <c r="WHX34" s="3"/>
      <c r="WHY34" s="3"/>
      <c r="WHZ34" s="3"/>
      <c r="WIA34" s="3"/>
      <c r="WIB34" s="3"/>
      <c r="WIC34" s="3"/>
      <c r="WID34" s="3"/>
      <c r="WIE34" s="3"/>
      <c r="WIF34" s="3"/>
      <c r="WIG34" s="3"/>
      <c r="WIH34" s="3"/>
      <c r="WII34" s="3"/>
      <c r="WIJ34" s="3"/>
      <c r="WIK34" s="3"/>
      <c r="WIL34" s="3"/>
      <c r="WIM34" s="3"/>
      <c r="WIN34" s="3"/>
      <c r="WIO34" s="3"/>
      <c r="WIP34" s="3"/>
      <c r="WIQ34" s="3"/>
      <c r="WIR34" s="3"/>
      <c r="WIS34" s="3"/>
      <c r="WIT34" s="3"/>
      <c r="WIU34" s="3"/>
      <c r="WIV34" s="3"/>
      <c r="WIW34" s="3"/>
      <c r="WIX34" s="3"/>
      <c r="WIY34" s="3"/>
      <c r="WIZ34" s="3"/>
      <c r="WJA34" s="3"/>
      <c r="WJB34" s="3"/>
      <c r="WJC34" s="3"/>
      <c r="WJD34" s="3"/>
      <c r="WJE34" s="3"/>
      <c r="WJF34" s="3"/>
      <c r="WJG34" s="3"/>
      <c r="WJH34" s="3"/>
      <c r="WJI34" s="3"/>
      <c r="WJJ34" s="3"/>
      <c r="WJK34" s="3"/>
      <c r="WJL34" s="3"/>
      <c r="WJM34" s="3"/>
      <c r="WJN34" s="3"/>
      <c r="WJO34" s="3"/>
      <c r="WJP34" s="3"/>
      <c r="WJQ34" s="3"/>
      <c r="WJR34" s="3"/>
      <c r="WJS34" s="3"/>
      <c r="WJT34" s="3"/>
      <c r="WJU34" s="3"/>
      <c r="WJV34" s="3"/>
      <c r="WJW34" s="3"/>
      <c r="WJX34" s="3"/>
      <c r="WJY34" s="3"/>
      <c r="WJZ34" s="3"/>
      <c r="WKA34" s="3"/>
      <c r="WKB34" s="3"/>
      <c r="WKC34" s="3"/>
      <c r="WKD34" s="3"/>
      <c r="WKE34" s="3"/>
      <c r="WKF34" s="3"/>
      <c r="WKG34" s="3"/>
      <c r="WKH34" s="3"/>
      <c r="WKI34" s="3"/>
      <c r="WKJ34" s="3"/>
      <c r="WKK34" s="3"/>
      <c r="WKL34" s="3"/>
      <c r="WKM34" s="3"/>
      <c r="WKN34" s="3"/>
      <c r="WKO34" s="3"/>
      <c r="WKP34" s="3"/>
      <c r="WKQ34" s="3"/>
      <c r="WKR34" s="3"/>
      <c r="WKS34" s="3"/>
      <c r="WKT34" s="3"/>
      <c r="WKU34" s="3"/>
      <c r="WKV34" s="3"/>
      <c r="WKW34" s="3"/>
      <c r="WKX34" s="3"/>
      <c r="WKY34" s="3"/>
      <c r="WKZ34" s="3"/>
      <c r="WLA34" s="3"/>
      <c r="WLB34" s="3"/>
      <c r="WLC34" s="3"/>
      <c r="WLD34" s="3"/>
      <c r="WLE34" s="3"/>
      <c r="WLF34" s="3"/>
      <c r="WLG34" s="3"/>
      <c r="WLH34" s="3"/>
      <c r="WLI34" s="3"/>
      <c r="WLJ34" s="3"/>
      <c r="WLK34" s="3"/>
      <c r="WLL34" s="3"/>
      <c r="WLM34" s="3"/>
      <c r="WLN34" s="3"/>
      <c r="WLO34" s="3"/>
      <c r="WLP34" s="3"/>
      <c r="WLQ34" s="3"/>
      <c r="WLR34" s="3"/>
      <c r="WLS34" s="3"/>
      <c r="WLT34" s="3"/>
      <c r="WLU34" s="3"/>
      <c r="WLV34" s="3"/>
      <c r="WLW34" s="3"/>
      <c r="WLX34" s="3"/>
      <c r="WLY34" s="3"/>
      <c r="WLZ34" s="3"/>
      <c r="WMA34" s="3"/>
      <c r="WMB34" s="3"/>
      <c r="WMC34" s="3"/>
      <c r="WMD34" s="3"/>
      <c r="WME34" s="3"/>
      <c r="WMF34" s="3"/>
      <c r="WMG34" s="3"/>
      <c r="WMH34" s="3"/>
      <c r="WMI34" s="3"/>
      <c r="WMJ34" s="3"/>
      <c r="WMK34" s="3"/>
      <c r="WML34" s="3"/>
      <c r="WMM34" s="3"/>
      <c r="WMN34" s="3"/>
      <c r="WMO34" s="3"/>
      <c r="WMP34" s="3"/>
      <c r="WMQ34" s="3"/>
      <c r="WMR34" s="3"/>
      <c r="WMS34" s="3"/>
      <c r="WMT34" s="3"/>
      <c r="WMU34" s="3"/>
      <c r="WMV34" s="3"/>
      <c r="WMW34" s="3"/>
      <c r="WMX34" s="3"/>
      <c r="WMY34" s="3"/>
      <c r="WMZ34" s="3"/>
      <c r="WNA34" s="3"/>
      <c r="WNB34" s="3"/>
      <c r="WNC34" s="3"/>
      <c r="WND34" s="3"/>
      <c r="WNE34" s="3"/>
      <c r="WNF34" s="3"/>
      <c r="WNG34" s="3"/>
      <c r="WNH34" s="3"/>
      <c r="WNI34" s="3"/>
      <c r="WNJ34" s="3"/>
      <c r="WNK34" s="3"/>
      <c r="WNL34" s="3"/>
      <c r="WNM34" s="3"/>
      <c r="WNN34" s="3"/>
      <c r="WNO34" s="3"/>
      <c r="WNP34" s="3"/>
      <c r="WNQ34" s="3"/>
      <c r="WNR34" s="3"/>
      <c r="WNS34" s="3"/>
      <c r="WNT34" s="3"/>
      <c r="WNU34" s="3"/>
      <c r="WNV34" s="3"/>
      <c r="WNW34" s="3"/>
      <c r="WNX34" s="3"/>
      <c r="WNY34" s="3"/>
      <c r="WNZ34" s="3"/>
      <c r="WOA34" s="3"/>
      <c r="WOB34" s="3"/>
      <c r="WOC34" s="3"/>
      <c r="WOD34" s="3"/>
      <c r="WOE34" s="3"/>
      <c r="WOF34" s="3"/>
      <c r="WOG34" s="3"/>
      <c r="WOH34" s="3"/>
      <c r="WOI34" s="3"/>
      <c r="WOJ34" s="3"/>
      <c r="WOK34" s="3"/>
      <c r="WOL34" s="3"/>
      <c r="WOM34" s="3"/>
      <c r="WON34" s="3"/>
      <c r="WOO34" s="3"/>
      <c r="WOP34" s="3"/>
      <c r="WOQ34" s="3"/>
      <c r="WOR34" s="3"/>
      <c r="WOS34" s="3"/>
      <c r="WOT34" s="3"/>
      <c r="WOU34" s="3"/>
      <c r="WOV34" s="3"/>
      <c r="WOW34" s="3"/>
      <c r="WOX34" s="3"/>
      <c r="WOY34" s="3"/>
      <c r="WOZ34" s="3"/>
      <c r="WPA34" s="3"/>
      <c r="WPB34" s="3"/>
      <c r="WPC34" s="3"/>
      <c r="WPD34" s="3"/>
      <c r="WPE34" s="3"/>
      <c r="WPF34" s="3"/>
      <c r="WPG34" s="3"/>
      <c r="WPH34" s="3"/>
      <c r="WPI34" s="3"/>
      <c r="WPJ34" s="3"/>
      <c r="WPK34" s="3"/>
      <c r="WPL34" s="3"/>
      <c r="WPM34" s="3"/>
      <c r="WPN34" s="3"/>
      <c r="WPO34" s="3"/>
      <c r="WPP34" s="3"/>
      <c r="WPQ34" s="3"/>
      <c r="WPR34" s="3"/>
      <c r="WPS34" s="3"/>
      <c r="WPT34" s="3"/>
      <c r="WPU34" s="3"/>
      <c r="WPV34" s="3"/>
      <c r="WPW34" s="3"/>
      <c r="WPX34" s="3"/>
      <c r="WPY34" s="3"/>
      <c r="WPZ34" s="3"/>
      <c r="WQA34" s="3"/>
      <c r="WQB34" s="3"/>
      <c r="WQC34" s="3"/>
      <c r="WQD34" s="3"/>
      <c r="WQE34" s="3"/>
      <c r="WQF34" s="3"/>
      <c r="WQG34" s="3"/>
      <c r="WQH34" s="3"/>
      <c r="WQI34" s="3"/>
      <c r="WQJ34" s="3"/>
      <c r="WQK34" s="3"/>
      <c r="WQL34" s="3"/>
      <c r="WQM34" s="3"/>
      <c r="WQN34" s="3"/>
      <c r="WQO34" s="3"/>
      <c r="WQP34" s="3"/>
      <c r="WQQ34" s="3"/>
      <c r="WQR34" s="3"/>
      <c r="WQS34" s="3"/>
      <c r="WQT34" s="3"/>
      <c r="WQU34" s="3"/>
      <c r="WQV34" s="3"/>
      <c r="WQW34" s="3"/>
      <c r="WQX34" s="3"/>
      <c r="WQY34" s="3"/>
      <c r="WQZ34" s="3"/>
      <c r="WRA34" s="3"/>
      <c r="WRB34" s="3"/>
      <c r="WRC34" s="3"/>
      <c r="WRD34" s="3"/>
      <c r="WRE34" s="3"/>
      <c r="WRF34" s="3"/>
      <c r="WRG34" s="3"/>
      <c r="WRH34" s="3"/>
      <c r="WRI34" s="3"/>
      <c r="WRJ34" s="3"/>
      <c r="WRK34" s="3"/>
      <c r="WRL34" s="3"/>
      <c r="WRM34" s="3"/>
      <c r="WRN34" s="3"/>
      <c r="WRO34" s="3"/>
      <c r="WRP34" s="3"/>
      <c r="WRQ34" s="3"/>
      <c r="WRR34" s="3"/>
      <c r="WRS34" s="3"/>
      <c r="WRT34" s="3"/>
      <c r="WRU34" s="3"/>
      <c r="WRV34" s="3"/>
      <c r="WRW34" s="3"/>
      <c r="WRX34" s="3"/>
      <c r="WRY34" s="3"/>
      <c r="WRZ34" s="3"/>
      <c r="WSA34" s="3"/>
      <c r="WSB34" s="3"/>
      <c r="WSC34" s="3"/>
      <c r="WSD34" s="3"/>
      <c r="WSE34" s="3"/>
      <c r="WSF34" s="3"/>
      <c r="WSG34" s="3"/>
      <c r="WSH34" s="3"/>
      <c r="WSI34" s="3"/>
      <c r="WSJ34" s="3"/>
      <c r="WSK34" s="3"/>
      <c r="WSL34" s="3"/>
      <c r="WSM34" s="3"/>
      <c r="WSN34" s="3"/>
      <c r="WSO34" s="3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16384" s="1" customFormat="1">
      <c r="A35" s="3"/>
      <c r="B35" s="3"/>
      <c r="C35" s="18">
        <v>99.6149336332426</v>
      </c>
      <c r="D35" s="19">
        <f t="shared" ref="D35:D38" si="2">C35%*G27</f>
        <v>4.3332496130460525</v>
      </c>
      <c r="E35" s="19">
        <f t="shared" ref="E35:E38" si="3">C35%*H27</f>
        <v>2.042106139481473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16384" s="1" customFormat="1">
      <c r="A36" s="3"/>
      <c r="B36" s="3"/>
      <c r="C36" s="18">
        <v>0.38506636675740202</v>
      </c>
      <c r="D36" s="19">
        <f t="shared" si="2"/>
        <v>2.3335021825498559E-2</v>
      </c>
      <c r="E36" s="19">
        <f t="shared" si="3"/>
        <v>7.354767605066378E-3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  <c r="AFA36" s="3"/>
      <c r="AFB36" s="3"/>
      <c r="AFC36" s="3"/>
      <c r="AFD36" s="3"/>
      <c r="AFE36" s="3"/>
      <c r="AFF36" s="3"/>
      <c r="AFG36" s="3"/>
      <c r="AFH36" s="3"/>
      <c r="AFI36" s="3"/>
      <c r="AFJ36" s="3"/>
      <c r="AFK36" s="3"/>
      <c r="AFL36" s="3"/>
      <c r="AFM36" s="3"/>
      <c r="AFN36" s="3"/>
      <c r="AFO36" s="3"/>
      <c r="AFP36" s="3"/>
      <c r="AFQ36" s="3"/>
      <c r="AFR36" s="3"/>
      <c r="AFS36" s="3"/>
      <c r="AFT36" s="3"/>
      <c r="AFU36" s="3"/>
      <c r="AFV36" s="3"/>
      <c r="AFW36" s="3"/>
      <c r="AFX36" s="3"/>
      <c r="AFY36" s="3"/>
      <c r="AFZ36" s="3"/>
      <c r="AGA36" s="3"/>
      <c r="AGB36" s="3"/>
      <c r="AGC36" s="3"/>
      <c r="AGD36" s="3"/>
      <c r="AGE36" s="3"/>
      <c r="AGF36" s="3"/>
      <c r="AGG36" s="3"/>
      <c r="AGH36" s="3"/>
      <c r="AGI36" s="3"/>
      <c r="AGJ36" s="3"/>
      <c r="AGK36" s="3"/>
      <c r="AGL36" s="3"/>
      <c r="AGM36" s="3"/>
      <c r="AGN36" s="3"/>
      <c r="AGO36" s="3"/>
      <c r="AGP36" s="3"/>
      <c r="AGQ36" s="3"/>
      <c r="AGR36" s="3"/>
      <c r="AGS36" s="3"/>
      <c r="AGT36" s="3"/>
      <c r="AGU36" s="3"/>
      <c r="AGV36" s="3"/>
      <c r="AGW36" s="3"/>
      <c r="AGX36" s="3"/>
      <c r="AGY36" s="3"/>
      <c r="AGZ36" s="3"/>
      <c r="AHA36" s="3"/>
      <c r="AHB36" s="3"/>
      <c r="AHC36" s="3"/>
      <c r="AHD36" s="3"/>
      <c r="AHE36" s="3"/>
      <c r="AHF36" s="3"/>
      <c r="AHG36" s="3"/>
      <c r="AHH36" s="3"/>
      <c r="AHI36" s="3"/>
      <c r="AHJ36" s="3"/>
      <c r="AHK36" s="3"/>
      <c r="AHL36" s="3"/>
      <c r="AHM36" s="3"/>
      <c r="AHN36" s="3"/>
      <c r="AHO36" s="3"/>
      <c r="AHP36" s="3"/>
      <c r="AHQ36" s="3"/>
      <c r="AHR36" s="3"/>
      <c r="AHS36" s="3"/>
      <c r="AHT36" s="3"/>
      <c r="AHU36" s="3"/>
      <c r="AHV36" s="3"/>
      <c r="AHW36" s="3"/>
      <c r="AHX36" s="3"/>
      <c r="AHY36" s="3"/>
      <c r="AHZ36" s="3"/>
      <c r="AIA36" s="3"/>
      <c r="AIB36" s="3"/>
      <c r="AIC36" s="3"/>
      <c r="AID36" s="3"/>
      <c r="AIE36" s="3"/>
      <c r="AIF36" s="3"/>
      <c r="AIG36" s="3"/>
      <c r="AIH36" s="3"/>
      <c r="AII36" s="3"/>
      <c r="AIJ36" s="3"/>
      <c r="AIK36" s="3"/>
      <c r="AIL36" s="3"/>
      <c r="AIM36" s="3"/>
      <c r="AIN36" s="3"/>
      <c r="AIO36" s="3"/>
      <c r="AIP36" s="3"/>
      <c r="AIQ36" s="3"/>
      <c r="AIR36" s="3"/>
      <c r="AIS36" s="3"/>
      <c r="AIT36" s="3"/>
      <c r="AIU36" s="3"/>
      <c r="AIV36" s="3"/>
      <c r="AIW36" s="3"/>
      <c r="AIX36" s="3"/>
      <c r="AIY36" s="3"/>
      <c r="AIZ36" s="3"/>
      <c r="AJA36" s="3"/>
      <c r="AJB36" s="3"/>
      <c r="AJC36" s="3"/>
      <c r="AJD36" s="3"/>
      <c r="AJE36" s="3"/>
      <c r="AJF36" s="3"/>
      <c r="AJG36" s="3"/>
      <c r="AJH36" s="3"/>
      <c r="AJI36" s="3"/>
      <c r="AJJ36" s="3"/>
      <c r="AJK36" s="3"/>
      <c r="AJL36" s="3"/>
      <c r="AJM36" s="3"/>
      <c r="AJN36" s="3"/>
      <c r="AJO36" s="3"/>
      <c r="AJP36" s="3"/>
      <c r="AJQ36" s="3"/>
      <c r="AJR36" s="3"/>
      <c r="AJS36" s="3"/>
      <c r="AJT36" s="3"/>
      <c r="AJU36" s="3"/>
      <c r="AJV36" s="3"/>
      <c r="AJW36" s="3"/>
      <c r="AJX36" s="3"/>
      <c r="AJY36" s="3"/>
      <c r="AJZ36" s="3"/>
      <c r="AKA36" s="3"/>
      <c r="AKB36" s="3"/>
      <c r="AKC36" s="3"/>
      <c r="AKD36" s="3"/>
      <c r="AKE36" s="3"/>
      <c r="AKF36" s="3"/>
      <c r="AKG36" s="3"/>
      <c r="AKH36" s="3"/>
      <c r="AKI36" s="3"/>
      <c r="AKJ36" s="3"/>
      <c r="AKK36" s="3"/>
      <c r="AKL36" s="3"/>
      <c r="AKM36" s="3"/>
      <c r="AKN36" s="3"/>
      <c r="AKO36" s="3"/>
      <c r="AKP36" s="3"/>
      <c r="AKQ36" s="3"/>
      <c r="AKR36" s="3"/>
      <c r="AKS36" s="3"/>
      <c r="AKT36" s="3"/>
      <c r="AKU36" s="3"/>
      <c r="AKV36" s="3"/>
      <c r="AKW36" s="3"/>
      <c r="AKX36" s="3"/>
      <c r="AKY36" s="3"/>
      <c r="AKZ36" s="3"/>
      <c r="ALA36" s="3"/>
      <c r="ALB36" s="3"/>
      <c r="ALC36" s="3"/>
      <c r="ALD36" s="3"/>
      <c r="ALE36" s="3"/>
      <c r="ALF36" s="3"/>
      <c r="ALG36" s="3"/>
      <c r="ALH36" s="3"/>
      <c r="ALI36" s="3"/>
      <c r="ALJ36" s="3"/>
      <c r="ALK36" s="3"/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/>
      <c r="AYQ36" s="3"/>
      <c r="AYR36" s="3"/>
      <c r="AYS36" s="3"/>
      <c r="AYT36" s="3"/>
      <c r="AYU36" s="3"/>
      <c r="AYV36" s="3"/>
      <c r="AYW36" s="3"/>
      <c r="AYX36" s="3"/>
      <c r="AYY36" s="3"/>
      <c r="AYZ36" s="3"/>
      <c r="AZA36" s="3"/>
      <c r="AZB36" s="3"/>
      <c r="AZC36" s="3"/>
      <c r="AZD36" s="3"/>
      <c r="AZE36" s="3"/>
      <c r="AZF36" s="3"/>
      <c r="AZG36" s="3"/>
      <c r="AZH36" s="3"/>
      <c r="AZI36" s="3"/>
      <c r="AZJ36" s="3"/>
      <c r="AZK36" s="3"/>
      <c r="AZL36" s="3"/>
      <c r="AZM36" s="3"/>
      <c r="AZN36" s="3"/>
      <c r="AZO36" s="3"/>
      <c r="AZP36" s="3"/>
      <c r="AZQ36" s="3"/>
      <c r="AZR36" s="3"/>
      <c r="AZS36" s="3"/>
      <c r="AZT36" s="3"/>
      <c r="AZU36" s="3"/>
      <c r="AZV36" s="3"/>
      <c r="AZW36" s="3"/>
      <c r="AZX36" s="3"/>
      <c r="AZY36" s="3"/>
      <c r="AZZ36" s="3"/>
      <c r="BAA36" s="3"/>
      <c r="BAB36" s="3"/>
      <c r="BAC36" s="3"/>
      <c r="BAD36" s="3"/>
      <c r="BAE36" s="3"/>
      <c r="BAF36" s="3"/>
      <c r="BAG36" s="3"/>
      <c r="BAH36" s="3"/>
      <c r="BAI36" s="3"/>
      <c r="BAJ36" s="3"/>
      <c r="BAK36" s="3"/>
      <c r="BAL36" s="3"/>
      <c r="BAM36" s="3"/>
      <c r="BAN36" s="3"/>
      <c r="BAO36" s="3"/>
      <c r="BAP36" s="3"/>
      <c r="BAQ36" s="3"/>
      <c r="BAR36" s="3"/>
      <c r="BAS36" s="3"/>
      <c r="BAT36" s="3"/>
      <c r="BAU36" s="3"/>
      <c r="BAV36" s="3"/>
      <c r="BAW36" s="3"/>
      <c r="BAX36" s="3"/>
      <c r="BAY36" s="3"/>
      <c r="BAZ36" s="3"/>
      <c r="BBA36" s="3"/>
      <c r="BBB36" s="3"/>
      <c r="BBC36" s="3"/>
      <c r="BBD36" s="3"/>
      <c r="BBE36" s="3"/>
      <c r="BBF36" s="3"/>
      <c r="BBG36" s="3"/>
      <c r="BBH36" s="3"/>
      <c r="BBI36" s="3"/>
      <c r="BBJ36" s="3"/>
      <c r="BBK36" s="3"/>
      <c r="BBL36" s="3"/>
      <c r="BBM36" s="3"/>
      <c r="BBN36" s="3"/>
      <c r="BBO36" s="3"/>
      <c r="BBP36" s="3"/>
      <c r="BBQ36" s="3"/>
      <c r="BBR36" s="3"/>
      <c r="BBS36" s="3"/>
      <c r="BBT36" s="3"/>
      <c r="BBU36" s="3"/>
      <c r="BBV36" s="3"/>
      <c r="BBW36" s="3"/>
      <c r="BBX36" s="3"/>
      <c r="BBY36" s="3"/>
      <c r="BBZ36" s="3"/>
      <c r="BCA36" s="3"/>
      <c r="BCB36" s="3"/>
      <c r="BCC36" s="3"/>
      <c r="BCD36" s="3"/>
      <c r="BCE36" s="3"/>
      <c r="BCF36" s="3"/>
      <c r="BCG36" s="3"/>
      <c r="BCH36" s="3"/>
      <c r="BCI36" s="3"/>
      <c r="BCJ36" s="3"/>
      <c r="BCK36" s="3"/>
      <c r="BCL36" s="3"/>
      <c r="BCM36" s="3"/>
      <c r="BCN36" s="3"/>
      <c r="BCO36" s="3"/>
      <c r="BCP36" s="3"/>
      <c r="BCQ36" s="3"/>
      <c r="BCR36" s="3"/>
      <c r="BCS36" s="3"/>
      <c r="BCT36" s="3"/>
      <c r="BCU36" s="3"/>
      <c r="BCV36" s="3"/>
      <c r="BCW36" s="3"/>
      <c r="BCX36" s="3"/>
      <c r="BCY36" s="3"/>
      <c r="BCZ36" s="3"/>
      <c r="BDA36" s="3"/>
      <c r="BDB36" s="3"/>
      <c r="BDC36" s="3"/>
      <c r="BDD36" s="3"/>
      <c r="BDE36" s="3"/>
      <c r="BDF36" s="3"/>
      <c r="BDG36" s="3"/>
      <c r="BDH36" s="3"/>
      <c r="BDI36" s="3"/>
      <c r="BDJ36" s="3"/>
      <c r="BDK36" s="3"/>
      <c r="BDL36" s="3"/>
      <c r="BDM36" s="3"/>
      <c r="BDN36" s="3"/>
      <c r="BDO36" s="3"/>
      <c r="BDP36" s="3"/>
      <c r="BDQ36" s="3"/>
      <c r="BDR36" s="3"/>
      <c r="BDS36" s="3"/>
      <c r="BDT36" s="3"/>
      <c r="BDU36" s="3"/>
      <c r="BDV36" s="3"/>
      <c r="BDW36" s="3"/>
      <c r="BDX36" s="3"/>
      <c r="BDY36" s="3"/>
      <c r="BDZ36" s="3"/>
      <c r="BEA36" s="3"/>
      <c r="BEB36" s="3"/>
      <c r="BEC36" s="3"/>
      <c r="BED36" s="3"/>
      <c r="BEE36" s="3"/>
      <c r="BEF36" s="3"/>
      <c r="BEG36" s="3"/>
      <c r="BEH36" s="3"/>
      <c r="BEI36" s="3"/>
      <c r="BEJ36" s="3"/>
      <c r="BEK36" s="3"/>
      <c r="BEL36" s="3"/>
      <c r="BEM36" s="3"/>
      <c r="BEN36" s="3"/>
      <c r="BEO36" s="3"/>
      <c r="BEP36" s="3"/>
      <c r="BEQ36" s="3"/>
      <c r="BER36" s="3"/>
      <c r="BES36" s="3"/>
      <c r="BET36" s="3"/>
      <c r="BEU36" s="3"/>
      <c r="BEV36" s="3"/>
      <c r="BEW36" s="3"/>
      <c r="BEX36" s="3"/>
      <c r="BEY36" s="3"/>
      <c r="BEZ36" s="3"/>
      <c r="BFA36" s="3"/>
      <c r="BFB36" s="3"/>
      <c r="BFC36" s="3"/>
      <c r="BFD36" s="3"/>
      <c r="BFE36" s="3"/>
      <c r="BFF36" s="3"/>
      <c r="BFG36" s="3"/>
      <c r="BFH36" s="3"/>
      <c r="BFI36" s="3"/>
      <c r="BFJ36" s="3"/>
      <c r="BFK36" s="3"/>
      <c r="BFL36" s="3"/>
      <c r="BFM36" s="3"/>
      <c r="BFN36" s="3"/>
      <c r="BFO36" s="3"/>
      <c r="BFP36" s="3"/>
      <c r="BFQ36" s="3"/>
      <c r="BFR36" s="3"/>
      <c r="BFS36" s="3"/>
      <c r="BFT36" s="3"/>
      <c r="BFU36" s="3"/>
      <c r="BFV36" s="3"/>
      <c r="BFW36" s="3"/>
      <c r="BFX36" s="3"/>
      <c r="BFY36" s="3"/>
      <c r="BFZ36" s="3"/>
      <c r="BGA36" s="3"/>
      <c r="BGB36" s="3"/>
      <c r="BGC36" s="3"/>
      <c r="BGD36" s="3"/>
      <c r="BGE36" s="3"/>
      <c r="BGF36" s="3"/>
      <c r="BGG36" s="3"/>
      <c r="BGH36" s="3"/>
      <c r="BGI36" s="3"/>
      <c r="BGJ36" s="3"/>
      <c r="BGK36" s="3"/>
      <c r="BGL36" s="3"/>
      <c r="BGM36" s="3"/>
      <c r="BGN36" s="3"/>
      <c r="BGO36" s="3"/>
      <c r="BGP36" s="3"/>
      <c r="BGQ36" s="3"/>
      <c r="BGR36" s="3"/>
      <c r="BGS36" s="3"/>
      <c r="BGT36" s="3"/>
      <c r="BGU36" s="3"/>
      <c r="BGV36" s="3"/>
      <c r="BGW36" s="3"/>
      <c r="BGX36" s="3"/>
      <c r="BGY36" s="3"/>
      <c r="BGZ36" s="3"/>
      <c r="BHA36" s="3"/>
      <c r="BHB36" s="3"/>
      <c r="BHC36" s="3"/>
      <c r="BHD36" s="3"/>
      <c r="BHE36" s="3"/>
      <c r="BHF36" s="3"/>
      <c r="BHG36" s="3"/>
      <c r="BHH36" s="3"/>
      <c r="BHI36" s="3"/>
      <c r="BHJ36" s="3"/>
      <c r="BHK36" s="3"/>
      <c r="BHL36" s="3"/>
      <c r="BHM36" s="3"/>
      <c r="BHN36" s="3"/>
      <c r="BHO36" s="3"/>
      <c r="BHP36" s="3"/>
      <c r="BHQ36" s="3"/>
      <c r="BHR36" s="3"/>
      <c r="BHS36" s="3"/>
      <c r="BHT36" s="3"/>
      <c r="BHU36" s="3"/>
      <c r="BHV36" s="3"/>
      <c r="BHW36" s="3"/>
      <c r="BHX36" s="3"/>
      <c r="BHY36" s="3"/>
      <c r="BHZ36" s="3"/>
      <c r="BIA36" s="3"/>
      <c r="BIB36" s="3"/>
      <c r="BIC36" s="3"/>
      <c r="BID36" s="3"/>
      <c r="BIE36" s="3"/>
      <c r="BIF36" s="3"/>
      <c r="BIG36" s="3"/>
      <c r="BIH36" s="3"/>
      <c r="BII36" s="3"/>
      <c r="BIJ36" s="3"/>
      <c r="BIK36" s="3"/>
      <c r="BIL36" s="3"/>
      <c r="BIM36" s="3"/>
      <c r="BIN36" s="3"/>
      <c r="BIO36" s="3"/>
      <c r="BIP36" s="3"/>
      <c r="BIQ36" s="3"/>
      <c r="BIR36" s="3"/>
      <c r="BIS36" s="3"/>
      <c r="BIT36" s="3"/>
      <c r="BIU36" s="3"/>
      <c r="BIV36" s="3"/>
      <c r="BIW36" s="3"/>
      <c r="BIX36" s="3"/>
      <c r="BIY36" s="3"/>
      <c r="BIZ36" s="3"/>
      <c r="BJA36" s="3"/>
      <c r="BJB36" s="3"/>
      <c r="BJC36" s="3"/>
      <c r="BJD36" s="3"/>
      <c r="BJE36" s="3"/>
      <c r="BJF36" s="3"/>
      <c r="BJG36" s="3"/>
      <c r="BJH36" s="3"/>
      <c r="BJI36" s="3"/>
      <c r="BJJ36" s="3"/>
      <c r="BJK36" s="3"/>
      <c r="BJL36" s="3"/>
      <c r="BJM36" s="3"/>
      <c r="BJN36" s="3"/>
      <c r="BJO36" s="3"/>
      <c r="BJP36" s="3"/>
      <c r="BJQ36" s="3"/>
      <c r="BJR36" s="3"/>
      <c r="BJS36" s="3"/>
      <c r="BJT36" s="3"/>
      <c r="BJU36" s="3"/>
      <c r="BJV36" s="3"/>
      <c r="BJW36" s="3"/>
      <c r="BJX36" s="3"/>
      <c r="BJY36" s="3"/>
      <c r="BJZ36" s="3"/>
      <c r="BKA36" s="3"/>
      <c r="BKB36" s="3"/>
      <c r="BKC36" s="3"/>
      <c r="BKD36" s="3"/>
      <c r="BKE36" s="3"/>
      <c r="BKF36" s="3"/>
      <c r="BKG36" s="3"/>
      <c r="BKH36" s="3"/>
      <c r="BKI36" s="3"/>
      <c r="BKJ36" s="3"/>
      <c r="BKK36" s="3"/>
      <c r="BKL36" s="3"/>
      <c r="BKM36" s="3"/>
      <c r="BKN36" s="3"/>
      <c r="BKO36" s="3"/>
      <c r="BKP36" s="3"/>
      <c r="BKQ36" s="3"/>
      <c r="BKR36" s="3"/>
      <c r="BKS36" s="3"/>
      <c r="BKT36" s="3"/>
      <c r="BKU36" s="3"/>
      <c r="BKV36" s="3"/>
      <c r="BKW36" s="3"/>
      <c r="BKX36" s="3"/>
      <c r="BKY36" s="3"/>
      <c r="BKZ36" s="3"/>
      <c r="BLA36" s="3"/>
      <c r="BLB36" s="3"/>
      <c r="BLC36" s="3"/>
      <c r="BLD36" s="3"/>
      <c r="BLE36" s="3"/>
      <c r="BLF36" s="3"/>
      <c r="BLG36" s="3"/>
      <c r="BLH36" s="3"/>
      <c r="BLI36" s="3"/>
      <c r="BLJ36" s="3"/>
      <c r="BLK36" s="3"/>
      <c r="BLL36" s="3"/>
      <c r="BLM36" s="3"/>
      <c r="BLN36" s="3"/>
      <c r="BLO36" s="3"/>
      <c r="BLP36" s="3"/>
      <c r="BLQ36" s="3"/>
      <c r="BLR36" s="3"/>
      <c r="BLS36" s="3"/>
      <c r="BLT36" s="3"/>
      <c r="BLU36" s="3"/>
      <c r="BLV36" s="3"/>
      <c r="BLW36" s="3"/>
      <c r="BLX36" s="3"/>
      <c r="BLY36" s="3"/>
      <c r="BLZ36" s="3"/>
      <c r="BMA36" s="3"/>
      <c r="BMB36" s="3"/>
      <c r="BMC36" s="3"/>
      <c r="BMD36" s="3"/>
      <c r="BME36" s="3"/>
      <c r="BMF36" s="3"/>
      <c r="BMG36" s="3"/>
      <c r="BMH36" s="3"/>
      <c r="BMI36" s="3"/>
      <c r="BMJ36" s="3"/>
      <c r="BMK36" s="3"/>
      <c r="BML36" s="3"/>
      <c r="BMM36" s="3"/>
      <c r="BMN36" s="3"/>
      <c r="BMO36" s="3"/>
      <c r="BMP36" s="3"/>
      <c r="BMQ36" s="3"/>
      <c r="BMR36" s="3"/>
      <c r="BMS36" s="3"/>
      <c r="BMT36" s="3"/>
      <c r="BMU36" s="3"/>
      <c r="BMV36" s="3"/>
      <c r="BMW36" s="3"/>
      <c r="BMX36" s="3"/>
      <c r="BMY36" s="3"/>
      <c r="BMZ36" s="3"/>
      <c r="BNA36" s="3"/>
      <c r="BNB36" s="3"/>
      <c r="BNC36" s="3"/>
      <c r="BND36" s="3"/>
      <c r="BNE36" s="3"/>
      <c r="BNF36" s="3"/>
      <c r="BNG36" s="3"/>
      <c r="BNH36" s="3"/>
      <c r="BNI36" s="3"/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  <c r="BYA36" s="3"/>
      <c r="BYB36" s="3"/>
      <c r="BYC36" s="3"/>
      <c r="BYD36" s="3"/>
      <c r="BYE36" s="3"/>
      <c r="BYF36" s="3"/>
      <c r="BYG36" s="3"/>
      <c r="BYH36" s="3"/>
      <c r="BYI36" s="3"/>
      <c r="BYJ36" s="3"/>
      <c r="BYK36" s="3"/>
      <c r="BYL36" s="3"/>
      <c r="BYM36" s="3"/>
      <c r="BYN36" s="3"/>
      <c r="BYO36" s="3"/>
      <c r="BYP36" s="3"/>
      <c r="BYQ36" s="3"/>
      <c r="BYR36" s="3"/>
      <c r="BYS36" s="3"/>
      <c r="BYT36" s="3"/>
      <c r="BYU36" s="3"/>
      <c r="BYV36" s="3"/>
      <c r="BYW36" s="3"/>
      <c r="BYX36" s="3"/>
      <c r="BYY36" s="3"/>
      <c r="BYZ36" s="3"/>
      <c r="BZA36" s="3"/>
      <c r="BZB36" s="3"/>
      <c r="BZC36" s="3"/>
      <c r="BZD36" s="3"/>
      <c r="BZE36" s="3"/>
      <c r="BZF36" s="3"/>
      <c r="BZG36" s="3"/>
      <c r="BZH36" s="3"/>
      <c r="BZI36" s="3"/>
      <c r="BZJ36" s="3"/>
      <c r="BZK36" s="3"/>
      <c r="BZL36" s="3"/>
      <c r="BZM36" s="3"/>
      <c r="BZN36" s="3"/>
      <c r="BZO36" s="3"/>
      <c r="BZP36" s="3"/>
      <c r="BZQ36" s="3"/>
      <c r="BZR36" s="3"/>
      <c r="BZS36" s="3"/>
      <c r="BZT36" s="3"/>
      <c r="BZU36" s="3"/>
      <c r="BZV36" s="3"/>
      <c r="BZW36" s="3"/>
      <c r="BZX36" s="3"/>
      <c r="BZY36" s="3"/>
      <c r="BZZ36" s="3"/>
      <c r="CAA36" s="3"/>
      <c r="CAB36" s="3"/>
      <c r="CAC36" s="3"/>
      <c r="CAD36" s="3"/>
      <c r="CAE36" s="3"/>
      <c r="CAF36" s="3"/>
      <c r="CAG36" s="3"/>
      <c r="CAH36" s="3"/>
      <c r="CAI36" s="3"/>
      <c r="CAJ36" s="3"/>
      <c r="CAK36" s="3"/>
      <c r="CAL36" s="3"/>
      <c r="CAM36" s="3"/>
      <c r="CAN36" s="3"/>
      <c r="CAO36" s="3"/>
      <c r="CAP36" s="3"/>
      <c r="CAQ36" s="3"/>
      <c r="CAR36" s="3"/>
      <c r="CAS36" s="3"/>
      <c r="CAT36" s="3"/>
      <c r="CAU36" s="3"/>
      <c r="CAV36" s="3"/>
      <c r="CAW36" s="3"/>
      <c r="CAX36" s="3"/>
      <c r="CAY36" s="3"/>
      <c r="CAZ36" s="3"/>
      <c r="CBA36" s="3"/>
      <c r="CBB36" s="3"/>
      <c r="CBC36" s="3"/>
      <c r="CBD36" s="3"/>
      <c r="CBE36" s="3"/>
      <c r="CBF36" s="3"/>
      <c r="CBG36" s="3"/>
      <c r="CBH36" s="3"/>
      <c r="CBI36" s="3"/>
      <c r="CBJ36" s="3"/>
      <c r="CBK36" s="3"/>
      <c r="CBL36" s="3"/>
      <c r="CBM36" s="3"/>
      <c r="CBN36" s="3"/>
      <c r="CBO36" s="3"/>
      <c r="CBP36" s="3"/>
      <c r="CBQ36" s="3"/>
      <c r="CBR36" s="3"/>
      <c r="CBS36" s="3"/>
      <c r="CBT36" s="3"/>
      <c r="CBU36" s="3"/>
      <c r="CBV36" s="3"/>
      <c r="CBW36" s="3"/>
      <c r="CBX36" s="3"/>
      <c r="CBY36" s="3"/>
      <c r="CBZ36" s="3"/>
      <c r="CCA36" s="3"/>
      <c r="CCB36" s="3"/>
      <c r="CCC36" s="3"/>
      <c r="CCD36" s="3"/>
      <c r="CCE36" s="3"/>
      <c r="CCF36" s="3"/>
      <c r="CCG36" s="3"/>
      <c r="CCH36" s="3"/>
      <c r="CCI36" s="3"/>
      <c r="CCJ36" s="3"/>
      <c r="CCK36" s="3"/>
      <c r="CCL36" s="3"/>
      <c r="CCM36" s="3"/>
      <c r="CCN36" s="3"/>
      <c r="CCO36" s="3"/>
      <c r="CCP36" s="3"/>
      <c r="CCQ36" s="3"/>
      <c r="CCR36" s="3"/>
      <c r="CCS36" s="3"/>
      <c r="CCT36" s="3"/>
      <c r="CCU36" s="3"/>
      <c r="CCV36" s="3"/>
      <c r="CCW36" s="3"/>
      <c r="CCX36" s="3"/>
      <c r="CCY36" s="3"/>
      <c r="CCZ36" s="3"/>
      <c r="CDA36" s="3"/>
      <c r="CDB36" s="3"/>
      <c r="CDC36" s="3"/>
      <c r="CDD36" s="3"/>
      <c r="CDE36" s="3"/>
      <c r="CDF36" s="3"/>
      <c r="CDG36" s="3"/>
      <c r="CDH36" s="3"/>
      <c r="CDI36" s="3"/>
      <c r="CDJ36" s="3"/>
      <c r="CDK36" s="3"/>
      <c r="CDL36" s="3"/>
      <c r="CDM36" s="3"/>
      <c r="CDN36" s="3"/>
      <c r="CDO36" s="3"/>
      <c r="CDP36" s="3"/>
      <c r="CDQ36" s="3"/>
      <c r="CDR36" s="3"/>
      <c r="CDS36" s="3"/>
      <c r="CDT36" s="3"/>
      <c r="CDU36" s="3"/>
      <c r="CDV36" s="3"/>
      <c r="CDW36" s="3"/>
      <c r="CDX36" s="3"/>
      <c r="CDY36" s="3"/>
      <c r="CDZ36" s="3"/>
      <c r="CEA36" s="3"/>
      <c r="CEB36" s="3"/>
      <c r="CEC36" s="3"/>
      <c r="CED36" s="3"/>
      <c r="CEE36" s="3"/>
      <c r="CEF36" s="3"/>
      <c r="CEG36" s="3"/>
      <c r="CEH36" s="3"/>
      <c r="CEI36" s="3"/>
      <c r="CEJ36" s="3"/>
      <c r="CEK36" s="3"/>
      <c r="CEL36" s="3"/>
      <c r="CEM36" s="3"/>
      <c r="CEN36" s="3"/>
      <c r="CEO36" s="3"/>
      <c r="CEP36" s="3"/>
      <c r="CEQ36" s="3"/>
      <c r="CER36" s="3"/>
      <c r="CES36" s="3"/>
      <c r="CET36" s="3"/>
      <c r="CEU36" s="3"/>
      <c r="CEV36" s="3"/>
      <c r="CEW36" s="3"/>
      <c r="CEX36" s="3"/>
      <c r="CEY36" s="3"/>
      <c r="CEZ36" s="3"/>
      <c r="CFA36" s="3"/>
      <c r="CFB36" s="3"/>
      <c r="CFC36" s="3"/>
      <c r="CFD36" s="3"/>
      <c r="CFE36" s="3"/>
      <c r="CFF36" s="3"/>
      <c r="CFG36" s="3"/>
      <c r="CFH36" s="3"/>
      <c r="CFI36" s="3"/>
      <c r="CFJ36" s="3"/>
      <c r="CFK36" s="3"/>
      <c r="CFL36" s="3"/>
      <c r="CFM36" s="3"/>
      <c r="CFN36" s="3"/>
      <c r="CFO36" s="3"/>
      <c r="CFP36" s="3"/>
      <c r="CFQ36" s="3"/>
      <c r="CFR36" s="3"/>
      <c r="CFS36" s="3"/>
      <c r="CFT36" s="3"/>
      <c r="CFU36" s="3"/>
      <c r="CFV36" s="3"/>
      <c r="CFW36" s="3"/>
      <c r="CFX36" s="3"/>
      <c r="CFY36" s="3"/>
      <c r="CFZ36" s="3"/>
      <c r="CGA36" s="3"/>
      <c r="CGB36" s="3"/>
      <c r="CGC36" s="3"/>
      <c r="CGD36" s="3"/>
      <c r="CGE36" s="3"/>
      <c r="CGF36" s="3"/>
      <c r="CGG36" s="3"/>
      <c r="CGH36" s="3"/>
      <c r="CGI36" s="3"/>
      <c r="CGJ36" s="3"/>
      <c r="CGK36" s="3"/>
      <c r="CGL36" s="3"/>
      <c r="CGM36" s="3"/>
      <c r="CGN36" s="3"/>
      <c r="CGO36" s="3"/>
      <c r="CGP36" s="3"/>
      <c r="CGQ36" s="3"/>
      <c r="CGR36" s="3"/>
      <c r="CGS36" s="3"/>
      <c r="CGT36" s="3"/>
      <c r="CGU36" s="3"/>
      <c r="CGV36" s="3"/>
      <c r="CGW36" s="3"/>
      <c r="CGX36" s="3"/>
      <c r="CGY36" s="3"/>
      <c r="CGZ36" s="3"/>
      <c r="CHA36" s="3"/>
      <c r="CHB36" s="3"/>
      <c r="CHC36" s="3"/>
      <c r="CHD36" s="3"/>
      <c r="CHE36" s="3"/>
      <c r="CHF36" s="3"/>
      <c r="CHG36" s="3"/>
      <c r="CHH36" s="3"/>
      <c r="CHI36" s="3"/>
      <c r="CHJ36" s="3"/>
      <c r="CHK36" s="3"/>
      <c r="CHL36" s="3"/>
      <c r="CHM36" s="3"/>
      <c r="CHN36" s="3"/>
      <c r="CHO36" s="3"/>
      <c r="CHP36" s="3"/>
      <c r="CHQ36" s="3"/>
      <c r="CHR36" s="3"/>
      <c r="CHS36" s="3"/>
      <c r="CHT36" s="3"/>
      <c r="CHU36" s="3"/>
      <c r="CHV36" s="3"/>
      <c r="CHW36" s="3"/>
      <c r="CHX36" s="3"/>
      <c r="CHY36" s="3"/>
      <c r="CHZ36" s="3"/>
      <c r="CIA36" s="3"/>
      <c r="CIB36" s="3"/>
      <c r="CIC36" s="3"/>
      <c r="CID36" s="3"/>
      <c r="CIE36" s="3"/>
      <c r="CIF36" s="3"/>
      <c r="CIG36" s="3"/>
      <c r="CIH36" s="3"/>
      <c r="CII36" s="3"/>
      <c r="CIJ36" s="3"/>
      <c r="CIK36" s="3"/>
      <c r="CIL36" s="3"/>
      <c r="CIM36" s="3"/>
      <c r="CIN36" s="3"/>
      <c r="CIO36" s="3"/>
      <c r="CIP36" s="3"/>
      <c r="CIQ36" s="3"/>
      <c r="CIR36" s="3"/>
      <c r="CIS36" s="3"/>
      <c r="CIT36" s="3"/>
      <c r="CIU36" s="3"/>
      <c r="CIV36" s="3"/>
      <c r="CIW36" s="3"/>
      <c r="CIX36" s="3"/>
      <c r="CIY36" s="3"/>
      <c r="CIZ36" s="3"/>
      <c r="CJA36" s="3"/>
      <c r="CJB36" s="3"/>
      <c r="CJC36" s="3"/>
      <c r="CJD36" s="3"/>
      <c r="CJE36" s="3"/>
      <c r="CJF36" s="3"/>
      <c r="CJG36" s="3"/>
      <c r="CJH36" s="3"/>
      <c r="CJI36" s="3"/>
      <c r="CJJ36" s="3"/>
      <c r="CJK36" s="3"/>
      <c r="CJL36" s="3"/>
      <c r="CJM36" s="3"/>
      <c r="CJN36" s="3"/>
      <c r="CJO36" s="3"/>
      <c r="CJP36" s="3"/>
      <c r="CJQ36" s="3"/>
      <c r="CJR36" s="3"/>
      <c r="CJS36" s="3"/>
      <c r="CJT36" s="3"/>
      <c r="CJU36" s="3"/>
      <c r="CJV36" s="3"/>
      <c r="CJW36" s="3"/>
      <c r="CJX36" s="3"/>
      <c r="CJY36" s="3"/>
      <c r="CJZ36" s="3"/>
      <c r="CKA36" s="3"/>
      <c r="CKB36" s="3"/>
      <c r="CKC36" s="3"/>
      <c r="CKD36" s="3"/>
      <c r="CKE36" s="3"/>
      <c r="CKF36" s="3"/>
      <c r="CKG36" s="3"/>
      <c r="CKH36" s="3"/>
      <c r="CKI36" s="3"/>
      <c r="CKJ36" s="3"/>
      <c r="CKK36" s="3"/>
      <c r="CKL36" s="3"/>
      <c r="CKM36" s="3"/>
      <c r="CKN36" s="3"/>
      <c r="CKO36" s="3"/>
      <c r="CKP36" s="3"/>
      <c r="CKQ36" s="3"/>
      <c r="CKR36" s="3"/>
      <c r="CKS36" s="3"/>
      <c r="CKT36" s="3"/>
      <c r="CKU36" s="3"/>
      <c r="CKV36" s="3"/>
      <c r="CKW36" s="3"/>
      <c r="CKX36" s="3"/>
      <c r="CKY36" s="3"/>
      <c r="CKZ36" s="3"/>
      <c r="CLA36" s="3"/>
      <c r="CLB36" s="3"/>
      <c r="CLC36" s="3"/>
      <c r="CLD36" s="3"/>
      <c r="CLE36" s="3"/>
      <c r="CLF36" s="3"/>
      <c r="CLG36" s="3"/>
      <c r="CLH36" s="3"/>
      <c r="CLI36" s="3"/>
      <c r="CLJ36" s="3"/>
      <c r="CLK36" s="3"/>
      <c r="CLL36" s="3"/>
      <c r="CLM36" s="3"/>
      <c r="CLN36" s="3"/>
      <c r="CLO36" s="3"/>
      <c r="CLP36" s="3"/>
      <c r="CLQ36" s="3"/>
      <c r="CLR36" s="3"/>
      <c r="CLS36" s="3"/>
      <c r="CLT36" s="3"/>
      <c r="CLU36" s="3"/>
      <c r="CLV36" s="3"/>
      <c r="CLW36" s="3"/>
      <c r="CLX36" s="3"/>
      <c r="CLY36" s="3"/>
      <c r="CLZ36" s="3"/>
      <c r="CMA36" s="3"/>
      <c r="CMB36" s="3"/>
      <c r="CMC36" s="3"/>
      <c r="CMD36" s="3"/>
      <c r="CME36" s="3"/>
      <c r="CMF36" s="3"/>
      <c r="CMG36" s="3"/>
      <c r="CMH36" s="3"/>
      <c r="CMI36" s="3"/>
      <c r="CMJ36" s="3"/>
      <c r="CMK36" s="3"/>
      <c r="CML36" s="3"/>
      <c r="CMM36" s="3"/>
      <c r="CMN36" s="3"/>
      <c r="CMO36" s="3"/>
      <c r="CMP36" s="3"/>
      <c r="CMQ36" s="3"/>
      <c r="CMR36" s="3"/>
      <c r="CMS36" s="3"/>
      <c r="CMT36" s="3"/>
      <c r="CMU36" s="3"/>
      <c r="CMV36" s="3"/>
      <c r="CMW36" s="3"/>
      <c r="CMX36" s="3"/>
      <c r="CMY36" s="3"/>
      <c r="CMZ36" s="3"/>
      <c r="CNA36" s="3"/>
      <c r="CNB36" s="3"/>
      <c r="CNC36" s="3"/>
      <c r="CND36" s="3"/>
      <c r="CNE36" s="3"/>
      <c r="CNF36" s="3"/>
      <c r="CNG36" s="3"/>
      <c r="CNH36" s="3"/>
      <c r="CNI36" s="3"/>
      <c r="CNJ36" s="3"/>
      <c r="CNK36" s="3"/>
      <c r="CNL36" s="3"/>
      <c r="CNM36" s="3"/>
      <c r="CNN36" s="3"/>
      <c r="CNO36" s="3"/>
      <c r="CNP36" s="3"/>
      <c r="CNQ36" s="3"/>
      <c r="CNR36" s="3"/>
      <c r="CNS36" s="3"/>
      <c r="CNT36" s="3"/>
      <c r="CNU36" s="3"/>
      <c r="CNV36" s="3"/>
      <c r="CNW36" s="3"/>
      <c r="CNX36" s="3"/>
      <c r="CNY36" s="3"/>
      <c r="CNZ36" s="3"/>
      <c r="COA36" s="3"/>
      <c r="COB36" s="3"/>
      <c r="COC36" s="3"/>
      <c r="COD36" s="3"/>
      <c r="COE36" s="3"/>
      <c r="COF36" s="3"/>
      <c r="COG36" s="3"/>
      <c r="COH36" s="3"/>
      <c r="COI36" s="3"/>
      <c r="COJ36" s="3"/>
      <c r="COK36" s="3"/>
      <c r="COL36" s="3"/>
      <c r="COM36" s="3"/>
      <c r="CON36" s="3"/>
      <c r="COO36" s="3"/>
      <c r="COP36" s="3"/>
      <c r="COQ36" s="3"/>
      <c r="COR36" s="3"/>
      <c r="COS36" s="3"/>
      <c r="COT36" s="3"/>
      <c r="COU36" s="3"/>
      <c r="COV36" s="3"/>
      <c r="COW36" s="3"/>
      <c r="COX36" s="3"/>
      <c r="COY36" s="3"/>
      <c r="COZ36" s="3"/>
      <c r="CPA36" s="3"/>
      <c r="CPB36" s="3"/>
      <c r="CPC36" s="3"/>
      <c r="CPD36" s="3"/>
      <c r="CPE36" s="3"/>
      <c r="CPF36" s="3"/>
      <c r="CPG36" s="3"/>
      <c r="CPH36" s="3"/>
      <c r="CPI36" s="3"/>
      <c r="CPJ36" s="3"/>
      <c r="CPK36" s="3"/>
      <c r="CPL36" s="3"/>
      <c r="CPM36" s="3"/>
      <c r="CPN36" s="3"/>
      <c r="CPO36" s="3"/>
      <c r="CPP36" s="3"/>
      <c r="CPQ36" s="3"/>
      <c r="CPR36" s="3"/>
      <c r="CPS36" s="3"/>
      <c r="CPT36" s="3"/>
      <c r="CPU36" s="3"/>
      <c r="CPV36" s="3"/>
      <c r="CPW36" s="3"/>
      <c r="CPX36" s="3"/>
      <c r="CPY36" s="3"/>
      <c r="CPZ36" s="3"/>
      <c r="CQA36" s="3"/>
      <c r="CQB36" s="3"/>
      <c r="CQC36" s="3"/>
      <c r="CQD36" s="3"/>
      <c r="CQE36" s="3"/>
      <c r="CQF36" s="3"/>
      <c r="CQG36" s="3"/>
      <c r="CQH36" s="3"/>
      <c r="CQI36" s="3"/>
      <c r="CQJ36" s="3"/>
      <c r="CQK36" s="3"/>
      <c r="CQL36" s="3"/>
      <c r="CQM36" s="3"/>
      <c r="CQN36" s="3"/>
      <c r="CQO36" s="3"/>
      <c r="CQP36" s="3"/>
      <c r="CQQ36" s="3"/>
      <c r="CQR36" s="3"/>
      <c r="CQS36" s="3"/>
      <c r="CQT36" s="3"/>
      <c r="CQU36" s="3"/>
      <c r="CQV36" s="3"/>
      <c r="CQW36" s="3"/>
      <c r="CQX36" s="3"/>
      <c r="CQY36" s="3"/>
      <c r="CQZ36" s="3"/>
      <c r="CRA36" s="3"/>
      <c r="CRB36" s="3"/>
      <c r="CRC36" s="3"/>
      <c r="CRD36" s="3"/>
      <c r="CRE36" s="3"/>
      <c r="CRF36" s="3"/>
      <c r="CRG36" s="3"/>
      <c r="CRH36" s="3"/>
      <c r="CRI36" s="3"/>
      <c r="CRJ36" s="3"/>
      <c r="CRK36" s="3"/>
      <c r="CRL36" s="3"/>
      <c r="CRM36" s="3"/>
      <c r="CRN36" s="3"/>
      <c r="CRO36" s="3"/>
      <c r="CRP36" s="3"/>
      <c r="CRQ36" s="3"/>
      <c r="CRR36" s="3"/>
      <c r="CRS36" s="3"/>
      <c r="CRT36" s="3"/>
      <c r="CRU36" s="3"/>
      <c r="CRV36" s="3"/>
      <c r="CRW36" s="3"/>
      <c r="CRX36" s="3"/>
      <c r="CRY36" s="3"/>
      <c r="CRZ36" s="3"/>
      <c r="CSA36" s="3"/>
      <c r="CSB36" s="3"/>
      <c r="CSC36" s="3"/>
      <c r="CSD36" s="3"/>
      <c r="CSE36" s="3"/>
      <c r="CSF36" s="3"/>
      <c r="CSG36" s="3"/>
      <c r="CSH36" s="3"/>
      <c r="CSI36" s="3"/>
      <c r="CSJ36" s="3"/>
      <c r="CSK36" s="3"/>
      <c r="CSL36" s="3"/>
      <c r="CSM36" s="3"/>
      <c r="CSN36" s="3"/>
      <c r="CSO36" s="3"/>
      <c r="CSP36" s="3"/>
      <c r="CSQ36" s="3"/>
      <c r="CSR36" s="3"/>
      <c r="CSS36" s="3"/>
      <c r="CST36" s="3"/>
      <c r="CSU36" s="3"/>
      <c r="CSV36" s="3"/>
      <c r="CSW36" s="3"/>
      <c r="CSX36" s="3"/>
      <c r="CSY36" s="3"/>
      <c r="CSZ36" s="3"/>
      <c r="CTA36" s="3"/>
      <c r="CTB36" s="3"/>
      <c r="CTC36" s="3"/>
      <c r="CTD36" s="3"/>
      <c r="CTE36" s="3"/>
      <c r="CTF36" s="3"/>
      <c r="CTG36" s="3"/>
      <c r="CTH36" s="3"/>
      <c r="CTI36" s="3"/>
      <c r="CTJ36" s="3"/>
      <c r="CTK36" s="3"/>
      <c r="CTL36" s="3"/>
      <c r="CTM36" s="3"/>
      <c r="CTN36" s="3"/>
      <c r="CTO36" s="3"/>
      <c r="CTP36" s="3"/>
      <c r="CTQ36" s="3"/>
      <c r="CTR36" s="3"/>
      <c r="CTS36" s="3"/>
      <c r="CTT36" s="3"/>
      <c r="CTU36" s="3"/>
      <c r="CTV36" s="3"/>
      <c r="CTW36" s="3"/>
      <c r="CTX36" s="3"/>
      <c r="CTY36" s="3"/>
      <c r="CTZ36" s="3"/>
      <c r="CUA36" s="3"/>
      <c r="CUB36" s="3"/>
      <c r="CUC36" s="3"/>
      <c r="CUD36" s="3"/>
      <c r="CUE36" s="3"/>
      <c r="CUF36" s="3"/>
      <c r="CUG36" s="3"/>
      <c r="CUH36" s="3"/>
      <c r="CUI36" s="3"/>
      <c r="CUJ36" s="3"/>
      <c r="CUK36" s="3"/>
      <c r="CUL36" s="3"/>
      <c r="CUM36" s="3"/>
      <c r="CUN36" s="3"/>
      <c r="CUO36" s="3"/>
      <c r="CUP36" s="3"/>
      <c r="CUQ36" s="3"/>
      <c r="CUR36" s="3"/>
      <c r="CUS36" s="3"/>
      <c r="CUT36" s="3"/>
      <c r="CUU36" s="3"/>
      <c r="CUV36" s="3"/>
      <c r="CUW36" s="3"/>
      <c r="CUX36" s="3"/>
      <c r="CUY36" s="3"/>
      <c r="CUZ36" s="3"/>
      <c r="CVA36" s="3"/>
      <c r="CVB36" s="3"/>
      <c r="CVC36" s="3"/>
      <c r="CVD36" s="3"/>
      <c r="CVE36" s="3"/>
      <c r="CVF36" s="3"/>
      <c r="CVG36" s="3"/>
      <c r="CVH36" s="3"/>
      <c r="CVI36" s="3"/>
      <c r="CVJ36" s="3"/>
      <c r="CVK36" s="3"/>
      <c r="CVL36" s="3"/>
      <c r="CVM36" s="3"/>
      <c r="CVN36" s="3"/>
      <c r="CVO36" s="3"/>
      <c r="CVP36" s="3"/>
      <c r="CVQ36" s="3"/>
      <c r="CVR36" s="3"/>
      <c r="CVS36" s="3"/>
      <c r="CVT36" s="3"/>
      <c r="CVU36" s="3"/>
      <c r="CVV36" s="3"/>
      <c r="CVW36" s="3"/>
      <c r="CVX36" s="3"/>
      <c r="CVY36" s="3"/>
      <c r="CVZ36" s="3"/>
      <c r="CWA36" s="3"/>
      <c r="CWB36" s="3"/>
      <c r="CWC36" s="3"/>
      <c r="CWD36" s="3"/>
      <c r="CWE36" s="3"/>
      <c r="CWF36" s="3"/>
      <c r="CWG36" s="3"/>
      <c r="CWH36" s="3"/>
      <c r="CWI36" s="3"/>
      <c r="CWJ36" s="3"/>
      <c r="CWK36" s="3"/>
      <c r="CWL36" s="3"/>
      <c r="CWM36" s="3"/>
      <c r="CWN36" s="3"/>
      <c r="CWO36" s="3"/>
      <c r="CWP36" s="3"/>
      <c r="CWQ36" s="3"/>
      <c r="CWR36" s="3"/>
      <c r="CWS36" s="3"/>
      <c r="CWT36" s="3"/>
      <c r="CWU36" s="3"/>
      <c r="CWV36" s="3"/>
      <c r="CWW36" s="3"/>
      <c r="CWX36" s="3"/>
      <c r="CWY36" s="3"/>
      <c r="CWZ36" s="3"/>
      <c r="CXA36" s="3"/>
      <c r="CXB36" s="3"/>
      <c r="CXC36" s="3"/>
      <c r="CXD36" s="3"/>
      <c r="CXE36" s="3"/>
      <c r="CXF36" s="3"/>
      <c r="CXG36" s="3"/>
      <c r="CXH36" s="3"/>
      <c r="CXI36" s="3"/>
      <c r="CXJ36" s="3"/>
      <c r="CXK36" s="3"/>
      <c r="CXL36" s="3"/>
      <c r="CXM36" s="3"/>
      <c r="CXN36" s="3"/>
      <c r="CXO36" s="3"/>
      <c r="CXP36" s="3"/>
      <c r="CXQ36" s="3"/>
      <c r="CXR36" s="3"/>
      <c r="CXS36" s="3"/>
      <c r="CXT36" s="3"/>
      <c r="CXU36" s="3"/>
      <c r="CXV36" s="3"/>
      <c r="CXW36" s="3"/>
      <c r="CXX36" s="3"/>
      <c r="CXY36" s="3"/>
      <c r="CXZ36" s="3"/>
      <c r="CYA36" s="3"/>
      <c r="CYB36" s="3"/>
      <c r="CYC36" s="3"/>
      <c r="CYD36" s="3"/>
      <c r="CYE36" s="3"/>
      <c r="CYF36" s="3"/>
      <c r="CYG36" s="3"/>
      <c r="CYH36" s="3"/>
      <c r="CYI36" s="3"/>
      <c r="CYJ36" s="3"/>
      <c r="CYK36" s="3"/>
      <c r="CYL36" s="3"/>
      <c r="CYM36" s="3"/>
      <c r="CYN36" s="3"/>
      <c r="CYO36" s="3"/>
      <c r="CYP36" s="3"/>
      <c r="CYQ36" s="3"/>
      <c r="CYR36" s="3"/>
      <c r="CYS36" s="3"/>
      <c r="CYT36" s="3"/>
      <c r="CYU36" s="3"/>
      <c r="CYV36" s="3"/>
      <c r="CYW36" s="3"/>
      <c r="CYX36" s="3"/>
      <c r="CYY36" s="3"/>
      <c r="CYZ36" s="3"/>
      <c r="CZA36" s="3"/>
      <c r="CZB36" s="3"/>
      <c r="CZC36" s="3"/>
      <c r="CZD36" s="3"/>
      <c r="CZE36" s="3"/>
      <c r="CZF36" s="3"/>
      <c r="CZG36" s="3"/>
      <c r="CZH36" s="3"/>
      <c r="CZI36" s="3"/>
      <c r="CZJ36" s="3"/>
      <c r="CZK36" s="3"/>
      <c r="CZL36" s="3"/>
      <c r="CZM36" s="3"/>
      <c r="CZN36" s="3"/>
      <c r="CZO36" s="3"/>
      <c r="CZP36" s="3"/>
      <c r="CZQ36" s="3"/>
      <c r="CZR36" s="3"/>
      <c r="CZS36" s="3"/>
      <c r="CZT36" s="3"/>
      <c r="CZU36" s="3"/>
      <c r="CZV36" s="3"/>
      <c r="CZW36" s="3"/>
      <c r="CZX36" s="3"/>
      <c r="CZY36" s="3"/>
      <c r="CZZ36" s="3"/>
      <c r="DAA36" s="3"/>
      <c r="DAB36" s="3"/>
      <c r="DAC36" s="3"/>
      <c r="DAD36" s="3"/>
      <c r="DAE36" s="3"/>
      <c r="DAF36" s="3"/>
      <c r="DAG36" s="3"/>
      <c r="DAH36" s="3"/>
      <c r="DAI36" s="3"/>
      <c r="DAJ36" s="3"/>
      <c r="DAK36" s="3"/>
      <c r="DAL36" s="3"/>
      <c r="DAM36" s="3"/>
      <c r="DAN36" s="3"/>
      <c r="DAO36" s="3"/>
      <c r="DAP36" s="3"/>
      <c r="DAQ36" s="3"/>
      <c r="DAR36" s="3"/>
      <c r="DAS36" s="3"/>
      <c r="DAT36" s="3"/>
      <c r="DAU36" s="3"/>
      <c r="DAV36" s="3"/>
      <c r="DAW36" s="3"/>
      <c r="DAX36" s="3"/>
      <c r="DAY36" s="3"/>
      <c r="DAZ36" s="3"/>
      <c r="DBA36" s="3"/>
      <c r="DBB36" s="3"/>
      <c r="DBC36" s="3"/>
      <c r="DBD36" s="3"/>
      <c r="DBE36" s="3"/>
      <c r="DBF36" s="3"/>
      <c r="DBG36" s="3"/>
      <c r="DBH36" s="3"/>
      <c r="DBI36" s="3"/>
      <c r="DBJ36" s="3"/>
      <c r="DBK36" s="3"/>
      <c r="DBL36" s="3"/>
      <c r="DBM36" s="3"/>
      <c r="DBN36" s="3"/>
      <c r="DBO36" s="3"/>
      <c r="DBP36" s="3"/>
      <c r="DBQ36" s="3"/>
      <c r="DBR36" s="3"/>
      <c r="DBS36" s="3"/>
      <c r="DBT36" s="3"/>
      <c r="DBU36" s="3"/>
      <c r="DBV36" s="3"/>
      <c r="DBW36" s="3"/>
      <c r="DBX36" s="3"/>
      <c r="DBY36" s="3"/>
      <c r="DBZ36" s="3"/>
      <c r="DCA36" s="3"/>
      <c r="DCB36" s="3"/>
      <c r="DCC36" s="3"/>
      <c r="DCD36" s="3"/>
      <c r="DCE36" s="3"/>
      <c r="DCF36" s="3"/>
      <c r="DCG36" s="3"/>
      <c r="DCH36" s="3"/>
      <c r="DCI36" s="3"/>
      <c r="DCJ36" s="3"/>
      <c r="DCK36" s="3"/>
      <c r="DCL36" s="3"/>
      <c r="DCM36" s="3"/>
      <c r="DCN36" s="3"/>
      <c r="DCO36" s="3"/>
      <c r="DCP36" s="3"/>
      <c r="DCQ36" s="3"/>
      <c r="DCR36" s="3"/>
      <c r="DCS36" s="3"/>
      <c r="DCT36" s="3"/>
      <c r="DCU36" s="3"/>
      <c r="DCV36" s="3"/>
      <c r="DCW36" s="3"/>
      <c r="DCX36" s="3"/>
      <c r="DCY36" s="3"/>
      <c r="DCZ36" s="3"/>
      <c r="DDA36" s="3"/>
      <c r="DDB36" s="3"/>
      <c r="DDC36" s="3"/>
      <c r="DDD36" s="3"/>
      <c r="DDE36" s="3"/>
      <c r="DDF36" s="3"/>
      <c r="DDG36" s="3"/>
      <c r="DDH36" s="3"/>
      <c r="DDI36" s="3"/>
      <c r="DDJ36" s="3"/>
      <c r="DDK36" s="3"/>
      <c r="DDL36" s="3"/>
      <c r="DDM36" s="3"/>
      <c r="DDN36" s="3"/>
      <c r="DDO36" s="3"/>
      <c r="DDP36" s="3"/>
      <c r="DDQ36" s="3"/>
      <c r="DDR36" s="3"/>
      <c r="DDS36" s="3"/>
      <c r="DDT36" s="3"/>
      <c r="DDU36" s="3"/>
      <c r="DDV36" s="3"/>
      <c r="DDW36" s="3"/>
      <c r="DDX36" s="3"/>
      <c r="DDY36" s="3"/>
      <c r="DDZ36" s="3"/>
      <c r="DEA36" s="3"/>
      <c r="DEB36" s="3"/>
      <c r="DEC36" s="3"/>
      <c r="DED36" s="3"/>
      <c r="DEE36" s="3"/>
      <c r="DEF36" s="3"/>
      <c r="DEG36" s="3"/>
      <c r="DEH36" s="3"/>
      <c r="DEI36" s="3"/>
      <c r="DEJ36" s="3"/>
      <c r="DEK36" s="3"/>
      <c r="DEL36" s="3"/>
      <c r="DEM36" s="3"/>
      <c r="DEN36" s="3"/>
      <c r="DEO36" s="3"/>
      <c r="DEP36" s="3"/>
      <c r="DEQ36" s="3"/>
      <c r="DER36" s="3"/>
      <c r="DES36" s="3"/>
      <c r="DET36" s="3"/>
      <c r="DEU36" s="3"/>
      <c r="DEV36" s="3"/>
      <c r="DEW36" s="3"/>
      <c r="DEX36" s="3"/>
      <c r="DEY36" s="3"/>
      <c r="DEZ36" s="3"/>
      <c r="DFA36" s="3"/>
      <c r="DFB36" s="3"/>
      <c r="DFC36" s="3"/>
      <c r="DFD36" s="3"/>
      <c r="DFE36" s="3"/>
      <c r="DFF36" s="3"/>
      <c r="DFG36" s="3"/>
      <c r="DFH36" s="3"/>
      <c r="DFI36" s="3"/>
      <c r="DFJ36" s="3"/>
      <c r="DFK36" s="3"/>
      <c r="DFL36" s="3"/>
      <c r="DFM36" s="3"/>
      <c r="DFN36" s="3"/>
      <c r="DFO36" s="3"/>
      <c r="DFP36" s="3"/>
      <c r="DFQ36" s="3"/>
      <c r="DFR36" s="3"/>
      <c r="DFS36" s="3"/>
      <c r="DFT36" s="3"/>
      <c r="DFU36" s="3"/>
      <c r="DFV36" s="3"/>
      <c r="DFW36" s="3"/>
      <c r="DFX36" s="3"/>
      <c r="DFY36" s="3"/>
      <c r="DFZ36" s="3"/>
      <c r="DGA36" s="3"/>
      <c r="DGB36" s="3"/>
      <c r="DGC36" s="3"/>
      <c r="DGD36" s="3"/>
      <c r="DGE36" s="3"/>
      <c r="DGF36" s="3"/>
      <c r="DGG36" s="3"/>
      <c r="DGH36" s="3"/>
      <c r="DGI36" s="3"/>
      <c r="DGJ36" s="3"/>
      <c r="DGK36" s="3"/>
      <c r="DGL36" s="3"/>
      <c r="DGM36" s="3"/>
      <c r="DGN36" s="3"/>
      <c r="DGO36" s="3"/>
      <c r="DGP36" s="3"/>
      <c r="DGQ36" s="3"/>
      <c r="DGR36" s="3"/>
      <c r="DGS36" s="3"/>
      <c r="DGT36" s="3"/>
      <c r="DGU36" s="3"/>
      <c r="DGV36" s="3"/>
      <c r="DGW36" s="3"/>
      <c r="DGX36" s="3"/>
      <c r="DGY36" s="3"/>
      <c r="DGZ36" s="3"/>
      <c r="DHA36" s="3"/>
      <c r="DHB36" s="3"/>
      <c r="DHC36" s="3"/>
      <c r="DHD36" s="3"/>
      <c r="DHE36" s="3"/>
      <c r="DHF36" s="3"/>
      <c r="DHG36" s="3"/>
      <c r="DHH36" s="3"/>
      <c r="DHI36" s="3"/>
      <c r="DHJ36" s="3"/>
      <c r="DHK36" s="3"/>
      <c r="DHL36" s="3"/>
      <c r="DHM36" s="3"/>
      <c r="DHN36" s="3"/>
      <c r="DHO36" s="3"/>
      <c r="DHP36" s="3"/>
      <c r="DHQ36" s="3"/>
      <c r="DHR36" s="3"/>
      <c r="DHS36" s="3"/>
      <c r="DHT36" s="3"/>
      <c r="DHU36" s="3"/>
      <c r="DHV36" s="3"/>
      <c r="DHW36" s="3"/>
      <c r="DHX36" s="3"/>
      <c r="DHY36" s="3"/>
      <c r="DHZ36" s="3"/>
      <c r="DIA36" s="3"/>
      <c r="DIB36" s="3"/>
      <c r="DIC36" s="3"/>
      <c r="DID36" s="3"/>
      <c r="DIE36" s="3"/>
      <c r="DIF36" s="3"/>
      <c r="DIG36" s="3"/>
      <c r="DIH36" s="3"/>
      <c r="DII36" s="3"/>
      <c r="DIJ36" s="3"/>
      <c r="DIK36" s="3"/>
      <c r="DIL36" s="3"/>
      <c r="DIM36" s="3"/>
      <c r="DIN36" s="3"/>
      <c r="DIO36" s="3"/>
      <c r="DIP36" s="3"/>
      <c r="DIQ36" s="3"/>
      <c r="DIR36" s="3"/>
      <c r="DIS36" s="3"/>
      <c r="DIT36" s="3"/>
      <c r="DIU36" s="3"/>
      <c r="DIV36" s="3"/>
      <c r="DIW36" s="3"/>
      <c r="DIX36" s="3"/>
      <c r="DIY36" s="3"/>
      <c r="DIZ36" s="3"/>
      <c r="DJA36" s="3"/>
      <c r="DJB36" s="3"/>
      <c r="DJC36" s="3"/>
      <c r="DJD36" s="3"/>
      <c r="DJE36" s="3"/>
      <c r="DJF36" s="3"/>
      <c r="DJG36" s="3"/>
      <c r="DJH36" s="3"/>
      <c r="DJI36" s="3"/>
      <c r="DJJ36" s="3"/>
      <c r="DJK36" s="3"/>
      <c r="DJL36" s="3"/>
      <c r="DJM36" s="3"/>
      <c r="DJN36" s="3"/>
      <c r="DJO36" s="3"/>
      <c r="DJP36" s="3"/>
      <c r="DJQ36" s="3"/>
      <c r="DJR36" s="3"/>
      <c r="DJS36" s="3"/>
      <c r="DJT36" s="3"/>
      <c r="DJU36" s="3"/>
      <c r="DJV36" s="3"/>
      <c r="DJW36" s="3"/>
      <c r="DJX36" s="3"/>
      <c r="DJY36" s="3"/>
      <c r="DJZ36" s="3"/>
      <c r="DKA36" s="3"/>
      <c r="DKB36" s="3"/>
      <c r="DKC36" s="3"/>
      <c r="DKD36" s="3"/>
      <c r="DKE36" s="3"/>
      <c r="DKF36" s="3"/>
      <c r="DKG36" s="3"/>
      <c r="DKH36" s="3"/>
      <c r="DKI36" s="3"/>
      <c r="DKJ36" s="3"/>
      <c r="DKK36" s="3"/>
      <c r="DKL36" s="3"/>
      <c r="DKM36" s="3"/>
      <c r="DKN36" s="3"/>
      <c r="DKO36" s="3"/>
      <c r="DKP36" s="3"/>
      <c r="DKQ36" s="3"/>
      <c r="DKR36" s="3"/>
      <c r="DKS36" s="3"/>
      <c r="DKT36" s="3"/>
      <c r="DKU36" s="3"/>
      <c r="DKV36" s="3"/>
      <c r="DKW36" s="3"/>
      <c r="DKX36" s="3"/>
      <c r="DKY36" s="3"/>
      <c r="DKZ36" s="3"/>
      <c r="DLA36" s="3"/>
      <c r="DLB36" s="3"/>
      <c r="DLC36" s="3"/>
      <c r="DLD36" s="3"/>
      <c r="DLE36" s="3"/>
      <c r="DLF36" s="3"/>
      <c r="DLG36" s="3"/>
      <c r="DLH36" s="3"/>
      <c r="DLI36" s="3"/>
      <c r="DLJ36" s="3"/>
      <c r="DLK36" s="3"/>
      <c r="DLL36" s="3"/>
      <c r="DLM36" s="3"/>
      <c r="DLN36" s="3"/>
      <c r="DLO36" s="3"/>
      <c r="DLP36" s="3"/>
      <c r="DLQ36" s="3"/>
      <c r="DLR36" s="3"/>
      <c r="DLS36" s="3"/>
      <c r="DLT36" s="3"/>
      <c r="DLU36" s="3"/>
      <c r="DLV36" s="3"/>
      <c r="DLW36" s="3"/>
      <c r="DLX36" s="3"/>
      <c r="DLY36" s="3"/>
      <c r="DLZ36" s="3"/>
      <c r="DMA36" s="3"/>
      <c r="DMB36" s="3"/>
      <c r="DMC36" s="3"/>
      <c r="DMD36" s="3"/>
      <c r="DME36" s="3"/>
      <c r="DMF36" s="3"/>
      <c r="DMG36" s="3"/>
      <c r="DMH36" s="3"/>
      <c r="DMI36" s="3"/>
      <c r="DMJ36" s="3"/>
      <c r="DMK36" s="3"/>
      <c r="DML36" s="3"/>
      <c r="DMM36" s="3"/>
      <c r="DMN36" s="3"/>
      <c r="DMO36" s="3"/>
      <c r="DMP36" s="3"/>
      <c r="DMQ36" s="3"/>
      <c r="DMR36" s="3"/>
      <c r="DMS36" s="3"/>
      <c r="DMT36" s="3"/>
      <c r="DMU36" s="3"/>
      <c r="DMV36" s="3"/>
      <c r="DMW36" s="3"/>
      <c r="DMX36" s="3"/>
      <c r="DMY36" s="3"/>
      <c r="DMZ36" s="3"/>
      <c r="DNA36" s="3"/>
      <c r="DNB36" s="3"/>
      <c r="DNC36" s="3"/>
      <c r="DND36" s="3"/>
      <c r="DNE36" s="3"/>
      <c r="DNF36" s="3"/>
      <c r="DNG36" s="3"/>
      <c r="DNH36" s="3"/>
      <c r="DNI36" s="3"/>
      <c r="DNJ36" s="3"/>
      <c r="DNK36" s="3"/>
      <c r="DNL36" s="3"/>
      <c r="DNM36" s="3"/>
      <c r="DNN36" s="3"/>
      <c r="DNO36" s="3"/>
      <c r="DNP36" s="3"/>
      <c r="DNQ36" s="3"/>
      <c r="DNR36" s="3"/>
      <c r="DNS36" s="3"/>
      <c r="DNT36" s="3"/>
      <c r="DNU36" s="3"/>
      <c r="DNV36" s="3"/>
      <c r="DNW36" s="3"/>
      <c r="DNX36" s="3"/>
      <c r="DNY36" s="3"/>
      <c r="DNZ36" s="3"/>
      <c r="DOA36" s="3"/>
      <c r="DOB36" s="3"/>
      <c r="DOC36" s="3"/>
      <c r="DOD36" s="3"/>
      <c r="DOE36" s="3"/>
      <c r="DOF36" s="3"/>
      <c r="DOG36" s="3"/>
      <c r="DOH36" s="3"/>
      <c r="DOI36" s="3"/>
      <c r="DOJ36" s="3"/>
      <c r="DOK36" s="3"/>
      <c r="DOL36" s="3"/>
      <c r="DOM36" s="3"/>
      <c r="DON36" s="3"/>
      <c r="DOO36" s="3"/>
      <c r="DOP36" s="3"/>
      <c r="DOQ36" s="3"/>
      <c r="DOR36" s="3"/>
      <c r="DOS36" s="3"/>
      <c r="DOT36" s="3"/>
      <c r="DOU36" s="3"/>
      <c r="DOV36" s="3"/>
      <c r="DOW36" s="3"/>
      <c r="DOX36" s="3"/>
      <c r="DOY36" s="3"/>
      <c r="DOZ36" s="3"/>
      <c r="DPA36" s="3"/>
      <c r="DPB36" s="3"/>
      <c r="DPC36" s="3"/>
      <c r="DPD36" s="3"/>
      <c r="DPE36" s="3"/>
      <c r="DPF36" s="3"/>
      <c r="DPG36" s="3"/>
      <c r="DPH36" s="3"/>
      <c r="DPI36" s="3"/>
      <c r="DPJ36" s="3"/>
      <c r="DPK36" s="3"/>
      <c r="DPL36" s="3"/>
      <c r="DPM36" s="3"/>
      <c r="DPN36" s="3"/>
      <c r="DPO36" s="3"/>
      <c r="DPP36" s="3"/>
      <c r="DPQ36" s="3"/>
      <c r="DPR36" s="3"/>
      <c r="DPS36" s="3"/>
      <c r="DPT36" s="3"/>
      <c r="DPU36" s="3"/>
      <c r="DPV36" s="3"/>
      <c r="DPW36" s="3"/>
      <c r="DPX36" s="3"/>
      <c r="DPY36" s="3"/>
      <c r="DPZ36" s="3"/>
      <c r="DQA36" s="3"/>
      <c r="DQB36" s="3"/>
      <c r="DQC36" s="3"/>
      <c r="DQD36" s="3"/>
      <c r="DQE36" s="3"/>
      <c r="DQF36" s="3"/>
      <c r="DQG36" s="3"/>
      <c r="DQH36" s="3"/>
      <c r="DQI36" s="3"/>
      <c r="DQJ36" s="3"/>
      <c r="DQK36" s="3"/>
      <c r="DQL36" s="3"/>
      <c r="DQM36" s="3"/>
      <c r="DQN36" s="3"/>
      <c r="DQO36" s="3"/>
      <c r="DQP36" s="3"/>
      <c r="DQQ36" s="3"/>
      <c r="DQR36" s="3"/>
      <c r="DQS36" s="3"/>
      <c r="DQT36" s="3"/>
      <c r="DQU36" s="3"/>
      <c r="DQV36" s="3"/>
      <c r="DQW36" s="3"/>
      <c r="DQX36" s="3"/>
      <c r="DQY36" s="3"/>
      <c r="DQZ36" s="3"/>
      <c r="DRA36" s="3"/>
      <c r="DRB36" s="3"/>
      <c r="DRC36" s="3"/>
      <c r="DRD36" s="3"/>
      <c r="DRE36" s="3"/>
      <c r="DRF36" s="3"/>
      <c r="DRG36" s="3"/>
      <c r="DRH36" s="3"/>
      <c r="DRI36" s="3"/>
      <c r="DRJ36" s="3"/>
      <c r="DRK36" s="3"/>
      <c r="DRL36" s="3"/>
      <c r="DRM36" s="3"/>
      <c r="DRN36" s="3"/>
      <c r="DRO36" s="3"/>
      <c r="DRP36" s="3"/>
      <c r="DRQ36" s="3"/>
      <c r="DRR36" s="3"/>
      <c r="DRS36" s="3"/>
      <c r="DRT36" s="3"/>
      <c r="DRU36" s="3"/>
      <c r="DRV36" s="3"/>
      <c r="DRW36" s="3"/>
      <c r="DRX36" s="3"/>
      <c r="DRY36" s="3"/>
      <c r="DRZ36" s="3"/>
      <c r="DSA36" s="3"/>
      <c r="DSB36" s="3"/>
      <c r="DSC36" s="3"/>
      <c r="DSD36" s="3"/>
      <c r="DSE36" s="3"/>
      <c r="DSF36" s="3"/>
      <c r="DSG36" s="3"/>
      <c r="DSH36" s="3"/>
      <c r="DSI36" s="3"/>
      <c r="DSJ36" s="3"/>
      <c r="DSK36" s="3"/>
      <c r="DSL36" s="3"/>
      <c r="DSM36" s="3"/>
      <c r="DSN36" s="3"/>
      <c r="DSO36" s="3"/>
      <c r="DSP36" s="3"/>
      <c r="DSQ36" s="3"/>
      <c r="DSR36" s="3"/>
      <c r="DSS36" s="3"/>
      <c r="DST36" s="3"/>
      <c r="DSU36" s="3"/>
      <c r="DSV36" s="3"/>
      <c r="DSW36" s="3"/>
      <c r="DSX36" s="3"/>
      <c r="DSY36" s="3"/>
      <c r="DSZ36" s="3"/>
      <c r="DTA36" s="3"/>
      <c r="DTB36" s="3"/>
      <c r="DTC36" s="3"/>
      <c r="DTD36" s="3"/>
      <c r="DTE36" s="3"/>
      <c r="DTF36" s="3"/>
      <c r="DTG36" s="3"/>
      <c r="DTH36" s="3"/>
      <c r="DTI36" s="3"/>
      <c r="DTJ36" s="3"/>
      <c r="DTK36" s="3"/>
      <c r="DTL36" s="3"/>
      <c r="DTM36" s="3"/>
      <c r="DTN36" s="3"/>
      <c r="DTO36" s="3"/>
      <c r="DTP36" s="3"/>
      <c r="DTQ36" s="3"/>
      <c r="DTR36" s="3"/>
      <c r="DTS36" s="3"/>
      <c r="DTT36" s="3"/>
      <c r="DTU36" s="3"/>
      <c r="DTV36" s="3"/>
      <c r="DTW36" s="3"/>
      <c r="DTX36" s="3"/>
      <c r="DTY36" s="3"/>
      <c r="DTZ36" s="3"/>
      <c r="DUA36" s="3"/>
      <c r="DUB36" s="3"/>
      <c r="DUC36" s="3"/>
      <c r="DUD36" s="3"/>
      <c r="DUE36" s="3"/>
      <c r="DUF36" s="3"/>
      <c r="DUG36" s="3"/>
      <c r="DUH36" s="3"/>
      <c r="DUI36" s="3"/>
      <c r="DUJ36" s="3"/>
      <c r="DUK36" s="3"/>
      <c r="DUL36" s="3"/>
      <c r="DUM36" s="3"/>
      <c r="DUN36" s="3"/>
      <c r="DUO36" s="3"/>
      <c r="DUP36" s="3"/>
      <c r="DUQ36" s="3"/>
      <c r="DUR36" s="3"/>
      <c r="DUS36" s="3"/>
      <c r="DUT36" s="3"/>
      <c r="DUU36" s="3"/>
      <c r="DUV36" s="3"/>
      <c r="DUW36" s="3"/>
      <c r="DUX36" s="3"/>
      <c r="DUY36" s="3"/>
      <c r="DUZ36" s="3"/>
      <c r="DVA36" s="3"/>
      <c r="DVB36" s="3"/>
      <c r="DVC36" s="3"/>
      <c r="DVD36" s="3"/>
      <c r="DVE36" s="3"/>
      <c r="DVF36" s="3"/>
      <c r="DVG36" s="3"/>
      <c r="DVH36" s="3"/>
      <c r="DVI36" s="3"/>
      <c r="DVJ36" s="3"/>
      <c r="DVK36" s="3"/>
      <c r="DVL36" s="3"/>
      <c r="DVM36" s="3"/>
      <c r="DVN36" s="3"/>
      <c r="DVO36" s="3"/>
      <c r="DVP36" s="3"/>
      <c r="DVQ36" s="3"/>
      <c r="DVR36" s="3"/>
      <c r="DVS36" s="3"/>
      <c r="DVT36" s="3"/>
      <c r="DVU36" s="3"/>
      <c r="DVV36" s="3"/>
      <c r="DVW36" s="3"/>
      <c r="DVX36" s="3"/>
      <c r="DVY36" s="3"/>
      <c r="DVZ36" s="3"/>
      <c r="DWA36" s="3"/>
      <c r="DWB36" s="3"/>
      <c r="DWC36" s="3"/>
      <c r="DWD36" s="3"/>
      <c r="DWE36" s="3"/>
      <c r="DWF36" s="3"/>
      <c r="DWG36" s="3"/>
      <c r="DWH36" s="3"/>
      <c r="DWI36" s="3"/>
      <c r="DWJ36" s="3"/>
      <c r="DWK36" s="3"/>
      <c r="DWL36" s="3"/>
      <c r="DWM36" s="3"/>
      <c r="DWN36" s="3"/>
      <c r="DWO36" s="3"/>
      <c r="DWP36" s="3"/>
      <c r="DWQ36" s="3"/>
      <c r="DWR36" s="3"/>
      <c r="DWS36" s="3"/>
      <c r="DWT36" s="3"/>
      <c r="DWU36" s="3"/>
      <c r="DWV36" s="3"/>
      <c r="DWW36" s="3"/>
      <c r="DWX36" s="3"/>
      <c r="DWY36" s="3"/>
      <c r="DWZ36" s="3"/>
      <c r="DXA36" s="3"/>
      <c r="DXB36" s="3"/>
      <c r="DXC36" s="3"/>
      <c r="DXD36" s="3"/>
      <c r="DXE36" s="3"/>
      <c r="DXF36" s="3"/>
      <c r="DXG36" s="3"/>
      <c r="DXH36" s="3"/>
      <c r="DXI36" s="3"/>
      <c r="DXJ36" s="3"/>
      <c r="DXK36" s="3"/>
      <c r="DXL36" s="3"/>
      <c r="DXM36" s="3"/>
      <c r="DXN36" s="3"/>
      <c r="DXO36" s="3"/>
      <c r="DXP36" s="3"/>
      <c r="DXQ36" s="3"/>
      <c r="DXR36" s="3"/>
      <c r="DXS36" s="3"/>
      <c r="DXT36" s="3"/>
      <c r="DXU36" s="3"/>
      <c r="DXV36" s="3"/>
      <c r="DXW36" s="3"/>
      <c r="DXX36" s="3"/>
      <c r="DXY36" s="3"/>
      <c r="DXZ36" s="3"/>
      <c r="DYA36" s="3"/>
      <c r="DYB36" s="3"/>
      <c r="DYC36" s="3"/>
      <c r="DYD36" s="3"/>
      <c r="DYE36" s="3"/>
      <c r="DYF36" s="3"/>
      <c r="DYG36" s="3"/>
      <c r="DYH36" s="3"/>
      <c r="DYI36" s="3"/>
      <c r="DYJ36" s="3"/>
      <c r="DYK36" s="3"/>
      <c r="DYL36" s="3"/>
      <c r="DYM36" s="3"/>
      <c r="DYN36" s="3"/>
      <c r="DYO36" s="3"/>
      <c r="DYP36" s="3"/>
      <c r="DYQ36" s="3"/>
      <c r="DYR36" s="3"/>
      <c r="DYS36" s="3"/>
      <c r="DYT36" s="3"/>
      <c r="DYU36" s="3"/>
      <c r="DYV36" s="3"/>
      <c r="DYW36" s="3"/>
      <c r="DYX36" s="3"/>
      <c r="DYY36" s="3"/>
      <c r="DYZ36" s="3"/>
      <c r="DZA36" s="3"/>
      <c r="DZB36" s="3"/>
      <c r="DZC36" s="3"/>
      <c r="DZD36" s="3"/>
      <c r="DZE36" s="3"/>
      <c r="DZF36" s="3"/>
      <c r="DZG36" s="3"/>
      <c r="DZH36" s="3"/>
      <c r="DZI36" s="3"/>
      <c r="DZJ36" s="3"/>
      <c r="DZK36" s="3"/>
      <c r="DZL36" s="3"/>
      <c r="DZM36" s="3"/>
      <c r="DZN36" s="3"/>
      <c r="DZO36" s="3"/>
      <c r="DZP36" s="3"/>
      <c r="DZQ36" s="3"/>
      <c r="DZR36" s="3"/>
      <c r="DZS36" s="3"/>
      <c r="DZT36" s="3"/>
      <c r="DZU36" s="3"/>
      <c r="DZV36" s="3"/>
      <c r="DZW36" s="3"/>
      <c r="DZX36" s="3"/>
      <c r="DZY36" s="3"/>
      <c r="DZZ36" s="3"/>
      <c r="EAA36" s="3"/>
      <c r="EAB36" s="3"/>
      <c r="EAC36" s="3"/>
      <c r="EAD36" s="3"/>
      <c r="EAE36" s="3"/>
      <c r="EAF36" s="3"/>
      <c r="EAG36" s="3"/>
      <c r="EAH36" s="3"/>
      <c r="EAI36" s="3"/>
      <c r="EAJ36" s="3"/>
      <c r="EAK36" s="3"/>
      <c r="EAL36" s="3"/>
      <c r="EAM36" s="3"/>
      <c r="EAN36" s="3"/>
      <c r="EAO36" s="3"/>
      <c r="EAP36" s="3"/>
      <c r="EAQ36" s="3"/>
      <c r="EAR36" s="3"/>
      <c r="EAS36" s="3"/>
      <c r="EAT36" s="3"/>
      <c r="EAU36" s="3"/>
      <c r="EAV36" s="3"/>
      <c r="EAW36" s="3"/>
      <c r="EAX36" s="3"/>
      <c r="EAY36" s="3"/>
      <c r="EAZ36" s="3"/>
      <c r="EBA36" s="3"/>
      <c r="EBB36" s="3"/>
      <c r="EBC36" s="3"/>
      <c r="EBD36" s="3"/>
      <c r="EBE36" s="3"/>
      <c r="EBF36" s="3"/>
      <c r="EBG36" s="3"/>
      <c r="EBH36" s="3"/>
      <c r="EBI36" s="3"/>
      <c r="EBJ36" s="3"/>
      <c r="EBK36" s="3"/>
      <c r="EBL36" s="3"/>
      <c r="EBM36" s="3"/>
      <c r="EBN36" s="3"/>
      <c r="EBO36" s="3"/>
      <c r="EBP36" s="3"/>
      <c r="EBQ36" s="3"/>
      <c r="EBR36" s="3"/>
      <c r="EBS36" s="3"/>
      <c r="EBT36" s="3"/>
      <c r="EBU36" s="3"/>
      <c r="EBV36" s="3"/>
      <c r="EBW36" s="3"/>
      <c r="EBX36" s="3"/>
      <c r="EBY36" s="3"/>
      <c r="EBZ36" s="3"/>
      <c r="ECA36" s="3"/>
      <c r="ECB36" s="3"/>
      <c r="ECC36" s="3"/>
      <c r="ECD36" s="3"/>
      <c r="ECE36" s="3"/>
      <c r="ECF36" s="3"/>
      <c r="ECG36" s="3"/>
      <c r="ECH36" s="3"/>
      <c r="ECI36" s="3"/>
      <c r="ECJ36" s="3"/>
      <c r="ECK36" s="3"/>
      <c r="ECL36" s="3"/>
      <c r="ECM36" s="3"/>
      <c r="ECN36" s="3"/>
      <c r="ECO36" s="3"/>
      <c r="ECP36" s="3"/>
      <c r="ECQ36" s="3"/>
      <c r="ECR36" s="3"/>
      <c r="ECS36" s="3"/>
      <c r="ECT36" s="3"/>
      <c r="ECU36" s="3"/>
      <c r="ECV36" s="3"/>
      <c r="ECW36" s="3"/>
      <c r="ECX36" s="3"/>
      <c r="ECY36" s="3"/>
      <c r="ECZ36" s="3"/>
      <c r="EDA36" s="3"/>
      <c r="EDB36" s="3"/>
      <c r="EDC36" s="3"/>
      <c r="EDD36" s="3"/>
      <c r="EDE36" s="3"/>
      <c r="EDF36" s="3"/>
      <c r="EDG36" s="3"/>
      <c r="EDH36" s="3"/>
      <c r="EDI36" s="3"/>
      <c r="EDJ36" s="3"/>
      <c r="EDK36" s="3"/>
      <c r="EDL36" s="3"/>
      <c r="EDM36" s="3"/>
      <c r="EDN36" s="3"/>
      <c r="EDO36" s="3"/>
      <c r="EDP36" s="3"/>
      <c r="EDQ36" s="3"/>
      <c r="EDR36" s="3"/>
      <c r="EDS36" s="3"/>
      <c r="EDT36" s="3"/>
      <c r="EDU36" s="3"/>
      <c r="EDV36" s="3"/>
      <c r="EDW36" s="3"/>
      <c r="EDX36" s="3"/>
      <c r="EDY36" s="3"/>
      <c r="EDZ36" s="3"/>
      <c r="EEA36" s="3"/>
      <c r="EEB36" s="3"/>
      <c r="EEC36" s="3"/>
      <c r="EED36" s="3"/>
      <c r="EEE36" s="3"/>
      <c r="EEF36" s="3"/>
      <c r="EEG36" s="3"/>
      <c r="EEH36" s="3"/>
      <c r="EEI36" s="3"/>
      <c r="EEJ36" s="3"/>
      <c r="EEK36" s="3"/>
      <c r="EEL36" s="3"/>
      <c r="EEM36" s="3"/>
      <c r="EEN36" s="3"/>
      <c r="EEO36" s="3"/>
      <c r="EEP36" s="3"/>
      <c r="EEQ36" s="3"/>
      <c r="EER36" s="3"/>
      <c r="EES36" s="3"/>
      <c r="EET36" s="3"/>
      <c r="EEU36" s="3"/>
      <c r="EEV36" s="3"/>
      <c r="EEW36" s="3"/>
      <c r="EEX36" s="3"/>
      <c r="EEY36" s="3"/>
      <c r="EEZ36" s="3"/>
      <c r="EFA36" s="3"/>
      <c r="EFB36" s="3"/>
      <c r="EFC36" s="3"/>
      <c r="EFD36" s="3"/>
      <c r="EFE36" s="3"/>
      <c r="EFF36" s="3"/>
      <c r="EFG36" s="3"/>
      <c r="EFH36" s="3"/>
      <c r="EFI36" s="3"/>
      <c r="EFJ36" s="3"/>
      <c r="EFK36" s="3"/>
      <c r="EFL36" s="3"/>
      <c r="EFM36" s="3"/>
      <c r="EFN36" s="3"/>
      <c r="EFO36" s="3"/>
      <c r="EFP36" s="3"/>
      <c r="EFQ36" s="3"/>
      <c r="EFR36" s="3"/>
      <c r="EFS36" s="3"/>
      <c r="EFT36" s="3"/>
      <c r="EFU36" s="3"/>
      <c r="EFV36" s="3"/>
      <c r="EFW36" s="3"/>
      <c r="EFX36" s="3"/>
      <c r="EFY36" s="3"/>
      <c r="EFZ36" s="3"/>
      <c r="EGA36" s="3"/>
      <c r="EGB36" s="3"/>
      <c r="EGC36" s="3"/>
      <c r="EGD36" s="3"/>
      <c r="EGE36" s="3"/>
      <c r="EGF36" s="3"/>
      <c r="EGG36" s="3"/>
      <c r="EGH36" s="3"/>
      <c r="EGI36" s="3"/>
      <c r="EGJ36" s="3"/>
      <c r="EGK36" s="3"/>
      <c r="EGL36" s="3"/>
      <c r="EGM36" s="3"/>
      <c r="EGN36" s="3"/>
      <c r="EGO36" s="3"/>
      <c r="EGP36" s="3"/>
      <c r="EGQ36" s="3"/>
      <c r="EGR36" s="3"/>
      <c r="EGS36" s="3"/>
      <c r="EGT36" s="3"/>
      <c r="EGU36" s="3"/>
      <c r="EGV36" s="3"/>
      <c r="EGW36" s="3"/>
      <c r="EGX36" s="3"/>
      <c r="EGY36" s="3"/>
      <c r="EGZ36" s="3"/>
      <c r="EHA36" s="3"/>
      <c r="EHB36" s="3"/>
      <c r="EHC36" s="3"/>
      <c r="EHD36" s="3"/>
      <c r="EHE36" s="3"/>
      <c r="EHF36" s="3"/>
      <c r="EHG36" s="3"/>
      <c r="EHH36" s="3"/>
      <c r="EHI36" s="3"/>
      <c r="EHJ36" s="3"/>
      <c r="EHK36" s="3"/>
      <c r="EHL36" s="3"/>
      <c r="EHM36" s="3"/>
      <c r="EHN36" s="3"/>
      <c r="EHO36" s="3"/>
      <c r="EHP36" s="3"/>
      <c r="EHQ36" s="3"/>
      <c r="EHR36" s="3"/>
      <c r="EHS36" s="3"/>
      <c r="EHT36" s="3"/>
      <c r="EHU36" s="3"/>
      <c r="EHV36" s="3"/>
      <c r="EHW36" s="3"/>
      <c r="EHX36" s="3"/>
      <c r="EHY36" s="3"/>
      <c r="EHZ36" s="3"/>
      <c r="EIA36" s="3"/>
      <c r="EIB36" s="3"/>
      <c r="EIC36" s="3"/>
      <c r="EID36" s="3"/>
      <c r="EIE36" s="3"/>
      <c r="EIF36" s="3"/>
      <c r="EIG36" s="3"/>
      <c r="EIH36" s="3"/>
      <c r="EII36" s="3"/>
      <c r="EIJ36" s="3"/>
      <c r="EIK36" s="3"/>
      <c r="EIL36" s="3"/>
      <c r="EIM36" s="3"/>
      <c r="EIN36" s="3"/>
      <c r="EIO36" s="3"/>
      <c r="EIP36" s="3"/>
      <c r="EIQ36" s="3"/>
      <c r="EIR36" s="3"/>
      <c r="EIS36" s="3"/>
      <c r="EIT36" s="3"/>
      <c r="EIU36" s="3"/>
      <c r="EIV36" s="3"/>
      <c r="EIW36" s="3"/>
      <c r="EIX36" s="3"/>
      <c r="EIY36" s="3"/>
      <c r="EIZ36" s="3"/>
      <c r="EJA36" s="3"/>
      <c r="EJB36" s="3"/>
      <c r="EJC36" s="3"/>
      <c r="EJD36" s="3"/>
      <c r="EJE36" s="3"/>
      <c r="EJF36" s="3"/>
      <c r="EJG36" s="3"/>
      <c r="EJH36" s="3"/>
      <c r="EJI36" s="3"/>
      <c r="EJJ36" s="3"/>
      <c r="EJK36" s="3"/>
      <c r="EJL36" s="3"/>
      <c r="EJM36" s="3"/>
      <c r="EJN36" s="3"/>
      <c r="EJO36" s="3"/>
      <c r="EJP36" s="3"/>
      <c r="EJQ36" s="3"/>
      <c r="EJR36" s="3"/>
      <c r="EJS36" s="3"/>
      <c r="EJT36" s="3"/>
      <c r="EJU36" s="3"/>
      <c r="EJV36" s="3"/>
      <c r="EJW36" s="3"/>
      <c r="EJX36" s="3"/>
      <c r="EJY36" s="3"/>
      <c r="EJZ36" s="3"/>
      <c r="EKA36" s="3"/>
      <c r="EKB36" s="3"/>
      <c r="EKC36" s="3"/>
      <c r="EKD36" s="3"/>
      <c r="EKE36" s="3"/>
      <c r="EKF36" s="3"/>
      <c r="EKG36" s="3"/>
      <c r="EKH36" s="3"/>
      <c r="EKI36" s="3"/>
      <c r="EKJ36" s="3"/>
      <c r="EKK36" s="3"/>
      <c r="EKL36" s="3"/>
      <c r="EKM36" s="3"/>
      <c r="EKN36" s="3"/>
      <c r="EKO36" s="3"/>
      <c r="EKP36" s="3"/>
      <c r="EKQ36" s="3"/>
      <c r="EKR36" s="3"/>
      <c r="EKS36" s="3"/>
      <c r="EKT36" s="3"/>
      <c r="EKU36" s="3"/>
      <c r="EKV36" s="3"/>
      <c r="EKW36" s="3"/>
      <c r="EKX36" s="3"/>
      <c r="EKY36" s="3"/>
      <c r="EKZ36" s="3"/>
      <c r="ELA36" s="3"/>
      <c r="ELB36" s="3"/>
      <c r="ELC36" s="3"/>
      <c r="ELD36" s="3"/>
      <c r="ELE36" s="3"/>
      <c r="ELF36" s="3"/>
      <c r="ELG36" s="3"/>
      <c r="ELH36" s="3"/>
      <c r="ELI36" s="3"/>
      <c r="ELJ36" s="3"/>
      <c r="ELK36" s="3"/>
      <c r="ELL36" s="3"/>
      <c r="ELM36" s="3"/>
      <c r="ELN36" s="3"/>
      <c r="ELO36" s="3"/>
      <c r="ELP36" s="3"/>
      <c r="ELQ36" s="3"/>
      <c r="ELR36" s="3"/>
      <c r="ELS36" s="3"/>
      <c r="ELT36" s="3"/>
      <c r="ELU36" s="3"/>
      <c r="ELV36" s="3"/>
      <c r="ELW36" s="3"/>
      <c r="ELX36" s="3"/>
      <c r="ELY36" s="3"/>
      <c r="ELZ36" s="3"/>
      <c r="EMA36" s="3"/>
      <c r="EMB36" s="3"/>
      <c r="EMC36" s="3"/>
      <c r="EMD36" s="3"/>
      <c r="EME36" s="3"/>
      <c r="EMF36" s="3"/>
      <c r="EMG36" s="3"/>
      <c r="EMH36" s="3"/>
      <c r="EMI36" s="3"/>
      <c r="EMJ36" s="3"/>
      <c r="EMK36" s="3"/>
      <c r="EML36" s="3"/>
      <c r="EMM36" s="3"/>
      <c r="EMN36" s="3"/>
      <c r="EMO36" s="3"/>
      <c r="EMP36" s="3"/>
      <c r="EMQ36" s="3"/>
      <c r="EMR36" s="3"/>
      <c r="EMS36" s="3"/>
      <c r="EMT36" s="3"/>
      <c r="EMU36" s="3"/>
      <c r="EMV36" s="3"/>
      <c r="EMW36" s="3"/>
      <c r="EMX36" s="3"/>
      <c r="EMY36" s="3"/>
      <c r="EMZ36" s="3"/>
      <c r="ENA36" s="3"/>
      <c r="ENB36" s="3"/>
      <c r="ENC36" s="3"/>
      <c r="END36" s="3"/>
      <c r="ENE36" s="3"/>
      <c r="ENF36" s="3"/>
      <c r="ENG36" s="3"/>
      <c r="ENH36" s="3"/>
      <c r="ENI36" s="3"/>
      <c r="ENJ36" s="3"/>
      <c r="ENK36" s="3"/>
      <c r="ENL36" s="3"/>
      <c r="ENM36" s="3"/>
      <c r="ENN36" s="3"/>
      <c r="ENO36" s="3"/>
      <c r="ENP36" s="3"/>
      <c r="ENQ36" s="3"/>
      <c r="ENR36" s="3"/>
      <c r="ENS36" s="3"/>
      <c r="ENT36" s="3"/>
      <c r="ENU36" s="3"/>
      <c r="ENV36" s="3"/>
      <c r="ENW36" s="3"/>
      <c r="ENX36" s="3"/>
      <c r="ENY36" s="3"/>
      <c r="ENZ36" s="3"/>
      <c r="EOA36" s="3"/>
      <c r="EOB36" s="3"/>
      <c r="EOC36" s="3"/>
      <c r="EOD36" s="3"/>
      <c r="EOE36" s="3"/>
      <c r="EOF36" s="3"/>
      <c r="EOG36" s="3"/>
      <c r="EOH36" s="3"/>
      <c r="EOI36" s="3"/>
      <c r="EOJ36" s="3"/>
      <c r="EOK36" s="3"/>
      <c r="EOL36" s="3"/>
      <c r="EOM36" s="3"/>
      <c r="EON36" s="3"/>
      <c r="EOO36" s="3"/>
      <c r="EOP36" s="3"/>
      <c r="EOQ36" s="3"/>
      <c r="EOR36" s="3"/>
      <c r="EOS36" s="3"/>
      <c r="EOT36" s="3"/>
      <c r="EOU36" s="3"/>
      <c r="EOV36" s="3"/>
      <c r="EOW36" s="3"/>
      <c r="EOX36" s="3"/>
      <c r="EOY36" s="3"/>
      <c r="EOZ36" s="3"/>
      <c r="EPA36" s="3"/>
      <c r="EPB36" s="3"/>
      <c r="EPC36" s="3"/>
      <c r="EPD36" s="3"/>
      <c r="EPE36" s="3"/>
      <c r="EPF36" s="3"/>
      <c r="EPG36" s="3"/>
      <c r="EPH36" s="3"/>
      <c r="EPI36" s="3"/>
      <c r="EPJ36" s="3"/>
      <c r="EPK36" s="3"/>
      <c r="EPL36" s="3"/>
      <c r="EPM36" s="3"/>
      <c r="EPN36" s="3"/>
      <c r="EPO36" s="3"/>
      <c r="EPP36" s="3"/>
      <c r="EPQ36" s="3"/>
      <c r="EPR36" s="3"/>
      <c r="EPS36" s="3"/>
      <c r="EPT36" s="3"/>
      <c r="EPU36" s="3"/>
      <c r="EPV36" s="3"/>
      <c r="EPW36" s="3"/>
      <c r="EPX36" s="3"/>
      <c r="EPY36" s="3"/>
      <c r="EPZ36" s="3"/>
      <c r="EQA36" s="3"/>
      <c r="EQB36" s="3"/>
      <c r="EQC36" s="3"/>
      <c r="EQD36" s="3"/>
      <c r="EQE36" s="3"/>
      <c r="EQF36" s="3"/>
      <c r="EQG36" s="3"/>
      <c r="EQH36" s="3"/>
      <c r="EQI36" s="3"/>
      <c r="EQJ36" s="3"/>
      <c r="EQK36" s="3"/>
      <c r="EQL36" s="3"/>
      <c r="EQM36" s="3"/>
      <c r="EQN36" s="3"/>
      <c r="EQO36" s="3"/>
      <c r="EQP36" s="3"/>
      <c r="EQQ36" s="3"/>
      <c r="EQR36" s="3"/>
      <c r="EQS36" s="3"/>
      <c r="EQT36" s="3"/>
      <c r="EQU36" s="3"/>
      <c r="EQV36" s="3"/>
      <c r="EQW36" s="3"/>
      <c r="EQX36" s="3"/>
      <c r="EQY36" s="3"/>
      <c r="EQZ36" s="3"/>
      <c r="ERA36" s="3"/>
      <c r="ERB36" s="3"/>
      <c r="ERC36" s="3"/>
      <c r="ERD36" s="3"/>
      <c r="ERE36" s="3"/>
      <c r="ERF36" s="3"/>
      <c r="ERG36" s="3"/>
      <c r="ERH36" s="3"/>
      <c r="ERI36" s="3"/>
      <c r="ERJ36" s="3"/>
      <c r="ERK36" s="3"/>
      <c r="ERL36" s="3"/>
      <c r="ERM36" s="3"/>
      <c r="ERN36" s="3"/>
      <c r="ERO36" s="3"/>
      <c r="ERP36" s="3"/>
      <c r="ERQ36" s="3"/>
      <c r="ERR36" s="3"/>
      <c r="ERS36" s="3"/>
      <c r="ERT36" s="3"/>
      <c r="ERU36" s="3"/>
      <c r="ERV36" s="3"/>
      <c r="ERW36" s="3"/>
      <c r="ERX36" s="3"/>
      <c r="ERY36" s="3"/>
      <c r="ERZ36" s="3"/>
      <c r="ESA36" s="3"/>
      <c r="ESB36" s="3"/>
      <c r="ESC36" s="3"/>
      <c r="ESD36" s="3"/>
      <c r="ESE36" s="3"/>
      <c r="ESF36" s="3"/>
      <c r="ESG36" s="3"/>
      <c r="ESH36" s="3"/>
      <c r="ESI36" s="3"/>
      <c r="ESJ36" s="3"/>
      <c r="ESK36" s="3"/>
      <c r="ESL36" s="3"/>
      <c r="ESM36" s="3"/>
      <c r="ESN36" s="3"/>
      <c r="ESO36" s="3"/>
      <c r="ESP36" s="3"/>
      <c r="ESQ36" s="3"/>
      <c r="ESR36" s="3"/>
      <c r="ESS36" s="3"/>
      <c r="EST36" s="3"/>
      <c r="ESU36" s="3"/>
      <c r="ESV36" s="3"/>
      <c r="ESW36" s="3"/>
      <c r="ESX36" s="3"/>
      <c r="ESY36" s="3"/>
      <c r="ESZ36" s="3"/>
      <c r="ETA36" s="3"/>
      <c r="ETB36" s="3"/>
      <c r="ETC36" s="3"/>
      <c r="ETD36" s="3"/>
      <c r="ETE36" s="3"/>
      <c r="ETF36" s="3"/>
      <c r="ETG36" s="3"/>
      <c r="ETH36" s="3"/>
      <c r="ETI36" s="3"/>
      <c r="ETJ36" s="3"/>
      <c r="ETK36" s="3"/>
      <c r="ETL36" s="3"/>
      <c r="ETM36" s="3"/>
      <c r="ETN36" s="3"/>
      <c r="ETO36" s="3"/>
      <c r="ETP36" s="3"/>
      <c r="ETQ36" s="3"/>
      <c r="ETR36" s="3"/>
      <c r="ETS36" s="3"/>
      <c r="ETT36" s="3"/>
      <c r="ETU36" s="3"/>
      <c r="ETV36" s="3"/>
      <c r="ETW36" s="3"/>
      <c r="ETX36" s="3"/>
      <c r="ETY36" s="3"/>
      <c r="ETZ36" s="3"/>
      <c r="EUA36" s="3"/>
      <c r="EUB36" s="3"/>
      <c r="EUC36" s="3"/>
      <c r="EUD36" s="3"/>
      <c r="EUE36" s="3"/>
      <c r="EUF36" s="3"/>
      <c r="EUG36" s="3"/>
      <c r="EUH36" s="3"/>
      <c r="EUI36" s="3"/>
      <c r="EUJ36" s="3"/>
      <c r="EUK36" s="3"/>
      <c r="EUL36" s="3"/>
      <c r="EUM36" s="3"/>
      <c r="EUN36" s="3"/>
      <c r="EUO36" s="3"/>
      <c r="EUP36" s="3"/>
      <c r="EUQ36" s="3"/>
      <c r="EUR36" s="3"/>
      <c r="EUS36" s="3"/>
      <c r="EUT36" s="3"/>
      <c r="EUU36" s="3"/>
      <c r="EUV36" s="3"/>
      <c r="EUW36" s="3"/>
      <c r="EUX36" s="3"/>
      <c r="EUY36" s="3"/>
      <c r="EUZ36" s="3"/>
      <c r="EVA36" s="3"/>
      <c r="EVB36" s="3"/>
      <c r="EVC36" s="3"/>
      <c r="EVD36" s="3"/>
      <c r="EVE36" s="3"/>
      <c r="EVF36" s="3"/>
      <c r="EVG36" s="3"/>
      <c r="EVH36" s="3"/>
      <c r="EVI36" s="3"/>
      <c r="EVJ36" s="3"/>
      <c r="EVK36" s="3"/>
      <c r="EVL36" s="3"/>
      <c r="EVM36" s="3"/>
      <c r="EVN36" s="3"/>
      <c r="EVO36" s="3"/>
      <c r="EVP36" s="3"/>
      <c r="EVQ36" s="3"/>
      <c r="EVR36" s="3"/>
      <c r="EVS36" s="3"/>
      <c r="EVT36" s="3"/>
      <c r="EVU36" s="3"/>
      <c r="EVV36" s="3"/>
      <c r="EVW36" s="3"/>
      <c r="EVX36" s="3"/>
      <c r="EVY36" s="3"/>
      <c r="EVZ36" s="3"/>
      <c r="EWA36" s="3"/>
      <c r="EWB36" s="3"/>
      <c r="EWC36" s="3"/>
      <c r="EWD36" s="3"/>
      <c r="EWE36" s="3"/>
      <c r="EWF36" s="3"/>
      <c r="EWG36" s="3"/>
      <c r="EWH36" s="3"/>
      <c r="EWI36" s="3"/>
      <c r="EWJ36" s="3"/>
      <c r="EWK36" s="3"/>
      <c r="EWL36" s="3"/>
      <c r="EWM36" s="3"/>
      <c r="EWN36" s="3"/>
      <c r="EWO36" s="3"/>
      <c r="EWP36" s="3"/>
      <c r="EWQ36" s="3"/>
      <c r="EWR36" s="3"/>
      <c r="EWS36" s="3"/>
      <c r="EWT36" s="3"/>
      <c r="EWU36" s="3"/>
      <c r="EWV36" s="3"/>
      <c r="EWW36" s="3"/>
      <c r="EWX36" s="3"/>
      <c r="EWY36" s="3"/>
      <c r="EWZ36" s="3"/>
      <c r="EXA36" s="3"/>
      <c r="EXB36" s="3"/>
      <c r="EXC36" s="3"/>
      <c r="EXD36" s="3"/>
      <c r="EXE36" s="3"/>
      <c r="EXF36" s="3"/>
      <c r="EXG36" s="3"/>
      <c r="EXH36" s="3"/>
      <c r="EXI36" s="3"/>
      <c r="EXJ36" s="3"/>
      <c r="EXK36" s="3"/>
      <c r="EXL36" s="3"/>
      <c r="EXM36" s="3"/>
      <c r="EXN36" s="3"/>
      <c r="EXO36" s="3"/>
      <c r="EXP36" s="3"/>
      <c r="EXQ36" s="3"/>
      <c r="EXR36" s="3"/>
      <c r="EXS36" s="3"/>
      <c r="EXT36" s="3"/>
      <c r="EXU36" s="3"/>
      <c r="EXV36" s="3"/>
      <c r="EXW36" s="3"/>
      <c r="EXX36" s="3"/>
      <c r="EXY36" s="3"/>
      <c r="EXZ36" s="3"/>
      <c r="EYA36" s="3"/>
      <c r="EYB36" s="3"/>
      <c r="EYC36" s="3"/>
      <c r="EYD36" s="3"/>
      <c r="EYE36" s="3"/>
      <c r="EYF36" s="3"/>
      <c r="EYG36" s="3"/>
      <c r="EYH36" s="3"/>
      <c r="EYI36" s="3"/>
      <c r="EYJ36" s="3"/>
      <c r="EYK36" s="3"/>
      <c r="EYL36" s="3"/>
      <c r="EYM36" s="3"/>
      <c r="EYN36" s="3"/>
      <c r="EYO36" s="3"/>
      <c r="EYP36" s="3"/>
      <c r="EYQ36" s="3"/>
      <c r="EYR36" s="3"/>
      <c r="EYS36" s="3"/>
      <c r="EYT36" s="3"/>
      <c r="EYU36" s="3"/>
      <c r="EYV36" s="3"/>
      <c r="EYW36" s="3"/>
      <c r="EYX36" s="3"/>
      <c r="EYY36" s="3"/>
      <c r="EYZ36" s="3"/>
      <c r="EZA36" s="3"/>
      <c r="EZB36" s="3"/>
      <c r="EZC36" s="3"/>
      <c r="EZD36" s="3"/>
      <c r="EZE36" s="3"/>
      <c r="EZF36" s="3"/>
      <c r="EZG36" s="3"/>
      <c r="EZH36" s="3"/>
      <c r="EZI36" s="3"/>
      <c r="EZJ36" s="3"/>
      <c r="EZK36" s="3"/>
      <c r="EZL36" s="3"/>
      <c r="EZM36" s="3"/>
      <c r="EZN36" s="3"/>
      <c r="EZO36" s="3"/>
      <c r="EZP36" s="3"/>
      <c r="EZQ36" s="3"/>
      <c r="EZR36" s="3"/>
      <c r="EZS36" s="3"/>
      <c r="EZT36" s="3"/>
      <c r="EZU36" s="3"/>
      <c r="EZV36" s="3"/>
      <c r="EZW36" s="3"/>
      <c r="EZX36" s="3"/>
      <c r="EZY36" s="3"/>
      <c r="EZZ36" s="3"/>
      <c r="FAA36" s="3"/>
      <c r="FAB36" s="3"/>
      <c r="FAC36" s="3"/>
      <c r="FAD36" s="3"/>
      <c r="FAE36" s="3"/>
      <c r="FAF36" s="3"/>
      <c r="FAG36" s="3"/>
      <c r="FAH36" s="3"/>
      <c r="FAI36" s="3"/>
      <c r="FAJ36" s="3"/>
      <c r="FAK36" s="3"/>
      <c r="FAL36" s="3"/>
      <c r="FAM36" s="3"/>
      <c r="FAN36" s="3"/>
      <c r="FAO36" s="3"/>
      <c r="FAP36" s="3"/>
      <c r="FAQ36" s="3"/>
      <c r="FAR36" s="3"/>
      <c r="FAS36" s="3"/>
      <c r="FAT36" s="3"/>
      <c r="FAU36" s="3"/>
      <c r="FAV36" s="3"/>
      <c r="FAW36" s="3"/>
      <c r="FAX36" s="3"/>
      <c r="FAY36" s="3"/>
      <c r="FAZ36" s="3"/>
      <c r="FBA36" s="3"/>
      <c r="FBB36" s="3"/>
      <c r="FBC36" s="3"/>
      <c r="FBD36" s="3"/>
      <c r="FBE36" s="3"/>
      <c r="FBF36" s="3"/>
      <c r="FBG36" s="3"/>
      <c r="FBH36" s="3"/>
      <c r="FBI36" s="3"/>
      <c r="FBJ36" s="3"/>
      <c r="FBK36" s="3"/>
      <c r="FBL36" s="3"/>
      <c r="FBM36" s="3"/>
      <c r="FBN36" s="3"/>
      <c r="FBO36" s="3"/>
      <c r="FBP36" s="3"/>
      <c r="FBQ36" s="3"/>
      <c r="FBR36" s="3"/>
      <c r="FBS36" s="3"/>
      <c r="FBT36" s="3"/>
      <c r="FBU36" s="3"/>
      <c r="FBV36" s="3"/>
      <c r="FBW36" s="3"/>
      <c r="FBX36" s="3"/>
      <c r="FBY36" s="3"/>
      <c r="FBZ36" s="3"/>
      <c r="FCA36" s="3"/>
      <c r="FCB36" s="3"/>
      <c r="FCC36" s="3"/>
      <c r="FCD36" s="3"/>
      <c r="FCE36" s="3"/>
      <c r="FCF36" s="3"/>
      <c r="FCG36" s="3"/>
      <c r="FCH36" s="3"/>
      <c r="FCI36" s="3"/>
      <c r="FCJ36" s="3"/>
      <c r="FCK36" s="3"/>
      <c r="FCL36" s="3"/>
      <c r="FCM36" s="3"/>
      <c r="FCN36" s="3"/>
      <c r="FCO36" s="3"/>
      <c r="FCP36" s="3"/>
      <c r="FCQ36" s="3"/>
      <c r="FCR36" s="3"/>
      <c r="FCS36" s="3"/>
      <c r="FCT36" s="3"/>
      <c r="FCU36" s="3"/>
      <c r="FCV36" s="3"/>
      <c r="FCW36" s="3"/>
      <c r="FCX36" s="3"/>
      <c r="FCY36" s="3"/>
      <c r="FCZ36" s="3"/>
      <c r="FDA36" s="3"/>
      <c r="FDB36" s="3"/>
      <c r="FDC36" s="3"/>
      <c r="FDD36" s="3"/>
      <c r="FDE36" s="3"/>
      <c r="FDF36" s="3"/>
      <c r="FDG36" s="3"/>
      <c r="FDH36" s="3"/>
      <c r="FDI36" s="3"/>
      <c r="FDJ36" s="3"/>
      <c r="FDK36" s="3"/>
      <c r="FDL36" s="3"/>
      <c r="FDM36" s="3"/>
      <c r="FDN36" s="3"/>
      <c r="FDO36" s="3"/>
      <c r="FDP36" s="3"/>
      <c r="FDQ36" s="3"/>
      <c r="FDR36" s="3"/>
      <c r="FDS36" s="3"/>
      <c r="FDT36" s="3"/>
      <c r="FDU36" s="3"/>
      <c r="FDV36" s="3"/>
      <c r="FDW36" s="3"/>
      <c r="FDX36" s="3"/>
      <c r="FDY36" s="3"/>
      <c r="FDZ36" s="3"/>
      <c r="FEA36" s="3"/>
      <c r="FEB36" s="3"/>
      <c r="FEC36" s="3"/>
      <c r="FED36" s="3"/>
      <c r="FEE36" s="3"/>
      <c r="FEF36" s="3"/>
      <c r="FEG36" s="3"/>
      <c r="FEH36" s="3"/>
      <c r="FEI36" s="3"/>
      <c r="FEJ36" s="3"/>
      <c r="FEK36" s="3"/>
      <c r="FEL36" s="3"/>
      <c r="FEM36" s="3"/>
      <c r="FEN36" s="3"/>
      <c r="FEO36" s="3"/>
      <c r="FEP36" s="3"/>
      <c r="FEQ36" s="3"/>
      <c r="FER36" s="3"/>
      <c r="FES36" s="3"/>
      <c r="FET36" s="3"/>
      <c r="FEU36" s="3"/>
      <c r="FEV36" s="3"/>
      <c r="FEW36" s="3"/>
      <c r="FEX36" s="3"/>
      <c r="FEY36" s="3"/>
      <c r="FEZ36" s="3"/>
      <c r="FFA36" s="3"/>
      <c r="FFB36" s="3"/>
      <c r="FFC36" s="3"/>
      <c r="FFD36" s="3"/>
      <c r="FFE36" s="3"/>
      <c r="FFF36" s="3"/>
      <c r="FFG36" s="3"/>
      <c r="FFH36" s="3"/>
      <c r="FFI36" s="3"/>
      <c r="FFJ36" s="3"/>
      <c r="FFK36" s="3"/>
      <c r="FFL36" s="3"/>
      <c r="FFM36" s="3"/>
      <c r="FFN36" s="3"/>
      <c r="FFO36" s="3"/>
      <c r="FFP36" s="3"/>
      <c r="FFQ36" s="3"/>
      <c r="FFR36" s="3"/>
      <c r="FFS36" s="3"/>
      <c r="FFT36" s="3"/>
      <c r="FFU36" s="3"/>
      <c r="FFV36" s="3"/>
      <c r="FFW36" s="3"/>
      <c r="FFX36" s="3"/>
      <c r="FFY36" s="3"/>
      <c r="FFZ36" s="3"/>
      <c r="FGA36" s="3"/>
      <c r="FGB36" s="3"/>
      <c r="FGC36" s="3"/>
      <c r="FGD36" s="3"/>
      <c r="FGE36" s="3"/>
      <c r="FGF36" s="3"/>
      <c r="FGG36" s="3"/>
      <c r="FGH36" s="3"/>
      <c r="FGI36" s="3"/>
      <c r="FGJ36" s="3"/>
      <c r="FGK36" s="3"/>
      <c r="FGL36" s="3"/>
      <c r="FGM36" s="3"/>
      <c r="FGN36" s="3"/>
      <c r="FGO36" s="3"/>
      <c r="FGP36" s="3"/>
      <c r="FGQ36" s="3"/>
      <c r="FGR36" s="3"/>
      <c r="FGS36" s="3"/>
      <c r="FGT36" s="3"/>
      <c r="FGU36" s="3"/>
      <c r="FGV36" s="3"/>
      <c r="FGW36" s="3"/>
      <c r="FGX36" s="3"/>
      <c r="FGY36" s="3"/>
      <c r="FGZ36" s="3"/>
      <c r="FHA36" s="3"/>
      <c r="FHB36" s="3"/>
      <c r="FHC36" s="3"/>
      <c r="FHD36" s="3"/>
      <c r="FHE36" s="3"/>
      <c r="FHF36" s="3"/>
      <c r="FHG36" s="3"/>
      <c r="FHH36" s="3"/>
      <c r="FHI36" s="3"/>
      <c r="FHJ36" s="3"/>
      <c r="FHK36" s="3"/>
      <c r="FHL36" s="3"/>
      <c r="FHM36" s="3"/>
      <c r="FHN36" s="3"/>
      <c r="FHO36" s="3"/>
      <c r="FHP36" s="3"/>
      <c r="FHQ36" s="3"/>
      <c r="FHR36" s="3"/>
      <c r="FHS36" s="3"/>
      <c r="FHT36" s="3"/>
      <c r="FHU36" s="3"/>
      <c r="FHV36" s="3"/>
      <c r="FHW36" s="3"/>
      <c r="FHX36" s="3"/>
      <c r="FHY36" s="3"/>
      <c r="FHZ36" s="3"/>
      <c r="FIA36" s="3"/>
      <c r="FIB36" s="3"/>
      <c r="FIC36" s="3"/>
      <c r="FID36" s="3"/>
      <c r="FIE36" s="3"/>
      <c r="FIF36" s="3"/>
      <c r="FIG36" s="3"/>
      <c r="FIH36" s="3"/>
      <c r="FII36" s="3"/>
      <c r="FIJ36" s="3"/>
      <c r="FIK36" s="3"/>
      <c r="FIL36" s="3"/>
      <c r="FIM36" s="3"/>
      <c r="FIN36" s="3"/>
      <c r="FIO36" s="3"/>
      <c r="FIP36" s="3"/>
      <c r="FIQ36" s="3"/>
      <c r="FIR36" s="3"/>
      <c r="FIS36" s="3"/>
      <c r="FIT36" s="3"/>
      <c r="FIU36" s="3"/>
      <c r="FIV36" s="3"/>
      <c r="FIW36" s="3"/>
      <c r="FIX36" s="3"/>
      <c r="FIY36" s="3"/>
      <c r="FIZ36" s="3"/>
      <c r="FJA36" s="3"/>
      <c r="FJB36" s="3"/>
      <c r="FJC36" s="3"/>
      <c r="FJD36" s="3"/>
      <c r="FJE36" s="3"/>
      <c r="FJF36" s="3"/>
      <c r="FJG36" s="3"/>
      <c r="FJH36" s="3"/>
      <c r="FJI36" s="3"/>
      <c r="FJJ36" s="3"/>
      <c r="FJK36" s="3"/>
      <c r="FJL36" s="3"/>
      <c r="FJM36" s="3"/>
      <c r="FJN36" s="3"/>
      <c r="FJO36" s="3"/>
      <c r="FJP36" s="3"/>
      <c r="FJQ36" s="3"/>
      <c r="FJR36" s="3"/>
      <c r="FJS36" s="3"/>
      <c r="FJT36" s="3"/>
      <c r="FJU36" s="3"/>
      <c r="FJV36" s="3"/>
      <c r="FJW36" s="3"/>
      <c r="FJX36" s="3"/>
      <c r="FJY36" s="3"/>
      <c r="FJZ36" s="3"/>
      <c r="FKA36" s="3"/>
      <c r="FKB36" s="3"/>
      <c r="FKC36" s="3"/>
      <c r="FKD36" s="3"/>
      <c r="FKE36" s="3"/>
      <c r="FKF36" s="3"/>
      <c r="FKG36" s="3"/>
      <c r="FKH36" s="3"/>
      <c r="FKI36" s="3"/>
      <c r="FKJ36" s="3"/>
      <c r="FKK36" s="3"/>
      <c r="FKL36" s="3"/>
      <c r="FKM36" s="3"/>
      <c r="FKN36" s="3"/>
      <c r="FKO36" s="3"/>
      <c r="FKP36" s="3"/>
      <c r="FKQ36" s="3"/>
      <c r="FKR36" s="3"/>
      <c r="FKS36" s="3"/>
      <c r="FKT36" s="3"/>
      <c r="FKU36" s="3"/>
      <c r="FKV36" s="3"/>
      <c r="FKW36" s="3"/>
      <c r="FKX36" s="3"/>
      <c r="FKY36" s="3"/>
      <c r="FKZ36" s="3"/>
      <c r="FLA36" s="3"/>
      <c r="FLB36" s="3"/>
      <c r="FLC36" s="3"/>
      <c r="FLD36" s="3"/>
      <c r="FLE36" s="3"/>
      <c r="FLF36" s="3"/>
      <c r="FLG36" s="3"/>
      <c r="FLH36" s="3"/>
      <c r="FLI36" s="3"/>
      <c r="FLJ36" s="3"/>
      <c r="FLK36" s="3"/>
      <c r="FLL36" s="3"/>
      <c r="FLM36" s="3"/>
      <c r="FLN36" s="3"/>
      <c r="FLO36" s="3"/>
      <c r="FLP36" s="3"/>
      <c r="FLQ36" s="3"/>
      <c r="FLR36" s="3"/>
      <c r="FLS36" s="3"/>
      <c r="FLT36" s="3"/>
      <c r="FLU36" s="3"/>
      <c r="FLV36" s="3"/>
      <c r="FLW36" s="3"/>
      <c r="FLX36" s="3"/>
      <c r="FLY36" s="3"/>
      <c r="FLZ36" s="3"/>
      <c r="FMA36" s="3"/>
      <c r="FMB36" s="3"/>
      <c r="FMC36" s="3"/>
      <c r="FMD36" s="3"/>
      <c r="FME36" s="3"/>
      <c r="FMF36" s="3"/>
      <c r="FMG36" s="3"/>
      <c r="FMH36" s="3"/>
      <c r="FMI36" s="3"/>
      <c r="FMJ36" s="3"/>
      <c r="FMK36" s="3"/>
      <c r="FML36" s="3"/>
      <c r="FMM36" s="3"/>
      <c r="FMN36" s="3"/>
      <c r="FMO36" s="3"/>
      <c r="FMP36" s="3"/>
      <c r="FMQ36" s="3"/>
      <c r="FMR36" s="3"/>
      <c r="FMS36" s="3"/>
      <c r="FMT36" s="3"/>
      <c r="FMU36" s="3"/>
      <c r="FMV36" s="3"/>
      <c r="FMW36" s="3"/>
      <c r="FMX36" s="3"/>
      <c r="FMY36" s="3"/>
      <c r="FMZ36" s="3"/>
      <c r="FNA36" s="3"/>
      <c r="FNB36" s="3"/>
      <c r="FNC36" s="3"/>
      <c r="FND36" s="3"/>
      <c r="FNE36" s="3"/>
      <c r="FNF36" s="3"/>
      <c r="FNG36" s="3"/>
      <c r="FNH36" s="3"/>
      <c r="FNI36" s="3"/>
      <c r="FNJ36" s="3"/>
      <c r="FNK36" s="3"/>
      <c r="FNL36" s="3"/>
      <c r="FNM36" s="3"/>
      <c r="FNN36" s="3"/>
      <c r="FNO36" s="3"/>
      <c r="FNP36" s="3"/>
      <c r="FNQ36" s="3"/>
      <c r="FNR36" s="3"/>
      <c r="FNS36" s="3"/>
      <c r="FNT36" s="3"/>
      <c r="FNU36" s="3"/>
      <c r="FNV36" s="3"/>
      <c r="FNW36" s="3"/>
      <c r="FNX36" s="3"/>
      <c r="FNY36" s="3"/>
      <c r="FNZ36" s="3"/>
      <c r="FOA36" s="3"/>
      <c r="FOB36" s="3"/>
      <c r="FOC36" s="3"/>
      <c r="FOD36" s="3"/>
      <c r="FOE36" s="3"/>
      <c r="FOF36" s="3"/>
      <c r="FOG36" s="3"/>
      <c r="FOH36" s="3"/>
      <c r="FOI36" s="3"/>
      <c r="FOJ36" s="3"/>
      <c r="FOK36" s="3"/>
      <c r="FOL36" s="3"/>
      <c r="FOM36" s="3"/>
      <c r="FON36" s="3"/>
      <c r="FOO36" s="3"/>
      <c r="FOP36" s="3"/>
      <c r="FOQ36" s="3"/>
      <c r="FOR36" s="3"/>
      <c r="FOS36" s="3"/>
      <c r="FOT36" s="3"/>
      <c r="FOU36" s="3"/>
      <c r="FOV36" s="3"/>
      <c r="FOW36" s="3"/>
      <c r="FOX36" s="3"/>
      <c r="FOY36" s="3"/>
      <c r="FOZ36" s="3"/>
      <c r="FPA36" s="3"/>
      <c r="FPB36" s="3"/>
      <c r="FPC36" s="3"/>
      <c r="FPD36" s="3"/>
      <c r="FPE36" s="3"/>
      <c r="FPF36" s="3"/>
      <c r="FPG36" s="3"/>
      <c r="FPH36" s="3"/>
      <c r="FPI36" s="3"/>
      <c r="FPJ36" s="3"/>
      <c r="FPK36" s="3"/>
      <c r="FPL36" s="3"/>
      <c r="FPM36" s="3"/>
      <c r="FPN36" s="3"/>
      <c r="FPO36" s="3"/>
      <c r="FPP36" s="3"/>
      <c r="FPQ36" s="3"/>
      <c r="FPR36" s="3"/>
      <c r="FPS36" s="3"/>
      <c r="FPT36" s="3"/>
      <c r="FPU36" s="3"/>
      <c r="FPV36" s="3"/>
      <c r="FPW36" s="3"/>
      <c r="FPX36" s="3"/>
      <c r="FPY36" s="3"/>
      <c r="FPZ36" s="3"/>
      <c r="FQA36" s="3"/>
      <c r="FQB36" s="3"/>
      <c r="FQC36" s="3"/>
      <c r="FQD36" s="3"/>
      <c r="FQE36" s="3"/>
      <c r="FQF36" s="3"/>
      <c r="FQG36" s="3"/>
      <c r="FQH36" s="3"/>
      <c r="FQI36" s="3"/>
      <c r="FQJ36" s="3"/>
      <c r="FQK36" s="3"/>
      <c r="FQL36" s="3"/>
      <c r="FQM36" s="3"/>
      <c r="FQN36" s="3"/>
      <c r="FQO36" s="3"/>
      <c r="FQP36" s="3"/>
      <c r="FQQ36" s="3"/>
      <c r="FQR36" s="3"/>
      <c r="FQS36" s="3"/>
      <c r="FQT36" s="3"/>
      <c r="FQU36" s="3"/>
      <c r="FQV36" s="3"/>
      <c r="FQW36" s="3"/>
      <c r="FQX36" s="3"/>
      <c r="FQY36" s="3"/>
      <c r="FQZ36" s="3"/>
      <c r="FRA36" s="3"/>
      <c r="FRB36" s="3"/>
      <c r="FRC36" s="3"/>
      <c r="FRD36" s="3"/>
      <c r="FRE36" s="3"/>
      <c r="FRF36" s="3"/>
      <c r="FRG36" s="3"/>
      <c r="FRH36" s="3"/>
      <c r="FRI36" s="3"/>
      <c r="FRJ36" s="3"/>
      <c r="FRK36" s="3"/>
      <c r="FRL36" s="3"/>
      <c r="FRM36" s="3"/>
      <c r="FRN36" s="3"/>
      <c r="FRO36" s="3"/>
      <c r="FRP36" s="3"/>
      <c r="FRQ36" s="3"/>
      <c r="FRR36" s="3"/>
      <c r="FRS36" s="3"/>
      <c r="FRT36" s="3"/>
      <c r="FRU36" s="3"/>
      <c r="FRV36" s="3"/>
      <c r="FRW36" s="3"/>
      <c r="FRX36" s="3"/>
      <c r="FRY36" s="3"/>
      <c r="FRZ36" s="3"/>
      <c r="FSA36" s="3"/>
      <c r="FSB36" s="3"/>
      <c r="FSC36" s="3"/>
      <c r="FSD36" s="3"/>
      <c r="FSE36" s="3"/>
      <c r="FSF36" s="3"/>
      <c r="FSG36" s="3"/>
      <c r="FSH36" s="3"/>
      <c r="FSI36" s="3"/>
      <c r="FSJ36" s="3"/>
      <c r="FSK36" s="3"/>
      <c r="FSL36" s="3"/>
      <c r="FSM36" s="3"/>
      <c r="FSN36" s="3"/>
      <c r="FSO36" s="3"/>
      <c r="FSP36" s="3"/>
      <c r="FSQ36" s="3"/>
      <c r="FSR36" s="3"/>
      <c r="FSS36" s="3"/>
      <c r="FST36" s="3"/>
      <c r="FSU36" s="3"/>
      <c r="FSV36" s="3"/>
      <c r="FSW36" s="3"/>
      <c r="FSX36" s="3"/>
      <c r="FSY36" s="3"/>
      <c r="FSZ36" s="3"/>
      <c r="FTA36" s="3"/>
      <c r="FTB36" s="3"/>
      <c r="FTC36" s="3"/>
      <c r="FTD36" s="3"/>
      <c r="FTE36" s="3"/>
      <c r="FTF36" s="3"/>
      <c r="FTG36" s="3"/>
      <c r="FTH36" s="3"/>
      <c r="FTI36" s="3"/>
      <c r="FTJ36" s="3"/>
      <c r="FTK36" s="3"/>
      <c r="FTL36" s="3"/>
      <c r="FTM36" s="3"/>
      <c r="FTN36" s="3"/>
      <c r="FTO36" s="3"/>
      <c r="FTP36" s="3"/>
      <c r="FTQ36" s="3"/>
      <c r="FTR36" s="3"/>
      <c r="FTS36" s="3"/>
      <c r="FTT36" s="3"/>
      <c r="FTU36" s="3"/>
      <c r="FTV36" s="3"/>
      <c r="FTW36" s="3"/>
      <c r="FTX36" s="3"/>
      <c r="FTY36" s="3"/>
      <c r="FTZ36" s="3"/>
      <c r="FUA36" s="3"/>
      <c r="FUB36" s="3"/>
      <c r="FUC36" s="3"/>
      <c r="FUD36" s="3"/>
      <c r="FUE36" s="3"/>
      <c r="FUF36" s="3"/>
      <c r="FUG36" s="3"/>
      <c r="FUH36" s="3"/>
      <c r="FUI36" s="3"/>
      <c r="FUJ36" s="3"/>
      <c r="FUK36" s="3"/>
      <c r="FUL36" s="3"/>
      <c r="FUM36" s="3"/>
      <c r="FUN36" s="3"/>
      <c r="FUO36" s="3"/>
      <c r="FUP36" s="3"/>
      <c r="FUQ36" s="3"/>
      <c r="FUR36" s="3"/>
      <c r="FUS36" s="3"/>
      <c r="FUT36" s="3"/>
      <c r="FUU36" s="3"/>
      <c r="FUV36" s="3"/>
      <c r="FUW36" s="3"/>
      <c r="FUX36" s="3"/>
      <c r="FUY36" s="3"/>
      <c r="FUZ36" s="3"/>
      <c r="FVA36" s="3"/>
      <c r="FVB36" s="3"/>
      <c r="FVC36" s="3"/>
      <c r="FVD36" s="3"/>
      <c r="FVE36" s="3"/>
      <c r="FVF36" s="3"/>
      <c r="FVG36" s="3"/>
      <c r="FVH36" s="3"/>
      <c r="FVI36" s="3"/>
      <c r="FVJ36" s="3"/>
      <c r="FVK36" s="3"/>
      <c r="FVL36" s="3"/>
      <c r="FVM36" s="3"/>
      <c r="FVN36" s="3"/>
      <c r="FVO36" s="3"/>
      <c r="FVP36" s="3"/>
      <c r="FVQ36" s="3"/>
      <c r="FVR36" s="3"/>
      <c r="FVS36" s="3"/>
      <c r="FVT36" s="3"/>
      <c r="FVU36" s="3"/>
      <c r="FVV36" s="3"/>
      <c r="FVW36" s="3"/>
      <c r="FVX36" s="3"/>
      <c r="FVY36" s="3"/>
      <c r="FVZ36" s="3"/>
      <c r="FWA36" s="3"/>
      <c r="FWB36" s="3"/>
      <c r="FWC36" s="3"/>
      <c r="FWD36" s="3"/>
      <c r="FWE36" s="3"/>
      <c r="FWF36" s="3"/>
      <c r="FWG36" s="3"/>
      <c r="FWH36" s="3"/>
      <c r="FWI36" s="3"/>
      <c r="FWJ36" s="3"/>
      <c r="FWK36" s="3"/>
      <c r="FWL36" s="3"/>
      <c r="FWM36" s="3"/>
      <c r="FWN36" s="3"/>
      <c r="FWO36" s="3"/>
      <c r="FWP36" s="3"/>
      <c r="FWQ36" s="3"/>
      <c r="FWR36" s="3"/>
      <c r="FWS36" s="3"/>
      <c r="FWT36" s="3"/>
      <c r="FWU36" s="3"/>
      <c r="FWV36" s="3"/>
      <c r="FWW36" s="3"/>
      <c r="FWX36" s="3"/>
      <c r="FWY36" s="3"/>
      <c r="FWZ36" s="3"/>
      <c r="FXA36" s="3"/>
      <c r="FXB36" s="3"/>
      <c r="FXC36" s="3"/>
      <c r="FXD36" s="3"/>
      <c r="FXE36" s="3"/>
      <c r="FXF36" s="3"/>
      <c r="FXG36" s="3"/>
      <c r="FXH36" s="3"/>
      <c r="FXI36" s="3"/>
      <c r="FXJ36" s="3"/>
      <c r="FXK36" s="3"/>
      <c r="FXL36" s="3"/>
      <c r="FXM36" s="3"/>
      <c r="FXN36" s="3"/>
      <c r="FXO36" s="3"/>
      <c r="FXP36" s="3"/>
      <c r="FXQ36" s="3"/>
      <c r="FXR36" s="3"/>
      <c r="FXS36" s="3"/>
      <c r="FXT36" s="3"/>
      <c r="FXU36" s="3"/>
      <c r="FXV36" s="3"/>
      <c r="FXW36" s="3"/>
      <c r="FXX36" s="3"/>
      <c r="FXY36" s="3"/>
      <c r="FXZ36" s="3"/>
      <c r="FYA36" s="3"/>
      <c r="FYB36" s="3"/>
      <c r="FYC36" s="3"/>
      <c r="FYD36" s="3"/>
      <c r="FYE36" s="3"/>
      <c r="FYF36" s="3"/>
      <c r="FYG36" s="3"/>
      <c r="FYH36" s="3"/>
      <c r="FYI36" s="3"/>
      <c r="FYJ36" s="3"/>
      <c r="FYK36" s="3"/>
      <c r="FYL36" s="3"/>
      <c r="FYM36" s="3"/>
      <c r="FYN36" s="3"/>
      <c r="FYO36" s="3"/>
      <c r="FYP36" s="3"/>
      <c r="FYQ36" s="3"/>
      <c r="FYR36" s="3"/>
      <c r="FYS36" s="3"/>
      <c r="FYT36" s="3"/>
      <c r="FYU36" s="3"/>
      <c r="FYV36" s="3"/>
      <c r="FYW36" s="3"/>
      <c r="FYX36" s="3"/>
      <c r="FYY36" s="3"/>
      <c r="FYZ36" s="3"/>
      <c r="FZA36" s="3"/>
      <c r="FZB36" s="3"/>
      <c r="FZC36" s="3"/>
      <c r="FZD36" s="3"/>
      <c r="FZE36" s="3"/>
      <c r="FZF36" s="3"/>
      <c r="FZG36" s="3"/>
      <c r="FZH36" s="3"/>
      <c r="FZI36" s="3"/>
      <c r="FZJ36" s="3"/>
      <c r="FZK36" s="3"/>
      <c r="FZL36" s="3"/>
      <c r="FZM36" s="3"/>
      <c r="FZN36" s="3"/>
      <c r="FZO36" s="3"/>
      <c r="FZP36" s="3"/>
      <c r="FZQ36" s="3"/>
      <c r="FZR36" s="3"/>
      <c r="FZS36" s="3"/>
      <c r="FZT36" s="3"/>
      <c r="FZU36" s="3"/>
      <c r="FZV36" s="3"/>
      <c r="FZW36" s="3"/>
      <c r="FZX36" s="3"/>
      <c r="FZY36" s="3"/>
      <c r="FZZ36" s="3"/>
      <c r="GAA36" s="3"/>
      <c r="GAB36" s="3"/>
      <c r="GAC36" s="3"/>
      <c r="GAD36" s="3"/>
      <c r="GAE36" s="3"/>
      <c r="GAF36" s="3"/>
      <c r="GAG36" s="3"/>
      <c r="GAH36" s="3"/>
      <c r="GAI36" s="3"/>
      <c r="GAJ36" s="3"/>
      <c r="GAK36" s="3"/>
      <c r="GAL36" s="3"/>
      <c r="GAM36" s="3"/>
      <c r="GAN36" s="3"/>
      <c r="GAO36" s="3"/>
      <c r="GAP36" s="3"/>
      <c r="GAQ36" s="3"/>
      <c r="GAR36" s="3"/>
      <c r="GAS36" s="3"/>
      <c r="GAT36" s="3"/>
      <c r="GAU36" s="3"/>
      <c r="GAV36" s="3"/>
      <c r="GAW36" s="3"/>
      <c r="GAX36" s="3"/>
      <c r="GAY36" s="3"/>
      <c r="GAZ36" s="3"/>
      <c r="GBA36" s="3"/>
      <c r="GBB36" s="3"/>
      <c r="GBC36" s="3"/>
      <c r="GBD36" s="3"/>
      <c r="GBE36" s="3"/>
      <c r="GBF36" s="3"/>
      <c r="GBG36" s="3"/>
      <c r="GBH36" s="3"/>
      <c r="GBI36" s="3"/>
      <c r="GBJ36" s="3"/>
      <c r="GBK36" s="3"/>
      <c r="GBL36" s="3"/>
      <c r="GBM36" s="3"/>
      <c r="GBN36" s="3"/>
      <c r="GBO36" s="3"/>
      <c r="GBP36" s="3"/>
      <c r="GBQ36" s="3"/>
      <c r="GBR36" s="3"/>
      <c r="GBS36" s="3"/>
      <c r="GBT36" s="3"/>
      <c r="GBU36" s="3"/>
      <c r="GBV36" s="3"/>
      <c r="GBW36" s="3"/>
      <c r="GBX36" s="3"/>
      <c r="GBY36" s="3"/>
      <c r="GBZ36" s="3"/>
      <c r="GCA36" s="3"/>
      <c r="GCB36" s="3"/>
      <c r="GCC36" s="3"/>
      <c r="GCD36" s="3"/>
      <c r="GCE36" s="3"/>
      <c r="GCF36" s="3"/>
      <c r="GCG36" s="3"/>
      <c r="GCH36" s="3"/>
      <c r="GCI36" s="3"/>
      <c r="GCJ36" s="3"/>
      <c r="GCK36" s="3"/>
      <c r="GCL36" s="3"/>
      <c r="GCM36" s="3"/>
      <c r="GCN36" s="3"/>
      <c r="GCO36" s="3"/>
      <c r="GCP36" s="3"/>
      <c r="GCQ36" s="3"/>
      <c r="GCR36" s="3"/>
      <c r="GCS36" s="3"/>
      <c r="GCT36" s="3"/>
      <c r="GCU36" s="3"/>
      <c r="GCV36" s="3"/>
      <c r="GCW36" s="3"/>
      <c r="GCX36" s="3"/>
      <c r="GCY36" s="3"/>
      <c r="GCZ36" s="3"/>
      <c r="GDA36" s="3"/>
      <c r="GDB36" s="3"/>
      <c r="GDC36" s="3"/>
      <c r="GDD36" s="3"/>
      <c r="GDE36" s="3"/>
      <c r="GDF36" s="3"/>
      <c r="GDG36" s="3"/>
      <c r="GDH36" s="3"/>
      <c r="GDI36" s="3"/>
      <c r="GDJ36" s="3"/>
      <c r="GDK36" s="3"/>
      <c r="GDL36" s="3"/>
      <c r="GDM36" s="3"/>
      <c r="GDN36" s="3"/>
      <c r="GDO36" s="3"/>
      <c r="GDP36" s="3"/>
      <c r="GDQ36" s="3"/>
      <c r="GDR36" s="3"/>
      <c r="GDS36" s="3"/>
      <c r="GDT36" s="3"/>
      <c r="GDU36" s="3"/>
      <c r="GDV36" s="3"/>
      <c r="GDW36" s="3"/>
      <c r="GDX36" s="3"/>
      <c r="GDY36" s="3"/>
      <c r="GDZ36" s="3"/>
      <c r="GEA36" s="3"/>
      <c r="GEB36" s="3"/>
      <c r="GEC36" s="3"/>
      <c r="GED36" s="3"/>
      <c r="GEE36" s="3"/>
      <c r="GEF36" s="3"/>
      <c r="GEG36" s="3"/>
      <c r="GEH36" s="3"/>
      <c r="GEI36" s="3"/>
      <c r="GEJ36" s="3"/>
      <c r="GEK36" s="3"/>
      <c r="GEL36" s="3"/>
      <c r="GEM36" s="3"/>
      <c r="GEN36" s="3"/>
      <c r="GEO36" s="3"/>
      <c r="GEP36" s="3"/>
      <c r="GEQ36" s="3"/>
      <c r="GER36" s="3"/>
      <c r="GES36" s="3"/>
      <c r="GET36" s="3"/>
      <c r="GEU36" s="3"/>
      <c r="GEV36" s="3"/>
      <c r="GEW36" s="3"/>
      <c r="GEX36" s="3"/>
      <c r="GEY36" s="3"/>
      <c r="GEZ36" s="3"/>
      <c r="GFA36" s="3"/>
      <c r="GFB36" s="3"/>
      <c r="GFC36" s="3"/>
      <c r="GFD36" s="3"/>
      <c r="GFE36" s="3"/>
      <c r="GFF36" s="3"/>
      <c r="GFG36" s="3"/>
      <c r="GFH36" s="3"/>
      <c r="GFI36" s="3"/>
      <c r="GFJ36" s="3"/>
      <c r="GFK36" s="3"/>
      <c r="GFL36" s="3"/>
      <c r="GFM36" s="3"/>
      <c r="GFN36" s="3"/>
      <c r="GFO36" s="3"/>
      <c r="GFP36" s="3"/>
      <c r="GFQ36" s="3"/>
      <c r="GFR36" s="3"/>
      <c r="GFS36" s="3"/>
      <c r="GFT36" s="3"/>
      <c r="GFU36" s="3"/>
      <c r="GFV36" s="3"/>
      <c r="GFW36" s="3"/>
      <c r="GFX36" s="3"/>
      <c r="GFY36" s="3"/>
      <c r="GFZ36" s="3"/>
      <c r="GGA36" s="3"/>
      <c r="GGB36" s="3"/>
      <c r="GGC36" s="3"/>
      <c r="GGD36" s="3"/>
      <c r="GGE36" s="3"/>
      <c r="GGF36" s="3"/>
      <c r="GGG36" s="3"/>
      <c r="GGH36" s="3"/>
      <c r="GGI36" s="3"/>
      <c r="GGJ36" s="3"/>
      <c r="GGK36" s="3"/>
      <c r="GGL36" s="3"/>
      <c r="GGM36" s="3"/>
      <c r="GGN36" s="3"/>
      <c r="GGO36" s="3"/>
      <c r="GGP36" s="3"/>
      <c r="GGQ36" s="3"/>
      <c r="GGR36" s="3"/>
      <c r="GGS36" s="3"/>
      <c r="GGT36" s="3"/>
      <c r="GGU36" s="3"/>
      <c r="GGV36" s="3"/>
      <c r="GGW36" s="3"/>
      <c r="GGX36" s="3"/>
      <c r="GGY36" s="3"/>
      <c r="GGZ36" s="3"/>
      <c r="GHA36" s="3"/>
      <c r="GHB36" s="3"/>
      <c r="GHC36" s="3"/>
      <c r="GHD36" s="3"/>
      <c r="GHE36" s="3"/>
      <c r="GHF36" s="3"/>
      <c r="GHG36" s="3"/>
      <c r="GHH36" s="3"/>
      <c r="GHI36" s="3"/>
      <c r="GHJ36" s="3"/>
      <c r="GHK36" s="3"/>
      <c r="GHL36" s="3"/>
      <c r="GHM36" s="3"/>
      <c r="GHN36" s="3"/>
      <c r="GHO36" s="3"/>
      <c r="GHP36" s="3"/>
      <c r="GHQ36" s="3"/>
      <c r="GHR36" s="3"/>
      <c r="GHS36" s="3"/>
      <c r="GHT36" s="3"/>
      <c r="GHU36" s="3"/>
      <c r="GHV36" s="3"/>
      <c r="GHW36" s="3"/>
      <c r="GHX36" s="3"/>
      <c r="GHY36" s="3"/>
      <c r="GHZ36" s="3"/>
      <c r="GIA36" s="3"/>
      <c r="GIB36" s="3"/>
      <c r="GIC36" s="3"/>
      <c r="GID36" s="3"/>
      <c r="GIE36" s="3"/>
      <c r="GIF36" s="3"/>
      <c r="GIG36" s="3"/>
      <c r="GIH36" s="3"/>
      <c r="GII36" s="3"/>
      <c r="GIJ36" s="3"/>
      <c r="GIK36" s="3"/>
      <c r="GIL36" s="3"/>
      <c r="GIM36" s="3"/>
      <c r="GIN36" s="3"/>
      <c r="GIO36" s="3"/>
      <c r="GIP36" s="3"/>
      <c r="GIQ36" s="3"/>
      <c r="GIR36" s="3"/>
      <c r="GIS36" s="3"/>
      <c r="GIT36" s="3"/>
      <c r="GIU36" s="3"/>
      <c r="GIV36" s="3"/>
      <c r="GIW36" s="3"/>
      <c r="GIX36" s="3"/>
      <c r="GIY36" s="3"/>
      <c r="GIZ36" s="3"/>
      <c r="GJA36" s="3"/>
      <c r="GJB36" s="3"/>
      <c r="GJC36" s="3"/>
      <c r="GJD36" s="3"/>
      <c r="GJE36" s="3"/>
      <c r="GJF36" s="3"/>
      <c r="GJG36" s="3"/>
      <c r="GJH36" s="3"/>
      <c r="GJI36" s="3"/>
      <c r="GJJ36" s="3"/>
      <c r="GJK36" s="3"/>
      <c r="GJL36" s="3"/>
      <c r="GJM36" s="3"/>
      <c r="GJN36" s="3"/>
      <c r="GJO36" s="3"/>
      <c r="GJP36" s="3"/>
      <c r="GJQ36" s="3"/>
      <c r="GJR36" s="3"/>
      <c r="GJS36" s="3"/>
      <c r="GJT36" s="3"/>
      <c r="GJU36" s="3"/>
      <c r="GJV36" s="3"/>
      <c r="GJW36" s="3"/>
      <c r="GJX36" s="3"/>
      <c r="GJY36" s="3"/>
      <c r="GJZ36" s="3"/>
      <c r="GKA36" s="3"/>
      <c r="GKB36" s="3"/>
      <c r="GKC36" s="3"/>
      <c r="GKD36" s="3"/>
      <c r="GKE36" s="3"/>
      <c r="GKF36" s="3"/>
      <c r="GKG36" s="3"/>
      <c r="GKH36" s="3"/>
      <c r="GKI36" s="3"/>
      <c r="GKJ36" s="3"/>
      <c r="GKK36" s="3"/>
      <c r="GKL36" s="3"/>
      <c r="GKM36" s="3"/>
      <c r="GKN36" s="3"/>
      <c r="GKO36" s="3"/>
      <c r="GKP36" s="3"/>
      <c r="GKQ36" s="3"/>
      <c r="GKR36" s="3"/>
      <c r="GKS36" s="3"/>
      <c r="GKT36" s="3"/>
      <c r="GKU36" s="3"/>
      <c r="GKV36" s="3"/>
      <c r="GKW36" s="3"/>
      <c r="GKX36" s="3"/>
      <c r="GKY36" s="3"/>
      <c r="GKZ36" s="3"/>
      <c r="GLA36" s="3"/>
      <c r="GLB36" s="3"/>
      <c r="GLC36" s="3"/>
      <c r="GLD36" s="3"/>
      <c r="GLE36" s="3"/>
      <c r="GLF36" s="3"/>
      <c r="GLG36" s="3"/>
      <c r="GLH36" s="3"/>
      <c r="GLI36" s="3"/>
      <c r="GLJ36" s="3"/>
      <c r="GLK36" s="3"/>
      <c r="GLL36" s="3"/>
      <c r="GLM36" s="3"/>
      <c r="GLN36" s="3"/>
      <c r="GLO36" s="3"/>
      <c r="GLP36" s="3"/>
      <c r="GLQ36" s="3"/>
      <c r="GLR36" s="3"/>
      <c r="GLS36" s="3"/>
      <c r="GLT36" s="3"/>
      <c r="GLU36" s="3"/>
      <c r="GLV36" s="3"/>
      <c r="GLW36" s="3"/>
      <c r="GLX36" s="3"/>
      <c r="GLY36" s="3"/>
      <c r="GLZ36" s="3"/>
      <c r="GMA36" s="3"/>
      <c r="GMB36" s="3"/>
      <c r="GMC36" s="3"/>
      <c r="GMD36" s="3"/>
      <c r="GME36" s="3"/>
      <c r="GMF36" s="3"/>
      <c r="GMG36" s="3"/>
      <c r="GMH36" s="3"/>
      <c r="GMI36" s="3"/>
      <c r="GMJ36" s="3"/>
      <c r="GMK36" s="3"/>
      <c r="GML36" s="3"/>
      <c r="GMM36" s="3"/>
      <c r="GMN36" s="3"/>
      <c r="GMO36" s="3"/>
      <c r="GMP36" s="3"/>
      <c r="GMQ36" s="3"/>
      <c r="GMR36" s="3"/>
      <c r="GMS36" s="3"/>
      <c r="GMT36" s="3"/>
      <c r="GMU36" s="3"/>
      <c r="GMV36" s="3"/>
      <c r="GMW36" s="3"/>
      <c r="GMX36" s="3"/>
      <c r="GMY36" s="3"/>
      <c r="GMZ36" s="3"/>
      <c r="GNA36" s="3"/>
      <c r="GNB36" s="3"/>
      <c r="GNC36" s="3"/>
      <c r="GND36" s="3"/>
      <c r="GNE36" s="3"/>
      <c r="GNF36" s="3"/>
      <c r="GNG36" s="3"/>
      <c r="GNH36" s="3"/>
      <c r="GNI36" s="3"/>
      <c r="GNJ36" s="3"/>
      <c r="GNK36" s="3"/>
      <c r="GNL36" s="3"/>
      <c r="GNM36" s="3"/>
      <c r="GNN36" s="3"/>
      <c r="GNO36" s="3"/>
      <c r="GNP36" s="3"/>
      <c r="GNQ36" s="3"/>
      <c r="GNR36" s="3"/>
      <c r="GNS36" s="3"/>
      <c r="GNT36" s="3"/>
      <c r="GNU36" s="3"/>
      <c r="GNV36" s="3"/>
      <c r="GNW36" s="3"/>
      <c r="GNX36" s="3"/>
      <c r="GNY36" s="3"/>
      <c r="GNZ36" s="3"/>
      <c r="GOA36" s="3"/>
      <c r="GOB36" s="3"/>
      <c r="GOC36" s="3"/>
      <c r="GOD36" s="3"/>
      <c r="GOE36" s="3"/>
      <c r="GOF36" s="3"/>
      <c r="GOG36" s="3"/>
      <c r="GOH36" s="3"/>
      <c r="GOI36" s="3"/>
      <c r="GOJ36" s="3"/>
      <c r="GOK36" s="3"/>
      <c r="GOL36" s="3"/>
      <c r="GOM36" s="3"/>
      <c r="GON36" s="3"/>
      <c r="GOO36" s="3"/>
      <c r="GOP36" s="3"/>
      <c r="GOQ36" s="3"/>
      <c r="GOR36" s="3"/>
      <c r="GOS36" s="3"/>
      <c r="GOT36" s="3"/>
      <c r="GOU36" s="3"/>
      <c r="GOV36" s="3"/>
      <c r="GOW36" s="3"/>
      <c r="GOX36" s="3"/>
      <c r="GOY36" s="3"/>
      <c r="GOZ36" s="3"/>
      <c r="GPA36" s="3"/>
      <c r="GPB36" s="3"/>
      <c r="GPC36" s="3"/>
      <c r="GPD36" s="3"/>
      <c r="GPE36" s="3"/>
      <c r="GPF36" s="3"/>
      <c r="GPG36" s="3"/>
      <c r="GPH36" s="3"/>
      <c r="GPI36" s="3"/>
      <c r="GPJ36" s="3"/>
      <c r="GPK36" s="3"/>
      <c r="GPL36" s="3"/>
      <c r="GPM36" s="3"/>
      <c r="GPN36" s="3"/>
      <c r="GPO36" s="3"/>
      <c r="GPP36" s="3"/>
      <c r="GPQ36" s="3"/>
      <c r="GPR36" s="3"/>
      <c r="GPS36" s="3"/>
      <c r="GPT36" s="3"/>
      <c r="GPU36" s="3"/>
      <c r="GPV36" s="3"/>
      <c r="GPW36" s="3"/>
      <c r="GPX36" s="3"/>
      <c r="GPY36" s="3"/>
      <c r="GPZ36" s="3"/>
      <c r="GQA36" s="3"/>
      <c r="GQB36" s="3"/>
      <c r="GQC36" s="3"/>
      <c r="GQD36" s="3"/>
      <c r="GQE36" s="3"/>
      <c r="GQF36" s="3"/>
      <c r="GQG36" s="3"/>
      <c r="GQH36" s="3"/>
      <c r="GQI36" s="3"/>
      <c r="GQJ36" s="3"/>
      <c r="GQK36" s="3"/>
      <c r="GQL36" s="3"/>
      <c r="GQM36" s="3"/>
      <c r="GQN36" s="3"/>
      <c r="GQO36" s="3"/>
      <c r="GQP36" s="3"/>
      <c r="GQQ36" s="3"/>
      <c r="GQR36" s="3"/>
      <c r="GQS36" s="3"/>
      <c r="GQT36" s="3"/>
      <c r="GQU36" s="3"/>
      <c r="GQV36" s="3"/>
      <c r="GQW36" s="3"/>
      <c r="GQX36" s="3"/>
      <c r="GQY36" s="3"/>
      <c r="GQZ36" s="3"/>
      <c r="GRA36" s="3"/>
      <c r="GRB36" s="3"/>
      <c r="GRC36" s="3"/>
      <c r="GRD36" s="3"/>
      <c r="GRE36" s="3"/>
      <c r="GRF36" s="3"/>
      <c r="GRG36" s="3"/>
      <c r="GRH36" s="3"/>
      <c r="GRI36" s="3"/>
      <c r="GRJ36" s="3"/>
      <c r="GRK36" s="3"/>
      <c r="GRL36" s="3"/>
      <c r="GRM36" s="3"/>
      <c r="GRN36" s="3"/>
      <c r="GRO36" s="3"/>
      <c r="GRP36" s="3"/>
      <c r="GRQ36" s="3"/>
      <c r="GRR36" s="3"/>
      <c r="GRS36" s="3"/>
      <c r="GRT36" s="3"/>
      <c r="GRU36" s="3"/>
      <c r="GRV36" s="3"/>
      <c r="GRW36" s="3"/>
      <c r="GRX36" s="3"/>
      <c r="GRY36" s="3"/>
      <c r="GRZ36" s="3"/>
      <c r="GSA36" s="3"/>
      <c r="GSB36" s="3"/>
      <c r="GSC36" s="3"/>
      <c r="GSD36" s="3"/>
      <c r="GSE36" s="3"/>
      <c r="GSF36" s="3"/>
      <c r="GSG36" s="3"/>
      <c r="GSH36" s="3"/>
      <c r="GSI36" s="3"/>
      <c r="GSJ36" s="3"/>
      <c r="GSK36" s="3"/>
      <c r="GSL36" s="3"/>
      <c r="GSM36" s="3"/>
      <c r="GSN36" s="3"/>
      <c r="GSO36" s="3"/>
      <c r="GSP36" s="3"/>
      <c r="GSQ36" s="3"/>
      <c r="GSR36" s="3"/>
      <c r="GSS36" s="3"/>
      <c r="GST36" s="3"/>
      <c r="GSU36" s="3"/>
      <c r="GSV36" s="3"/>
      <c r="GSW36" s="3"/>
      <c r="GSX36" s="3"/>
      <c r="GSY36" s="3"/>
      <c r="GSZ36" s="3"/>
      <c r="GTA36" s="3"/>
      <c r="GTB36" s="3"/>
      <c r="GTC36" s="3"/>
      <c r="GTD36" s="3"/>
      <c r="GTE36" s="3"/>
      <c r="GTF36" s="3"/>
      <c r="GTG36" s="3"/>
      <c r="GTH36" s="3"/>
      <c r="GTI36" s="3"/>
      <c r="GTJ36" s="3"/>
      <c r="GTK36" s="3"/>
      <c r="GTL36" s="3"/>
      <c r="GTM36" s="3"/>
      <c r="GTN36" s="3"/>
      <c r="GTO36" s="3"/>
      <c r="GTP36" s="3"/>
      <c r="GTQ36" s="3"/>
      <c r="GTR36" s="3"/>
      <c r="GTS36" s="3"/>
      <c r="GTT36" s="3"/>
      <c r="GTU36" s="3"/>
      <c r="GTV36" s="3"/>
      <c r="GTW36" s="3"/>
      <c r="GTX36" s="3"/>
      <c r="GTY36" s="3"/>
      <c r="GTZ36" s="3"/>
      <c r="GUA36" s="3"/>
      <c r="GUB36" s="3"/>
      <c r="GUC36" s="3"/>
      <c r="GUD36" s="3"/>
      <c r="GUE36" s="3"/>
      <c r="GUF36" s="3"/>
      <c r="GUG36" s="3"/>
      <c r="GUH36" s="3"/>
      <c r="GUI36" s="3"/>
      <c r="GUJ36" s="3"/>
      <c r="GUK36" s="3"/>
      <c r="GUL36" s="3"/>
      <c r="GUM36" s="3"/>
      <c r="GUN36" s="3"/>
      <c r="GUO36" s="3"/>
      <c r="GUP36" s="3"/>
      <c r="GUQ36" s="3"/>
      <c r="GUR36" s="3"/>
      <c r="GUS36" s="3"/>
      <c r="GUT36" s="3"/>
      <c r="GUU36" s="3"/>
      <c r="GUV36" s="3"/>
      <c r="GUW36" s="3"/>
      <c r="GUX36" s="3"/>
      <c r="GUY36" s="3"/>
      <c r="GUZ36" s="3"/>
      <c r="GVA36" s="3"/>
      <c r="GVB36" s="3"/>
      <c r="GVC36" s="3"/>
      <c r="GVD36" s="3"/>
      <c r="GVE36" s="3"/>
      <c r="GVF36" s="3"/>
      <c r="GVG36" s="3"/>
      <c r="GVH36" s="3"/>
      <c r="GVI36" s="3"/>
      <c r="GVJ36" s="3"/>
      <c r="GVK36" s="3"/>
      <c r="GVL36" s="3"/>
      <c r="GVM36" s="3"/>
      <c r="GVN36" s="3"/>
      <c r="GVO36" s="3"/>
      <c r="GVP36" s="3"/>
      <c r="GVQ36" s="3"/>
      <c r="GVR36" s="3"/>
      <c r="GVS36" s="3"/>
      <c r="GVT36" s="3"/>
      <c r="GVU36" s="3"/>
      <c r="GVV36" s="3"/>
      <c r="GVW36" s="3"/>
      <c r="GVX36" s="3"/>
      <c r="GVY36" s="3"/>
      <c r="GVZ36" s="3"/>
      <c r="GWA36" s="3"/>
      <c r="GWB36" s="3"/>
      <c r="GWC36" s="3"/>
      <c r="GWD36" s="3"/>
      <c r="GWE36" s="3"/>
      <c r="GWF36" s="3"/>
      <c r="GWG36" s="3"/>
      <c r="GWH36" s="3"/>
      <c r="GWI36" s="3"/>
      <c r="GWJ36" s="3"/>
      <c r="GWK36" s="3"/>
      <c r="GWL36" s="3"/>
      <c r="GWM36" s="3"/>
      <c r="GWN36" s="3"/>
      <c r="GWO36" s="3"/>
      <c r="GWP36" s="3"/>
      <c r="GWQ36" s="3"/>
      <c r="GWR36" s="3"/>
      <c r="GWS36" s="3"/>
      <c r="GWT36" s="3"/>
      <c r="GWU36" s="3"/>
      <c r="GWV36" s="3"/>
      <c r="GWW36" s="3"/>
      <c r="GWX36" s="3"/>
      <c r="GWY36" s="3"/>
      <c r="GWZ36" s="3"/>
      <c r="GXA36" s="3"/>
      <c r="GXB36" s="3"/>
      <c r="GXC36" s="3"/>
      <c r="GXD36" s="3"/>
      <c r="GXE36" s="3"/>
      <c r="GXF36" s="3"/>
      <c r="GXG36" s="3"/>
      <c r="GXH36" s="3"/>
      <c r="GXI36" s="3"/>
      <c r="GXJ36" s="3"/>
      <c r="GXK36" s="3"/>
      <c r="GXL36" s="3"/>
      <c r="GXM36" s="3"/>
      <c r="GXN36" s="3"/>
      <c r="GXO36" s="3"/>
      <c r="GXP36" s="3"/>
      <c r="GXQ36" s="3"/>
      <c r="GXR36" s="3"/>
      <c r="GXS36" s="3"/>
      <c r="GXT36" s="3"/>
      <c r="GXU36" s="3"/>
      <c r="GXV36" s="3"/>
      <c r="GXW36" s="3"/>
      <c r="GXX36" s="3"/>
      <c r="GXY36" s="3"/>
      <c r="GXZ36" s="3"/>
      <c r="GYA36" s="3"/>
      <c r="GYB36" s="3"/>
      <c r="GYC36" s="3"/>
      <c r="GYD36" s="3"/>
      <c r="GYE36" s="3"/>
      <c r="GYF36" s="3"/>
      <c r="GYG36" s="3"/>
      <c r="GYH36" s="3"/>
      <c r="GYI36" s="3"/>
      <c r="GYJ36" s="3"/>
      <c r="GYK36" s="3"/>
      <c r="GYL36" s="3"/>
      <c r="GYM36" s="3"/>
      <c r="GYN36" s="3"/>
      <c r="GYO36" s="3"/>
      <c r="GYP36" s="3"/>
      <c r="GYQ36" s="3"/>
      <c r="GYR36" s="3"/>
      <c r="GYS36" s="3"/>
      <c r="GYT36" s="3"/>
      <c r="GYU36" s="3"/>
      <c r="GYV36" s="3"/>
      <c r="GYW36" s="3"/>
      <c r="GYX36" s="3"/>
      <c r="GYY36" s="3"/>
      <c r="GYZ36" s="3"/>
      <c r="GZA36" s="3"/>
      <c r="GZB36" s="3"/>
      <c r="GZC36" s="3"/>
      <c r="GZD36" s="3"/>
      <c r="GZE36" s="3"/>
      <c r="GZF36" s="3"/>
      <c r="GZG36" s="3"/>
      <c r="GZH36" s="3"/>
      <c r="GZI36" s="3"/>
      <c r="GZJ36" s="3"/>
      <c r="GZK36" s="3"/>
      <c r="GZL36" s="3"/>
      <c r="GZM36" s="3"/>
      <c r="GZN36" s="3"/>
      <c r="GZO36" s="3"/>
      <c r="GZP36" s="3"/>
      <c r="GZQ36" s="3"/>
      <c r="GZR36" s="3"/>
      <c r="GZS36" s="3"/>
      <c r="GZT36" s="3"/>
      <c r="GZU36" s="3"/>
      <c r="GZV36" s="3"/>
      <c r="GZW36" s="3"/>
      <c r="GZX36" s="3"/>
      <c r="GZY36" s="3"/>
      <c r="GZZ36" s="3"/>
      <c r="HAA36" s="3"/>
      <c r="HAB36" s="3"/>
      <c r="HAC36" s="3"/>
      <c r="HAD36" s="3"/>
      <c r="HAE36" s="3"/>
      <c r="HAF36" s="3"/>
      <c r="HAG36" s="3"/>
      <c r="HAH36" s="3"/>
      <c r="HAI36" s="3"/>
      <c r="HAJ36" s="3"/>
      <c r="HAK36" s="3"/>
      <c r="HAL36" s="3"/>
      <c r="HAM36" s="3"/>
      <c r="HAN36" s="3"/>
      <c r="HAO36" s="3"/>
      <c r="HAP36" s="3"/>
      <c r="HAQ36" s="3"/>
      <c r="HAR36" s="3"/>
      <c r="HAS36" s="3"/>
      <c r="HAT36" s="3"/>
      <c r="HAU36" s="3"/>
      <c r="HAV36" s="3"/>
      <c r="HAW36" s="3"/>
      <c r="HAX36" s="3"/>
      <c r="HAY36" s="3"/>
      <c r="HAZ36" s="3"/>
      <c r="HBA36" s="3"/>
      <c r="HBB36" s="3"/>
      <c r="HBC36" s="3"/>
      <c r="HBD36" s="3"/>
      <c r="HBE36" s="3"/>
      <c r="HBF36" s="3"/>
      <c r="HBG36" s="3"/>
      <c r="HBH36" s="3"/>
      <c r="HBI36" s="3"/>
      <c r="HBJ36" s="3"/>
      <c r="HBK36" s="3"/>
      <c r="HBL36" s="3"/>
      <c r="HBM36" s="3"/>
      <c r="HBN36" s="3"/>
      <c r="HBO36" s="3"/>
      <c r="HBP36" s="3"/>
      <c r="HBQ36" s="3"/>
      <c r="HBR36" s="3"/>
      <c r="HBS36" s="3"/>
      <c r="HBT36" s="3"/>
      <c r="HBU36" s="3"/>
      <c r="HBV36" s="3"/>
      <c r="HBW36" s="3"/>
      <c r="HBX36" s="3"/>
      <c r="HBY36" s="3"/>
      <c r="HBZ36" s="3"/>
      <c r="HCA36" s="3"/>
      <c r="HCB36" s="3"/>
      <c r="HCC36" s="3"/>
      <c r="HCD36" s="3"/>
      <c r="HCE36" s="3"/>
      <c r="HCF36" s="3"/>
      <c r="HCG36" s="3"/>
      <c r="HCH36" s="3"/>
      <c r="HCI36" s="3"/>
      <c r="HCJ36" s="3"/>
      <c r="HCK36" s="3"/>
      <c r="HCL36" s="3"/>
      <c r="HCM36" s="3"/>
      <c r="HCN36" s="3"/>
      <c r="HCO36" s="3"/>
      <c r="HCP36" s="3"/>
      <c r="HCQ36" s="3"/>
      <c r="HCR36" s="3"/>
      <c r="HCS36" s="3"/>
      <c r="HCT36" s="3"/>
      <c r="HCU36" s="3"/>
      <c r="HCV36" s="3"/>
      <c r="HCW36" s="3"/>
      <c r="HCX36" s="3"/>
      <c r="HCY36" s="3"/>
      <c r="HCZ36" s="3"/>
      <c r="HDA36" s="3"/>
      <c r="HDB36" s="3"/>
      <c r="HDC36" s="3"/>
      <c r="HDD36" s="3"/>
      <c r="HDE36" s="3"/>
      <c r="HDF36" s="3"/>
      <c r="HDG36" s="3"/>
      <c r="HDH36" s="3"/>
      <c r="HDI36" s="3"/>
      <c r="HDJ36" s="3"/>
      <c r="HDK36" s="3"/>
      <c r="HDL36" s="3"/>
      <c r="HDM36" s="3"/>
      <c r="HDN36" s="3"/>
      <c r="HDO36" s="3"/>
      <c r="HDP36" s="3"/>
      <c r="HDQ36" s="3"/>
      <c r="HDR36" s="3"/>
      <c r="HDS36" s="3"/>
      <c r="HDT36" s="3"/>
      <c r="HDU36" s="3"/>
      <c r="HDV36" s="3"/>
      <c r="HDW36" s="3"/>
      <c r="HDX36" s="3"/>
      <c r="HDY36" s="3"/>
      <c r="HDZ36" s="3"/>
      <c r="HEA36" s="3"/>
      <c r="HEB36" s="3"/>
      <c r="HEC36" s="3"/>
      <c r="HED36" s="3"/>
      <c r="HEE36" s="3"/>
      <c r="HEF36" s="3"/>
      <c r="HEG36" s="3"/>
      <c r="HEH36" s="3"/>
      <c r="HEI36" s="3"/>
      <c r="HEJ36" s="3"/>
      <c r="HEK36" s="3"/>
      <c r="HEL36" s="3"/>
      <c r="HEM36" s="3"/>
      <c r="HEN36" s="3"/>
      <c r="HEO36" s="3"/>
      <c r="HEP36" s="3"/>
      <c r="HEQ36" s="3"/>
      <c r="HER36" s="3"/>
      <c r="HES36" s="3"/>
      <c r="HET36" s="3"/>
      <c r="HEU36" s="3"/>
      <c r="HEV36" s="3"/>
      <c r="HEW36" s="3"/>
      <c r="HEX36" s="3"/>
      <c r="HEY36" s="3"/>
      <c r="HEZ36" s="3"/>
      <c r="HFA36" s="3"/>
      <c r="HFB36" s="3"/>
      <c r="HFC36" s="3"/>
      <c r="HFD36" s="3"/>
      <c r="HFE36" s="3"/>
      <c r="HFF36" s="3"/>
      <c r="HFG36" s="3"/>
      <c r="HFH36" s="3"/>
      <c r="HFI36" s="3"/>
      <c r="HFJ36" s="3"/>
      <c r="HFK36" s="3"/>
      <c r="HFL36" s="3"/>
      <c r="HFM36" s="3"/>
      <c r="HFN36" s="3"/>
      <c r="HFO36" s="3"/>
      <c r="HFP36" s="3"/>
      <c r="HFQ36" s="3"/>
      <c r="HFR36" s="3"/>
      <c r="HFS36" s="3"/>
      <c r="HFT36" s="3"/>
      <c r="HFU36" s="3"/>
      <c r="HFV36" s="3"/>
      <c r="HFW36" s="3"/>
      <c r="HFX36" s="3"/>
      <c r="HFY36" s="3"/>
      <c r="HFZ36" s="3"/>
      <c r="HGA36" s="3"/>
      <c r="HGB36" s="3"/>
      <c r="HGC36" s="3"/>
      <c r="HGD36" s="3"/>
      <c r="HGE36" s="3"/>
      <c r="HGF36" s="3"/>
      <c r="HGG36" s="3"/>
      <c r="HGH36" s="3"/>
      <c r="HGI36" s="3"/>
      <c r="HGJ36" s="3"/>
      <c r="HGK36" s="3"/>
      <c r="HGL36" s="3"/>
      <c r="HGM36" s="3"/>
      <c r="HGN36" s="3"/>
      <c r="HGO36" s="3"/>
      <c r="HGP36" s="3"/>
      <c r="HGQ36" s="3"/>
      <c r="HGR36" s="3"/>
      <c r="HGS36" s="3"/>
      <c r="HGT36" s="3"/>
      <c r="HGU36" s="3"/>
      <c r="HGV36" s="3"/>
      <c r="HGW36" s="3"/>
      <c r="HGX36" s="3"/>
      <c r="HGY36" s="3"/>
      <c r="HGZ36" s="3"/>
      <c r="HHA36" s="3"/>
      <c r="HHB36" s="3"/>
      <c r="HHC36" s="3"/>
      <c r="HHD36" s="3"/>
      <c r="HHE36" s="3"/>
      <c r="HHF36" s="3"/>
      <c r="HHG36" s="3"/>
      <c r="HHH36" s="3"/>
      <c r="HHI36" s="3"/>
      <c r="HHJ36" s="3"/>
      <c r="HHK36" s="3"/>
      <c r="HHL36" s="3"/>
      <c r="HHM36" s="3"/>
      <c r="HHN36" s="3"/>
      <c r="HHO36" s="3"/>
      <c r="HHP36" s="3"/>
      <c r="HHQ36" s="3"/>
      <c r="HHR36" s="3"/>
      <c r="HHS36" s="3"/>
      <c r="HHT36" s="3"/>
      <c r="HHU36" s="3"/>
      <c r="HHV36" s="3"/>
      <c r="HHW36" s="3"/>
      <c r="HHX36" s="3"/>
      <c r="HHY36" s="3"/>
      <c r="HHZ36" s="3"/>
      <c r="HIA36" s="3"/>
      <c r="HIB36" s="3"/>
      <c r="HIC36" s="3"/>
      <c r="HID36" s="3"/>
      <c r="HIE36" s="3"/>
      <c r="HIF36" s="3"/>
      <c r="HIG36" s="3"/>
      <c r="HIH36" s="3"/>
      <c r="HII36" s="3"/>
      <c r="HIJ36" s="3"/>
      <c r="HIK36" s="3"/>
      <c r="HIL36" s="3"/>
      <c r="HIM36" s="3"/>
      <c r="HIN36" s="3"/>
      <c r="HIO36" s="3"/>
      <c r="HIP36" s="3"/>
      <c r="HIQ36" s="3"/>
      <c r="HIR36" s="3"/>
      <c r="HIS36" s="3"/>
      <c r="HIT36" s="3"/>
      <c r="HIU36" s="3"/>
      <c r="HIV36" s="3"/>
      <c r="HIW36" s="3"/>
      <c r="HIX36" s="3"/>
      <c r="HIY36" s="3"/>
      <c r="HIZ36" s="3"/>
      <c r="HJA36" s="3"/>
      <c r="HJB36" s="3"/>
      <c r="HJC36" s="3"/>
      <c r="HJD36" s="3"/>
      <c r="HJE36" s="3"/>
      <c r="HJF36" s="3"/>
      <c r="HJG36" s="3"/>
      <c r="HJH36" s="3"/>
      <c r="HJI36" s="3"/>
      <c r="HJJ36" s="3"/>
      <c r="HJK36" s="3"/>
      <c r="HJL36" s="3"/>
      <c r="HJM36" s="3"/>
      <c r="HJN36" s="3"/>
      <c r="HJO36" s="3"/>
      <c r="HJP36" s="3"/>
      <c r="HJQ36" s="3"/>
      <c r="HJR36" s="3"/>
      <c r="HJS36" s="3"/>
      <c r="HJT36" s="3"/>
      <c r="HJU36" s="3"/>
      <c r="HJV36" s="3"/>
      <c r="HJW36" s="3"/>
      <c r="HJX36" s="3"/>
      <c r="HJY36" s="3"/>
      <c r="HJZ36" s="3"/>
      <c r="HKA36" s="3"/>
      <c r="HKB36" s="3"/>
      <c r="HKC36" s="3"/>
      <c r="HKD36" s="3"/>
      <c r="HKE36" s="3"/>
      <c r="HKF36" s="3"/>
      <c r="HKG36" s="3"/>
      <c r="HKH36" s="3"/>
      <c r="HKI36" s="3"/>
      <c r="HKJ36" s="3"/>
      <c r="HKK36" s="3"/>
      <c r="HKL36" s="3"/>
      <c r="HKM36" s="3"/>
      <c r="HKN36" s="3"/>
      <c r="HKO36" s="3"/>
      <c r="HKP36" s="3"/>
      <c r="HKQ36" s="3"/>
      <c r="HKR36" s="3"/>
      <c r="HKS36" s="3"/>
      <c r="HKT36" s="3"/>
      <c r="HKU36" s="3"/>
      <c r="HKV36" s="3"/>
      <c r="HKW36" s="3"/>
      <c r="HKX36" s="3"/>
      <c r="HKY36" s="3"/>
      <c r="HKZ36" s="3"/>
      <c r="HLA36" s="3"/>
      <c r="HLB36" s="3"/>
      <c r="HLC36" s="3"/>
      <c r="HLD36" s="3"/>
      <c r="HLE36" s="3"/>
      <c r="HLF36" s="3"/>
      <c r="HLG36" s="3"/>
      <c r="HLH36" s="3"/>
      <c r="HLI36" s="3"/>
      <c r="HLJ36" s="3"/>
      <c r="HLK36" s="3"/>
      <c r="HLL36" s="3"/>
      <c r="HLM36" s="3"/>
      <c r="HLN36" s="3"/>
      <c r="HLO36" s="3"/>
      <c r="HLP36" s="3"/>
      <c r="HLQ36" s="3"/>
      <c r="HLR36" s="3"/>
      <c r="HLS36" s="3"/>
      <c r="HLT36" s="3"/>
      <c r="HLU36" s="3"/>
      <c r="HLV36" s="3"/>
      <c r="HLW36" s="3"/>
      <c r="HLX36" s="3"/>
      <c r="HLY36" s="3"/>
      <c r="HLZ36" s="3"/>
      <c r="HMA36" s="3"/>
      <c r="HMB36" s="3"/>
      <c r="HMC36" s="3"/>
      <c r="HMD36" s="3"/>
      <c r="HME36" s="3"/>
      <c r="HMF36" s="3"/>
      <c r="HMG36" s="3"/>
      <c r="HMH36" s="3"/>
      <c r="HMI36" s="3"/>
      <c r="HMJ36" s="3"/>
      <c r="HMK36" s="3"/>
      <c r="HML36" s="3"/>
      <c r="HMM36" s="3"/>
      <c r="HMN36" s="3"/>
      <c r="HMO36" s="3"/>
      <c r="HMP36" s="3"/>
      <c r="HMQ36" s="3"/>
      <c r="HMR36" s="3"/>
      <c r="HMS36" s="3"/>
      <c r="HMT36" s="3"/>
      <c r="HMU36" s="3"/>
      <c r="HMV36" s="3"/>
      <c r="HMW36" s="3"/>
      <c r="HMX36" s="3"/>
      <c r="HMY36" s="3"/>
      <c r="HMZ36" s="3"/>
      <c r="HNA36" s="3"/>
      <c r="HNB36" s="3"/>
      <c r="HNC36" s="3"/>
      <c r="HND36" s="3"/>
      <c r="HNE36" s="3"/>
      <c r="HNF36" s="3"/>
      <c r="HNG36" s="3"/>
      <c r="HNH36" s="3"/>
      <c r="HNI36" s="3"/>
      <c r="HNJ36" s="3"/>
      <c r="HNK36" s="3"/>
      <c r="HNL36" s="3"/>
      <c r="HNM36" s="3"/>
      <c r="HNN36" s="3"/>
      <c r="HNO36" s="3"/>
      <c r="HNP36" s="3"/>
      <c r="HNQ36" s="3"/>
      <c r="HNR36" s="3"/>
      <c r="HNS36" s="3"/>
      <c r="HNT36" s="3"/>
      <c r="HNU36" s="3"/>
      <c r="HNV36" s="3"/>
      <c r="HNW36" s="3"/>
      <c r="HNX36" s="3"/>
      <c r="HNY36" s="3"/>
      <c r="HNZ36" s="3"/>
      <c r="HOA36" s="3"/>
      <c r="HOB36" s="3"/>
      <c r="HOC36" s="3"/>
      <c r="HOD36" s="3"/>
      <c r="HOE36" s="3"/>
      <c r="HOF36" s="3"/>
      <c r="HOG36" s="3"/>
      <c r="HOH36" s="3"/>
      <c r="HOI36" s="3"/>
      <c r="HOJ36" s="3"/>
      <c r="HOK36" s="3"/>
      <c r="HOL36" s="3"/>
      <c r="HOM36" s="3"/>
      <c r="HON36" s="3"/>
      <c r="HOO36" s="3"/>
      <c r="HOP36" s="3"/>
      <c r="HOQ36" s="3"/>
      <c r="HOR36" s="3"/>
      <c r="HOS36" s="3"/>
      <c r="HOT36" s="3"/>
      <c r="HOU36" s="3"/>
      <c r="HOV36" s="3"/>
      <c r="HOW36" s="3"/>
      <c r="HOX36" s="3"/>
      <c r="HOY36" s="3"/>
      <c r="HOZ36" s="3"/>
      <c r="HPA36" s="3"/>
      <c r="HPB36" s="3"/>
      <c r="HPC36" s="3"/>
      <c r="HPD36" s="3"/>
      <c r="HPE36" s="3"/>
      <c r="HPF36" s="3"/>
      <c r="HPG36" s="3"/>
      <c r="HPH36" s="3"/>
      <c r="HPI36" s="3"/>
      <c r="HPJ36" s="3"/>
      <c r="HPK36" s="3"/>
      <c r="HPL36" s="3"/>
      <c r="HPM36" s="3"/>
      <c r="HPN36" s="3"/>
      <c r="HPO36" s="3"/>
      <c r="HPP36" s="3"/>
      <c r="HPQ36" s="3"/>
      <c r="HPR36" s="3"/>
      <c r="HPS36" s="3"/>
      <c r="HPT36" s="3"/>
      <c r="HPU36" s="3"/>
      <c r="HPV36" s="3"/>
      <c r="HPW36" s="3"/>
      <c r="HPX36" s="3"/>
      <c r="HPY36" s="3"/>
      <c r="HPZ36" s="3"/>
      <c r="HQA36" s="3"/>
      <c r="HQB36" s="3"/>
      <c r="HQC36" s="3"/>
      <c r="HQD36" s="3"/>
      <c r="HQE36" s="3"/>
      <c r="HQF36" s="3"/>
      <c r="HQG36" s="3"/>
      <c r="HQH36" s="3"/>
      <c r="HQI36" s="3"/>
      <c r="HQJ36" s="3"/>
      <c r="HQK36" s="3"/>
      <c r="HQL36" s="3"/>
      <c r="HQM36" s="3"/>
      <c r="HQN36" s="3"/>
      <c r="HQO36" s="3"/>
      <c r="HQP36" s="3"/>
      <c r="HQQ36" s="3"/>
      <c r="HQR36" s="3"/>
      <c r="HQS36" s="3"/>
      <c r="HQT36" s="3"/>
      <c r="HQU36" s="3"/>
      <c r="HQV36" s="3"/>
      <c r="HQW36" s="3"/>
      <c r="HQX36" s="3"/>
      <c r="HQY36" s="3"/>
      <c r="HQZ36" s="3"/>
      <c r="HRA36" s="3"/>
      <c r="HRB36" s="3"/>
      <c r="HRC36" s="3"/>
      <c r="HRD36" s="3"/>
      <c r="HRE36" s="3"/>
      <c r="HRF36" s="3"/>
      <c r="HRG36" s="3"/>
      <c r="HRH36" s="3"/>
      <c r="HRI36" s="3"/>
      <c r="HRJ36" s="3"/>
      <c r="HRK36" s="3"/>
      <c r="HRL36" s="3"/>
      <c r="HRM36" s="3"/>
      <c r="HRN36" s="3"/>
      <c r="HRO36" s="3"/>
      <c r="HRP36" s="3"/>
      <c r="HRQ36" s="3"/>
      <c r="HRR36" s="3"/>
      <c r="HRS36" s="3"/>
      <c r="HRT36" s="3"/>
      <c r="HRU36" s="3"/>
      <c r="HRV36" s="3"/>
      <c r="HRW36" s="3"/>
      <c r="HRX36" s="3"/>
      <c r="HRY36" s="3"/>
      <c r="HRZ36" s="3"/>
      <c r="HSA36" s="3"/>
      <c r="HSB36" s="3"/>
      <c r="HSC36" s="3"/>
      <c r="HSD36" s="3"/>
      <c r="HSE36" s="3"/>
      <c r="HSF36" s="3"/>
      <c r="HSG36" s="3"/>
      <c r="HSH36" s="3"/>
      <c r="HSI36" s="3"/>
      <c r="HSJ36" s="3"/>
      <c r="HSK36" s="3"/>
      <c r="HSL36" s="3"/>
      <c r="HSM36" s="3"/>
      <c r="HSN36" s="3"/>
      <c r="HSO36" s="3"/>
      <c r="HSP36" s="3"/>
      <c r="HSQ36" s="3"/>
      <c r="HSR36" s="3"/>
      <c r="HSS36" s="3"/>
      <c r="HST36" s="3"/>
      <c r="HSU36" s="3"/>
      <c r="HSV36" s="3"/>
      <c r="HSW36" s="3"/>
      <c r="HSX36" s="3"/>
      <c r="HSY36" s="3"/>
      <c r="HSZ36" s="3"/>
      <c r="HTA36" s="3"/>
      <c r="HTB36" s="3"/>
      <c r="HTC36" s="3"/>
      <c r="HTD36" s="3"/>
      <c r="HTE36" s="3"/>
      <c r="HTF36" s="3"/>
      <c r="HTG36" s="3"/>
      <c r="HTH36" s="3"/>
      <c r="HTI36" s="3"/>
      <c r="HTJ36" s="3"/>
      <c r="HTK36" s="3"/>
      <c r="HTL36" s="3"/>
      <c r="HTM36" s="3"/>
      <c r="HTN36" s="3"/>
      <c r="HTO36" s="3"/>
      <c r="HTP36" s="3"/>
      <c r="HTQ36" s="3"/>
      <c r="HTR36" s="3"/>
      <c r="HTS36" s="3"/>
      <c r="HTT36" s="3"/>
      <c r="HTU36" s="3"/>
      <c r="HTV36" s="3"/>
      <c r="HTW36" s="3"/>
      <c r="HTX36" s="3"/>
      <c r="HTY36" s="3"/>
      <c r="HTZ36" s="3"/>
      <c r="HUA36" s="3"/>
      <c r="HUB36" s="3"/>
      <c r="HUC36" s="3"/>
      <c r="HUD36" s="3"/>
      <c r="HUE36" s="3"/>
      <c r="HUF36" s="3"/>
      <c r="HUG36" s="3"/>
      <c r="HUH36" s="3"/>
      <c r="HUI36" s="3"/>
      <c r="HUJ36" s="3"/>
      <c r="HUK36" s="3"/>
      <c r="HUL36" s="3"/>
      <c r="HUM36" s="3"/>
      <c r="HUN36" s="3"/>
      <c r="HUO36" s="3"/>
      <c r="HUP36" s="3"/>
      <c r="HUQ36" s="3"/>
      <c r="HUR36" s="3"/>
      <c r="HUS36" s="3"/>
      <c r="HUT36" s="3"/>
      <c r="HUU36" s="3"/>
      <c r="HUV36" s="3"/>
      <c r="HUW36" s="3"/>
      <c r="HUX36" s="3"/>
      <c r="HUY36" s="3"/>
      <c r="HUZ36" s="3"/>
      <c r="HVA36" s="3"/>
      <c r="HVB36" s="3"/>
      <c r="HVC36" s="3"/>
      <c r="HVD36" s="3"/>
      <c r="HVE36" s="3"/>
      <c r="HVF36" s="3"/>
      <c r="HVG36" s="3"/>
      <c r="HVH36" s="3"/>
      <c r="HVI36" s="3"/>
      <c r="HVJ36" s="3"/>
      <c r="HVK36" s="3"/>
      <c r="HVL36" s="3"/>
      <c r="HVM36" s="3"/>
      <c r="HVN36" s="3"/>
      <c r="HVO36" s="3"/>
      <c r="HVP36" s="3"/>
      <c r="HVQ36" s="3"/>
      <c r="HVR36" s="3"/>
      <c r="HVS36" s="3"/>
      <c r="HVT36" s="3"/>
      <c r="HVU36" s="3"/>
      <c r="HVV36" s="3"/>
      <c r="HVW36" s="3"/>
      <c r="HVX36" s="3"/>
      <c r="HVY36" s="3"/>
      <c r="HVZ36" s="3"/>
      <c r="HWA36" s="3"/>
      <c r="HWB36" s="3"/>
      <c r="HWC36" s="3"/>
      <c r="HWD36" s="3"/>
      <c r="HWE36" s="3"/>
      <c r="HWF36" s="3"/>
      <c r="HWG36" s="3"/>
      <c r="HWH36" s="3"/>
      <c r="HWI36" s="3"/>
      <c r="HWJ36" s="3"/>
      <c r="HWK36" s="3"/>
      <c r="HWL36" s="3"/>
      <c r="HWM36" s="3"/>
      <c r="HWN36" s="3"/>
      <c r="HWO36" s="3"/>
      <c r="HWP36" s="3"/>
      <c r="HWQ36" s="3"/>
      <c r="HWR36" s="3"/>
      <c r="HWS36" s="3"/>
      <c r="HWT36" s="3"/>
      <c r="HWU36" s="3"/>
      <c r="HWV36" s="3"/>
      <c r="HWW36" s="3"/>
      <c r="HWX36" s="3"/>
      <c r="HWY36" s="3"/>
      <c r="HWZ36" s="3"/>
      <c r="HXA36" s="3"/>
      <c r="HXB36" s="3"/>
      <c r="HXC36" s="3"/>
      <c r="HXD36" s="3"/>
      <c r="HXE36" s="3"/>
      <c r="HXF36" s="3"/>
      <c r="HXG36" s="3"/>
      <c r="HXH36" s="3"/>
      <c r="HXI36" s="3"/>
      <c r="HXJ36" s="3"/>
      <c r="HXK36" s="3"/>
      <c r="HXL36" s="3"/>
      <c r="HXM36" s="3"/>
      <c r="HXN36" s="3"/>
      <c r="HXO36" s="3"/>
      <c r="HXP36" s="3"/>
      <c r="HXQ36" s="3"/>
      <c r="HXR36" s="3"/>
      <c r="HXS36" s="3"/>
      <c r="HXT36" s="3"/>
      <c r="HXU36" s="3"/>
      <c r="HXV36" s="3"/>
      <c r="HXW36" s="3"/>
      <c r="HXX36" s="3"/>
      <c r="HXY36" s="3"/>
      <c r="HXZ36" s="3"/>
      <c r="HYA36" s="3"/>
      <c r="HYB36" s="3"/>
      <c r="HYC36" s="3"/>
      <c r="HYD36" s="3"/>
      <c r="HYE36" s="3"/>
      <c r="HYF36" s="3"/>
      <c r="HYG36" s="3"/>
      <c r="HYH36" s="3"/>
      <c r="HYI36" s="3"/>
      <c r="HYJ36" s="3"/>
      <c r="HYK36" s="3"/>
      <c r="HYL36" s="3"/>
      <c r="HYM36" s="3"/>
      <c r="HYN36" s="3"/>
      <c r="HYO36" s="3"/>
      <c r="HYP36" s="3"/>
      <c r="HYQ36" s="3"/>
      <c r="HYR36" s="3"/>
      <c r="HYS36" s="3"/>
      <c r="HYT36" s="3"/>
      <c r="HYU36" s="3"/>
      <c r="HYV36" s="3"/>
      <c r="HYW36" s="3"/>
      <c r="HYX36" s="3"/>
      <c r="HYY36" s="3"/>
      <c r="HYZ36" s="3"/>
      <c r="HZA36" s="3"/>
      <c r="HZB36" s="3"/>
      <c r="HZC36" s="3"/>
      <c r="HZD36" s="3"/>
      <c r="HZE36" s="3"/>
      <c r="HZF36" s="3"/>
      <c r="HZG36" s="3"/>
      <c r="HZH36" s="3"/>
      <c r="HZI36" s="3"/>
      <c r="HZJ36" s="3"/>
      <c r="HZK36" s="3"/>
      <c r="HZL36" s="3"/>
      <c r="HZM36" s="3"/>
      <c r="HZN36" s="3"/>
      <c r="HZO36" s="3"/>
      <c r="HZP36" s="3"/>
      <c r="HZQ36" s="3"/>
      <c r="HZR36" s="3"/>
      <c r="HZS36" s="3"/>
      <c r="HZT36" s="3"/>
      <c r="HZU36" s="3"/>
      <c r="HZV36" s="3"/>
      <c r="HZW36" s="3"/>
      <c r="HZX36" s="3"/>
      <c r="HZY36" s="3"/>
      <c r="HZZ36" s="3"/>
      <c r="IAA36" s="3"/>
      <c r="IAB36" s="3"/>
      <c r="IAC36" s="3"/>
      <c r="IAD36" s="3"/>
      <c r="IAE36" s="3"/>
      <c r="IAF36" s="3"/>
      <c r="IAG36" s="3"/>
      <c r="IAH36" s="3"/>
      <c r="IAI36" s="3"/>
      <c r="IAJ36" s="3"/>
      <c r="IAK36" s="3"/>
      <c r="IAL36" s="3"/>
      <c r="IAM36" s="3"/>
      <c r="IAN36" s="3"/>
      <c r="IAO36" s="3"/>
      <c r="IAP36" s="3"/>
      <c r="IAQ36" s="3"/>
      <c r="IAR36" s="3"/>
      <c r="IAS36" s="3"/>
      <c r="IAT36" s="3"/>
      <c r="IAU36" s="3"/>
      <c r="IAV36" s="3"/>
      <c r="IAW36" s="3"/>
      <c r="IAX36" s="3"/>
      <c r="IAY36" s="3"/>
      <c r="IAZ36" s="3"/>
      <c r="IBA36" s="3"/>
      <c r="IBB36" s="3"/>
      <c r="IBC36" s="3"/>
      <c r="IBD36" s="3"/>
      <c r="IBE36" s="3"/>
      <c r="IBF36" s="3"/>
      <c r="IBG36" s="3"/>
      <c r="IBH36" s="3"/>
      <c r="IBI36" s="3"/>
      <c r="IBJ36" s="3"/>
      <c r="IBK36" s="3"/>
      <c r="IBL36" s="3"/>
      <c r="IBM36" s="3"/>
      <c r="IBN36" s="3"/>
      <c r="IBO36" s="3"/>
      <c r="IBP36" s="3"/>
      <c r="IBQ36" s="3"/>
      <c r="IBR36" s="3"/>
      <c r="IBS36" s="3"/>
      <c r="IBT36" s="3"/>
      <c r="IBU36" s="3"/>
      <c r="IBV36" s="3"/>
      <c r="IBW36" s="3"/>
      <c r="IBX36" s="3"/>
      <c r="IBY36" s="3"/>
      <c r="IBZ36" s="3"/>
      <c r="ICA36" s="3"/>
      <c r="ICB36" s="3"/>
      <c r="ICC36" s="3"/>
      <c r="ICD36" s="3"/>
      <c r="ICE36" s="3"/>
      <c r="ICF36" s="3"/>
      <c r="ICG36" s="3"/>
      <c r="ICH36" s="3"/>
      <c r="ICI36" s="3"/>
      <c r="ICJ36" s="3"/>
      <c r="ICK36" s="3"/>
      <c r="ICL36" s="3"/>
      <c r="ICM36" s="3"/>
      <c r="ICN36" s="3"/>
      <c r="ICO36" s="3"/>
      <c r="ICP36" s="3"/>
      <c r="ICQ36" s="3"/>
      <c r="ICR36" s="3"/>
      <c r="ICS36" s="3"/>
      <c r="ICT36" s="3"/>
      <c r="ICU36" s="3"/>
      <c r="ICV36" s="3"/>
      <c r="ICW36" s="3"/>
      <c r="ICX36" s="3"/>
      <c r="ICY36" s="3"/>
      <c r="ICZ36" s="3"/>
      <c r="IDA36" s="3"/>
      <c r="IDB36" s="3"/>
      <c r="IDC36" s="3"/>
      <c r="IDD36" s="3"/>
      <c r="IDE36" s="3"/>
      <c r="IDF36" s="3"/>
      <c r="IDG36" s="3"/>
      <c r="IDH36" s="3"/>
      <c r="IDI36" s="3"/>
      <c r="IDJ36" s="3"/>
      <c r="IDK36" s="3"/>
      <c r="IDL36" s="3"/>
      <c r="IDM36" s="3"/>
      <c r="IDN36" s="3"/>
      <c r="IDO36" s="3"/>
      <c r="IDP36" s="3"/>
      <c r="IDQ36" s="3"/>
      <c r="IDR36" s="3"/>
      <c r="IDS36" s="3"/>
      <c r="IDT36" s="3"/>
      <c r="IDU36" s="3"/>
      <c r="IDV36" s="3"/>
      <c r="IDW36" s="3"/>
      <c r="IDX36" s="3"/>
      <c r="IDY36" s="3"/>
      <c r="IDZ36" s="3"/>
      <c r="IEA36" s="3"/>
      <c r="IEB36" s="3"/>
      <c r="IEC36" s="3"/>
      <c r="IED36" s="3"/>
      <c r="IEE36" s="3"/>
      <c r="IEF36" s="3"/>
      <c r="IEG36" s="3"/>
      <c r="IEH36" s="3"/>
      <c r="IEI36" s="3"/>
      <c r="IEJ36" s="3"/>
      <c r="IEK36" s="3"/>
      <c r="IEL36" s="3"/>
      <c r="IEM36" s="3"/>
      <c r="IEN36" s="3"/>
      <c r="IEO36" s="3"/>
      <c r="IEP36" s="3"/>
      <c r="IEQ36" s="3"/>
      <c r="IER36" s="3"/>
      <c r="IES36" s="3"/>
      <c r="IET36" s="3"/>
      <c r="IEU36" s="3"/>
      <c r="IEV36" s="3"/>
      <c r="IEW36" s="3"/>
      <c r="IEX36" s="3"/>
      <c r="IEY36" s="3"/>
      <c r="IEZ36" s="3"/>
      <c r="IFA36" s="3"/>
      <c r="IFB36" s="3"/>
      <c r="IFC36" s="3"/>
      <c r="IFD36" s="3"/>
      <c r="IFE36" s="3"/>
      <c r="IFF36" s="3"/>
      <c r="IFG36" s="3"/>
      <c r="IFH36" s="3"/>
      <c r="IFI36" s="3"/>
      <c r="IFJ36" s="3"/>
      <c r="IFK36" s="3"/>
      <c r="IFL36" s="3"/>
      <c r="IFM36" s="3"/>
      <c r="IFN36" s="3"/>
      <c r="IFO36" s="3"/>
      <c r="IFP36" s="3"/>
      <c r="IFQ36" s="3"/>
      <c r="IFR36" s="3"/>
      <c r="IFS36" s="3"/>
      <c r="IFT36" s="3"/>
      <c r="IFU36" s="3"/>
      <c r="IFV36" s="3"/>
      <c r="IFW36" s="3"/>
      <c r="IFX36" s="3"/>
      <c r="IFY36" s="3"/>
      <c r="IFZ36" s="3"/>
      <c r="IGA36" s="3"/>
      <c r="IGB36" s="3"/>
      <c r="IGC36" s="3"/>
      <c r="IGD36" s="3"/>
      <c r="IGE36" s="3"/>
      <c r="IGF36" s="3"/>
      <c r="IGG36" s="3"/>
      <c r="IGH36" s="3"/>
      <c r="IGI36" s="3"/>
      <c r="IGJ36" s="3"/>
      <c r="IGK36" s="3"/>
      <c r="IGL36" s="3"/>
      <c r="IGM36" s="3"/>
      <c r="IGN36" s="3"/>
      <c r="IGO36" s="3"/>
      <c r="IGP36" s="3"/>
      <c r="IGQ36" s="3"/>
      <c r="IGR36" s="3"/>
      <c r="IGS36" s="3"/>
      <c r="IGT36" s="3"/>
      <c r="IGU36" s="3"/>
      <c r="IGV36" s="3"/>
      <c r="IGW36" s="3"/>
      <c r="IGX36" s="3"/>
      <c r="IGY36" s="3"/>
      <c r="IGZ36" s="3"/>
      <c r="IHA36" s="3"/>
      <c r="IHB36" s="3"/>
      <c r="IHC36" s="3"/>
      <c r="IHD36" s="3"/>
      <c r="IHE36" s="3"/>
      <c r="IHF36" s="3"/>
      <c r="IHG36" s="3"/>
      <c r="IHH36" s="3"/>
      <c r="IHI36" s="3"/>
      <c r="IHJ36" s="3"/>
      <c r="IHK36" s="3"/>
      <c r="IHL36" s="3"/>
      <c r="IHM36" s="3"/>
      <c r="IHN36" s="3"/>
      <c r="IHO36" s="3"/>
      <c r="IHP36" s="3"/>
      <c r="IHQ36" s="3"/>
      <c r="IHR36" s="3"/>
      <c r="IHS36" s="3"/>
      <c r="IHT36" s="3"/>
      <c r="IHU36" s="3"/>
      <c r="IHV36" s="3"/>
      <c r="IHW36" s="3"/>
      <c r="IHX36" s="3"/>
      <c r="IHY36" s="3"/>
      <c r="IHZ36" s="3"/>
      <c r="IIA36" s="3"/>
      <c r="IIB36" s="3"/>
      <c r="IIC36" s="3"/>
      <c r="IID36" s="3"/>
      <c r="IIE36" s="3"/>
      <c r="IIF36" s="3"/>
      <c r="IIG36" s="3"/>
      <c r="IIH36" s="3"/>
      <c r="III36" s="3"/>
      <c r="IIJ36" s="3"/>
      <c r="IIK36" s="3"/>
      <c r="IIL36" s="3"/>
      <c r="IIM36" s="3"/>
      <c r="IIN36" s="3"/>
      <c r="IIO36" s="3"/>
      <c r="IIP36" s="3"/>
      <c r="IIQ36" s="3"/>
      <c r="IIR36" s="3"/>
      <c r="IIS36" s="3"/>
      <c r="IIT36" s="3"/>
      <c r="IIU36" s="3"/>
      <c r="IIV36" s="3"/>
      <c r="IIW36" s="3"/>
      <c r="IIX36" s="3"/>
      <c r="IIY36" s="3"/>
      <c r="IIZ36" s="3"/>
      <c r="IJA36" s="3"/>
      <c r="IJB36" s="3"/>
      <c r="IJC36" s="3"/>
      <c r="IJD36" s="3"/>
      <c r="IJE36" s="3"/>
      <c r="IJF36" s="3"/>
      <c r="IJG36" s="3"/>
      <c r="IJH36" s="3"/>
      <c r="IJI36" s="3"/>
      <c r="IJJ36" s="3"/>
      <c r="IJK36" s="3"/>
      <c r="IJL36" s="3"/>
      <c r="IJM36" s="3"/>
      <c r="IJN36" s="3"/>
      <c r="IJO36" s="3"/>
      <c r="IJP36" s="3"/>
      <c r="IJQ36" s="3"/>
      <c r="IJR36" s="3"/>
      <c r="IJS36" s="3"/>
      <c r="IJT36" s="3"/>
      <c r="IJU36" s="3"/>
      <c r="IJV36" s="3"/>
      <c r="IJW36" s="3"/>
      <c r="IJX36" s="3"/>
      <c r="IJY36" s="3"/>
      <c r="IJZ36" s="3"/>
      <c r="IKA36" s="3"/>
      <c r="IKB36" s="3"/>
      <c r="IKC36" s="3"/>
      <c r="IKD36" s="3"/>
      <c r="IKE36" s="3"/>
      <c r="IKF36" s="3"/>
      <c r="IKG36" s="3"/>
      <c r="IKH36" s="3"/>
      <c r="IKI36" s="3"/>
      <c r="IKJ36" s="3"/>
      <c r="IKK36" s="3"/>
      <c r="IKL36" s="3"/>
      <c r="IKM36" s="3"/>
      <c r="IKN36" s="3"/>
      <c r="IKO36" s="3"/>
      <c r="IKP36" s="3"/>
      <c r="IKQ36" s="3"/>
      <c r="IKR36" s="3"/>
      <c r="IKS36" s="3"/>
      <c r="IKT36" s="3"/>
      <c r="IKU36" s="3"/>
      <c r="IKV36" s="3"/>
      <c r="IKW36" s="3"/>
      <c r="IKX36" s="3"/>
      <c r="IKY36" s="3"/>
      <c r="IKZ36" s="3"/>
      <c r="ILA36" s="3"/>
      <c r="ILB36" s="3"/>
      <c r="ILC36" s="3"/>
      <c r="ILD36" s="3"/>
      <c r="ILE36" s="3"/>
      <c r="ILF36" s="3"/>
      <c r="ILG36" s="3"/>
      <c r="ILH36" s="3"/>
      <c r="ILI36" s="3"/>
      <c r="ILJ36" s="3"/>
      <c r="ILK36" s="3"/>
      <c r="ILL36" s="3"/>
      <c r="ILM36" s="3"/>
      <c r="ILN36" s="3"/>
      <c r="ILO36" s="3"/>
      <c r="ILP36" s="3"/>
      <c r="ILQ36" s="3"/>
      <c r="ILR36" s="3"/>
      <c r="ILS36" s="3"/>
      <c r="ILT36" s="3"/>
      <c r="ILU36" s="3"/>
      <c r="ILV36" s="3"/>
      <c r="ILW36" s="3"/>
      <c r="ILX36" s="3"/>
      <c r="ILY36" s="3"/>
      <c r="ILZ36" s="3"/>
      <c r="IMA36" s="3"/>
      <c r="IMB36" s="3"/>
      <c r="IMC36" s="3"/>
      <c r="IMD36" s="3"/>
      <c r="IME36" s="3"/>
      <c r="IMF36" s="3"/>
      <c r="IMG36" s="3"/>
      <c r="IMH36" s="3"/>
      <c r="IMI36" s="3"/>
      <c r="IMJ36" s="3"/>
      <c r="IMK36" s="3"/>
      <c r="IML36" s="3"/>
      <c r="IMM36" s="3"/>
      <c r="IMN36" s="3"/>
      <c r="IMO36" s="3"/>
      <c r="IMP36" s="3"/>
      <c r="IMQ36" s="3"/>
      <c r="IMR36" s="3"/>
      <c r="IMS36" s="3"/>
      <c r="IMT36" s="3"/>
      <c r="IMU36" s="3"/>
      <c r="IMV36" s="3"/>
      <c r="IMW36" s="3"/>
      <c r="IMX36" s="3"/>
      <c r="IMY36" s="3"/>
      <c r="IMZ36" s="3"/>
      <c r="INA36" s="3"/>
      <c r="INB36" s="3"/>
      <c r="INC36" s="3"/>
      <c r="IND36" s="3"/>
      <c r="INE36" s="3"/>
      <c r="INF36" s="3"/>
      <c r="ING36" s="3"/>
      <c r="INH36" s="3"/>
      <c r="INI36" s="3"/>
      <c r="INJ36" s="3"/>
      <c r="INK36" s="3"/>
      <c r="INL36" s="3"/>
      <c r="INM36" s="3"/>
      <c r="INN36" s="3"/>
      <c r="INO36" s="3"/>
      <c r="INP36" s="3"/>
      <c r="INQ36" s="3"/>
      <c r="INR36" s="3"/>
      <c r="INS36" s="3"/>
      <c r="INT36" s="3"/>
      <c r="INU36" s="3"/>
      <c r="INV36" s="3"/>
      <c r="INW36" s="3"/>
      <c r="INX36" s="3"/>
      <c r="INY36" s="3"/>
      <c r="INZ36" s="3"/>
      <c r="IOA36" s="3"/>
      <c r="IOB36" s="3"/>
      <c r="IOC36" s="3"/>
      <c r="IOD36" s="3"/>
      <c r="IOE36" s="3"/>
      <c r="IOF36" s="3"/>
      <c r="IOG36" s="3"/>
      <c r="IOH36" s="3"/>
      <c r="IOI36" s="3"/>
      <c r="IOJ36" s="3"/>
      <c r="IOK36" s="3"/>
      <c r="IOL36" s="3"/>
      <c r="IOM36" s="3"/>
      <c r="ION36" s="3"/>
      <c r="IOO36" s="3"/>
      <c r="IOP36" s="3"/>
      <c r="IOQ36" s="3"/>
      <c r="IOR36" s="3"/>
      <c r="IOS36" s="3"/>
      <c r="IOT36" s="3"/>
      <c r="IOU36" s="3"/>
      <c r="IOV36" s="3"/>
      <c r="IOW36" s="3"/>
      <c r="IOX36" s="3"/>
      <c r="IOY36" s="3"/>
      <c r="IOZ36" s="3"/>
      <c r="IPA36" s="3"/>
      <c r="IPB36" s="3"/>
      <c r="IPC36" s="3"/>
      <c r="IPD36" s="3"/>
      <c r="IPE36" s="3"/>
      <c r="IPF36" s="3"/>
      <c r="IPG36" s="3"/>
      <c r="IPH36" s="3"/>
      <c r="IPI36" s="3"/>
      <c r="IPJ36" s="3"/>
      <c r="IPK36" s="3"/>
      <c r="IPL36" s="3"/>
      <c r="IPM36" s="3"/>
      <c r="IPN36" s="3"/>
      <c r="IPO36" s="3"/>
      <c r="IPP36" s="3"/>
      <c r="IPQ36" s="3"/>
      <c r="IPR36" s="3"/>
      <c r="IPS36" s="3"/>
      <c r="IPT36" s="3"/>
      <c r="IPU36" s="3"/>
      <c r="IPV36" s="3"/>
      <c r="IPW36" s="3"/>
      <c r="IPX36" s="3"/>
      <c r="IPY36" s="3"/>
      <c r="IPZ36" s="3"/>
      <c r="IQA36" s="3"/>
      <c r="IQB36" s="3"/>
      <c r="IQC36" s="3"/>
      <c r="IQD36" s="3"/>
      <c r="IQE36" s="3"/>
      <c r="IQF36" s="3"/>
      <c r="IQG36" s="3"/>
      <c r="IQH36" s="3"/>
      <c r="IQI36" s="3"/>
      <c r="IQJ36" s="3"/>
      <c r="IQK36" s="3"/>
      <c r="IQL36" s="3"/>
      <c r="IQM36" s="3"/>
      <c r="IQN36" s="3"/>
      <c r="IQO36" s="3"/>
      <c r="IQP36" s="3"/>
      <c r="IQQ36" s="3"/>
      <c r="IQR36" s="3"/>
      <c r="IQS36" s="3"/>
      <c r="IQT36" s="3"/>
      <c r="IQU36" s="3"/>
      <c r="IQV36" s="3"/>
      <c r="IQW36" s="3"/>
      <c r="IQX36" s="3"/>
      <c r="IQY36" s="3"/>
      <c r="IQZ36" s="3"/>
      <c r="IRA36" s="3"/>
      <c r="IRB36" s="3"/>
      <c r="IRC36" s="3"/>
      <c r="IRD36" s="3"/>
      <c r="IRE36" s="3"/>
      <c r="IRF36" s="3"/>
      <c r="IRG36" s="3"/>
      <c r="IRH36" s="3"/>
      <c r="IRI36" s="3"/>
      <c r="IRJ36" s="3"/>
      <c r="IRK36" s="3"/>
      <c r="IRL36" s="3"/>
      <c r="IRM36" s="3"/>
      <c r="IRN36" s="3"/>
      <c r="IRO36" s="3"/>
      <c r="IRP36" s="3"/>
      <c r="IRQ36" s="3"/>
      <c r="IRR36" s="3"/>
      <c r="IRS36" s="3"/>
      <c r="IRT36" s="3"/>
      <c r="IRU36" s="3"/>
      <c r="IRV36" s="3"/>
      <c r="IRW36" s="3"/>
      <c r="IRX36" s="3"/>
      <c r="IRY36" s="3"/>
      <c r="IRZ36" s="3"/>
      <c r="ISA36" s="3"/>
      <c r="ISB36" s="3"/>
      <c r="ISC36" s="3"/>
      <c r="ISD36" s="3"/>
      <c r="ISE36" s="3"/>
      <c r="ISF36" s="3"/>
      <c r="ISG36" s="3"/>
      <c r="ISH36" s="3"/>
      <c r="ISI36" s="3"/>
      <c r="ISJ36" s="3"/>
      <c r="ISK36" s="3"/>
      <c r="ISL36" s="3"/>
      <c r="ISM36" s="3"/>
      <c r="ISN36" s="3"/>
      <c r="ISO36" s="3"/>
      <c r="ISP36" s="3"/>
      <c r="ISQ36" s="3"/>
      <c r="ISR36" s="3"/>
      <c r="ISS36" s="3"/>
      <c r="IST36" s="3"/>
      <c r="ISU36" s="3"/>
      <c r="ISV36" s="3"/>
      <c r="ISW36" s="3"/>
      <c r="ISX36" s="3"/>
      <c r="ISY36" s="3"/>
      <c r="ISZ36" s="3"/>
      <c r="ITA36" s="3"/>
      <c r="ITB36" s="3"/>
      <c r="ITC36" s="3"/>
      <c r="ITD36" s="3"/>
      <c r="ITE36" s="3"/>
      <c r="ITF36" s="3"/>
      <c r="ITG36" s="3"/>
      <c r="ITH36" s="3"/>
      <c r="ITI36" s="3"/>
      <c r="ITJ36" s="3"/>
      <c r="ITK36" s="3"/>
      <c r="ITL36" s="3"/>
      <c r="ITM36" s="3"/>
      <c r="ITN36" s="3"/>
      <c r="ITO36" s="3"/>
      <c r="ITP36" s="3"/>
      <c r="ITQ36" s="3"/>
      <c r="ITR36" s="3"/>
      <c r="ITS36" s="3"/>
      <c r="ITT36" s="3"/>
      <c r="ITU36" s="3"/>
      <c r="ITV36" s="3"/>
      <c r="ITW36" s="3"/>
      <c r="ITX36" s="3"/>
      <c r="ITY36" s="3"/>
      <c r="ITZ36" s="3"/>
      <c r="IUA36" s="3"/>
      <c r="IUB36" s="3"/>
      <c r="IUC36" s="3"/>
      <c r="IUD36" s="3"/>
      <c r="IUE36" s="3"/>
      <c r="IUF36" s="3"/>
      <c r="IUG36" s="3"/>
      <c r="IUH36" s="3"/>
      <c r="IUI36" s="3"/>
      <c r="IUJ36" s="3"/>
      <c r="IUK36" s="3"/>
      <c r="IUL36" s="3"/>
      <c r="IUM36" s="3"/>
      <c r="IUN36" s="3"/>
      <c r="IUO36" s="3"/>
      <c r="IUP36" s="3"/>
      <c r="IUQ36" s="3"/>
      <c r="IUR36" s="3"/>
      <c r="IUS36" s="3"/>
      <c r="IUT36" s="3"/>
      <c r="IUU36" s="3"/>
      <c r="IUV36" s="3"/>
      <c r="IUW36" s="3"/>
      <c r="IUX36" s="3"/>
      <c r="IUY36" s="3"/>
      <c r="IUZ36" s="3"/>
      <c r="IVA36" s="3"/>
      <c r="IVB36" s="3"/>
      <c r="IVC36" s="3"/>
      <c r="IVD36" s="3"/>
      <c r="IVE36" s="3"/>
      <c r="IVF36" s="3"/>
      <c r="IVG36" s="3"/>
      <c r="IVH36" s="3"/>
      <c r="IVI36" s="3"/>
      <c r="IVJ36" s="3"/>
      <c r="IVK36" s="3"/>
      <c r="IVL36" s="3"/>
      <c r="IVM36" s="3"/>
      <c r="IVN36" s="3"/>
      <c r="IVO36" s="3"/>
      <c r="IVP36" s="3"/>
      <c r="IVQ36" s="3"/>
      <c r="IVR36" s="3"/>
      <c r="IVS36" s="3"/>
      <c r="IVT36" s="3"/>
      <c r="IVU36" s="3"/>
      <c r="IVV36" s="3"/>
      <c r="IVW36" s="3"/>
      <c r="IVX36" s="3"/>
      <c r="IVY36" s="3"/>
      <c r="IVZ36" s="3"/>
      <c r="IWA36" s="3"/>
      <c r="IWB36" s="3"/>
      <c r="IWC36" s="3"/>
      <c r="IWD36" s="3"/>
      <c r="IWE36" s="3"/>
      <c r="IWF36" s="3"/>
      <c r="IWG36" s="3"/>
      <c r="IWH36" s="3"/>
      <c r="IWI36" s="3"/>
      <c r="IWJ36" s="3"/>
      <c r="IWK36" s="3"/>
      <c r="IWL36" s="3"/>
      <c r="IWM36" s="3"/>
      <c r="IWN36" s="3"/>
      <c r="IWO36" s="3"/>
      <c r="IWP36" s="3"/>
      <c r="IWQ36" s="3"/>
      <c r="IWR36" s="3"/>
      <c r="IWS36" s="3"/>
      <c r="IWT36" s="3"/>
      <c r="IWU36" s="3"/>
      <c r="IWV36" s="3"/>
      <c r="IWW36" s="3"/>
      <c r="IWX36" s="3"/>
      <c r="IWY36" s="3"/>
      <c r="IWZ36" s="3"/>
      <c r="IXA36" s="3"/>
      <c r="IXB36" s="3"/>
      <c r="IXC36" s="3"/>
      <c r="IXD36" s="3"/>
      <c r="IXE36" s="3"/>
      <c r="IXF36" s="3"/>
      <c r="IXG36" s="3"/>
      <c r="IXH36" s="3"/>
      <c r="IXI36" s="3"/>
      <c r="IXJ36" s="3"/>
      <c r="IXK36" s="3"/>
      <c r="IXL36" s="3"/>
      <c r="IXM36" s="3"/>
      <c r="IXN36" s="3"/>
      <c r="IXO36" s="3"/>
      <c r="IXP36" s="3"/>
      <c r="IXQ36" s="3"/>
      <c r="IXR36" s="3"/>
      <c r="IXS36" s="3"/>
      <c r="IXT36" s="3"/>
      <c r="IXU36" s="3"/>
      <c r="IXV36" s="3"/>
      <c r="IXW36" s="3"/>
      <c r="IXX36" s="3"/>
      <c r="IXY36" s="3"/>
      <c r="IXZ36" s="3"/>
      <c r="IYA36" s="3"/>
      <c r="IYB36" s="3"/>
      <c r="IYC36" s="3"/>
      <c r="IYD36" s="3"/>
      <c r="IYE36" s="3"/>
      <c r="IYF36" s="3"/>
      <c r="IYG36" s="3"/>
      <c r="IYH36" s="3"/>
      <c r="IYI36" s="3"/>
      <c r="IYJ36" s="3"/>
      <c r="IYK36" s="3"/>
      <c r="IYL36" s="3"/>
      <c r="IYM36" s="3"/>
      <c r="IYN36" s="3"/>
      <c r="IYO36" s="3"/>
      <c r="IYP36" s="3"/>
      <c r="IYQ36" s="3"/>
      <c r="IYR36" s="3"/>
      <c r="IYS36" s="3"/>
      <c r="IYT36" s="3"/>
      <c r="IYU36" s="3"/>
      <c r="IYV36" s="3"/>
      <c r="IYW36" s="3"/>
      <c r="IYX36" s="3"/>
      <c r="IYY36" s="3"/>
      <c r="IYZ36" s="3"/>
      <c r="IZA36" s="3"/>
      <c r="IZB36" s="3"/>
      <c r="IZC36" s="3"/>
      <c r="IZD36" s="3"/>
      <c r="IZE36" s="3"/>
      <c r="IZF36" s="3"/>
      <c r="IZG36" s="3"/>
      <c r="IZH36" s="3"/>
      <c r="IZI36" s="3"/>
      <c r="IZJ36" s="3"/>
      <c r="IZK36" s="3"/>
      <c r="IZL36" s="3"/>
      <c r="IZM36" s="3"/>
      <c r="IZN36" s="3"/>
      <c r="IZO36" s="3"/>
      <c r="IZP36" s="3"/>
      <c r="IZQ36" s="3"/>
      <c r="IZR36" s="3"/>
      <c r="IZS36" s="3"/>
      <c r="IZT36" s="3"/>
      <c r="IZU36" s="3"/>
      <c r="IZV36" s="3"/>
      <c r="IZW36" s="3"/>
      <c r="IZX36" s="3"/>
      <c r="IZY36" s="3"/>
      <c r="IZZ36" s="3"/>
      <c r="JAA36" s="3"/>
      <c r="JAB36" s="3"/>
      <c r="JAC36" s="3"/>
      <c r="JAD36" s="3"/>
      <c r="JAE36" s="3"/>
      <c r="JAF36" s="3"/>
      <c r="JAG36" s="3"/>
      <c r="JAH36" s="3"/>
      <c r="JAI36" s="3"/>
      <c r="JAJ36" s="3"/>
      <c r="JAK36" s="3"/>
      <c r="JAL36" s="3"/>
      <c r="JAM36" s="3"/>
      <c r="JAN36" s="3"/>
      <c r="JAO36" s="3"/>
      <c r="JAP36" s="3"/>
      <c r="JAQ36" s="3"/>
      <c r="JAR36" s="3"/>
      <c r="JAS36" s="3"/>
      <c r="JAT36" s="3"/>
      <c r="JAU36" s="3"/>
      <c r="JAV36" s="3"/>
      <c r="JAW36" s="3"/>
      <c r="JAX36" s="3"/>
      <c r="JAY36" s="3"/>
      <c r="JAZ36" s="3"/>
      <c r="JBA36" s="3"/>
      <c r="JBB36" s="3"/>
      <c r="JBC36" s="3"/>
      <c r="JBD36" s="3"/>
      <c r="JBE36" s="3"/>
      <c r="JBF36" s="3"/>
      <c r="JBG36" s="3"/>
      <c r="JBH36" s="3"/>
      <c r="JBI36" s="3"/>
      <c r="JBJ36" s="3"/>
      <c r="JBK36" s="3"/>
      <c r="JBL36" s="3"/>
      <c r="JBM36" s="3"/>
      <c r="JBN36" s="3"/>
      <c r="JBO36" s="3"/>
      <c r="JBP36" s="3"/>
      <c r="JBQ36" s="3"/>
      <c r="JBR36" s="3"/>
      <c r="JBS36" s="3"/>
      <c r="JBT36" s="3"/>
      <c r="JBU36" s="3"/>
      <c r="JBV36" s="3"/>
      <c r="JBW36" s="3"/>
      <c r="JBX36" s="3"/>
      <c r="JBY36" s="3"/>
      <c r="JBZ36" s="3"/>
      <c r="JCA36" s="3"/>
      <c r="JCB36" s="3"/>
      <c r="JCC36" s="3"/>
      <c r="JCD36" s="3"/>
      <c r="JCE36" s="3"/>
      <c r="JCF36" s="3"/>
      <c r="JCG36" s="3"/>
      <c r="JCH36" s="3"/>
      <c r="JCI36" s="3"/>
      <c r="JCJ36" s="3"/>
      <c r="JCK36" s="3"/>
      <c r="JCL36" s="3"/>
      <c r="JCM36" s="3"/>
      <c r="JCN36" s="3"/>
      <c r="JCO36" s="3"/>
      <c r="JCP36" s="3"/>
      <c r="JCQ36" s="3"/>
      <c r="JCR36" s="3"/>
      <c r="JCS36" s="3"/>
      <c r="JCT36" s="3"/>
      <c r="JCU36" s="3"/>
      <c r="JCV36" s="3"/>
      <c r="JCW36" s="3"/>
      <c r="JCX36" s="3"/>
      <c r="JCY36" s="3"/>
      <c r="JCZ36" s="3"/>
      <c r="JDA36" s="3"/>
      <c r="JDB36" s="3"/>
      <c r="JDC36" s="3"/>
      <c r="JDD36" s="3"/>
      <c r="JDE36" s="3"/>
      <c r="JDF36" s="3"/>
      <c r="JDG36" s="3"/>
      <c r="JDH36" s="3"/>
      <c r="JDI36" s="3"/>
      <c r="JDJ36" s="3"/>
      <c r="JDK36" s="3"/>
      <c r="JDL36" s="3"/>
      <c r="JDM36" s="3"/>
      <c r="JDN36" s="3"/>
      <c r="JDO36" s="3"/>
      <c r="JDP36" s="3"/>
      <c r="JDQ36" s="3"/>
      <c r="JDR36" s="3"/>
      <c r="JDS36" s="3"/>
      <c r="JDT36" s="3"/>
      <c r="JDU36" s="3"/>
      <c r="JDV36" s="3"/>
      <c r="JDW36" s="3"/>
      <c r="JDX36" s="3"/>
      <c r="JDY36" s="3"/>
      <c r="JDZ36" s="3"/>
      <c r="JEA36" s="3"/>
      <c r="JEB36" s="3"/>
      <c r="JEC36" s="3"/>
      <c r="JED36" s="3"/>
      <c r="JEE36" s="3"/>
      <c r="JEF36" s="3"/>
      <c r="JEG36" s="3"/>
      <c r="JEH36" s="3"/>
      <c r="JEI36" s="3"/>
      <c r="JEJ36" s="3"/>
      <c r="JEK36" s="3"/>
      <c r="JEL36" s="3"/>
      <c r="JEM36" s="3"/>
      <c r="JEN36" s="3"/>
      <c r="JEO36" s="3"/>
      <c r="JEP36" s="3"/>
      <c r="JEQ36" s="3"/>
      <c r="JER36" s="3"/>
      <c r="JES36" s="3"/>
      <c r="JET36" s="3"/>
      <c r="JEU36" s="3"/>
      <c r="JEV36" s="3"/>
      <c r="JEW36" s="3"/>
      <c r="JEX36" s="3"/>
      <c r="JEY36" s="3"/>
      <c r="JEZ36" s="3"/>
      <c r="JFA36" s="3"/>
      <c r="JFB36" s="3"/>
      <c r="JFC36" s="3"/>
      <c r="JFD36" s="3"/>
      <c r="JFE36" s="3"/>
      <c r="JFF36" s="3"/>
      <c r="JFG36" s="3"/>
      <c r="JFH36" s="3"/>
      <c r="JFI36" s="3"/>
      <c r="JFJ36" s="3"/>
      <c r="JFK36" s="3"/>
      <c r="JFL36" s="3"/>
      <c r="JFM36" s="3"/>
      <c r="JFN36" s="3"/>
      <c r="JFO36" s="3"/>
      <c r="JFP36" s="3"/>
      <c r="JFQ36" s="3"/>
      <c r="JFR36" s="3"/>
      <c r="JFS36" s="3"/>
      <c r="JFT36" s="3"/>
      <c r="JFU36" s="3"/>
      <c r="JFV36" s="3"/>
      <c r="JFW36" s="3"/>
      <c r="JFX36" s="3"/>
      <c r="JFY36" s="3"/>
      <c r="JFZ36" s="3"/>
      <c r="JGA36" s="3"/>
      <c r="JGB36" s="3"/>
      <c r="JGC36" s="3"/>
      <c r="JGD36" s="3"/>
      <c r="JGE36" s="3"/>
      <c r="JGF36" s="3"/>
      <c r="JGG36" s="3"/>
      <c r="JGH36" s="3"/>
      <c r="JGI36" s="3"/>
      <c r="JGJ36" s="3"/>
      <c r="JGK36" s="3"/>
      <c r="JGL36" s="3"/>
      <c r="JGM36" s="3"/>
      <c r="JGN36" s="3"/>
      <c r="JGO36" s="3"/>
      <c r="JGP36" s="3"/>
      <c r="JGQ36" s="3"/>
      <c r="JGR36" s="3"/>
      <c r="JGS36" s="3"/>
      <c r="JGT36" s="3"/>
      <c r="JGU36" s="3"/>
      <c r="JGV36" s="3"/>
      <c r="JGW36" s="3"/>
      <c r="JGX36" s="3"/>
      <c r="JGY36" s="3"/>
      <c r="JGZ36" s="3"/>
      <c r="JHA36" s="3"/>
      <c r="JHB36" s="3"/>
      <c r="JHC36" s="3"/>
      <c r="JHD36" s="3"/>
      <c r="JHE36" s="3"/>
      <c r="JHF36" s="3"/>
      <c r="JHG36" s="3"/>
      <c r="JHH36" s="3"/>
      <c r="JHI36" s="3"/>
      <c r="JHJ36" s="3"/>
      <c r="JHK36" s="3"/>
      <c r="JHL36" s="3"/>
      <c r="JHM36" s="3"/>
      <c r="JHN36" s="3"/>
      <c r="JHO36" s="3"/>
      <c r="JHP36" s="3"/>
      <c r="JHQ36" s="3"/>
      <c r="JHR36" s="3"/>
      <c r="JHS36" s="3"/>
      <c r="JHT36" s="3"/>
      <c r="JHU36" s="3"/>
      <c r="JHV36" s="3"/>
      <c r="JHW36" s="3"/>
      <c r="JHX36" s="3"/>
      <c r="JHY36" s="3"/>
      <c r="JHZ36" s="3"/>
      <c r="JIA36" s="3"/>
      <c r="JIB36" s="3"/>
      <c r="JIC36" s="3"/>
      <c r="JID36" s="3"/>
      <c r="JIE36" s="3"/>
      <c r="JIF36" s="3"/>
      <c r="JIG36" s="3"/>
      <c r="JIH36" s="3"/>
      <c r="JII36" s="3"/>
      <c r="JIJ36" s="3"/>
      <c r="JIK36" s="3"/>
      <c r="JIL36" s="3"/>
      <c r="JIM36" s="3"/>
      <c r="JIN36" s="3"/>
      <c r="JIO36" s="3"/>
      <c r="JIP36" s="3"/>
      <c r="JIQ36" s="3"/>
      <c r="JIR36" s="3"/>
      <c r="JIS36" s="3"/>
      <c r="JIT36" s="3"/>
      <c r="JIU36" s="3"/>
      <c r="JIV36" s="3"/>
      <c r="JIW36" s="3"/>
      <c r="JIX36" s="3"/>
      <c r="JIY36" s="3"/>
      <c r="JIZ36" s="3"/>
      <c r="JJA36" s="3"/>
      <c r="JJB36" s="3"/>
      <c r="JJC36" s="3"/>
      <c r="JJD36" s="3"/>
      <c r="JJE36" s="3"/>
      <c r="JJF36" s="3"/>
      <c r="JJG36" s="3"/>
      <c r="JJH36" s="3"/>
      <c r="JJI36" s="3"/>
      <c r="JJJ36" s="3"/>
      <c r="JJK36" s="3"/>
      <c r="JJL36" s="3"/>
      <c r="JJM36" s="3"/>
      <c r="JJN36" s="3"/>
      <c r="JJO36" s="3"/>
      <c r="JJP36" s="3"/>
      <c r="JJQ36" s="3"/>
      <c r="JJR36" s="3"/>
      <c r="JJS36" s="3"/>
      <c r="JJT36" s="3"/>
      <c r="JJU36" s="3"/>
      <c r="JJV36" s="3"/>
      <c r="JJW36" s="3"/>
      <c r="JJX36" s="3"/>
      <c r="JJY36" s="3"/>
      <c r="JJZ36" s="3"/>
      <c r="JKA36" s="3"/>
      <c r="JKB36" s="3"/>
      <c r="JKC36" s="3"/>
      <c r="JKD36" s="3"/>
      <c r="JKE36" s="3"/>
      <c r="JKF36" s="3"/>
      <c r="JKG36" s="3"/>
      <c r="JKH36" s="3"/>
      <c r="JKI36" s="3"/>
      <c r="JKJ36" s="3"/>
      <c r="JKK36" s="3"/>
      <c r="JKL36" s="3"/>
      <c r="JKM36" s="3"/>
      <c r="JKN36" s="3"/>
      <c r="JKO36" s="3"/>
      <c r="JKP36" s="3"/>
      <c r="JKQ36" s="3"/>
      <c r="JKR36" s="3"/>
      <c r="JKS36" s="3"/>
      <c r="JKT36" s="3"/>
      <c r="JKU36" s="3"/>
      <c r="JKV36" s="3"/>
      <c r="JKW36" s="3"/>
      <c r="JKX36" s="3"/>
      <c r="JKY36" s="3"/>
      <c r="JKZ36" s="3"/>
      <c r="JLA36" s="3"/>
      <c r="JLB36" s="3"/>
      <c r="JLC36" s="3"/>
      <c r="JLD36" s="3"/>
      <c r="JLE36" s="3"/>
      <c r="JLF36" s="3"/>
      <c r="JLG36" s="3"/>
      <c r="JLH36" s="3"/>
      <c r="JLI36" s="3"/>
      <c r="JLJ36" s="3"/>
      <c r="JLK36" s="3"/>
      <c r="JLL36" s="3"/>
      <c r="JLM36" s="3"/>
      <c r="JLN36" s="3"/>
      <c r="JLO36" s="3"/>
      <c r="JLP36" s="3"/>
      <c r="JLQ36" s="3"/>
      <c r="JLR36" s="3"/>
      <c r="JLS36" s="3"/>
      <c r="JLT36" s="3"/>
      <c r="JLU36" s="3"/>
      <c r="JLV36" s="3"/>
      <c r="JLW36" s="3"/>
      <c r="JLX36" s="3"/>
      <c r="JLY36" s="3"/>
      <c r="JLZ36" s="3"/>
      <c r="JMA36" s="3"/>
      <c r="JMB36" s="3"/>
      <c r="JMC36" s="3"/>
      <c r="JMD36" s="3"/>
      <c r="JME36" s="3"/>
      <c r="JMF36" s="3"/>
      <c r="JMG36" s="3"/>
      <c r="JMH36" s="3"/>
      <c r="JMI36" s="3"/>
      <c r="JMJ36" s="3"/>
      <c r="JMK36" s="3"/>
      <c r="JML36" s="3"/>
      <c r="JMM36" s="3"/>
      <c r="JMN36" s="3"/>
      <c r="JMO36" s="3"/>
      <c r="JMP36" s="3"/>
      <c r="JMQ36" s="3"/>
      <c r="JMR36" s="3"/>
      <c r="JMS36" s="3"/>
      <c r="JMT36" s="3"/>
      <c r="JMU36" s="3"/>
      <c r="JMV36" s="3"/>
      <c r="JMW36" s="3"/>
      <c r="JMX36" s="3"/>
      <c r="JMY36" s="3"/>
      <c r="JMZ36" s="3"/>
      <c r="JNA36" s="3"/>
      <c r="JNB36" s="3"/>
      <c r="JNC36" s="3"/>
      <c r="JND36" s="3"/>
      <c r="JNE36" s="3"/>
      <c r="JNF36" s="3"/>
      <c r="JNG36" s="3"/>
      <c r="JNH36" s="3"/>
      <c r="JNI36" s="3"/>
      <c r="JNJ36" s="3"/>
      <c r="JNK36" s="3"/>
      <c r="JNL36" s="3"/>
      <c r="JNM36" s="3"/>
      <c r="JNN36" s="3"/>
      <c r="JNO36" s="3"/>
      <c r="JNP36" s="3"/>
      <c r="JNQ36" s="3"/>
      <c r="JNR36" s="3"/>
      <c r="JNS36" s="3"/>
      <c r="JNT36" s="3"/>
      <c r="JNU36" s="3"/>
      <c r="JNV36" s="3"/>
      <c r="JNW36" s="3"/>
      <c r="JNX36" s="3"/>
      <c r="JNY36" s="3"/>
      <c r="JNZ36" s="3"/>
      <c r="JOA36" s="3"/>
      <c r="JOB36" s="3"/>
      <c r="JOC36" s="3"/>
      <c r="JOD36" s="3"/>
      <c r="JOE36" s="3"/>
      <c r="JOF36" s="3"/>
      <c r="JOG36" s="3"/>
      <c r="JOH36" s="3"/>
      <c r="JOI36" s="3"/>
      <c r="JOJ36" s="3"/>
      <c r="JOK36" s="3"/>
      <c r="JOL36" s="3"/>
      <c r="JOM36" s="3"/>
      <c r="JON36" s="3"/>
      <c r="JOO36" s="3"/>
      <c r="JOP36" s="3"/>
      <c r="JOQ36" s="3"/>
      <c r="JOR36" s="3"/>
      <c r="JOS36" s="3"/>
      <c r="JOT36" s="3"/>
      <c r="JOU36" s="3"/>
      <c r="JOV36" s="3"/>
      <c r="JOW36" s="3"/>
      <c r="JOX36" s="3"/>
      <c r="JOY36" s="3"/>
      <c r="JOZ36" s="3"/>
      <c r="JPA36" s="3"/>
      <c r="JPB36" s="3"/>
      <c r="JPC36" s="3"/>
      <c r="JPD36" s="3"/>
      <c r="JPE36" s="3"/>
      <c r="JPF36" s="3"/>
      <c r="JPG36" s="3"/>
      <c r="JPH36" s="3"/>
      <c r="JPI36" s="3"/>
      <c r="JPJ36" s="3"/>
      <c r="JPK36" s="3"/>
      <c r="JPL36" s="3"/>
      <c r="JPM36" s="3"/>
      <c r="JPN36" s="3"/>
      <c r="JPO36" s="3"/>
      <c r="JPP36" s="3"/>
      <c r="JPQ36" s="3"/>
      <c r="JPR36" s="3"/>
      <c r="JPS36" s="3"/>
      <c r="JPT36" s="3"/>
      <c r="JPU36" s="3"/>
      <c r="JPV36" s="3"/>
      <c r="JPW36" s="3"/>
      <c r="JPX36" s="3"/>
      <c r="JPY36" s="3"/>
      <c r="JPZ36" s="3"/>
      <c r="JQA36" s="3"/>
      <c r="JQB36" s="3"/>
      <c r="JQC36" s="3"/>
      <c r="JQD36" s="3"/>
      <c r="JQE36" s="3"/>
      <c r="JQF36" s="3"/>
      <c r="JQG36" s="3"/>
      <c r="JQH36" s="3"/>
      <c r="JQI36" s="3"/>
      <c r="JQJ36" s="3"/>
      <c r="JQK36" s="3"/>
      <c r="JQL36" s="3"/>
      <c r="JQM36" s="3"/>
      <c r="JQN36" s="3"/>
      <c r="JQO36" s="3"/>
      <c r="JQP36" s="3"/>
      <c r="JQQ36" s="3"/>
      <c r="JQR36" s="3"/>
      <c r="JQS36" s="3"/>
      <c r="JQT36" s="3"/>
      <c r="JQU36" s="3"/>
      <c r="JQV36" s="3"/>
      <c r="JQW36" s="3"/>
      <c r="JQX36" s="3"/>
      <c r="JQY36" s="3"/>
      <c r="JQZ36" s="3"/>
      <c r="JRA36" s="3"/>
      <c r="JRB36" s="3"/>
      <c r="JRC36" s="3"/>
      <c r="JRD36" s="3"/>
      <c r="JRE36" s="3"/>
      <c r="JRF36" s="3"/>
      <c r="JRG36" s="3"/>
      <c r="JRH36" s="3"/>
      <c r="JRI36" s="3"/>
      <c r="JRJ36" s="3"/>
      <c r="JRK36" s="3"/>
      <c r="JRL36" s="3"/>
      <c r="JRM36" s="3"/>
      <c r="JRN36" s="3"/>
      <c r="JRO36" s="3"/>
      <c r="JRP36" s="3"/>
      <c r="JRQ36" s="3"/>
      <c r="JRR36" s="3"/>
      <c r="JRS36" s="3"/>
      <c r="JRT36" s="3"/>
      <c r="JRU36" s="3"/>
      <c r="JRV36" s="3"/>
      <c r="JRW36" s="3"/>
      <c r="JRX36" s="3"/>
      <c r="JRY36" s="3"/>
      <c r="JRZ36" s="3"/>
      <c r="JSA36" s="3"/>
      <c r="JSB36" s="3"/>
      <c r="JSC36" s="3"/>
      <c r="JSD36" s="3"/>
      <c r="JSE36" s="3"/>
      <c r="JSF36" s="3"/>
      <c r="JSG36" s="3"/>
      <c r="JSH36" s="3"/>
      <c r="JSI36" s="3"/>
      <c r="JSJ36" s="3"/>
      <c r="JSK36" s="3"/>
      <c r="JSL36" s="3"/>
      <c r="JSM36" s="3"/>
      <c r="JSN36" s="3"/>
      <c r="JSO36" s="3"/>
      <c r="JSP36" s="3"/>
      <c r="JSQ36" s="3"/>
      <c r="JSR36" s="3"/>
      <c r="JSS36" s="3"/>
      <c r="JST36" s="3"/>
      <c r="JSU36" s="3"/>
      <c r="JSV36" s="3"/>
      <c r="JSW36" s="3"/>
      <c r="JSX36" s="3"/>
      <c r="JSY36" s="3"/>
      <c r="JSZ36" s="3"/>
      <c r="JTA36" s="3"/>
      <c r="JTB36" s="3"/>
      <c r="JTC36" s="3"/>
      <c r="JTD36" s="3"/>
      <c r="JTE36" s="3"/>
      <c r="JTF36" s="3"/>
      <c r="JTG36" s="3"/>
      <c r="JTH36" s="3"/>
      <c r="JTI36" s="3"/>
      <c r="JTJ36" s="3"/>
      <c r="JTK36" s="3"/>
      <c r="JTL36" s="3"/>
      <c r="JTM36" s="3"/>
      <c r="JTN36" s="3"/>
      <c r="JTO36" s="3"/>
      <c r="JTP36" s="3"/>
      <c r="JTQ36" s="3"/>
      <c r="JTR36" s="3"/>
      <c r="JTS36" s="3"/>
      <c r="JTT36" s="3"/>
      <c r="JTU36" s="3"/>
      <c r="JTV36" s="3"/>
      <c r="JTW36" s="3"/>
      <c r="JTX36" s="3"/>
      <c r="JTY36" s="3"/>
      <c r="JTZ36" s="3"/>
      <c r="JUA36" s="3"/>
      <c r="JUB36" s="3"/>
      <c r="JUC36" s="3"/>
      <c r="JUD36" s="3"/>
      <c r="JUE36" s="3"/>
      <c r="JUF36" s="3"/>
      <c r="JUG36" s="3"/>
      <c r="JUH36" s="3"/>
      <c r="JUI36" s="3"/>
      <c r="JUJ36" s="3"/>
      <c r="JUK36" s="3"/>
      <c r="JUL36" s="3"/>
      <c r="JUM36" s="3"/>
      <c r="JUN36" s="3"/>
      <c r="JUO36" s="3"/>
      <c r="JUP36" s="3"/>
      <c r="JUQ36" s="3"/>
      <c r="JUR36" s="3"/>
      <c r="JUS36" s="3"/>
      <c r="JUT36" s="3"/>
      <c r="JUU36" s="3"/>
      <c r="JUV36" s="3"/>
      <c r="JUW36" s="3"/>
      <c r="JUX36" s="3"/>
      <c r="JUY36" s="3"/>
      <c r="JUZ36" s="3"/>
      <c r="JVA36" s="3"/>
      <c r="JVB36" s="3"/>
      <c r="JVC36" s="3"/>
      <c r="JVD36" s="3"/>
      <c r="JVE36" s="3"/>
      <c r="JVF36" s="3"/>
      <c r="JVG36" s="3"/>
      <c r="JVH36" s="3"/>
      <c r="JVI36" s="3"/>
      <c r="JVJ36" s="3"/>
      <c r="JVK36" s="3"/>
      <c r="JVL36" s="3"/>
      <c r="JVM36" s="3"/>
      <c r="JVN36" s="3"/>
      <c r="JVO36" s="3"/>
      <c r="JVP36" s="3"/>
      <c r="JVQ36" s="3"/>
      <c r="JVR36" s="3"/>
      <c r="JVS36" s="3"/>
      <c r="JVT36" s="3"/>
      <c r="JVU36" s="3"/>
      <c r="JVV36" s="3"/>
      <c r="JVW36" s="3"/>
      <c r="JVX36" s="3"/>
      <c r="JVY36" s="3"/>
      <c r="JVZ36" s="3"/>
      <c r="JWA36" s="3"/>
      <c r="JWB36" s="3"/>
      <c r="JWC36" s="3"/>
      <c r="JWD36" s="3"/>
      <c r="JWE36" s="3"/>
      <c r="JWF36" s="3"/>
      <c r="JWG36" s="3"/>
      <c r="JWH36" s="3"/>
      <c r="JWI36" s="3"/>
      <c r="JWJ36" s="3"/>
      <c r="JWK36" s="3"/>
      <c r="JWL36" s="3"/>
      <c r="JWM36" s="3"/>
      <c r="JWN36" s="3"/>
      <c r="JWO36" s="3"/>
      <c r="JWP36" s="3"/>
      <c r="JWQ36" s="3"/>
      <c r="JWR36" s="3"/>
      <c r="JWS36" s="3"/>
      <c r="JWT36" s="3"/>
      <c r="JWU36" s="3"/>
      <c r="JWV36" s="3"/>
      <c r="JWW36" s="3"/>
      <c r="JWX36" s="3"/>
      <c r="JWY36" s="3"/>
      <c r="JWZ36" s="3"/>
      <c r="JXA36" s="3"/>
      <c r="JXB36" s="3"/>
      <c r="JXC36" s="3"/>
      <c r="JXD36" s="3"/>
      <c r="JXE36" s="3"/>
      <c r="JXF36" s="3"/>
      <c r="JXG36" s="3"/>
      <c r="JXH36" s="3"/>
      <c r="JXI36" s="3"/>
      <c r="JXJ36" s="3"/>
      <c r="JXK36" s="3"/>
      <c r="JXL36" s="3"/>
      <c r="JXM36" s="3"/>
      <c r="JXN36" s="3"/>
      <c r="JXO36" s="3"/>
      <c r="JXP36" s="3"/>
      <c r="JXQ36" s="3"/>
      <c r="JXR36" s="3"/>
      <c r="JXS36" s="3"/>
      <c r="JXT36" s="3"/>
      <c r="JXU36" s="3"/>
      <c r="JXV36" s="3"/>
      <c r="JXW36" s="3"/>
      <c r="JXX36" s="3"/>
      <c r="JXY36" s="3"/>
      <c r="JXZ36" s="3"/>
      <c r="JYA36" s="3"/>
      <c r="JYB36" s="3"/>
      <c r="JYC36" s="3"/>
      <c r="JYD36" s="3"/>
      <c r="JYE36" s="3"/>
      <c r="JYF36" s="3"/>
      <c r="JYG36" s="3"/>
      <c r="JYH36" s="3"/>
      <c r="JYI36" s="3"/>
      <c r="JYJ36" s="3"/>
      <c r="JYK36" s="3"/>
      <c r="JYL36" s="3"/>
      <c r="JYM36" s="3"/>
      <c r="JYN36" s="3"/>
      <c r="JYO36" s="3"/>
      <c r="JYP36" s="3"/>
      <c r="JYQ36" s="3"/>
      <c r="JYR36" s="3"/>
      <c r="JYS36" s="3"/>
      <c r="JYT36" s="3"/>
      <c r="JYU36" s="3"/>
      <c r="JYV36" s="3"/>
      <c r="JYW36" s="3"/>
      <c r="JYX36" s="3"/>
      <c r="JYY36" s="3"/>
      <c r="JYZ36" s="3"/>
      <c r="JZA36" s="3"/>
      <c r="JZB36" s="3"/>
      <c r="JZC36" s="3"/>
      <c r="JZD36" s="3"/>
      <c r="JZE36" s="3"/>
      <c r="JZF36" s="3"/>
      <c r="JZG36" s="3"/>
      <c r="JZH36" s="3"/>
      <c r="JZI36" s="3"/>
      <c r="JZJ36" s="3"/>
      <c r="JZK36" s="3"/>
      <c r="JZL36" s="3"/>
      <c r="JZM36" s="3"/>
      <c r="JZN36" s="3"/>
      <c r="JZO36" s="3"/>
      <c r="JZP36" s="3"/>
      <c r="JZQ36" s="3"/>
      <c r="JZR36" s="3"/>
      <c r="JZS36" s="3"/>
      <c r="JZT36" s="3"/>
      <c r="JZU36" s="3"/>
      <c r="JZV36" s="3"/>
      <c r="JZW36" s="3"/>
      <c r="JZX36" s="3"/>
      <c r="JZY36" s="3"/>
      <c r="JZZ36" s="3"/>
      <c r="KAA36" s="3"/>
      <c r="KAB36" s="3"/>
      <c r="KAC36" s="3"/>
      <c r="KAD36" s="3"/>
      <c r="KAE36" s="3"/>
      <c r="KAF36" s="3"/>
      <c r="KAG36" s="3"/>
      <c r="KAH36" s="3"/>
      <c r="KAI36" s="3"/>
      <c r="KAJ36" s="3"/>
      <c r="KAK36" s="3"/>
      <c r="KAL36" s="3"/>
      <c r="KAM36" s="3"/>
      <c r="KAN36" s="3"/>
      <c r="KAO36" s="3"/>
      <c r="KAP36" s="3"/>
      <c r="KAQ36" s="3"/>
      <c r="KAR36" s="3"/>
      <c r="KAS36" s="3"/>
      <c r="KAT36" s="3"/>
      <c r="KAU36" s="3"/>
      <c r="KAV36" s="3"/>
      <c r="KAW36" s="3"/>
      <c r="KAX36" s="3"/>
      <c r="KAY36" s="3"/>
      <c r="KAZ36" s="3"/>
      <c r="KBA36" s="3"/>
      <c r="KBB36" s="3"/>
      <c r="KBC36" s="3"/>
      <c r="KBD36" s="3"/>
      <c r="KBE36" s="3"/>
      <c r="KBF36" s="3"/>
      <c r="KBG36" s="3"/>
      <c r="KBH36" s="3"/>
      <c r="KBI36" s="3"/>
      <c r="KBJ36" s="3"/>
      <c r="KBK36" s="3"/>
      <c r="KBL36" s="3"/>
      <c r="KBM36" s="3"/>
      <c r="KBN36" s="3"/>
      <c r="KBO36" s="3"/>
      <c r="KBP36" s="3"/>
      <c r="KBQ36" s="3"/>
      <c r="KBR36" s="3"/>
      <c r="KBS36" s="3"/>
      <c r="KBT36" s="3"/>
      <c r="KBU36" s="3"/>
      <c r="KBV36" s="3"/>
      <c r="KBW36" s="3"/>
      <c r="KBX36" s="3"/>
      <c r="KBY36" s="3"/>
      <c r="KBZ36" s="3"/>
      <c r="KCA36" s="3"/>
      <c r="KCB36" s="3"/>
      <c r="KCC36" s="3"/>
      <c r="KCD36" s="3"/>
      <c r="KCE36" s="3"/>
      <c r="KCF36" s="3"/>
      <c r="KCG36" s="3"/>
      <c r="KCH36" s="3"/>
      <c r="KCI36" s="3"/>
      <c r="KCJ36" s="3"/>
      <c r="KCK36" s="3"/>
      <c r="KCL36" s="3"/>
      <c r="KCM36" s="3"/>
      <c r="KCN36" s="3"/>
      <c r="KCO36" s="3"/>
      <c r="KCP36" s="3"/>
      <c r="KCQ36" s="3"/>
      <c r="KCR36" s="3"/>
      <c r="KCS36" s="3"/>
      <c r="KCT36" s="3"/>
      <c r="KCU36" s="3"/>
      <c r="KCV36" s="3"/>
      <c r="KCW36" s="3"/>
      <c r="KCX36" s="3"/>
      <c r="KCY36" s="3"/>
      <c r="KCZ36" s="3"/>
      <c r="KDA36" s="3"/>
      <c r="KDB36" s="3"/>
      <c r="KDC36" s="3"/>
      <c r="KDD36" s="3"/>
      <c r="KDE36" s="3"/>
      <c r="KDF36" s="3"/>
      <c r="KDG36" s="3"/>
      <c r="KDH36" s="3"/>
      <c r="KDI36" s="3"/>
      <c r="KDJ36" s="3"/>
      <c r="KDK36" s="3"/>
      <c r="KDL36" s="3"/>
      <c r="KDM36" s="3"/>
      <c r="KDN36" s="3"/>
      <c r="KDO36" s="3"/>
      <c r="KDP36" s="3"/>
      <c r="KDQ36" s="3"/>
      <c r="KDR36" s="3"/>
      <c r="KDS36" s="3"/>
      <c r="KDT36" s="3"/>
      <c r="KDU36" s="3"/>
      <c r="KDV36" s="3"/>
      <c r="KDW36" s="3"/>
      <c r="KDX36" s="3"/>
      <c r="KDY36" s="3"/>
      <c r="KDZ36" s="3"/>
      <c r="KEA36" s="3"/>
      <c r="KEB36" s="3"/>
      <c r="KEC36" s="3"/>
      <c r="KED36" s="3"/>
      <c r="KEE36" s="3"/>
      <c r="KEF36" s="3"/>
      <c r="KEG36" s="3"/>
      <c r="KEH36" s="3"/>
      <c r="KEI36" s="3"/>
      <c r="KEJ36" s="3"/>
      <c r="KEK36" s="3"/>
      <c r="KEL36" s="3"/>
      <c r="KEM36" s="3"/>
      <c r="KEN36" s="3"/>
      <c r="KEO36" s="3"/>
      <c r="KEP36" s="3"/>
      <c r="KEQ36" s="3"/>
      <c r="KER36" s="3"/>
      <c r="KES36" s="3"/>
      <c r="KET36" s="3"/>
      <c r="KEU36" s="3"/>
      <c r="KEV36" s="3"/>
      <c r="KEW36" s="3"/>
      <c r="KEX36" s="3"/>
      <c r="KEY36" s="3"/>
      <c r="KEZ36" s="3"/>
      <c r="KFA36" s="3"/>
      <c r="KFB36" s="3"/>
      <c r="KFC36" s="3"/>
      <c r="KFD36" s="3"/>
      <c r="KFE36" s="3"/>
      <c r="KFF36" s="3"/>
      <c r="KFG36" s="3"/>
      <c r="KFH36" s="3"/>
      <c r="KFI36" s="3"/>
      <c r="KFJ36" s="3"/>
      <c r="KFK36" s="3"/>
      <c r="KFL36" s="3"/>
      <c r="KFM36" s="3"/>
      <c r="KFN36" s="3"/>
      <c r="KFO36" s="3"/>
      <c r="KFP36" s="3"/>
      <c r="KFQ36" s="3"/>
      <c r="KFR36" s="3"/>
      <c r="KFS36" s="3"/>
      <c r="KFT36" s="3"/>
      <c r="KFU36" s="3"/>
      <c r="KFV36" s="3"/>
      <c r="KFW36" s="3"/>
      <c r="KFX36" s="3"/>
      <c r="KFY36" s="3"/>
      <c r="KFZ36" s="3"/>
      <c r="KGA36" s="3"/>
      <c r="KGB36" s="3"/>
      <c r="KGC36" s="3"/>
      <c r="KGD36" s="3"/>
      <c r="KGE36" s="3"/>
      <c r="KGF36" s="3"/>
      <c r="KGG36" s="3"/>
      <c r="KGH36" s="3"/>
      <c r="KGI36" s="3"/>
      <c r="KGJ36" s="3"/>
      <c r="KGK36" s="3"/>
      <c r="KGL36" s="3"/>
      <c r="KGM36" s="3"/>
      <c r="KGN36" s="3"/>
      <c r="KGO36" s="3"/>
      <c r="KGP36" s="3"/>
      <c r="KGQ36" s="3"/>
      <c r="KGR36" s="3"/>
      <c r="KGS36" s="3"/>
      <c r="KGT36" s="3"/>
      <c r="KGU36" s="3"/>
      <c r="KGV36" s="3"/>
      <c r="KGW36" s="3"/>
      <c r="KGX36" s="3"/>
      <c r="KGY36" s="3"/>
      <c r="KGZ36" s="3"/>
      <c r="KHA36" s="3"/>
      <c r="KHB36" s="3"/>
      <c r="KHC36" s="3"/>
      <c r="KHD36" s="3"/>
      <c r="KHE36" s="3"/>
      <c r="KHF36" s="3"/>
      <c r="KHG36" s="3"/>
      <c r="KHH36" s="3"/>
      <c r="KHI36" s="3"/>
      <c r="KHJ36" s="3"/>
      <c r="KHK36" s="3"/>
      <c r="KHL36" s="3"/>
      <c r="KHM36" s="3"/>
      <c r="KHN36" s="3"/>
      <c r="KHO36" s="3"/>
      <c r="KHP36" s="3"/>
      <c r="KHQ36" s="3"/>
      <c r="KHR36" s="3"/>
      <c r="KHS36" s="3"/>
      <c r="KHT36" s="3"/>
      <c r="KHU36" s="3"/>
      <c r="KHV36" s="3"/>
      <c r="KHW36" s="3"/>
      <c r="KHX36" s="3"/>
      <c r="KHY36" s="3"/>
      <c r="KHZ36" s="3"/>
      <c r="KIA36" s="3"/>
      <c r="KIB36" s="3"/>
      <c r="KIC36" s="3"/>
      <c r="KID36" s="3"/>
      <c r="KIE36" s="3"/>
      <c r="KIF36" s="3"/>
      <c r="KIG36" s="3"/>
      <c r="KIH36" s="3"/>
      <c r="KII36" s="3"/>
      <c r="KIJ36" s="3"/>
      <c r="KIK36" s="3"/>
      <c r="KIL36" s="3"/>
      <c r="KIM36" s="3"/>
      <c r="KIN36" s="3"/>
      <c r="KIO36" s="3"/>
      <c r="KIP36" s="3"/>
      <c r="KIQ36" s="3"/>
      <c r="KIR36" s="3"/>
      <c r="KIS36" s="3"/>
      <c r="KIT36" s="3"/>
      <c r="KIU36" s="3"/>
      <c r="KIV36" s="3"/>
      <c r="KIW36" s="3"/>
      <c r="KIX36" s="3"/>
      <c r="KIY36" s="3"/>
      <c r="KIZ36" s="3"/>
      <c r="KJA36" s="3"/>
      <c r="KJB36" s="3"/>
      <c r="KJC36" s="3"/>
      <c r="KJD36" s="3"/>
      <c r="KJE36" s="3"/>
      <c r="KJF36" s="3"/>
      <c r="KJG36" s="3"/>
      <c r="KJH36" s="3"/>
      <c r="KJI36" s="3"/>
      <c r="KJJ36" s="3"/>
      <c r="KJK36" s="3"/>
      <c r="KJL36" s="3"/>
      <c r="KJM36" s="3"/>
      <c r="KJN36" s="3"/>
      <c r="KJO36" s="3"/>
      <c r="KJP36" s="3"/>
      <c r="KJQ36" s="3"/>
      <c r="KJR36" s="3"/>
      <c r="KJS36" s="3"/>
      <c r="KJT36" s="3"/>
      <c r="KJU36" s="3"/>
      <c r="KJV36" s="3"/>
      <c r="KJW36" s="3"/>
      <c r="KJX36" s="3"/>
      <c r="KJY36" s="3"/>
      <c r="KJZ36" s="3"/>
      <c r="KKA36" s="3"/>
      <c r="KKB36" s="3"/>
      <c r="KKC36" s="3"/>
      <c r="KKD36" s="3"/>
      <c r="KKE36" s="3"/>
      <c r="KKF36" s="3"/>
      <c r="KKG36" s="3"/>
      <c r="KKH36" s="3"/>
      <c r="KKI36" s="3"/>
      <c r="KKJ36" s="3"/>
      <c r="KKK36" s="3"/>
      <c r="KKL36" s="3"/>
      <c r="KKM36" s="3"/>
      <c r="KKN36" s="3"/>
      <c r="KKO36" s="3"/>
      <c r="KKP36" s="3"/>
      <c r="KKQ36" s="3"/>
      <c r="KKR36" s="3"/>
      <c r="KKS36" s="3"/>
      <c r="KKT36" s="3"/>
      <c r="KKU36" s="3"/>
      <c r="KKV36" s="3"/>
      <c r="KKW36" s="3"/>
      <c r="KKX36" s="3"/>
      <c r="KKY36" s="3"/>
      <c r="KKZ36" s="3"/>
      <c r="KLA36" s="3"/>
      <c r="KLB36" s="3"/>
      <c r="KLC36" s="3"/>
      <c r="KLD36" s="3"/>
      <c r="KLE36" s="3"/>
      <c r="KLF36" s="3"/>
      <c r="KLG36" s="3"/>
      <c r="KLH36" s="3"/>
      <c r="KLI36" s="3"/>
      <c r="KLJ36" s="3"/>
      <c r="KLK36" s="3"/>
      <c r="KLL36" s="3"/>
      <c r="KLM36" s="3"/>
      <c r="KLN36" s="3"/>
      <c r="KLO36" s="3"/>
      <c r="KLP36" s="3"/>
      <c r="KLQ36" s="3"/>
      <c r="KLR36" s="3"/>
      <c r="KLS36" s="3"/>
      <c r="KLT36" s="3"/>
      <c r="KLU36" s="3"/>
      <c r="KLV36" s="3"/>
      <c r="KLW36" s="3"/>
      <c r="KLX36" s="3"/>
      <c r="KLY36" s="3"/>
      <c r="KLZ36" s="3"/>
      <c r="KMA36" s="3"/>
      <c r="KMB36" s="3"/>
      <c r="KMC36" s="3"/>
      <c r="KMD36" s="3"/>
      <c r="KME36" s="3"/>
      <c r="KMF36" s="3"/>
      <c r="KMG36" s="3"/>
      <c r="KMH36" s="3"/>
      <c r="KMI36" s="3"/>
      <c r="KMJ36" s="3"/>
      <c r="KMK36" s="3"/>
      <c r="KML36" s="3"/>
      <c r="KMM36" s="3"/>
      <c r="KMN36" s="3"/>
      <c r="KMO36" s="3"/>
      <c r="KMP36" s="3"/>
      <c r="KMQ36" s="3"/>
      <c r="KMR36" s="3"/>
      <c r="KMS36" s="3"/>
      <c r="KMT36" s="3"/>
      <c r="KMU36" s="3"/>
      <c r="KMV36" s="3"/>
      <c r="KMW36" s="3"/>
      <c r="KMX36" s="3"/>
      <c r="KMY36" s="3"/>
      <c r="KMZ36" s="3"/>
      <c r="KNA36" s="3"/>
      <c r="KNB36" s="3"/>
      <c r="KNC36" s="3"/>
      <c r="KND36" s="3"/>
      <c r="KNE36" s="3"/>
      <c r="KNF36" s="3"/>
      <c r="KNG36" s="3"/>
      <c r="KNH36" s="3"/>
      <c r="KNI36" s="3"/>
      <c r="KNJ36" s="3"/>
      <c r="KNK36" s="3"/>
      <c r="KNL36" s="3"/>
      <c r="KNM36" s="3"/>
      <c r="KNN36" s="3"/>
      <c r="KNO36" s="3"/>
      <c r="KNP36" s="3"/>
      <c r="KNQ36" s="3"/>
      <c r="KNR36" s="3"/>
      <c r="KNS36" s="3"/>
      <c r="KNT36" s="3"/>
      <c r="KNU36" s="3"/>
      <c r="KNV36" s="3"/>
      <c r="KNW36" s="3"/>
      <c r="KNX36" s="3"/>
      <c r="KNY36" s="3"/>
      <c r="KNZ36" s="3"/>
      <c r="KOA36" s="3"/>
      <c r="KOB36" s="3"/>
      <c r="KOC36" s="3"/>
      <c r="KOD36" s="3"/>
      <c r="KOE36" s="3"/>
      <c r="KOF36" s="3"/>
      <c r="KOG36" s="3"/>
      <c r="KOH36" s="3"/>
      <c r="KOI36" s="3"/>
      <c r="KOJ36" s="3"/>
      <c r="KOK36" s="3"/>
      <c r="KOL36" s="3"/>
      <c r="KOM36" s="3"/>
      <c r="KON36" s="3"/>
      <c r="KOO36" s="3"/>
      <c r="KOP36" s="3"/>
      <c r="KOQ36" s="3"/>
      <c r="KOR36" s="3"/>
      <c r="KOS36" s="3"/>
      <c r="KOT36" s="3"/>
      <c r="KOU36" s="3"/>
      <c r="KOV36" s="3"/>
      <c r="KOW36" s="3"/>
      <c r="KOX36" s="3"/>
      <c r="KOY36" s="3"/>
      <c r="KOZ36" s="3"/>
      <c r="KPA36" s="3"/>
      <c r="KPB36" s="3"/>
      <c r="KPC36" s="3"/>
      <c r="KPD36" s="3"/>
      <c r="KPE36" s="3"/>
      <c r="KPF36" s="3"/>
      <c r="KPG36" s="3"/>
      <c r="KPH36" s="3"/>
      <c r="KPI36" s="3"/>
      <c r="KPJ36" s="3"/>
      <c r="KPK36" s="3"/>
      <c r="KPL36" s="3"/>
      <c r="KPM36" s="3"/>
      <c r="KPN36" s="3"/>
      <c r="KPO36" s="3"/>
      <c r="KPP36" s="3"/>
      <c r="KPQ36" s="3"/>
      <c r="KPR36" s="3"/>
      <c r="KPS36" s="3"/>
      <c r="KPT36" s="3"/>
      <c r="KPU36" s="3"/>
      <c r="KPV36" s="3"/>
      <c r="KPW36" s="3"/>
      <c r="KPX36" s="3"/>
      <c r="KPY36" s="3"/>
      <c r="KPZ36" s="3"/>
      <c r="KQA36" s="3"/>
      <c r="KQB36" s="3"/>
      <c r="KQC36" s="3"/>
      <c r="KQD36" s="3"/>
      <c r="KQE36" s="3"/>
      <c r="KQF36" s="3"/>
      <c r="KQG36" s="3"/>
      <c r="KQH36" s="3"/>
      <c r="KQI36" s="3"/>
      <c r="KQJ36" s="3"/>
      <c r="KQK36" s="3"/>
      <c r="KQL36" s="3"/>
      <c r="KQM36" s="3"/>
      <c r="KQN36" s="3"/>
      <c r="KQO36" s="3"/>
      <c r="KQP36" s="3"/>
      <c r="KQQ36" s="3"/>
      <c r="KQR36" s="3"/>
      <c r="KQS36" s="3"/>
      <c r="KQT36" s="3"/>
      <c r="KQU36" s="3"/>
      <c r="KQV36" s="3"/>
      <c r="KQW36" s="3"/>
      <c r="KQX36" s="3"/>
      <c r="KQY36" s="3"/>
      <c r="KQZ36" s="3"/>
      <c r="KRA36" s="3"/>
      <c r="KRB36" s="3"/>
      <c r="KRC36" s="3"/>
      <c r="KRD36" s="3"/>
      <c r="KRE36" s="3"/>
      <c r="KRF36" s="3"/>
      <c r="KRG36" s="3"/>
      <c r="KRH36" s="3"/>
      <c r="KRI36" s="3"/>
      <c r="KRJ36" s="3"/>
      <c r="KRK36" s="3"/>
      <c r="KRL36" s="3"/>
      <c r="KRM36" s="3"/>
      <c r="KRN36" s="3"/>
      <c r="KRO36" s="3"/>
      <c r="KRP36" s="3"/>
      <c r="KRQ36" s="3"/>
      <c r="KRR36" s="3"/>
      <c r="KRS36" s="3"/>
      <c r="KRT36" s="3"/>
      <c r="KRU36" s="3"/>
      <c r="KRV36" s="3"/>
      <c r="KRW36" s="3"/>
      <c r="KRX36" s="3"/>
      <c r="KRY36" s="3"/>
      <c r="KRZ36" s="3"/>
      <c r="KSA36" s="3"/>
      <c r="KSB36" s="3"/>
      <c r="KSC36" s="3"/>
      <c r="KSD36" s="3"/>
      <c r="KSE36" s="3"/>
      <c r="KSF36" s="3"/>
      <c r="KSG36" s="3"/>
      <c r="KSH36" s="3"/>
      <c r="KSI36" s="3"/>
      <c r="KSJ36" s="3"/>
      <c r="KSK36" s="3"/>
      <c r="KSL36" s="3"/>
      <c r="KSM36" s="3"/>
      <c r="KSN36" s="3"/>
      <c r="KSO36" s="3"/>
      <c r="KSP36" s="3"/>
      <c r="KSQ36" s="3"/>
      <c r="KSR36" s="3"/>
      <c r="KSS36" s="3"/>
      <c r="KST36" s="3"/>
      <c r="KSU36" s="3"/>
      <c r="KSV36" s="3"/>
      <c r="KSW36" s="3"/>
      <c r="KSX36" s="3"/>
      <c r="KSY36" s="3"/>
      <c r="KSZ36" s="3"/>
      <c r="KTA36" s="3"/>
      <c r="KTB36" s="3"/>
      <c r="KTC36" s="3"/>
      <c r="KTD36" s="3"/>
      <c r="KTE36" s="3"/>
      <c r="KTF36" s="3"/>
      <c r="KTG36" s="3"/>
      <c r="KTH36" s="3"/>
      <c r="KTI36" s="3"/>
      <c r="KTJ36" s="3"/>
      <c r="KTK36" s="3"/>
      <c r="KTL36" s="3"/>
      <c r="KTM36" s="3"/>
      <c r="KTN36" s="3"/>
      <c r="KTO36" s="3"/>
      <c r="KTP36" s="3"/>
      <c r="KTQ36" s="3"/>
      <c r="KTR36" s="3"/>
      <c r="KTS36" s="3"/>
      <c r="KTT36" s="3"/>
      <c r="KTU36" s="3"/>
      <c r="KTV36" s="3"/>
      <c r="KTW36" s="3"/>
      <c r="KTX36" s="3"/>
      <c r="KTY36" s="3"/>
      <c r="KTZ36" s="3"/>
      <c r="KUA36" s="3"/>
      <c r="KUB36" s="3"/>
      <c r="KUC36" s="3"/>
      <c r="KUD36" s="3"/>
      <c r="KUE36" s="3"/>
      <c r="KUF36" s="3"/>
      <c r="KUG36" s="3"/>
      <c r="KUH36" s="3"/>
      <c r="KUI36" s="3"/>
      <c r="KUJ36" s="3"/>
      <c r="KUK36" s="3"/>
      <c r="KUL36" s="3"/>
      <c r="KUM36" s="3"/>
      <c r="KUN36" s="3"/>
      <c r="KUO36" s="3"/>
      <c r="KUP36" s="3"/>
      <c r="KUQ36" s="3"/>
      <c r="KUR36" s="3"/>
      <c r="KUS36" s="3"/>
      <c r="KUT36" s="3"/>
      <c r="KUU36" s="3"/>
      <c r="KUV36" s="3"/>
      <c r="KUW36" s="3"/>
      <c r="KUX36" s="3"/>
      <c r="KUY36" s="3"/>
      <c r="KUZ36" s="3"/>
      <c r="KVA36" s="3"/>
      <c r="KVB36" s="3"/>
      <c r="KVC36" s="3"/>
      <c r="KVD36" s="3"/>
      <c r="KVE36" s="3"/>
      <c r="KVF36" s="3"/>
      <c r="KVG36" s="3"/>
      <c r="KVH36" s="3"/>
      <c r="KVI36" s="3"/>
      <c r="KVJ36" s="3"/>
      <c r="KVK36" s="3"/>
      <c r="KVL36" s="3"/>
      <c r="KVM36" s="3"/>
      <c r="KVN36" s="3"/>
      <c r="KVO36" s="3"/>
      <c r="KVP36" s="3"/>
      <c r="KVQ36" s="3"/>
      <c r="KVR36" s="3"/>
      <c r="KVS36" s="3"/>
      <c r="KVT36" s="3"/>
      <c r="KVU36" s="3"/>
      <c r="KVV36" s="3"/>
      <c r="KVW36" s="3"/>
      <c r="KVX36" s="3"/>
      <c r="KVY36" s="3"/>
      <c r="KVZ36" s="3"/>
      <c r="KWA36" s="3"/>
      <c r="KWB36" s="3"/>
      <c r="KWC36" s="3"/>
      <c r="KWD36" s="3"/>
      <c r="KWE36" s="3"/>
      <c r="KWF36" s="3"/>
      <c r="KWG36" s="3"/>
      <c r="KWH36" s="3"/>
      <c r="KWI36" s="3"/>
      <c r="KWJ36" s="3"/>
      <c r="KWK36" s="3"/>
      <c r="KWL36" s="3"/>
      <c r="KWM36" s="3"/>
      <c r="KWN36" s="3"/>
      <c r="KWO36" s="3"/>
      <c r="KWP36" s="3"/>
      <c r="KWQ36" s="3"/>
      <c r="KWR36" s="3"/>
      <c r="KWS36" s="3"/>
      <c r="KWT36" s="3"/>
      <c r="KWU36" s="3"/>
      <c r="KWV36" s="3"/>
      <c r="KWW36" s="3"/>
      <c r="KWX36" s="3"/>
      <c r="KWY36" s="3"/>
      <c r="KWZ36" s="3"/>
      <c r="KXA36" s="3"/>
      <c r="KXB36" s="3"/>
      <c r="KXC36" s="3"/>
      <c r="KXD36" s="3"/>
      <c r="KXE36" s="3"/>
      <c r="KXF36" s="3"/>
      <c r="KXG36" s="3"/>
      <c r="KXH36" s="3"/>
      <c r="KXI36" s="3"/>
      <c r="KXJ36" s="3"/>
      <c r="KXK36" s="3"/>
      <c r="KXL36" s="3"/>
      <c r="KXM36" s="3"/>
      <c r="KXN36" s="3"/>
      <c r="KXO36" s="3"/>
      <c r="KXP36" s="3"/>
      <c r="KXQ36" s="3"/>
      <c r="KXR36" s="3"/>
      <c r="KXS36" s="3"/>
      <c r="KXT36" s="3"/>
      <c r="KXU36" s="3"/>
      <c r="KXV36" s="3"/>
      <c r="KXW36" s="3"/>
      <c r="KXX36" s="3"/>
      <c r="KXY36" s="3"/>
      <c r="KXZ36" s="3"/>
      <c r="KYA36" s="3"/>
      <c r="KYB36" s="3"/>
      <c r="KYC36" s="3"/>
      <c r="KYD36" s="3"/>
      <c r="KYE36" s="3"/>
      <c r="KYF36" s="3"/>
      <c r="KYG36" s="3"/>
      <c r="KYH36" s="3"/>
      <c r="KYI36" s="3"/>
      <c r="KYJ36" s="3"/>
      <c r="KYK36" s="3"/>
      <c r="KYL36" s="3"/>
      <c r="KYM36" s="3"/>
      <c r="KYN36" s="3"/>
      <c r="KYO36" s="3"/>
      <c r="KYP36" s="3"/>
      <c r="KYQ36" s="3"/>
      <c r="KYR36" s="3"/>
      <c r="KYS36" s="3"/>
      <c r="KYT36" s="3"/>
      <c r="KYU36" s="3"/>
      <c r="KYV36" s="3"/>
      <c r="KYW36" s="3"/>
      <c r="KYX36" s="3"/>
      <c r="KYY36" s="3"/>
      <c r="KYZ36" s="3"/>
      <c r="KZA36" s="3"/>
      <c r="KZB36" s="3"/>
      <c r="KZC36" s="3"/>
      <c r="KZD36" s="3"/>
      <c r="KZE36" s="3"/>
      <c r="KZF36" s="3"/>
      <c r="KZG36" s="3"/>
      <c r="KZH36" s="3"/>
      <c r="KZI36" s="3"/>
      <c r="KZJ36" s="3"/>
      <c r="KZK36" s="3"/>
      <c r="KZL36" s="3"/>
      <c r="KZM36" s="3"/>
      <c r="KZN36" s="3"/>
      <c r="KZO36" s="3"/>
      <c r="KZP36" s="3"/>
      <c r="KZQ36" s="3"/>
      <c r="KZR36" s="3"/>
      <c r="KZS36" s="3"/>
      <c r="KZT36" s="3"/>
      <c r="KZU36" s="3"/>
      <c r="KZV36" s="3"/>
      <c r="KZW36" s="3"/>
      <c r="KZX36" s="3"/>
      <c r="KZY36" s="3"/>
      <c r="KZZ36" s="3"/>
      <c r="LAA36" s="3"/>
      <c r="LAB36" s="3"/>
      <c r="LAC36" s="3"/>
      <c r="LAD36" s="3"/>
      <c r="LAE36" s="3"/>
      <c r="LAF36" s="3"/>
      <c r="LAG36" s="3"/>
      <c r="LAH36" s="3"/>
      <c r="LAI36" s="3"/>
      <c r="LAJ36" s="3"/>
      <c r="LAK36" s="3"/>
      <c r="LAL36" s="3"/>
      <c r="LAM36" s="3"/>
      <c r="LAN36" s="3"/>
      <c r="LAO36" s="3"/>
      <c r="LAP36" s="3"/>
      <c r="LAQ36" s="3"/>
      <c r="LAR36" s="3"/>
      <c r="LAS36" s="3"/>
      <c r="LAT36" s="3"/>
      <c r="LAU36" s="3"/>
      <c r="LAV36" s="3"/>
      <c r="LAW36" s="3"/>
      <c r="LAX36" s="3"/>
      <c r="LAY36" s="3"/>
      <c r="LAZ36" s="3"/>
      <c r="LBA36" s="3"/>
      <c r="LBB36" s="3"/>
      <c r="LBC36" s="3"/>
      <c r="LBD36" s="3"/>
      <c r="LBE36" s="3"/>
      <c r="LBF36" s="3"/>
      <c r="LBG36" s="3"/>
      <c r="LBH36" s="3"/>
      <c r="LBI36" s="3"/>
      <c r="LBJ36" s="3"/>
      <c r="LBK36" s="3"/>
      <c r="LBL36" s="3"/>
      <c r="LBM36" s="3"/>
      <c r="LBN36" s="3"/>
      <c r="LBO36" s="3"/>
      <c r="LBP36" s="3"/>
      <c r="LBQ36" s="3"/>
      <c r="LBR36" s="3"/>
      <c r="LBS36" s="3"/>
      <c r="LBT36" s="3"/>
      <c r="LBU36" s="3"/>
      <c r="LBV36" s="3"/>
      <c r="LBW36" s="3"/>
      <c r="LBX36" s="3"/>
      <c r="LBY36" s="3"/>
      <c r="LBZ36" s="3"/>
      <c r="LCA36" s="3"/>
      <c r="LCB36" s="3"/>
      <c r="LCC36" s="3"/>
      <c r="LCD36" s="3"/>
      <c r="LCE36" s="3"/>
      <c r="LCF36" s="3"/>
      <c r="LCG36" s="3"/>
      <c r="LCH36" s="3"/>
      <c r="LCI36" s="3"/>
      <c r="LCJ36" s="3"/>
      <c r="LCK36" s="3"/>
      <c r="LCL36" s="3"/>
      <c r="LCM36" s="3"/>
      <c r="LCN36" s="3"/>
      <c r="LCO36" s="3"/>
      <c r="LCP36" s="3"/>
      <c r="LCQ36" s="3"/>
      <c r="LCR36" s="3"/>
      <c r="LCS36" s="3"/>
      <c r="LCT36" s="3"/>
      <c r="LCU36" s="3"/>
      <c r="LCV36" s="3"/>
      <c r="LCW36" s="3"/>
      <c r="LCX36" s="3"/>
      <c r="LCY36" s="3"/>
      <c r="LCZ36" s="3"/>
      <c r="LDA36" s="3"/>
      <c r="LDB36" s="3"/>
      <c r="LDC36" s="3"/>
      <c r="LDD36" s="3"/>
      <c r="LDE36" s="3"/>
      <c r="LDF36" s="3"/>
      <c r="LDG36" s="3"/>
      <c r="LDH36" s="3"/>
      <c r="LDI36" s="3"/>
      <c r="LDJ36" s="3"/>
      <c r="LDK36" s="3"/>
      <c r="LDL36" s="3"/>
      <c r="LDM36" s="3"/>
      <c r="LDN36" s="3"/>
      <c r="LDO36" s="3"/>
      <c r="LDP36" s="3"/>
      <c r="LDQ36" s="3"/>
      <c r="LDR36" s="3"/>
      <c r="LDS36" s="3"/>
      <c r="LDT36" s="3"/>
      <c r="LDU36" s="3"/>
      <c r="LDV36" s="3"/>
      <c r="LDW36" s="3"/>
      <c r="LDX36" s="3"/>
      <c r="LDY36" s="3"/>
      <c r="LDZ36" s="3"/>
      <c r="LEA36" s="3"/>
      <c r="LEB36" s="3"/>
      <c r="LEC36" s="3"/>
      <c r="LED36" s="3"/>
      <c r="LEE36" s="3"/>
      <c r="LEF36" s="3"/>
      <c r="LEG36" s="3"/>
      <c r="LEH36" s="3"/>
      <c r="LEI36" s="3"/>
      <c r="LEJ36" s="3"/>
      <c r="LEK36" s="3"/>
      <c r="LEL36" s="3"/>
      <c r="LEM36" s="3"/>
      <c r="LEN36" s="3"/>
      <c r="LEO36" s="3"/>
      <c r="LEP36" s="3"/>
      <c r="LEQ36" s="3"/>
      <c r="LER36" s="3"/>
      <c r="LES36" s="3"/>
      <c r="LET36" s="3"/>
      <c r="LEU36" s="3"/>
      <c r="LEV36" s="3"/>
      <c r="LEW36" s="3"/>
      <c r="LEX36" s="3"/>
      <c r="LEY36" s="3"/>
      <c r="LEZ36" s="3"/>
      <c r="LFA36" s="3"/>
      <c r="LFB36" s="3"/>
      <c r="LFC36" s="3"/>
      <c r="LFD36" s="3"/>
      <c r="LFE36" s="3"/>
      <c r="LFF36" s="3"/>
      <c r="LFG36" s="3"/>
      <c r="LFH36" s="3"/>
      <c r="LFI36" s="3"/>
      <c r="LFJ36" s="3"/>
      <c r="LFK36" s="3"/>
      <c r="LFL36" s="3"/>
      <c r="LFM36" s="3"/>
      <c r="LFN36" s="3"/>
      <c r="LFO36" s="3"/>
      <c r="LFP36" s="3"/>
      <c r="LFQ36" s="3"/>
      <c r="LFR36" s="3"/>
      <c r="LFS36" s="3"/>
      <c r="LFT36" s="3"/>
      <c r="LFU36" s="3"/>
      <c r="LFV36" s="3"/>
      <c r="LFW36" s="3"/>
      <c r="LFX36" s="3"/>
      <c r="LFY36" s="3"/>
      <c r="LFZ36" s="3"/>
      <c r="LGA36" s="3"/>
      <c r="LGB36" s="3"/>
      <c r="LGC36" s="3"/>
      <c r="LGD36" s="3"/>
      <c r="LGE36" s="3"/>
      <c r="LGF36" s="3"/>
      <c r="LGG36" s="3"/>
      <c r="LGH36" s="3"/>
      <c r="LGI36" s="3"/>
      <c r="LGJ36" s="3"/>
      <c r="LGK36" s="3"/>
      <c r="LGL36" s="3"/>
      <c r="LGM36" s="3"/>
      <c r="LGN36" s="3"/>
      <c r="LGO36" s="3"/>
      <c r="LGP36" s="3"/>
      <c r="LGQ36" s="3"/>
      <c r="LGR36" s="3"/>
      <c r="LGS36" s="3"/>
      <c r="LGT36" s="3"/>
      <c r="LGU36" s="3"/>
      <c r="LGV36" s="3"/>
      <c r="LGW36" s="3"/>
      <c r="LGX36" s="3"/>
      <c r="LGY36" s="3"/>
      <c r="LGZ36" s="3"/>
      <c r="LHA36" s="3"/>
      <c r="LHB36" s="3"/>
      <c r="LHC36" s="3"/>
      <c r="LHD36" s="3"/>
      <c r="LHE36" s="3"/>
      <c r="LHF36" s="3"/>
      <c r="LHG36" s="3"/>
      <c r="LHH36" s="3"/>
      <c r="LHI36" s="3"/>
      <c r="LHJ36" s="3"/>
      <c r="LHK36" s="3"/>
      <c r="LHL36" s="3"/>
      <c r="LHM36" s="3"/>
      <c r="LHN36" s="3"/>
      <c r="LHO36" s="3"/>
      <c r="LHP36" s="3"/>
      <c r="LHQ36" s="3"/>
      <c r="LHR36" s="3"/>
      <c r="LHS36" s="3"/>
      <c r="LHT36" s="3"/>
      <c r="LHU36" s="3"/>
      <c r="LHV36" s="3"/>
      <c r="LHW36" s="3"/>
      <c r="LHX36" s="3"/>
      <c r="LHY36" s="3"/>
      <c r="LHZ36" s="3"/>
      <c r="LIA36" s="3"/>
      <c r="LIB36" s="3"/>
      <c r="LIC36" s="3"/>
      <c r="LID36" s="3"/>
      <c r="LIE36" s="3"/>
      <c r="LIF36" s="3"/>
      <c r="LIG36" s="3"/>
      <c r="LIH36" s="3"/>
      <c r="LII36" s="3"/>
      <c r="LIJ36" s="3"/>
      <c r="LIK36" s="3"/>
      <c r="LIL36" s="3"/>
      <c r="LIM36" s="3"/>
      <c r="LIN36" s="3"/>
      <c r="LIO36" s="3"/>
      <c r="LIP36" s="3"/>
      <c r="LIQ36" s="3"/>
      <c r="LIR36" s="3"/>
      <c r="LIS36" s="3"/>
      <c r="LIT36" s="3"/>
      <c r="LIU36" s="3"/>
      <c r="LIV36" s="3"/>
      <c r="LIW36" s="3"/>
      <c r="LIX36" s="3"/>
      <c r="LIY36" s="3"/>
      <c r="LIZ36" s="3"/>
      <c r="LJA36" s="3"/>
      <c r="LJB36" s="3"/>
      <c r="LJC36" s="3"/>
      <c r="LJD36" s="3"/>
      <c r="LJE36" s="3"/>
      <c r="LJF36" s="3"/>
      <c r="LJG36" s="3"/>
      <c r="LJH36" s="3"/>
      <c r="LJI36" s="3"/>
      <c r="LJJ36" s="3"/>
      <c r="LJK36" s="3"/>
      <c r="LJL36" s="3"/>
      <c r="LJM36" s="3"/>
      <c r="LJN36" s="3"/>
      <c r="LJO36" s="3"/>
      <c r="LJP36" s="3"/>
      <c r="LJQ36" s="3"/>
      <c r="LJR36" s="3"/>
      <c r="LJS36" s="3"/>
      <c r="LJT36" s="3"/>
      <c r="LJU36" s="3"/>
      <c r="LJV36" s="3"/>
      <c r="LJW36" s="3"/>
      <c r="LJX36" s="3"/>
      <c r="LJY36" s="3"/>
      <c r="LJZ36" s="3"/>
      <c r="LKA36" s="3"/>
      <c r="LKB36" s="3"/>
      <c r="LKC36" s="3"/>
      <c r="LKD36" s="3"/>
      <c r="LKE36" s="3"/>
      <c r="LKF36" s="3"/>
      <c r="LKG36" s="3"/>
      <c r="LKH36" s="3"/>
      <c r="LKI36" s="3"/>
      <c r="LKJ36" s="3"/>
      <c r="LKK36" s="3"/>
      <c r="LKL36" s="3"/>
      <c r="LKM36" s="3"/>
      <c r="LKN36" s="3"/>
      <c r="LKO36" s="3"/>
      <c r="LKP36" s="3"/>
      <c r="LKQ36" s="3"/>
      <c r="LKR36" s="3"/>
      <c r="LKS36" s="3"/>
      <c r="LKT36" s="3"/>
      <c r="LKU36" s="3"/>
      <c r="LKV36" s="3"/>
      <c r="LKW36" s="3"/>
      <c r="LKX36" s="3"/>
      <c r="LKY36" s="3"/>
      <c r="LKZ36" s="3"/>
      <c r="LLA36" s="3"/>
      <c r="LLB36" s="3"/>
      <c r="LLC36" s="3"/>
      <c r="LLD36" s="3"/>
      <c r="LLE36" s="3"/>
      <c r="LLF36" s="3"/>
      <c r="LLG36" s="3"/>
      <c r="LLH36" s="3"/>
      <c r="LLI36" s="3"/>
      <c r="LLJ36" s="3"/>
      <c r="LLK36" s="3"/>
      <c r="LLL36" s="3"/>
      <c r="LLM36" s="3"/>
      <c r="LLN36" s="3"/>
      <c r="LLO36" s="3"/>
      <c r="LLP36" s="3"/>
      <c r="LLQ36" s="3"/>
      <c r="LLR36" s="3"/>
      <c r="LLS36" s="3"/>
      <c r="LLT36" s="3"/>
      <c r="LLU36" s="3"/>
      <c r="LLV36" s="3"/>
      <c r="LLW36" s="3"/>
      <c r="LLX36" s="3"/>
      <c r="LLY36" s="3"/>
      <c r="LLZ36" s="3"/>
      <c r="LMA36" s="3"/>
      <c r="LMB36" s="3"/>
      <c r="LMC36" s="3"/>
      <c r="LMD36" s="3"/>
      <c r="LME36" s="3"/>
      <c r="LMF36" s="3"/>
      <c r="LMG36" s="3"/>
      <c r="LMH36" s="3"/>
      <c r="LMI36" s="3"/>
      <c r="LMJ36" s="3"/>
      <c r="LMK36" s="3"/>
      <c r="LML36" s="3"/>
      <c r="LMM36" s="3"/>
      <c r="LMN36" s="3"/>
      <c r="LMO36" s="3"/>
      <c r="LMP36" s="3"/>
      <c r="LMQ36" s="3"/>
      <c r="LMR36" s="3"/>
      <c r="LMS36" s="3"/>
      <c r="LMT36" s="3"/>
      <c r="LMU36" s="3"/>
      <c r="LMV36" s="3"/>
      <c r="LMW36" s="3"/>
      <c r="LMX36" s="3"/>
      <c r="LMY36" s="3"/>
      <c r="LMZ36" s="3"/>
      <c r="LNA36" s="3"/>
      <c r="LNB36" s="3"/>
      <c r="LNC36" s="3"/>
      <c r="LND36" s="3"/>
      <c r="LNE36" s="3"/>
      <c r="LNF36" s="3"/>
      <c r="LNG36" s="3"/>
      <c r="LNH36" s="3"/>
      <c r="LNI36" s="3"/>
      <c r="LNJ36" s="3"/>
      <c r="LNK36" s="3"/>
      <c r="LNL36" s="3"/>
      <c r="LNM36" s="3"/>
      <c r="LNN36" s="3"/>
      <c r="LNO36" s="3"/>
      <c r="LNP36" s="3"/>
      <c r="LNQ36" s="3"/>
      <c r="LNR36" s="3"/>
      <c r="LNS36" s="3"/>
      <c r="LNT36" s="3"/>
      <c r="LNU36" s="3"/>
      <c r="LNV36" s="3"/>
      <c r="LNW36" s="3"/>
      <c r="LNX36" s="3"/>
      <c r="LNY36" s="3"/>
      <c r="LNZ36" s="3"/>
      <c r="LOA36" s="3"/>
      <c r="LOB36" s="3"/>
      <c r="LOC36" s="3"/>
      <c r="LOD36" s="3"/>
      <c r="LOE36" s="3"/>
      <c r="LOF36" s="3"/>
      <c r="LOG36" s="3"/>
      <c r="LOH36" s="3"/>
      <c r="LOI36" s="3"/>
      <c r="LOJ36" s="3"/>
      <c r="LOK36" s="3"/>
      <c r="LOL36" s="3"/>
      <c r="LOM36" s="3"/>
      <c r="LON36" s="3"/>
      <c r="LOO36" s="3"/>
      <c r="LOP36" s="3"/>
      <c r="LOQ36" s="3"/>
      <c r="LOR36" s="3"/>
      <c r="LOS36" s="3"/>
      <c r="LOT36" s="3"/>
      <c r="LOU36" s="3"/>
      <c r="LOV36" s="3"/>
      <c r="LOW36" s="3"/>
      <c r="LOX36" s="3"/>
      <c r="LOY36" s="3"/>
      <c r="LOZ36" s="3"/>
      <c r="LPA36" s="3"/>
      <c r="LPB36" s="3"/>
      <c r="LPC36" s="3"/>
      <c r="LPD36" s="3"/>
      <c r="LPE36" s="3"/>
      <c r="LPF36" s="3"/>
      <c r="LPG36" s="3"/>
      <c r="LPH36" s="3"/>
      <c r="LPI36" s="3"/>
      <c r="LPJ36" s="3"/>
      <c r="LPK36" s="3"/>
      <c r="LPL36" s="3"/>
      <c r="LPM36" s="3"/>
      <c r="LPN36" s="3"/>
      <c r="LPO36" s="3"/>
      <c r="LPP36" s="3"/>
      <c r="LPQ36" s="3"/>
      <c r="LPR36" s="3"/>
      <c r="LPS36" s="3"/>
      <c r="LPT36" s="3"/>
      <c r="LPU36" s="3"/>
      <c r="LPV36" s="3"/>
      <c r="LPW36" s="3"/>
      <c r="LPX36" s="3"/>
      <c r="LPY36" s="3"/>
      <c r="LPZ36" s="3"/>
      <c r="LQA36" s="3"/>
      <c r="LQB36" s="3"/>
      <c r="LQC36" s="3"/>
      <c r="LQD36" s="3"/>
      <c r="LQE36" s="3"/>
      <c r="LQF36" s="3"/>
      <c r="LQG36" s="3"/>
      <c r="LQH36" s="3"/>
      <c r="LQI36" s="3"/>
      <c r="LQJ36" s="3"/>
      <c r="LQK36" s="3"/>
      <c r="LQL36" s="3"/>
      <c r="LQM36" s="3"/>
      <c r="LQN36" s="3"/>
      <c r="LQO36" s="3"/>
      <c r="LQP36" s="3"/>
      <c r="LQQ36" s="3"/>
      <c r="LQR36" s="3"/>
      <c r="LQS36" s="3"/>
      <c r="LQT36" s="3"/>
      <c r="LQU36" s="3"/>
      <c r="LQV36" s="3"/>
      <c r="LQW36" s="3"/>
      <c r="LQX36" s="3"/>
      <c r="LQY36" s="3"/>
      <c r="LQZ36" s="3"/>
      <c r="LRA36" s="3"/>
      <c r="LRB36" s="3"/>
      <c r="LRC36" s="3"/>
      <c r="LRD36" s="3"/>
      <c r="LRE36" s="3"/>
      <c r="LRF36" s="3"/>
      <c r="LRG36" s="3"/>
      <c r="LRH36" s="3"/>
      <c r="LRI36" s="3"/>
      <c r="LRJ36" s="3"/>
      <c r="LRK36" s="3"/>
      <c r="LRL36" s="3"/>
      <c r="LRM36" s="3"/>
      <c r="LRN36" s="3"/>
      <c r="LRO36" s="3"/>
      <c r="LRP36" s="3"/>
      <c r="LRQ36" s="3"/>
      <c r="LRR36" s="3"/>
      <c r="LRS36" s="3"/>
      <c r="LRT36" s="3"/>
      <c r="LRU36" s="3"/>
      <c r="LRV36" s="3"/>
      <c r="LRW36" s="3"/>
      <c r="LRX36" s="3"/>
      <c r="LRY36" s="3"/>
      <c r="LRZ36" s="3"/>
      <c r="LSA36" s="3"/>
      <c r="LSB36" s="3"/>
      <c r="LSC36" s="3"/>
      <c r="LSD36" s="3"/>
      <c r="LSE36" s="3"/>
      <c r="LSF36" s="3"/>
      <c r="LSG36" s="3"/>
      <c r="LSH36" s="3"/>
      <c r="LSI36" s="3"/>
      <c r="LSJ36" s="3"/>
      <c r="LSK36" s="3"/>
      <c r="LSL36" s="3"/>
      <c r="LSM36" s="3"/>
      <c r="LSN36" s="3"/>
      <c r="LSO36" s="3"/>
      <c r="LSP36" s="3"/>
      <c r="LSQ36" s="3"/>
      <c r="LSR36" s="3"/>
      <c r="LSS36" s="3"/>
      <c r="LST36" s="3"/>
      <c r="LSU36" s="3"/>
      <c r="LSV36" s="3"/>
      <c r="LSW36" s="3"/>
      <c r="LSX36" s="3"/>
      <c r="LSY36" s="3"/>
      <c r="LSZ36" s="3"/>
      <c r="LTA36" s="3"/>
      <c r="LTB36" s="3"/>
      <c r="LTC36" s="3"/>
      <c r="LTD36" s="3"/>
      <c r="LTE36" s="3"/>
      <c r="LTF36" s="3"/>
      <c r="LTG36" s="3"/>
      <c r="LTH36" s="3"/>
      <c r="LTI36" s="3"/>
      <c r="LTJ36" s="3"/>
      <c r="LTK36" s="3"/>
      <c r="LTL36" s="3"/>
      <c r="LTM36" s="3"/>
      <c r="LTN36" s="3"/>
      <c r="LTO36" s="3"/>
      <c r="LTP36" s="3"/>
      <c r="LTQ36" s="3"/>
      <c r="LTR36" s="3"/>
      <c r="LTS36" s="3"/>
      <c r="LTT36" s="3"/>
      <c r="LTU36" s="3"/>
      <c r="LTV36" s="3"/>
      <c r="LTW36" s="3"/>
      <c r="LTX36" s="3"/>
      <c r="LTY36" s="3"/>
      <c r="LTZ36" s="3"/>
      <c r="LUA36" s="3"/>
      <c r="LUB36" s="3"/>
      <c r="LUC36" s="3"/>
      <c r="LUD36" s="3"/>
      <c r="LUE36" s="3"/>
      <c r="LUF36" s="3"/>
      <c r="LUG36" s="3"/>
      <c r="LUH36" s="3"/>
      <c r="LUI36" s="3"/>
      <c r="LUJ36" s="3"/>
      <c r="LUK36" s="3"/>
      <c r="LUL36" s="3"/>
      <c r="LUM36" s="3"/>
      <c r="LUN36" s="3"/>
      <c r="LUO36" s="3"/>
      <c r="LUP36" s="3"/>
      <c r="LUQ36" s="3"/>
      <c r="LUR36" s="3"/>
      <c r="LUS36" s="3"/>
      <c r="LUT36" s="3"/>
      <c r="LUU36" s="3"/>
      <c r="LUV36" s="3"/>
      <c r="LUW36" s="3"/>
      <c r="LUX36" s="3"/>
      <c r="LUY36" s="3"/>
      <c r="LUZ36" s="3"/>
      <c r="LVA36" s="3"/>
      <c r="LVB36" s="3"/>
      <c r="LVC36" s="3"/>
      <c r="LVD36" s="3"/>
      <c r="LVE36" s="3"/>
      <c r="LVF36" s="3"/>
      <c r="LVG36" s="3"/>
      <c r="LVH36" s="3"/>
      <c r="LVI36" s="3"/>
      <c r="LVJ36" s="3"/>
      <c r="LVK36" s="3"/>
      <c r="LVL36" s="3"/>
      <c r="LVM36" s="3"/>
      <c r="LVN36" s="3"/>
      <c r="LVO36" s="3"/>
      <c r="LVP36" s="3"/>
      <c r="LVQ36" s="3"/>
      <c r="LVR36" s="3"/>
      <c r="LVS36" s="3"/>
      <c r="LVT36" s="3"/>
      <c r="LVU36" s="3"/>
      <c r="LVV36" s="3"/>
      <c r="LVW36" s="3"/>
      <c r="LVX36" s="3"/>
      <c r="LVY36" s="3"/>
      <c r="LVZ36" s="3"/>
      <c r="LWA36" s="3"/>
      <c r="LWB36" s="3"/>
      <c r="LWC36" s="3"/>
      <c r="LWD36" s="3"/>
      <c r="LWE36" s="3"/>
      <c r="LWF36" s="3"/>
      <c r="LWG36" s="3"/>
      <c r="LWH36" s="3"/>
      <c r="LWI36" s="3"/>
      <c r="LWJ36" s="3"/>
      <c r="LWK36" s="3"/>
      <c r="LWL36" s="3"/>
      <c r="LWM36" s="3"/>
      <c r="LWN36" s="3"/>
      <c r="LWO36" s="3"/>
      <c r="LWP36" s="3"/>
      <c r="LWQ36" s="3"/>
      <c r="LWR36" s="3"/>
      <c r="LWS36" s="3"/>
      <c r="LWT36" s="3"/>
      <c r="LWU36" s="3"/>
      <c r="LWV36" s="3"/>
      <c r="LWW36" s="3"/>
      <c r="LWX36" s="3"/>
      <c r="LWY36" s="3"/>
      <c r="LWZ36" s="3"/>
      <c r="LXA36" s="3"/>
      <c r="LXB36" s="3"/>
      <c r="LXC36" s="3"/>
      <c r="LXD36" s="3"/>
      <c r="LXE36" s="3"/>
      <c r="LXF36" s="3"/>
      <c r="LXG36" s="3"/>
      <c r="LXH36" s="3"/>
      <c r="LXI36" s="3"/>
      <c r="LXJ36" s="3"/>
      <c r="LXK36" s="3"/>
      <c r="LXL36" s="3"/>
      <c r="LXM36" s="3"/>
      <c r="LXN36" s="3"/>
      <c r="LXO36" s="3"/>
      <c r="LXP36" s="3"/>
      <c r="LXQ36" s="3"/>
      <c r="LXR36" s="3"/>
      <c r="LXS36" s="3"/>
      <c r="LXT36" s="3"/>
      <c r="LXU36" s="3"/>
      <c r="LXV36" s="3"/>
      <c r="LXW36" s="3"/>
      <c r="LXX36" s="3"/>
      <c r="LXY36" s="3"/>
      <c r="LXZ36" s="3"/>
      <c r="LYA36" s="3"/>
      <c r="LYB36" s="3"/>
      <c r="LYC36" s="3"/>
      <c r="LYD36" s="3"/>
      <c r="LYE36" s="3"/>
      <c r="LYF36" s="3"/>
      <c r="LYG36" s="3"/>
      <c r="LYH36" s="3"/>
      <c r="LYI36" s="3"/>
      <c r="LYJ36" s="3"/>
      <c r="LYK36" s="3"/>
      <c r="LYL36" s="3"/>
      <c r="LYM36" s="3"/>
      <c r="LYN36" s="3"/>
      <c r="LYO36" s="3"/>
      <c r="LYP36" s="3"/>
      <c r="LYQ36" s="3"/>
      <c r="LYR36" s="3"/>
      <c r="LYS36" s="3"/>
      <c r="LYT36" s="3"/>
      <c r="LYU36" s="3"/>
      <c r="LYV36" s="3"/>
      <c r="LYW36" s="3"/>
      <c r="LYX36" s="3"/>
      <c r="LYY36" s="3"/>
      <c r="LYZ36" s="3"/>
      <c r="LZA36" s="3"/>
      <c r="LZB36" s="3"/>
      <c r="LZC36" s="3"/>
      <c r="LZD36" s="3"/>
      <c r="LZE36" s="3"/>
      <c r="LZF36" s="3"/>
      <c r="LZG36" s="3"/>
      <c r="LZH36" s="3"/>
      <c r="LZI36" s="3"/>
      <c r="LZJ36" s="3"/>
      <c r="LZK36" s="3"/>
      <c r="LZL36" s="3"/>
      <c r="LZM36" s="3"/>
      <c r="LZN36" s="3"/>
      <c r="LZO36" s="3"/>
      <c r="LZP36" s="3"/>
      <c r="LZQ36" s="3"/>
      <c r="LZR36" s="3"/>
      <c r="LZS36" s="3"/>
      <c r="LZT36" s="3"/>
      <c r="LZU36" s="3"/>
      <c r="LZV36" s="3"/>
      <c r="LZW36" s="3"/>
      <c r="LZX36" s="3"/>
      <c r="LZY36" s="3"/>
      <c r="LZZ36" s="3"/>
      <c r="MAA36" s="3"/>
      <c r="MAB36" s="3"/>
      <c r="MAC36" s="3"/>
      <c r="MAD36" s="3"/>
      <c r="MAE36" s="3"/>
      <c r="MAF36" s="3"/>
      <c r="MAG36" s="3"/>
      <c r="MAH36" s="3"/>
      <c r="MAI36" s="3"/>
      <c r="MAJ36" s="3"/>
      <c r="MAK36" s="3"/>
      <c r="MAL36" s="3"/>
      <c r="MAM36" s="3"/>
      <c r="MAN36" s="3"/>
      <c r="MAO36" s="3"/>
      <c r="MAP36" s="3"/>
      <c r="MAQ36" s="3"/>
      <c r="MAR36" s="3"/>
      <c r="MAS36" s="3"/>
      <c r="MAT36" s="3"/>
      <c r="MAU36" s="3"/>
      <c r="MAV36" s="3"/>
      <c r="MAW36" s="3"/>
      <c r="MAX36" s="3"/>
      <c r="MAY36" s="3"/>
      <c r="MAZ36" s="3"/>
      <c r="MBA36" s="3"/>
      <c r="MBB36" s="3"/>
      <c r="MBC36" s="3"/>
      <c r="MBD36" s="3"/>
      <c r="MBE36" s="3"/>
      <c r="MBF36" s="3"/>
      <c r="MBG36" s="3"/>
      <c r="MBH36" s="3"/>
      <c r="MBI36" s="3"/>
      <c r="MBJ36" s="3"/>
      <c r="MBK36" s="3"/>
      <c r="MBL36" s="3"/>
      <c r="MBM36" s="3"/>
      <c r="MBN36" s="3"/>
      <c r="MBO36" s="3"/>
      <c r="MBP36" s="3"/>
      <c r="MBQ36" s="3"/>
      <c r="MBR36" s="3"/>
      <c r="MBS36" s="3"/>
      <c r="MBT36" s="3"/>
      <c r="MBU36" s="3"/>
      <c r="MBV36" s="3"/>
      <c r="MBW36" s="3"/>
      <c r="MBX36" s="3"/>
      <c r="MBY36" s="3"/>
      <c r="MBZ36" s="3"/>
      <c r="MCA36" s="3"/>
      <c r="MCB36" s="3"/>
      <c r="MCC36" s="3"/>
      <c r="MCD36" s="3"/>
      <c r="MCE36" s="3"/>
      <c r="MCF36" s="3"/>
      <c r="MCG36" s="3"/>
      <c r="MCH36" s="3"/>
      <c r="MCI36" s="3"/>
      <c r="MCJ36" s="3"/>
      <c r="MCK36" s="3"/>
      <c r="MCL36" s="3"/>
      <c r="MCM36" s="3"/>
      <c r="MCN36" s="3"/>
      <c r="MCO36" s="3"/>
      <c r="MCP36" s="3"/>
      <c r="MCQ36" s="3"/>
      <c r="MCR36" s="3"/>
      <c r="MCS36" s="3"/>
      <c r="MCT36" s="3"/>
      <c r="MCU36" s="3"/>
      <c r="MCV36" s="3"/>
      <c r="MCW36" s="3"/>
      <c r="MCX36" s="3"/>
      <c r="MCY36" s="3"/>
      <c r="MCZ36" s="3"/>
      <c r="MDA36" s="3"/>
      <c r="MDB36" s="3"/>
      <c r="MDC36" s="3"/>
      <c r="MDD36" s="3"/>
      <c r="MDE36" s="3"/>
      <c r="MDF36" s="3"/>
      <c r="MDG36" s="3"/>
      <c r="MDH36" s="3"/>
      <c r="MDI36" s="3"/>
      <c r="MDJ36" s="3"/>
      <c r="MDK36" s="3"/>
      <c r="MDL36" s="3"/>
      <c r="MDM36" s="3"/>
      <c r="MDN36" s="3"/>
      <c r="MDO36" s="3"/>
      <c r="MDP36" s="3"/>
      <c r="MDQ36" s="3"/>
      <c r="MDR36" s="3"/>
      <c r="MDS36" s="3"/>
      <c r="MDT36" s="3"/>
      <c r="MDU36" s="3"/>
      <c r="MDV36" s="3"/>
      <c r="MDW36" s="3"/>
      <c r="MDX36" s="3"/>
      <c r="MDY36" s="3"/>
      <c r="MDZ36" s="3"/>
      <c r="MEA36" s="3"/>
      <c r="MEB36" s="3"/>
      <c r="MEC36" s="3"/>
      <c r="MED36" s="3"/>
      <c r="MEE36" s="3"/>
      <c r="MEF36" s="3"/>
      <c r="MEG36" s="3"/>
      <c r="MEH36" s="3"/>
      <c r="MEI36" s="3"/>
      <c r="MEJ36" s="3"/>
      <c r="MEK36" s="3"/>
      <c r="MEL36" s="3"/>
      <c r="MEM36" s="3"/>
      <c r="MEN36" s="3"/>
      <c r="MEO36" s="3"/>
      <c r="MEP36" s="3"/>
      <c r="MEQ36" s="3"/>
      <c r="MER36" s="3"/>
      <c r="MES36" s="3"/>
      <c r="MET36" s="3"/>
      <c r="MEU36" s="3"/>
      <c r="MEV36" s="3"/>
      <c r="MEW36" s="3"/>
      <c r="MEX36" s="3"/>
      <c r="MEY36" s="3"/>
      <c r="MEZ36" s="3"/>
      <c r="MFA36" s="3"/>
      <c r="MFB36" s="3"/>
      <c r="MFC36" s="3"/>
      <c r="MFD36" s="3"/>
      <c r="MFE36" s="3"/>
      <c r="MFF36" s="3"/>
      <c r="MFG36" s="3"/>
      <c r="MFH36" s="3"/>
      <c r="MFI36" s="3"/>
      <c r="MFJ36" s="3"/>
      <c r="MFK36" s="3"/>
      <c r="MFL36" s="3"/>
      <c r="MFM36" s="3"/>
      <c r="MFN36" s="3"/>
      <c r="MFO36" s="3"/>
      <c r="MFP36" s="3"/>
      <c r="MFQ36" s="3"/>
      <c r="MFR36" s="3"/>
      <c r="MFS36" s="3"/>
      <c r="MFT36" s="3"/>
      <c r="MFU36" s="3"/>
      <c r="MFV36" s="3"/>
      <c r="MFW36" s="3"/>
      <c r="MFX36" s="3"/>
      <c r="MFY36" s="3"/>
      <c r="MFZ36" s="3"/>
      <c r="MGA36" s="3"/>
      <c r="MGB36" s="3"/>
      <c r="MGC36" s="3"/>
      <c r="MGD36" s="3"/>
      <c r="MGE36" s="3"/>
      <c r="MGF36" s="3"/>
      <c r="MGG36" s="3"/>
      <c r="MGH36" s="3"/>
      <c r="MGI36" s="3"/>
      <c r="MGJ36" s="3"/>
      <c r="MGK36" s="3"/>
      <c r="MGL36" s="3"/>
      <c r="MGM36" s="3"/>
      <c r="MGN36" s="3"/>
      <c r="MGO36" s="3"/>
      <c r="MGP36" s="3"/>
      <c r="MGQ36" s="3"/>
      <c r="MGR36" s="3"/>
      <c r="MGS36" s="3"/>
      <c r="MGT36" s="3"/>
      <c r="MGU36" s="3"/>
      <c r="MGV36" s="3"/>
      <c r="MGW36" s="3"/>
      <c r="MGX36" s="3"/>
      <c r="MGY36" s="3"/>
      <c r="MGZ36" s="3"/>
      <c r="MHA36" s="3"/>
      <c r="MHB36" s="3"/>
      <c r="MHC36" s="3"/>
      <c r="MHD36" s="3"/>
      <c r="MHE36" s="3"/>
      <c r="MHF36" s="3"/>
      <c r="MHG36" s="3"/>
      <c r="MHH36" s="3"/>
      <c r="MHI36" s="3"/>
      <c r="MHJ36" s="3"/>
      <c r="MHK36" s="3"/>
      <c r="MHL36" s="3"/>
      <c r="MHM36" s="3"/>
      <c r="MHN36" s="3"/>
      <c r="MHO36" s="3"/>
      <c r="MHP36" s="3"/>
      <c r="MHQ36" s="3"/>
      <c r="MHR36" s="3"/>
      <c r="MHS36" s="3"/>
      <c r="MHT36" s="3"/>
      <c r="MHU36" s="3"/>
      <c r="MHV36" s="3"/>
      <c r="MHW36" s="3"/>
      <c r="MHX36" s="3"/>
      <c r="MHY36" s="3"/>
      <c r="MHZ36" s="3"/>
      <c r="MIA36" s="3"/>
      <c r="MIB36" s="3"/>
      <c r="MIC36" s="3"/>
      <c r="MID36" s="3"/>
      <c r="MIE36" s="3"/>
      <c r="MIF36" s="3"/>
      <c r="MIG36" s="3"/>
      <c r="MIH36" s="3"/>
      <c r="MII36" s="3"/>
      <c r="MIJ36" s="3"/>
      <c r="MIK36" s="3"/>
      <c r="MIL36" s="3"/>
      <c r="MIM36" s="3"/>
      <c r="MIN36" s="3"/>
      <c r="MIO36" s="3"/>
      <c r="MIP36" s="3"/>
      <c r="MIQ36" s="3"/>
      <c r="MIR36" s="3"/>
      <c r="MIS36" s="3"/>
      <c r="MIT36" s="3"/>
      <c r="MIU36" s="3"/>
      <c r="MIV36" s="3"/>
      <c r="MIW36" s="3"/>
      <c r="MIX36" s="3"/>
      <c r="MIY36" s="3"/>
      <c r="MIZ36" s="3"/>
      <c r="MJA36" s="3"/>
      <c r="MJB36" s="3"/>
      <c r="MJC36" s="3"/>
      <c r="MJD36" s="3"/>
      <c r="MJE36" s="3"/>
      <c r="MJF36" s="3"/>
      <c r="MJG36" s="3"/>
      <c r="MJH36" s="3"/>
      <c r="MJI36" s="3"/>
      <c r="MJJ36" s="3"/>
      <c r="MJK36" s="3"/>
      <c r="MJL36" s="3"/>
      <c r="MJM36" s="3"/>
      <c r="MJN36" s="3"/>
      <c r="MJO36" s="3"/>
      <c r="MJP36" s="3"/>
      <c r="MJQ36" s="3"/>
      <c r="MJR36" s="3"/>
      <c r="MJS36" s="3"/>
      <c r="MJT36" s="3"/>
      <c r="MJU36" s="3"/>
      <c r="MJV36" s="3"/>
      <c r="MJW36" s="3"/>
      <c r="MJX36" s="3"/>
      <c r="MJY36" s="3"/>
      <c r="MJZ36" s="3"/>
      <c r="MKA36" s="3"/>
      <c r="MKB36" s="3"/>
      <c r="MKC36" s="3"/>
      <c r="MKD36" s="3"/>
      <c r="MKE36" s="3"/>
      <c r="MKF36" s="3"/>
      <c r="MKG36" s="3"/>
      <c r="MKH36" s="3"/>
      <c r="MKI36" s="3"/>
      <c r="MKJ36" s="3"/>
      <c r="MKK36" s="3"/>
      <c r="MKL36" s="3"/>
      <c r="MKM36" s="3"/>
      <c r="MKN36" s="3"/>
      <c r="MKO36" s="3"/>
      <c r="MKP36" s="3"/>
      <c r="MKQ36" s="3"/>
      <c r="MKR36" s="3"/>
      <c r="MKS36" s="3"/>
      <c r="MKT36" s="3"/>
      <c r="MKU36" s="3"/>
      <c r="MKV36" s="3"/>
      <c r="MKW36" s="3"/>
      <c r="MKX36" s="3"/>
      <c r="MKY36" s="3"/>
      <c r="MKZ36" s="3"/>
      <c r="MLA36" s="3"/>
      <c r="MLB36" s="3"/>
      <c r="MLC36" s="3"/>
      <c r="MLD36" s="3"/>
      <c r="MLE36" s="3"/>
      <c r="MLF36" s="3"/>
      <c r="MLG36" s="3"/>
      <c r="MLH36" s="3"/>
      <c r="MLI36" s="3"/>
      <c r="MLJ36" s="3"/>
      <c r="MLK36" s="3"/>
      <c r="MLL36" s="3"/>
      <c r="MLM36" s="3"/>
      <c r="MLN36" s="3"/>
      <c r="MLO36" s="3"/>
      <c r="MLP36" s="3"/>
      <c r="MLQ36" s="3"/>
      <c r="MLR36" s="3"/>
      <c r="MLS36" s="3"/>
      <c r="MLT36" s="3"/>
      <c r="MLU36" s="3"/>
      <c r="MLV36" s="3"/>
      <c r="MLW36" s="3"/>
      <c r="MLX36" s="3"/>
      <c r="MLY36" s="3"/>
      <c r="MLZ36" s="3"/>
      <c r="MMA36" s="3"/>
      <c r="MMB36" s="3"/>
      <c r="MMC36" s="3"/>
      <c r="MMD36" s="3"/>
      <c r="MME36" s="3"/>
      <c r="MMF36" s="3"/>
      <c r="MMG36" s="3"/>
      <c r="MMH36" s="3"/>
      <c r="MMI36" s="3"/>
      <c r="MMJ36" s="3"/>
      <c r="MMK36" s="3"/>
      <c r="MML36" s="3"/>
      <c r="MMM36" s="3"/>
      <c r="MMN36" s="3"/>
      <c r="MMO36" s="3"/>
      <c r="MMP36" s="3"/>
      <c r="MMQ36" s="3"/>
      <c r="MMR36" s="3"/>
      <c r="MMS36" s="3"/>
      <c r="MMT36" s="3"/>
      <c r="MMU36" s="3"/>
      <c r="MMV36" s="3"/>
      <c r="MMW36" s="3"/>
      <c r="MMX36" s="3"/>
      <c r="MMY36" s="3"/>
      <c r="MMZ36" s="3"/>
      <c r="MNA36" s="3"/>
      <c r="MNB36" s="3"/>
      <c r="MNC36" s="3"/>
      <c r="MND36" s="3"/>
      <c r="MNE36" s="3"/>
      <c r="MNF36" s="3"/>
      <c r="MNG36" s="3"/>
      <c r="MNH36" s="3"/>
      <c r="MNI36" s="3"/>
      <c r="MNJ36" s="3"/>
      <c r="MNK36" s="3"/>
      <c r="MNL36" s="3"/>
      <c r="MNM36" s="3"/>
      <c r="MNN36" s="3"/>
      <c r="MNO36" s="3"/>
      <c r="MNP36" s="3"/>
      <c r="MNQ36" s="3"/>
      <c r="MNR36" s="3"/>
      <c r="MNS36" s="3"/>
      <c r="MNT36" s="3"/>
      <c r="MNU36" s="3"/>
      <c r="MNV36" s="3"/>
      <c r="MNW36" s="3"/>
      <c r="MNX36" s="3"/>
      <c r="MNY36" s="3"/>
      <c r="MNZ36" s="3"/>
      <c r="MOA36" s="3"/>
      <c r="MOB36" s="3"/>
      <c r="MOC36" s="3"/>
      <c r="MOD36" s="3"/>
      <c r="MOE36" s="3"/>
      <c r="MOF36" s="3"/>
      <c r="MOG36" s="3"/>
      <c r="MOH36" s="3"/>
      <c r="MOI36" s="3"/>
      <c r="MOJ36" s="3"/>
      <c r="MOK36" s="3"/>
      <c r="MOL36" s="3"/>
      <c r="MOM36" s="3"/>
      <c r="MON36" s="3"/>
      <c r="MOO36" s="3"/>
      <c r="MOP36" s="3"/>
      <c r="MOQ36" s="3"/>
      <c r="MOR36" s="3"/>
      <c r="MOS36" s="3"/>
      <c r="MOT36" s="3"/>
      <c r="MOU36" s="3"/>
      <c r="MOV36" s="3"/>
      <c r="MOW36" s="3"/>
      <c r="MOX36" s="3"/>
      <c r="MOY36" s="3"/>
      <c r="MOZ36" s="3"/>
      <c r="MPA36" s="3"/>
      <c r="MPB36" s="3"/>
      <c r="MPC36" s="3"/>
      <c r="MPD36" s="3"/>
      <c r="MPE36" s="3"/>
      <c r="MPF36" s="3"/>
      <c r="MPG36" s="3"/>
      <c r="MPH36" s="3"/>
      <c r="MPI36" s="3"/>
      <c r="MPJ36" s="3"/>
      <c r="MPK36" s="3"/>
      <c r="MPL36" s="3"/>
      <c r="MPM36" s="3"/>
      <c r="MPN36" s="3"/>
      <c r="MPO36" s="3"/>
      <c r="MPP36" s="3"/>
      <c r="MPQ36" s="3"/>
      <c r="MPR36" s="3"/>
      <c r="MPS36" s="3"/>
      <c r="MPT36" s="3"/>
      <c r="MPU36" s="3"/>
      <c r="MPV36" s="3"/>
      <c r="MPW36" s="3"/>
      <c r="MPX36" s="3"/>
      <c r="MPY36" s="3"/>
      <c r="MPZ36" s="3"/>
      <c r="MQA36" s="3"/>
      <c r="MQB36" s="3"/>
      <c r="MQC36" s="3"/>
      <c r="MQD36" s="3"/>
      <c r="MQE36" s="3"/>
      <c r="MQF36" s="3"/>
      <c r="MQG36" s="3"/>
      <c r="MQH36" s="3"/>
      <c r="MQI36" s="3"/>
      <c r="MQJ36" s="3"/>
      <c r="MQK36" s="3"/>
      <c r="MQL36" s="3"/>
      <c r="MQM36" s="3"/>
      <c r="MQN36" s="3"/>
      <c r="MQO36" s="3"/>
      <c r="MQP36" s="3"/>
      <c r="MQQ36" s="3"/>
      <c r="MQR36" s="3"/>
      <c r="MQS36" s="3"/>
      <c r="MQT36" s="3"/>
      <c r="MQU36" s="3"/>
      <c r="MQV36" s="3"/>
      <c r="MQW36" s="3"/>
      <c r="MQX36" s="3"/>
      <c r="MQY36" s="3"/>
      <c r="MQZ36" s="3"/>
      <c r="MRA36" s="3"/>
      <c r="MRB36" s="3"/>
      <c r="MRC36" s="3"/>
      <c r="MRD36" s="3"/>
      <c r="MRE36" s="3"/>
      <c r="MRF36" s="3"/>
      <c r="MRG36" s="3"/>
      <c r="MRH36" s="3"/>
      <c r="MRI36" s="3"/>
      <c r="MRJ36" s="3"/>
      <c r="MRK36" s="3"/>
      <c r="MRL36" s="3"/>
      <c r="MRM36" s="3"/>
      <c r="MRN36" s="3"/>
      <c r="MRO36" s="3"/>
      <c r="MRP36" s="3"/>
      <c r="MRQ36" s="3"/>
      <c r="MRR36" s="3"/>
      <c r="MRS36" s="3"/>
      <c r="MRT36" s="3"/>
      <c r="MRU36" s="3"/>
      <c r="MRV36" s="3"/>
      <c r="MRW36" s="3"/>
      <c r="MRX36" s="3"/>
      <c r="MRY36" s="3"/>
      <c r="MRZ36" s="3"/>
      <c r="MSA36" s="3"/>
      <c r="MSB36" s="3"/>
      <c r="MSC36" s="3"/>
      <c r="MSD36" s="3"/>
      <c r="MSE36" s="3"/>
      <c r="MSF36" s="3"/>
      <c r="MSG36" s="3"/>
      <c r="MSH36" s="3"/>
      <c r="MSI36" s="3"/>
      <c r="MSJ36" s="3"/>
      <c r="MSK36" s="3"/>
      <c r="MSL36" s="3"/>
      <c r="MSM36" s="3"/>
      <c r="MSN36" s="3"/>
      <c r="MSO36" s="3"/>
      <c r="MSP36" s="3"/>
      <c r="MSQ36" s="3"/>
      <c r="MSR36" s="3"/>
      <c r="MSS36" s="3"/>
      <c r="MST36" s="3"/>
      <c r="MSU36" s="3"/>
      <c r="MSV36" s="3"/>
      <c r="MSW36" s="3"/>
      <c r="MSX36" s="3"/>
      <c r="MSY36" s="3"/>
      <c r="MSZ36" s="3"/>
      <c r="MTA36" s="3"/>
      <c r="MTB36" s="3"/>
      <c r="MTC36" s="3"/>
      <c r="MTD36" s="3"/>
      <c r="MTE36" s="3"/>
      <c r="MTF36" s="3"/>
      <c r="MTG36" s="3"/>
      <c r="MTH36" s="3"/>
      <c r="MTI36" s="3"/>
      <c r="MTJ36" s="3"/>
      <c r="MTK36" s="3"/>
      <c r="MTL36" s="3"/>
      <c r="MTM36" s="3"/>
      <c r="MTN36" s="3"/>
      <c r="MTO36" s="3"/>
      <c r="MTP36" s="3"/>
      <c r="MTQ36" s="3"/>
      <c r="MTR36" s="3"/>
      <c r="MTS36" s="3"/>
      <c r="MTT36" s="3"/>
      <c r="MTU36" s="3"/>
      <c r="MTV36" s="3"/>
      <c r="MTW36" s="3"/>
      <c r="MTX36" s="3"/>
      <c r="MTY36" s="3"/>
      <c r="MTZ36" s="3"/>
      <c r="MUA36" s="3"/>
      <c r="MUB36" s="3"/>
      <c r="MUC36" s="3"/>
      <c r="MUD36" s="3"/>
      <c r="MUE36" s="3"/>
      <c r="MUF36" s="3"/>
      <c r="MUG36" s="3"/>
      <c r="MUH36" s="3"/>
      <c r="MUI36" s="3"/>
      <c r="MUJ36" s="3"/>
      <c r="MUK36" s="3"/>
      <c r="MUL36" s="3"/>
      <c r="MUM36" s="3"/>
      <c r="MUN36" s="3"/>
      <c r="MUO36" s="3"/>
      <c r="MUP36" s="3"/>
      <c r="MUQ36" s="3"/>
      <c r="MUR36" s="3"/>
      <c r="MUS36" s="3"/>
      <c r="MUT36" s="3"/>
      <c r="MUU36" s="3"/>
      <c r="MUV36" s="3"/>
      <c r="MUW36" s="3"/>
      <c r="MUX36" s="3"/>
      <c r="MUY36" s="3"/>
      <c r="MUZ36" s="3"/>
      <c r="MVA36" s="3"/>
      <c r="MVB36" s="3"/>
      <c r="MVC36" s="3"/>
      <c r="MVD36" s="3"/>
      <c r="MVE36" s="3"/>
      <c r="MVF36" s="3"/>
      <c r="MVG36" s="3"/>
      <c r="MVH36" s="3"/>
      <c r="MVI36" s="3"/>
      <c r="MVJ36" s="3"/>
      <c r="MVK36" s="3"/>
      <c r="MVL36" s="3"/>
      <c r="MVM36" s="3"/>
      <c r="MVN36" s="3"/>
      <c r="MVO36" s="3"/>
      <c r="MVP36" s="3"/>
      <c r="MVQ36" s="3"/>
      <c r="MVR36" s="3"/>
      <c r="MVS36" s="3"/>
      <c r="MVT36" s="3"/>
      <c r="MVU36" s="3"/>
      <c r="MVV36" s="3"/>
      <c r="MVW36" s="3"/>
      <c r="MVX36" s="3"/>
      <c r="MVY36" s="3"/>
      <c r="MVZ36" s="3"/>
      <c r="MWA36" s="3"/>
      <c r="MWB36" s="3"/>
      <c r="MWC36" s="3"/>
      <c r="MWD36" s="3"/>
      <c r="MWE36" s="3"/>
      <c r="MWF36" s="3"/>
      <c r="MWG36" s="3"/>
      <c r="MWH36" s="3"/>
      <c r="MWI36" s="3"/>
      <c r="MWJ36" s="3"/>
      <c r="MWK36" s="3"/>
      <c r="MWL36" s="3"/>
      <c r="MWM36" s="3"/>
      <c r="MWN36" s="3"/>
      <c r="MWO36" s="3"/>
      <c r="MWP36" s="3"/>
      <c r="MWQ36" s="3"/>
      <c r="MWR36" s="3"/>
      <c r="MWS36" s="3"/>
      <c r="MWT36" s="3"/>
      <c r="MWU36" s="3"/>
      <c r="MWV36" s="3"/>
      <c r="MWW36" s="3"/>
      <c r="MWX36" s="3"/>
      <c r="MWY36" s="3"/>
      <c r="MWZ36" s="3"/>
      <c r="MXA36" s="3"/>
      <c r="MXB36" s="3"/>
      <c r="MXC36" s="3"/>
      <c r="MXD36" s="3"/>
      <c r="MXE36" s="3"/>
      <c r="MXF36" s="3"/>
      <c r="MXG36" s="3"/>
      <c r="MXH36" s="3"/>
      <c r="MXI36" s="3"/>
      <c r="MXJ36" s="3"/>
      <c r="MXK36" s="3"/>
      <c r="MXL36" s="3"/>
      <c r="MXM36" s="3"/>
      <c r="MXN36" s="3"/>
      <c r="MXO36" s="3"/>
      <c r="MXP36" s="3"/>
      <c r="MXQ36" s="3"/>
      <c r="MXR36" s="3"/>
      <c r="MXS36" s="3"/>
      <c r="MXT36" s="3"/>
      <c r="MXU36" s="3"/>
      <c r="MXV36" s="3"/>
      <c r="MXW36" s="3"/>
      <c r="MXX36" s="3"/>
      <c r="MXY36" s="3"/>
      <c r="MXZ36" s="3"/>
      <c r="MYA36" s="3"/>
      <c r="MYB36" s="3"/>
      <c r="MYC36" s="3"/>
      <c r="MYD36" s="3"/>
      <c r="MYE36" s="3"/>
      <c r="MYF36" s="3"/>
      <c r="MYG36" s="3"/>
      <c r="MYH36" s="3"/>
      <c r="MYI36" s="3"/>
      <c r="MYJ36" s="3"/>
      <c r="MYK36" s="3"/>
      <c r="MYL36" s="3"/>
      <c r="MYM36" s="3"/>
      <c r="MYN36" s="3"/>
      <c r="MYO36" s="3"/>
      <c r="MYP36" s="3"/>
      <c r="MYQ36" s="3"/>
      <c r="MYR36" s="3"/>
      <c r="MYS36" s="3"/>
      <c r="MYT36" s="3"/>
      <c r="MYU36" s="3"/>
      <c r="MYV36" s="3"/>
      <c r="MYW36" s="3"/>
      <c r="MYX36" s="3"/>
      <c r="MYY36" s="3"/>
      <c r="MYZ36" s="3"/>
      <c r="MZA36" s="3"/>
      <c r="MZB36" s="3"/>
      <c r="MZC36" s="3"/>
      <c r="MZD36" s="3"/>
      <c r="MZE36" s="3"/>
      <c r="MZF36" s="3"/>
      <c r="MZG36" s="3"/>
      <c r="MZH36" s="3"/>
      <c r="MZI36" s="3"/>
      <c r="MZJ36" s="3"/>
      <c r="MZK36" s="3"/>
      <c r="MZL36" s="3"/>
      <c r="MZM36" s="3"/>
      <c r="MZN36" s="3"/>
      <c r="MZO36" s="3"/>
      <c r="MZP36" s="3"/>
      <c r="MZQ36" s="3"/>
      <c r="MZR36" s="3"/>
      <c r="MZS36" s="3"/>
      <c r="MZT36" s="3"/>
      <c r="MZU36" s="3"/>
      <c r="MZV36" s="3"/>
      <c r="MZW36" s="3"/>
      <c r="MZX36" s="3"/>
      <c r="MZY36" s="3"/>
      <c r="MZZ36" s="3"/>
      <c r="NAA36" s="3"/>
      <c r="NAB36" s="3"/>
      <c r="NAC36" s="3"/>
      <c r="NAD36" s="3"/>
      <c r="NAE36" s="3"/>
      <c r="NAF36" s="3"/>
      <c r="NAG36" s="3"/>
      <c r="NAH36" s="3"/>
      <c r="NAI36" s="3"/>
      <c r="NAJ36" s="3"/>
      <c r="NAK36" s="3"/>
      <c r="NAL36" s="3"/>
      <c r="NAM36" s="3"/>
      <c r="NAN36" s="3"/>
      <c r="NAO36" s="3"/>
      <c r="NAP36" s="3"/>
      <c r="NAQ36" s="3"/>
      <c r="NAR36" s="3"/>
      <c r="NAS36" s="3"/>
      <c r="NAT36" s="3"/>
      <c r="NAU36" s="3"/>
      <c r="NAV36" s="3"/>
      <c r="NAW36" s="3"/>
      <c r="NAX36" s="3"/>
      <c r="NAY36" s="3"/>
      <c r="NAZ36" s="3"/>
      <c r="NBA36" s="3"/>
      <c r="NBB36" s="3"/>
      <c r="NBC36" s="3"/>
      <c r="NBD36" s="3"/>
      <c r="NBE36" s="3"/>
      <c r="NBF36" s="3"/>
      <c r="NBG36" s="3"/>
      <c r="NBH36" s="3"/>
      <c r="NBI36" s="3"/>
      <c r="NBJ36" s="3"/>
      <c r="NBK36" s="3"/>
      <c r="NBL36" s="3"/>
      <c r="NBM36" s="3"/>
      <c r="NBN36" s="3"/>
      <c r="NBO36" s="3"/>
      <c r="NBP36" s="3"/>
      <c r="NBQ36" s="3"/>
      <c r="NBR36" s="3"/>
      <c r="NBS36" s="3"/>
      <c r="NBT36" s="3"/>
      <c r="NBU36" s="3"/>
      <c r="NBV36" s="3"/>
      <c r="NBW36" s="3"/>
      <c r="NBX36" s="3"/>
      <c r="NBY36" s="3"/>
      <c r="NBZ36" s="3"/>
      <c r="NCA36" s="3"/>
      <c r="NCB36" s="3"/>
      <c r="NCC36" s="3"/>
      <c r="NCD36" s="3"/>
      <c r="NCE36" s="3"/>
      <c r="NCF36" s="3"/>
      <c r="NCG36" s="3"/>
      <c r="NCH36" s="3"/>
      <c r="NCI36" s="3"/>
      <c r="NCJ36" s="3"/>
      <c r="NCK36" s="3"/>
      <c r="NCL36" s="3"/>
      <c r="NCM36" s="3"/>
      <c r="NCN36" s="3"/>
      <c r="NCO36" s="3"/>
      <c r="NCP36" s="3"/>
      <c r="NCQ36" s="3"/>
      <c r="NCR36" s="3"/>
      <c r="NCS36" s="3"/>
      <c r="NCT36" s="3"/>
      <c r="NCU36" s="3"/>
      <c r="NCV36" s="3"/>
      <c r="NCW36" s="3"/>
      <c r="NCX36" s="3"/>
      <c r="NCY36" s="3"/>
      <c r="NCZ36" s="3"/>
      <c r="NDA36" s="3"/>
      <c r="NDB36" s="3"/>
      <c r="NDC36" s="3"/>
      <c r="NDD36" s="3"/>
      <c r="NDE36" s="3"/>
      <c r="NDF36" s="3"/>
      <c r="NDG36" s="3"/>
      <c r="NDH36" s="3"/>
      <c r="NDI36" s="3"/>
      <c r="NDJ36" s="3"/>
      <c r="NDK36" s="3"/>
      <c r="NDL36" s="3"/>
      <c r="NDM36" s="3"/>
      <c r="NDN36" s="3"/>
      <c r="NDO36" s="3"/>
      <c r="NDP36" s="3"/>
      <c r="NDQ36" s="3"/>
      <c r="NDR36" s="3"/>
      <c r="NDS36" s="3"/>
      <c r="NDT36" s="3"/>
      <c r="NDU36" s="3"/>
      <c r="NDV36" s="3"/>
      <c r="NDW36" s="3"/>
      <c r="NDX36" s="3"/>
      <c r="NDY36" s="3"/>
      <c r="NDZ36" s="3"/>
      <c r="NEA36" s="3"/>
      <c r="NEB36" s="3"/>
      <c r="NEC36" s="3"/>
      <c r="NED36" s="3"/>
      <c r="NEE36" s="3"/>
      <c r="NEF36" s="3"/>
      <c r="NEG36" s="3"/>
      <c r="NEH36" s="3"/>
      <c r="NEI36" s="3"/>
      <c r="NEJ36" s="3"/>
      <c r="NEK36" s="3"/>
      <c r="NEL36" s="3"/>
      <c r="NEM36" s="3"/>
      <c r="NEN36" s="3"/>
      <c r="NEO36" s="3"/>
      <c r="NEP36" s="3"/>
      <c r="NEQ36" s="3"/>
      <c r="NER36" s="3"/>
      <c r="NES36" s="3"/>
      <c r="NET36" s="3"/>
      <c r="NEU36" s="3"/>
      <c r="NEV36" s="3"/>
      <c r="NEW36" s="3"/>
      <c r="NEX36" s="3"/>
      <c r="NEY36" s="3"/>
      <c r="NEZ36" s="3"/>
      <c r="NFA36" s="3"/>
      <c r="NFB36" s="3"/>
      <c r="NFC36" s="3"/>
      <c r="NFD36" s="3"/>
      <c r="NFE36" s="3"/>
      <c r="NFF36" s="3"/>
      <c r="NFG36" s="3"/>
      <c r="NFH36" s="3"/>
      <c r="NFI36" s="3"/>
      <c r="NFJ36" s="3"/>
      <c r="NFK36" s="3"/>
      <c r="NFL36" s="3"/>
      <c r="NFM36" s="3"/>
      <c r="NFN36" s="3"/>
      <c r="NFO36" s="3"/>
      <c r="NFP36" s="3"/>
      <c r="NFQ36" s="3"/>
      <c r="NFR36" s="3"/>
      <c r="NFS36" s="3"/>
      <c r="NFT36" s="3"/>
      <c r="NFU36" s="3"/>
      <c r="NFV36" s="3"/>
      <c r="NFW36" s="3"/>
      <c r="NFX36" s="3"/>
      <c r="NFY36" s="3"/>
      <c r="NFZ36" s="3"/>
      <c r="NGA36" s="3"/>
      <c r="NGB36" s="3"/>
      <c r="NGC36" s="3"/>
      <c r="NGD36" s="3"/>
      <c r="NGE36" s="3"/>
      <c r="NGF36" s="3"/>
      <c r="NGG36" s="3"/>
      <c r="NGH36" s="3"/>
      <c r="NGI36" s="3"/>
      <c r="NGJ36" s="3"/>
      <c r="NGK36" s="3"/>
      <c r="NGL36" s="3"/>
      <c r="NGM36" s="3"/>
      <c r="NGN36" s="3"/>
      <c r="NGO36" s="3"/>
      <c r="NGP36" s="3"/>
      <c r="NGQ36" s="3"/>
      <c r="NGR36" s="3"/>
      <c r="NGS36" s="3"/>
      <c r="NGT36" s="3"/>
      <c r="NGU36" s="3"/>
      <c r="NGV36" s="3"/>
      <c r="NGW36" s="3"/>
      <c r="NGX36" s="3"/>
      <c r="NGY36" s="3"/>
      <c r="NGZ36" s="3"/>
      <c r="NHA36" s="3"/>
      <c r="NHB36" s="3"/>
      <c r="NHC36" s="3"/>
      <c r="NHD36" s="3"/>
      <c r="NHE36" s="3"/>
      <c r="NHF36" s="3"/>
      <c r="NHG36" s="3"/>
      <c r="NHH36" s="3"/>
      <c r="NHI36" s="3"/>
      <c r="NHJ36" s="3"/>
      <c r="NHK36" s="3"/>
      <c r="NHL36" s="3"/>
      <c r="NHM36" s="3"/>
      <c r="NHN36" s="3"/>
      <c r="NHO36" s="3"/>
      <c r="NHP36" s="3"/>
      <c r="NHQ36" s="3"/>
      <c r="NHR36" s="3"/>
      <c r="NHS36" s="3"/>
      <c r="NHT36" s="3"/>
      <c r="NHU36" s="3"/>
      <c r="NHV36" s="3"/>
      <c r="NHW36" s="3"/>
      <c r="NHX36" s="3"/>
      <c r="NHY36" s="3"/>
      <c r="NHZ36" s="3"/>
      <c r="NIA36" s="3"/>
      <c r="NIB36" s="3"/>
      <c r="NIC36" s="3"/>
      <c r="NID36" s="3"/>
      <c r="NIE36" s="3"/>
      <c r="NIF36" s="3"/>
      <c r="NIG36" s="3"/>
      <c r="NIH36" s="3"/>
      <c r="NII36" s="3"/>
      <c r="NIJ36" s="3"/>
      <c r="NIK36" s="3"/>
      <c r="NIL36" s="3"/>
      <c r="NIM36" s="3"/>
      <c r="NIN36" s="3"/>
      <c r="NIO36" s="3"/>
      <c r="NIP36" s="3"/>
      <c r="NIQ36" s="3"/>
      <c r="NIR36" s="3"/>
      <c r="NIS36" s="3"/>
      <c r="NIT36" s="3"/>
      <c r="NIU36" s="3"/>
      <c r="NIV36" s="3"/>
      <c r="NIW36" s="3"/>
      <c r="NIX36" s="3"/>
      <c r="NIY36" s="3"/>
      <c r="NIZ36" s="3"/>
      <c r="NJA36" s="3"/>
      <c r="NJB36" s="3"/>
      <c r="NJC36" s="3"/>
      <c r="NJD36" s="3"/>
      <c r="NJE36" s="3"/>
      <c r="NJF36" s="3"/>
      <c r="NJG36" s="3"/>
      <c r="NJH36" s="3"/>
      <c r="NJI36" s="3"/>
      <c r="NJJ36" s="3"/>
      <c r="NJK36" s="3"/>
      <c r="NJL36" s="3"/>
      <c r="NJM36" s="3"/>
      <c r="NJN36" s="3"/>
      <c r="NJO36" s="3"/>
      <c r="NJP36" s="3"/>
      <c r="NJQ36" s="3"/>
      <c r="NJR36" s="3"/>
      <c r="NJS36" s="3"/>
      <c r="NJT36" s="3"/>
      <c r="NJU36" s="3"/>
      <c r="NJV36" s="3"/>
      <c r="NJW36" s="3"/>
      <c r="NJX36" s="3"/>
      <c r="NJY36" s="3"/>
      <c r="NJZ36" s="3"/>
      <c r="NKA36" s="3"/>
      <c r="NKB36" s="3"/>
      <c r="NKC36" s="3"/>
      <c r="NKD36" s="3"/>
      <c r="NKE36" s="3"/>
      <c r="NKF36" s="3"/>
      <c r="NKG36" s="3"/>
      <c r="NKH36" s="3"/>
      <c r="NKI36" s="3"/>
      <c r="NKJ36" s="3"/>
      <c r="NKK36" s="3"/>
      <c r="NKL36" s="3"/>
      <c r="NKM36" s="3"/>
      <c r="NKN36" s="3"/>
      <c r="NKO36" s="3"/>
      <c r="NKP36" s="3"/>
      <c r="NKQ36" s="3"/>
      <c r="NKR36" s="3"/>
      <c r="NKS36" s="3"/>
      <c r="NKT36" s="3"/>
      <c r="NKU36" s="3"/>
      <c r="NKV36" s="3"/>
      <c r="NKW36" s="3"/>
      <c r="NKX36" s="3"/>
      <c r="NKY36" s="3"/>
      <c r="NKZ36" s="3"/>
      <c r="NLA36" s="3"/>
      <c r="NLB36" s="3"/>
      <c r="NLC36" s="3"/>
      <c r="NLD36" s="3"/>
      <c r="NLE36" s="3"/>
      <c r="NLF36" s="3"/>
      <c r="NLG36" s="3"/>
      <c r="NLH36" s="3"/>
      <c r="NLI36" s="3"/>
      <c r="NLJ36" s="3"/>
      <c r="NLK36" s="3"/>
      <c r="NLL36" s="3"/>
      <c r="NLM36" s="3"/>
      <c r="NLN36" s="3"/>
      <c r="NLO36" s="3"/>
      <c r="NLP36" s="3"/>
      <c r="NLQ36" s="3"/>
      <c r="NLR36" s="3"/>
      <c r="NLS36" s="3"/>
      <c r="NLT36" s="3"/>
      <c r="NLU36" s="3"/>
      <c r="NLV36" s="3"/>
      <c r="NLW36" s="3"/>
      <c r="NLX36" s="3"/>
      <c r="NLY36" s="3"/>
      <c r="NLZ36" s="3"/>
      <c r="NMA36" s="3"/>
      <c r="NMB36" s="3"/>
      <c r="NMC36" s="3"/>
      <c r="NMD36" s="3"/>
      <c r="NME36" s="3"/>
      <c r="NMF36" s="3"/>
      <c r="NMG36" s="3"/>
      <c r="NMH36" s="3"/>
      <c r="NMI36" s="3"/>
      <c r="NMJ36" s="3"/>
      <c r="NMK36" s="3"/>
      <c r="NML36" s="3"/>
      <c r="NMM36" s="3"/>
      <c r="NMN36" s="3"/>
      <c r="NMO36" s="3"/>
      <c r="NMP36" s="3"/>
      <c r="NMQ36" s="3"/>
      <c r="NMR36" s="3"/>
      <c r="NMS36" s="3"/>
      <c r="NMT36" s="3"/>
      <c r="NMU36" s="3"/>
      <c r="NMV36" s="3"/>
      <c r="NMW36" s="3"/>
      <c r="NMX36" s="3"/>
      <c r="NMY36" s="3"/>
      <c r="NMZ36" s="3"/>
      <c r="NNA36" s="3"/>
      <c r="NNB36" s="3"/>
      <c r="NNC36" s="3"/>
      <c r="NND36" s="3"/>
      <c r="NNE36" s="3"/>
      <c r="NNF36" s="3"/>
      <c r="NNG36" s="3"/>
      <c r="NNH36" s="3"/>
      <c r="NNI36" s="3"/>
      <c r="NNJ36" s="3"/>
      <c r="NNK36" s="3"/>
      <c r="NNL36" s="3"/>
      <c r="NNM36" s="3"/>
      <c r="NNN36" s="3"/>
      <c r="NNO36" s="3"/>
      <c r="NNP36" s="3"/>
      <c r="NNQ36" s="3"/>
      <c r="NNR36" s="3"/>
      <c r="NNS36" s="3"/>
      <c r="NNT36" s="3"/>
      <c r="NNU36" s="3"/>
      <c r="NNV36" s="3"/>
      <c r="NNW36" s="3"/>
      <c r="NNX36" s="3"/>
      <c r="NNY36" s="3"/>
      <c r="NNZ36" s="3"/>
      <c r="NOA36" s="3"/>
      <c r="NOB36" s="3"/>
      <c r="NOC36" s="3"/>
      <c r="NOD36" s="3"/>
      <c r="NOE36" s="3"/>
      <c r="NOF36" s="3"/>
      <c r="NOG36" s="3"/>
      <c r="NOH36" s="3"/>
      <c r="NOI36" s="3"/>
      <c r="NOJ36" s="3"/>
      <c r="NOK36" s="3"/>
      <c r="NOL36" s="3"/>
      <c r="NOM36" s="3"/>
      <c r="NON36" s="3"/>
      <c r="NOO36" s="3"/>
      <c r="NOP36" s="3"/>
      <c r="NOQ36" s="3"/>
      <c r="NOR36" s="3"/>
      <c r="NOS36" s="3"/>
      <c r="NOT36" s="3"/>
      <c r="NOU36" s="3"/>
      <c r="NOV36" s="3"/>
      <c r="NOW36" s="3"/>
      <c r="NOX36" s="3"/>
      <c r="NOY36" s="3"/>
      <c r="NOZ36" s="3"/>
      <c r="NPA36" s="3"/>
      <c r="NPB36" s="3"/>
      <c r="NPC36" s="3"/>
      <c r="NPD36" s="3"/>
      <c r="NPE36" s="3"/>
      <c r="NPF36" s="3"/>
      <c r="NPG36" s="3"/>
      <c r="NPH36" s="3"/>
      <c r="NPI36" s="3"/>
      <c r="NPJ36" s="3"/>
      <c r="NPK36" s="3"/>
      <c r="NPL36" s="3"/>
      <c r="NPM36" s="3"/>
      <c r="NPN36" s="3"/>
      <c r="NPO36" s="3"/>
      <c r="NPP36" s="3"/>
      <c r="NPQ36" s="3"/>
      <c r="NPR36" s="3"/>
      <c r="NPS36" s="3"/>
      <c r="NPT36" s="3"/>
      <c r="NPU36" s="3"/>
      <c r="NPV36" s="3"/>
      <c r="NPW36" s="3"/>
      <c r="NPX36" s="3"/>
      <c r="NPY36" s="3"/>
      <c r="NPZ36" s="3"/>
      <c r="NQA36" s="3"/>
      <c r="NQB36" s="3"/>
      <c r="NQC36" s="3"/>
      <c r="NQD36" s="3"/>
      <c r="NQE36" s="3"/>
      <c r="NQF36" s="3"/>
      <c r="NQG36" s="3"/>
      <c r="NQH36" s="3"/>
      <c r="NQI36" s="3"/>
      <c r="NQJ36" s="3"/>
      <c r="NQK36" s="3"/>
      <c r="NQL36" s="3"/>
      <c r="NQM36" s="3"/>
      <c r="NQN36" s="3"/>
      <c r="NQO36" s="3"/>
      <c r="NQP36" s="3"/>
      <c r="NQQ36" s="3"/>
      <c r="NQR36" s="3"/>
      <c r="NQS36" s="3"/>
      <c r="NQT36" s="3"/>
      <c r="NQU36" s="3"/>
      <c r="NQV36" s="3"/>
      <c r="NQW36" s="3"/>
      <c r="NQX36" s="3"/>
      <c r="NQY36" s="3"/>
      <c r="NQZ36" s="3"/>
      <c r="NRA36" s="3"/>
      <c r="NRB36" s="3"/>
      <c r="NRC36" s="3"/>
      <c r="NRD36" s="3"/>
      <c r="NRE36" s="3"/>
      <c r="NRF36" s="3"/>
      <c r="NRG36" s="3"/>
      <c r="NRH36" s="3"/>
      <c r="NRI36" s="3"/>
      <c r="NRJ36" s="3"/>
      <c r="NRK36" s="3"/>
      <c r="NRL36" s="3"/>
      <c r="NRM36" s="3"/>
      <c r="NRN36" s="3"/>
      <c r="NRO36" s="3"/>
      <c r="NRP36" s="3"/>
      <c r="NRQ36" s="3"/>
      <c r="NRR36" s="3"/>
      <c r="NRS36" s="3"/>
      <c r="NRT36" s="3"/>
      <c r="NRU36" s="3"/>
      <c r="NRV36" s="3"/>
      <c r="NRW36" s="3"/>
      <c r="NRX36" s="3"/>
      <c r="NRY36" s="3"/>
      <c r="NRZ36" s="3"/>
      <c r="NSA36" s="3"/>
      <c r="NSB36" s="3"/>
      <c r="NSC36" s="3"/>
      <c r="NSD36" s="3"/>
      <c r="NSE36" s="3"/>
      <c r="NSF36" s="3"/>
      <c r="NSG36" s="3"/>
      <c r="NSH36" s="3"/>
      <c r="NSI36" s="3"/>
      <c r="NSJ36" s="3"/>
      <c r="NSK36" s="3"/>
      <c r="NSL36" s="3"/>
      <c r="NSM36" s="3"/>
      <c r="NSN36" s="3"/>
      <c r="NSO36" s="3"/>
      <c r="NSP36" s="3"/>
      <c r="NSQ36" s="3"/>
      <c r="NSR36" s="3"/>
      <c r="NSS36" s="3"/>
      <c r="NST36" s="3"/>
      <c r="NSU36" s="3"/>
      <c r="NSV36" s="3"/>
      <c r="NSW36" s="3"/>
      <c r="NSX36" s="3"/>
      <c r="NSY36" s="3"/>
      <c r="NSZ36" s="3"/>
      <c r="NTA36" s="3"/>
      <c r="NTB36" s="3"/>
      <c r="NTC36" s="3"/>
      <c r="NTD36" s="3"/>
      <c r="NTE36" s="3"/>
      <c r="NTF36" s="3"/>
      <c r="NTG36" s="3"/>
      <c r="NTH36" s="3"/>
      <c r="NTI36" s="3"/>
      <c r="NTJ36" s="3"/>
      <c r="NTK36" s="3"/>
      <c r="NTL36" s="3"/>
      <c r="NTM36" s="3"/>
      <c r="NTN36" s="3"/>
      <c r="NTO36" s="3"/>
      <c r="NTP36" s="3"/>
      <c r="NTQ36" s="3"/>
      <c r="NTR36" s="3"/>
      <c r="NTS36" s="3"/>
      <c r="NTT36" s="3"/>
      <c r="NTU36" s="3"/>
      <c r="NTV36" s="3"/>
      <c r="NTW36" s="3"/>
      <c r="NTX36" s="3"/>
      <c r="NTY36" s="3"/>
      <c r="NTZ36" s="3"/>
      <c r="NUA36" s="3"/>
      <c r="NUB36" s="3"/>
      <c r="NUC36" s="3"/>
      <c r="NUD36" s="3"/>
      <c r="NUE36" s="3"/>
      <c r="NUF36" s="3"/>
      <c r="NUG36" s="3"/>
      <c r="NUH36" s="3"/>
      <c r="NUI36" s="3"/>
      <c r="NUJ36" s="3"/>
      <c r="NUK36" s="3"/>
      <c r="NUL36" s="3"/>
      <c r="NUM36" s="3"/>
      <c r="NUN36" s="3"/>
      <c r="NUO36" s="3"/>
      <c r="NUP36" s="3"/>
      <c r="NUQ36" s="3"/>
      <c r="NUR36" s="3"/>
      <c r="NUS36" s="3"/>
      <c r="NUT36" s="3"/>
      <c r="NUU36" s="3"/>
      <c r="NUV36" s="3"/>
      <c r="NUW36" s="3"/>
      <c r="NUX36" s="3"/>
      <c r="NUY36" s="3"/>
      <c r="NUZ36" s="3"/>
      <c r="NVA36" s="3"/>
      <c r="NVB36" s="3"/>
      <c r="NVC36" s="3"/>
      <c r="NVD36" s="3"/>
      <c r="NVE36" s="3"/>
      <c r="NVF36" s="3"/>
      <c r="NVG36" s="3"/>
      <c r="NVH36" s="3"/>
      <c r="NVI36" s="3"/>
      <c r="NVJ36" s="3"/>
      <c r="NVK36" s="3"/>
      <c r="NVL36" s="3"/>
      <c r="NVM36" s="3"/>
      <c r="NVN36" s="3"/>
      <c r="NVO36" s="3"/>
      <c r="NVP36" s="3"/>
      <c r="NVQ36" s="3"/>
      <c r="NVR36" s="3"/>
      <c r="NVS36" s="3"/>
      <c r="NVT36" s="3"/>
      <c r="NVU36" s="3"/>
      <c r="NVV36" s="3"/>
      <c r="NVW36" s="3"/>
      <c r="NVX36" s="3"/>
      <c r="NVY36" s="3"/>
      <c r="NVZ36" s="3"/>
      <c r="NWA36" s="3"/>
      <c r="NWB36" s="3"/>
      <c r="NWC36" s="3"/>
      <c r="NWD36" s="3"/>
      <c r="NWE36" s="3"/>
      <c r="NWF36" s="3"/>
      <c r="NWG36" s="3"/>
      <c r="NWH36" s="3"/>
      <c r="NWI36" s="3"/>
      <c r="NWJ36" s="3"/>
      <c r="NWK36" s="3"/>
      <c r="NWL36" s="3"/>
      <c r="NWM36" s="3"/>
      <c r="NWN36" s="3"/>
      <c r="NWO36" s="3"/>
      <c r="NWP36" s="3"/>
      <c r="NWQ36" s="3"/>
      <c r="NWR36" s="3"/>
      <c r="NWS36" s="3"/>
      <c r="NWT36" s="3"/>
      <c r="NWU36" s="3"/>
      <c r="NWV36" s="3"/>
      <c r="NWW36" s="3"/>
      <c r="NWX36" s="3"/>
      <c r="NWY36" s="3"/>
      <c r="NWZ36" s="3"/>
      <c r="NXA36" s="3"/>
      <c r="NXB36" s="3"/>
      <c r="NXC36" s="3"/>
      <c r="NXD36" s="3"/>
      <c r="NXE36" s="3"/>
      <c r="NXF36" s="3"/>
      <c r="NXG36" s="3"/>
      <c r="NXH36" s="3"/>
      <c r="NXI36" s="3"/>
      <c r="NXJ36" s="3"/>
      <c r="NXK36" s="3"/>
      <c r="NXL36" s="3"/>
      <c r="NXM36" s="3"/>
      <c r="NXN36" s="3"/>
      <c r="NXO36" s="3"/>
      <c r="NXP36" s="3"/>
      <c r="NXQ36" s="3"/>
      <c r="NXR36" s="3"/>
      <c r="NXS36" s="3"/>
      <c r="NXT36" s="3"/>
      <c r="NXU36" s="3"/>
      <c r="NXV36" s="3"/>
      <c r="NXW36" s="3"/>
      <c r="NXX36" s="3"/>
      <c r="NXY36" s="3"/>
      <c r="NXZ36" s="3"/>
      <c r="NYA36" s="3"/>
      <c r="NYB36" s="3"/>
      <c r="NYC36" s="3"/>
      <c r="NYD36" s="3"/>
      <c r="NYE36" s="3"/>
      <c r="NYF36" s="3"/>
      <c r="NYG36" s="3"/>
      <c r="NYH36" s="3"/>
      <c r="NYI36" s="3"/>
      <c r="NYJ36" s="3"/>
      <c r="NYK36" s="3"/>
      <c r="NYL36" s="3"/>
      <c r="NYM36" s="3"/>
      <c r="NYN36" s="3"/>
      <c r="NYO36" s="3"/>
      <c r="NYP36" s="3"/>
      <c r="NYQ36" s="3"/>
      <c r="NYR36" s="3"/>
      <c r="NYS36" s="3"/>
      <c r="NYT36" s="3"/>
      <c r="NYU36" s="3"/>
      <c r="NYV36" s="3"/>
      <c r="NYW36" s="3"/>
      <c r="NYX36" s="3"/>
      <c r="NYY36" s="3"/>
      <c r="NYZ36" s="3"/>
      <c r="NZA36" s="3"/>
      <c r="NZB36" s="3"/>
      <c r="NZC36" s="3"/>
      <c r="NZD36" s="3"/>
      <c r="NZE36" s="3"/>
      <c r="NZF36" s="3"/>
      <c r="NZG36" s="3"/>
      <c r="NZH36" s="3"/>
      <c r="NZI36" s="3"/>
      <c r="NZJ36" s="3"/>
      <c r="NZK36" s="3"/>
      <c r="NZL36" s="3"/>
      <c r="NZM36" s="3"/>
      <c r="NZN36" s="3"/>
      <c r="NZO36" s="3"/>
      <c r="NZP36" s="3"/>
      <c r="NZQ36" s="3"/>
      <c r="NZR36" s="3"/>
      <c r="NZS36" s="3"/>
      <c r="NZT36" s="3"/>
      <c r="NZU36" s="3"/>
      <c r="NZV36" s="3"/>
      <c r="NZW36" s="3"/>
      <c r="NZX36" s="3"/>
      <c r="NZY36" s="3"/>
      <c r="NZZ36" s="3"/>
      <c r="OAA36" s="3"/>
      <c r="OAB36" s="3"/>
      <c r="OAC36" s="3"/>
      <c r="OAD36" s="3"/>
      <c r="OAE36" s="3"/>
      <c r="OAF36" s="3"/>
      <c r="OAG36" s="3"/>
      <c r="OAH36" s="3"/>
      <c r="OAI36" s="3"/>
      <c r="OAJ36" s="3"/>
      <c r="OAK36" s="3"/>
      <c r="OAL36" s="3"/>
      <c r="OAM36" s="3"/>
      <c r="OAN36" s="3"/>
      <c r="OAO36" s="3"/>
      <c r="OAP36" s="3"/>
      <c r="OAQ36" s="3"/>
      <c r="OAR36" s="3"/>
      <c r="OAS36" s="3"/>
      <c r="OAT36" s="3"/>
      <c r="OAU36" s="3"/>
      <c r="OAV36" s="3"/>
      <c r="OAW36" s="3"/>
      <c r="OAX36" s="3"/>
      <c r="OAY36" s="3"/>
      <c r="OAZ36" s="3"/>
      <c r="OBA36" s="3"/>
      <c r="OBB36" s="3"/>
      <c r="OBC36" s="3"/>
      <c r="OBD36" s="3"/>
      <c r="OBE36" s="3"/>
      <c r="OBF36" s="3"/>
      <c r="OBG36" s="3"/>
      <c r="OBH36" s="3"/>
      <c r="OBI36" s="3"/>
      <c r="OBJ36" s="3"/>
      <c r="OBK36" s="3"/>
      <c r="OBL36" s="3"/>
      <c r="OBM36" s="3"/>
      <c r="OBN36" s="3"/>
      <c r="OBO36" s="3"/>
      <c r="OBP36" s="3"/>
      <c r="OBQ36" s="3"/>
      <c r="OBR36" s="3"/>
      <c r="OBS36" s="3"/>
      <c r="OBT36" s="3"/>
      <c r="OBU36" s="3"/>
      <c r="OBV36" s="3"/>
      <c r="OBW36" s="3"/>
      <c r="OBX36" s="3"/>
      <c r="OBY36" s="3"/>
      <c r="OBZ36" s="3"/>
      <c r="OCA36" s="3"/>
      <c r="OCB36" s="3"/>
      <c r="OCC36" s="3"/>
      <c r="OCD36" s="3"/>
      <c r="OCE36" s="3"/>
      <c r="OCF36" s="3"/>
      <c r="OCG36" s="3"/>
      <c r="OCH36" s="3"/>
      <c r="OCI36" s="3"/>
      <c r="OCJ36" s="3"/>
      <c r="OCK36" s="3"/>
      <c r="OCL36" s="3"/>
      <c r="OCM36" s="3"/>
      <c r="OCN36" s="3"/>
      <c r="OCO36" s="3"/>
      <c r="OCP36" s="3"/>
      <c r="OCQ36" s="3"/>
      <c r="OCR36" s="3"/>
      <c r="OCS36" s="3"/>
      <c r="OCT36" s="3"/>
      <c r="OCU36" s="3"/>
      <c r="OCV36" s="3"/>
      <c r="OCW36" s="3"/>
      <c r="OCX36" s="3"/>
      <c r="OCY36" s="3"/>
      <c r="OCZ36" s="3"/>
      <c r="ODA36" s="3"/>
      <c r="ODB36" s="3"/>
      <c r="ODC36" s="3"/>
      <c r="ODD36" s="3"/>
      <c r="ODE36" s="3"/>
      <c r="ODF36" s="3"/>
      <c r="ODG36" s="3"/>
      <c r="ODH36" s="3"/>
      <c r="ODI36" s="3"/>
      <c r="ODJ36" s="3"/>
      <c r="ODK36" s="3"/>
      <c r="ODL36" s="3"/>
      <c r="ODM36" s="3"/>
      <c r="ODN36" s="3"/>
      <c r="ODO36" s="3"/>
      <c r="ODP36" s="3"/>
      <c r="ODQ36" s="3"/>
      <c r="ODR36" s="3"/>
      <c r="ODS36" s="3"/>
      <c r="ODT36" s="3"/>
      <c r="ODU36" s="3"/>
      <c r="ODV36" s="3"/>
      <c r="ODW36" s="3"/>
      <c r="ODX36" s="3"/>
      <c r="ODY36" s="3"/>
      <c r="ODZ36" s="3"/>
      <c r="OEA36" s="3"/>
      <c r="OEB36" s="3"/>
      <c r="OEC36" s="3"/>
      <c r="OED36" s="3"/>
      <c r="OEE36" s="3"/>
      <c r="OEF36" s="3"/>
      <c r="OEG36" s="3"/>
      <c r="OEH36" s="3"/>
      <c r="OEI36" s="3"/>
      <c r="OEJ36" s="3"/>
      <c r="OEK36" s="3"/>
      <c r="OEL36" s="3"/>
      <c r="OEM36" s="3"/>
      <c r="OEN36" s="3"/>
      <c r="OEO36" s="3"/>
      <c r="OEP36" s="3"/>
      <c r="OEQ36" s="3"/>
      <c r="OER36" s="3"/>
      <c r="OES36" s="3"/>
      <c r="OET36" s="3"/>
      <c r="OEU36" s="3"/>
      <c r="OEV36" s="3"/>
      <c r="OEW36" s="3"/>
      <c r="OEX36" s="3"/>
      <c r="OEY36" s="3"/>
      <c r="OEZ36" s="3"/>
      <c r="OFA36" s="3"/>
      <c r="OFB36" s="3"/>
      <c r="OFC36" s="3"/>
      <c r="OFD36" s="3"/>
      <c r="OFE36" s="3"/>
      <c r="OFF36" s="3"/>
      <c r="OFG36" s="3"/>
      <c r="OFH36" s="3"/>
      <c r="OFI36" s="3"/>
      <c r="OFJ36" s="3"/>
      <c r="OFK36" s="3"/>
      <c r="OFL36" s="3"/>
      <c r="OFM36" s="3"/>
      <c r="OFN36" s="3"/>
      <c r="OFO36" s="3"/>
      <c r="OFP36" s="3"/>
      <c r="OFQ36" s="3"/>
      <c r="OFR36" s="3"/>
      <c r="OFS36" s="3"/>
      <c r="OFT36" s="3"/>
      <c r="OFU36" s="3"/>
      <c r="OFV36" s="3"/>
      <c r="OFW36" s="3"/>
      <c r="OFX36" s="3"/>
      <c r="OFY36" s="3"/>
      <c r="OFZ36" s="3"/>
      <c r="OGA36" s="3"/>
      <c r="OGB36" s="3"/>
      <c r="OGC36" s="3"/>
      <c r="OGD36" s="3"/>
      <c r="OGE36" s="3"/>
      <c r="OGF36" s="3"/>
      <c r="OGG36" s="3"/>
      <c r="OGH36" s="3"/>
      <c r="OGI36" s="3"/>
      <c r="OGJ36" s="3"/>
      <c r="OGK36" s="3"/>
      <c r="OGL36" s="3"/>
      <c r="OGM36" s="3"/>
      <c r="OGN36" s="3"/>
      <c r="OGO36" s="3"/>
      <c r="OGP36" s="3"/>
      <c r="OGQ36" s="3"/>
      <c r="OGR36" s="3"/>
      <c r="OGS36" s="3"/>
      <c r="OGT36" s="3"/>
      <c r="OGU36" s="3"/>
      <c r="OGV36" s="3"/>
      <c r="OGW36" s="3"/>
      <c r="OGX36" s="3"/>
      <c r="OGY36" s="3"/>
      <c r="OGZ36" s="3"/>
      <c r="OHA36" s="3"/>
      <c r="OHB36" s="3"/>
      <c r="OHC36" s="3"/>
      <c r="OHD36" s="3"/>
      <c r="OHE36" s="3"/>
      <c r="OHF36" s="3"/>
      <c r="OHG36" s="3"/>
      <c r="OHH36" s="3"/>
      <c r="OHI36" s="3"/>
      <c r="OHJ36" s="3"/>
      <c r="OHK36" s="3"/>
      <c r="OHL36" s="3"/>
      <c r="OHM36" s="3"/>
      <c r="OHN36" s="3"/>
      <c r="OHO36" s="3"/>
      <c r="OHP36" s="3"/>
      <c r="OHQ36" s="3"/>
      <c r="OHR36" s="3"/>
      <c r="OHS36" s="3"/>
      <c r="OHT36" s="3"/>
      <c r="OHU36" s="3"/>
      <c r="OHV36" s="3"/>
      <c r="OHW36" s="3"/>
      <c r="OHX36" s="3"/>
      <c r="OHY36" s="3"/>
      <c r="OHZ36" s="3"/>
      <c r="OIA36" s="3"/>
      <c r="OIB36" s="3"/>
      <c r="OIC36" s="3"/>
      <c r="OID36" s="3"/>
      <c r="OIE36" s="3"/>
      <c r="OIF36" s="3"/>
      <c r="OIG36" s="3"/>
      <c r="OIH36" s="3"/>
      <c r="OII36" s="3"/>
      <c r="OIJ36" s="3"/>
      <c r="OIK36" s="3"/>
      <c r="OIL36" s="3"/>
      <c r="OIM36" s="3"/>
      <c r="OIN36" s="3"/>
      <c r="OIO36" s="3"/>
      <c r="OIP36" s="3"/>
      <c r="OIQ36" s="3"/>
      <c r="OIR36" s="3"/>
      <c r="OIS36" s="3"/>
      <c r="OIT36" s="3"/>
      <c r="OIU36" s="3"/>
      <c r="OIV36" s="3"/>
      <c r="OIW36" s="3"/>
      <c r="OIX36" s="3"/>
      <c r="OIY36" s="3"/>
      <c r="OIZ36" s="3"/>
      <c r="OJA36" s="3"/>
      <c r="OJB36" s="3"/>
      <c r="OJC36" s="3"/>
      <c r="OJD36" s="3"/>
      <c r="OJE36" s="3"/>
      <c r="OJF36" s="3"/>
      <c r="OJG36" s="3"/>
      <c r="OJH36" s="3"/>
      <c r="OJI36" s="3"/>
      <c r="OJJ36" s="3"/>
      <c r="OJK36" s="3"/>
      <c r="OJL36" s="3"/>
      <c r="OJM36" s="3"/>
      <c r="OJN36" s="3"/>
      <c r="OJO36" s="3"/>
      <c r="OJP36" s="3"/>
      <c r="OJQ36" s="3"/>
      <c r="OJR36" s="3"/>
      <c r="OJS36" s="3"/>
      <c r="OJT36" s="3"/>
      <c r="OJU36" s="3"/>
      <c r="OJV36" s="3"/>
      <c r="OJW36" s="3"/>
      <c r="OJX36" s="3"/>
      <c r="OJY36" s="3"/>
      <c r="OJZ36" s="3"/>
      <c r="OKA36" s="3"/>
      <c r="OKB36" s="3"/>
      <c r="OKC36" s="3"/>
      <c r="OKD36" s="3"/>
      <c r="OKE36" s="3"/>
      <c r="OKF36" s="3"/>
      <c r="OKG36" s="3"/>
      <c r="OKH36" s="3"/>
      <c r="OKI36" s="3"/>
      <c r="OKJ36" s="3"/>
      <c r="OKK36" s="3"/>
      <c r="OKL36" s="3"/>
      <c r="OKM36" s="3"/>
      <c r="OKN36" s="3"/>
      <c r="OKO36" s="3"/>
      <c r="OKP36" s="3"/>
      <c r="OKQ36" s="3"/>
      <c r="OKR36" s="3"/>
      <c r="OKS36" s="3"/>
      <c r="OKT36" s="3"/>
      <c r="OKU36" s="3"/>
      <c r="OKV36" s="3"/>
      <c r="OKW36" s="3"/>
      <c r="OKX36" s="3"/>
      <c r="OKY36" s="3"/>
      <c r="OKZ36" s="3"/>
      <c r="OLA36" s="3"/>
      <c r="OLB36" s="3"/>
      <c r="OLC36" s="3"/>
      <c r="OLD36" s="3"/>
      <c r="OLE36" s="3"/>
      <c r="OLF36" s="3"/>
      <c r="OLG36" s="3"/>
      <c r="OLH36" s="3"/>
      <c r="OLI36" s="3"/>
      <c r="OLJ36" s="3"/>
      <c r="OLK36" s="3"/>
      <c r="OLL36" s="3"/>
      <c r="OLM36" s="3"/>
      <c r="OLN36" s="3"/>
      <c r="OLO36" s="3"/>
      <c r="OLP36" s="3"/>
      <c r="OLQ36" s="3"/>
      <c r="OLR36" s="3"/>
      <c r="OLS36" s="3"/>
      <c r="OLT36" s="3"/>
      <c r="OLU36" s="3"/>
      <c r="OLV36" s="3"/>
      <c r="OLW36" s="3"/>
      <c r="OLX36" s="3"/>
      <c r="OLY36" s="3"/>
      <c r="OLZ36" s="3"/>
      <c r="OMA36" s="3"/>
      <c r="OMB36" s="3"/>
      <c r="OMC36" s="3"/>
      <c r="OMD36" s="3"/>
      <c r="OME36" s="3"/>
      <c r="OMF36" s="3"/>
      <c r="OMG36" s="3"/>
      <c r="OMH36" s="3"/>
      <c r="OMI36" s="3"/>
      <c r="OMJ36" s="3"/>
      <c r="OMK36" s="3"/>
      <c r="OML36" s="3"/>
      <c r="OMM36" s="3"/>
      <c r="OMN36" s="3"/>
      <c r="OMO36" s="3"/>
      <c r="OMP36" s="3"/>
      <c r="OMQ36" s="3"/>
      <c r="OMR36" s="3"/>
      <c r="OMS36" s="3"/>
      <c r="OMT36" s="3"/>
      <c r="OMU36" s="3"/>
      <c r="OMV36" s="3"/>
      <c r="OMW36" s="3"/>
      <c r="OMX36" s="3"/>
      <c r="OMY36" s="3"/>
      <c r="OMZ36" s="3"/>
      <c r="ONA36" s="3"/>
      <c r="ONB36" s="3"/>
      <c r="ONC36" s="3"/>
      <c r="OND36" s="3"/>
      <c r="ONE36" s="3"/>
      <c r="ONF36" s="3"/>
      <c r="ONG36" s="3"/>
      <c r="ONH36" s="3"/>
      <c r="ONI36" s="3"/>
      <c r="ONJ36" s="3"/>
      <c r="ONK36" s="3"/>
      <c r="ONL36" s="3"/>
      <c r="ONM36" s="3"/>
      <c r="ONN36" s="3"/>
      <c r="ONO36" s="3"/>
      <c r="ONP36" s="3"/>
      <c r="ONQ36" s="3"/>
      <c r="ONR36" s="3"/>
      <c r="ONS36" s="3"/>
      <c r="ONT36" s="3"/>
      <c r="ONU36" s="3"/>
      <c r="ONV36" s="3"/>
      <c r="ONW36" s="3"/>
      <c r="ONX36" s="3"/>
      <c r="ONY36" s="3"/>
      <c r="ONZ36" s="3"/>
      <c r="OOA36" s="3"/>
      <c r="OOB36" s="3"/>
      <c r="OOC36" s="3"/>
      <c r="OOD36" s="3"/>
      <c r="OOE36" s="3"/>
      <c r="OOF36" s="3"/>
      <c r="OOG36" s="3"/>
      <c r="OOH36" s="3"/>
      <c r="OOI36" s="3"/>
      <c r="OOJ36" s="3"/>
      <c r="OOK36" s="3"/>
      <c r="OOL36" s="3"/>
      <c r="OOM36" s="3"/>
      <c r="OON36" s="3"/>
      <c r="OOO36" s="3"/>
      <c r="OOP36" s="3"/>
      <c r="OOQ36" s="3"/>
      <c r="OOR36" s="3"/>
      <c r="OOS36" s="3"/>
      <c r="OOT36" s="3"/>
      <c r="OOU36" s="3"/>
      <c r="OOV36" s="3"/>
      <c r="OOW36" s="3"/>
      <c r="OOX36" s="3"/>
      <c r="OOY36" s="3"/>
      <c r="OOZ36" s="3"/>
      <c r="OPA36" s="3"/>
      <c r="OPB36" s="3"/>
      <c r="OPC36" s="3"/>
      <c r="OPD36" s="3"/>
      <c r="OPE36" s="3"/>
      <c r="OPF36" s="3"/>
      <c r="OPG36" s="3"/>
      <c r="OPH36" s="3"/>
      <c r="OPI36" s="3"/>
      <c r="OPJ36" s="3"/>
      <c r="OPK36" s="3"/>
      <c r="OPL36" s="3"/>
      <c r="OPM36" s="3"/>
      <c r="OPN36" s="3"/>
      <c r="OPO36" s="3"/>
      <c r="OPP36" s="3"/>
      <c r="OPQ36" s="3"/>
      <c r="OPR36" s="3"/>
      <c r="OPS36" s="3"/>
      <c r="OPT36" s="3"/>
      <c r="OPU36" s="3"/>
      <c r="OPV36" s="3"/>
      <c r="OPW36" s="3"/>
      <c r="OPX36" s="3"/>
      <c r="OPY36" s="3"/>
      <c r="OPZ36" s="3"/>
      <c r="OQA36" s="3"/>
      <c r="OQB36" s="3"/>
      <c r="OQC36" s="3"/>
      <c r="OQD36" s="3"/>
      <c r="OQE36" s="3"/>
      <c r="OQF36" s="3"/>
      <c r="OQG36" s="3"/>
      <c r="OQH36" s="3"/>
      <c r="OQI36" s="3"/>
      <c r="OQJ36" s="3"/>
      <c r="OQK36" s="3"/>
      <c r="OQL36" s="3"/>
      <c r="OQM36" s="3"/>
      <c r="OQN36" s="3"/>
      <c r="OQO36" s="3"/>
      <c r="OQP36" s="3"/>
      <c r="OQQ36" s="3"/>
      <c r="OQR36" s="3"/>
      <c r="OQS36" s="3"/>
      <c r="OQT36" s="3"/>
      <c r="OQU36" s="3"/>
      <c r="OQV36" s="3"/>
      <c r="OQW36" s="3"/>
      <c r="OQX36" s="3"/>
      <c r="OQY36" s="3"/>
      <c r="OQZ36" s="3"/>
      <c r="ORA36" s="3"/>
      <c r="ORB36" s="3"/>
      <c r="ORC36" s="3"/>
      <c r="ORD36" s="3"/>
      <c r="ORE36" s="3"/>
      <c r="ORF36" s="3"/>
      <c r="ORG36" s="3"/>
      <c r="ORH36" s="3"/>
      <c r="ORI36" s="3"/>
      <c r="ORJ36" s="3"/>
      <c r="ORK36" s="3"/>
      <c r="ORL36" s="3"/>
      <c r="ORM36" s="3"/>
      <c r="ORN36" s="3"/>
      <c r="ORO36" s="3"/>
      <c r="ORP36" s="3"/>
      <c r="ORQ36" s="3"/>
      <c r="ORR36" s="3"/>
      <c r="ORS36" s="3"/>
      <c r="ORT36" s="3"/>
      <c r="ORU36" s="3"/>
      <c r="ORV36" s="3"/>
      <c r="ORW36" s="3"/>
      <c r="ORX36" s="3"/>
      <c r="ORY36" s="3"/>
      <c r="ORZ36" s="3"/>
      <c r="OSA36" s="3"/>
      <c r="OSB36" s="3"/>
      <c r="OSC36" s="3"/>
      <c r="OSD36" s="3"/>
      <c r="OSE36" s="3"/>
      <c r="OSF36" s="3"/>
      <c r="OSG36" s="3"/>
      <c r="OSH36" s="3"/>
      <c r="OSI36" s="3"/>
      <c r="OSJ36" s="3"/>
      <c r="OSK36" s="3"/>
      <c r="OSL36" s="3"/>
      <c r="OSM36" s="3"/>
      <c r="OSN36" s="3"/>
      <c r="OSO36" s="3"/>
      <c r="OSP36" s="3"/>
      <c r="OSQ36" s="3"/>
      <c r="OSR36" s="3"/>
      <c r="OSS36" s="3"/>
      <c r="OST36" s="3"/>
      <c r="OSU36" s="3"/>
      <c r="OSV36" s="3"/>
      <c r="OSW36" s="3"/>
      <c r="OSX36" s="3"/>
      <c r="OSY36" s="3"/>
      <c r="OSZ36" s="3"/>
      <c r="OTA36" s="3"/>
      <c r="OTB36" s="3"/>
      <c r="OTC36" s="3"/>
      <c r="OTD36" s="3"/>
      <c r="OTE36" s="3"/>
      <c r="OTF36" s="3"/>
      <c r="OTG36" s="3"/>
      <c r="OTH36" s="3"/>
      <c r="OTI36" s="3"/>
      <c r="OTJ36" s="3"/>
      <c r="OTK36" s="3"/>
      <c r="OTL36" s="3"/>
      <c r="OTM36" s="3"/>
      <c r="OTN36" s="3"/>
      <c r="OTO36" s="3"/>
      <c r="OTP36" s="3"/>
      <c r="OTQ36" s="3"/>
      <c r="OTR36" s="3"/>
      <c r="OTS36" s="3"/>
      <c r="OTT36" s="3"/>
      <c r="OTU36" s="3"/>
      <c r="OTV36" s="3"/>
      <c r="OTW36" s="3"/>
      <c r="OTX36" s="3"/>
      <c r="OTY36" s="3"/>
      <c r="OTZ36" s="3"/>
      <c r="OUA36" s="3"/>
      <c r="OUB36" s="3"/>
      <c r="OUC36" s="3"/>
      <c r="OUD36" s="3"/>
      <c r="OUE36" s="3"/>
      <c r="OUF36" s="3"/>
      <c r="OUG36" s="3"/>
      <c r="OUH36" s="3"/>
      <c r="OUI36" s="3"/>
      <c r="OUJ36" s="3"/>
      <c r="OUK36" s="3"/>
      <c r="OUL36" s="3"/>
      <c r="OUM36" s="3"/>
      <c r="OUN36" s="3"/>
      <c r="OUO36" s="3"/>
      <c r="OUP36" s="3"/>
      <c r="OUQ36" s="3"/>
      <c r="OUR36" s="3"/>
      <c r="OUS36" s="3"/>
      <c r="OUT36" s="3"/>
      <c r="OUU36" s="3"/>
      <c r="OUV36" s="3"/>
      <c r="OUW36" s="3"/>
      <c r="OUX36" s="3"/>
      <c r="OUY36" s="3"/>
      <c r="OUZ36" s="3"/>
      <c r="OVA36" s="3"/>
      <c r="OVB36" s="3"/>
      <c r="OVC36" s="3"/>
      <c r="OVD36" s="3"/>
      <c r="OVE36" s="3"/>
      <c r="OVF36" s="3"/>
      <c r="OVG36" s="3"/>
      <c r="OVH36" s="3"/>
      <c r="OVI36" s="3"/>
      <c r="OVJ36" s="3"/>
      <c r="OVK36" s="3"/>
      <c r="OVL36" s="3"/>
      <c r="OVM36" s="3"/>
      <c r="OVN36" s="3"/>
      <c r="OVO36" s="3"/>
      <c r="OVP36" s="3"/>
      <c r="OVQ36" s="3"/>
      <c r="OVR36" s="3"/>
      <c r="OVS36" s="3"/>
      <c r="OVT36" s="3"/>
      <c r="OVU36" s="3"/>
      <c r="OVV36" s="3"/>
      <c r="OVW36" s="3"/>
      <c r="OVX36" s="3"/>
      <c r="OVY36" s="3"/>
      <c r="OVZ36" s="3"/>
      <c r="OWA36" s="3"/>
      <c r="OWB36" s="3"/>
      <c r="OWC36" s="3"/>
      <c r="OWD36" s="3"/>
      <c r="OWE36" s="3"/>
      <c r="OWF36" s="3"/>
      <c r="OWG36" s="3"/>
      <c r="OWH36" s="3"/>
      <c r="OWI36" s="3"/>
      <c r="OWJ36" s="3"/>
      <c r="OWK36" s="3"/>
      <c r="OWL36" s="3"/>
      <c r="OWM36" s="3"/>
      <c r="OWN36" s="3"/>
      <c r="OWO36" s="3"/>
      <c r="OWP36" s="3"/>
      <c r="OWQ36" s="3"/>
      <c r="OWR36" s="3"/>
      <c r="OWS36" s="3"/>
      <c r="OWT36" s="3"/>
      <c r="OWU36" s="3"/>
      <c r="OWV36" s="3"/>
      <c r="OWW36" s="3"/>
      <c r="OWX36" s="3"/>
      <c r="OWY36" s="3"/>
      <c r="OWZ36" s="3"/>
      <c r="OXA36" s="3"/>
      <c r="OXB36" s="3"/>
      <c r="OXC36" s="3"/>
      <c r="OXD36" s="3"/>
      <c r="OXE36" s="3"/>
      <c r="OXF36" s="3"/>
      <c r="OXG36" s="3"/>
      <c r="OXH36" s="3"/>
      <c r="OXI36" s="3"/>
      <c r="OXJ36" s="3"/>
      <c r="OXK36" s="3"/>
      <c r="OXL36" s="3"/>
      <c r="OXM36" s="3"/>
      <c r="OXN36" s="3"/>
      <c r="OXO36" s="3"/>
      <c r="OXP36" s="3"/>
      <c r="OXQ36" s="3"/>
      <c r="OXR36" s="3"/>
      <c r="OXS36" s="3"/>
      <c r="OXT36" s="3"/>
      <c r="OXU36" s="3"/>
      <c r="OXV36" s="3"/>
      <c r="OXW36" s="3"/>
      <c r="OXX36" s="3"/>
      <c r="OXY36" s="3"/>
      <c r="OXZ36" s="3"/>
      <c r="OYA36" s="3"/>
      <c r="OYB36" s="3"/>
      <c r="OYC36" s="3"/>
      <c r="OYD36" s="3"/>
      <c r="OYE36" s="3"/>
      <c r="OYF36" s="3"/>
      <c r="OYG36" s="3"/>
      <c r="OYH36" s="3"/>
      <c r="OYI36" s="3"/>
      <c r="OYJ36" s="3"/>
      <c r="OYK36" s="3"/>
      <c r="OYL36" s="3"/>
      <c r="OYM36" s="3"/>
      <c r="OYN36" s="3"/>
      <c r="OYO36" s="3"/>
      <c r="OYP36" s="3"/>
      <c r="OYQ36" s="3"/>
      <c r="OYR36" s="3"/>
      <c r="OYS36" s="3"/>
      <c r="OYT36" s="3"/>
      <c r="OYU36" s="3"/>
      <c r="OYV36" s="3"/>
      <c r="OYW36" s="3"/>
      <c r="OYX36" s="3"/>
      <c r="OYY36" s="3"/>
      <c r="OYZ36" s="3"/>
      <c r="OZA36" s="3"/>
      <c r="OZB36" s="3"/>
      <c r="OZC36" s="3"/>
      <c r="OZD36" s="3"/>
      <c r="OZE36" s="3"/>
      <c r="OZF36" s="3"/>
      <c r="OZG36" s="3"/>
      <c r="OZH36" s="3"/>
      <c r="OZI36" s="3"/>
      <c r="OZJ36" s="3"/>
      <c r="OZK36" s="3"/>
      <c r="OZL36" s="3"/>
      <c r="OZM36" s="3"/>
      <c r="OZN36" s="3"/>
      <c r="OZO36" s="3"/>
      <c r="OZP36" s="3"/>
      <c r="OZQ36" s="3"/>
      <c r="OZR36" s="3"/>
      <c r="OZS36" s="3"/>
      <c r="OZT36" s="3"/>
      <c r="OZU36" s="3"/>
      <c r="OZV36" s="3"/>
      <c r="OZW36" s="3"/>
      <c r="OZX36" s="3"/>
      <c r="OZY36" s="3"/>
      <c r="OZZ36" s="3"/>
      <c r="PAA36" s="3"/>
      <c r="PAB36" s="3"/>
      <c r="PAC36" s="3"/>
      <c r="PAD36" s="3"/>
      <c r="PAE36" s="3"/>
      <c r="PAF36" s="3"/>
      <c r="PAG36" s="3"/>
      <c r="PAH36" s="3"/>
      <c r="PAI36" s="3"/>
      <c r="PAJ36" s="3"/>
      <c r="PAK36" s="3"/>
      <c r="PAL36" s="3"/>
      <c r="PAM36" s="3"/>
      <c r="PAN36" s="3"/>
      <c r="PAO36" s="3"/>
      <c r="PAP36" s="3"/>
      <c r="PAQ36" s="3"/>
      <c r="PAR36" s="3"/>
      <c r="PAS36" s="3"/>
      <c r="PAT36" s="3"/>
      <c r="PAU36" s="3"/>
      <c r="PAV36" s="3"/>
      <c r="PAW36" s="3"/>
      <c r="PAX36" s="3"/>
      <c r="PAY36" s="3"/>
      <c r="PAZ36" s="3"/>
      <c r="PBA36" s="3"/>
      <c r="PBB36" s="3"/>
      <c r="PBC36" s="3"/>
      <c r="PBD36" s="3"/>
      <c r="PBE36" s="3"/>
      <c r="PBF36" s="3"/>
      <c r="PBG36" s="3"/>
      <c r="PBH36" s="3"/>
      <c r="PBI36" s="3"/>
      <c r="PBJ36" s="3"/>
      <c r="PBK36" s="3"/>
      <c r="PBL36" s="3"/>
      <c r="PBM36" s="3"/>
      <c r="PBN36" s="3"/>
      <c r="PBO36" s="3"/>
      <c r="PBP36" s="3"/>
      <c r="PBQ36" s="3"/>
      <c r="PBR36" s="3"/>
      <c r="PBS36" s="3"/>
      <c r="PBT36" s="3"/>
      <c r="PBU36" s="3"/>
      <c r="PBV36" s="3"/>
      <c r="PBW36" s="3"/>
      <c r="PBX36" s="3"/>
      <c r="PBY36" s="3"/>
      <c r="PBZ36" s="3"/>
      <c r="PCA36" s="3"/>
      <c r="PCB36" s="3"/>
      <c r="PCC36" s="3"/>
      <c r="PCD36" s="3"/>
      <c r="PCE36" s="3"/>
      <c r="PCF36" s="3"/>
      <c r="PCG36" s="3"/>
      <c r="PCH36" s="3"/>
      <c r="PCI36" s="3"/>
      <c r="PCJ36" s="3"/>
      <c r="PCK36" s="3"/>
      <c r="PCL36" s="3"/>
      <c r="PCM36" s="3"/>
      <c r="PCN36" s="3"/>
      <c r="PCO36" s="3"/>
      <c r="PCP36" s="3"/>
      <c r="PCQ36" s="3"/>
      <c r="PCR36" s="3"/>
      <c r="PCS36" s="3"/>
      <c r="PCT36" s="3"/>
      <c r="PCU36" s="3"/>
      <c r="PCV36" s="3"/>
      <c r="PCW36" s="3"/>
      <c r="PCX36" s="3"/>
      <c r="PCY36" s="3"/>
      <c r="PCZ36" s="3"/>
      <c r="PDA36" s="3"/>
      <c r="PDB36" s="3"/>
      <c r="PDC36" s="3"/>
      <c r="PDD36" s="3"/>
      <c r="PDE36" s="3"/>
      <c r="PDF36" s="3"/>
      <c r="PDG36" s="3"/>
      <c r="PDH36" s="3"/>
      <c r="PDI36" s="3"/>
      <c r="PDJ36" s="3"/>
      <c r="PDK36" s="3"/>
      <c r="PDL36" s="3"/>
      <c r="PDM36" s="3"/>
      <c r="PDN36" s="3"/>
      <c r="PDO36" s="3"/>
      <c r="PDP36" s="3"/>
      <c r="PDQ36" s="3"/>
      <c r="PDR36" s="3"/>
      <c r="PDS36" s="3"/>
      <c r="PDT36" s="3"/>
      <c r="PDU36" s="3"/>
      <c r="PDV36" s="3"/>
      <c r="PDW36" s="3"/>
      <c r="PDX36" s="3"/>
      <c r="PDY36" s="3"/>
      <c r="PDZ36" s="3"/>
      <c r="PEA36" s="3"/>
      <c r="PEB36" s="3"/>
      <c r="PEC36" s="3"/>
      <c r="PED36" s="3"/>
      <c r="PEE36" s="3"/>
      <c r="PEF36" s="3"/>
      <c r="PEG36" s="3"/>
      <c r="PEH36" s="3"/>
      <c r="PEI36" s="3"/>
      <c r="PEJ36" s="3"/>
      <c r="PEK36" s="3"/>
      <c r="PEL36" s="3"/>
      <c r="PEM36" s="3"/>
      <c r="PEN36" s="3"/>
      <c r="PEO36" s="3"/>
      <c r="PEP36" s="3"/>
      <c r="PEQ36" s="3"/>
      <c r="PER36" s="3"/>
      <c r="PES36" s="3"/>
      <c r="PET36" s="3"/>
      <c r="PEU36" s="3"/>
      <c r="PEV36" s="3"/>
      <c r="PEW36" s="3"/>
      <c r="PEX36" s="3"/>
      <c r="PEY36" s="3"/>
      <c r="PEZ36" s="3"/>
      <c r="PFA36" s="3"/>
      <c r="PFB36" s="3"/>
      <c r="PFC36" s="3"/>
      <c r="PFD36" s="3"/>
      <c r="PFE36" s="3"/>
      <c r="PFF36" s="3"/>
      <c r="PFG36" s="3"/>
      <c r="PFH36" s="3"/>
      <c r="PFI36" s="3"/>
      <c r="PFJ36" s="3"/>
      <c r="PFK36" s="3"/>
      <c r="PFL36" s="3"/>
      <c r="PFM36" s="3"/>
      <c r="PFN36" s="3"/>
      <c r="PFO36" s="3"/>
      <c r="PFP36" s="3"/>
      <c r="PFQ36" s="3"/>
      <c r="PFR36" s="3"/>
      <c r="PFS36" s="3"/>
      <c r="PFT36" s="3"/>
      <c r="PFU36" s="3"/>
      <c r="PFV36" s="3"/>
      <c r="PFW36" s="3"/>
      <c r="PFX36" s="3"/>
      <c r="PFY36" s="3"/>
      <c r="PFZ36" s="3"/>
      <c r="PGA36" s="3"/>
      <c r="PGB36" s="3"/>
      <c r="PGC36" s="3"/>
      <c r="PGD36" s="3"/>
      <c r="PGE36" s="3"/>
      <c r="PGF36" s="3"/>
      <c r="PGG36" s="3"/>
      <c r="PGH36" s="3"/>
      <c r="PGI36" s="3"/>
      <c r="PGJ36" s="3"/>
      <c r="PGK36" s="3"/>
      <c r="PGL36" s="3"/>
      <c r="PGM36" s="3"/>
      <c r="PGN36" s="3"/>
      <c r="PGO36" s="3"/>
      <c r="PGP36" s="3"/>
      <c r="PGQ36" s="3"/>
      <c r="PGR36" s="3"/>
      <c r="PGS36" s="3"/>
      <c r="PGT36" s="3"/>
      <c r="PGU36" s="3"/>
      <c r="PGV36" s="3"/>
      <c r="PGW36" s="3"/>
      <c r="PGX36" s="3"/>
      <c r="PGY36" s="3"/>
      <c r="PGZ36" s="3"/>
      <c r="PHA36" s="3"/>
      <c r="PHB36" s="3"/>
      <c r="PHC36" s="3"/>
      <c r="PHD36" s="3"/>
      <c r="PHE36" s="3"/>
      <c r="PHF36" s="3"/>
      <c r="PHG36" s="3"/>
      <c r="PHH36" s="3"/>
      <c r="PHI36" s="3"/>
      <c r="PHJ36" s="3"/>
      <c r="PHK36" s="3"/>
      <c r="PHL36" s="3"/>
      <c r="PHM36" s="3"/>
      <c r="PHN36" s="3"/>
      <c r="PHO36" s="3"/>
      <c r="PHP36" s="3"/>
      <c r="PHQ36" s="3"/>
      <c r="PHR36" s="3"/>
      <c r="PHS36" s="3"/>
      <c r="PHT36" s="3"/>
      <c r="PHU36" s="3"/>
      <c r="PHV36" s="3"/>
      <c r="PHW36" s="3"/>
      <c r="PHX36" s="3"/>
      <c r="PHY36" s="3"/>
      <c r="PHZ36" s="3"/>
      <c r="PIA36" s="3"/>
      <c r="PIB36" s="3"/>
      <c r="PIC36" s="3"/>
      <c r="PID36" s="3"/>
      <c r="PIE36" s="3"/>
      <c r="PIF36" s="3"/>
      <c r="PIG36" s="3"/>
      <c r="PIH36" s="3"/>
      <c r="PII36" s="3"/>
      <c r="PIJ36" s="3"/>
      <c r="PIK36" s="3"/>
      <c r="PIL36" s="3"/>
      <c r="PIM36" s="3"/>
      <c r="PIN36" s="3"/>
      <c r="PIO36" s="3"/>
      <c r="PIP36" s="3"/>
      <c r="PIQ36" s="3"/>
      <c r="PIR36" s="3"/>
      <c r="PIS36" s="3"/>
      <c r="PIT36" s="3"/>
      <c r="PIU36" s="3"/>
      <c r="PIV36" s="3"/>
      <c r="PIW36" s="3"/>
      <c r="PIX36" s="3"/>
      <c r="PIY36" s="3"/>
      <c r="PIZ36" s="3"/>
      <c r="PJA36" s="3"/>
      <c r="PJB36" s="3"/>
      <c r="PJC36" s="3"/>
      <c r="PJD36" s="3"/>
      <c r="PJE36" s="3"/>
      <c r="PJF36" s="3"/>
      <c r="PJG36" s="3"/>
      <c r="PJH36" s="3"/>
      <c r="PJI36" s="3"/>
      <c r="PJJ36" s="3"/>
      <c r="PJK36" s="3"/>
      <c r="PJL36" s="3"/>
      <c r="PJM36" s="3"/>
      <c r="PJN36" s="3"/>
      <c r="PJO36" s="3"/>
      <c r="PJP36" s="3"/>
      <c r="PJQ36" s="3"/>
      <c r="PJR36" s="3"/>
      <c r="PJS36" s="3"/>
      <c r="PJT36" s="3"/>
      <c r="PJU36" s="3"/>
      <c r="PJV36" s="3"/>
      <c r="PJW36" s="3"/>
      <c r="PJX36" s="3"/>
      <c r="PJY36" s="3"/>
      <c r="PJZ36" s="3"/>
      <c r="PKA36" s="3"/>
      <c r="PKB36" s="3"/>
      <c r="PKC36" s="3"/>
      <c r="PKD36" s="3"/>
      <c r="PKE36" s="3"/>
      <c r="PKF36" s="3"/>
      <c r="PKG36" s="3"/>
      <c r="PKH36" s="3"/>
      <c r="PKI36" s="3"/>
      <c r="PKJ36" s="3"/>
      <c r="PKK36" s="3"/>
      <c r="PKL36" s="3"/>
      <c r="PKM36" s="3"/>
      <c r="PKN36" s="3"/>
      <c r="PKO36" s="3"/>
      <c r="PKP36" s="3"/>
      <c r="PKQ36" s="3"/>
      <c r="PKR36" s="3"/>
      <c r="PKS36" s="3"/>
      <c r="PKT36" s="3"/>
      <c r="PKU36" s="3"/>
      <c r="PKV36" s="3"/>
      <c r="PKW36" s="3"/>
      <c r="PKX36" s="3"/>
      <c r="PKY36" s="3"/>
      <c r="PKZ36" s="3"/>
      <c r="PLA36" s="3"/>
      <c r="PLB36" s="3"/>
      <c r="PLC36" s="3"/>
      <c r="PLD36" s="3"/>
      <c r="PLE36" s="3"/>
      <c r="PLF36" s="3"/>
      <c r="PLG36" s="3"/>
      <c r="PLH36" s="3"/>
      <c r="PLI36" s="3"/>
      <c r="PLJ36" s="3"/>
      <c r="PLK36" s="3"/>
      <c r="PLL36" s="3"/>
      <c r="PLM36" s="3"/>
      <c r="PLN36" s="3"/>
      <c r="PLO36" s="3"/>
      <c r="PLP36" s="3"/>
      <c r="PLQ36" s="3"/>
      <c r="PLR36" s="3"/>
      <c r="PLS36" s="3"/>
      <c r="PLT36" s="3"/>
      <c r="PLU36" s="3"/>
      <c r="PLV36" s="3"/>
      <c r="PLW36" s="3"/>
      <c r="PLX36" s="3"/>
      <c r="PLY36" s="3"/>
      <c r="PLZ36" s="3"/>
      <c r="PMA36" s="3"/>
      <c r="PMB36" s="3"/>
      <c r="PMC36" s="3"/>
      <c r="PMD36" s="3"/>
      <c r="PME36" s="3"/>
      <c r="PMF36" s="3"/>
      <c r="PMG36" s="3"/>
      <c r="PMH36" s="3"/>
      <c r="PMI36" s="3"/>
      <c r="PMJ36" s="3"/>
      <c r="PMK36" s="3"/>
      <c r="PML36" s="3"/>
      <c r="PMM36" s="3"/>
      <c r="PMN36" s="3"/>
      <c r="PMO36" s="3"/>
      <c r="PMP36" s="3"/>
      <c r="PMQ36" s="3"/>
      <c r="PMR36" s="3"/>
      <c r="PMS36" s="3"/>
      <c r="PMT36" s="3"/>
      <c r="PMU36" s="3"/>
      <c r="PMV36" s="3"/>
      <c r="PMW36" s="3"/>
      <c r="PMX36" s="3"/>
      <c r="PMY36" s="3"/>
      <c r="PMZ36" s="3"/>
      <c r="PNA36" s="3"/>
      <c r="PNB36" s="3"/>
      <c r="PNC36" s="3"/>
      <c r="PND36" s="3"/>
      <c r="PNE36" s="3"/>
      <c r="PNF36" s="3"/>
      <c r="PNG36" s="3"/>
      <c r="PNH36" s="3"/>
      <c r="PNI36" s="3"/>
      <c r="PNJ36" s="3"/>
      <c r="PNK36" s="3"/>
      <c r="PNL36" s="3"/>
      <c r="PNM36" s="3"/>
      <c r="PNN36" s="3"/>
      <c r="PNO36" s="3"/>
      <c r="PNP36" s="3"/>
      <c r="PNQ36" s="3"/>
      <c r="PNR36" s="3"/>
      <c r="PNS36" s="3"/>
      <c r="PNT36" s="3"/>
      <c r="PNU36" s="3"/>
      <c r="PNV36" s="3"/>
      <c r="PNW36" s="3"/>
      <c r="PNX36" s="3"/>
      <c r="PNY36" s="3"/>
      <c r="PNZ36" s="3"/>
      <c r="POA36" s="3"/>
      <c r="POB36" s="3"/>
      <c r="POC36" s="3"/>
      <c r="POD36" s="3"/>
      <c r="POE36" s="3"/>
      <c r="POF36" s="3"/>
      <c r="POG36" s="3"/>
      <c r="POH36" s="3"/>
      <c r="POI36" s="3"/>
      <c r="POJ36" s="3"/>
      <c r="POK36" s="3"/>
      <c r="POL36" s="3"/>
      <c r="POM36" s="3"/>
      <c r="PON36" s="3"/>
      <c r="POO36" s="3"/>
      <c r="POP36" s="3"/>
      <c r="POQ36" s="3"/>
      <c r="POR36" s="3"/>
      <c r="POS36" s="3"/>
      <c r="POT36" s="3"/>
      <c r="POU36" s="3"/>
      <c r="POV36" s="3"/>
      <c r="POW36" s="3"/>
      <c r="POX36" s="3"/>
      <c r="POY36" s="3"/>
      <c r="POZ36" s="3"/>
      <c r="PPA36" s="3"/>
      <c r="PPB36" s="3"/>
      <c r="PPC36" s="3"/>
      <c r="PPD36" s="3"/>
      <c r="PPE36" s="3"/>
      <c r="PPF36" s="3"/>
      <c r="PPG36" s="3"/>
      <c r="PPH36" s="3"/>
      <c r="PPI36" s="3"/>
      <c r="PPJ36" s="3"/>
      <c r="PPK36" s="3"/>
      <c r="PPL36" s="3"/>
      <c r="PPM36" s="3"/>
      <c r="PPN36" s="3"/>
      <c r="PPO36" s="3"/>
      <c r="PPP36" s="3"/>
      <c r="PPQ36" s="3"/>
      <c r="PPR36" s="3"/>
      <c r="PPS36" s="3"/>
      <c r="PPT36" s="3"/>
      <c r="PPU36" s="3"/>
      <c r="PPV36" s="3"/>
      <c r="PPW36" s="3"/>
      <c r="PPX36" s="3"/>
      <c r="PPY36" s="3"/>
      <c r="PPZ36" s="3"/>
      <c r="PQA36" s="3"/>
      <c r="PQB36" s="3"/>
      <c r="PQC36" s="3"/>
      <c r="PQD36" s="3"/>
      <c r="PQE36" s="3"/>
      <c r="PQF36" s="3"/>
      <c r="PQG36" s="3"/>
      <c r="PQH36" s="3"/>
      <c r="PQI36" s="3"/>
      <c r="PQJ36" s="3"/>
      <c r="PQK36" s="3"/>
      <c r="PQL36" s="3"/>
      <c r="PQM36" s="3"/>
      <c r="PQN36" s="3"/>
      <c r="PQO36" s="3"/>
      <c r="PQP36" s="3"/>
      <c r="PQQ36" s="3"/>
      <c r="PQR36" s="3"/>
      <c r="PQS36" s="3"/>
      <c r="PQT36" s="3"/>
      <c r="PQU36" s="3"/>
      <c r="PQV36" s="3"/>
      <c r="PQW36" s="3"/>
      <c r="PQX36" s="3"/>
      <c r="PQY36" s="3"/>
      <c r="PQZ36" s="3"/>
      <c r="PRA36" s="3"/>
      <c r="PRB36" s="3"/>
      <c r="PRC36" s="3"/>
      <c r="PRD36" s="3"/>
      <c r="PRE36" s="3"/>
      <c r="PRF36" s="3"/>
      <c r="PRG36" s="3"/>
      <c r="PRH36" s="3"/>
      <c r="PRI36" s="3"/>
      <c r="PRJ36" s="3"/>
      <c r="PRK36" s="3"/>
      <c r="PRL36" s="3"/>
      <c r="PRM36" s="3"/>
      <c r="PRN36" s="3"/>
      <c r="PRO36" s="3"/>
      <c r="PRP36" s="3"/>
      <c r="PRQ36" s="3"/>
      <c r="PRR36" s="3"/>
      <c r="PRS36" s="3"/>
      <c r="PRT36" s="3"/>
      <c r="PRU36" s="3"/>
      <c r="PRV36" s="3"/>
      <c r="PRW36" s="3"/>
      <c r="PRX36" s="3"/>
      <c r="PRY36" s="3"/>
      <c r="PRZ36" s="3"/>
      <c r="PSA36" s="3"/>
      <c r="PSB36" s="3"/>
      <c r="PSC36" s="3"/>
      <c r="PSD36" s="3"/>
      <c r="PSE36" s="3"/>
      <c r="PSF36" s="3"/>
      <c r="PSG36" s="3"/>
      <c r="PSH36" s="3"/>
      <c r="PSI36" s="3"/>
      <c r="PSJ36" s="3"/>
      <c r="PSK36" s="3"/>
      <c r="PSL36" s="3"/>
      <c r="PSM36" s="3"/>
      <c r="PSN36" s="3"/>
      <c r="PSO36" s="3"/>
      <c r="PSP36" s="3"/>
      <c r="PSQ36" s="3"/>
      <c r="PSR36" s="3"/>
      <c r="PSS36" s="3"/>
      <c r="PST36" s="3"/>
      <c r="PSU36" s="3"/>
      <c r="PSV36" s="3"/>
      <c r="PSW36" s="3"/>
      <c r="PSX36" s="3"/>
      <c r="PSY36" s="3"/>
      <c r="PSZ36" s="3"/>
      <c r="PTA36" s="3"/>
      <c r="PTB36" s="3"/>
      <c r="PTC36" s="3"/>
      <c r="PTD36" s="3"/>
      <c r="PTE36" s="3"/>
      <c r="PTF36" s="3"/>
      <c r="PTG36" s="3"/>
      <c r="PTH36" s="3"/>
      <c r="PTI36" s="3"/>
      <c r="PTJ36" s="3"/>
      <c r="PTK36" s="3"/>
      <c r="PTL36" s="3"/>
      <c r="PTM36" s="3"/>
      <c r="PTN36" s="3"/>
      <c r="PTO36" s="3"/>
      <c r="PTP36" s="3"/>
      <c r="PTQ36" s="3"/>
      <c r="PTR36" s="3"/>
      <c r="PTS36" s="3"/>
      <c r="PTT36" s="3"/>
      <c r="PTU36" s="3"/>
      <c r="PTV36" s="3"/>
      <c r="PTW36" s="3"/>
      <c r="PTX36" s="3"/>
      <c r="PTY36" s="3"/>
      <c r="PTZ36" s="3"/>
      <c r="PUA36" s="3"/>
      <c r="PUB36" s="3"/>
      <c r="PUC36" s="3"/>
      <c r="PUD36" s="3"/>
      <c r="PUE36" s="3"/>
      <c r="PUF36" s="3"/>
      <c r="PUG36" s="3"/>
      <c r="PUH36" s="3"/>
      <c r="PUI36" s="3"/>
      <c r="PUJ36" s="3"/>
      <c r="PUK36" s="3"/>
      <c r="PUL36" s="3"/>
      <c r="PUM36" s="3"/>
      <c r="PUN36" s="3"/>
      <c r="PUO36" s="3"/>
      <c r="PUP36" s="3"/>
      <c r="PUQ36" s="3"/>
      <c r="PUR36" s="3"/>
      <c r="PUS36" s="3"/>
      <c r="PUT36" s="3"/>
      <c r="PUU36" s="3"/>
      <c r="PUV36" s="3"/>
      <c r="PUW36" s="3"/>
      <c r="PUX36" s="3"/>
      <c r="PUY36" s="3"/>
      <c r="PUZ36" s="3"/>
      <c r="PVA36" s="3"/>
      <c r="PVB36" s="3"/>
      <c r="PVC36" s="3"/>
      <c r="PVD36" s="3"/>
      <c r="PVE36" s="3"/>
      <c r="PVF36" s="3"/>
      <c r="PVG36" s="3"/>
      <c r="PVH36" s="3"/>
      <c r="PVI36" s="3"/>
      <c r="PVJ36" s="3"/>
      <c r="PVK36" s="3"/>
      <c r="PVL36" s="3"/>
      <c r="PVM36" s="3"/>
      <c r="PVN36" s="3"/>
      <c r="PVO36" s="3"/>
      <c r="PVP36" s="3"/>
      <c r="PVQ36" s="3"/>
      <c r="PVR36" s="3"/>
      <c r="PVS36" s="3"/>
      <c r="PVT36" s="3"/>
      <c r="PVU36" s="3"/>
      <c r="PVV36" s="3"/>
      <c r="PVW36" s="3"/>
      <c r="PVX36" s="3"/>
      <c r="PVY36" s="3"/>
      <c r="PVZ36" s="3"/>
      <c r="PWA36" s="3"/>
      <c r="PWB36" s="3"/>
      <c r="PWC36" s="3"/>
      <c r="PWD36" s="3"/>
      <c r="PWE36" s="3"/>
      <c r="PWF36" s="3"/>
      <c r="PWG36" s="3"/>
      <c r="PWH36" s="3"/>
      <c r="PWI36" s="3"/>
      <c r="PWJ36" s="3"/>
      <c r="PWK36" s="3"/>
      <c r="PWL36" s="3"/>
      <c r="PWM36" s="3"/>
      <c r="PWN36" s="3"/>
      <c r="PWO36" s="3"/>
      <c r="PWP36" s="3"/>
      <c r="PWQ36" s="3"/>
      <c r="PWR36" s="3"/>
      <c r="PWS36" s="3"/>
      <c r="PWT36" s="3"/>
      <c r="PWU36" s="3"/>
      <c r="PWV36" s="3"/>
      <c r="PWW36" s="3"/>
      <c r="PWX36" s="3"/>
      <c r="PWY36" s="3"/>
      <c r="PWZ36" s="3"/>
      <c r="PXA36" s="3"/>
      <c r="PXB36" s="3"/>
      <c r="PXC36" s="3"/>
      <c r="PXD36" s="3"/>
      <c r="PXE36" s="3"/>
      <c r="PXF36" s="3"/>
      <c r="PXG36" s="3"/>
      <c r="PXH36" s="3"/>
      <c r="PXI36" s="3"/>
      <c r="PXJ36" s="3"/>
      <c r="PXK36" s="3"/>
      <c r="PXL36" s="3"/>
      <c r="PXM36" s="3"/>
      <c r="PXN36" s="3"/>
      <c r="PXO36" s="3"/>
      <c r="PXP36" s="3"/>
      <c r="PXQ36" s="3"/>
      <c r="PXR36" s="3"/>
      <c r="PXS36" s="3"/>
      <c r="PXT36" s="3"/>
      <c r="PXU36" s="3"/>
      <c r="PXV36" s="3"/>
      <c r="PXW36" s="3"/>
      <c r="PXX36" s="3"/>
      <c r="PXY36" s="3"/>
      <c r="PXZ36" s="3"/>
      <c r="PYA36" s="3"/>
      <c r="PYB36" s="3"/>
      <c r="PYC36" s="3"/>
      <c r="PYD36" s="3"/>
      <c r="PYE36" s="3"/>
      <c r="PYF36" s="3"/>
      <c r="PYG36" s="3"/>
      <c r="PYH36" s="3"/>
      <c r="PYI36" s="3"/>
      <c r="PYJ36" s="3"/>
      <c r="PYK36" s="3"/>
      <c r="PYL36" s="3"/>
      <c r="PYM36" s="3"/>
      <c r="PYN36" s="3"/>
      <c r="PYO36" s="3"/>
      <c r="PYP36" s="3"/>
      <c r="PYQ36" s="3"/>
      <c r="PYR36" s="3"/>
      <c r="PYS36" s="3"/>
      <c r="PYT36" s="3"/>
      <c r="PYU36" s="3"/>
      <c r="PYV36" s="3"/>
      <c r="PYW36" s="3"/>
      <c r="PYX36" s="3"/>
      <c r="PYY36" s="3"/>
      <c r="PYZ36" s="3"/>
      <c r="PZA36" s="3"/>
      <c r="PZB36" s="3"/>
      <c r="PZC36" s="3"/>
      <c r="PZD36" s="3"/>
      <c r="PZE36" s="3"/>
      <c r="PZF36" s="3"/>
      <c r="PZG36" s="3"/>
      <c r="PZH36" s="3"/>
      <c r="PZI36" s="3"/>
      <c r="PZJ36" s="3"/>
      <c r="PZK36" s="3"/>
      <c r="PZL36" s="3"/>
      <c r="PZM36" s="3"/>
      <c r="PZN36" s="3"/>
      <c r="PZO36" s="3"/>
      <c r="PZP36" s="3"/>
      <c r="PZQ36" s="3"/>
      <c r="PZR36" s="3"/>
      <c r="PZS36" s="3"/>
      <c r="PZT36" s="3"/>
      <c r="PZU36" s="3"/>
      <c r="PZV36" s="3"/>
      <c r="PZW36" s="3"/>
      <c r="PZX36" s="3"/>
      <c r="PZY36" s="3"/>
      <c r="PZZ36" s="3"/>
      <c r="QAA36" s="3"/>
      <c r="QAB36" s="3"/>
      <c r="QAC36" s="3"/>
      <c r="QAD36" s="3"/>
      <c r="QAE36" s="3"/>
      <c r="QAF36" s="3"/>
      <c r="QAG36" s="3"/>
      <c r="QAH36" s="3"/>
      <c r="QAI36" s="3"/>
      <c r="QAJ36" s="3"/>
      <c r="QAK36" s="3"/>
      <c r="QAL36" s="3"/>
      <c r="QAM36" s="3"/>
      <c r="QAN36" s="3"/>
      <c r="QAO36" s="3"/>
      <c r="QAP36" s="3"/>
      <c r="QAQ36" s="3"/>
      <c r="QAR36" s="3"/>
      <c r="QAS36" s="3"/>
      <c r="QAT36" s="3"/>
      <c r="QAU36" s="3"/>
      <c r="QAV36" s="3"/>
      <c r="QAW36" s="3"/>
      <c r="QAX36" s="3"/>
      <c r="QAY36" s="3"/>
      <c r="QAZ36" s="3"/>
      <c r="QBA36" s="3"/>
      <c r="QBB36" s="3"/>
      <c r="QBC36" s="3"/>
      <c r="QBD36" s="3"/>
      <c r="QBE36" s="3"/>
      <c r="QBF36" s="3"/>
      <c r="QBG36" s="3"/>
      <c r="QBH36" s="3"/>
      <c r="QBI36" s="3"/>
      <c r="QBJ36" s="3"/>
      <c r="QBK36" s="3"/>
      <c r="QBL36" s="3"/>
      <c r="QBM36" s="3"/>
      <c r="QBN36" s="3"/>
      <c r="QBO36" s="3"/>
      <c r="QBP36" s="3"/>
      <c r="QBQ36" s="3"/>
      <c r="QBR36" s="3"/>
      <c r="QBS36" s="3"/>
      <c r="QBT36" s="3"/>
      <c r="QBU36" s="3"/>
      <c r="QBV36" s="3"/>
      <c r="QBW36" s="3"/>
      <c r="QBX36" s="3"/>
      <c r="QBY36" s="3"/>
      <c r="QBZ36" s="3"/>
      <c r="QCA36" s="3"/>
      <c r="QCB36" s="3"/>
      <c r="QCC36" s="3"/>
      <c r="QCD36" s="3"/>
      <c r="QCE36" s="3"/>
      <c r="QCF36" s="3"/>
      <c r="QCG36" s="3"/>
      <c r="QCH36" s="3"/>
      <c r="QCI36" s="3"/>
      <c r="QCJ36" s="3"/>
      <c r="QCK36" s="3"/>
      <c r="QCL36" s="3"/>
      <c r="QCM36" s="3"/>
      <c r="QCN36" s="3"/>
      <c r="QCO36" s="3"/>
      <c r="QCP36" s="3"/>
      <c r="QCQ36" s="3"/>
      <c r="QCR36" s="3"/>
      <c r="QCS36" s="3"/>
      <c r="QCT36" s="3"/>
      <c r="QCU36" s="3"/>
      <c r="QCV36" s="3"/>
      <c r="QCW36" s="3"/>
      <c r="QCX36" s="3"/>
      <c r="QCY36" s="3"/>
      <c r="QCZ36" s="3"/>
      <c r="QDA36" s="3"/>
      <c r="QDB36" s="3"/>
      <c r="QDC36" s="3"/>
      <c r="QDD36" s="3"/>
      <c r="QDE36" s="3"/>
      <c r="QDF36" s="3"/>
      <c r="QDG36" s="3"/>
      <c r="QDH36" s="3"/>
      <c r="QDI36" s="3"/>
      <c r="QDJ36" s="3"/>
      <c r="QDK36" s="3"/>
      <c r="QDL36" s="3"/>
      <c r="QDM36" s="3"/>
      <c r="QDN36" s="3"/>
      <c r="QDO36" s="3"/>
      <c r="QDP36" s="3"/>
      <c r="QDQ36" s="3"/>
      <c r="QDR36" s="3"/>
      <c r="QDS36" s="3"/>
      <c r="QDT36" s="3"/>
      <c r="QDU36" s="3"/>
      <c r="QDV36" s="3"/>
      <c r="QDW36" s="3"/>
      <c r="QDX36" s="3"/>
      <c r="QDY36" s="3"/>
      <c r="QDZ36" s="3"/>
      <c r="QEA36" s="3"/>
      <c r="QEB36" s="3"/>
      <c r="QEC36" s="3"/>
      <c r="QED36" s="3"/>
      <c r="QEE36" s="3"/>
      <c r="QEF36" s="3"/>
      <c r="QEG36" s="3"/>
      <c r="QEH36" s="3"/>
      <c r="QEI36" s="3"/>
      <c r="QEJ36" s="3"/>
      <c r="QEK36" s="3"/>
      <c r="QEL36" s="3"/>
      <c r="QEM36" s="3"/>
      <c r="QEN36" s="3"/>
      <c r="QEO36" s="3"/>
      <c r="QEP36" s="3"/>
      <c r="QEQ36" s="3"/>
      <c r="QER36" s="3"/>
      <c r="QES36" s="3"/>
      <c r="QET36" s="3"/>
      <c r="QEU36" s="3"/>
      <c r="QEV36" s="3"/>
      <c r="QEW36" s="3"/>
      <c r="QEX36" s="3"/>
      <c r="QEY36" s="3"/>
      <c r="QEZ36" s="3"/>
      <c r="QFA36" s="3"/>
      <c r="QFB36" s="3"/>
      <c r="QFC36" s="3"/>
      <c r="QFD36" s="3"/>
      <c r="QFE36" s="3"/>
      <c r="QFF36" s="3"/>
      <c r="QFG36" s="3"/>
      <c r="QFH36" s="3"/>
      <c r="QFI36" s="3"/>
      <c r="QFJ36" s="3"/>
      <c r="QFK36" s="3"/>
      <c r="QFL36" s="3"/>
      <c r="QFM36" s="3"/>
      <c r="QFN36" s="3"/>
      <c r="QFO36" s="3"/>
      <c r="QFP36" s="3"/>
      <c r="QFQ36" s="3"/>
      <c r="QFR36" s="3"/>
      <c r="QFS36" s="3"/>
      <c r="QFT36" s="3"/>
      <c r="QFU36" s="3"/>
      <c r="QFV36" s="3"/>
      <c r="QFW36" s="3"/>
      <c r="QFX36" s="3"/>
      <c r="QFY36" s="3"/>
      <c r="QFZ36" s="3"/>
      <c r="QGA36" s="3"/>
      <c r="QGB36" s="3"/>
      <c r="QGC36" s="3"/>
      <c r="QGD36" s="3"/>
      <c r="QGE36" s="3"/>
      <c r="QGF36" s="3"/>
      <c r="QGG36" s="3"/>
      <c r="QGH36" s="3"/>
      <c r="QGI36" s="3"/>
      <c r="QGJ36" s="3"/>
      <c r="QGK36" s="3"/>
      <c r="QGL36" s="3"/>
      <c r="QGM36" s="3"/>
      <c r="QGN36" s="3"/>
      <c r="QGO36" s="3"/>
      <c r="QGP36" s="3"/>
      <c r="QGQ36" s="3"/>
      <c r="QGR36" s="3"/>
      <c r="QGS36" s="3"/>
      <c r="QGT36" s="3"/>
      <c r="QGU36" s="3"/>
      <c r="QGV36" s="3"/>
      <c r="QGW36" s="3"/>
      <c r="QGX36" s="3"/>
      <c r="QGY36" s="3"/>
      <c r="QGZ36" s="3"/>
      <c r="QHA36" s="3"/>
      <c r="QHB36" s="3"/>
      <c r="QHC36" s="3"/>
      <c r="QHD36" s="3"/>
      <c r="QHE36" s="3"/>
      <c r="QHF36" s="3"/>
      <c r="QHG36" s="3"/>
      <c r="QHH36" s="3"/>
      <c r="QHI36" s="3"/>
      <c r="QHJ36" s="3"/>
      <c r="QHK36" s="3"/>
      <c r="QHL36" s="3"/>
      <c r="QHM36" s="3"/>
      <c r="QHN36" s="3"/>
      <c r="QHO36" s="3"/>
      <c r="QHP36" s="3"/>
      <c r="QHQ36" s="3"/>
      <c r="QHR36" s="3"/>
      <c r="QHS36" s="3"/>
      <c r="QHT36" s="3"/>
      <c r="QHU36" s="3"/>
      <c r="QHV36" s="3"/>
      <c r="QHW36" s="3"/>
      <c r="QHX36" s="3"/>
      <c r="QHY36" s="3"/>
      <c r="QHZ36" s="3"/>
      <c r="QIA36" s="3"/>
      <c r="QIB36" s="3"/>
      <c r="QIC36" s="3"/>
      <c r="QID36" s="3"/>
      <c r="QIE36" s="3"/>
      <c r="QIF36" s="3"/>
      <c r="QIG36" s="3"/>
      <c r="QIH36" s="3"/>
      <c r="QII36" s="3"/>
      <c r="QIJ36" s="3"/>
      <c r="QIK36" s="3"/>
      <c r="QIL36" s="3"/>
      <c r="QIM36" s="3"/>
      <c r="QIN36" s="3"/>
      <c r="QIO36" s="3"/>
      <c r="QIP36" s="3"/>
      <c r="QIQ36" s="3"/>
      <c r="QIR36" s="3"/>
      <c r="QIS36" s="3"/>
      <c r="QIT36" s="3"/>
      <c r="QIU36" s="3"/>
      <c r="QIV36" s="3"/>
      <c r="QIW36" s="3"/>
      <c r="QIX36" s="3"/>
      <c r="QIY36" s="3"/>
      <c r="QIZ36" s="3"/>
      <c r="QJA36" s="3"/>
      <c r="QJB36" s="3"/>
      <c r="QJC36" s="3"/>
      <c r="QJD36" s="3"/>
      <c r="QJE36" s="3"/>
      <c r="QJF36" s="3"/>
      <c r="QJG36" s="3"/>
      <c r="QJH36" s="3"/>
      <c r="QJI36" s="3"/>
      <c r="QJJ36" s="3"/>
      <c r="QJK36" s="3"/>
      <c r="QJL36" s="3"/>
      <c r="QJM36" s="3"/>
      <c r="QJN36" s="3"/>
      <c r="QJO36" s="3"/>
      <c r="QJP36" s="3"/>
      <c r="QJQ36" s="3"/>
      <c r="QJR36" s="3"/>
      <c r="QJS36" s="3"/>
      <c r="QJT36" s="3"/>
      <c r="QJU36" s="3"/>
      <c r="QJV36" s="3"/>
      <c r="QJW36" s="3"/>
      <c r="QJX36" s="3"/>
      <c r="QJY36" s="3"/>
      <c r="QJZ36" s="3"/>
      <c r="QKA36" s="3"/>
      <c r="QKB36" s="3"/>
      <c r="QKC36" s="3"/>
      <c r="QKD36" s="3"/>
      <c r="QKE36" s="3"/>
      <c r="QKF36" s="3"/>
      <c r="QKG36" s="3"/>
      <c r="QKH36" s="3"/>
      <c r="QKI36" s="3"/>
      <c r="QKJ36" s="3"/>
      <c r="QKK36" s="3"/>
      <c r="QKL36" s="3"/>
      <c r="QKM36" s="3"/>
      <c r="QKN36" s="3"/>
      <c r="QKO36" s="3"/>
      <c r="QKP36" s="3"/>
      <c r="QKQ36" s="3"/>
      <c r="QKR36" s="3"/>
      <c r="QKS36" s="3"/>
      <c r="QKT36" s="3"/>
      <c r="QKU36" s="3"/>
      <c r="QKV36" s="3"/>
      <c r="QKW36" s="3"/>
      <c r="QKX36" s="3"/>
      <c r="QKY36" s="3"/>
      <c r="QKZ36" s="3"/>
      <c r="QLA36" s="3"/>
      <c r="QLB36" s="3"/>
      <c r="QLC36" s="3"/>
      <c r="QLD36" s="3"/>
      <c r="QLE36" s="3"/>
      <c r="QLF36" s="3"/>
      <c r="QLG36" s="3"/>
      <c r="QLH36" s="3"/>
      <c r="QLI36" s="3"/>
      <c r="QLJ36" s="3"/>
      <c r="QLK36" s="3"/>
      <c r="QLL36" s="3"/>
      <c r="QLM36" s="3"/>
      <c r="QLN36" s="3"/>
      <c r="QLO36" s="3"/>
      <c r="QLP36" s="3"/>
      <c r="QLQ36" s="3"/>
      <c r="QLR36" s="3"/>
      <c r="QLS36" s="3"/>
      <c r="QLT36" s="3"/>
      <c r="QLU36" s="3"/>
      <c r="QLV36" s="3"/>
      <c r="QLW36" s="3"/>
      <c r="QLX36" s="3"/>
      <c r="QLY36" s="3"/>
      <c r="QLZ36" s="3"/>
      <c r="QMA36" s="3"/>
      <c r="QMB36" s="3"/>
      <c r="QMC36" s="3"/>
      <c r="QMD36" s="3"/>
      <c r="QME36" s="3"/>
      <c r="QMF36" s="3"/>
      <c r="QMG36" s="3"/>
      <c r="QMH36" s="3"/>
      <c r="QMI36" s="3"/>
      <c r="QMJ36" s="3"/>
      <c r="QMK36" s="3"/>
      <c r="QML36" s="3"/>
      <c r="QMM36" s="3"/>
      <c r="QMN36" s="3"/>
      <c r="QMO36" s="3"/>
      <c r="QMP36" s="3"/>
      <c r="QMQ36" s="3"/>
      <c r="QMR36" s="3"/>
      <c r="QMS36" s="3"/>
      <c r="QMT36" s="3"/>
      <c r="QMU36" s="3"/>
      <c r="QMV36" s="3"/>
      <c r="QMW36" s="3"/>
      <c r="QMX36" s="3"/>
      <c r="QMY36" s="3"/>
      <c r="QMZ36" s="3"/>
      <c r="QNA36" s="3"/>
      <c r="QNB36" s="3"/>
      <c r="QNC36" s="3"/>
      <c r="QND36" s="3"/>
      <c r="QNE36" s="3"/>
      <c r="QNF36" s="3"/>
      <c r="QNG36" s="3"/>
      <c r="QNH36" s="3"/>
      <c r="QNI36" s="3"/>
      <c r="QNJ36" s="3"/>
      <c r="QNK36" s="3"/>
      <c r="QNL36" s="3"/>
      <c r="QNM36" s="3"/>
      <c r="QNN36" s="3"/>
      <c r="QNO36" s="3"/>
      <c r="QNP36" s="3"/>
      <c r="QNQ36" s="3"/>
      <c r="QNR36" s="3"/>
      <c r="QNS36" s="3"/>
      <c r="QNT36" s="3"/>
      <c r="QNU36" s="3"/>
      <c r="QNV36" s="3"/>
      <c r="QNW36" s="3"/>
      <c r="QNX36" s="3"/>
      <c r="QNY36" s="3"/>
      <c r="QNZ36" s="3"/>
      <c r="QOA36" s="3"/>
      <c r="QOB36" s="3"/>
      <c r="QOC36" s="3"/>
      <c r="QOD36" s="3"/>
      <c r="QOE36" s="3"/>
      <c r="QOF36" s="3"/>
      <c r="QOG36" s="3"/>
      <c r="QOH36" s="3"/>
      <c r="QOI36" s="3"/>
      <c r="QOJ36" s="3"/>
      <c r="QOK36" s="3"/>
      <c r="QOL36" s="3"/>
      <c r="QOM36" s="3"/>
      <c r="QON36" s="3"/>
      <c r="QOO36" s="3"/>
      <c r="QOP36" s="3"/>
      <c r="QOQ36" s="3"/>
      <c r="QOR36" s="3"/>
      <c r="QOS36" s="3"/>
      <c r="QOT36" s="3"/>
      <c r="QOU36" s="3"/>
      <c r="QOV36" s="3"/>
      <c r="QOW36" s="3"/>
      <c r="QOX36" s="3"/>
      <c r="QOY36" s="3"/>
      <c r="QOZ36" s="3"/>
      <c r="QPA36" s="3"/>
      <c r="QPB36" s="3"/>
      <c r="QPC36" s="3"/>
      <c r="QPD36" s="3"/>
      <c r="QPE36" s="3"/>
      <c r="QPF36" s="3"/>
      <c r="QPG36" s="3"/>
      <c r="QPH36" s="3"/>
      <c r="QPI36" s="3"/>
      <c r="QPJ36" s="3"/>
      <c r="QPK36" s="3"/>
      <c r="QPL36" s="3"/>
      <c r="QPM36" s="3"/>
      <c r="QPN36" s="3"/>
      <c r="QPO36" s="3"/>
      <c r="QPP36" s="3"/>
      <c r="QPQ36" s="3"/>
      <c r="QPR36" s="3"/>
      <c r="QPS36" s="3"/>
      <c r="QPT36" s="3"/>
      <c r="QPU36" s="3"/>
      <c r="QPV36" s="3"/>
      <c r="QPW36" s="3"/>
      <c r="QPX36" s="3"/>
      <c r="QPY36" s="3"/>
      <c r="QPZ36" s="3"/>
      <c r="QQA36" s="3"/>
      <c r="QQB36" s="3"/>
      <c r="QQC36" s="3"/>
      <c r="QQD36" s="3"/>
      <c r="QQE36" s="3"/>
      <c r="QQF36" s="3"/>
      <c r="QQG36" s="3"/>
      <c r="QQH36" s="3"/>
      <c r="QQI36" s="3"/>
      <c r="QQJ36" s="3"/>
      <c r="QQK36" s="3"/>
      <c r="QQL36" s="3"/>
      <c r="QQM36" s="3"/>
      <c r="QQN36" s="3"/>
      <c r="QQO36" s="3"/>
      <c r="QQP36" s="3"/>
      <c r="QQQ36" s="3"/>
      <c r="QQR36" s="3"/>
      <c r="QQS36" s="3"/>
      <c r="QQT36" s="3"/>
      <c r="QQU36" s="3"/>
      <c r="QQV36" s="3"/>
      <c r="QQW36" s="3"/>
      <c r="QQX36" s="3"/>
      <c r="QQY36" s="3"/>
      <c r="QQZ36" s="3"/>
      <c r="QRA36" s="3"/>
      <c r="QRB36" s="3"/>
      <c r="QRC36" s="3"/>
      <c r="QRD36" s="3"/>
      <c r="QRE36" s="3"/>
      <c r="QRF36" s="3"/>
      <c r="QRG36" s="3"/>
      <c r="QRH36" s="3"/>
      <c r="QRI36" s="3"/>
      <c r="QRJ36" s="3"/>
      <c r="QRK36" s="3"/>
      <c r="QRL36" s="3"/>
      <c r="QRM36" s="3"/>
      <c r="QRN36" s="3"/>
      <c r="QRO36" s="3"/>
      <c r="QRP36" s="3"/>
      <c r="QRQ36" s="3"/>
      <c r="QRR36" s="3"/>
      <c r="QRS36" s="3"/>
      <c r="QRT36" s="3"/>
      <c r="QRU36" s="3"/>
      <c r="QRV36" s="3"/>
      <c r="QRW36" s="3"/>
      <c r="QRX36" s="3"/>
      <c r="QRY36" s="3"/>
      <c r="QRZ36" s="3"/>
      <c r="QSA36" s="3"/>
      <c r="QSB36" s="3"/>
      <c r="QSC36" s="3"/>
      <c r="QSD36" s="3"/>
      <c r="QSE36" s="3"/>
      <c r="QSF36" s="3"/>
      <c r="QSG36" s="3"/>
      <c r="QSH36" s="3"/>
      <c r="QSI36" s="3"/>
      <c r="QSJ36" s="3"/>
      <c r="QSK36" s="3"/>
      <c r="QSL36" s="3"/>
      <c r="QSM36" s="3"/>
      <c r="QSN36" s="3"/>
      <c r="QSO36" s="3"/>
      <c r="QSP36" s="3"/>
      <c r="QSQ36" s="3"/>
      <c r="QSR36" s="3"/>
      <c r="QSS36" s="3"/>
      <c r="QST36" s="3"/>
      <c r="QSU36" s="3"/>
      <c r="QSV36" s="3"/>
      <c r="QSW36" s="3"/>
      <c r="QSX36" s="3"/>
      <c r="QSY36" s="3"/>
      <c r="QSZ36" s="3"/>
      <c r="QTA36" s="3"/>
      <c r="QTB36" s="3"/>
      <c r="QTC36" s="3"/>
      <c r="QTD36" s="3"/>
      <c r="QTE36" s="3"/>
      <c r="QTF36" s="3"/>
      <c r="QTG36" s="3"/>
      <c r="QTH36" s="3"/>
      <c r="QTI36" s="3"/>
      <c r="QTJ36" s="3"/>
      <c r="QTK36" s="3"/>
      <c r="QTL36" s="3"/>
      <c r="QTM36" s="3"/>
      <c r="QTN36" s="3"/>
      <c r="QTO36" s="3"/>
      <c r="QTP36" s="3"/>
      <c r="QTQ36" s="3"/>
      <c r="QTR36" s="3"/>
      <c r="QTS36" s="3"/>
      <c r="QTT36" s="3"/>
      <c r="QTU36" s="3"/>
      <c r="QTV36" s="3"/>
      <c r="QTW36" s="3"/>
      <c r="QTX36" s="3"/>
      <c r="QTY36" s="3"/>
      <c r="QTZ36" s="3"/>
      <c r="QUA36" s="3"/>
      <c r="QUB36" s="3"/>
      <c r="QUC36" s="3"/>
      <c r="QUD36" s="3"/>
      <c r="QUE36" s="3"/>
      <c r="QUF36" s="3"/>
      <c r="QUG36" s="3"/>
      <c r="QUH36" s="3"/>
      <c r="QUI36" s="3"/>
      <c r="QUJ36" s="3"/>
      <c r="QUK36" s="3"/>
      <c r="QUL36" s="3"/>
      <c r="QUM36" s="3"/>
      <c r="QUN36" s="3"/>
      <c r="QUO36" s="3"/>
      <c r="QUP36" s="3"/>
      <c r="QUQ36" s="3"/>
      <c r="QUR36" s="3"/>
      <c r="QUS36" s="3"/>
      <c r="QUT36" s="3"/>
      <c r="QUU36" s="3"/>
      <c r="QUV36" s="3"/>
      <c r="QUW36" s="3"/>
      <c r="QUX36" s="3"/>
      <c r="QUY36" s="3"/>
      <c r="QUZ36" s="3"/>
      <c r="QVA36" s="3"/>
      <c r="QVB36" s="3"/>
      <c r="QVC36" s="3"/>
      <c r="QVD36" s="3"/>
      <c r="QVE36" s="3"/>
      <c r="QVF36" s="3"/>
      <c r="QVG36" s="3"/>
      <c r="QVH36" s="3"/>
      <c r="QVI36" s="3"/>
      <c r="QVJ36" s="3"/>
      <c r="QVK36" s="3"/>
      <c r="QVL36" s="3"/>
      <c r="QVM36" s="3"/>
      <c r="QVN36" s="3"/>
      <c r="QVO36" s="3"/>
      <c r="QVP36" s="3"/>
      <c r="QVQ36" s="3"/>
      <c r="QVR36" s="3"/>
      <c r="QVS36" s="3"/>
      <c r="QVT36" s="3"/>
      <c r="QVU36" s="3"/>
      <c r="QVV36" s="3"/>
      <c r="QVW36" s="3"/>
      <c r="QVX36" s="3"/>
      <c r="QVY36" s="3"/>
      <c r="QVZ36" s="3"/>
      <c r="QWA36" s="3"/>
      <c r="QWB36" s="3"/>
      <c r="QWC36" s="3"/>
      <c r="QWD36" s="3"/>
      <c r="QWE36" s="3"/>
      <c r="QWF36" s="3"/>
      <c r="QWG36" s="3"/>
      <c r="QWH36" s="3"/>
      <c r="QWI36" s="3"/>
      <c r="QWJ36" s="3"/>
      <c r="QWK36" s="3"/>
      <c r="QWL36" s="3"/>
      <c r="QWM36" s="3"/>
      <c r="QWN36" s="3"/>
      <c r="QWO36" s="3"/>
      <c r="QWP36" s="3"/>
      <c r="QWQ36" s="3"/>
      <c r="QWR36" s="3"/>
      <c r="QWS36" s="3"/>
      <c r="QWT36" s="3"/>
      <c r="QWU36" s="3"/>
      <c r="QWV36" s="3"/>
      <c r="QWW36" s="3"/>
      <c r="QWX36" s="3"/>
      <c r="QWY36" s="3"/>
      <c r="QWZ36" s="3"/>
      <c r="QXA36" s="3"/>
      <c r="QXB36" s="3"/>
      <c r="QXC36" s="3"/>
      <c r="QXD36" s="3"/>
      <c r="QXE36" s="3"/>
      <c r="QXF36" s="3"/>
      <c r="QXG36" s="3"/>
      <c r="QXH36" s="3"/>
      <c r="QXI36" s="3"/>
      <c r="QXJ36" s="3"/>
      <c r="QXK36" s="3"/>
      <c r="QXL36" s="3"/>
      <c r="QXM36" s="3"/>
      <c r="QXN36" s="3"/>
      <c r="QXO36" s="3"/>
      <c r="QXP36" s="3"/>
      <c r="QXQ36" s="3"/>
      <c r="QXR36" s="3"/>
      <c r="QXS36" s="3"/>
      <c r="QXT36" s="3"/>
      <c r="QXU36" s="3"/>
      <c r="QXV36" s="3"/>
      <c r="QXW36" s="3"/>
      <c r="QXX36" s="3"/>
      <c r="QXY36" s="3"/>
      <c r="QXZ36" s="3"/>
      <c r="QYA36" s="3"/>
      <c r="QYB36" s="3"/>
      <c r="QYC36" s="3"/>
      <c r="QYD36" s="3"/>
      <c r="QYE36" s="3"/>
      <c r="QYF36" s="3"/>
      <c r="QYG36" s="3"/>
      <c r="QYH36" s="3"/>
      <c r="QYI36" s="3"/>
      <c r="QYJ36" s="3"/>
      <c r="QYK36" s="3"/>
      <c r="QYL36" s="3"/>
      <c r="QYM36" s="3"/>
      <c r="QYN36" s="3"/>
      <c r="QYO36" s="3"/>
      <c r="QYP36" s="3"/>
      <c r="QYQ36" s="3"/>
      <c r="QYR36" s="3"/>
      <c r="QYS36" s="3"/>
      <c r="QYT36" s="3"/>
      <c r="QYU36" s="3"/>
      <c r="QYV36" s="3"/>
      <c r="QYW36" s="3"/>
      <c r="QYX36" s="3"/>
      <c r="QYY36" s="3"/>
      <c r="QYZ36" s="3"/>
      <c r="QZA36" s="3"/>
      <c r="QZB36" s="3"/>
      <c r="QZC36" s="3"/>
      <c r="QZD36" s="3"/>
      <c r="QZE36" s="3"/>
      <c r="QZF36" s="3"/>
      <c r="QZG36" s="3"/>
      <c r="QZH36" s="3"/>
      <c r="QZI36" s="3"/>
      <c r="QZJ36" s="3"/>
      <c r="QZK36" s="3"/>
      <c r="QZL36" s="3"/>
      <c r="QZM36" s="3"/>
      <c r="QZN36" s="3"/>
      <c r="QZO36" s="3"/>
      <c r="QZP36" s="3"/>
      <c r="QZQ36" s="3"/>
      <c r="QZR36" s="3"/>
      <c r="QZS36" s="3"/>
      <c r="QZT36" s="3"/>
      <c r="QZU36" s="3"/>
      <c r="QZV36" s="3"/>
      <c r="QZW36" s="3"/>
      <c r="QZX36" s="3"/>
      <c r="QZY36" s="3"/>
      <c r="QZZ36" s="3"/>
      <c r="RAA36" s="3"/>
      <c r="RAB36" s="3"/>
      <c r="RAC36" s="3"/>
      <c r="RAD36" s="3"/>
      <c r="RAE36" s="3"/>
      <c r="RAF36" s="3"/>
      <c r="RAG36" s="3"/>
      <c r="RAH36" s="3"/>
      <c r="RAI36" s="3"/>
      <c r="RAJ36" s="3"/>
      <c r="RAK36" s="3"/>
      <c r="RAL36" s="3"/>
      <c r="RAM36" s="3"/>
      <c r="RAN36" s="3"/>
      <c r="RAO36" s="3"/>
      <c r="RAP36" s="3"/>
      <c r="RAQ36" s="3"/>
      <c r="RAR36" s="3"/>
      <c r="RAS36" s="3"/>
      <c r="RAT36" s="3"/>
      <c r="RAU36" s="3"/>
      <c r="RAV36" s="3"/>
      <c r="RAW36" s="3"/>
      <c r="RAX36" s="3"/>
      <c r="RAY36" s="3"/>
      <c r="RAZ36" s="3"/>
      <c r="RBA36" s="3"/>
      <c r="RBB36" s="3"/>
      <c r="RBC36" s="3"/>
      <c r="RBD36" s="3"/>
      <c r="RBE36" s="3"/>
      <c r="RBF36" s="3"/>
      <c r="RBG36" s="3"/>
      <c r="RBH36" s="3"/>
      <c r="RBI36" s="3"/>
      <c r="RBJ36" s="3"/>
      <c r="RBK36" s="3"/>
      <c r="RBL36" s="3"/>
      <c r="RBM36" s="3"/>
      <c r="RBN36" s="3"/>
      <c r="RBO36" s="3"/>
      <c r="RBP36" s="3"/>
      <c r="RBQ36" s="3"/>
      <c r="RBR36" s="3"/>
      <c r="RBS36" s="3"/>
      <c r="RBT36" s="3"/>
      <c r="RBU36" s="3"/>
      <c r="RBV36" s="3"/>
      <c r="RBW36" s="3"/>
      <c r="RBX36" s="3"/>
      <c r="RBY36" s="3"/>
      <c r="RBZ36" s="3"/>
      <c r="RCA36" s="3"/>
      <c r="RCB36" s="3"/>
      <c r="RCC36" s="3"/>
      <c r="RCD36" s="3"/>
      <c r="RCE36" s="3"/>
      <c r="RCF36" s="3"/>
      <c r="RCG36" s="3"/>
      <c r="RCH36" s="3"/>
      <c r="RCI36" s="3"/>
      <c r="RCJ36" s="3"/>
      <c r="RCK36" s="3"/>
      <c r="RCL36" s="3"/>
      <c r="RCM36" s="3"/>
      <c r="RCN36" s="3"/>
      <c r="RCO36" s="3"/>
      <c r="RCP36" s="3"/>
      <c r="RCQ36" s="3"/>
      <c r="RCR36" s="3"/>
      <c r="RCS36" s="3"/>
      <c r="RCT36" s="3"/>
      <c r="RCU36" s="3"/>
      <c r="RCV36" s="3"/>
      <c r="RCW36" s="3"/>
      <c r="RCX36" s="3"/>
      <c r="RCY36" s="3"/>
      <c r="RCZ36" s="3"/>
      <c r="RDA36" s="3"/>
      <c r="RDB36" s="3"/>
      <c r="RDC36" s="3"/>
      <c r="RDD36" s="3"/>
      <c r="RDE36" s="3"/>
      <c r="RDF36" s="3"/>
      <c r="RDG36" s="3"/>
      <c r="RDH36" s="3"/>
      <c r="RDI36" s="3"/>
      <c r="RDJ36" s="3"/>
      <c r="RDK36" s="3"/>
      <c r="RDL36" s="3"/>
      <c r="RDM36" s="3"/>
      <c r="RDN36" s="3"/>
      <c r="RDO36" s="3"/>
      <c r="RDP36" s="3"/>
      <c r="RDQ36" s="3"/>
      <c r="RDR36" s="3"/>
      <c r="RDS36" s="3"/>
      <c r="RDT36" s="3"/>
      <c r="RDU36" s="3"/>
      <c r="RDV36" s="3"/>
      <c r="RDW36" s="3"/>
      <c r="RDX36" s="3"/>
      <c r="RDY36" s="3"/>
      <c r="RDZ36" s="3"/>
      <c r="REA36" s="3"/>
      <c r="REB36" s="3"/>
      <c r="REC36" s="3"/>
      <c r="RED36" s="3"/>
      <c r="REE36" s="3"/>
      <c r="REF36" s="3"/>
      <c r="REG36" s="3"/>
      <c r="REH36" s="3"/>
      <c r="REI36" s="3"/>
      <c r="REJ36" s="3"/>
      <c r="REK36" s="3"/>
      <c r="REL36" s="3"/>
      <c r="REM36" s="3"/>
      <c r="REN36" s="3"/>
      <c r="REO36" s="3"/>
      <c r="REP36" s="3"/>
      <c r="REQ36" s="3"/>
      <c r="RER36" s="3"/>
      <c r="RES36" s="3"/>
      <c r="RET36" s="3"/>
      <c r="REU36" s="3"/>
      <c r="REV36" s="3"/>
      <c r="REW36" s="3"/>
      <c r="REX36" s="3"/>
      <c r="REY36" s="3"/>
      <c r="REZ36" s="3"/>
      <c r="RFA36" s="3"/>
      <c r="RFB36" s="3"/>
      <c r="RFC36" s="3"/>
      <c r="RFD36" s="3"/>
      <c r="RFE36" s="3"/>
      <c r="RFF36" s="3"/>
      <c r="RFG36" s="3"/>
      <c r="RFH36" s="3"/>
      <c r="RFI36" s="3"/>
      <c r="RFJ36" s="3"/>
      <c r="RFK36" s="3"/>
      <c r="RFL36" s="3"/>
      <c r="RFM36" s="3"/>
      <c r="RFN36" s="3"/>
      <c r="RFO36" s="3"/>
      <c r="RFP36" s="3"/>
      <c r="RFQ36" s="3"/>
      <c r="RFR36" s="3"/>
      <c r="RFS36" s="3"/>
      <c r="RFT36" s="3"/>
      <c r="RFU36" s="3"/>
      <c r="RFV36" s="3"/>
      <c r="RFW36" s="3"/>
      <c r="RFX36" s="3"/>
      <c r="RFY36" s="3"/>
      <c r="RFZ36" s="3"/>
      <c r="RGA36" s="3"/>
      <c r="RGB36" s="3"/>
      <c r="RGC36" s="3"/>
      <c r="RGD36" s="3"/>
      <c r="RGE36" s="3"/>
      <c r="RGF36" s="3"/>
      <c r="RGG36" s="3"/>
      <c r="RGH36" s="3"/>
      <c r="RGI36" s="3"/>
      <c r="RGJ36" s="3"/>
      <c r="RGK36" s="3"/>
      <c r="RGL36" s="3"/>
      <c r="RGM36" s="3"/>
      <c r="RGN36" s="3"/>
      <c r="RGO36" s="3"/>
      <c r="RGP36" s="3"/>
      <c r="RGQ36" s="3"/>
      <c r="RGR36" s="3"/>
      <c r="RGS36" s="3"/>
      <c r="RGT36" s="3"/>
      <c r="RGU36" s="3"/>
      <c r="RGV36" s="3"/>
      <c r="RGW36" s="3"/>
      <c r="RGX36" s="3"/>
      <c r="RGY36" s="3"/>
      <c r="RGZ36" s="3"/>
      <c r="RHA36" s="3"/>
      <c r="RHB36" s="3"/>
      <c r="RHC36" s="3"/>
      <c r="RHD36" s="3"/>
      <c r="RHE36" s="3"/>
      <c r="RHF36" s="3"/>
      <c r="RHG36" s="3"/>
      <c r="RHH36" s="3"/>
      <c r="RHI36" s="3"/>
      <c r="RHJ36" s="3"/>
      <c r="RHK36" s="3"/>
      <c r="RHL36" s="3"/>
      <c r="RHM36" s="3"/>
      <c r="RHN36" s="3"/>
      <c r="RHO36" s="3"/>
      <c r="RHP36" s="3"/>
      <c r="RHQ36" s="3"/>
      <c r="RHR36" s="3"/>
      <c r="RHS36" s="3"/>
      <c r="RHT36" s="3"/>
      <c r="RHU36" s="3"/>
      <c r="RHV36" s="3"/>
      <c r="RHW36" s="3"/>
      <c r="RHX36" s="3"/>
      <c r="RHY36" s="3"/>
      <c r="RHZ36" s="3"/>
      <c r="RIA36" s="3"/>
      <c r="RIB36" s="3"/>
      <c r="RIC36" s="3"/>
      <c r="RID36" s="3"/>
      <c r="RIE36" s="3"/>
      <c r="RIF36" s="3"/>
      <c r="RIG36" s="3"/>
      <c r="RIH36" s="3"/>
      <c r="RII36" s="3"/>
      <c r="RIJ36" s="3"/>
      <c r="RIK36" s="3"/>
      <c r="RIL36" s="3"/>
      <c r="RIM36" s="3"/>
      <c r="RIN36" s="3"/>
      <c r="RIO36" s="3"/>
      <c r="RIP36" s="3"/>
      <c r="RIQ36" s="3"/>
      <c r="RIR36" s="3"/>
      <c r="RIS36" s="3"/>
      <c r="RIT36" s="3"/>
      <c r="RIU36" s="3"/>
      <c r="RIV36" s="3"/>
      <c r="RIW36" s="3"/>
      <c r="RIX36" s="3"/>
      <c r="RIY36" s="3"/>
      <c r="RIZ36" s="3"/>
      <c r="RJA36" s="3"/>
      <c r="RJB36" s="3"/>
      <c r="RJC36" s="3"/>
      <c r="RJD36" s="3"/>
      <c r="RJE36" s="3"/>
      <c r="RJF36" s="3"/>
      <c r="RJG36" s="3"/>
      <c r="RJH36" s="3"/>
      <c r="RJI36" s="3"/>
      <c r="RJJ36" s="3"/>
      <c r="RJK36" s="3"/>
      <c r="RJL36" s="3"/>
      <c r="RJM36" s="3"/>
      <c r="RJN36" s="3"/>
      <c r="RJO36" s="3"/>
      <c r="RJP36" s="3"/>
      <c r="RJQ36" s="3"/>
      <c r="RJR36" s="3"/>
      <c r="RJS36" s="3"/>
      <c r="RJT36" s="3"/>
      <c r="RJU36" s="3"/>
      <c r="RJV36" s="3"/>
      <c r="RJW36" s="3"/>
      <c r="RJX36" s="3"/>
      <c r="RJY36" s="3"/>
      <c r="RJZ36" s="3"/>
      <c r="RKA36" s="3"/>
      <c r="RKB36" s="3"/>
      <c r="RKC36" s="3"/>
      <c r="RKD36" s="3"/>
      <c r="RKE36" s="3"/>
      <c r="RKF36" s="3"/>
      <c r="RKG36" s="3"/>
      <c r="RKH36" s="3"/>
      <c r="RKI36" s="3"/>
      <c r="RKJ36" s="3"/>
      <c r="RKK36" s="3"/>
      <c r="RKL36" s="3"/>
      <c r="RKM36" s="3"/>
      <c r="RKN36" s="3"/>
      <c r="RKO36" s="3"/>
      <c r="RKP36" s="3"/>
      <c r="RKQ36" s="3"/>
      <c r="RKR36" s="3"/>
      <c r="RKS36" s="3"/>
      <c r="RKT36" s="3"/>
      <c r="RKU36" s="3"/>
      <c r="RKV36" s="3"/>
      <c r="RKW36" s="3"/>
      <c r="RKX36" s="3"/>
      <c r="RKY36" s="3"/>
      <c r="RKZ36" s="3"/>
      <c r="RLA36" s="3"/>
      <c r="RLB36" s="3"/>
      <c r="RLC36" s="3"/>
      <c r="RLD36" s="3"/>
      <c r="RLE36" s="3"/>
      <c r="RLF36" s="3"/>
      <c r="RLG36" s="3"/>
      <c r="RLH36" s="3"/>
      <c r="RLI36" s="3"/>
      <c r="RLJ36" s="3"/>
      <c r="RLK36" s="3"/>
      <c r="RLL36" s="3"/>
      <c r="RLM36" s="3"/>
      <c r="RLN36" s="3"/>
      <c r="RLO36" s="3"/>
      <c r="RLP36" s="3"/>
      <c r="RLQ36" s="3"/>
      <c r="RLR36" s="3"/>
      <c r="RLS36" s="3"/>
      <c r="RLT36" s="3"/>
      <c r="RLU36" s="3"/>
      <c r="RLV36" s="3"/>
      <c r="RLW36" s="3"/>
      <c r="RLX36" s="3"/>
      <c r="RLY36" s="3"/>
      <c r="RLZ36" s="3"/>
      <c r="RMA36" s="3"/>
      <c r="RMB36" s="3"/>
      <c r="RMC36" s="3"/>
      <c r="RMD36" s="3"/>
      <c r="RME36" s="3"/>
      <c r="RMF36" s="3"/>
      <c r="RMG36" s="3"/>
      <c r="RMH36" s="3"/>
      <c r="RMI36" s="3"/>
      <c r="RMJ36" s="3"/>
      <c r="RMK36" s="3"/>
      <c r="RML36" s="3"/>
      <c r="RMM36" s="3"/>
      <c r="RMN36" s="3"/>
      <c r="RMO36" s="3"/>
      <c r="RMP36" s="3"/>
      <c r="RMQ36" s="3"/>
      <c r="RMR36" s="3"/>
      <c r="RMS36" s="3"/>
      <c r="RMT36" s="3"/>
      <c r="RMU36" s="3"/>
      <c r="RMV36" s="3"/>
      <c r="RMW36" s="3"/>
      <c r="RMX36" s="3"/>
      <c r="RMY36" s="3"/>
      <c r="RMZ36" s="3"/>
      <c r="RNA36" s="3"/>
      <c r="RNB36" s="3"/>
      <c r="RNC36" s="3"/>
      <c r="RND36" s="3"/>
      <c r="RNE36" s="3"/>
      <c r="RNF36" s="3"/>
      <c r="RNG36" s="3"/>
      <c r="RNH36" s="3"/>
      <c r="RNI36" s="3"/>
      <c r="RNJ36" s="3"/>
      <c r="RNK36" s="3"/>
      <c r="RNL36" s="3"/>
      <c r="RNM36" s="3"/>
      <c r="RNN36" s="3"/>
      <c r="RNO36" s="3"/>
      <c r="RNP36" s="3"/>
      <c r="RNQ36" s="3"/>
      <c r="RNR36" s="3"/>
      <c r="RNS36" s="3"/>
      <c r="RNT36" s="3"/>
      <c r="RNU36" s="3"/>
      <c r="RNV36" s="3"/>
      <c r="RNW36" s="3"/>
      <c r="RNX36" s="3"/>
      <c r="RNY36" s="3"/>
      <c r="RNZ36" s="3"/>
      <c r="ROA36" s="3"/>
      <c r="ROB36" s="3"/>
      <c r="ROC36" s="3"/>
      <c r="ROD36" s="3"/>
      <c r="ROE36" s="3"/>
      <c r="ROF36" s="3"/>
      <c r="ROG36" s="3"/>
      <c r="ROH36" s="3"/>
      <c r="ROI36" s="3"/>
      <c r="ROJ36" s="3"/>
      <c r="ROK36" s="3"/>
      <c r="ROL36" s="3"/>
      <c r="ROM36" s="3"/>
      <c r="RON36" s="3"/>
      <c r="ROO36" s="3"/>
      <c r="ROP36" s="3"/>
      <c r="ROQ36" s="3"/>
      <c r="ROR36" s="3"/>
      <c r="ROS36" s="3"/>
      <c r="ROT36" s="3"/>
      <c r="ROU36" s="3"/>
      <c r="ROV36" s="3"/>
      <c r="ROW36" s="3"/>
      <c r="ROX36" s="3"/>
      <c r="ROY36" s="3"/>
      <c r="ROZ36" s="3"/>
      <c r="RPA36" s="3"/>
      <c r="RPB36" s="3"/>
      <c r="RPC36" s="3"/>
      <c r="RPD36" s="3"/>
      <c r="RPE36" s="3"/>
      <c r="RPF36" s="3"/>
      <c r="RPG36" s="3"/>
      <c r="RPH36" s="3"/>
      <c r="RPI36" s="3"/>
      <c r="RPJ36" s="3"/>
      <c r="RPK36" s="3"/>
      <c r="RPL36" s="3"/>
      <c r="RPM36" s="3"/>
      <c r="RPN36" s="3"/>
      <c r="RPO36" s="3"/>
      <c r="RPP36" s="3"/>
      <c r="RPQ36" s="3"/>
      <c r="RPR36" s="3"/>
      <c r="RPS36" s="3"/>
      <c r="RPT36" s="3"/>
      <c r="RPU36" s="3"/>
      <c r="RPV36" s="3"/>
      <c r="RPW36" s="3"/>
      <c r="RPX36" s="3"/>
      <c r="RPY36" s="3"/>
      <c r="RPZ36" s="3"/>
      <c r="RQA36" s="3"/>
      <c r="RQB36" s="3"/>
      <c r="RQC36" s="3"/>
      <c r="RQD36" s="3"/>
      <c r="RQE36" s="3"/>
      <c r="RQF36" s="3"/>
      <c r="RQG36" s="3"/>
      <c r="RQH36" s="3"/>
      <c r="RQI36" s="3"/>
      <c r="RQJ36" s="3"/>
      <c r="RQK36" s="3"/>
      <c r="RQL36" s="3"/>
      <c r="RQM36" s="3"/>
      <c r="RQN36" s="3"/>
      <c r="RQO36" s="3"/>
      <c r="RQP36" s="3"/>
      <c r="RQQ36" s="3"/>
      <c r="RQR36" s="3"/>
      <c r="RQS36" s="3"/>
      <c r="RQT36" s="3"/>
      <c r="RQU36" s="3"/>
      <c r="RQV36" s="3"/>
      <c r="RQW36" s="3"/>
      <c r="RQX36" s="3"/>
      <c r="RQY36" s="3"/>
      <c r="RQZ36" s="3"/>
      <c r="RRA36" s="3"/>
      <c r="RRB36" s="3"/>
      <c r="RRC36" s="3"/>
      <c r="RRD36" s="3"/>
      <c r="RRE36" s="3"/>
      <c r="RRF36" s="3"/>
      <c r="RRG36" s="3"/>
      <c r="RRH36" s="3"/>
      <c r="RRI36" s="3"/>
      <c r="RRJ36" s="3"/>
      <c r="RRK36" s="3"/>
      <c r="RRL36" s="3"/>
      <c r="RRM36" s="3"/>
      <c r="RRN36" s="3"/>
      <c r="RRO36" s="3"/>
      <c r="RRP36" s="3"/>
      <c r="RRQ36" s="3"/>
      <c r="RRR36" s="3"/>
      <c r="RRS36" s="3"/>
      <c r="RRT36" s="3"/>
      <c r="RRU36" s="3"/>
      <c r="RRV36" s="3"/>
      <c r="RRW36" s="3"/>
      <c r="RRX36" s="3"/>
      <c r="RRY36" s="3"/>
      <c r="RRZ36" s="3"/>
      <c r="RSA36" s="3"/>
      <c r="RSB36" s="3"/>
      <c r="RSC36" s="3"/>
      <c r="RSD36" s="3"/>
      <c r="RSE36" s="3"/>
      <c r="RSF36" s="3"/>
      <c r="RSG36" s="3"/>
      <c r="RSH36" s="3"/>
      <c r="RSI36" s="3"/>
      <c r="RSJ36" s="3"/>
      <c r="RSK36" s="3"/>
      <c r="RSL36" s="3"/>
      <c r="RSM36" s="3"/>
      <c r="RSN36" s="3"/>
      <c r="RSO36" s="3"/>
      <c r="RSP36" s="3"/>
      <c r="RSQ36" s="3"/>
      <c r="RSR36" s="3"/>
      <c r="RSS36" s="3"/>
      <c r="RST36" s="3"/>
      <c r="RSU36" s="3"/>
      <c r="RSV36" s="3"/>
      <c r="RSW36" s="3"/>
      <c r="RSX36" s="3"/>
      <c r="RSY36" s="3"/>
      <c r="RSZ36" s="3"/>
      <c r="RTA36" s="3"/>
      <c r="RTB36" s="3"/>
      <c r="RTC36" s="3"/>
      <c r="RTD36" s="3"/>
      <c r="RTE36" s="3"/>
      <c r="RTF36" s="3"/>
      <c r="RTG36" s="3"/>
      <c r="RTH36" s="3"/>
      <c r="RTI36" s="3"/>
      <c r="RTJ36" s="3"/>
      <c r="RTK36" s="3"/>
      <c r="RTL36" s="3"/>
      <c r="RTM36" s="3"/>
      <c r="RTN36" s="3"/>
      <c r="RTO36" s="3"/>
      <c r="RTP36" s="3"/>
      <c r="RTQ36" s="3"/>
      <c r="RTR36" s="3"/>
      <c r="RTS36" s="3"/>
      <c r="RTT36" s="3"/>
      <c r="RTU36" s="3"/>
      <c r="RTV36" s="3"/>
      <c r="RTW36" s="3"/>
      <c r="RTX36" s="3"/>
      <c r="RTY36" s="3"/>
      <c r="RTZ36" s="3"/>
      <c r="RUA36" s="3"/>
      <c r="RUB36" s="3"/>
      <c r="RUC36" s="3"/>
      <c r="RUD36" s="3"/>
      <c r="RUE36" s="3"/>
      <c r="RUF36" s="3"/>
      <c r="RUG36" s="3"/>
      <c r="RUH36" s="3"/>
      <c r="RUI36" s="3"/>
      <c r="RUJ36" s="3"/>
      <c r="RUK36" s="3"/>
      <c r="RUL36" s="3"/>
      <c r="RUM36" s="3"/>
      <c r="RUN36" s="3"/>
      <c r="RUO36" s="3"/>
      <c r="RUP36" s="3"/>
      <c r="RUQ36" s="3"/>
      <c r="RUR36" s="3"/>
      <c r="RUS36" s="3"/>
      <c r="RUT36" s="3"/>
      <c r="RUU36" s="3"/>
      <c r="RUV36" s="3"/>
      <c r="RUW36" s="3"/>
      <c r="RUX36" s="3"/>
      <c r="RUY36" s="3"/>
      <c r="RUZ36" s="3"/>
      <c r="RVA36" s="3"/>
      <c r="RVB36" s="3"/>
      <c r="RVC36" s="3"/>
      <c r="RVD36" s="3"/>
      <c r="RVE36" s="3"/>
      <c r="RVF36" s="3"/>
      <c r="RVG36" s="3"/>
      <c r="RVH36" s="3"/>
      <c r="RVI36" s="3"/>
      <c r="RVJ36" s="3"/>
      <c r="RVK36" s="3"/>
      <c r="RVL36" s="3"/>
      <c r="RVM36" s="3"/>
      <c r="RVN36" s="3"/>
      <c r="RVO36" s="3"/>
      <c r="RVP36" s="3"/>
      <c r="RVQ36" s="3"/>
      <c r="RVR36" s="3"/>
      <c r="RVS36" s="3"/>
      <c r="RVT36" s="3"/>
      <c r="RVU36" s="3"/>
      <c r="RVV36" s="3"/>
      <c r="RVW36" s="3"/>
      <c r="RVX36" s="3"/>
      <c r="RVY36" s="3"/>
      <c r="RVZ36" s="3"/>
      <c r="RWA36" s="3"/>
      <c r="RWB36" s="3"/>
      <c r="RWC36" s="3"/>
      <c r="RWD36" s="3"/>
      <c r="RWE36" s="3"/>
      <c r="RWF36" s="3"/>
      <c r="RWG36" s="3"/>
      <c r="RWH36" s="3"/>
      <c r="RWI36" s="3"/>
      <c r="RWJ36" s="3"/>
      <c r="RWK36" s="3"/>
      <c r="RWL36" s="3"/>
      <c r="RWM36" s="3"/>
      <c r="RWN36" s="3"/>
      <c r="RWO36" s="3"/>
      <c r="RWP36" s="3"/>
      <c r="RWQ36" s="3"/>
      <c r="RWR36" s="3"/>
      <c r="RWS36" s="3"/>
      <c r="RWT36" s="3"/>
      <c r="RWU36" s="3"/>
      <c r="RWV36" s="3"/>
      <c r="RWW36" s="3"/>
      <c r="RWX36" s="3"/>
      <c r="RWY36" s="3"/>
      <c r="RWZ36" s="3"/>
      <c r="RXA36" s="3"/>
      <c r="RXB36" s="3"/>
      <c r="RXC36" s="3"/>
      <c r="RXD36" s="3"/>
      <c r="RXE36" s="3"/>
      <c r="RXF36" s="3"/>
      <c r="RXG36" s="3"/>
      <c r="RXH36" s="3"/>
      <c r="RXI36" s="3"/>
      <c r="RXJ36" s="3"/>
      <c r="RXK36" s="3"/>
      <c r="RXL36" s="3"/>
      <c r="RXM36" s="3"/>
      <c r="RXN36" s="3"/>
      <c r="RXO36" s="3"/>
      <c r="RXP36" s="3"/>
      <c r="RXQ36" s="3"/>
      <c r="RXR36" s="3"/>
      <c r="RXS36" s="3"/>
      <c r="RXT36" s="3"/>
      <c r="RXU36" s="3"/>
      <c r="RXV36" s="3"/>
      <c r="RXW36" s="3"/>
      <c r="RXX36" s="3"/>
      <c r="RXY36" s="3"/>
      <c r="RXZ36" s="3"/>
      <c r="RYA36" s="3"/>
      <c r="RYB36" s="3"/>
      <c r="RYC36" s="3"/>
      <c r="RYD36" s="3"/>
      <c r="RYE36" s="3"/>
      <c r="RYF36" s="3"/>
      <c r="RYG36" s="3"/>
      <c r="RYH36" s="3"/>
      <c r="RYI36" s="3"/>
      <c r="RYJ36" s="3"/>
      <c r="RYK36" s="3"/>
      <c r="RYL36" s="3"/>
      <c r="RYM36" s="3"/>
      <c r="RYN36" s="3"/>
      <c r="RYO36" s="3"/>
      <c r="RYP36" s="3"/>
      <c r="RYQ36" s="3"/>
      <c r="RYR36" s="3"/>
      <c r="RYS36" s="3"/>
      <c r="RYT36" s="3"/>
      <c r="RYU36" s="3"/>
      <c r="RYV36" s="3"/>
      <c r="RYW36" s="3"/>
      <c r="RYX36" s="3"/>
      <c r="RYY36" s="3"/>
      <c r="RYZ36" s="3"/>
      <c r="RZA36" s="3"/>
      <c r="RZB36" s="3"/>
      <c r="RZC36" s="3"/>
      <c r="RZD36" s="3"/>
      <c r="RZE36" s="3"/>
      <c r="RZF36" s="3"/>
      <c r="RZG36" s="3"/>
      <c r="RZH36" s="3"/>
      <c r="RZI36" s="3"/>
      <c r="RZJ36" s="3"/>
      <c r="RZK36" s="3"/>
      <c r="RZL36" s="3"/>
      <c r="RZM36" s="3"/>
      <c r="RZN36" s="3"/>
      <c r="RZO36" s="3"/>
      <c r="RZP36" s="3"/>
      <c r="RZQ36" s="3"/>
      <c r="RZR36" s="3"/>
      <c r="RZS36" s="3"/>
      <c r="RZT36" s="3"/>
      <c r="RZU36" s="3"/>
      <c r="RZV36" s="3"/>
      <c r="RZW36" s="3"/>
      <c r="RZX36" s="3"/>
      <c r="RZY36" s="3"/>
      <c r="RZZ36" s="3"/>
      <c r="SAA36" s="3"/>
      <c r="SAB36" s="3"/>
      <c r="SAC36" s="3"/>
      <c r="SAD36" s="3"/>
      <c r="SAE36" s="3"/>
      <c r="SAF36" s="3"/>
      <c r="SAG36" s="3"/>
      <c r="SAH36" s="3"/>
      <c r="SAI36" s="3"/>
      <c r="SAJ36" s="3"/>
      <c r="SAK36" s="3"/>
      <c r="SAL36" s="3"/>
      <c r="SAM36" s="3"/>
      <c r="SAN36" s="3"/>
      <c r="SAO36" s="3"/>
      <c r="SAP36" s="3"/>
      <c r="SAQ36" s="3"/>
      <c r="SAR36" s="3"/>
      <c r="SAS36" s="3"/>
      <c r="SAT36" s="3"/>
      <c r="SAU36" s="3"/>
      <c r="SAV36" s="3"/>
      <c r="SAW36" s="3"/>
      <c r="SAX36" s="3"/>
      <c r="SAY36" s="3"/>
      <c r="SAZ36" s="3"/>
      <c r="SBA36" s="3"/>
      <c r="SBB36" s="3"/>
      <c r="SBC36" s="3"/>
      <c r="SBD36" s="3"/>
      <c r="SBE36" s="3"/>
      <c r="SBF36" s="3"/>
      <c r="SBG36" s="3"/>
      <c r="SBH36" s="3"/>
      <c r="SBI36" s="3"/>
      <c r="SBJ36" s="3"/>
      <c r="SBK36" s="3"/>
      <c r="SBL36" s="3"/>
      <c r="SBM36" s="3"/>
      <c r="SBN36" s="3"/>
      <c r="SBO36" s="3"/>
      <c r="SBP36" s="3"/>
      <c r="SBQ36" s="3"/>
      <c r="SBR36" s="3"/>
      <c r="SBS36" s="3"/>
      <c r="SBT36" s="3"/>
      <c r="SBU36" s="3"/>
      <c r="SBV36" s="3"/>
      <c r="SBW36" s="3"/>
      <c r="SBX36" s="3"/>
      <c r="SBY36" s="3"/>
      <c r="SBZ36" s="3"/>
      <c r="SCA36" s="3"/>
      <c r="SCB36" s="3"/>
      <c r="SCC36" s="3"/>
      <c r="SCD36" s="3"/>
      <c r="SCE36" s="3"/>
      <c r="SCF36" s="3"/>
      <c r="SCG36" s="3"/>
      <c r="SCH36" s="3"/>
      <c r="SCI36" s="3"/>
      <c r="SCJ36" s="3"/>
      <c r="SCK36" s="3"/>
      <c r="SCL36" s="3"/>
      <c r="SCM36" s="3"/>
      <c r="SCN36" s="3"/>
      <c r="SCO36" s="3"/>
      <c r="SCP36" s="3"/>
      <c r="SCQ36" s="3"/>
      <c r="SCR36" s="3"/>
      <c r="SCS36" s="3"/>
      <c r="SCT36" s="3"/>
      <c r="SCU36" s="3"/>
      <c r="SCV36" s="3"/>
      <c r="SCW36" s="3"/>
      <c r="SCX36" s="3"/>
      <c r="SCY36" s="3"/>
      <c r="SCZ36" s="3"/>
      <c r="SDA36" s="3"/>
      <c r="SDB36" s="3"/>
      <c r="SDC36" s="3"/>
      <c r="SDD36" s="3"/>
      <c r="SDE36" s="3"/>
      <c r="SDF36" s="3"/>
      <c r="SDG36" s="3"/>
      <c r="SDH36" s="3"/>
      <c r="SDI36" s="3"/>
      <c r="SDJ36" s="3"/>
      <c r="SDK36" s="3"/>
      <c r="SDL36" s="3"/>
      <c r="SDM36" s="3"/>
      <c r="SDN36" s="3"/>
      <c r="SDO36" s="3"/>
      <c r="SDP36" s="3"/>
      <c r="SDQ36" s="3"/>
      <c r="SDR36" s="3"/>
      <c r="SDS36" s="3"/>
      <c r="SDT36" s="3"/>
      <c r="SDU36" s="3"/>
      <c r="SDV36" s="3"/>
      <c r="SDW36" s="3"/>
      <c r="SDX36" s="3"/>
      <c r="SDY36" s="3"/>
      <c r="SDZ36" s="3"/>
      <c r="SEA36" s="3"/>
      <c r="SEB36" s="3"/>
      <c r="SEC36" s="3"/>
      <c r="SED36" s="3"/>
      <c r="SEE36" s="3"/>
      <c r="SEF36" s="3"/>
      <c r="SEG36" s="3"/>
      <c r="SEH36" s="3"/>
      <c r="SEI36" s="3"/>
      <c r="SEJ36" s="3"/>
      <c r="SEK36" s="3"/>
      <c r="SEL36" s="3"/>
      <c r="SEM36" s="3"/>
      <c r="SEN36" s="3"/>
      <c r="SEO36" s="3"/>
      <c r="SEP36" s="3"/>
      <c r="SEQ36" s="3"/>
      <c r="SER36" s="3"/>
      <c r="SES36" s="3"/>
      <c r="SET36" s="3"/>
      <c r="SEU36" s="3"/>
      <c r="SEV36" s="3"/>
      <c r="SEW36" s="3"/>
      <c r="SEX36" s="3"/>
      <c r="SEY36" s="3"/>
      <c r="SEZ36" s="3"/>
      <c r="SFA36" s="3"/>
      <c r="SFB36" s="3"/>
      <c r="SFC36" s="3"/>
      <c r="SFD36" s="3"/>
      <c r="SFE36" s="3"/>
      <c r="SFF36" s="3"/>
      <c r="SFG36" s="3"/>
      <c r="SFH36" s="3"/>
      <c r="SFI36" s="3"/>
      <c r="SFJ36" s="3"/>
      <c r="SFK36" s="3"/>
      <c r="SFL36" s="3"/>
      <c r="SFM36" s="3"/>
      <c r="SFN36" s="3"/>
      <c r="SFO36" s="3"/>
      <c r="SFP36" s="3"/>
      <c r="SFQ36" s="3"/>
      <c r="SFR36" s="3"/>
      <c r="SFS36" s="3"/>
      <c r="SFT36" s="3"/>
      <c r="SFU36" s="3"/>
      <c r="SFV36" s="3"/>
      <c r="SFW36" s="3"/>
      <c r="SFX36" s="3"/>
      <c r="SFY36" s="3"/>
      <c r="SFZ36" s="3"/>
      <c r="SGA36" s="3"/>
      <c r="SGB36" s="3"/>
      <c r="SGC36" s="3"/>
      <c r="SGD36" s="3"/>
      <c r="SGE36" s="3"/>
      <c r="SGF36" s="3"/>
      <c r="SGG36" s="3"/>
      <c r="SGH36" s="3"/>
      <c r="SGI36" s="3"/>
      <c r="SGJ36" s="3"/>
      <c r="SGK36" s="3"/>
      <c r="SGL36" s="3"/>
      <c r="SGM36" s="3"/>
      <c r="SGN36" s="3"/>
      <c r="SGO36" s="3"/>
      <c r="SGP36" s="3"/>
      <c r="SGQ36" s="3"/>
      <c r="SGR36" s="3"/>
      <c r="SGS36" s="3"/>
      <c r="SGT36" s="3"/>
      <c r="SGU36" s="3"/>
      <c r="SGV36" s="3"/>
      <c r="SGW36" s="3"/>
      <c r="SGX36" s="3"/>
      <c r="SGY36" s="3"/>
      <c r="SGZ36" s="3"/>
      <c r="SHA36" s="3"/>
      <c r="SHB36" s="3"/>
      <c r="SHC36" s="3"/>
      <c r="SHD36" s="3"/>
      <c r="SHE36" s="3"/>
      <c r="SHF36" s="3"/>
      <c r="SHG36" s="3"/>
      <c r="SHH36" s="3"/>
      <c r="SHI36" s="3"/>
      <c r="SHJ36" s="3"/>
      <c r="SHK36" s="3"/>
      <c r="SHL36" s="3"/>
      <c r="SHM36" s="3"/>
      <c r="SHN36" s="3"/>
      <c r="SHO36" s="3"/>
      <c r="SHP36" s="3"/>
      <c r="SHQ36" s="3"/>
      <c r="SHR36" s="3"/>
      <c r="SHS36" s="3"/>
      <c r="SHT36" s="3"/>
      <c r="SHU36" s="3"/>
      <c r="SHV36" s="3"/>
      <c r="SHW36" s="3"/>
      <c r="SHX36" s="3"/>
      <c r="SHY36" s="3"/>
      <c r="SHZ36" s="3"/>
      <c r="SIA36" s="3"/>
      <c r="SIB36" s="3"/>
      <c r="SIC36" s="3"/>
      <c r="SID36" s="3"/>
      <c r="SIE36" s="3"/>
      <c r="SIF36" s="3"/>
      <c r="SIG36" s="3"/>
      <c r="SIH36" s="3"/>
      <c r="SII36" s="3"/>
      <c r="SIJ36" s="3"/>
      <c r="SIK36" s="3"/>
      <c r="SIL36" s="3"/>
      <c r="SIM36" s="3"/>
      <c r="SIN36" s="3"/>
      <c r="SIO36" s="3"/>
      <c r="SIP36" s="3"/>
      <c r="SIQ36" s="3"/>
      <c r="SIR36" s="3"/>
      <c r="SIS36" s="3"/>
      <c r="SIT36" s="3"/>
      <c r="SIU36" s="3"/>
      <c r="SIV36" s="3"/>
      <c r="SIW36" s="3"/>
      <c r="SIX36" s="3"/>
      <c r="SIY36" s="3"/>
      <c r="SIZ36" s="3"/>
      <c r="SJA36" s="3"/>
      <c r="SJB36" s="3"/>
      <c r="SJC36" s="3"/>
      <c r="SJD36" s="3"/>
      <c r="SJE36" s="3"/>
      <c r="SJF36" s="3"/>
      <c r="SJG36" s="3"/>
      <c r="SJH36" s="3"/>
      <c r="SJI36" s="3"/>
      <c r="SJJ36" s="3"/>
      <c r="SJK36" s="3"/>
      <c r="SJL36" s="3"/>
      <c r="SJM36" s="3"/>
      <c r="SJN36" s="3"/>
      <c r="SJO36" s="3"/>
      <c r="SJP36" s="3"/>
      <c r="SJQ36" s="3"/>
      <c r="SJR36" s="3"/>
      <c r="SJS36" s="3"/>
      <c r="SJT36" s="3"/>
      <c r="SJU36" s="3"/>
      <c r="SJV36" s="3"/>
      <c r="SJW36" s="3"/>
      <c r="SJX36" s="3"/>
      <c r="SJY36" s="3"/>
      <c r="SJZ36" s="3"/>
      <c r="SKA36" s="3"/>
      <c r="SKB36" s="3"/>
      <c r="SKC36" s="3"/>
      <c r="SKD36" s="3"/>
      <c r="SKE36" s="3"/>
      <c r="SKF36" s="3"/>
      <c r="SKG36" s="3"/>
      <c r="SKH36" s="3"/>
      <c r="SKI36" s="3"/>
      <c r="SKJ36" s="3"/>
      <c r="SKK36" s="3"/>
      <c r="SKL36" s="3"/>
      <c r="SKM36" s="3"/>
      <c r="SKN36" s="3"/>
      <c r="SKO36" s="3"/>
      <c r="SKP36" s="3"/>
      <c r="SKQ36" s="3"/>
      <c r="SKR36" s="3"/>
      <c r="SKS36" s="3"/>
      <c r="SKT36" s="3"/>
      <c r="SKU36" s="3"/>
      <c r="SKV36" s="3"/>
      <c r="SKW36" s="3"/>
      <c r="SKX36" s="3"/>
      <c r="SKY36" s="3"/>
      <c r="SKZ36" s="3"/>
      <c r="SLA36" s="3"/>
      <c r="SLB36" s="3"/>
      <c r="SLC36" s="3"/>
      <c r="SLD36" s="3"/>
      <c r="SLE36" s="3"/>
      <c r="SLF36" s="3"/>
      <c r="SLG36" s="3"/>
      <c r="SLH36" s="3"/>
      <c r="SLI36" s="3"/>
      <c r="SLJ36" s="3"/>
      <c r="SLK36" s="3"/>
      <c r="SLL36" s="3"/>
      <c r="SLM36" s="3"/>
      <c r="SLN36" s="3"/>
      <c r="SLO36" s="3"/>
      <c r="SLP36" s="3"/>
      <c r="SLQ36" s="3"/>
      <c r="SLR36" s="3"/>
      <c r="SLS36" s="3"/>
      <c r="SLT36" s="3"/>
      <c r="SLU36" s="3"/>
      <c r="SLV36" s="3"/>
      <c r="SLW36" s="3"/>
      <c r="SLX36" s="3"/>
      <c r="SLY36" s="3"/>
      <c r="SLZ36" s="3"/>
      <c r="SMA36" s="3"/>
      <c r="SMB36" s="3"/>
      <c r="SMC36" s="3"/>
      <c r="SMD36" s="3"/>
      <c r="SME36" s="3"/>
      <c r="SMF36" s="3"/>
      <c r="SMG36" s="3"/>
      <c r="SMH36" s="3"/>
      <c r="SMI36" s="3"/>
      <c r="SMJ36" s="3"/>
      <c r="SMK36" s="3"/>
      <c r="SML36" s="3"/>
      <c r="SMM36" s="3"/>
      <c r="SMN36" s="3"/>
      <c r="SMO36" s="3"/>
      <c r="SMP36" s="3"/>
      <c r="SMQ36" s="3"/>
      <c r="SMR36" s="3"/>
      <c r="SMS36" s="3"/>
      <c r="SMT36" s="3"/>
      <c r="SMU36" s="3"/>
      <c r="SMV36" s="3"/>
      <c r="SMW36" s="3"/>
      <c r="SMX36" s="3"/>
      <c r="SMY36" s="3"/>
      <c r="SMZ36" s="3"/>
      <c r="SNA36" s="3"/>
      <c r="SNB36" s="3"/>
      <c r="SNC36" s="3"/>
      <c r="SND36" s="3"/>
      <c r="SNE36" s="3"/>
      <c r="SNF36" s="3"/>
      <c r="SNG36" s="3"/>
      <c r="SNH36" s="3"/>
      <c r="SNI36" s="3"/>
      <c r="SNJ36" s="3"/>
      <c r="SNK36" s="3"/>
      <c r="SNL36" s="3"/>
      <c r="SNM36" s="3"/>
      <c r="SNN36" s="3"/>
      <c r="SNO36" s="3"/>
      <c r="SNP36" s="3"/>
      <c r="SNQ36" s="3"/>
      <c r="SNR36" s="3"/>
      <c r="SNS36" s="3"/>
      <c r="SNT36" s="3"/>
      <c r="SNU36" s="3"/>
      <c r="SNV36" s="3"/>
      <c r="SNW36" s="3"/>
      <c r="SNX36" s="3"/>
      <c r="SNY36" s="3"/>
      <c r="SNZ36" s="3"/>
      <c r="SOA36" s="3"/>
      <c r="SOB36" s="3"/>
      <c r="SOC36" s="3"/>
      <c r="SOD36" s="3"/>
      <c r="SOE36" s="3"/>
      <c r="SOF36" s="3"/>
      <c r="SOG36" s="3"/>
      <c r="SOH36" s="3"/>
      <c r="SOI36" s="3"/>
      <c r="SOJ36" s="3"/>
      <c r="SOK36" s="3"/>
      <c r="SOL36" s="3"/>
      <c r="SOM36" s="3"/>
      <c r="SON36" s="3"/>
      <c r="SOO36" s="3"/>
      <c r="SOP36" s="3"/>
      <c r="SOQ36" s="3"/>
      <c r="SOR36" s="3"/>
      <c r="SOS36" s="3"/>
      <c r="SOT36" s="3"/>
      <c r="SOU36" s="3"/>
      <c r="SOV36" s="3"/>
      <c r="SOW36" s="3"/>
      <c r="SOX36" s="3"/>
      <c r="SOY36" s="3"/>
      <c r="SOZ36" s="3"/>
      <c r="SPA36" s="3"/>
      <c r="SPB36" s="3"/>
      <c r="SPC36" s="3"/>
      <c r="SPD36" s="3"/>
      <c r="SPE36" s="3"/>
      <c r="SPF36" s="3"/>
      <c r="SPG36" s="3"/>
      <c r="SPH36" s="3"/>
      <c r="SPI36" s="3"/>
      <c r="SPJ36" s="3"/>
      <c r="SPK36" s="3"/>
      <c r="SPL36" s="3"/>
      <c r="SPM36" s="3"/>
      <c r="SPN36" s="3"/>
      <c r="SPO36" s="3"/>
      <c r="SPP36" s="3"/>
      <c r="SPQ36" s="3"/>
      <c r="SPR36" s="3"/>
      <c r="SPS36" s="3"/>
      <c r="SPT36" s="3"/>
      <c r="SPU36" s="3"/>
      <c r="SPV36" s="3"/>
      <c r="SPW36" s="3"/>
      <c r="SPX36" s="3"/>
      <c r="SPY36" s="3"/>
      <c r="SPZ36" s="3"/>
      <c r="SQA36" s="3"/>
      <c r="SQB36" s="3"/>
      <c r="SQC36" s="3"/>
      <c r="SQD36" s="3"/>
      <c r="SQE36" s="3"/>
      <c r="SQF36" s="3"/>
      <c r="SQG36" s="3"/>
      <c r="SQH36" s="3"/>
      <c r="SQI36" s="3"/>
      <c r="SQJ36" s="3"/>
      <c r="SQK36" s="3"/>
      <c r="SQL36" s="3"/>
      <c r="SQM36" s="3"/>
      <c r="SQN36" s="3"/>
      <c r="SQO36" s="3"/>
      <c r="SQP36" s="3"/>
      <c r="SQQ36" s="3"/>
      <c r="SQR36" s="3"/>
      <c r="SQS36" s="3"/>
      <c r="SQT36" s="3"/>
      <c r="SQU36" s="3"/>
      <c r="SQV36" s="3"/>
      <c r="SQW36" s="3"/>
      <c r="SQX36" s="3"/>
      <c r="SQY36" s="3"/>
      <c r="SQZ36" s="3"/>
      <c r="SRA36" s="3"/>
      <c r="SRB36" s="3"/>
      <c r="SRC36" s="3"/>
      <c r="SRD36" s="3"/>
      <c r="SRE36" s="3"/>
      <c r="SRF36" s="3"/>
      <c r="SRG36" s="3"/>
      <c r="SRH36" s="3"/>
      <c r="SRI36" s="3"/>
      <c r="SRJ36" s="3"/>
      <c r="SRK36" s="3"/>
      <c r="SRL36" s="3"/>
      <c r="SRM36" s="3"/>
      <c r="SRN36" s="3"/>
      <c r="SRO36" s="3"/>
      <c r="SRP36" s="3"/>
      <c r="SRQ36" s="3"/>
      <c r="SRR36" s="3"/>
      <c r="SRS36" s="3"/>
      <c r="SRT36" s="3"/>
      <c r="SRU36" s="3"/>
      <c r="SRV36" s="3"/>
      <c r="SRW36" s="3"/>
      <c r="SRX36" s="3"/>
      <c r="SRY36" s="3"/>
      <c r="SRZ36" s="3"/>
      <c r="SSA36" s="3"/>
      <c r="SSB36" s="3"/>
      <c r="SSC36" s="3"/>
      <c r="SSD36" s="3"/>
      <c r="SSE36" s="3"/>
      <c r="SSF36" s="3"/>
      <c r="SSG36" s="3"/>
      <c r="SSH36" s="3"/>
      <c r="SSI36" s="3"/>
      <c r="SSJ36" s="3"/>
      <c r="SSK36" s="3"/>
      <c r="SSL36" s="3"/>
      <c r="SSM36" s="3"/>
      <c r="SSN36" s="3"/>
      <c r="SSO36" s="3"/>
      <c r="SSP36" s="3"/>
      <c r="SSQ36" s="3"/>
      <c r="SSR36" s="3"/>
      <c r="SSS36" s="3"/>
      <c r="SST36" s="3"/>
      <c r="SSU36" s="3"/>
      <c r="SSV36" s="3"/>
      <c r="SSW36" s="3"/>
      <c r="SSX36" s="3"/>
      <c r="SSY36" s="3"/>
      <c r="SSZ36" s="3"/>
      <c r="STA36" s="3"/>
      <c r="STB36" s="3"/>
      <c r="STC36" s="3"/>
      <c r="STD36" s="3"/>
      <c r="STE36" s="3"/>
      <c r="STF36" s="3"/>
      <c r="STG36" s="3"/>
      <c r="STH36" s="3"/>
      <c r="STI36" s="3"/>
      <c r="STJ36" s="3"/>
      <c r="STK36" s="3"/>
      <c r="STL36" s="3"/>
      <c r="STM36" s="3"/>
      <c r="STN36" s="3"/>
      <c r="STO36" s="3"/>
      <c r="STP36" s="3"/>
      <c r="STQ36" s="3"/>
      <c r="STR36" s="3"/>
      <c r="STS36" s="3"/>
      <c r="STT36" s="3"/>
      <c r="STU36" s="3"/>
      <c r="STV36" s="3"/>
      <c r="STW36" s="3"/>
      <c r="STX36" s="3"/>
      <c r="STY36" s="3"/>
      <c r="STZ36" s="3"/>
      <c r="SUA36" s="3"/>
      <c r="SUB36" s="3"/>
      <c r="SUC36" s="3"/>
      <c r="SUD36" s="3"/>
      <c r="SUE36" s="3"/>
      <c r="SUF36" s="3"/>
      <c r="SUG36" s="3"/>
      <c r="SUH36" s="3"/>
      <c r="SUI36" s="3"/>
      <c r="SUJ36" s="3"/>
      <c r="SUK36" s="3"/>
      <c r="SUL36" s="3"/>
      <c r="SUM36" s="3"/>
      <c r="SUN36" s="3"/>
      <c r="SUO36" s="3"/>
      <c r="SUP36" s="3"/>
      <c r="SUQ36" s="3"/>
      <c r="SUR36" s="3"/>
      <c r="SUS36" s="3"/>
      <c r="SUT36" s="3"/>
      <c r="SUU36" s="3"/>
      <c r="SUV36" s="3"/>
      <c r="SUW36" s="3"/>
      <c r="SUX36" s="3"/>
      <c r="SUY36" s="3"/>
      <c r="SUZ36" s="3"/>
      <c r="SVA36" s="3"/>
      <c r="SVB36" s="3"/>
      <c r="SVC36" s="3"/>
      <c r="SVD36" s="3"/>
      <c r="SVE36" s="3"/>
      <c r="SVF36" s="3"/>
      <c r="SVG36" s="3"/>
      <c r="SVH36" s="3"/>
      <c r="SVI36" s="3"/>
      <c r="SVJ36" s="3"/>
      <c r="SVK36" s="3"/>
      <c r="SVL36" s="3"/>
      <c r="SVM36" s="3"/>
      <c r="SVN36" s="3"/>
      <c r="SVO36" s="3"/>
      <c r="SVP36" s="3"/>
      <c r="SVQ36" s="3"/>
      <c r="SVR36" s="3"/>
      <c r="SVS36" s="3"/>
      <c r="SVT36" s="3"/>
      <c r="SVU36" s="3"/>
      <c r="SVV36" s="3"/>
      <c r="SVW36" s="3"/>
      <c r="SVX36" s="3"/>
      <c r="SVY36" s="3"/>
      <c r="SVZ36" s="3"/>
      <c r="SWA36" s="3"/>
      <c r="SWB36" s="3"/>
      <c r="SWC36" s="3"/>
      <c r="SWD36" s="3"/>
      <c r="SWE36" s="3"/>
      <c r="SWF36" s="3"/>
      <c r="SWG36" s="3"/>
      <c r="SWH36" s="3"/>
      <c r="SWI36" s="3"/>
      <c r="SWJ36" s="3"/>
      <c r="SWK36" s="3"/>
      <c r="SWL36" s="3"/>
      <c r="SWM36" s="3"/>
      <c r="SWN36" s="3"/>
      <c r="SWO36" s="3"/>
      <c r="SWP36" s="3"/>
      <c r="SWQ36" s="3"/>
      <c r="SWR36" s="3"/>
      <c r="SWS36" s="3"/>
      <c r="SWT36" s="3"/>
      <c r="SWU36" s="3"/>
      <c r="SWV36" s="3"/>
      <c r="SWW36" s="3"/>
      <c r="SWX36" s="3"/>
      <c r="SWY36" s="3"/>
      <c r="SWZ36" s="3"/>
      <c r="SXA36" s="3"/>
      <c r="SXB36" s="3"/>
      <c r="SXC36" s="3"/>
      <c r="SXD36" s="3"/>
      <c r="SXE36" s="3"/>
      <c r="SXF36" s="3"/>
      <c r="SXG36" s="3"/>
      <c r="SXH36" s="3"/>
      <c r="SXI36" s="3"/>
      <c r="SXJ36" s="3"/>
      <c r="SXK36" s="3"/>
      <c r="SXL36" s="3"/>
      <c r="SXM36" s="3"/>
      <c r="SXN36" s="3"/>
      <c r="SXO36" s="3"/>
      <c r="SXP36" s="3"/>
      <c r="SXQ36" s="3"/>
      <c r="SXR36" s="3"/>
      <c r="SXS36" s="3"/>
      <c r="SXT36" s="3"/>
      <c r="SXU36" s="3"/>
      <c r="SXV36" s="3"/>
      <c r="SXW36" s="3"/>
      <c r="SXX36" s="3"/>
      <c r="SXY36" s="3"/>
      <c r="SXZ36" s="3"/>
      <c r="SYA36" s="3"/>
      <c r="SYB36" s="3"/>
      <c r="SYC36" s="3"/>
      <c r="SYD36" s="3"/>
      <c r="SYE36" s="3"/>
      <c r="SYF36" s="3"/>
      <c r="SYG36" s="3"/>
      <c r="SYH36" s="3"/>
      <c r="SYI36" s="3"/>
      <c r="SYJ36" s="3"/>
      <c r="SYK36" s="3"/>
      <c r="SYL36" s="3"/>
      <c r="SYM36" s="3"/>
      <c r="SYN36" s="3"/>
      <c r="SYO36" s="3"/>
      <c r="SYP36" s="3"/>
      <c r="SYQ36" s="3"/>
      <c r="SYR36" s="3"/>
      <c r="SYS36" s="3"/>
      <c r="SYT36" s="3"/>
      <c r="SYU36" s="3"/>
      <c r="SYV36" s="3"/>
      <c r="SYW36" s="3"/>
      <c r="SYX36" s="3"/>
      <c r="SYY36" s="3"/>
      <c r="SYZ36" s="3"/>
      <c r="SZA36" s="3"/>
      <c r="SZB36" s="3"/>
      <c r="SZC36" s="3"/>
      <c r="SZD36" s="3"/>
      <c r="SZE36" s="3"/>
      <c r="SZF36" s="3"/>
      <c r="SZG36" s="3"/>
      <c r="SZH36" s="3"/>
      <c r="SZI36" s="3"/>
      <c r="SZJ36" s="3"/>
      <c r="SZK36" s="3"/>
      <c r="SZL36" s="3"/>
      <c r="SZM36" s="3"/>
      <c r="SZN36" s="3"/>
      <c r="SZO36" s="3"/>
      <c r="SZP36" s="3"/>
      <c r="SZQ36" s="3"/>
      <c r="SZR36" s="3"/>
      <c r="SZS36" s="3"/>
      <c r="SZT36" s="3"/>
      <c r="SZU36" s="3"/>
      <c r="SZV36" s="3"/>
      <c r="SZW36" s="3"/>
      <c r="SZX36" s="3"/>
      <c r="SZY36" s="3"/>
      <c r="SZZ36" s="3"/>
      <c r="TAA36" s="3"/>
      <c r="TAB36" s="3"/>
      <c r="TAC36" s="3"/>
      <c r="TAD36" s="3"/>
      <c r="TAE36" s="3"/>
      <c r="TAF36" s="3"/>
      <c r="TAG36" s="3"/>
      <c r="TAH36" s="3"/>
      <c r="TAI36" s="3"/>
      <c r="TAJ36" s="3"/>
      <c r="TAK36" s="3"/>
      <c r="TAL36" s="3"/>
      <c r="TAM36" s="3"/>
      <c r="TAN36" s="3"/>
      <c r="TAO36" s="3"/>
      <c r="TAP36" s="3"/>
      <c r="TAQ36" s="3"/>
      <c r="TAR36" s="3"/>
      <c r="TAS36" s="3"/>
      <c r="TAT36" s="3"/>
      <c r="TAU36" s="3"/>
      <c r="TAV36" s="3"/>
      <c r="TAW36" s="3"/>
      <c r="TAX36" s="3"/>
      <c r="TAY36" s="3"/>
      <c r="TAZ36" s="3"/>
      <c r="TBA36" s="3"/>
      <c r="TBB36" s="3"/>
      <c r="TBC36" s="3"/>
      <c r="TBD36" s="3"/>
      <c r="TBE36" s="3"/>
      <c r="TBF36" s="3"/>
      <c r="TBG36" s="3"/>
      <c r="TBH36" s="3"/>
      <c r="TBI36" s="3"/>
      <c r="TBJ36" s="3"/>
      <c r="TBK36" s="3"/>
      <c r="TBL36" s="3"/>
      <c r="TBM36" s="3"/>
      <c r="TBN36" s="3"/>
      <c r="TBO36" s="3"/>
      <c r="TBP36" s="3"/>
      <c r="TBQ36" s="3"/>
      <c r="TBR36" s="3"/>
      <c r="TBS36" s="3"/>
      <c r="TBT36" s="3"/>
      <c r="TBU36" s="3"/>
      <c r="TBV36" s="3"/>
      <c r="TBW36" s="3"/>
      <c r="TBX36" s="3"/>
      <c r="TBY36" s="3"/>
      <c r="TBZ36" s="3"/>
      <c r="TCA36" s="3"/>
      <c r="TCB36" s="3"/>
      <c r="TCC36" s="3"/>
      <c r="TCD36" s="3"/>
      <c r="TCE36" s="3"/>
      <c r="TCF36" s="3"/>
      <c r="TCG36" s="3"/>
      <c r="TCH36" s="3"/>
      <c r="TCI36" s="3"/>
      <c r="TCJ36" s="3"/>
      <c r="TCK36" s="3"/>
      <c r="TCL36" s="3"/>
      <c r="TCM36" s="3"/>
      <c r="TCN36" s="3"/>
      <c r="TCO36" s="3"/>
      <c r="TCP36" s="3"/>
      <c r="TCQ36" s="3"/>
      <c r="TCR36" s="3"/>
      <c r="TCS36" s="3"/>
      <c r="TCT36" s="3"/>
      <c r="TCU36" s="3"/>
      <c r="TCV36" s="3"/>
      <c r="TCW36" s="3"/>
      <c r="TCX36" s="3"/>
      <c r="TCY36" s="3"/>
      <c r="TCZ36" s="3"/>
      <c r="TDA36" s="3"/>
      <c r="TDB36" s="3"/>
      <c r="TDC36" s="3"/>
      <c r="TDD36" s="3"/>
      <c r="TDE36" s="3"/>
      <c r="TDF36" s="3"/>
      <c r="TDG36" s="3"/>
      <c r="TDH36" s="3"/>
      <c r="TDI36" s="3"/>
      <c r="TDJ36" s="3"/>
      <c r="TDK36" s="3"/>
      <c r="TDL36" s="3"/>
      <c r="TDM36" s="3"/>
      <c r="TDN36" s="3"/>
      <c r="TDO36" s="3"/>
      <c r="TDP36" s="3"/>
      <c r="TDQ36" s="3"/>
      <c r="TDR36" s="3"/>
      <c r="TDS36" s="3"/>
      <c r="TDT36" s="3"/>
      <c r="TDU36" s="3"/>
      <c r="TDV36" s="3"/>
      <c r="TDW36" s="3"/>
      <c r="TDX36" s="3"/>
      <c r="TDY36" s="3"/>
      <c r="TDZ36" s="3"/>
      <c r="TEA36" s="3"/>
      <c r="TEB36" s="3"/>
      <c r="TEC36" s="3"/>
      <c r="TED36" s="3"/>
      <c r="TEE36" s="3"/>
      <c r="TEF36" s="3"/>
      <c r="TEG36" s="3"/>
      <c r="TEH36" s="3"/>
      <c r="TEI36" s="3"/>
      <c r="TEJ36" s="3"/>
      <c r="TEK36" s="3"/>
      <c r="TEL36" s="3"/>
      <c r="TEM36" s="3"/>
      <c r="TEN36" s="3"/>
      <c r="TEO36" s="3"/>
      <c r="TEP36" s="3"/>
      <c r="TEQ36" s="3"/>
      <c r="TER36" s="3"/>
      <c r="TES36" s="3"/>
      <c r="TET36" s="3"/>
      <c r="TEU36" s="3"/>
      <c r="TEV36" s="3"/>
      <c r="TEW36" s="3"/>
      <c r="TEX36" s="3"/>
      <c r="TEY36" s="3"/>
      <c r="TEZ36" s="3"/>
      <c r="TFA36" s="3"/>
      <c r="TFB36" s="3"/>
      <c r="TFC36" s="3"/>
      <c r="TFD36" s="3"/>
      <c r="TFE36" s="3"/>
      <c r="TFF36" s="3"/>
      <c r="TFG36" s="3"/>
      <c r="TFH36" s="3"/>
      <c r="TFI36" s="3"/>
      <c r="TFJ36" s="3"/>
      <c r="TFK36" s="3"/>
      <c r="TFL36" s="3"/>
      <c r="TFM36" s="3"/>
      <c r="TFN36" s="3"/>
      <c r="TFO36" s="3"/>
      <c r="TFP36" s="3"/>
      <c r="TFQ36" s="3"/>
      <c r="TFR36" s="3"/>
      <c r="TFS36" s="3"/>
      <c r="TFT36" s="3"/>
      <c r="TFU36" s="3"/>
      <c r="TFV36" s="3"/>
      <c r="TFW36" s="3"/>
      <c r="TFX36" s="3"/>
      <c r="TFY36" s="3"/>
      <c r="TFZ36" s="3"/>
      <c r="TGA36" s="3"/>
      <c r="TGB36" s="3"/>
      <c r="TGC36" s="3"/>
      <c r="TGD36" s="3"/>
      <c r="TGE36" s="3"/>
      <c r="TGF36" s="3"/>
      <c r="TGG36" s="3"/>
      <c r="TGH36" s="3"/>
      <c r="TGI36" s="3"/>
      <c r="TGJ36" s="3"/>
      <c r="TGK36" s="3"/>
      <c r="TGL36" s="3"/>
      <c r="TGM36" s="3"/>
      <c r="TGN36" s="3"/>
      <c r="TGO36" s="3"/>
      <c r="TGP36" s="3"/>
      <c r="TGQ36" s="3"/>
      <c r="TGR36" s="3"/>
      <c r="TGS36" s="3"/>
      <c r="TGT36" s="3"/>
      <c r="TGU36" s="3"/>
      <c r="TGV36" s="3"/>
      <c r="TGW36" s="3"/>
      <c r="TGX36" s="3"/>
      <c r="TGY36" s="3"/>
      <c r="TGZ36" s="3"/>
      <c r="THA36" s="3"/>
      <c r="THB36" s="3"/>
      <c r="THC36" s="3"/>
      <c r="THD36" s="3"/>
      <c r="THE36" s="3"/>
      <c r="THF36" s="3"/>
      <c r="THG36" s="3"/>
      <c r="THH36" s="3"/>
      <c r="THI36" s="3"/>
      <c r="THJ36" s="3"/>
      <c r="THK36" s="3"/>
      <c r="THL36" s="3"/>
      <c r="THM36" s="3"/>
      <c r="THN36" s="3"/>
      <c r="THO36" s="3"/>
      <c r="THP36" s="3"/>
      <c r="THQ36" s="3"/>
      <c r="THR36" s="3"/>
      <c r="THS36" s="3"/>
      <c r="THT36" s="3"/>
      <c r="THU36" s="3"/>
      <c r="THV36" s="3"/>
      <c r="THW36" s="3"/>
      <c r="THX36" s="3"/>
      <c r="THY36" s="3"/>
      <c r="THZ36" s="3"/>
      <c r="TIA36" s="3"/>
      <c r="TIB36" s="3"/>
      <c r="TIC36" s="3"/>
      <c r="TID36" s="3"/>
      <c r="TIE36" s="3"/>
      <c r="TIF36" s="3"/>
      <c r="TIG36" s="3"/>
      <c r="TIH36" s="3"/>
      <c r="TII36" s="3"/>
      <c r="TIJ36" s="3"/>
      <c r="TIK36" s="3"/>
      <c r="TIL36" s="3"/>
      <c r="TIM36" s="3"/>
      <c r="TIN36" s="3"/>
      <c r="TIO36" s="3"/>
      <c r="TIP36" s="3"/>
      <c r="TIQ36" s="3"/>
      <c r="TIR36" s="3"/>
      <c r="TIS36" s="3"/>
      <c r="TIT36" s="3"/>
      <c r="TIU36" s="3"/>
      <c r="TIV36" s="3"/>
      <c r="TIW36" s="3"/>
      <c r="TIX36" s="3"/>
      <c r="TIY36" s="3"/>
      <c r="TIZ36" s="3"/>
      <c r="TJA36" s="3"/>
      <c r="TJB36" s="3"/>
      <c r="TJC36" s="3"/>
      <c r="TJD36" s="3"/>
      <c r="TJE36" s="3"/>
      <c r="TJF36" s="3"/>
      <c r="TJG36" s="3"/>
      <c r="TJH36" s="3"/>
      <c r="TJI36" s="3"/>
      <c r="TJJ36" s="3"/>
      <c r="TJK36" s="3"/>
      <c r="TJL36" s="3"/>
      <c r="TJM36" s="3"/>
      <c r="TJN36" s="3"/>
      <c r="TJO36" s="3"/>
      <c r="TJP36" s="3"/>
      <c r="TJQ36" s="3"/>
      <c r="TJR36" s="3"/>
      <c r="TJS36" s="3"/>
      <c r="TJT36" s="3"/>
      <c r="TJU36" s="3"/>
      <c r="TJV36" s="3"/>
      <c r="TJW36" s="3"/>
      <c r="TJX36" s="3"/>
      <c r="TJY36" s="3"/>
      <c r="TJZ36" s="3"/>
      <c r="TKA36" s="3"/>
      <c r="TKB36" s="3"/>
      <c r="TKC36" s="3"/>
      <c r="TKD36" s="3"/>
      <c r="TKE36" s="3"/>
      <c r="TKF36" s="3"/>
      <c r="TKG36" s="3"/>
      <c r="TKH36" s="3"/>
      <c r="TKI36" s="3"/>
      <c r="TKJ36" s="3"/>
      <c r="TKK36" s="3"/>
      <c r="TKL36" s="3"/>
      <c r="TKM36" s="3"/>
      <c r="TKN36" s="3"/>
      <c r="TKO36" s="3"/>
      <c r="TKP36" s="3"/>
      <c r="TKQ36" s="3"/>
      <c r="TKR36" s="3"/>
      <c r="TKS36" s="3"/>
      <c r="TKT36" s="3"/>
      <c r="TKU36" s="3"/>
      <c r="TKV36" s="3"/>
      <c r="TKW36" s="3"/>
      <c r="TKX36" s="3"/>
      <c r="TKY36" s="3"/>
      <c r="TKZ36" s="3"/>
      <c r="TLA36" s="3"/>
      <c r="TLB36" s="3"/>
      <c r="TLC36" s="3"/>
      <c r="TLD36" s="3"/>
      <c r="TLE36" s="3"/>
      <c r="TLF36" s="3"/>
      <c r="TLG36" s="3"/>
      <c r="TLH36" s="3"/>
      <c r="TLI36" s="3"/>
      <c r="TLJ36" s="3"/>
      <c r="TLK36" s="3"/>
      <c r="TLL36" s="3"/>
      <c r="TLM36" s="3"/>
      <c r="TLN36" s="3"/>
      <c r="TLO36" s="3"/>
      <c r="TLP36" s="3"/>
      <c r="TLQ36" s="3"/>
      <c r="TLR36" s="3"/>
      <c r="TLS36" s="3"/>
      <c r="TLT36" s="3"/>
      <c r="TLU36" s="3"/>
      <c r="TLV36" s="3"/>
      <c r="TLW36" s="3"/>
      <c r="TLX36" s="3"/>
      <c r="TLY36" s="3"/>
      <c r="TLZ36" s="3"/>
      <c r="TMA36" s="3"/>
      <c r="TMB36" s="3"/>
      <c r="TMC36" s="3"/>
      <c r="TMD36" s="3"/>
      <c r="TME36" s="3"/>
      <c r="TMF36" s="3"/>
      <c r="TMG36" s="3"/>
      <c r="TMH36" s="3"/>
      <c r="TMI36" s="3"/>
      <c r="TMJ36" s="3"/>
      <c r="TMK36" s="3"/>
      <c r="TML36" s="3"/>
      <c r="TMM36" s="3"/>
      <c r="TMN36" s="3"/>
      <c r="TMO36" s="3"/>
      <c r="TMP36" s="3"/>
      <c r="TMQ36" s="3"/>
      <c r="TMR36" s="3"/>
      <c r="TMS36" s="3"/>
      <c r="TMT36" s="3"/>
      <c r="TMU36" s="3"/>
      <c r="TMV36" s="3"/>
      <c r="TMW36" s="3"/>
      <c r="TMX36" s="3"/>
      <c r="TMY36" s="3"/>
      <c r="TMZ36" s="3"/>
      <c r="TNA36" s="3"/>
      <c r="TNB36" s="3"/>
      <c r="TNC36" s="3"/>
      <c r="TND36" s="3"/>
      <c r="TNE36" s="3"/>
      <c r="TNF36" s="3"/>
      <c r="TNG36" s="3"/>
      <c r="TNH36" s="3"/>
      <c r="TNI36" s="3"/>
      <c r="TNJ36" s="3"/>
      <c r="TNK36" s="3"/>
      <c r="TNL36" s="3"/>
      <c r="TNM36" s="3"/>
      <c r="TNN36" s="3"/>
      <c r="TNO36" s="3"/>
      <c r="TNP36" s="3"/>
      <c r="TNQ36" s="3"/>
      <c r="TNR36" s="3"/>
      <c r="TNS36" s="3"/>
      <c r="TNT36" s="3"/>
      <c r="TNU36" s="3"/>
      <c r="TNV36" s="3"/>
      <c r="TNW36" s="3"/>
      <c r="TNX36" s="3"/>
      <c r="TNY36" s="3"/>
      <c r="TNZ36" s="3"/>
      <c r="TOA36" s="3"/>
      <c r="TOB36" s="3"/>
      <c r="TOC36" s="3"/>
      <c r="TOD36" s="3"/>
      <c r="TOE36" s="3"/>
      <c r="TOF36" s="3"/>
      <c r="TOG36" s="3"/>
      <c r="TOH36" s="3"/>
      <c r="TOI36" s="3"/>
      <c r="TOJ36" s="3"/>
      <c r="TOK36" s="3"/>
      <c r="TOL36" s="3"/>
      <c r="TOM36" s="3"/>
      <c r="TON36" s="3"/>
      <c r="TOO36" s="3"/>
      <c r="TOP36" s="3"/>
      <c r="TOQ36" s="3"/>
      <c r="TOR36" s="3"/>
      <c r="TOS36" s="3"/>
      <c r="TOT36" s="3"/>
      <c r="TOU36" s="3"/>
      <c r="TOV36" s="3"/>
      <c r="TOW36" s="3"/>
      <c r="TOX36" s="3"/>
      <c r="TOY36" s="3"/>
      <c r="TOZ36" s="3"/>
      <c r="TPA36" s="3"/>
      <c r="TPB36" s="3"/>
      <c r="TPC36" s="3"/>
      <c r="TPD36" s="3"/>
      <c r="TPE36" s="3"/>
      <c r="TPF36" s="3"/>
      <c r="TPG36" s="3"/>
      <c r="TPH36" s="3"/>
      <c r="TPI36" s="3"/>
      <c r="TPJ36" s="3"/>
      <c r="TPK36" s="3"/>
      <c r="TPL36" s="3"/>
      <c r="TPM36" s="3"/>
      <c r="TPN36" s="3"/>
      <c r="TPO36" s="3"/>
      <c r="TPP36" s="3"/>
      <c r="TPQ36" s="3"/>
      <c r="TPR36" s="3"/>
      <c r="TPS36" s="3"/>
      <c r="TPT36" s="3"/>
      <c r="TPU36" s="3"/>
      <c r="TPV36" s="3"/>
      <c r="TPW36" s="3"/>
      <c r="TPX36" s="3"/>
      <c r="TPY36" s="3"/>
      <c r="TPZ36" s="3"/>
      <c r="TQA36" s="3"/>
      <c r="TQB36" s="3"/>
      <c r="TQC36" s="3"/>
      <c r="TQD36" s="3"/>
      <c r="TQE36" s="3"/>
      <c r="TQF36" s="3"/>
      <c r="TQG36" s="3"/>
      <c r="TQH36" s="3"/>
      <c r="TQI36" s="3"/>
      <c r="TQJ36" s="3"/>
      <c r="TQK36" s="3"/>
      <c r="TQL36" s="3"/>
      <c r="TQM36" s="3"/>
      <c r="TQN36" s="3"/>
      <c r="TQO36" s="3"/>
      <c r="TQP36" s="3"/>
      <c r="TQQ36" s="3"/>
      <c r="TQR36" s="3"/>
      <c r="TQS36" s="3"/>
      <c r="TQT36" s="3"/>
      <c r="TQU36" s="3"/>
      <c r="TQV36" s="3"/>
      <c r="TQW36" s="3"/>
      <c r="TQX36" s="3"/>
      <c r="TQY36" s="3"/>
      <c r="TQZ36" s="3"/>
      <c r="TRA36" s="3"/>
      <c r="TRB36" s="3"/>
      <c r="TRC36" s="3"/>
      <c r="TRD36" s="3"/>
      <c r="TRE36" s="3"/>
      <c r="TRF36" s="3"/>
      <c r="TRG36" s="3"/>
      <c r="TRH36" s="3"/>
      <c r="TRI36" s="3"/>
      <c r="TRJ36" s="3"/>
      <c r="TRK36" s="3"/>
      <c r="TRL36" s="3"/>
      <c r="TRM36" s="3"/>
      <c r="TRN36" s="3"/>
      <c r="TRO36" s="3"/>
      <c r="TRP36" s="3"/>
      <c r="TRQ36" s="3"/>
      <c r="TRR36" s="3"/>
      <c r="TRS36" s="3"/>
      <c r="TRT36" s="3"/>
      <c r="TRU36" s="3"/>
      <c r="TRV36" s="3"/>
      <c r="TRW36" s="3"/>
      <c r="TRX36" s="3"/>
      <c r="TRY36" s="3"/>
      <c r="TRZ36" s="3"/>
      <c r="TSA36" s="3"/>
      <c r="TSB36" s="3"/>
      <c r="TSC36" s="3"/>
      <c r="TSD36" s="3"/>
      <c r="TSE36" s="3"/>
      <c r="TSF36" s="3"/>
      <c r="TSG36" s="3"/>
      <c r="TSH36" s="3"/>
      <c r="TSI36" s="3"/>
      <c r="TSJ36" s="3"/>
      <c r="TSK36" s="3"/>
      <c r="TSL36" s="3"/>
      <c r="TSM36" s="3"/>
      <c r="TSN36" s="3"/>
      <c r="TSO36" s="3"/>
      <c r="TSP36" s="3"/>
      <c r="TSQ36" s="3"/>
      <c r="TSR36" s="3"/>
      <c r="TSS36" s="3"/>
      <c r="TST36" s="3"/>
      <c r="TSU36" s="3"/>
      <c r="TSV36" s="3"/>
      <c r="TSW36" s="3"/>
      <c r="TSX36" s="3"/>
      <c r="TSY36" s="3"/>
      <c r="TSZ36" s="3"/>
      <c r="TTA36" s="3"/>
      <c r="TTB36" s="3"/>
      <c r="TTC36" s="3"/>
      <c r="TTD36" s="3"/>
      <c r="TTE36" s="3"/>
      <c r="TTF36" s="3"/>
      <c r="TTG36" s="3"/>
      <c r="TTH36" s="3"/>
      <c r="TTI36" s="3"/>
      <c r="TTJ36" s="3"/>
      <c r="TTK36" s="3"/>
      <c r="TTL36" s="3"/>
      <c r="TTM36" s="3"/>
      <c r="TTN36" s="3"/>
      <c r="TTO36" s="3"/>
      <c r="TTP36" s="3"/>
      <c r="TTQ36" s="3"/>
      <c r="TTR36" s="3"/>
      <c r="TTS36" s="3"/>
      <c r="TTT36" s="3"/>
      <c r="TTU36" s="3"/>
      <c r="TTV36" s="3"/>
      <c r="TTW36" s="3"/>
      <c r="TTX36" s="3"/>
      <c r="TTY36" s="3"/>
      <c r="TTZ36" s="3"/>
      <c r="TUA36" s="3"/>
      <c r="TUB36" s="3"/>
      <c r="TUC36" s="3"/>
      <c r="TUD36" s="3"/>
      <c r="TUE36" s="3"/>
      <c r="TUF36" s="3"/>
      <c r="TUG36" s="3"/>
      <c r="TUH36" s="3"/>
      <c r="TUI36" s="3"/>
      <c r="TUJ36" s="3"/>
      <c r="TUK36" s="3"/>
      <c r="TUL36" s="3"/>
      <c r="TUM36" s="3"/>
      <c r="TUN36" s="3"/>
      <c r="TUO36" s="3"/>
      <c r="TUP36" s="3"/>
      <c r="TUQ36" s="3"/>
      <c r="TUR36" s="3"/>
      <c r="TUS36" s="3"/>
      <c r="TUT36" s="3"/>
      <c r="TUU36" s="3"/>
      <c r="TUV36" s="3"/>
      <c r="TUW36" s="3"/>
      <c r="TUX36" s="3"/>
      <c r="TUY36" s="3"/>
      <c r="TUZ36" s="3"/>
      <c r="TVA36" s="3"/>
      <c r="TVB36" s="3"/>
      <c r="TVC36" s="3"/>
      <c r="TVD36" s="3"/>
      <c r="TVE36" s="3"/>
      <c r="TVF36" s="3"/>
      <c r="TVG36" s="3"/>
      <c r="TVH36" s="3"/>
      <c r="TVI36" s="3"/>
      <c r="TVJ36" s="3"/>
      <c r="TVK36" s="3"/>
      <c r="TVL36" s="3"/>
      <c r="TVM36" s="3"/>
      <c r="TVN36" s="3"/>
      <c r="TVO36" s="3"/>
      <c r="TVP36" s="3"/>
      <c r="TVQ36" s="3"/>
      <c r="TVR36" s="3"/>
      <c r="TVS36" s="3"/>
      <c r="TVT36" s="3"/>
      <c r="TVU36" s="3"/>
      <c r="TVV36" s="3"/>
      <c r="TVW36" s="3"/>
      <c r="TVX36" s="3"/>
      <c r="TVY36" s="3"/>
      <c r="TVZ36" s="3"/>
      <c r="TWA36" s="3"/>
      <c r="TWB36" s="3"/>
      <c r="TWC36" s="3"/>
      <c r="TWD36" s="3"/>
      <c r="TWE36" s="3"/>
      <c r="TWF36" s="3"/>
      <c r="TWG36" s="3"/>
      <c r="TWH36" s="3"/>
      <c r="TWI36" s="3"/>
      <c r="TWJ36" s="3"/>
      <c r="TWK36" s="3"/>
      <c r="TWL36" s="3"/>
      <c r="TWM36" s="3"/>
      <c r="TWN36" s="3"/>
      <c r="TWO36" s="3"/>
      <c r="TWP36" s="3"/>
      <c r="TWQ36" s="3"/>
      <c r="TWR36" s="3"/>
      <c r="TWS36" s="3"/>
      <c r="TWT36" s="3"/>
      <c r="TWU36" s="3"/>
      <c r="TWV36" s="3"/>
      <c r="TWW36" s="3"/>
      <c r="TWX36" s="3"/>
      <c r="TWY36" s="3"/>
      <c r="TWZ36" s="3"/>
      <c r="TXA36" s="3"/>
      <c r="TXB36" s="3"/>
      <c r="TXC36" s="3"/>
      <c r="TXD36" s="3"/>
      <c r="TXE36" s="3"/>
      <c r="TXF36" s="3"/>
      <c r="TXG36" s="3"/>
      <c r="TXH36" s="3"/>
      <c r="TXI36" s="3"/>
      <c r="TXJ36" s="3"/>
      <c r="TXK36" s="3"/>
      <c r="TXL36" s="3"/>
      <c r="TXM36" s="3"/>
      <c r="TXN36" s="3"/>
      <c r="TXO36" s="3"/>
      <c r="TXP36" s="3"/>
      <c r="TXQ36" s="3"/>
      <c r="TXR36" s="3"/>
      <c r="TXS36" s="3"/>
      <c r="TXT36" s="3"/>
      <c r="TXU36" s="3"/>
      <c r="TXV36" s="3"/>
      <c r="TXW36" s="3"/>
      <c r="TXX36" s="3"/>
      <c r="TXY36" s="3"/>
      <c r="TXZ36" s="3"/>
      <c r="TYA36" s="3"/>
      <c r="TYB36" s="3"/>
      <c r="TYC36" s="3"/>
      <c r="TYD36" s="3"/>
      <c r="TYE36" s="3"/>
      <c r="TYF36" s="3"/>
      <c r="TYG36" s="3"/>
      <c r="TYH36" s="3"/>
      <c r="TYI36" s="3"/>
      <c r="TYJ36" s="3"/>
      <c r="TYK36" s="3"/>
      <c r="TYL36" s="3"/>
      <c r="TYM36" s="3"/>
      <c r="TYN36" s="3"/>
      <c r="TYO36" s="3"/>
      <c r="TYP36" s="3"/>
      <c r="TYQ36" s="3"/>
      <c r="TYR36" s="3"/>
      <c r="TYS36" s="3"/>
      <c r="TYT36" s="3"/>
      <c r="TYU36" s="3"/>
      <c r="TYV36" s="3"/>
      <c r="TYW36" s="3"/>
      <c r="TYX36" s="3"/>
      <c r="TYY36" s="3"/>
      <c r="TYZ36" s="3"/>
      <c r="TZA36" s="3"/>
      <c r="TZB36" s="3"/>
      <c r="TZC36" s="3"/>
      <c r="TZD36" s="3"/>
      <c r="TZE36" s="3"/>
      <c r="TZF36" s="3"/>
      <c r="TZG36" s="3"/>
      <c r="TZH36" s="3"/>
      <c r="TZI36" s="3"/>
      <c r="TZJ36" s="3"/>
      <c r="TZK36" s="3"/>
      <c r="TZL36" s="3"/>
      <c r="TZM36" s="3"/>
      <c r="TZN36" s="3"/>
      <c r="TZO36" s="3"/>
      <c r="TZP36" s="3"/>
      <c r="TZQ36" s="3"/>
      <c r="TZR36" s="3"/>
      <c r="TZS36" s="3"/>
      <c r="TZT36" s="3"/>
      <c r="TZU36" s="3"/>
      <c r="TZV36" s="3"/>
      <c r="TZW36" s="3"/>
      <c r="TZX36" s="3"/>
      <c r="TZY36" s="3"/>
      <c r="TZZ36" s="3"/>
      <c r="UAA36" s="3"/>
      <c r="UAB36" s="3"/>
      <c r="UAC36" s="3"/>
      <c r="UAD36" s="3"/>
      <c r="UAE36" s="3"/>
      <c r="UAF36" s="3"/>
      <c r="UAG36" s="3"/>
      <c r="UAH36" s="3"/>
      <c r="UAI36" s="3"/>
      <c r="UAJ36" s="3"/>
      <c r="UAK36" s="3"/>
      <c r="UAL36" s="3"/>
      <c r="UAM36" s="3"/>
      <c r="UAN36" s="3"/>
      <c r="UAO36" s="3"/>
      <c r="UAP36" s="3"/>
      <c r="UAQ36" s="3"/>
      <c r="UAR36" s="3"/>
      <c r="UAS36" s="3"/>
      <c r="UAT36" s="3"/>
      <c r="UAU36" s="3"/>
      <c r="UAV36" s="3"/>
      <c r="UAW36" s="3"/>
      <c r="UAX36" s="3"/>
      <c r="UAY36" s="3"/>
      <c r="UAZ36" s="3"/>
      <c r="UBA36" s="3"/>
      <c r="UBB36" s="3"/>
      <c r="UBC36" s="3"/>
      <c r="UBD36" s="3"/>
      <c r="UBE36" s="3"/>
      <c r="UBF36" s="3"/>
      <c r="UBG36" s="3"/>
      <c r="UBH36" s="3"/>
      <c r="UBI36" s="3"/>
      <c r="UBJ36" s="3"/>
      <c r="UBK36" s="3"/>
      <c r="UBL36" s="3"/>
      <c r="UBM36" s="3"/>
      <c r="UBN36" s="3"/>
      <c r="UBO36" s="3"/>
      <c r="UBP36" s="3"/>
      <c r="UBQ36" s="3"/>
      <c r="UBR36" s="3"/>
      <c r="UBS36" s="3"/>
      <c r="UBT36" s="3"/>
      <c r="UBU36" s="3"/>
      <c r="UBV36" s="3"/>
      <c r="UBW36" s="3"/>
      <c r="UBX36" s="3"/>
      <c r="UBY36" s="3"/>
      <c r="UBZ36" s="3"/>
      <c r="UCA36" s="3"/>
      <c r="UCB36" s="3"/>
      <c r="UCC36" s="3"/>
      <c r="UCD36" s="3"/>
      <c r="UCE36" s="3"/>
      <c r="UCF36" s="3"/>
      <c r="UCG36" s="3"/>
      <c r="UCH36" s="3"/>
      <c r="UCI36" s="3"/>
      <c r="UCJ36" s="3"/>
      <c r="UCK36" s="3"/>
      <c r="UCL36" s="3"/>
      <c r="UCM36" s="3"/>
      <c r="UCN36" s="3"/>
      <c r="UCO36" s="3"/>
      <c r="UCP36" s="3"/>
      <c r="UCQ36" s="3"/>
      <c r="UCR36" s="3"/>
      <c r="UCS36" s="3"/>
      <c r="UCT36" s="3"/>
      <c r="UCU36" s="3"/>
      <c r="UCV36" s="3"/>
      <c r="UCW36" s="3"/>
      <c r="UCX36" s="3"/>
      <c r="UCY36" s="3"/>
      <c r="UCZ36" s="3"/>
      <c r="UDA36" s="3"/>
      <c r="UDB36" s="3"/>
      <c r="UDC36" s="3"/>
      <c r="UDD36" s="3"/>
      <c r="UDE36" s="3"/>
      <c r="UDF36" s="3"/>
      <c r="UDG36" s="3"/>
      <c r="UDH36" s="3"/>
      <c r="UDI36" s="3"/>
      <c r="UDJ36" s="3"/>
      <c r="UDK36" s="3"/>
      <c r="UDL36" s="3"/>
      <c r="UDM36" s="3"/>
      <c r="UDN36" s="3"/>
      <c r="UDO36" s="3"/>
      <c r="UDP36" s="3"/>
      <c r="UDQ36" s="3"/>
      <c r="UDR36" s="3"/>
      <c r="UDS36" s="3"/>
      <c r="UDT36" s="3"/>
      <c r="UDU36" s="3"/>
      <c r="UDV36" s="3"/>
      <c r="UDW36" s="3"/>
      <c r="UDX36" s="3"/>
      <c r="UDY36" s="3"/>
      <c r="UDZ36" s="3"/>
      <c r="UEA36" s="3"/>
      <c r="UEB36" s="3"/>
      <c r="UEC36" s="3"/>
      <c r="UED36" s="3"/>
      <c r="UEE36" s="3"/>
      <c r="UEF36" s="3"/>
      <c r="UEG36" s="3"/>
      <c r="UEH36" s="3"/>
      <c r="UEI36" s="3"/>
      <c r="UEJ36" s="3"/>
      <c r="UEK36" s="3"/>
      <c r="UEL36" s="3"/>
      <c r="UEM36" s="3"/>
      <c r="UEN36" s="3"/>
      <c r="UEO36" s="3"/>
      <c r="UEP36" s="3"/>
      <c r="UEQ36" s="3"/>
      <c r="UER36" s="3"/>
      <c r="UES36" s="3"/>
      <c r="UET36" s="3"/>
      <c r="UEU36" s="3"/>
      <c r="UEV36" s="3"/>
      <c r="UEW36" s="3"/>
      <c r="UEX36" s="3"/>
      <c r="UEY36" s="3"/>
      <c r="UEZ36" s="3"/>
      <c r="UFA36" s="3"/>
      <c r="UFB36" s="3"/>
      <c r="UFC36" s="3"/>
      <c r="UFD36" s="3"/>
      <c r="UFE36" s="3"/>
      <c r="UFF36" s="3"/>
      <c r="UFG36" s="3"/>
      <c r="UFH36" s="3"/>
      <c r="UFI36" s="3"/>
      <c r="UFJ36" s="3"/>
      <c r="UFK36" s="3"/>
      <c r="UFL36" s="3"/>
      <c r="UFM36" s="3"/>
      <c r="UFN36" s="3"/>
      <c r="UFO36" s="3"/>
      <c r="UFP36" s="3"/>
      <c r="UFQ36" s="3"/>
      <c r="UFR36" s="3"/>
      <c r="UFS36" s="3"/>
      <c r="UFT36" s="3"/>
      <c r="UFU36" s="3"/>
      <c r="UFV36" s="3"/>
      <c r="UFW36" s="3"/>
      <c r="UFX36" s="3"/>
      <c r="UFY36" s="3"/>
      <c r="UFZ36" s="3"/>
      <c r="UGA36" s="3"/>
      <c r="UGB36" s="3"/>
      <c r="UGC36" s="3"/>
      <c r="UGD36" s="3"/>
      <c r="UGE36" s="3"/>
      <c r="UGF36" s="3"/>
      <c r="UGG36" s="3"/>
      <c r="UGH36" s="3"/>
      <c r="UGI36" s="3"/>
      <c r="UGJ36" s="3"/>
      <c r="UGK36" s="3"/>
      <c r="UGL36" s="3"/>
      <c r="UGM36" s="3"/>
      <c r="UGN36" s="3"/>
      <c r="UGO36" s="3"/>
      <c r="UGP36" s="3"/>
      <c r="UGQ36" s="3"/>
      <c r="UGR36" s="3"/>
      <c r="UGS36" s="3"/>
      <c r="UGT36" s="3"/>
      <c r="UGU36" s="3"/>
      <c r="UGV36" s="3"/>
      <c r="UGW36" s="3"/>
      <c r="UGX36" s="3"/>
      <c r="UGY36" s="3"/>
      <c r="UGZ36" s="3"/>
      <c r="UHA36" s="3"/>
      <c r="UHB36" s="3"/>
      <c r="UHC36" s="3"/>
      <c r="UHD36" s="3"/>
      <c r="UHE36" s="3"/>
      <c r="UHF36" s="3"/>
      <c r="UHG36" s="3"/>
      <c r="UHH36" s="3"/>
      <c r="UHI36" s="3"/>
      <c r="UHJ36" s="3"/>
      <c r="UHK36" s="3"/>
      <c r="UHL36" s="3"/>
      <c r="UHM36" s="3"/>
      <c r="UHN36" s="3"/>
      <c r="UHO36" s="3"/>
      <c r="UHP36" s="3"/>
      <c r="UHQ36" s="3"/>
      <c r="UHR36" s="3"/>
      <c r="UHS36" s="3"/>
      <c r="UHT36" s="3"/>
      <c r="UHU36" s="3"/>
      <c r="UHV36" s="3"/>
      <c r="UHW36" s="3"/>
      <c r="UHX36" s="3"/>
      <c r="UHY36" s="3"/>
      <c r="UHZ36" s="3"/>
      <c r="UIA36" s="3"/>
      <c r="UIB36" s="3"/>
      <c r="UIC36" s="3"/>
      <c r="UID36" s="3"/>
      <c r="UIE36" s="3"/>
      <c r="UIF36" s="3"/>
      <c r="UIG36" s="3"/>
      <c r="UIH36" s="3"/>
      <c r="UII36" s="3"/>
      <c r="UIJ36" s="3"/>
      <c r="UIK36" s="3"/>
      <c r="UIL36" s="3"/>
      <c r="UIM36" s="3"/>
      <c r="UIN36" s="3"/>
      <c r="UIO36" s="3"/>
      <c r="UIP36" s="3"/>
      <c r="UIQ36" s="3"/>
      <c r="UIR36" s="3"/>
      <c r="UIS36" s="3"/>
      <c r="UIT36" s="3"/>
      <c r="UIU36" s="3"/>
      <c r="UIV36" s="3"/>
      <c r="UIW36" s="3"/>
      <c r="UIX36" s="3"/>
      <c r="UIY36" s="3"/>
      <c r="UIZ36" s="3"/>
      <c r="UJA36" s="3"/>
      <c r="UJB36" s="3"/>
      <c r="UJC36" s="3"/>
      <c r="UJD36" s="3"/>
      <c r="UJE36" s="3"/>
      <c r="UJF36" s="3"/>
      <c r="UJG36" s="3"/>
      <c r="UJH36" s="3"/>
      <c r="UJI36" s="3"/>
      <c r="UJJ36" s="3"/>
      <c r="UJK36" s="3"/>
      <c r="UJL36" s="3"/>
      <c r="UJM36" s="3"/>
      <c r="UJN36" s="3"/>
      <c r="UJO36" s="3"/>
      <c r="UJP36" s="3"/>
      <c r="UJQ36" s="3"/>
      <c r="UJR36" s="3"/>
      <c r="UJS36" s="3"/>
      <c r="UJT36" s="3"/>
      <c r="UJU36" s="3"/>
      <c r="UJV36" s="3"/>
      <c r="UJW36" s="3"/>
      <c r="UJX36" s="3"/>
      <c r="UJY36" s="3"/>
      <c r="UJZ36" s="3"/>
      <c r="UKA36" s="3"/>
      <c r="UKB36" s="3"/>
      <c r="UKC36" s="3"/>
      <c r="UKD36" s="3"/>
      <c r="UKE36" s="3"/>
      <c r="UKF36" s="3"/>
      <c r="UKG36" s="3"/>
      <c r="UKH36" s="3"/>
      <c r="UKI36" s="3"/>
      <c r="UKJ36" s="3"/>
      <c r="UKK36" s="3"/>
      <c r="UKL36" s="3"/>
      <c r="UKM36" s="3"/>
      <c r="UKN36" s="3"/>
      <c r="UKO36" s="3"/>
      <c r="UKP36" s="3"/>
      <c r="UKQ36" s="3"/>
      <c r="UKR36" s="3"/>
      <c r="UKS36" s="3"/>
      <c r="UKT36" s="3"/>
      <c r="UKU36" s="3"/>
      <c r="UKV36" s="3"/>
      <c r="UKW36" s="3"/>
      <c r="UKX36" s="3"/>
      <c r="UKY36" s="3"/>
      <c r="UKZ36" s="3"/>
      <c r="ULA36" s="3"/>
      <c r="ULB36" s="3"/>
      <c r="ULC36" s="3"/>
      <c r="ULD36" s="3"/>
      <c r="ULE36" s="3"/>
      <c r="ULF36" s="3"/>
      <c r="ULG36" s="3"/>
      <c r="ULH36" s="3"/>
      <c r="ULI36" s="3"/>
      <c r="ULJ36" s="3"/>
      <c r="ULK36" s="3"/>
      <c r="ULL36" s="3"/>
      <c r="ULM36" s="3"/>
      <c r="ULN36" s="3"/>
      <c r="ULO36" s="3"/>
      <c r="ULP36" s="3"/>
      <c r="ULQ36" s="3"/>
      <c r="ULR36" s="3"/>
      <c r="ULS36" s="3"/>
      <c r="ULT36" s="3"/>
      <c r="ULU36" s="3"/>
      <c r="ULV36" s="3"/>
      <c r="ULW36" s="3"/>
      <c r="ULX36" s="3"/>
      <c r="ULY36" s="3"/>
      <c r="ULZ36" s="3"/>
      <c r="UMA36" s="3"/>
      <c r="UMB36" s="3"/>
      <c r="UMC36" s="3"/>
      <c r="UMD36" s="3"/>
      <c r="UME36" s="3"/>
      <c r="UMF36" s="3"/>
      <c r="UMG36" s="3"/>
      <c r="UMH36" s="3"/>
      <c r="UMI36" s="3"/>
      <c r="UMJ36" s="3"/>
      <c r="UMK36" s="3"/>
      <c r="UML36" s="3"/>
      <c r="UMM36" s="3"/>
      <c r="UMN36" s="3"/>
      <c r="UMO36" s="3"/>
      <c r="UMP36" s="3"/>
      <c r="UMQ36" s="3"/>
      <c r="UMR36" s="3"/>
      <c r="UMS36" s="3"/>
      <c r="UMT36" s="3"/>
      <c r="UMU36" s="3"/>
      <c r="UMV36" s="3"/>
      <c r="UMW36" s="3"/>
      <c r="UMX36" s="3"/>
      <c r="UMY36" s="3"/>
      <c r="UMZ36" s="3"/>
      <c r="UNA36" s="3"/>
      <c r="UNB36" s="3"/>
      <c r="UNC36" s="3"/>
      <c r="UND36" s="3"/>
      <c r="UNE36" s="3"/>
      <c r="UNF36" s="3"/>
      <c r="UNG36" s="3"/>
      <c r="UNH36" s="3"/>
      <c r="UNI36" s="3"/>
      <c r="UNJ36" s="3"/>
      <c r="UNK36" s="3"/>
      <c r="UNL36" s="3"/>
      <c r="UNM36" s="3"/>
      <c r="UNN36" s="3"/>
      <c r="UNO36" s="3"/>
      <c r="UNP36" s="3"/>
      <c r="UNQ36" s="3"/>
      <c r="UNR36" s="3"/>
      <c r="UNS36" s="3"/>
      <c r="UNT36" s="3"/>
      <c r="UNU36" s="3"/>
      <c r="UNV36" s="3"/>
      <c r="UNW36" s="3"/>
      <c r="UNX36" s="3"/>
      <c r="UNY36" s="3"/>
      <c r="UNZ36" s="3"/>
      <c r="UOA36" s="3"/>
      <c r="UOB36" s="3"/>
      <c r="UOC36" s="3"/>
      <c r="UOD36" s="3"/>
      <c r="UOE36" s="3"/>
      <c r="UOF36" s="3"/>
      <c r="UOG36" s="3"/>
      <c r="UOH36" s="3"/>
      <c r="UOI36" s="3"/>
      <c r="UOJ36" s="3"/>
      <c r="UOK36" s="3"/>
      <c r="UOL36" s="3"/>
      <c r="UOM36" s="3"/>
      <c r="UON36" s="3"/>
      <c r="UOO36" s="3"/>
      <c r="UOP36" s="3"/>
      <c r="UOQ36" s="3"/>
      <c r="UOR36" s="3"/>
      <c r="UOS36" s="3"/>
      <c r="UOT36" s="3"/>
      <c r="UOU36" s="3"/>
      <c r="UOV36" s="3"/>
      <c r="UOW36" s="3"/>
      <c r="UOX36" s="3"/>
      <c r="UOY36" s="3"/>
      <c r="UOZ36" s="3"/>
      <c r="UPA36" s="3"/>
      <c r="UPB36" s="3"/>
      <c r="UPC36" s="3"/>
      <c r="UPD36" s="3"/>
      <c r="UPE36" s="3"/>
      <c r="UPF36" s="3"/>
      <c r="UPG36" s="3"/>
      <c r="UPH36" s="3"/>
      <c r="UPI36" s="3"/>
      <c r="UPJ36" s="3"/>
      <c r="UPK36" s="3"/>
      <c r="UPL36" s="3"/>
      <c r="UPM36" s="3"/>
      <c r="UPN36" s="3"/>
      <c r="UPO36" s="3"/>
      <c r="UPP36" s="3"/>
      <c r="UPQ36" s="3"/>
      <c r="UPR36" s="3"/>
      <c r="UPS36" s="3"/>
      <c r="UPT36" s="3"/>
      <c r="UPU36" s="3"/>
      <c r="UPV36" s="3"/>
      <c r="UPW36" s="3"/>
      <c r="UPX36" s="3"/>
      <c r="UPY36" s="3"/>
      <c r="UPZ36" s="3"/>
      <c r="UQA36" s="3"/>
      <c r="UQB36" s="3"/>
      <c r="UQC36" s="3"/>
      <c r="UQD36" s="3"/>
      <c r="UQE36" s="3"/>
      <c r="UQF36" s="3"/>
      <c r="UQG36" s="3"/>
      <c r="UQH36" s="3"/>
      <c r="UQI36" s="3"/>
      <c r="UQJ36" s="3"/>
      <c r="UQK36" s="3"/>
      <c r="UQL36" s="3"/>
      <c r="UQM36" s="3"/>
      <c r="UQN36" s="3"/>
      <c r="UQO36" s="3"/>
      <c r="UQP36" s="3"/>
      <c r="UQQ36" s="3"/>
      <c r="UQR36" s="3"/>
      <c r="UQS36" s="3"/>
      <c r="UQT36" s="3"/>
      <c r="UQU36" s="3"/>
      <c r="UQV36" s="3"/>
      <c r="UQW36" s="3"/>
      <c r="UQX36" s="3"/>
      <c r="UQY36" s="3"/>
      <c r="UQZ36" s="3"/>
      <c r="URA36" s="3"/>
      <c r="URB36" s="3"/>
      <c r="URC36" s="3"/>
      <c r="URD36" s="3"/>
      <c r="URE36" s="3"/>
      <c r="URF36" s="3"/>
      <c r="URG36" s="3"/>
      <c r="URH36" s="3"/>
      <c r="URI36" s="3"/>
      <c r="URJ36" s="3"/>
      <c r="URK36" s="3"/>
      <c r="URL36" s="3"/>
      <c r="URM36" s="3"/>
      <c r="URN36" s="3"/>
      <c r="URO36" s="3"/>
      <c r="URP36" s="3"/>
      <c r="URQ36" s="3"/>
      <c r="URR36" s="3"/>
      <c r="URS36" s="3"/>
      <c r="URT36" s="3"/>
      <c r="URU36" s="3"/>
      <c r="URV36" s="3"/>
      <c r="URW36" s="3"/>
      <c r="URX36" s="3"/>
      <c r="URY36" s="3"/>
      <c r="URZ36" s="3"/>
      <c r="USA36" s="3"/>
      <c r="USB36" s="3"/>
      <c r="USC36" s="3"/>
      <c r="USD36" s="3"/>
      <c r="USE36" s="3"/>
      <c r="USF36" s="3"/>
      <c r="USG36" s="3"/>
      <c r="USH36" s="3"/>
      <c r="USI36" s="3"/>
      <c r="USJ36" s="3"/>
      <c r="USK36" s="3"/>
      <c r="USL36" s="3"/>
      <c r="USM36" s="3"/>
      <c r="USN36" s="3"/>
      <c r="USO36" s="3"/>
      <c r="USP36" s="3"/>
      <c r="USQ36" s="3"/>
      <c r="USR36" s="3"/>
      <c r="USS36" s="3"/>
      <c r="UST36" s="3"/>
      <c r="USU36" s="3"/>
      <c r="USV36" s="3"/>
      <c r="USW36" s="3"/>
      <c r="USX36" s="3"/>
      <c r="USY36" s="3"/>
      <c r="USZ36" s="3"/>
      <c r="UTA36" s="3"/>
      <c r="UTB36" s="3"/>
      <c r="UTC36" s="3"/>
      <c r="UTD36" s="3"/>
      <c r="UTE36" s="3"/>
      <c r="UTF36" s="3"/>
      <c r="UTG36" s="3"/>
      <c r="UTH36" s="3"/>
      <c r="UTI36" s="3"/>
      <c r="UTJ36" s="3"/>
      <c r="UTK36" s="3"/>
      <c r="UTL36" s="3"/>
      <c r="UTM36" s="3"/>
      <c r="UTN36" s="3"/>
      <c r="UTO36" s="3"/>
      <c r="UTP36" s="3"/>
      <c r="UTQ36" s="3"/>
      <c r="UTR36" s="3"/>
      <c r="UTS36" s="3"/>
      <c r="UTT36" s="3"/>
      <c r="UTU36" s="3"/>
      <c r="UTV36" s="3"/>
      <c r="UTW36" s="3"/>
      <c r="UTX36" s="3"/>
      <c r="UTY36" s="3"/>
      <c r="UTZ36" s="3"/>
      <c r="UUA36" s="3"/>
      <c r="UUB36" s="3"/>
      <c r="UUC36" s="3"/>
      <c r="UUD36" s="3"/>
      <c r="UUE36" s="3"/>
      <c r="UUF36" s="3"/>
      <c r="UUG36" s="3"/>
      <c r="UUH36" s="3"/>
      <c r="UUI36" s="3"/>
      <c r="UUJ36" s="3"/>
      <c r="UUK36" s="3"/>
      <c r="UUL36" s="3"/>
      <c r="UUM36" s="3"/>
      <c r="UUN36" s="3"/>
      <c r="UUO36" s="3"/>
      <c r="UUP36" s="3"/>
      <c r="UUQ36" s="3"/>
      <c r="UUR36" s="3"/>
      <c r="UUS36" s="3"/>
      <c r="UUT36" s="3"/>
      <c r="UUU36" s="3"/>
      <c r="UUV36" s="3"/>
      <c r="UUW36" s="3"/>
      <c r="UUX36" s="3"/>
      <c r="UUY36" s="3"/>
      <c r="UUZ36" s="3"/>
      <c r="UVA36" s="3"/>
      <c r="UVB36" s="3"/>
      <c r="UVC36" s="3"/>
      <c r="UVD36" s="3"/>
      <c r="UVE36" s="3"/>
      <c r="UVF36" s="3"/>
      <c r="UVG36" s="3"/>
      <c r="UVH36" s="3"/>
      <c r="UVI36" s="3"/>
      <c r="UVJ36" s="3"/>
      <c r="UVK36" s="3"/>
      <c r="UVL36" s="3"/>
      <c r="UVM36" s="3"/>
      <c r="UVN36" s="3"/>
      <c r="UVO36" s="3"/>
      <c r="UVP36" s="3"/>
      <c r="UVQ36" s="3"/>
      <c r="UVR36" s="3"/>
      <c r="UVS36" s="3"/>
      <c r="UVT36" s="3"/>
      <c r="UVU36" s="3"/>
      <c r="UVV36" s="3"/>
      <c r="UVW36" s="3"/>
      <c r="UVX36" s="3"/>
      <c r="UVY36" s="3"/>
      <c r="UVZ36" s="3"/>
      <c r="UWA36" s="3"/>
      <c r="UWB36" s="3"/>
      <c r="UWC36" s="3"/>
      <c r="UWD36" s="3"/>
      <c r="UWE36" s="3"/>
      <c r="UWF36" s="3"/>
      <c r="UWG36" s="3"/>
      <c r="UWH36" s="3"/>
      <c r="UWI36" s="3"/>
      <c r="UWJ36" s="3"/>
      <c r="UWK36" s="3"/>
      <c r="UWL36" s="3"/>
      <c r="UWM36" s="3"/>
      <c r="UWN36" s="3"/>
      <c r="UWO36" s="3"/>
      <c r="UWP36" s="3"/>
      <c r="UWQ36" s="3"/>
      <c r="UWR36" s="3"/>
      <c r="UWS36" s="3"/>
      <c r="UWT36" s="3"/>
      <c r="UWU36" s="3"/>
      <c r="UWV36" s="3"/>
      <c r="UWW36" s="3"/>
      <c r="UWX36" s="3"/>
      <c r="UWY36" s="3"/>
      <c r="UWZ36" s="3"/>
      <c r="UXA36" s="3"/>
      <c r="UXB36" s="3"/>
      <c r="UXC36" s="3"/>
      <c r="UXD36" s="3"/>
      <c r="UXE36" s="3"/>
      <c r="UXF36" s="3"/>
      <c r="UXG36" s="3"/>
      <c r="UXH36" s="3"/>
      <c r="UXI36" s="3"/>
      <c r="UXJ36" s="3"/>
      <c r="UXK36" s="3"/>
      <c r="UXL36" s="3"/>
      <c r="UXM36" s="3"/>
      <c r="UXN36" s="3"/>
      <c r="UXO36" s="3"/>
      <c r="UXP36" s="3"/>
      <c r="UXQ36" s="3"/>
      <c r="UXR36" s="3"/>
      <c r="UXS36" s="3"/>
      <c r="UXT36" s="3"/>
      <c r="UXU36" s="3"/>
      <c r="UXV36" s="3"/>
      <c r="UXW36" s="3"/>
      <c r="UXX36" s="3"/>
      <c r="UXY36" s="3"/>
      <c r="UXZ36" s="3"/>
      <c r="UYA36" s="3"/>
      <c r="UYB36" s="3"/>
      <c r="UYC36" s="3"/>
      <c r="UYD36" s="3"/>
      <c r="UYE36" s="3"/>
      <c r="UYF36" s="3"/>
      <c r="UYG36" s="3"/>
      <c r="UYH36" s="3"/>
      <c r="UYI36" s="3"/>
      <c r="UYJ36" s="3"/>
      <c r="UYK36" s="3"/>
      <c r="UYL36" s="3"/>
      <c r="UYM36" s="3"/>
      <c r="UYN36" s="3"/>
      <c r="UYO36" s="3"/>
      <c r="UYP36" s="3"/>
      <c r="UYQ36" s="3"/>
      <c r="UYR36" s="3"/>
      <c r="UYS36" s="3"/>
      <c r="UYT36" s="3"/>
      <c r="UYU36" s="3"/>
      <c r="UYV36" s="3"/>
      <c r="UYW36" s="3"/>
      <c r="UYX36" s="3"/>
      <c r="UYY36" s="3"/>
      <c r="UYZ36" s="3"/>
      <c r="UZA36" s="3"/>
      <c r="UZB36" s="3"/>
      <c r="UZC36" s="3"/>
      <c r="UZD36" s="3"/>
      <c r="UZE36" s="3"/>
      <c r="UZF36" s="3"/>
      <c r="UZG36" s="3"/>
      <c r="UZH36" s="3"/>
      <c r="UZI36" s="3"/>
      <c r="UZJ36" s="3"/>
      <c r="UZK36" s="3"/>
      <c r="UZL36" s="3"/>
      <c r="UZM36" s="3"/>
      <c r="UZN36" s="3"/>
      <c r="UZO36" s="3"/>
      <c r="UZP36" s="3"/>
      <c r="UZQ36" s="3"/>
      <c r="UZR36" s="3"/>
      <c r="UZS36" s="3"/>
      <c r="UZT36" s="3"/>
      <c r="UZU36" s="3"/>
      <c r="UZV36" s="3"/>
      <c r="UZW36" s="3"/>
      <c r="UZX36" s="3"/>
      <c r="UZY36" s="3"/>
      <c r="UZZ36" s="3"/>
      <c r="VAA36" s="3"/>
      <c r="VAB36" s="3"/>
      <c r="VAC36" s="3"/>
      <c r="VAD36" s="3"/>
      <c r="VAE36" s="3"/>
      <c r="VAF36" s="3"/>
      <c r="VAG36" s="3"/>
      <c r="VAH36" s="3"/>
      <c r="VAI36" s="3"/>
      <c r="VAJ36" s="3"/>
      <c r="VAK36" s="3"/>
      <c r="VAL36" s="3"/>
      <c r="VAM36" s="3"/>
      <c r="VAN36" s="3"/>
      <c r="VAO36" s="3"/>
      <c r="VAP36" s="3"/>
      <c r="VAQ36" s="3"/>
      <c r="VAR36" s="3"/>
      <c r="VAS36" s="3"/>
      <c r="VAT36" s="3"/>
      <c r="VAU36" s="3"/>
      <c r="VAV36" s="3"/>
      <c r="VAW36" s="3"/>
      <c r="VAX36" s="3"/>
      <c r="VAY36" s="3"/>
      <c r="VAZ36" s="3"/>
      <c r="VBA36" s="3"/>
      <c r="VBB36" s="3"/>
      <c r="VBC36" s="3"/>
      <c r="VBD36" s="3"/>
      <c r="VBE36" s="3"/>
      <c r="VBF36" s="3"/>
      <c r="VBG36" s="3"/>
      <c r="VBH36" s="3"/>
      <c r="VBI36" s="3"/>
      <c r="VBJ36" s="3"/>
      <c r="VBK36" s="3"/>
      <c r="VBL36" s="3"/>
      <c r="VBM36" s="3"/>
      <c r="VBN36" s="3"/>
      <c r="VBO36" s="3"/>
      <c r="VBP36" s="3"/>
      <c r="VBQ36" s="3"/>
      <c r="VBR36" s="3"/>
      <c r="VBS36" s="3"/>
      <c r="VBT36" s="3"/>
      <c r="VBU36" s="3"/>
      <c r="VBV36" s="3"/>
      <c r="VBW36" s="3"/>
      <c r="VBX36" s="3"/>
      <c r="VBY36" s="3"/>
      <c r="VBZ36" s="3"/>
      <c r="VCA36" s="3"/>
      <c r="VCB36" s="3"/>
      <c r="VCC36" s="3"/>
      <c r="VCD36" s="3"/>
      <c r="VCE36" s="3"/>
      <c r="VCF36" s="3"/>
      <c r="VCG36" s="3"/>
      <c r="VCH36" s="3"/>
      <c r="VCI36" s="3"/>
      <c r="VCJ36" s="3"/>
      <c r="VCK36" s="3"/>
      <c r="VCL36" s="3"/>
      <c r="VCM36" s="3"/>
      <c r="VCN36" s="3"/>
      <c r="VCO36" s="3"/>
      <c r="VCP36" s="3"/>
      <c r="VCQ36" s="3"/>
      <c r="VCR36" s="3"/>
      <c r="VCS36" s="3"/>
      <c r="VCT36" s="3"/>
      <c r="VCU36" s="3"/>
      <c r="VCV36" s="3"/>
      <c r="VCW36" s="3"/>
      <c r="VCX36" s="3"/>
      <c r="VCY36" s="3"/>
      <c r="VCZ36" s="3"/>
      <c r="VDA36" s="3"/>
      <c r="VDB36" s="3"/>
      <c r="VDC36" s="3"/>
      <c r="VDD36" s="3"/>
      <c r="VDE36" s="3"/>
      <c r="VDF36" s="3"/>
      <c r="VDG36" s="3"/>
      <c r="VDH36" s="3"/>
      <c r="VDI36" s="3"/>
      <c r="VDJ36" s="3"/>
      <c r="VDK36" s="3"/>
      <c r="VDL36" s="3"/>
      <c r="VDM36" s="3"/>
      <c r="VDN36" s="3"/>
      <c r="VDO36" s="3"/>
      <c r="VDP36" s="3"/>
      <c r="VDQ36" s="3"/>
      <c r="VDR36" s="3"/>
      <c r="VDS36" s="3"/>
      <c r="VDT36" s="3"/>
      <c r="VDU36" s="3"/>
      <c r="VDV36" s="3"/>
      <c r="VDW36" s="3"/>
      <c r="VDX36" s="3"/>
      <c r="VDY36" s="3"/>
      <c r="VDZ36" s="3"/>
      <c r="VEA36" s="3"/>
      <c r="VEB36" s="3"/>
      <c r="VEC36" s="3"/>
      <c r="VED36" s="3"/>
      <c r="VEE36" s="3"/>
      <c r="VEF36" s="3"/>
      <c r="VEG36" s="3"/>
      <c r="VEH36" s="3"/>
      <c r="VEI36" s="3"/>
      <c r="VEJ36" s="3"/>
      <c r="VEK36" s="3"/>
      <c r="VEL36" s="3"/>
      <c r="VEM36" s="3"/>
      <c r="VEN36" s="3"/>
      <c r="VEO36" s="3"/>
      <c r="VEP36" s="3"/>
      <c r="VEQ36" s="3"/>
      <c r="VER36" s="3"/>
      <c r="VES36" s="3"/>
      <c r="VET36" s="3"/>
      <c r="VEU36" s="3"/>
      <c r="VEV36" s="3"/>
      <c r="VEW36" s="3"/>
      <c r="VEX36" s="3"/>
      <c r="VEY36" s="3"/>
      <c r="VEZ36" s="3"/>
      <c r="VFA36" s="3"/>
      <c r="VFB36" s="3"/>
      <c r="VFC36" s="3"/>
      <c r="VFD36" s="3"/>
      <c r="VFE36" s="3"/>
      <c r="VFF36" s="3"/>
      <c r="VFG36" s="3"/>
      <c r="VFH36" s="3"/>
      <c r="VFI36" s="3"/>
      <c r="VFJ36" s="3"/>
      <c r="VFK36" s="3"/>
      <c r="VFL36" s="3"/>
      <c r="VFM36" s="3"/>
      <c r="VFN36" s="3"/>
      <c r="VFO36" s="3"/>
      <c r="VFP36" s="3"/>
      <c r="VFQ36" s="3"/>
      <c r="VFR36" s="3"/>
      <c r="VFS36" s="3"/>
      <c r="VFT36" s="3"/>
      <c r="VFU36" s="3"/>
      <c r="VFV36" s="3"/>
      <c r="VFW36" s="3"/>
      <c r="VFX36" s="3"/>
      <c r="VFY36" s="3"/>
      <c r="VFZ36" s="3"/>
      <c r="VGA36" s="3"/>
      <c r="VGB36" s="3"/>
      <c r="VGC36" s="3"/>
      <c r="VGD36" s="3"/>
      <c r="VGE36" s="3"/>
      <c r="VGF36" s="3"/>
      <c r="VGG36" s="3"/>
      <c r="VGH36" s="3"/>
      <c r="VGI36" s="3"/>
      <c r="VGJ36" s="3"/>
      <c r="VGK36" s="3"/>
      <c r="VGL36" s="3"/>
      <c r="VGM36" s="3"/>
      <c r="VGN36" s="3"/>
      <c r="VGO36" s="3"/>
      <c r="VGP36" s="3"/>
      <c r="VGQ36" s="3"/>
      <c r="VGR36" s="3"/>
      <c r="VGS36" s="3"/>
      <c r="VGT36" s="3"/>
      <c r="VGU36" s="3"/>
      <c r="VGV36" s="3"/>
      <c r="VGW36" s="3"/>
      <c r="VGX36" s="3"/>
      <c r="VGY36" s="3"/>
      <c r="VGZ36" s="3"/>
      <c r="VHA36" s="3"/>
      <c r="VHB36" s="3"/>
      <c r="VHC36" s="3"/>
      <c r="VHD36" s="3"/>
      <c r="VHE36" s="3"/>
      <c r="VHF36" s="3"/>
      <c r="VHG36" s="3"/>
      <c r="VHH36" s="3"/>
      <c r="VHI36" s="3"/>
      <c r="VHJ36" s="3"/>
      <c r="VHK36" s="3"/>
      <c r="VHL36" s="3"/>
      <c r="VHM36" s="3"/>
      <c r="VHN36" s="3"/>
      <c r="VHO36" s="3"/>
      <c r="VHP36" s="3"/>
      <c r="VHQ36" s="3"/>
      <c r="VHR36" s="3"/>
      <c r="VHS36" s="3"/>
      <c r="VHT36" s="3"/>
      <c r="VHU36" s="3"/>
      <c r="VHV36" s="3"/>
      <c r="VHW36" s="3"/>
      <c r="VHX36" s="3"/>
      <c r="VHY36" s="3"/>
      <c r="VHZ36" s="3"/>
      <c r="VIA36" s="3"/>
      <c r="VIB36" s="3"/>
      <c r="VIC36" s="3"/>
      <c r="VID36" s="3"/>
      <c r="VIE36" s="3"/>
      <c r="VIF36" s="3"/>
      <c r="VIG36" s="3"/>
      <c r="VIH36" s="3"/>
      <c r="VII36" s="3"/>
      <c r="VIJ36" s="3"/>
      <c r="VIK36" s="3"/>
      <c r="VIL36" s="3"/>
      <c r="VIM36" s="3"/>
      <c r="VIN36" s="3"/>
      <c r="VIO36" s="3"/>
      <c r="VIP36" s="3"/>
      <c r="VIQ36" s="3"/>
      <c r="VIR36" s="3"/>
      <c r="VIS36" s="3"/>
      <c r="VIT36" s="3"/>
      <c r="VIU36" s="3"/>
      <c r="VIV36" s="3"/>
      <c r="VIW36" s="3"/>
      <c r="VIX36" s="3"/>
      <c r="VIY36" s="3"/>
      <c r="VIZ36" s="3"/>
      <c r="VJA36" s="3"/>
      <c r="VJB36" s="3"/>
      <c r="VJC36" s="3"/>
      <c r="VJD36" s="3"/>
      <c r="VJE36" s="3"/>
      <c r="VJF36" s="3"/>
      <c r="VJG36" s="3"/>
      <c r="VJH36" s="3"/>
      <c r="VJI36" s="3"/>
      <c r="VJJ36" s="3"/>
      <c r="VJK36" s="3"/>
      <c r="VJL36" s="3"/>
      <c r="VJM36" s="3"/>
      <c r="VJN36" s="3"/>
      <c r="VJO36" s="3"/>
      <c r="VJP36" s="3"/>
      <c r="VJQ36" s="3"/>
      <c r="VJR36" s="3"/>
      <c r="VJS36" s="3"/>
      <c r="VJT36" s="3"/>
      <c r="VJU36" s="3"/>
      <c r="VJV36" s="3"/>
      <c r="VJW36" s="3"/>
      <c r="VJX36" s="3"/>
      <c r="VJY36" s="3"/>
      <c r="VJZ36" s="3"/>
      <c r="VKA36" s="3"/>
      <c r="VKB36" s="3"/>
      <c r="VKC36" s="3"/>
      <c r="VKD36" s="3"/>
      <c r="VKE36" s="3"/>
      <c r="VKF36" s="3"/>
      <c r="VKG36" s="3"/>
      <c r="VKH36" s="3"/>
      <c r="VKI36" s="3"/>
      <c r="VKJ36" s="3"/>
      <c r="VKK36" s="3"/>
      <c r="VKL36" s="3"/>
      <c r="VKM36" s="3"/>
      <c r="VKN36" s="3"/>
      <c r="VKO36" s="3"/>
      <c r="VKP36" s="3"/>
      <c r="VKQ36" s="3"/>
      <c r="VKR36" s="3"/>
      <c r="VKS36" s="3"/>
      <c r="VKT36" s="3"/>
      <c r="VKU36" s="3"/>
      <c r="VKV36" s="3"/>
      <c r="VKW36" s="3"/>
      <c r="VKX36" s="3"/>
      <c r="VKY36" s="3"/>
      <c r="VKZ36" s="3"/>
      <c r="VLA36" s="3"/>
      <c r="VLB36" s="3"/>
      <c r="VLC36" s="3"/>
      <c r="VLD36" s="3"/>
      <c r="VLE36" s="3"/>
      <c r="VLF36" s="3"/>
      <c r="VLG36" s="3"/>
      <c r="VLH36" s="3"/>
      <c r="VLI36" s="3"/>
      <c r="VLJ36" s="3"/>
      <c r="VLK36" s="3"/>
      <c r="VLL36" s="3"/>
      <c r="VLM36" s="3"/>
      <c r="VLN36" s="3"/>
      <c r="VLO36" s="3"/>
      <c r="VLP36" s="3"/>
      <c r="VLQ36" s="3"/>
      <c r="VLR36" s="3"/>
      <c r="VLS36" s="3"/>
      <c r="VLT36" s="3"/>
      <c r="VLU36" s="3"/>
      <c r="VLV36" s="3"/>
      <c r="VLW36" s="3"/>
      <c r="VLX36" s="3"/>
      <c r="VLY36" s="3"/>
      <c r="VLZ36" s="3"/>
      <c r="VMA36" s="3"/>
      <c r="VMB36" s="3"/>
      <c r="VMC36" s="3"/>
      <c r="VMD36" s="3"/>
      <c r="VME36" s="3"/>
      <c r="VMF36" s="3"/>
      <c r="VMG36" s="3"/>
      <c r="VMH36" s="3"/>
      <c r="VMI36" s="3"/>
      <c r="VMJ36" s="3"/>
      <c r="VMK36" s="3"/>
      <c r="VML36" s="3"/>
      <c r="VMM36" s="3"/>
      <c r="VMN36" s="3"/>
      <c r="VMO36" s="3"/>
      <c r="VMP36" s="3"/>
      <c r="VMQ36" s="3"/>
      <c r="VMR36" s="3"/>
      <c r="VMS36" s="3"/>
      <c r="VMT36" s="3"/>
      <c r="VMU36" s="3"/>
      <c r="VMV36" s="3"/>
      <c r="VMW36" s="3"/>
      <c r="VMX36" s="3"/>
      <c r="VMY36" s="3"/>
      <c r="VMZ36" s="3"/>
      <c r="VNA36" s="3"/>
      <c r="VNB36" s="3"/>
      <c r="VNC36" s="3"/>
      <c r="VND36" s="3"/>
      <c r="VNE36" s="3"/>
      <c r="VNF36" s="3"/>
      <c r="VNG36" s="3"/>
      <c r="VNH36" s="3"/>
      <c r="VNI36" s="3"/>
      <c r="VNJ36" s="3"/>
      <c r="VNK36" s="3"/>
      <c r="VNL36" s="3"/>
      <c r="VNM36" s="3"/>
      <c r="VNN36" s="3"/>
      <c r="VNO36" s="3"/>
      <c r="VNP36" s="3"/>
      <c r="VNQ36" s="3"/>
      <c r="VNR36" s="3"/>
      <c r="VNS36" s="3"/>
      <c r="VNT36" s="3"/>
      <c r="VNU36" s="3"/>
      <c r="VNV36" s="3"/>
      <c r="VNW36" s="3"/>
      <c r="VNX36" s="3"/>
      <c r="VNY36" s="3"/>
      <c r="VNZ36" s="3"/>
      <c r="VOA36" s="3"/>
      <c r="VOB36" s="3"/>
      <c r="VOC36" s="3"/>
      <c r="VOD36" s="3"/>
      <c r="VOE36" s="3"/>
      <c r="VOF36" s="3"/>
      <c r="VOG36" s="3"/>
      <c r="VOH36" s="3"/>
      <c r="VOI36" s="3"/>
      <c r="VOJ36" s="3"/>
      <c r="VOK36" s="3"/>
      <c r="VOL36" s="3"/>
      <c r="VOM36" s="3"/>
      <c r="VON36" s="3"/>
      <c r="VOO36" s="3"/>
      <c r="VOP36" s="3"/>
      <c r="VOQ36" s="3"/>
      <c r="VOR36" s="3"/>
      <c r="VOS36" s="3"/>
      <c r="VOT36" s="3"/>
      <c r="VOU36" s="3"/>
      <c r="VOV36" s="3"/>
      <c r="VOW36" s="3"/>
      <c r="VOX36" s="3"/>
      <c r="VOY36" s="3"/>
      <c r="VOZ36" s="3"/>
      <c r="VPA36" s="3"/>
      <c r="VPB36" s="3"/>
      <c r="VPC36" s="3"/>
      <c r="VPD36" s="3"/>
      <c r="VPE36" s="3"/>
      <c r="VPF36" s="3"/>
      <c r="VPG36" s="3"/>
      <c r="VPH36" s="3"/>
      <c r="VPI36" s="3"/>
      <c r="VPJ36" s="3"/>
      <c r="VPK36" s="3"/>
      <c r="VPL36" s="3"/>
      <c r="VPM36" s="3"/>
      <c r="VPN36" s="3"/>
      <c r="VPO36" s="3"/>
      <c r="VPP36" s="3"/>
      <c r="VPQ36" s="3"/>
      <c r="VPR36" s="3"/>
      <c r="VPS36" s="3"/>
      <c r="VPT36" s="3"/>
      <c r="VPU36" s="3"/>
      <c r="VPV36" s="3"/>
      <c r="VPW36" s="3"/>
      <c r="VPX36" s="3"/>
      <c r="VPY36" s="3"/>
      <c r="VPZ36" s="3"/>
      <c r="VQA36" s="3"/>
      <c r="VQB36" s="3"/>
      <c r="VQC36" s="3"/>
      <c r="VQD36" s="3"/>
      <c r="VQE36" s="3"/>
      <c r="VQF36" s="3"/>
      <c r="VQG36" s="3"/>
      <c r="VQH36" s="3"/>
      <c r="VQI36" s="3"/>
      <c r="VQJ36" s="3"/>
      <c r="VQK36" s="3"/>
      <c r="VQL36" s="3"/>
      <c r="VQM36" s="3"/>
      <c r="VQN36" s="3"/>
      <c r="VQO36" s="3"/>
      <c r="VQP36" s="3"/>
      <c r="VQQ36" s="3"/>
      <c r="VQR36" s="3"/>
      <c r="VQS36" s="3"/>
      <c r="VQT36" s="3"/>
      <c r="VQU36" s="3"/>
      <c r="VQV36" s="3"/>
      <c r="VQW36" s="3"/>
      <c r="VQX36" s="3"/>
      <c r="VQY36" s="3"/>
      <c r="VQZ36" s="3"/>
      <c r="VRA36" s="3"/>
      <c r="VRB36" s="3"/>
      <c r="VRC36" s="3"/>
      <c r="VRD36" s="3"/>
      <c r="VRE36" s="3"/>
      <c r="VRF36" s="3"/>
      <c r="VRG36" s="3"/>
      <c r="VRH36" s="3"/>
      <c r="VRI36" s="3"/>
      <c r="VRJ36" s="3"/>
      <c r="VRK36" s="3"/>
      <c r="VRL36" s="3"/>
      <c r="VRM36" s="3"/>
      <c r="VRN36" s="3"/>
      <c r="VRO36" s="3"/>
      <c r="VRP36" s="3"/>
      <c r="VRQ36" s="3"/>
      <c r="VRR36" s="3"/>
      <c r="VRS36" s="3"/>
      <c r="VRT36" s="3"/>
      <c r="VRU36" s="3"/>
      <c r="VRV36" s="3"/>
      <c r="VRW36" s="3"/>
      <c r="VRX36" s="3"/>
      <c r="VRY36" s="3"/>
      <c r="VRZ36" s="3"/>
      <c r="VSA36" s="3"/>
      <c r="VSB36" s="3"/>
      <c r="VSC36" s="3"/>
      <c r="VSD36" s="3"/>
      <c r="VSE36" s="3"/>
      <c r="VSF36" s="3"/>
      <c r="VSG36" s="3"/>
      <c r="VSH36" s="3"/>
      <c r="VSI36" s="3"/>
      <c r="VSJ36" s="3"/>
      <c r="VSK36" s="3"/>
      <c r="VSL36" s="3"/>
      <c r="VSM36" s="3"/>
      <c r="VSN36" s="3"/>
      <c r="VSO36" s="3"/>
      <c r="VSP36" s="3"/>
      <c r="VSQ36" s="3"/>
      <c r="VSR36" s="3"/>
      <c r="VSS36" s="3"/>
      <c r="VST36" s="3"/>
      <c r="VSU36" s="3"/>
      <c r="VSV36" s="3"/>
      <c r="VSW36" s="3"/>
      <c r="VSX36" s="3"/>
      <c r="VSY36" s="3"/>
      <c r="VSZ36" s="3"/>
      <c r="VTA36" s="3"/>
      <c r="VTB36" s="3"/>
      <c r="VTC36" s="3"/>
      <c r="VTD36" s="3"/>
      <c r="VTE36" s="3"/>
      <c r="VTF36" s="3"/>
      <c r="VTG36" s="3"/>
      <c r="VTH36" s="3"/>
      <c r="VTI36" s="3"/>
      <c r="VTJ36" s="3"/>
      <c r="VTK36" s="3"/>
      <c r="VTL36" s="3"/>
      <c r="VTM36" s="3"/>
      <c r="VTN36" s="3"/>
      <c r="VTO36" s="3"/>
      <c r="VTP36" s="3"/>
      <c r="VTQ36" s="3"/>
      <c r="VTR36" s="3"/>
      <c r="VTS36" s="3"/>
      <c r="VTT36" s="3"/>
      <c r="VTU36" s="3"/>
      <c r="VTV36" s="3"/>
      <c r="VTW36" s="3"/>
      <c r="VTX36" s="3"/>
      <c r="VTY36" s="3"/>
      <c r="VTZ36" s="3"/>
      <c r="VUA36" s="3"/>
      <c r="VUB36" s="3"/>
      <c r="VUC36" s="3"/>
      <c r="VUD36" s="3"/>
      <c r="VUE36" s="3"/>
      <c r="VUF36" s="3"/>
      <c r="VUG36" s="3"/>
      <c r="VUH36" s="3"/>
      <c r="VUI36" s="3"/>
      <c r="VUJ36" s="3"/>
      <c r="VUK36" s="3"/>
      <c r="VUL36" s="3"/>
      <c r="VUM36" s="3"/>
      <c r="VUN36" s="3"/>
      <c r="VUO36" s="3"/>
      <c r="VUP36" s="3"/>
      <c r="VUQ36" s="3"/>
      <c r="VUR36" s="3"/>
      <c r="VUS36" s="3"/>
      <c r="VUT36" s="3"/>
      <c r="VUU36" s="3"/>
      <c r="VUV36" s="3"/>
      <c r="VUW36" s="3"/>
      <c r="VUX36" s="3"/>
      <c r="VUY36" s="3"/>
      <c r="VUZ36" s="3"/>
      <c r="VVA36" s="3"/>
      <c r="VVB36" s="3"/>
      <c r="VVC36" s="3"/>
      <c r="VVD36" s="3"/>
      <c r="VVE36" s="3"/>
      <c r="VVF36" s="3"/>
      <c r="VVG36" s="3"/>
      <c r="VVH36" s="3"/>
      <c r="VVI36" s="3"/>
      <c r="VVJ36" s="3"/>
      <c r="VVK36" s="3"/>
      <c r="VVL36" s="3"/>
      <c r="VVM36" s="3"/>
      <c r="VVN36" s="3"/>
      <c r="VVO36" s="3"/>
      <c r="VVP36" s="3"/>
      <c r="VVQ36" s="3"/>
      <c r="VVR36" s="3"/>
      <c r="VVS36" s="3"/>
      <c r="VVT36" s="3"/>
      <c r="VVU36" s="3"/>
      <c r="VVV36" s="3"/>
      <c r="VVW36" s="3"/>
      <c r="VVX36" s="3"/>
      <c r="VVY36" s="3"/>
      <c r="VVZ36" s="3"/>
      <c r="VWA36" s="3"/>
      <c r="VWB36" s="3"/>
      <c r="VWC36" s="3"/>
      <c r="VWD36" s="3"/>
      <c r="VWE36" s="3"/>
      <c r="VWF36" s="3"/>
      <c r="VWG36" s="3"/>
      <c r="VWH36" s="3"/>
      <c r="VWI36" s="3"/>
      <c r="VWJ36" s="3"/>
      <c r="VWK36" s="3"/>
      <c r="VWL36" s="3"/>
      <c r="VWM36" s="3"/>
      <c r="VWN36" s="3"/>
      <c r="VWO36" s="3"/>
      <c r="VWP36" s="3"/>
      <c r="VWQ36" s="3"/>
      <c r="VWR36" s="3"/>
      <c r="VWS36" s="3"/>
      <c r="VWT36" s="3"/>
      <c r="VWU36" s="3"/>
      <c r="VWV36" s="3"/>
      <c r="VWW36" s="3"/>
      <c r="VWX36" s="3"/>
      <c r="VWY36" s="3"/>
      <c r="VWZ36" s="3"/>
      <c r="VXA36" s="3"/>
      <c r="VXB36" s="3"/>
      <c r="VXC36" s="3"/>
      <c r="VXD36" s="3"/>
      <c r="VXE36" s="3"/>
      <c r="VXF36" s="3"/>
      <c r="VXG36" s="3"/>
      <c r="VXH36" s="3"/>
      <c r="VXI36" s="3"/>
      <c r="VXJ36" s="3"/>
      <c r="VXK36" s="3"/>
      <c r="VXL36" s="3"/>
      <c r="VXM36" s="3"/>
      <c r="VXN36" s="3"/>
      <c r="VXO36" s="3"/>
      <c r="VXP36" s="3"/>
      <c r="VXQ36" s="3"/>
      <c r="VXR36" s="3"/>
      <c r="VXS36" s="3"/>
      <c r="VXT36" s="3"/>
      <c r="VXU36" s="3"/>
      <c r="VXV36" s="3"/>
      <c r="VXW36" s="3"/>
      <c r="VXX36" s="3"/>
      <c r="VXY36" s="3"/>
      <c r="VXZ36" s="3"/>
      <c r="VYA36" s="3"/>
      <c r="VYB36" s="3"/>
      <c r="VYC36" s="3"/>
      <c r="VYD36" s="3"/>
      <c r="VYE36" s="3"/>
      <c r="VYF36" s="3"/>
      <c r="VYG36" s="3"/>
      <c r="VYH36" s="3"/>
      <c r="VYI36" s="3"/>
      <c r="VYJ36" s="3"/>
      <c r="VYK36" s="3"/>
      <c r="VYL36" s="3"/>
      <c r="VYM36" s="3"/>
      <c r="VYN36" s="3"/>
      <c r="VYO36" s="3"/>
      <c r="VYP36" s="3"/>
      <c r="VYQ36" s="3"/>
      <c r="VYR36" s="3"/>
      <c r="VYS36" s="3"/>
      <c r="VYT36" s="3"/>
      <c r="VYU36" s="3"/>
      <c r="VYV36" s="3"/>
      <c r="VYW36" s="3"/>
      <c r="VYX36" s="3"/>
      <c r="VYY36" s="3"/>
      <c r="VYZ36" s="3"/>
      <c r="VZA36" s="3"/>
      <c r="VZB36" s="3"/>
      <c r="VZC36" s="3"/>
      <c r="VZD36" s="3"/>
      <c r="VZE36" s="3"/>
      <c r="VZF36" s="3"/>
      <c r="VZG36" s="3"/>
      <c r="VZH36" s="3"/>
      <c r="VZI36" s="3"/>
      <c r="VZJ36" s="3"/>
      <c r="VZK36" s="3"/>
      <c r="VZL36" s="3"/>
      <c r="VZM36" s="3"/>
      <c r="VZN36" s="3"/>
      <c r="VZO36" s="3"/>
      <c r="VZP36" s="3"/>
      <c r="VZQ36" s="3"/>
      <c r="VZR36" s="3"/>
      <c r="VZS36" s="3"/>
      <c r="VZT36" s="3"/>
      <c r="VZU36" s="3"/>
      <c r="VZV36" s="3"/>
      <c r="VZW36" s="3"/>
      <c r="VZX36" s="3"/>
      <c r="VZY36" s="3"/>
      <c r="VZZ36" s="3"/>
      <c r="WAA36" s="3"/>
      <c r="WAB36" s="3"/>
      <c r="WAC36" s="3"/>
      <c r="WAD36" s="3"/>
      <c r="WAE36" s="3"/>
      <c r="WAF36" s="3"/>
      <c r="WAG36" s="3"/>
      <c r="WAH36" s="3"/>
      <c r="WAI36" s="3"/>
      <c r="WAJ36" s="3"/>
      <c r="WAK36" s="3"/>
      <c r="WAL36" s="3"/>
      <c r="WAM36" s="3"/>
      <c r="WAN36" s="3"/>
      <c r="WAO36" s="3"/>
      <c r="WAP36" s="3"/>
      <c r="WAQ36" s="3"/>
      <c r="WAR36" s="3"/>
      <c r="WAS36" s="3"/>
      <c r="WAT36" s="3"/>
      <c r="WAU36" s="3"/>
      <c r="WAV36" s="3"/>
      <c r="WAW36" s="3"/>
      <c r="WAX36" s="3"/>
      <c r="WAY36" s="3"/>
      <c r="WAZ36" s="3"/>
      <c r="WBA36" s="3"/>
      <c r="WBB36" s="3"/>
      <c r="WBC36" s="3"/>
      <c r="WBD36" s="3"/>
      <c r="WBE36" s="3"/>
      <c r="WBF36" s="3"/>
      <c r="WBG36" s="3"/>
      <c r="WBH36" s="3"/>
      <c r="WBI36" s="3"/>
      <c r="WBJ36" s="3"/>
      <c r="WBK36" s="3"/>
      <c r="WBL36" s="3"/>
      <c r="WBM36" s="3"/>
      <c r="WBN36" s="3"/>
      <c r="WBO36" s="3"/>
      <c r="WBP36" s="3"/>
      <c r="WBQ36" s="3"/>
      <c r="WBR36" s="3"/>
      <c r="WBS36" s="3"/>
      <c r="WBT36" s="3"/>
      <c r="WBU36" s="3"/>
      <c r="WBV36" s="3"/>
      <c r="WBW36" s="3"/>
      <c r="WBX36" s="3"/>
      <c r="WBY36" s="3"/>
      <c r="WBZ36" s="3"/>
      <c r="WCA36" s="3"/>
      <c r="WCB36" s="3"/>
      <c r="WCC36" s="3"/>
      <c r="WCD36" s="3"/>
      <c r="WCE36" s="3"/>
      <c r="WCF36" s="3"/>
      <c r="WCG36" s="3"/>
      <c r="WCH36" s="3"/>
      <c r="WCI36" s="3"/>
      <c r="WCJ36" s="3"/>
      <c r="WCK36" s="3"/>
      <c r="WCL36" s="3"/>
      <c r="WCM36" s="3"/>
      <c r="WCN36" s="3"/>
      <c r="WCO36" s="3"/>
      <c r="WCP36" s="3"/>
      <c r="WCQ36" s="3"/>
      <c r="WCR36" s="3"/>
      <c r="WCS36" s="3"/>
      <c r="WCT36" s="3"/>
      <c r="WCU36" s="3"/>
      <c r="WCV36" s="3"/>
      <c r="WCW36" s="3"/>
      <c r="WCX36" s="3"/>
      <c r="WCY36" s="3"/>
      <c r="WCZ36" s="3"/>
      <c r="WDA36" s="3"/>
      <c r="WDB36" s="3"/>
      <c r="WDC36" s="3"/>
      <c r="WDD36" s="3"/>
      <c r="WDE36" s="3"/>
      <c r="WDF36" s="3"/>
      <c r="WDG36" s="3"/>
      <c r="WDH36" s="3"/>
      <c r="WDI36" s="3"/>
      <c r="WDJ36" s="3"/>
      <c r="WDK36" s="3"/>
      <c r="WDL36" s="3"/>
      <c r="WDM36" s="3"/>
      <c r="WDN36" s="3"/>
      <c r="WDO36" s="3"/>
      <c r="WDP36" s="3"/>
      <c r="WDQ36" s="3"/>
      <c r="WDR36" s="3"/>
      <c r="WDS36" s="3"/>
      <c r="WDT36" s="3"/>
      <c r="WDU36" s="3"/>
      <c r="WDV36" s="3"/>
      <c r="WDW36" s="3"/>
      <c r="WDX36" s="3"/>
      <c r="WDY36" s="3"/>
      <c r="WDZ36" s="3"/>
      <c r="WEA36" s="3"/>
      <c r="WEB36" s="3"/>
      <c r="WEC36" s="3"/>
      <c r="WED36" s="3"/>
      <c r="WEE36" s="3"/>
      <c r="WEF36" s="3"/>
      <c r="WEG36" s="3"/>
      <c r="WEH36" s="3"/>
      <c r="WEI36" s="3"/>
      <c r="WEJ36" s="3"/>
      <c r="WEK36" s="3"/>
      <c r="WEL36" s="3"/>
      <c r="WEM36" s="3"/>
      <c r="WEN36" s="3"/>
      <c r="WEO36" s="3"/>
      <c r="WEP36" s="3"/>
      <c r="WEQ36" s="3"/>
      <c r="WER36" s="3"/>
      <c r="WES36" s="3"/>
      <c r="WET36" s="3"/>
      <c r="WEU36" s="3"/>
      <c r="WEV36" s="3"/>
      <c r="WEW36" s="3"/>
      <c r="WEX36" s="3"/>
      <c r="WEY36" s="3"/>
      <c r="WEZ36" s="3"/>
      <c r="WFA36" s="3"/>
      <c r="WFB36" s="3"/>
      <c r="WFC36" s="3"/>
      <c r="WFD36" s="3"/>
      <c r="WFE36" s="3"/>
      <c r="WFF36" s="3"/>
      <c r="WFG36" s="3"/>
      <c r="WFH36" s="3"/>
      <c r="WFI36" s="3"/>
      <c r="WFJ36" s="3"/>
      <c r="WFK36" s="3"/>
      <c r="WFL36" s="3"/>
      <c r="WFM36" s="3"/>
      <c r="WFN36" s="3"/>
      <c r="WFO36" s="3"/>
      <c r="WFP36" s="3"/>
      <c r="WFQ36" s="3"/>
      <c r="WFR36" s="3"/>
      <c r="WFS36" s="3"/>
      <c r="WFT36" s="3"/>
      <c r="WFU36" s="3"/>
      <c r="WFV36" s="3"/>
      <c r="WFW36" s="3"/>
      <c r="WFX36" s="3"/>
      <c r="WFY36" s="3"/>
      <c r="WFZ36" s="3"/>
      <c r="WGA36" s="3"/>
      <c r="WGB36" s="3"/>
      <c r="WGC36" s="3"/>
      <c r="WGD36" s="3"/>
      <c r="WGE36" s="3"/>
      <c r="WGF36" s="3"/>
      <c r="WGG36" s="3"/>
      <c r="WGH36" s="3"/>
      <c r="WGI36" s="3"/>
      <c r="WGJ36" s="3"/>
      <c r="WGK36" s="3"/>
      <c r="WGL36" s="3"/>
      <c r="WGM36" s="3"/>
      <c r="WGN36" s="3"/>
      <c r="WGO36" s="3"/>
      <c r="WGP36" s="3"/>
      <c r="WGQ36" s="3"/>
      <c r="WGR36" s="3"/>
      <c r="WGS36" s="3"/>
      <c r="WGT36" s="3"/>
      <c r="WGU36" s="3"/>
      <c r="WGV36" s="3"/>
      <c r="WGW36" s="3"/>
      <c r="WGX36" s="3"/>
      <c r="WGY36" s="3"/>
      <c r="WGZ36" s="3"/>
      <c r="WHA36" s="3"/>
      <c r="WHB36" s="3"/>
      <c r="WHC36" s="3"/>
      <c r="WHD36" s="3"/>
      <c r="WHE36" s="3"/>
      <c r="WHF36" s="3"/>
      <c r="WHG36" s="3"/>
      <c r="WHH36" s="3"/>
      <c r="WHI36" s="3"/>
      <c r="WHJ36" s="3"/>
      <c r="WHK36" s="3"/>
      <c r="WHL36" s="3"/>
      <c r="WHM36" s="3"/>
      <c r="WHN36" s="3"/>
      <c r="WHO36" s="3"/>
      <c r="WHP36" s="3"/>
      <c r="WHQ36" s="3"/>
      <c r="WHR36" s="3"/>
      <c r="WHS36" s="3"/>
      <c r="WHT36" s="3"/>
      <c r="WHU36" s="3"/>
      <c r="WHV36" s="3"/>
      <c r="WHW36" s="3"/>
      <c r="WHX36" s="3"/>
      <c r="WHY36" s="3"/>
      <c r="WHZ36" s="3"/>
      <c r="WIA36" s="3"/>
      <c r="WIB36" s="3"/>
      <c r="WIC36" s="3"/>
      <c r="WID36" s="3"/>
      <c r="WIE36" s="3"/>
      <c r="WIF36" s="3"/>
      <c r="WIG36" s="3"/>
      <c r="WIH36" s="3"/>
      <c r="WII36" s="3"/>
      <c r="WIJ36" s="3"/>
      <c r="WIK36" s="3"/>
      <c r="WIL36" s="3"/>
      <c r="WIM36" s="3"/>
      <c r="WIN36" s="3"/>
      <c r="WIO36" s="3"/>
      <c r="WIP36" s="3"/>
      <c r="WIQ36" s="3"/>
      <c r="WIR36" s="3"/>
      <c r="WIS36" s="3"/>
      <c r="WIT36" s="3"/>
      <c r="WIU36" s="3"/>
      <c r="WIV36" s="3"/>
      <c r="WIW36" s="3"/>
      <c r="WIX36" s="3"/>
      <c r="WIY36" s="3"/>
      <c r="WIZ36" s="3"/>
      <c r="WJA36" s="3"/>
      <c r="WJB36" s="3"/>
      <c r="WJC36" s="3"/>
      <c r="WJD36" s="3"/>
      <c r="WJE36" s="3"/>
      <c r="WJF36" s="3"/>
      <c r="WJG36" s="3"/>
      <c r="WJH36" s="3"/>
      <c r="WJI36" s="3"/>
      <c r="WJJ36" s="3"/>
      <c r="WJK36" s="3"/>
      <c r="WJL36" s="3"/>
      <c r="WJM36" s="3"/>
      <c r="WJN36" s="3"/>
      <c r="WJO36" s="3"/>
      <c r="WJP36" s="3"/>
      <c r="WJQ36" s="3"/>
      <c r="WJR36" s="3"/>
      <c r="WJS36" s="3"/>
      <c r="WJT36" s="3"/>
      <c r="WJU36" s="3"/>
      <c r="WJV36" s="3"/>
      <c r="WJW36" s="3"/>
      <c r="WJX36" s="3"/>
      <c r="WJY36" s="3"/>
      <c r="WJZ36" s="3"/>
      <c r="WKA36" s="3"/>
      <c r="WKB36" s="3"/>
      <c r="WKC36" s="3"/>
      <c r="WKD36" s="3"/>
      <c r="WKE36" s="3"/>
      <c r="WKF36" s="3"/>
      <c r="WKG36" s="3"/>
      <c r="WKH36" s="3"/>
      <c r="WKI36" s="3"/>
      <c r="WKJ36" s="3"/>
      <c r="WKK36" s="3"/>
      <c r="WKL36" s="3"/>
      <c r="WKM36" s="3"/>
      <c r="WKN36" s="3"/>
      <c r="WKO36" s="3"/>
      <c r="WKP36" s="3"/>
      <c r="WKQ36" s="3"/>
      <c r="WKR36" s="3"/>
      <c r="WKS36" s="3"/>
      <c r="WKT36" s="3"/>
      <c r="WKU36" s="3"/>
      <c r="WKV36" s="3"/>
      <c r="WKW36" s="3"/>
      <c r="WKX36" s="3"/>
      <c r="WKY36" s="3"/>
      <c r="WKZ36" s="3"/>
      <c r="WLA36" s="3"/>
      <c r="WLB36" s="3"/>
      <c r="WLC36" s="3"/>
      <c r="WLD36" s="3"/>
      <c r="WLE36" s="3"/>
      <c r="WLF36" s="3"/>
      <c r="WLG36" s="3"/>
      <c r="WLH36" s="3"/>
      <c r="WLI36" s="3"/>
      <c r="WLJ36" s="3"/>
      <c r="WLK36" s="3"/>
      <c r="WLL36" s="3"/>
      <c r="WLM36" s="3"/>
      <c r="WLN36" s="3"/>
      <c r="WLO36" s="3"/>
      <c r="WLP36" s="3"/>
      <c r="WLQ36" s="3"/>
      <c r="WLR36" s="3"/>
      <c r="WLS36" s="3"/>
      <c r="WLT36" s="3"/>
      <c r="WLU36" s="3"/>
      <c r="WLV36" s="3"/>
      <c r="WLW36" s="3"/>
      <c r="WLX36" s="3"/>
      <c r="WLY36" s="3"/>
      <c r="WLZ36" s="3"/>
      <c r="WMA36" s="3"/>
      <c r="WMB36" s="3"/>
      <c r="WMC36" s="3"/>
      <c r="WMD36" s="3"/>
      <c r="WME36" s="3"/>
      <c r="WMF36" s="3"/>
      <c r="WMG36" s="3"/>
      <c r="WMH36" s="3"/>
      <c r="WMI36" s="3"/>
      <c r="WMJ36" s="3"/>
      <c r="WMK36" s="3"/>
      <c r="WML36" s="3"/>
      <c r="WMM36" s="3"/>
      <c r="WMN36" s="3"/>
      <c r="WMO36" s="3"/>
      <c r="WMP36" s="3"/>
      <c r="WMQ36" s="3"/>
      <c r="WMR36" s="3"/>
      <c r="WMS36" s="3"/>
      <c r="WMT36" s="3"/>
      <c r="WMU36" s="3"/>
      <c r="WMV36" s="3"/>
      <c r="WMW36" s="3"/>
      <c r="WMX36" s="3"/>
      <c r="WMY36" s="3"/>
      <c r="WMZ36" s="3"/>
      <c r="WNA36" s="3"/>
      <c r="WNB36" s="3"/>
      <c r="WNC36" s="3"/>
      <c r="WND36" s="3"/>
      <c r="WNE36" s="3"/>
      <c r="WNF36" s="3"/>
      <c r="WNG36" s="3"/>
      <c r="WNH36" s="3"/>
      <c r="WNI36" s="3"/>
      <c r="WNJ36" s="3"/>
      <c r="WNK36" s="3"/>
      <c r="WNL36" s="3"/>
      <c r="WNM36" s="3"/>
      <c r="WNN36" s="3"/>
      <c r="WNO36" s="3"/>
      <c r="WNP36" s="3"/>
      <c r="WNQ36" s="3"/>
      <c r="WNR36" s="3"/>
      <c r="WNS36" s="3"/>
      <c r="WNT36" s="3"/>
      <c r="WNU36" s="3"/>
      <c r="WNV36" s="3"/>
      <c r="WNW36" s="3"/>
      <c r="WNX36" s="3"/>
      <c r="WNY36" s="3"/>
      <c r="WNZ36" s="3"/>
      <c r="WOA36" s="3"/>
      <c r="WOB36" s="3"/>
      <c r="WOC36" s="3"/>
      <c r="WOD36" s="3"/>
      <c r="WOE36" s="3"/>
      <c r="WOF36" s="3"/>
      <c r="WOG36" s="3"/>
      <c r="WOH36" s="3"/>
      <c r="WOI36" s="3"/>
      <c r="WOJ36" s="3"/>
      <c r="WOK36" s="3"/>
      <c r="WOL36" s="3"/>
      <c r="WOM36" s="3"/>
      <c r="WON36" s="3"/>
      <c r="WOO36" s="3"/>
      <c r="WOP36" s="3"/>
      <c r="WOQ36" s="3"/>
      <c r="WOR36" s="3"/>
      <c r="WOS36" s="3"/>
      <c r="WOT36" s="3"/>
      <c r="WOU36" s="3"/>
      <c r="WOV36" s="3"/>
      <c r="WOW36" s="3"/>
      <c r="WOX36" s="3"/>
      <c r="WOY36" s="3"/>
      <c r="WOZ36" s="3"/>
      <c r="WPA36" s="3"/>
      <c r="WPB36" s="3"/>
      <c r="WPC36" s="3"/>
      <c r="WPD36" s="3"/>
      <c r="WPE36" s="3"/>
      <c r="WPF36" s="3"/>
      <c r="WPG36" s="3"/>
      <c r="WPH36" s="3"/>
      <c r="WPI36" s="3"/>
      <c r="WPJ36" s="3"/>
      <c r="WPK36" s="3"/>
      <c r="WPL36" s="3"/>
      <c r="WPM36" s="3"/>
      <c r="WPN36" s="3"/>
      <c r="WPO36" s="3"/>
      <c r="WPP36" s="3"/>
      <c r="WPQ36" s="3"/>
      <c r="WPR36" s="3"/>
      <c r="WPS36" s="3"/>
      <c r="WPT36" s="3"/>
      <c r="WPU36" s="3"/>
      <c r="WPV36" s="3"/>
      <c r="WPW36" s="3"/>
      <c r="WPX36" s="3"/>
      <c r="WPY36" s="3"/>
      <c r="WPZ36" s="3"/>
      <c r="WQA36" s="3"/>
      <c r="WQB36" s="3"/>
      <c r="WQC36" s="3"/>
      <c r="WQD36" s="3"/>
      <c r="WQE36" s="3"/>
      <c r="WQF36" s="3"/>
      <c r="WQG36" s="3"/>
      <c r="WQH36" s="3"/>
      <c r="WQI36" s="3"/>
      <c r="WQJ36" s="3"/>
      <c r="WQK36" s="3"/>
      <c r="WQL36" s="3"/>
      <c r="WQM36" s="3"/>
      <c r="WQN36" s="3"/>
      <c r="WQO36" s="3"/>
      <c r="WQP36" s="3"/>
      <c r="WQQ36" s="3"/>
      <c r="WQR36" s="3"/>
      <c r="WQS36" s="3"/>
      <c r="WQT36" s="3"/>
      <c r="WQU36" s="3"/>
      <c r="WQV36" s="3"/>
      <c r="WQW36" s="3"/>
      <c r="WQX36" s="3"/>
      <c r="WQY36" s="3"/>
      <c r="WQZ36" s="3"/>
      <c r="WRA36" s="3"/>
      <c r="WRB36" s="3"/>
      <c r="WRC36" s="3"/>
      <c r="WRD36" s="3"/>
      <c r="WRE36" s="3"/>
      <c r="WRF36" s="3"/>
      <c r="WRG36" s="3"/>
      <c r="WRH36" s="3"/>
      <c r="WRI36" s="3"/>
      <c r="WRJ36" s="3"/>
      <c r="WRK36" s="3"/>
      <c r="WRL36" s="3"/>
      <c r="WRM36" s="3"/>
      <c r="WRN36" s="3"/>
      <c r="WRO36" s="3"/>
      <c r="WRP36" s="3"/>
      <c r="WRQ36" s="3"/>
      <c r="WRR36" s="3"/>
      <c r="WRS36" s="3"/>
      <c r="WRT36" s="3"/>
      <c r="WRU36" s="3"/>
      <c r="WRV36" s="3"/>
      <c r="WRW36" s="3"/>
      <c r="WRX36" s="3"/>
      <c r="WRY36" s="3"/>
      <c r="WRZ36" s="3"/>
      <c r="WSA36" s="3"/>
      <c r="WSB36" s="3"/>
      <c r="WSC36" s="3"/>
      <c r="WSD36" s="3"/>
      <c r="WSE36" s="3"/>
      <c r="WSF36" s="3"/>
      <c r="WSG36" s="3"/>
      <c r="WSH36" s="3"/>
      <c r="WSI36" s="3"/>
      <c r="WSJ36" s="3"/>
      <c r="WSK36" s="3"/>
      <c r="WSL36" s="3"/>
      <c r="WSM36" s="3"/>
      <c r="WSN36" s="3"/>
      <c r="WSO36" s="3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16384" s="1" customFormat="1">
      <c r="A37" s="3"/>
      <c r="B37" s="3"/>
      <c r="C37" s="18"/>
      <c r="D37" s="19">
        <f t="shared" si="2"/>
        <v>0</v>
      </c>
      <c r="E37" s="19">
        <f t="shared" si="3"/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  <c r="AFA37" s="3"/>
      <c r="AFB37" s="3"/>
      <c r="AFC37" s="3"/>
      <c r="AFD37" s="3"/>
      <c r="AFE37" s="3"/>
      <c r="AFF37" s="3"/>
      <c r="AFG37" s="3"/>
      <c r="AFH37" s="3"/>
      <c r="AFI37" s="3"/>
      <c r="AFJ37" s="3"/>
      <c r="AFK37" s="3"/>
      <c r="AFL37" s="3"/>
      <c r="AFM37" s="3"/>
      <c r="AFN37" s="3"/>
      <c r="AFO37" s="3"/>
      <c r="AFP37" s="3"/>
      <c r="AFQ37" s="3"/>
      <c r="AFR37" s="3"/>
      <c r="AFS37" s="3"/>
      <c r="AFT37" s="3"/>
      <c r="AFU37" s="3"/>
      <c r="AFV37" s="3"/>
      <c r="AFW37" s="3"/>
      <c r="AFX37" s="3"/>
      <c r="AFY37" s="3"/>
      <c r="AFZ37" s="3"/>
      <c r="AGA37" s="3"/>
      <c r="AGB37" s="3"/>
      <c r="AGC37" s="3"/>
      <c r="AGD37" s="3"/>
      <c r="AGE37" s="3"/>
      <c r="AGF37" s="3"/>
      <c r="AGG37" s="3"/>
      <c r="AGH37" s="3"/>
      <c r="AGI37" s="3"/>
      <c r="AGJ37" s="3"/>
      <c r="AGK37" s="3"/>
      <c r="AGL37" s="3"/>
      <c r="AGM37" s="3"/>
      <c r="AGN37" s="3"/>
      <c r="AGO37" s="3"/>
      <c r="AGP37" s="3"/>
      <c r="AGQ37" s="3"/>
      <c r="AGR37" s="3"/>
      <c r="AGS37" s="3"/>
      <c r="AGT37" s="3"/>
      <c r="AGU37" s="3"/>
      <c r="AGV37" s="3"/>
      <c r="AGW37" s="3"/>
      <c r="AGX37" s="3"/>
      <c r="AGY37" s="3"/>
      <c r="AGZ37" s="3"/>
      <c r="AHA37" s="3"/>
      <c r="AHB37" s="3"/>
      <c r="AHC37" s="3"/>
      <c r="AHD37" s="3"/>
      <c r="AHE37" s="3"/>
      <c r="AHF37" s="3"/>
      <c r="AHG37" s="3"/>
      <c r="AHH37" s="3"/>
      <c r="AHI37" s="3"/>
      <c r="AHJ37" s="3"/>
      <c r="AHK37" s="3"/>
      <c r="AHL37" s="3"/>
      <c r="AHM37" s="3"/>
      <c r="AHN37" s="3"/>
      <c r="AHO37" s="3"/>
      <c r="AHP37" s="3"/>
      <c r="AHQ37" s="3"/>
      <c r="AHR37" s="3"/>
      <c r="AHS37" s="3"/>
      <c r="AHT37" s="3"/>
      <c r="AHU37" s="3"/>
      <c r="AHV37" s="3"/>
      <c r="AHW37" s="3"/>
      <c r="AHX37" s="3"/>
      <c r="AHY37" s="3"/>
      <c r="AHZ37" s="3"/>
      <c r="AIA37" s="3"/>
      <c r="AIB37" s="3"/>
      <c r="AIC37" s="3"/>
      <c r="AID37" s="3"/>
      <c r="AIE37" s="3"/>
      <c r="AIF37" s="3"/>
      <c r="AIG37" s="3"/>
      <c r="AIH37" s="3"/>
      <c r="AII37" s="3"/>
      <c r="AIJ37" s="3"/>
      <c r="AIK37" s="3"/>
      <c r="AIL37" s="3"/>
      <c r="AIM37" s="3"/>
      <c r="AIN37" s="3"/>
      <c r="AIO37" s="3"/>
      <c r="AIP37" s="3"/>
      <c r="AIQ37" s="3"/>
      <c r="AIR37" s="3"/>
      <c r="AIS37" s="3"/>
      <c r="AIT37" s="3"/>
      <c r="AIU37" s="3"/>
      <c r="AIV37" s="3"/>
      <c r="AIW37" s="3"/>
      <c r="AIX37" s="3"/>
      <c r="AIY37" s="3"/>
      <c r="AIZ37" s="3"/>
      <c r="AJA37" s="3"/>
      <c r="AJB37" s="3"/>
      <c r="AJC37" s="3"/>
      <c r="AJD37" s="3"/>
      <c r="AJE37" s="3"/>
      <c r="AJF37" s="3"/>
      <c r="AJG37" s="3"/>
      <c r="AJH37" s="3"/>
      <c r="AJI37" s="3"/>
      <c r="AJJ37" s="3"/>
      <c r="AJK37" s="3"/>
      <c r="AJL37" s="3"/>
      <c r="AJM37" s="3"/>
      <c r="AJN37" s="3"/>
      <c r="AJO37" s="3"/>
      <c r="AJP37" s="3"/>
      <c r="AJQ37" s="3"/>
      <c r="AJR37" s="3"/>
      <c r="AJS37" s="3"/>
      <c r="AJT37" s="3"/>
      <c r="AJU37" s="3"/>
      <c r="AJV37" s="3"/>
      <c r="AJW37" s="3"/>
      <c r="AJX37" s="3"/>
      <c r="AJY37" s="3"/>
      <c r="AJZ37" s="3"/>
      <c r="AKA37" s="3"/>
      <c r="AKB37" s="3"/>
      <c r="AKC37" s="3"/>
      <c r="AKD37" s="3"/>
      <c r="AKE37" s="3"/>
      <c r="AKF37" s="3"/>
      <c r="AKG37" s="3"/>
      <c r="AKH37" s="3"/>
      <c r="AKI37" s="3"/>
      <c r="AKJ37" s="3"/>
      <c r="AKK37" s="3"/>
      <c r="AKL37" s="3"/>
      <c r="AKM37" s="3"/>
      <c r="AKN37" s="3"/>
      <c r="AKO37" s="3"/>
      <c r="AKP37" s="3"/>
      <c r="AKQ37" s="3"/>
      <c r="AKR37" s="3"/>
      <c r="AKS37" s="3"/>
      <c r="AKT37" s="3"/>
      <c r="AKU37" s="3"/>
      <c r="AKV37" s="3"/>
      <c r="AKW37" s="3"/>
      <c r="AKX37" s="3"/>
      <c r="AKY37" s="3"/>
      <c r="AKZ37" s="3"/>
      <c r="ALA37" s="3"/>
      <c r="ALB37" s="3"/>
      <c r="ALC37" s="3"/>
      <c r="ALD37" s="3"/>
      <c r="ALE37" s="3"/>
      <c r="ALF37" s="3"/>
      <c r="ALG37" s="3"/>
      <c r="ALH37" s="3"/>
      <c r="ALI37" s="3"/>
      <c r="ALJ37" s="3"/>
      <c r="ALK37" s="3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/>
      <c r="AYW37" s="3"/>
      <c r="AYX37" s="3"/>
      <c r="AYY37" s="3"/>
      <c r="AYZ37" s="3"/>
      <c r="AZA37" s="3"/>
      <c r="AZB37" s="3"/>
      <c r="AZC37" s="3"/>
      <c r="AZD37" s="3"/>
      <c r="AZE37" s="3"/>
      <c r="AZF37" s="3"/>
      <c r="AZG37" s="3"/>
      <c r="AZH37" s="3"/>
      <c r="AZI37" s="3"/>
      <c r="AZJ37" s="3"/>
      <c r="AZK37" s="3"/>
      <c r="AZL37" s="3"/>
      <c r="AZM37" s="3"/>
      <c r="AZN37" s="3"/>
      <c r="AZO37" s="3"/>
      <c r="AZP37" s="3"/>
      <c r="AZQ37" s="3"/>
      <c r="AZR37" s="3"/>
      <c r="AZS37" s="3"/>
      <c r="AZT37" s="3"/>
      <c r="AZU37" s="3"/>
      <c r="AZV37" s="3"/>
      <c r="AZW37" s="3"/>
      <c r="AZX37" s="3"/>
      <c r="AZY37" s="3"/>
      <c r="AZZ37" s="3"/>
      <c r="BAA37" s="3"/>
      <c r="BAB37" s="3"/>
      <c r="BAC37" s="3"/>
      <c r="BAD37" s="3"/>
      <c r="BAE37" s="3"/>
      <c r="BAF37" s="3"/>
      <c r="BAG37" s="3"/>
      <c r="BAH37" s="3"/>
      <c r="BAI37" s="3"/>
      <c r="BAJ37" s="3"/>
      <c r="BAK37" s="3"/>
      <c r="BAL37" s="3"/>
      <c r="BAM37" s="3"/>
      <c r="BAN37" s="3"/>
      <c r="BAO37" s="3"/>
      <c r="BAP37" s="3"/>
      <c r="BAQ37" s="3"/>
      <c r="BAR37" s="3"/>
      <c r="BAS37" s="3"/>
      <c r="BAT37" s="3"/>
      <c r="BAU37" s="3"/>
      <c r="BAV37" s="3"/>
      <c r="BAW37" s="3"/>
      <c r="BAX37" s="3"/>
      <c r="BAY37" s="3"/>
      <c r="BAZ37" s="3"/>
      <c r="BBA37" s="3"/>
      <c r="BBB37" s="3"/>
      <c r="BBC37" s="3"/>
      <c r="BBD37" s="3"/>
      <c r="BBE37" s="3"/>
      <c r="BBF37" s="3"/>
      <c r="BBG37" s="3"/>
      <c r="BBH37" s="3"/>
      <c r="BBI37" s="3"/>
      <c r="BBJ37" s="3"/>
      <c r="BBK37" s="3"/>
      <c r="BBL37" s="3"/>
      <c r="BBM37" s="3"/>
      <c r="BBN37" s="3"/>
      <c r="BBO37" s="3"/>
      <c r="BBP37" s="3"/>
      <c r="BBQ37" s="3"/>
      <c r="BBR37" s="3"/>
      <c r="BBS37" s="3"/>
      <c r="BBT37" s="3"/>
      <c r="BBU37" s="3"/>
      <c r="BBV37" s="3"/>
      <c r="BBW37" s="3"/>
      <c r="BBX37" s="3"/>
      <c r="BBY37" s="3"/>
      <c r="BBZ37" s="3"/>
      <c r="BCA37" s="3"/>
      <c r="BCB37" s="3"/>
      <c r="BCC37" s="3"/>
      <c r="BCD37" s="3"/>
      <c r="BCE37" s="3"/>
      <c r="BCF37" s="3"/>
      <c r="BCG37" s="3"/>
      <c r="BCH37" s="3"/>
      <c r="BCI37" s="3"/>
      <c r="BCJ37" s="3"/>
      <c r="BCK37" s="3"/>
      <c r="BCL37" s="3"/>
      <c r="BCM37" s="3"/>
      <c r="BCN37" s="3"/>
      <c r="BCO37" s="3"/>
      <c r="BCP37" s="3"/>
      <c r="BCQ37" s="3"/>
      <c r="BCR37" s="3"/>
      <c r="BCS37" s="3"/>
      <c r="BCT37" s="3"/>
      <c r="BCU37" s="3"/>
      <c r="BCV37" s="3"/>
      <c r="BCW37" s="3"/>
      <c r="BCX37" s="3"/>
      <c r="BCY37" s="3"/>
      <c r="BCZ37" s="3"/>
      <c r="BDA37" s="3"/>
      <c r="BDB37" s="3"/>
      <c r="BDC37" s="3"/>
      <c r="BDD37" s="3"/>
      <c r="BDE37" s="3"/>
      <c r="BDF37" s="3"/>
      <c r="BDG37" s="3"/>
      <c r="BDH37" s="3"/>
      <c r="BDI37" s="3"/>
      <c r="BDJ37" s="3"/>
      <c r="BDK37" s="3"/>
      <c r="BDL37" s="3"/>
      <c r="BDM37" s="3"/>
      <c r="BDN37" s="3"/>
      <c r="BDO37" s="3"/>
      <c r="BDP37" s="3"/>
      <c r="BDQ37" s="3"/>
      <c r="BDR37" s="3"/>
      <c r="BDS37" s="3"/>
      <c r="BDT37" s="3"/>
      <c r="BDU37" s="3"/>
      <c r="BDV37" s="3"/>
      <c r="BDW37" s="3"/>
      <c r="BDX37" s="3"/>
      <c r="BDY37" s="3"/>
      <c r="BDZ37" s="3"/>
      <c r="BEA37" s="3"/>
      <c r="BEB37" s="3"/>
      <c r="BEC37" s="3"/>
      <c r="BED37" s="3"/>
      <c r="BEE37" s="3"/>
      <c r="BEF37" s="3"/>
      <c r="BEG37" s="3"/>
      <c r="BEH37" s="3"/>
      <c r="BEI37" s="3"/>
      <c r="BEJ37" s="3"/>
      <c r="BEK37" s="3"/>
      <c r="BEL37" s="3"/>
      <c r="BEM37" s="3"/>
      <c r="BEN37" s="3"/>
      <c r="BEO37" s="3"/>
      <c r="BEP37" s="3"/>
      <c r="BEQ37" s="3"/>
      <c r="BER37" s="3"/>
      <c r="BES37" s="3"/>
      <c r="BET37" s="3"/>
      <c r="BEU37" s="3"/>
      <c r="BEV37" s="3"/>
      <c r="BEW37" s="3"/>
      <c r="BEX37" s="3"/>
      <c r="BEY37" s="3"/>
      <c r="BEZ37" s="3"/>
      <c r="BFA37" s="3"/>
      <c r="BFB37" s="3"/>
      <c r="BFC37" s="3"/>
      <c r="BFD37" s="3"/>
      <c r="BFE37" s="3"/>
      <c r="BFF37" s="3"/>
      <c r="BFG37" s="3"/>
      <c r="BFH37" s="3"/>
      <c r="BFI37" s="3"/>
      <c r="BFJ37" s="3"/>
      <c r="BFK37" s="3"/>
      <c r="BFL37" s="3"/>
      <c r="BFM37" s="3"/>
      <c r="BFN37" s="3"/>
      <c r="BFO37" s="3"/>
      <c r="BFP37" s="3"/>
      <c r="BFQ37" s="3"/>
      <c r="BFR37" s="3"/>
      <c r="BFS37" s="3"/>
      <c r="BFT37" s="3"/>
      <c r="BFU37" s="3"/>
      <c r="BFV37" s="3"/>
      <c r="BFW37" s="3"/>
      <c r="BFX37" s="3"/>
      <c r="BFY37" s="3"/>
      <c r="BFZ37" s="3"/>
      <c r="BGA37" s="3"/>
      <c r="BGB37" s="3"/>
      <c r="BGC37" s="3"/>
      <c r="BGD37" s="3"/>
      <c r="BGE37" s="3"/>
      <c r="BGF37" s="3"/>
      <c r="BGG37" s="3"/>
      <c r="BGH37" s="3"/>
      <c r="BGI37" s="3"/>
      <c r="BGJ37" s="3"/>
      <c r="BGK37" s="3"/>
      <c r="BGL37" s="3"/>
      <c r="BGM37" s="3"/>
      <c r="BGN37" s="3"/>
      <c r="BGO37" s="3"/>
      <c r="BGP37" s="3"/>
      <c r="BGQ37" s="3"/>
      <c r="BGR37" s="3"/>
      <c r="BGS37" s="3"/>
      <c r="BGT37" s="3"/>
      <c r="BGU37" s="3"/>
      <c r="BGV37" s="3"/>
      <c r="BGW37" s="3"/>
      <c r="BGX37" s="3"/>
      <c r="BGY37" s="3"/>
      <c r="BGZ37" s="3"/>
      <c r="BHA37" s="3"/>
      <c r="BHB37" s="3"/>
      <c r="BHC37" s="3"/>
      <c r="BHD37" s="3"/>
      <c r="BHE37" s="3"/>
      <c r="BHF37" s="3"/>
      <c r="BHG37" s="3"/>
      <c r="BHH37" s="3"/>
      <c r="BHI37" s="3"/>
      <c r="BHJ37" s="3"/>
      <c r="BHK37" s="3"/>
      <c r="BHL37" s="3"/>
      <c r="BHM37" s="3"/>
      <c r="BHN37" s="3"/>
      <c r="BHO37" s="3"/>
      <c r="BHP37" s="3"/>
      <c r="BHQ37" s="3"/>
      <c r="BHR37" s="3"/>
      <c r="BHS37" s="3"/>
      <c r="BHT37" s="3"/>
      <c r="BHU37" s="3"/>
      <c r="BHV37" s="3"/>
      <c r="BHW37" s="3"/>
      <c r="BHX37" s="3"/>
      <c r="BHY37" s="3"/>
      <c r="BHZ37" s="3"/>
      <c r="BIA37" s="3"/>
      <c r="BIB37" s="3"/>
      <c r="BIC37" s="3"/>
      <c r="BID37" s="3"/>
      <c r="BIE37" s="3"/>
      <c r="BIF37" s="3"/>
      <c r="BIG37" s="3"/>
      <c r="BIH37" s="3"/>
      <c r="BII37" s="3"/>
      <c r="BIJ37" s="3"/>
      <c r="BIK37" s="3"/>
      <c r="BIL37" s="3"/>
      <c r="BIM37" s="3"/>
      <c r="BIN37" s="3"/>
      <c r="BIO37" s="3"/>
      <c r="BIP37" s="3"/>
      <c r="BIQ37" s="3"/>
      <c r="BIR37" s="3"/>
      <c r="BIS37" s="3"/>
      <c r="BIT37" s="3"/>
      <c r="BIU37" s="3"/>
      <c r="BIV37" s="3"/>
      <c r="BIW37" s="3"/>
      <c r="BIX37" s="3"/>
      <c r="BIY37" s="3"/>
      <c r="BIZ37" s="3"/>
      <c r="BJA37" s="3"/>
      <c r="BJB37" s="3"/>
      <c r="BJC37" s="3"/>
      <c r="BJD37" s="3"/>
      <c r="BJE37" s="3"/>
      <c r="BJF37" s="3"/>
      <c r="BJG37" s="3"/>
      <c r="BJH37" s="3"/>
      <c r="BJI37" s="3"/>
      <c r="BJJ37" s="3"/>
      <c r="BJK37" s="3"/>
      <c r="BJL37" s="3"/>
      <c r="BJM37" s="3"/>
      <c r="BJN37" s="3"/>
      <c r="BJO37" s="3"/>
      <c r="BJP37" s="3"/>
      <c r="BJQ37" s="3"/>
      <c r="BJR37" s="3"/>
      <c r="BJS37" s="3"/>
      <c r="BJT37" s="3"/>
      <c r="BJU37" s="3"/>
      <c r="BJV37" s="3"/>
      <c r="BJW37" s="3"/>
      <c r="BJX37" s="3"/>
      <c r="BJY37" s="3"/>
      <c r="BJZ37" s="3"/>
      <c r="BKA37" s="3"/>
      <c r="BKB37" s="3"/>
      <c r="BKC37" s="3"/>
      <c r="BKD37" s="3"/>
      <c r="BKE37" s="3"/>
      <c r="BKF37" s="3"/>
      <c r="BKG37" s="3"/>
      <c r="BKH37" s="3"/>
      <c r="BKI37" s="3"/>
      <c r="BKJ37" s="3"/>
      <c r="BKK37" s="3"/>
      <c r="BKL37" s="3"/>
      <c r="BKM37" s="3"/>
      <c r="BKN37" s="3"/>
      <c r="BKO37" s="3"/>
      <c r="BKP37" s="3"/>
      <c r="BKQ37" s="3"/>
      <c r="BKR37" s="3"/>
      <c r="BKS37" s="3"/>
      <c r="BKT37" s="3"/>
      <c r="BKU37" s="3"/>
      <c r="BKV37" s="3"/>
      <c r="BKW37" s="3"/>
      <c r="BKX37" s="3"/>
      <c r="BKY37" s="3"/>
      <c r="BKZ37" s="3"/>
      <c r="BLA37" s="3"/>
      <c r="BLB37" s="3"/>
      <c r="BLC37" s="3"/>
      <c r="BLD37" s="3"/>
      <c r="BLE37" s="3"/>
      <c r="BLF37" s="3"/>
      <c r="BLG37" s="3"/>
      <c r="BLH37" s="3"/>
      <c r="BLI37" s="3"/>
      <c r="BLJ37" s="3"/>
      <c r="BLK37" s="3"/>
      <c r="BLL37" s="3"/>
      <c r="BLM37" s="3"/>
      <c r="BLN37" s="3"/>
      <c r="BLO37" s="3"/>
      <c r="BLP37" s="3"/>
      <c r="BLQ37" s="3"/>
      <c r="BLR37" s="3"/>
      <c r="BLS37" s="3"/>
      <c r="BLT37" s="3"/>
      <c r="BLU37" s="3"/>
      <c r="BLV37" s="3"/>
      <c r="BLW37" s="3"/>
      <c r="BLX37" s="3"/>
      <c r="BLY37" s="3"/>
      <c r="BLZ37" s="3"/>
      <c r="BMA37" s="3"/>
      <c r="BMB37" s="3"/>
      <c r="BMC37" s="3"/>
      <c r="BMD37" s="3"/>
      <c r="BME37" s="3"/>
      <c r="BMF37" s="3"/>
      <c r="BMG37" s="3"/>
      <c r="BMH37" s="3"/>
      <c r="BMI37" s="3"/>
      <c r="BMJ37" s="3"/>
      <c r="BMK37" s="3"/>
      <c r="BML37" s="3"/>
      <c r="BMM37" s="3"/>
      <c r="BMN37" s="3"/>
      <c r="BMO37" s="3"/>
      <c r="BMP37" s="3"/>
      <c r="BMQ37" s="3"/>
      <c r="BMR37" s="3"/>
      <c r="BMS37" s="3"/>
      <c r="BMT37" s="3"/>
      <c r="BMU37" s="3"/>
      <c r="BMV37" s="3"/>
      <c r="BMW37" s="3"/>
      <c r="BMX37" s="3"/>
      <c r="BMY37" s="3"/>
      <c r="BMZ37" s="3"/>
      <c r="BNA37" s="3"/>
      <c r="BNB37" s="3"/>
      <c r="BNC37" s="3"/>
      <c r="BND37" s="3"/>
      <c r="BNE37" s="3"/>
      <c r="BNF37" s="3"/>
      <c r="BNG37" s="3"/>
      <c r="BNH37" s="3"/>
      <c r="BNI37" s="3"/>
      <c r="BNJ37" s="3"/>
      <c r="BNK37" s="3"/>
      <c r="BNL37" s="3"/>
      <c r="BNM37" s="3"/>
      <c r="BNN37" s="3"/>
      <c r="BNO37" s="3"/>
      <c r="BNP37" s="3"/>
      <c r="BNQ37" s="3"/>
      <c r="BNR37" s="3"/>
      <c r="BNS37" s="3"/>
      <c r="BNT37" s="3"/>
      <c r="BNU37" s="3"/>
      <c r="BNV37" s="3"/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  <c r="BYA37" s="3"/>
      <c r="BYB37" s="3"/>
      <c r="BYC37" s="3"/>
      <c r="BYD37" s="3"/>
      <c r="BYE37" s="3"/>
      <c r="BYF37" s="3"/>
      <c r="BYG37" s="3"/>
      <c r="BYH37" s="3"/>
      <c r="BYI37" s="3"/>
      <c r="BYJ37" s="3"/>
      <c r="BYK37" s="3"/>
      <c r="BYL37" s="3"/>
      <c r="BYM37" s="3"/>
      <c r="BYN37" s="3"/>
      <c r="BYO37" s="3"/>
      <c r="BYP37" s="3"/>
      <c r="BYQ37" s="3"/>
      <c r="BYR37" s="3"/>
      <c r="BYS37" s="3"/>
      <c r="BYT37" s="3"/>
      <c r="BYU37" s="3"/>
      <c r="BYV37" s="3"/>
      <c r="BYW37" s="3"/>
      <c r="BYX37" s="3"/>
      <c r="BYY37" s="3"/>
      <c r="BYZ37" s="3"/>
      <c r="BZA37" s="3"/>
      <c r="BZB37" s="3"/>
      <c r="BZC37" s="3"/>
      <c r="BZD37" s="3"/>
      <c r="BZE37" s="3"/>
      <c r="BZF37" s="3"/>
      <c r="BZG37" s="3"/>
      <c r="BZH37" s="3"/>
      <c r="BZI37" s="3"/>
      <c r="BZJ37" s="3"/>
      <c r="BZK37" s="3"/>
      <c r="BZL37" s="3"/>
      <c r="BZM37" s="3"/>
      <c r="BZN37" s="3"/>
      <c r="BZO37" s="3"/>
      <c r="BZP37" s="3"/>
      <c r="BZQ37" s="3"/>
      <c r="BZR37" s="3"/>
      <c r="BZS37" s="3"/>
      <c r="BZT37" s="3"/>
      <c r="BZU37" s="3"/>
      <c r="BZV37" s="3"/>
      <c r="BZW37" s="3"/>
      <c r="BZX37" s="3"/>
      <c r="BZY37" s="3"/>
      <c r="BZZ37" s="3"/>
      <c r="CAA37" s="3"/>
      <c r="CAB37" s="3"/>
      <c r="CAC37" s="3"/>
      <c r="CAD37" s="3"/>
      <c r="CAE37" s="3"/>
      <c r="CAF37" s="3"/>
      <c r="CAG37" s="3"/>
      <c r="CAH37" s="3"/>
      <c r="CAI37" s="3"/>
      <c r="CAJ37" s="3"/>
      <c r="CAK37" s="3"/>
      <c r="CAL37" s="3"/>
      <c r="CAM37" s="3"/>
      <c r="CAN37" s="3"/>
      <c r="CAO37" s="3"/>
      <c r="CAP37" s="3"/>
      <c r="CAQ37" s="3"/>
      <c r="CAR37" s="3"/>
      <c r="CAS37" s="3"/>
      <c r="CAT37" s="3"/>
      <c r="CAU37" s="3"/>
      <c r="CAV37" s="3"/>
      <c r="CAW37" s="3"/>
      <c r="CAX37" s="3"/>
      <c r="CAY37" s="3"/>
      <c r="CAZ37" s="3"/>
      <c r="CBA37" s="3"/>
      <c r="CBB37" s="3"/>
      <c r="CBC37" s="3"/>
      <c r="CBD37" s="3"/>
      <c r="CBE37" s="3"/>
      <c r="CBF37" s="3"/>
      <c r="CBG37" s="3"/>
      <c r="CBH37" s="3"/>
      <c r="CBI37" s="3"/>
      <c r="CBJ37" s="3"/>
      <c r="CBK37" s="3"/>
      <c r="CBL37" s="3"/>
      <c r="CBM37" s="3"/>
      <c r="CBN37" s="3"/>
      <c r="CBO37" s="3"/>
      <c r="CBP37" s="3"/>
      <c r="CBQ37" s="3"/>
      <c r="CBR37" s="3"/>
      <c r="CBS37" s="3"/>
      <c r="CBT37" s="3"/>
      <c r="CBU37" s="3"/>
      <c r="CBV37" s="3"/>
      <c r="CBW37" s="3"/>
      <c r="CBX37" s="3"/>
      <c r="CBY37" s="3"/>
      <c r="CBZ37" s="3"/>
      <c r="CCA37" s="3"/>
      <c r="CCB37" s="3"/>
      <c r="CCC37" s="3"/>
      <c r="CCD37" s="3"/>
      <c r="CCE37" s="3"/>
      <c r="CCF37" s="3"/>
      <c r="CCG37" s="3"/>
      <c r="CCH37" s="3"/>
      <c r="CCI37" s="3"/>
      <c r="CCJ37" s="3"/>
      <c r="CCK37" s="3"/>
      <c r="CCL37" s="3"/>
      <c r="CCM37" s="3"/>
      <c r="CCN37" s="3"/>
      <c r="CCO37" s="3"/>
      <c r="CCP37" s="3"/>
      <c r="CCQ37" s="3"/>
      <c r="CCR37" s="3"/>
      <c r="CCS37" s="3"/>
      <c r="CCT37" s="3"/>
      <c r="CCU37" s="3"/>
      <c r="CCV37" s="3"/>
      <c r="CCW37" s="3"/>
      <c r="CCX37" s="3"/>
      <c r="CCY37" s="3"/>
      <c r="CCZ37" s="3"/>
      <c r="CDA37" s="3"/>
      <c r="CDB37" s="3"/>
      <c r="CDC37" s="3"/>
      <c r="CDD37" s="3"/>
      <c r="CDE37" s="3"/>
      <c r="CDF37" s="3"/>
      <c r="CDG37" s="3"/>
      <c r="CDH37" s="3"/>
      <c r="CDI37" s="3"/>
      <c r="CDJ37" s="3"/>
      <c r="CDK37" s="3"/>
      <c r="CDL37" s="3"/>
      <c r="CDM37" s="3"/>
      <c r="CDN37" s="3"/>
      <c r="CDO37" s="3"/>
      <c r="CDP37" s="3"/>
      <c r="CDQ37" s="3"/>
      <c r="CDR37" s="3"/>
      <c r="CDS37" s="3"/>
      <c r="CDT37" s="3"/>
      <c r="CDU37" s="3"/>
      <c r="CDV37" s="3"/>
      <c r="CDW37" s="3"/>
      <c r="CDX37" s="3"/>
      <c r="CDY37" s="3"/>
      <c r="CDZ37" s="3"/>
      <c r="CEA37" s="3"/>
      <c r="CEB37" s="3"/>
      <c r="CEC37" s="3"/>
      <c r="CED37" s="3"/>
      <c r="CEE37" s="3"/>
      <c r="CEF37" s="3"/>
      <c r="CEG37" s="3"/>
      <c r="CEH37" s="3"/>
      <c r="CEI37" s="3"/>
      <c r="CEJ37" s="3"/>
      <c r="CEK37" s="3"/>
      <c r="CEL37" s="3"/>
      <c r="CEM37" s="3"/>
      <c r="CEN37" s="3"/>
      <c r="CEO37" s="3"/>
      <c r="CEP37" s="3"/>
      <c r="CEQ37" s="3"/>
      <c r="CER37" s="3"/>
      <c r="CES37" s="3"/>
      <c r="CET37" s="3"/>
      <c r="CEU37" s="3"/>
      <c r="CEV37" s="3"/>
      <c r="CEW37" s="3"/>
      <c r="CEX37" s="3"/>
      <c r="CEY37" s="3"/>
      <c r="CEZ37" s="3"/>
      <c r="CFA37" s="3"/>
      <c r="CFB37" s="3"/>
      <c r="CFC37" s="3"/>
      <c r="CFD37" s="3"/>
      <c r="CFE37" s="3"/>
      <c r="CFF37" s="3"/>
      <c r="CFG37" s="3"/>
      <c r="CFH37" s="3"/>
      <c r="CFI37" s="3"/>
      <c r="CFJ37" s="3"/>
      <c r="CFK37" s="3"/>
      <c r="CFL37" s="3"/>
      <c r="CFM37" s="3"/>
      <c r="CFN37" s="3"/>
      <c r="CFO37" s="3"/>
      <c r="CFP37" s="3"/>
      <c r="CFQ37" s="3"/>
      <c r="CFR37" s="3"/>
      <c r="CFS37" s="3"/>
      <c r="CFT37" s="3"/>
      <c r="CFU37" s="3"/>
      <c r="CFV37" s="3"/>
      <c r="CFW37" s="3"/>
      <c r="CFX37" s="3"/>
      <c r="CFY37" s="3"/>
      <c r="CFZ37" s="3"/>
      <c r="CGA37" s="3"/>
      <c r="CGB37" s="3"/>
      <c r="CGC37" s="3"/>
      <c r="CGD37" s="3"/>
      <c r="CGE37" s="3"/>
      <c r="CGF37" s="3"/>
      <c r="CGG37" s="3"/>
      <c r="CGH37" s="3"/>
      <c r="CGI37" s="3"/>
      <c r="CGJ37" s="3"/>
      <c r="CGK37" s="3"/>
      <c r="CGL37" s="3"/>
      <c r="CGM37" s="3"/>
      <c r="CGN37" s="3"/>
      <c r="CGO37" s="3"/>
      <c r="CGP37" s="3"/>
      <c r="CGQ37" s="3"/>
      <c r="CGR37" s="3"/>
      <c r="CGS37" s="3"/>
      <c r="CGT37" s="3"/>
      <c r="CGU37" s="3"/>
      <c r="CGV37" s="3"/>
      <c r="CGW37" s="3"/>
      <c r="CGX37" s="3"/>
      <c r="CGY37" s="3"/>
      <c r="CGZ37" s="3"/>
      <c r="CHA37" s="3"/>
      <c r="CHB37" s="3"/>
      <c r="CHC37" s="3"/>
      <c r="CHD37" s="3"/>
      <c r="CHE37" s="3"/>
      <c r="CHF37" s="3"/>
      <c r="CHG37" s="3"/>
      <c r="CHH37" s="3"/>
      <c r="CHI37" s="3"/>
      <c r="CHJ37" s="3"/>
      <c r="CHK37" s="3"/>
      <c r="CHL37" s="3"/>
      <c r="CHM37" s="3"/>
      <c r="CHN37" s="3"/>
      <c r="CHO37" s="3"/>
      <c r="CHP37" s="3"/>
      <c r="CHQ37" s="3"/>
      <c r="CHR37" s="3"/>
      <c r="CHS37" s="3"/>
      <c r="CHT37" s="3"/>
      <c r="CHU37" s="3"/>
      <c r="CHV37" s="3"/>
      <c r="CHW37" s="3"/>
      <c r="CHX37" s="3"/>
      <c r="CHY37" s="3"/>
      <c r="CHZ37" s="3"/>
      <c r="CIA37" s="3"/>
      <c r="CIB37" s="3"/>
      <c r="CIC37" s="3"/>
      <c r="CID37" s="3"/>
      <c r="CIE37" s="3"/>
      <c r="CIF37" s="3"/>
      <c r="CIG37" s="3"/>
      <c r="CIH37" s="3"/>
      <c r="CII37" s="3"/>
      <c r="CIJ37" s="3"/>
      <c r="CIK37" s="3"/>
      <c r="CIL37" s="3"/>
      <c r="CIM37" s="3"/>
      <c r="CIN37" s="3"/>
      <c r="CIO37" s="3"/>
      <c r="CIP37" s="3"/>
      <c r="CIQ37" s="3"/>
      <c r="CIR37" s="3"/>
      <c r="CIS37" s="3"/>
      <c r="CIT37" s="3"/>
      <c r="CIU37" s="3"/>
      <c r="CIV37" s="3"/>
      <c r="CIW37" s="3"/>
      <c r="CIX37" s="3"/>
      <c r="CIY37" s="3"/>
      <c r="CIZ37" s="3"/>
      <c r="CJA37" s="3"/>
      <c r="CJB37" s="3"/>
      <c r="CJC37" s="3"/>
      <c r="CJD37" s="3"/>
      <c r="CJE37" s="3"/>
      <c r="CJF37" s="3"/>
      <c r="CJG37" s="3"/>
      <c r="CJH37" s="3"/>
      <c r="CJI37" s="3"/>
      <c r="CJJ37" s="3"/>
      <c r="CJK37" s="3"/>
      <c r="CJL37" s="3"/>
      <c r="CJM37" s="3"/>
      <c r="CJN37" s="3"/>
      <c r="CJO37" s="3"/>
      <c r="CJP37" s="3"/>
      <c r="CJQ37" s="3"/>
      <c r="CJR37" s="3"/>
      <c r="CJS37" s="3"/>
      <c r="CJT37" s="3"/>
      <c r="CJU37" s="3"/>
      <c r="CJV37" s="3"/>
      <c r="CJW37" s="3"/>
      <c r="CJX37" s="3"/>
      <c r="CJY37" s="3"/>
      <c r="CJZ37" s="3"/>
      <c r="CKA37" s="3"/>
      <c r="CKB37" s="3"/>
      <c r="CKC37" s="3"/>
      <c r="CKD37" s="3"/>
      <c r="CKE37" s="3"/>
      <c r="CKF37" s="3"/>
      <c r="CKG37" s="3"/>
      <c r="CKH37" s="3"/>
      <c r="CKI37" s="3"/>
      <c r="CKJ37" s="3"/>
      <c r="CKK37" s="3"/>
      <c r="CKL37" s="3"/>
      <c r="CKM37" s="3"/>
      <c r="CKN37" s="3"/>
      <c r="CKO37" s="3"/>
      <c r="CKP37" s="3"/>
      <c r="CKQ37" s="3"/>
      <c r="CKR37" s="3"/>
      <c r="CKS37" s="3"/>
      <c r="CKT37" s="3"/>
      <c r="CKU37" s="3"/>
      <c r="CKV37" s="3"/>
      <c r="CKW37" s="3"/>
      <c r="CKX37" s="3"/>
      <c r="CKY37" s="3"/>
      <c r="CKZ37" s="3"/>
      <c r="CLA37" s="3"/>
      <c r="CLB37" s="3"/>
      <c r="CLC37" s="3"/>
      <c r="CLD37" s="3"/>
      <c r="CLE37" s="3"/>
      <c r="CLF37" s="3"/>
      <c r="CLG37" s="3"/>
      <c r="CLH37" s="3"/>
      <c r="CLI37" s="3"/>
      <c r="CLJ37" s="3"/>
      <c r="CLK37" s="3"/>
      <c r="CLL37" s="3"/>
      <c r="CLM37" s="3"/>
      <c r="CLN37" s="3"/>
      <c r="CLO37" s="3"/>
      <c r="CLP37" s="3"/>
      <c r="CLQ37" s="3"/>
      <c r="CLR37" s="3"/>
      <c r="CLS37" s="3"/>
      <c r="CLT37" s="3"/>
      <c r="CLU37" s="3"/>
      <c r="CLV37" s="3"/>
      <c r="CLW37" s="3"/>
      <c r="CLX37" s="3"/>
      <c r="CLY37" s="3"/>
      <c r="CLZ37" s="3"/>
      <c r="CMA37" s="3"/>
      <c r="CMB37" s="3"/>
      <c r="CMC37" s="3"/>
      <c r="CMD37" s="3"/>
      <c r="CME37" s="3"/>
      <c r="CMF37" s="3"/>
      <c r="CMG37" s="3"/>
      <c r="CMH37" s="3"/>
      <c r="CMI37" s="3"/>
      <c r="CMJ37" s="3"/>
      <c r="CMK37" s="3"/>
      <c r="CML37" s="3"/>
      <c r="CMM37" s="3"/>
      <c r="CMN37" s="3"/>
      <c r="CMO37" s="3"/>
      <c r="CMP37" s="3"/>
      <c r="CMQ37" s="3"/>
      <c r="CMR37" s="3"/>
      <c r="CMS37" s="3"/>
      <c r="CMT37" s="3"/>
      <c r="CMU37" s="3"/>
      <c r="CMV37" s="3"/>
      <c r="CMW37" s="3"/>
      <c r="CMX37" s="3"/>
      <c r="CMY37" s="3"/>
      <c r="CMZ37" s="3"/>
      <c r="CNA37" s="3"/>
      <c r="CNB37" s="3"/>
      <c r="CNC37" s="3"/>
      <c r="CND37" s="3"/>
      <c r="CNE37" s="3"/>
      <c r="CNF37" s="3"/>
      <c r="CNG37" s="3"/>
      <c r="CNH37" s="3"/>
      <c r="CNI37" s="3"/>
      <c r="CNJ37" s="3"/>
      <c r="CNK37" s="3"/>
      <c r="CNL37" s="3"/>
      <c r="CNM37" s="3"/>
      <c r="CNN37" s="3"/>
      <c r="CNO37" s="3"/>
      <c r="CNP37" s="3"/>
      <c r="CNQ37" s="3"/>
      <c r="CNR37" s="3"/>
      <c r="CNS37" s="3"/>
      <c r="CNT37" s="3"/>
      <c r="CNU37" s="3"/>
      <c r="CNV37" s="3"/>
      <c r="CNW37" s="3"/>
      <c r="CNX37" s="3"/>
      <c r="CNY37" s="3"/>
      <c r="CNZ37" s="3"/>
      <c r="COA37" s="3"/>
      <c r="COB37" s="3"/>
      <c r="COC37" s="3"/>
      <c r="COD37" s="3"/>
      <c r="COE37" s="3"/>
      <c r="COF37" s="3"/>
      <c r="COG37" s="3"/>
      <c r="COH37" s="3"/>
      <c r="COI37" s="3"/>
      <c r="COJ37" s="3"/>
      <c r="COK37" s="3"/>
      <c r="COL37" s="3"/>
      <c r="COM37" s="3"/>
      <c r="CON37" s="3"/>
      <c r="COO37" s="3"/>
      <c r="COP37" s="3"/>
      <c r="COQ37" s="3"/>
      <c r="COR37" s="3"/>
      <c r="COS37" s="3"/>
      <c r="COT37" s="3"/>
      <c r="COU37" s="3"/>
      <c r="COV37" s="3"/>
      <c r="COW37" s="3"/>
      <c r="COX37" s="3"/>
      <c r="COY37" s="3"/>
      <c r="COZ37" s="3"/>
      <c r="CPA37" s="3"/>
      <c r="CPB37" s="3"/>
      <c r="CPC37" s="3"/>
      <c r="CPD37" s="3"/>
      <c r="CPE37" s="3"/>
      <c r="CPF37" s="3"/>
      <c r="CPG37" s="3"/>
      <c r="CPH37" s="3"/>
      <c r="CPI37" s="3"/>
      <c r="CPJ37" s="3"/>
      <c r="CPK37" s="3"/>
      <c r="CPL37" s="3"/>
      <c r="CPM37" s="3"/>
      <c r="CPN37" s="3"/>
      <c r="CPO37" s="3"/>
      <c r="CPP37" s="3"/>
      <c r="CPQ37" s="3"/>
      <c r="CPR37" s="3"/>
      <c r="CPS37" s="3"/>
      <c r="CPT37" s="3"/>
      <c r="CPU37" s="3"/>
      <c r="CPV37" s="3"/>
      <c r="CPW37" s="3"/>
      <c r="CPX37" s="3"/>
      <c r="CPY37" s="3"/>
      <c r="CPZ37" s="3"/>
      <c r="CQA37" s="3"/>
      <c r="CQB37" s="3"/>
      <c r="CQC37" s="3"/>
      <c r="CQD37" s="3"/>
      <c r="CQE37" s="3"/>
      <c r="CQF37" s="3"/>
      <c r="CQG37" s="3"/>
      <c r="CQH37" s="3"/>
      <c r="CQI37" s="3"/>
      <c r="CQJ37" s="3"/>
      <c r="CQK37" s="3"/>
      <c r="CQL37" s="3"/>
      <c r="CQM37" s="3"/>
      <c r="CQN37" s="3"/>
      <c r="CQO37" s="3"/>
      <c r="CQP37" s="3"/>
      <c r="CQQ37" s="3"/>
      <c r="CQR37" s="3"/>
      <c r="CQS37" s="3"/>
      <c r="CQT37" s="3"/>
      <c r="CQU37" s="3"/>
      <c r="CQV37" s="3"/>
      <c r="CQW37" s="3"/>
      <c r="CQX37" s="3"/>
      <c r="CQY37" s="3"/>
      <c r="CQZ37" s="3"/>
      <c r="CRA37" s="3"/>
      <c r="CRB37" s="3"/>
      <c r="CRC37" s="3"/>
      <c r="CRD37" s="3"/>
      <c r="CRE37" s="3"/>
      <c r="CRF37" s="3"/>
      <c r="CRG37" s="3"/>
      <c r="CRH37" s="3"/>
      <c r="CRI37" s="3"/>
      <c r="CRJ37" s="3"/>
      <c r="CRK37" s="3"/>
      <c r="CRL37" s="3"/>
      <c r="CRM37" s="3"/>
      <c r="CRN37" s="3"/>
      <c r="CRO37" s="3"/>
      <c r="CRP37" s="3"/>
      <c r="CRQ37" s="3"/>
      <c r="CRR37" s="3"/>
      <c r="CRS37" s="3"/>
      <c r="CRT37" s="3"/>
      <c r="CRU37" s="3"/>
      <c r="CRV37" s="3"/>
      <c r="CRW37" s="3"/>
      <c r="CRX37" s="3"/>
      <c r="CRY37" s="3"/>
      <c r="CRZ37" s="3"/>
      <c r="CSA37" s="3"/>
      <c r="CSB37" s="3"/>
      <c r="CSC37" s="3"/>
      <c r="CSD37" s="3"/>
      <c r="CSE37" s="3"/>
      <c r="CSF37" s="3"/>
      <c r="CSG37" s="3"/>
      <c r="CSH37" s="3"/>
      <c r="CSI37" s="3"/>
      <c r="CSJ37" s="3"/>
      <c r="CSK37" s="3"/>
      <c r="CSL37" s="3"/>
      <c r="CSM37" s="3"/>
      <c r="CSN37" s="3"/>
      <c r="CSO37" s="3"/>
      <c r="CSP37" s="3"/>
      <c r="CSQ37" s="3"/>
      <c r="CSR37" s="3"/>
      <c r="CSS37" s="3"/>
      <c r="CST37" s="3"/>
      <c r="CSU37" s="3"/>
      <c r="CSV37" s="3"/>
      <c r="CSW37" s="3"/>
      <c r="CSX37" s="3"/>
      <c r="CSY37" s="3"/>
      <c r="CSZ37" s="3"/>
      <c r="CTA37" s="3"/>
      <c r="CTB37" s="3"/>
      <c r="CTC37" s="3"/>
      <c r="CTD37" s="3"/>
      <c r="CTE37" s="3"/>
      <c r="CTF37" s="3"/>
      <c r="CTG37" s="3"/>
      <c r="CTH37" s="3"/>
      <c r="CTI37" s="3"/>
      <c r="CTJ37" s="3"/>
      <c r="CTK37" s="3"/>
      <c r="CTL37" s="3"/>
      <c r="CTM37" s="3"/>
      <c r="CTN37" s="3"/>
      <c r="CTO37" s="3"/>
      <c r="CTP37" s="3"/>
      <c r="CTQ37" s="3"/>
      <c r="CTR37" s="3"/>
      <c r="CTS37" s="3"/>
      <c r="CTT37" s="3"/>
      <c r="CTU37" s="3"/>
      <c r="CTV37" s="3"/>
      <c r="CTW37" s="3"/>
      <c r="CTX37" s="3"/>
      <c r="CTY37" s="3"/>
      <c r="CTZ37" s="3"/>
      <c r="CUA37" s="3"/>
      <c r="CUB37" s="3"/>
      <c r="CUC37" s="3"/>
      <c r="CUD37" s="3"/>
      <c r="CUE37" s="3"/>
      <c r="CUF37" s="3"/>
      <c r="CUG37" s="3"/>
      <c r="CUH37" s="3"/>
      <c r="CUI37" s="3"/>
      <c r="CUJ37" s="3"/>
      <c r="CUK37" s="3"/>
      <c r="CUL37" s="3"/>
      <c r="CUM37" s="3"/>
      <c r="CUN37" s="3"/>
      <c r="CUO37" s="3"/>
      <c r="CUP37" s="3"/>
      <c r="CUQ37" s="3"/>
      <c r="CUR37" s="3"/>
      <c r="CUS37" s="3"/>
      <c r="CUT37" s="3"/>
      <c r="CUU37" s="3"/>
      <c r="CUV37" s="3"/>
      <c r="CUW37" s="3"/>
      <c r="CUX37" s="3"/>
      <c r="CUY37" s="3"/>
      <c r="CUZ37" s="3"/>
      <c r="CVA37" s="3"/>
      <c r="CVB37" s="3"/>
      <c r="CVC37" s="3"/>
      <c r="CVD37" s="3"/>
      <c r="CVE37" s="3"/>
      <c r="CVF37" s="3"/>
      <c r="CVG37" s="3"/>
      <c r="CVH37" s="3"/>
      <c r="CVI37" s="3"/>
      <c r="CVJ37" s="3"/>
      <c r="CVK37" s="3"/>
      <c r="CVL37" s="3"/>
      <c r="CVM37" s="3"/>
      <c r="CVN37" s="3"/>
      <c r="CVO37" s="3"/>
      <c r="CVP37" s="3"/>
      <c r="CVQ37" s="3"/>
      <c r="CVR37" s="3"/>
      <c r="CVS37" s="3"/>
      <c r="CVT37" s="3"/>
      <c r="CVU37" s="3"/>
      <c r="CVV37" s="3"/>
      <c r="CVW37" s="3"/>
      <c r="CVX37" s="3"/>
      <c r="CVY37" s="3"/>
      <c r="CVZ37" s="3"/>
      <c r="CWA37" s="3"/>
      <c r="CWB37" s="3"/>
      <c r="CWC37" s="3"/>
      <c r="CWD37" s="3"/>
      <c r="CWE37" s="3"/>
      <c r="CWF37" s="3"/>
      <c r="CWG37" s="3"/>
      <c r="CWH37" s="3"/>
      <c r="CWI37" s="3"/>
      <c r="CWJ37" s="3"/>
      <c r="CWK37" s="3"/>
      <c r="CWL37" s="3"/>
      <c r="CWM37" s="3"/>
      <c r="CWN37" s="3"/>
      <c r="CWO37" s="3"/>
      <c r="CWP37" s="3"/>
      <c r="CWQ37" s="3"/>
      <c r="CWR37" s="3"/>
      <c r="CWS37" s="3"/>
      <c r="CWT37" s="3"/>
      <c r="CWU37" s="3"/>
      <c r="CWV37" s="3"/>
      <c r="CWW37" s="3"/>
      <c r="CWX37" s="3"/>
      <c r="CWY37" s="3"/>
      <c r="CWZ37" s="3"/>
      <c r="CXA37" s="3"/>
      <c r="CXB37" s="3"/>
      <c r="CXC37" s="3"/>
      <c r="CXD37" s="3"/>
      <c r="CXE37" s="3"/>
      <c r="CXF37" s="3"/>
      <c r="CXG37" s="3"/>
      <c r="CXH37" s="3"/>
      <c r="CXI37" s="3"/>
      <c r="CXJ37" s="3"/>
      <c r="CXK37" s="3"/>
      <c r="CXL37" s="3"/>
      <c r="CXM37" s="3"/>
      <c r="CXN37" s="3"/>
      <c r="CXO37" s="3"/>
      <c r="CXP37" s="3"/>
      <c r="CXQ37" s="3"/>
      <c r="CXR37" s="3"/>
      <c r="CXS37" s="3"/>
      <c r="CXT37" s="3"/>
      <c r="CXU37" s="3"/>
      <c r="CXV37" s="3"/>
      <c r="CXW37" s="3"/>
      <c r="CXX37" s="3"/>
      <c r="CXY37" s="3"/>
      <c r="CXZ37" s="3"/>
      <c r="CYA37" s="3"/>
      <c r="CYB37" s="3"/>
      <c r="CYC37" s="3"/>
      <c r="CYD37" s="3"/>
      <c r="CYE37" s="3"/>
      <c r="CYF37" s="3"/>
      <c r="CYG37" s="3"/>
      <c r="CYH37" s="3"/>
      <c r="CYI37" s="3"/>
      <c r="CYJ37" s="3"/>
      <c r="CYK37" s="3"/>
      <c r="CYL37" s="3"/>
      <c r="CYM37" s="3"/>
      <c r="CYN37" s="3"/>
      <c r="CYO37" s="3"/>
      <c r="CYP37" s="3"/>
      <c r="CYQ37" s="3"/>
      <c r="CYR37" s="3"/>
      <c r="CYS37" s="3"/>
      <c r="CYT37" s="3"/>
      <c r="CYU37" s="3"/>
      <c r="CYV37" s="3"/>
      <c r="CYW37" s="3"/>
      <c r="CYX37" s="3"/>
      <c r="CYY37" s="3"/>
      <c r="CYZ37" s="3"/>
      <c r="CZA37" s="3"/>
      <c r="CZB37" s="3"/>
      <c r="CZC37" s="3"/>
      <c r="CZD37" s="3"/>
      <c r="CZE37" s="3"/>
      <c r="CZF37" s="3"/>
      <c r="CZG37" s="3"/>
      <c r="CZH37" s="3"/>
      <c r="CZI37" s="3"/>
      <c r="CZJ37" s="3"/>
      <c r="CZK37" s="3"/>
      <c r="CZL37" s="3"/>
      <c r="CZM37" s="3"/>
      <c r="CZN37" s="3"/>
      <c r="CZO37" s="3"/>
      <c r="CZP37" s="3"/>
      <c r="CZQ37" s="3"/>
      <c r="CZR37" s="3"/>
      <c r="CZS37" s="3"/>
      <c r="CZT37" s="3"/>
      <c r="CZU37" s="3"/>
      <c r="CZV37" s="3"/>
      <c r="CZW37" s="3"/>
      <c r="CZX37" s="3"/>
      <c r="CZY37" s="3"/>
      <c r="CZZ37" s="3"/>
      <c r="DAA37" s="3"/>
      <c r="DAB37" s="3"/>
      <c r="DAC37" s="3"/>
      <c r="DAD37" s="3"/>
      <c r="DAE37" s="3"/>
      <c r="DAF37" s="3"/>
      <c r="DAG37" s="3"/>
      <c r="DAH37" s="3"/>
      <c r="DAI37" s="3"/>
      <c r="DAJ37" s="3"/>
      <c r="DAK37" s="3"/>
      <c r="DAL37" s="3"/>
      <c r="DAM37" s="3"/>
      <c r="DAN37" s="3"/>
      <c r="DAO37" s="3"/>
      <c r="DAP37" s="3"/>
      <c r="DAQ37" s="3"/>
      <c r="DAR37" s="3"/>
      <c r="DAS37" s="3"/>
      <c r="DAT37" s="3"/>
      <c r="DAU37" s="3"/>
      <c r="DAV37" s="3"/>
      <c r="DAW37" s="3"/>
      <c r="DAX37" s="3"/>
      <c r="DAY37" s="3"/>
      <c r="DAZ37" s="3"/>
      <c r="DBA37" s="3"/>
      <c r="DBB37" s="3"/>
      <c r="DBC37" s="3"/>
      <c r="DBD37" s="3"/>
      <c r="DBE37" s="3"/>
      <c r="DBF37" s="3"/>
      <c r="DBG37" s="3"/>
      <c r="DBH37" s="3"/>
      <c r="DBI37" s="3"/>
      <c r="DBJ37" s="3"/>
      <c r="DBK37" s="3"/>
      <c r="DBL37" s="3"/>
      <c r="DBM37" s="3"/>
      <c r="DBN37" s="3"/>
      <c r="DBO37" s="3"/>
      <c r="DBP37" s="3"/>
      <c r="DBQ37" s="3"/>
      <c r="DBR37" s="3"/>
      <c r="DBS37" s="3"/>
      <c r="DBT37" s="3"/>
      <c r="DBU37" s="3"/>
      <c r="DBV37" s="3"/>
      <c r="DBW37" s="3"/>
      <c r="DBX37" s="3"/>
      <c r="DBY37" s="3"/>
      <c r="DBZ37" s="3"/>
      <c r="DCA37" s="3"/>
      <c r="DCB37" s="3"/>
      <c r="DCC37" s="3"/>
      <c r="DCD37" s="3"/>
      <c r="DCE37" s="3"/>
      <c r="DCF37" s="3"/>
      <c r="DCG37" s="3"/>
      <c r="DCH37" s="3"/>
      <c r="DCI37" s="3"/>
      <c r="DCJ37" s="3"/>
      <c r="DCK37" s="3"/>
      <c r="DCL37" s="3"/>
      <c r="DCM37" s="3"/>
      <c r="DCN37" s="3"/>
      <c r="DCO37" s="3"/>
      <c r="DCP37" s="3"/>
      <c r="DCQ37" s="3"/>
      <c r="DCR37" s="3"/>
      <c r="DCS37" s="3"/>
      <c r="DCT37" s="3"/>
      <c r="DCU37" s="3"/>
      <c r="DCV37" s="3"/>
      <c r="DCW37" s="3"/>
      <c r="DCX37" s="3"/>
      <c r="DCY37" s="3"/>
      <c r="DCZ37" s="3"/>
      <c r="DDA37" s="3"/>
      <c r="DDB37" s="3"/>
      <c r="DDC37" s="3"/>
      <c r="DDD37" s="3"/>
      <c r="DDE37" s="3"/>
      <c r="DDF37" s="3"/>
      <c r="DDG37" s="3"/>
      <c r="DDH37" s="3"/>
      <c r="DDI37" s="3"/>
      <c r="DDJ37" s="3"/>
      <c r="DDK37" s="3"/>
      <c r="DDL37" s="3"/>
      <c r="DDM37" s="3"/>
      <c r="DDN37" s="3"/>
      <c r="DDO37" s="3"/>
      <c r="DDP37" s="3"/>
      <c r="DDQ37" s="3"/>
      <c r="DDR37" s="3"/>
      <c r="DDS37" s="3"/>
      <c r="DDT37" s="3"/>
      <c r="DDU37" s="3"/>
      <c r="DDV37" s="3"/>
      <c r="DDW37" s="3"/>
      <c r="DDX37" s="3"/>
      <c r="DDY37" s="3"/>
      <c r="DDZ37" s="3"/>
      <c r="DEA37" s="3"/>
      <c r="DEB37" s="3"/>
      <c r="DEC37" s="3"/>
      <c r="DED37" s="3"/>
      <c r="DEE37" s="3"/>
      <c r="DEF37" s="3"/>
      <c r="DEG37" s="3"/>
      <c r="DEH37" s="3"/>
      <c r="DEI37" s="3"/>
      <c r="DEJ37" s="3"/>
      <c r="DEK37" s="3"/>
      <c r="DEL37" s="3"/>
      <c r="DEM37" s="3"/>
      <c r="DEN37" s="3"/>
      <c r="DEO37" s="3"/>
      <c r="DEP37" s="3"/>
      <c r="DEQ37" s="3"/>
      <c r="DER37" s="3"/>
      <c r="DES37" s="3"/>
      <c r="DET37" s="3"/>
      <c r="DEU37" s="3"/>
      <c r="DEV37" s="3"/>
      <c r="DEW37" s="3"/>
      <c r="DEX37" s="3"/>
      <c r="DEY37" s="3"/>
      <c r="DEZ37" s="3"/>
      <c r="DFA37" s="3"/>
      <c r="DFB37" s="3"/>
      <c r="DFC37" s="3"/>
      <c r="DFD37" s="3"/>
      <c r="DFE37" s="3"/>
      <c r="DFF37" s="3"/>
      <c r="DFG37" s="3"/>
      <c r="DFH37" s="3"/>
      <c r="DFI37" s="3"/>
      <c r="DFJ37" s="3"/>
      <c r="DFK37" s="3"/>
      <c r="DFL37" s="3"/>
      <c r="DFM37" s="3"/>
      <c r="DFN37" s="3"/>
      <c r="DFO37" s="3"/>
      <c r="DFP37" s="3"/>
      <c r="DFQ37" s="3"/>
      <c r="DFR37" s="3"/>
      <c r="DFS37" s="3"/>
      <c r="DFT37" s="3"/>
      <c r="DFU37" s="3"/>
      <c r="DFV37" s="3"/>
      <c r="DFW37" s="3"/>
      <c r="DFX37" s="3"/>
      <c r="DFY37" s="3"/>
      <c r="DFZ37" s="3"/>
      <c r="DGA37" s="3"/>
      <c r="DGB37" s="3"/>
      <c r="DGC37" s="3"/>
      <c r="DGD37" s="3"/>
      <c r="DGE37" s="3"/>
      <c r="DGF37" s="3"/>
      <c r="DGG37" s="3"/>
      <c r="DGH37" s="3"/>
      <c r="DGI37" s="3"/>
      <c r="DGJ37" s="3"/>
      <c r="DGK37" s="3"/>
      <c r="DGL37" s="3"/>
      <c r="DGM37" s="3"/>
      <c r="DGN37" s="3"/>
      <c r="DGO37" s="3"/>
      <c r="DGP37" s="3"/>
      <c r="DGQ37" s="3"/>
      <c r="DGR37" s="3"/>
      <c r="DGS37" s="3"/>
      <c r="DGT37" s="3"/>
      <c r="DGU37" s="3"/>
      <c r="DGV37" s="3"/>
      <c r="DGW37" s="3"/>
      <c r="DGX37" s="3"/>
      <c r="DGY37" s="3"/>
      <c r="DGZ37" s="3"/>
      <c r="DHA37" s="3"/>
      <c r="DHB37" s="3"/>
      <c r="DHC37" s="3"/>
      <c r="DHD37" s="3"/>
      <c r="DHE37" s="3"/>
      <c r="DHF37" s="3"/>
      <c r="DHG37" s="3"/>
      <c r="DHH37" s="3"/>
      <c r="DHI37" s="3"/>
      <c r="DHJ37" s="3"/>
      <c r="DHK37" s="3"/>
      <c r="DHL37" s="3"/>
      <c r="DHM37" s="3"/>
      <c r="DHN37" s="3"/>
      <c r="DHO37" s="3"/>
      <c r="DHP37" s="3"/>
      <c r="DHQ37" s="3"/>
      <c r="DHR37" s="3"/>
      <c r="DHS37" s="3"/>
      <c r="DHT37" s="3"/>
      <c r="DHU37" s="3"/>
      <c r="DHV37" s="3"/>
      <c r="DHW37" s="3"/>
      <c r="DHX37" s="3"/>
      <c r="DHY37" s="3"/>
      <c r="DHZ37" s="3"/>
      <c r="DIA37" s="3"/>
      <c r="DIB37" s="3"/>
      <c r="DIC37" s="3"/>
      <c r="DID37" s="3"/>
      <c r="DIE37" s="3"/>
      <c r="DIF37" s="3"/>
      <c r="DIG37" s="3"/>
      <c r="DIH37" s="3"/>
      <c r="DII37" s="3"/>
      <c r="DIJ37" s="3"/>
      <c r="DIK37" s="3"/>
      <c r="DIL37" s="3"/>
      <c r="DIM37" s="3"/>
      <c r="DIN37" s="3"/>
      <c r="DIO37" s="3"/>
      <c r="DIP37" s="3"/>
      <c r="DIQ37" s="3"/>
      <c r="DIR37" s="3"/>
      <c r="DIS37" s="3"/>
      <c r="DIT37" s="3"/>
      <c r="DIU37" s="3"/>
      <c r="DIV37" s="3"/>
      <c r="DIW37" s="3"/>
      <c r="DIX37" s="3"/>
      <c r="DIY37" s="3"/>
      <c r="DIZ37" s="3"/>
      <c r="DJA37" s="3"/>
      <c r="DJB37" s="3"/>
      <c r="DJC37" s="3"/>
      <c r="DJD37" s="3"/>
      <c r="DJE37" s="3"/>
      <c r="DJF37" s="3"/>
      <c r="DJG37" s="3"/>
      <c r="DJH37" s="3"/>
      <c r="DJI37" s="3"/>
      <c r="DJJ37" s="3"/>
      <c r="DJK37" s="3"/>
      <c r="DJL37" s="3"/>
      <c r="DJM37" s="3"/>
      <c r="DJN37" s="3"/>
      <c r="DJO37" s="3"/>
      <c r="DJP37" s="3"/>
      <c r="DJQ37" s="3"/>
      <c r="DJR37" s="3"/>
      <c r="DJS37" s="3"/>
      <c r="DJT37" s="3"/>
      <c r="DJU37" s="3"/>
      <c r="DJV37" s="3"/>
      <c r="DJW37" s="3"/>
      <c r="DJX37" s="3"/>
      <c r="DJY37" s="3"/>
      <c r="DJZ37" s="3"/>
      <c r="DKA37" s="3"/>
      <c r="DKB37" s="3"/>
      <c r="DKC37" s="3"/>
      <c r="DKD37" s="3"/>
      <c r="DKE37" s="3"/>
      <c r="DKF37" s="3"/>
      <c r="DKG37" s="3"/>
      <c r="DKH37" s="3"/>
      <c r="DKI37" s="3"/>
      <c r="DKJ37" s="3"/>
      <c r="DKK37" s="3"/>
      <c r="DKL37" s="3"/>
      <c r="DKM37" s="3"/>
      <c r="DKN37" s="3"/>
      <c r="DKO37" s="3"/>
      <c r="DKP37" s="3"/>
      <c r="DKQ37" s="3"/>
      <c r="DKR37" s="3"/>
      <c r="DKS37" s="3"/>
      <c r="DKT37" s="3"/>
      <c r="DKU37" s="3"/>
      <c r="DKV37" s="3"/>
      <c r="DKW37" s="3"/>
      <c r="DKX37" s="3"/>
      <c r="DKY37" s="3"/>
      <c r="DKZ37" s="3"/>
      <c r="DLA37" s="3"/>
      <c r="DLB37" s="3"/>
      <c r="DLC37" s="3"/>
      <c r="DLD37" s="3"/>
      <c r="DLE37" s="3"/>
      <c r="DLF37" s="3"/>
      <c r="DLG37" s="3"/>
      <c r="DLH37" s="3"/>
      <c r="DLI37" s="3"/>
      <c r="DLJ37" s="3"/>
      <c r="DLK37" s="3"/>
      <c r="DLL37" s="3"/>
      <c r="DLM37" s="3"/>
      <c r="DLN37" s="3"/>
      <c r="DLO37" s="3"/>
      <c r="DLP37" s="3"/>
      <c r="DLQ37" s="3"/>
      <c r="DLR37" s="3"/>
      <c r="DLS37" s="3"/>
      <c r="DLT37" s="3"/>
      <c r="DLU37" s="3"/>
      <c r="DLV37" s="3"/>
      <c r="DLW37" s="3"/>
      <c r="DLX37" s="3"/>
      <c r="DLY37" s="3"/>
      <c r="DLZ37" s="3"/>
      <c r="DMA37" s="3"/>
      <c r="DMB37" s="3"/>
      <c r="DMC37" s="3"/>
      <c r="DMD37" s="3"/>
      <c r="DME37" s="3"/>
      <c r="DMF37" s="3"/>
      <c r="DMG37" s="3"/>
      <c r="DMH37" s="3"/>
      <c r="DMI37" s="3"/>
      <c r="DMJ37" s="3"/>
      <c r="DMK37" s="3"/>
      <c r="DML37" s="3"/>
      <c r="DMM37" s="3"/>
      <c r="DMN37" s="3"/>
      <c r="DMO37" s="3"/>
      <c r="DMP37" s="3"/>
      <c r="DMQ37" s="3"/>
      <c r="DMR37" s="3"/>
      <c r="DMS37" s="3"/>
      <c r="DMT37" s="3"/>
      <c r="DMU37" s="3"/>
      <c r="DMV37" s="3"/>
      <c r="DMW37" s="3"/>
      <c r="DMX37" s="3"/>
      <c r="DMY37" s="3"/>
      <c r="DMZ37" s="3"/>
      <c r="DNA37" s="3"/>
      <c r="DNB37" s="3"/>
      <c r="DNC37" s="3"/>
      <c r="DND37" s="3"/>
      <c r="DNE37" s="3"/>
      <c r="DNF37" s="3"/>
      <c r="DNG37" s="3"/>
      <c r="DNH37" s="3"/>
      <c r="DNI37" s="3"/>
      <c r="DNJ37" s="3"/>
      <c r="DNK37" s="3"/>
      <c r="DNL37" s="3"/>
      <c r="DNM37" s="3"/>
      <c r="DNN37" s="3"/>
      <c r="DNO37" s="3"/>
      <c r="DNP37" s="3"/>
      <c r="DNQ37" s="3"/>
      <c r="DNR37" s="3"/>
      <c r="DNS37" s="3"/>
      <c r="DNT37" s="3"/>
      <c r="DNU37" s="3"/>
      <c r="DNV37" s="3"/>
      <c r="DNW37" s="3"/>
      <c r="DNX37" s="3"/>
      <c r="DNY37" s="3"/>
      <c r="DNZ37" s="3"/>
      <c r="DOA37" s="3"/>
      <c r="DOB37" s="3"/>
      <c r="DOC37" s="3"/>
      <c r="DOD37" s="3"/>
      <c r="DOE37" s="3"/>
      <c r="DOF37" s="3"/>
      <c r="DOG37" s="3"/>
      <c r="DOH37" s="3"/>
      <c r="DOI37" s="3"/>
      <c r="DOJ37" s="3"/>
      <c r="DOK37" s="3"/>
      <c r="DOL37" s="3"/>
      <c r="DOM37" s="3"/>
      <c r="DON37" s="3"/>
      <c r="DOO37" s="3"/>
      <c r="DOP37" s="3"/>
      <c r="DOQ37" s="3"/>
      <c r="DOR37" s="3"/>
      <c r="DOS37" s="3"/>
      <c r="DOT37" s="3"/>
      <c r="DOU37" s="3"/>
      <c r="DOV37" s="3"/>
      <c r="DOW37" s="3"/>
      <c r="DOX37" s="3"/>
      <c r="DOY37" s="3"/>
      <c r="DOZ37" s="3"/>
      <c r="DPA37" s="3"/>
      <c r="DPB37" s="3"/>
      <c r="DPC37" s="3"/>
      <c r="DPD37" s="3"/>
      <c r="DPE37" s="3"/>
      <c r="DPF37" s="3"/>
      <c r="DPG37" s="3"/>
      <c r="DPH37" s="3"/>
      <c r="DPI37" s="3"/>
      <c r="DPJ37" s="3"/>
      <c r="DPK37" s="3"/>
      <c r="DPL37" s="3"/>
      <c r="DPM37" s="3"/>
      <c r="DPN37" s="3"/>
      <c r="DPO37" s="3"/>
      <c r="DPP37" s="3"/>
      <c r="DPQ37" s="3"/>
      <c r="DPR37" s="3"/>
      <c r="DPS37" s="3"/>
      <c r="DPT37" s="3"/>
      <c r="DPU37" s="3"/>
      <c r="DPV37" s="3"/>
      <c r="DPW37" s="3"/>
      <c r="DPX37" s="3"/>
      <c r="DPY37" s="3"/>
      <c r="DPZ37" s="3"/>
      <c r="DQA37" s="3"/>
      <c r="DQB37" s="3"/>
      <c r="DQC37" s="3"/>
      <c r="DQD37" s="3"/>
      <c r="DQE37" s="3"/>
      <c r="DQF37" s="3"/>
      <c r="DQG37" s="3"/>
      <c r="DQH37" s="3"/>
      <c r="DQI37" s="3"/>
      <c r="DQJ37" s="3"/>
      <c r="DQK37" s="3"/>
      <c r="DQL37" s="3"/>
      <c r="DQM37" s="3"/>
      <c r="DQN37" s="3"/>
      <c r="DQO37" s="3"/>
      <c r="DQP37" s="3"/>
      <c r="DQQ37" s="3"/>
      <c r="DQR37" s="3"/>
      <c r="DQS37" s="3"/>
      <c r="DQT37" s="3"/>
      <c r="DQU37" s="3"/>
      <c r="DQV37" s="3"/>
      <c r="DQW37" s="3"/>
      <c r="DQX37" s="3"/>
      <c r="DQY37" s="3"/>
      <c r="DQZ37" s="3"/>
      <c r="DRA37" s="3"/>
      <c r="DRB37" s="3"/>
      <c r="DRC37" s="3"/>
      <c r="DRD37" s="3"/>
      <c r="DRE37" s="3"/>
      <c r="DRF37" s="3"/>
      <c r="DRG37" s="3"/>
      <c r="DRH37" s="3"/>
      <c r="DRI37" s="3"/>
      <c r="DRJ37" s="3"/>
      <c r="DRK37" s="3"/>
      <c r="DRL37" s="3"/>
      <c r="DRM37" s="3"/>
      <c r="DRN37" s="3"/>
      <c r="DRO37" s="3"/>
      <c r="DRP37" s="3"/>
      <c r="DRQ37" s="3"/>
      <c r="DRR37" s="3"/>
      <c r="DRS37" s="3"/>
      <c r="DRT37" s="3"/>
      <c r="DRU37" s="3"/>
      <c r="DRV37" s="3"/>
      <c r="DRW37" s="3"/>
      <c r="DRX37" s="3"/>
      <c r="DRY37" s="3"/>
      <c r="DRZ37" s="3"/>
      <c r="DSA37" s="3"/>
      <c r="DSB37" s="3"/>
      <c r="DSC37" s="3"/>
      <c r="DSD37" s="3"/>
      <c r="DSE37" s="3"/>
      <c r="DSF37" s="3"/>
      <c r="DSG37" s="3"/>
      <c r="DSH37" s="3"/>
      <c r="DSI37" s="3"/>
      <c r="DSJ37" s="3"/>
      <c r="DSK37" s="3"/>
      <c r="DSL37" s="3"/>
      <c r="DSM37" s="3"/>
      <c r="DSN37" s="3"/>
      <c r="DSO37" s="3"/>
      <c r="DSP37" s="3"/>
      <c r="DSQ37" s="3"/>
      <c r="DSR37" s="3"/>
      <c r="DSS37" s="3"/>
      <c r="DST37" s="3"/>
      <c r="DSU37" s="3"/>
      <c r="DSV37" s="3"/>
      <c r="DSW37" s="3"/>
      <c r="DSX37" s="3"/>
      <c r="DSY37" s="3"/>
      <c r="DSZ37" s="3"/>
      <c r="DTA37" s="3"/>
      <c r="DTB37" s="3"/>
      <c r="DTC37" s="3"/>
      <c r="DTD37" s="3"/>
      <c r="DTE37" s="3"/>
      <c r="DTF37" s="3"/>
      <c r="DTG37" s="3"/>
      <c r="DTH37" s="3"/>
      <c r="DTI37" s="3"/>
      <c r="DTJ37" s="3"/>
      <c r="DTK37" s="3"/>
      <c r="DTL37" s="3"/>
      <c r="DTM37" s="3"/>
      <c r="DTN37" s="3"/>
      <c r="DTO37" s="3"/>
      <c r="DTP37" s="3"/>
      <c r="DTQ37" s="3"/>
      <c r="DTR37" s="3"/>
      <c r="DTS37" s="3"/>
      <c r="DTT37" s="3"/>
      <c r="DTU37" s="3"/>
      <c r="DTV37" s="3"/>
      <c r="DTW37" s="3"/>
      <c r="DTX37" s="3"/>
      <c r="DTY37" s="3"/>
      <c r="DTZ37" s="3"/>
      <c r="DUA37" s="3"/>
      <c r="DUB37" s="3"/>
      <c r="DUC37" s="3"/>
      <c r="DUD37" s="3"/>
      <c r="DUE37" s="3"/>
      <c r="DUF37" s="3"/>
      <c r="DUG37" s="3"/>
      <c r="DUH37" s="3"/>
      <c r="DUI37" s="3"/>
      <c r="DUJ37" s="3"/>
      <c r="DUK37" s="3"/>
      <c r="DUL37" s="3"/>
      <c r="DUM37" s="3"/>
      <c r="DUN37" s="3"/>
      <c r="DUO37" s="3"/>
      <c r="DUP37" s="3"/>
      <c r="DUQ37" s="3"/>
      <c r="DUR37" s="3"/>
      <c r="DUS37" s="3"/>
      <c r="DUT37" s="3"/>
      <c r="DUU37" s="3"/>
      <c r="DUV37" s="3"/>
      <c r="DUW37" s="3"/>
      <c r="DUX37" s="3"/>
      <c r="DUY37" s="3"/>
      <c r="DUZ37" s="3"/>
      <c r="DVA37" s="3"/>
      <c r="DVB37" s="3"/>
      <c r="DVC37" s="3"/>
      <c r="DVD37" s="3"/>
      <c r="DVE37" s="3"/>
      <c r="DVF37" s="3"/>
      <c r="DVG37" s="3"/>
      <c r="DVH37" s="3"/>
      <c r="DVI37" s="3"/>
      <c r="DVJ37" s="3"/>
      <c r="DVK37" s="3"/>
      <c r="DVL37" s="3"/>
      <c r="DVM37" s="3"/>
      <c r="DVN37" s="3"/>
      <c r="DVO37" s="3"/>
      <c r="DVP37" s="3"/>
      <c r="DVQ37" s="3"/>
      <c r="DVR37" s="3"/>
      <c r="DVS37" s="3"/>
      <c r="DVT37" s="3"/>
      <c r="DVU37" s="3"/>
      <c r="DVV37" s="3"/>
      <c r="DVW37" s="3"/>
      <c r="DVX37" s="3"/>
      <c r="DVY37" s="3"/>
      <c r="DVZ37" s="3"/>
      <c r="DWA37" s="3"/>
      <c r="DWB37" s="3"/>
      <c r="DWC37" s="3"/>
      <c r="DWD37" s="3"/>
      <c r="DWE37" s="3"/>
      <c r="DWF37" s="3"/>
      <c r="DWG37" s="3"/>
      <c r="DWH37" s="3"/>
      <c r="DWI37" s="3"/>
      <c r="DWJ37" s="3"/>
      <c r="DWK37" s="3"/>
      <c r="DWL37" s="3"/>
      <c r="DWM37" s="3"/>
      <c r="DWN37" s="3"/>
      <c r="DWO37" s="3"/>
      <c r="DWP37" s="3"/>
      <c r="DWQ37" s="3"/>
      <c r="DWR37" s="3"/>
      <c r="DWS37" s="3"/>
      <c r="DWT37" s="3"/>
      <c r="DWU37" s="3"/>
      <c r="DWV37" s="3"/>
      <c r="DWW37" s="3"/>
      <c r="DWX37" s="3"/>
      <c r="DWY37" s="3"/>
      <c r="DWZ37" s="3"/>
      <c r="DXA37" s="3"/>
      <c r="DXB37" s="3"/>
      <c r="DXC37" s="3"/>
      <c r="DXD37" s="3"/>
      <c r="DXE37" s="3"/>
      <c r="DXF37" s="3"/>
      <c r="DXG37" s="3"/>
      <c r="DXH37" s="3"/>
      <c r="DXI37" s="3"/>
      <c r="DXJ37" s="3"/>
      <c r="DXK37" s="3"/>
      <c r="DXL37" s="3"/>
      <c r="DXM37" s="3"/>
      <c r="DXN37" s="3"/>
      <c r="DXO37" s="3"/>
      <c r="DXP37" s="3"/>
      <c r="DXQ37" s="3"/>
      <c r="DXR37" s="3"/>
      <c r="DXS37" s="3"/>
      <c r="DXT37" s="3"/>
      <c r="DXU37" s="3"/>
      <c r="DXV37" s="3"/>
      <c r="DXW37" s="3"/>
      <c r="DXX37" s="3"/>
      <c r="DXY37" s="3"/>
      <c r="DXZ37" s="3"/>
      <c r="DYA37" s="3"/>
      <c r="DYB37" s="3"/>
      <c r="DYC37" s="3"/>
      <c r="DYD37" s="3"/>
      <c r="DYE37" s="3"/>
      <c r="DYF37" s="3"/>
      <c r="DYG37" s="3"/>
      <c r="DYH37" s="3"/>
      <c r="DYI37" s="3"/>
      <c r="DYJ37" s="3"/>
      <c r="DYK37" s="3"/>
      <c r="DYL37" s="3"/>
      <c r="DYM37" s="3"/>
      <c r="DYN37" s="3"/>
      <c r="DYO37" s="3"/>
      <c r="DYP37" s="3"/>
      <c r="DYQ37" s="3"/>
      <c r="DYR37" s="3"/>
      <c r="DYS37" s="3"/>
      <c r="DYT37" s="3"/>
      <c r="DYU37" s="3"/>
      <c r="DYV37" s="3"/>
      <c r="DYW37" s="3"/>
      <c r="DYX37" s="3"/>
      <c r="DYY37" s="3"/>
      <c r="DYZ37" s="3"/>
      <c r="DZA37" s="3"/>
      <c r="DZB37" s="3"/>
      <c r="DZC37" s="3"/>
      <c r="DZD37" s="3"/>
      <c r="DZE37" s="3"/>
      <c r="DZF37" s="3"/>
      <c r="DZG37" s="3"/>
      <c r="DZH37" s="3"/>
      <c r="DZI37" s="3"/>
      <c r="DZJ37" s="3"/>
      <c r="DZK37" s="3"/>
      <c r="DZL37" s="3"/>
      <c r="DZM37" s="3"/>
      <c r="DZN37" s="3"/>
      <c r="DZO37" s="3"/>
      <c r="DZP37" s="3"/>
      <c r="DZQ37" s="3"/>
      <c r="DZR37" s="3"/>
      <c r="DZS37" s="3"/>
      <c r="DZT37" s="3"/>
      <c r="DZU37" s="3"/>
      <c r="DZV37" s="3"/>
      <c r="DZW37" s="3"/>
      <c r="DZX37" s="3"/>
      <c r="DZY37" s="3"/>
      <c r="DZZ37" s="3"/>
      <c r="EAA37" s="3"/>
      <c r="EAB37" s="3"/>
      <c r="EAC37" s="3"/>
      <c r="EAD37" s="3"/>
      <c r="EAE37" s="3"/>
      <c r="EAF37" s="3"/>
      <c r="EAG37" s="3"/>
      <c r="EAH37" s="3"/>
      <c r="EAI37" s="3"/>
      <c r="EAJ37" s="3"/>
      <c r="EAK37" s="3"/>
      <c r="EAL37" s="3"/>
      <c r="EAM37" s="3"/>
      <c r="EAN37" s="3"/>
      <c r="EAO37" s="3"/>
      <c r="EAP37" s="3"/>
      <c r="EAQ37" s="3"/>
      <c r="EAR37" s="3"/>
      <c r="EAS37" s="3"/>
      <c r="EAT37" s="3"/>
      <c r="EAU37" s="3"/>
      <c r="EAV37" s="3"/>
      <c r="EAW37" s="3"/>
      <c r="EAX37" s="3"/>
      <c r="EAY37" s="3"/>
      <c r="EAZ37" s="3"/>
      <c r="EBA37" s="3"/>
      <c r="EBB37" s="3"/>
      <c r="EBC37" s="3"/>
      <c r="EBD37" s="3"/>
      <c r="EBE37" s="3"/>
      <c r="EBF37" s="3"/>
      <c r="EBG37" s="3"/>
      <c r="EBH37" s="3"/>
      <c r="EBI37" s="3"/>
      <c r="EBJ37" s="3"/>
      <c r="EBK37" s="3"/>
      <c r="EBL37" s="3"/>
      <c r="EBM37" s="3"/>
      <c r="EBN37" s="3"/>
      <c r="EBO37" s="3"/>
      <c r="EBP37" s="3"/>
      <c r="EBQ37" s="3"/>
      <c r="EBR37" s="3"/>
      <c r="EBS37" s="3"/>
      <c r="EBT37" s="3"/>
      <c r="EBU37" s="3"/>
      <c r="EBV37" s="3"/>
      <c r="EBW37" s="3"/>
      <c r="EBX37" s="3"/>
      <c r="EBY37" s="3"/>
      <c r="EBZ37" s="3"/>
      <c r="ECA37" s="3"/>
      <c r="ECB37" s="3"/>
      <c r="ECC37" s="3"/>
      <c r="ECD37" s="3"/>
      <c r="ECE37" s="3"/>
      <c r="ECF37" s="3"/>
      <c r="ECG37" s="3"/>
      <c r="ECH37" s="3"/>
      <c r="ECI37" s="3"/>
      <c r="ECJ37" s="3"/>
      <c r="ECK37" s="3"/>
      <c r="ECL37" s="3"/>
      <c r="ECM37" s="3"/>
      <c r="ECN37" s="3"/>
      <c r="ECO37" s="3"/>
      <c r="ECP37" s="3"/>
      <c r="ECQ37" s="3"/>
      <c r="ECR37" s="3"/>
      <c r="ECS37" s="3"/>
      <c r="ECT37" s="3"/>
      <c r="ECU37" s="3"/>
      <c r="ECV37" s="3"/>
      <c r="ECW37" s="3"/>
      <c r="ECX37" s="3"/>
      <c r="ECY37" s="3"/>
      <c r="ECZ37" s="3"/>
      <c r="EDA37" s="3"/>
      <c r="EDB37" s="3"/>
      <c r="EDC37" s="3"/>
      <c r="EDD37" s="3"/>
      <c r="EDE37" s="3"/>
      <c r="EDF37" s="3"/>
      <c r="EDG37" s="3"/>
      <c r="EDH37" s="3"/>
      <c r="EDI37" s="3"/>
      <c r="EDJ37" s="3"/>
      <c r="EDK37" s="3"/>
      <c r="EDL37" s="3"/>
      <c r="EDM37" s="3"/>
      <c r="EDN37" s="3"/>
      <c r="EDO37" s="3"/>
      <c r="EDP37" s="3"/>
      <c r="EDQ37" s="3"/>
      <c r="EDR37" s="3"/>
      <c r="EDS37" s="3"/>
      <c r="EDT37" s="3"/>
      <c r="EDU37" s="3"/>
      <c r="EDV37" s="3"/>
      <c r="EDW37" s="3"/>
      <c r="EDX37" s="3"/>
      <c r="EDY37" s="3"/>
      <c r="EDZ37" s="3"/>
      <c r="EEA37" s="3"/>
      <c r="EEB37" s="3"/>
      <c r="EEC37" s="3"/>
      <c r="EED37" s="3"/>
      <c r="EEE37" s="3"/>
      <c r="EEF37" s="3"/>
      <c r="EEG37" s="3"/>
      <c r="EEH37" s="3"/>
      <c r="EEI37" s="3"/>
      <c r="EEJ37" s="3"/>
      <c r="EEK37" s="3"/>
      <c r="EEL37" s="3"/>
      <c r="EEM37" s="3"/>
      <c r="EEN37" s="3"/>
      <c r="EEO37" s="3"/>
      <c r="EEP37" s="3"/>
      <c r="EEQ37" s="3"/>
      <c r="EER37" s="3"/>
      <c r="EES37" s="3"/>
      <c r="EET37" s="3"/>
      <c r="EEU37" s="3"/>
      <c r="EEV37" s="3"/>
      <c r="EEW37" s="3"/>
      <c r="EEX37" s="3"/>
      <c r="EEY37" s="3"/>
      <c r="EEZ37" s="3"/>
      <c r="EFA37" s="3"/>
      <c r="EFB37" s="3"/>
      <c r="EFC37" s="3"/>
      <c r="EFD37" s="3"/>
      <c r="EFE37" s="3"/>
      <c r="EFF37" s="3"/>
      <c r="EFG37" s="3"/>
      <c r="EFH37" s="3"/>
      <c r="EFI37" s="3"/>
      <c r="EFJ37" s="3"/>
      <c r="EFK37" s="3"/>
      <c r="EFL37" s="3"/>
      <c r="EFM37" s="3"/>
      <c r="EFN37" s="3"/>
      <c r="EFO37" s="3"/>
      <c r="EFP37" s="3"/>
      <c r="EFQ37" s="3"/>
      <c r="EFR37" s="3"/>
      <c r="EFS37" s="3"/>
      <c r="EFT37" s="3"/>
      <c r="EFU37" s="3"/>
      <c r="EFV37" s="3"/>
      <c r="EFW37" s="3"/>
      <c r="EFX37" s="3"/>
      <c r="EFY37" s="3"/>
      <c r="EFZ37" s="3"/>
      <c r="EGA37" s="3"/>
      <c r="EGB37" s="3"/>
      <c r="EGC37" s="3"/>
      <c r="EGD37" s="3"/>
      <c r="EGE37" s="3"/>
      <c r="EGF37" s="3"/>
      <c r="EGG37" s="3"/>
      <c r="EGH37" s="3"/>
      <c r="EGI37" s="3"/>
      <c r="EGJ37" s="3"/>
      <c r="EGK37" s="3"/>
      <c r="EGL37" s="3"/>
      <c r="EGM37" s="3"/>
      <c r="EGN37" s="3"/>
      <c r="EGO37" s="3"/>
      <c r="EGP37" s="3"/>
      <c r="EGQ37" s="3"/>
      <c r="EGR37" s="3"/>
      <c r="EGS37" s="3"/>
      <c r="EGT37" s="3"/>
      <c r="EGU37" s="3"/>
      <c r="EGV37" s="3"/>
      <c r="EGW37" s="3"/>
      <c r="EGX37" s="3"/>
      <c r="EGY37" s="3"/>
      <c r="EGZ37" s="3"/>
      <c r="EHA37" s="3"/>
      <c r="EHB37" s="3"/>
      <c r="EHC37" s="3"/>
      <c r="EHD37" s="3"/>
      <c r="EHE37" s="3"/>
      <c r="EHF37" s="3"/>
      <c r="EHG37" s="3"/>
      <c r="EHH37" s="3"/>
      <c r="EHI37" s="3"/>
      <c r="EHJ37" s="3"/>
      <c r="EHK37" s="3"/>
      <c r="EHL37" s="3"/>
      <c r="EHM37" s="3"/>
      <c r="EHN37" s="3"/>
      <c r="EHO37" s="3"/>
      <c r="EHP37" s="3"/>
      <c r="EHQ37" s="3"/>
      <c r="EHR37" s="3"/>
      <c r="EHS37" s="3"/>
      <c r="EHT37" s="3"/>
      <c r="EHU37" s="3"/>
      <c r="EHV37" s="3"/>
      <c r="EHW37" s="3"/>
      <c r="EHX37" s="3"/>
      <c r="EHY37" s="3"/>
      <c r="EHZ37" s="3"/>
      <c r="EIA37" s="3"/>
      <c r="EIB37" s="3"/>
      <c r="EIC37" s="3"/>
      <c r="EID37" s="3"/>
      <c r="EIE37" s="3"/>
      <c r="EIF37" s="3"/>
      <c r="EIG37" s="3"/>
      <c r="EIH37" s="3"/>
      <c r="EII37" s="3"/>
      <c r="EIJ37" s="3"/>
      <c r="EIK37" s="3"/>
      <c r="EIL37" s="3"/>
      <c r="EIM37" s="3"/>
      <c r="EIN37" s="3"/>
      <c r="EIO37" s="3"/>
      <c r="EIP37" s="3"/>
      <c r="EIQ37" s="3"/>
      <c r="EIR37" s="3"/>
      <c r="EIS37" s="3"/>
      <c r="EIT37" s="3"/>
      <c r="EIU37" s="3"/>
      <c r="EIV37" s="3"/>
      <c r="EIW37" s="3"/>
      <c r="EIX37" s="3"/>
      <c r="EIY37" s="3"/>
      <c r="EIZ37" s="3"/>
      <c r="EJA37" s="3"/>
      <c r="EJB37" s="3"/>
      <c r="EJC37" s="3"/>
      <c r="EJD37" s="3"/>
      <c r="EJE37" s="3"/>
      <c r="EJF37" s="3"/>
      <c r="EJG37" s="3"/>
      <c r="EJH37" s="3"/>
      <c r="EJI37" s="3"/>
      <c r="EJJ37" s="3"/>
      <c r="EJK37" s="3"/>
      <c r="EJL37" s="3"/>
      <c r="EJM37" s="3"/>
      <c r="EJN37" s="3"/>
      <c r="EJO37" s="3"/>
      <c r="EJP37" s="3"/>
      <c r="EJQ37" s="3"/>
      <c r="EJR37" s="3"/>
      <c r="EJS37" s="3"/>
      <c r="EJT37" s="3"/>
      <c r="EJU37" s="3"/>
      <c r="EJV37" s="3"/>
      <c r="EJW37" s="3"/>
      <c r="EJX37" s="3"/>
      <c r="EJY37" s="3"/>
      <c r="EJZ37" s="3"/>
      <c r="EKA37" s="3"/>
      <c r="EKB37" s="3"/>
      <c r="EKC37" s="3"/>
      <c r="EKD37" s="3"/>
      <c r="EKE37" s="3"/>
      <c r="EKF37" s="3"/>
      <c r="EKG37" s="3"/>
      <c r="EKH37" s="3"/>
      <c r="EKI37" s="3"/>
      <c r="EKJ37" s="3"/>
      <c r="EKK37" s="3"/>
      <c r="EKL37" s="3"/>
      <c r="EKM37" s="3"/>
      <c r="EKN37" s="3"/>
      <c r="EKO37" s="3"/>
      <c r="EKP37" s="3"/>
      <c r="EKQ37" s="3"/>
      <c r="EKR37" s="3"/>
      <c r="EKS37" s="3"/>
      <c r="EKT37" s="3"/>
      <c r="EKU37" s="3"/>
      <c r="EKV37" s="3"/>
      <c r="EKW37" s="3"/>
      <c r="EKX37" s="3"/>
      <c r="EKY37" s="3"/>
      <c r="EKZ37" s="3"/>
      <c r="ELA37" s="3"/>
      <c r="ELB37" s="3"/>
      <c r="ELC37" s="3"/>
      <c r="ELD37" s="3"/>
      <c r="ELE37" s="3"/>
      <c r="ELF37" s="3"/>
      <c r="ELG37" s="3"/>
      <c r="ELH37" s="3"/>
      <c r="ELI37" s="3"/>
      <c r="ELJ37" s="3"/>
      <c r="ELK37" s="3"/>
      <c r="ELL37" s="3"/>
      <c r="ELM37" s="3"/>
      <c r="ELN37" s="3"/>
      <c r="ELO37" s="3"/>
      <c r="ELP37" s="3"/>
      <c r="ELQ37" s="3"/>
      <c r="ELR37" s="3"/>
      <c r="ELS37" s="3"/>
      <c r="ELT37" s="3"/>
      <c r="ELU37" s="3"/>
      <c r="ELV37" s="3"/>
      <c r="ELW37" s="3"/>
      <c r="ELX37" s="3"/>
      <c r="ELY37" s="3"/>
      <c r="ELZ37" s="3"/>
      <c r="EMA37" s="3"/>
      <c r="EMB37" s="3"/>
      <c r="EMC37" s="3"/>
      <c r="EMD37" s="3"/>
      <c r="EME37" s="3"/>
      <c r="EMF37" s="3"/>
      <c r="EMG37" s="3"/>
      <c r="EMH37" s="3"/>
      <c r="EMI37" s="3"/>
      <c r="EMJ37" s="3"/>
      <c r="EMK37" s="3"/>
      <c r="EML37" s="3"/>
      <c r="EMM37" s="3"/>
      <c r="EMN37" s="3"/>
      <c r="EMO37" s="3"/>
      <c r="EMP37" s="3"/>
      <c r="EMQ37" s="3"/>
      <c r="EMR37" s="3"/>
      <c r="EMS37" s="3"/>
      <c r="EMT37" s="3"/>
      <c r="EMU37" s="3"/>
      <c r="EMV37" s="3"/>
      <c r="EMW37" s="3"/>
      <c r="EMX37" s="3"/>
      <c r="EMY37" s="3"/>
      <c r="EMZ37" s="3"/>
      <c r="ENA37" s="3"/>
      <c r="ENB37" s="3"/>
      <c r="ENC37" s="3"/>
      <c r="END37" s="3"/>
      <c r="ENE37" s="3"/>
      <c r="ENF37" s="3"/>
      <c r="ENG37" s="3"/>
      <c r="ENH37" s="3"/>
      <c r="ENI37" s="3"/>
      <c r="ENJ37" s="3"/>
      <c r="ENK37" s="3"/>
      <c r="ENL37" s="3"/>
      <c r="ENM37" s="3"/>
      <c r="ENN37" s="3"/>
      <c r="ENO37" s="3"/>
      <c r="ENP37" s="3"/>
      <c r="ENQ37" s="3"/>
      <c r="ENR37" s="3"/>
      <c r="ENS37" s="3"/>
      <c r="ENT37" s="3"/>
      <c r="ENU37" s="3"/>
      <c r="ENV37" s="3"/>
      <c r="ENW37" s="3"/>
      <c r="ENX37" s="3"/>
      <c r="ENY37" s="3"/>
      <c r="ENZ37" s="3"/>
      <c r="EOA37" s="3"/>
      <c r="EOB37" s="3"/>
      <c r="EOC37" s="3"/>
      <c r="EOD37" s="3"/>
      <c r="EOE37" s="3"/>
      <c r="EOF37" s="3"/>
      <c r="EOG37" s="3"/>
      <c r="EOH37" s="3"/>
      <c r="EOI37" s="3"/>
      <c r="EOJ37" s="3"/>
      <c r="EOK37" s="3"/>
      <c r="EOL37" s="3"/>
      <c r="EOM37" s="3"/>
      <c r="EON37" s="3"/>
      <c r="EOO37" s="3"/>
      <c r="EOP37" s="3"/>
      <c r="EOQ37" s="3"/>
      <c r="EOR37" s="3"/>
      <c r="EOS37" s="3"/>
      <c r="EOT37" s="3"/>
      <c r="EOU37" s="3"/>
      <c r="EOV37" s="3"/>
      <c r="EOW37" s="3"/>
      <c r="EOX37" s="3"/>
      <c r="EOY37" s="3"/>
      <c r="EOZ37" s="3"/>
      <c r="EPA37" s="3"/>
      <c r="EPB37" s="3"/>
      <c r="EPC37" s="3"/>
      <c r="EPD37" s="3"/>
      <c r="EPE37" s="3"/>
      <c r="EPF37" s="3"/>
      <c r="EPG37" s="3"/>
      <c r="EPH37" s="3"/>
      <c r="EPI37" s="3"/>
      <c r="EPJ37" s="3"/>
      <c r="EPK37" s="3"/>
      <c r="EPL37" s="3"/>
      <c r="EPM37" s="3"/>
      <c r="EPN37" s="3"/>
      <c r="EPO37" s="3"/>
      <c r="EPP37" s="3"/>
      <c r="EPQ37" s="3"/>
      <c r="EPR37" s="3"/>
      <c r="EPS37" s="3"/>
      <c r="EPT37" s="3"/>
      <c r="EPU37" s="3"/>
      <c r="EPV37" s="3"/>
      <c r="EPW37" s="3"/>
      <c r="EPX37" s="3"/>
      <c r="EPY37" s="3"/>
      <c r="EPZ37" s="3"/>
      <c r="EQA37" s="3"/>
      <c r="EQB37" s="3"/>
      <c r="EQC37" s="3"/>
      <c r="EQD37" s="3"/>
      <c r="EQE37" s="3"/>
      <c r="EQF37" s="3"/>
      <c r="EQG37" s="3"/>
      <c r="EQH37" s="3"/>
      <c r="EQI37" s="3"/>
      <c r="EQJ37" s="3"/>
      <c r="EQK37" s="3"/>
      <c r="EQL37" s="3"/>
      <c r="EQM37" s="3"/>
      <c r="EQN37" s="3"/>
      <c r="EQO37" s="3"/>
      <c r="EQP37" s="3"/>
      <c r="EQQ37" s="3"/>
      <c r="EQR37" s="3"/>
      <c r="EQS37" s="3"/>
      <c r="EQT37" s="3"/>
      <c r="EQU37" s="3"/>
      <c r="EQV37" s="3"/>
      <c r="EQW37" s="3"/>
      <c r="EQX37" s="3"/>
      <c r="EQY37" s="3"/>
      <c r="EQZ37" s="3"/>
      <c r="ERA37" s="3"/>
      <c r="ERB37" s="3"/>
      <c r="ERC37" s="3"/>
      <c r="ERD37" s="3"/>
      <c r="ERE37" s="3"/>
      <c r="ERF37" s="3"/>
      <c r="ERG37" s="3"/>
      <c r="ERH37" s="3"/>
      <c r="ERI37" s="3"/>
      <c r="ERJ37" s="3"/>
      <c r="ERK37" s="3"/>
      <c r="ERL37" s="3"/>
      <c r="ERM37" s="3"/>
      <c r="ERN37" s="3"/>
      <c r="ERO37" s="3"/>
      <c r="ERP37" s="3"/>
      <c r="ERQ37" s="3"/>
      <c r="ERR37" s="3"/>
      <c r="ERS37" s="3"/>
      <c r="ERT37" s="3"/>
      <c r="ERU37" s="3"/>
      <c r="ERV37" s="3"/>
      <c r="ERW37" s="3"/>
      <c r="ERX37" s="3"/>
      <c r="ERY37" s="3"/>
      <c r="ERZ37" s="3"/>
      <c r="ESA37" s="3"/>
      <c r="ESB37" s="3"/>
      <c r="ESC37" s="3"/>
      <c r="ESD37" s="3"/>
      <c r="ESE37" s="3"/>
      <c r="ESF37" s="3"/>
      <c r="ESG37" s="3"/>
      <c r="ESH37" s="3"/>
      <c r="ESI37" s="3"/>
      <c r="ESJ37" s="3"/>
      <c r="ESK37" s="3"/>
      <c r="ESL37" s="3"/>
      <c r="ESM37" s="3"/>
      <c r="ESN37" s="3"/>
      <c r="ESO37" s="3"/>
      <c r="ESP37" s="3"/>
      <c r="ESQ37" s="3"/>
      <c r="ESR37" s="3"/>
      <c r="ESS37" s="3"/>
      <c r="EST37" s="3"/>
      <c r="ESU37" s="3"/>
      <c r="ESV37" s="3"/>
      <c r="ESW37" s="3"/>
      <c r="ESX37" s="3"/>
      <c r="ESY37" s="3"/>
      <c r="ESZ37" s="3"/>
      <c r="ETA37" s="3"/>
      <c r="ETB37" s="3"/>
      <c r="ETC37" s="3"/>
      <c r="ETD37" s="3"/>
      <c r="ETE37" s="3"/>
      <c r="ETF37" s="3"/>
      <c r="ETG37" s="3"/>
      <c r="ETH37" s="3"/>
      <c r="ETI37" s="3"/>
      <c r="ETJ37" s="3"/>
      <c r="ETK37" s="3"/>
      <c r="ETL37" s="3"/>
      <c r="ETM37" s="3"/>
      <c r="ETN37" s="3"/>
      <c r="ETO37" s="3"/>
      <c r="ETP37" s="3"/>
      <c r="ETQ37" s="3"/>
      <c r="ETR37" s="3"/>
      <c r="ETS37" s="3"/>
      <c r="ETT37" s="3"/>
      <c r="ETU37" s="3"/>
      <c r="ETV37" s="3"/>
      <c r="ETW37" s="3"/>
      <c r="ETX37" s="3"/>
      <c r="ETY37" s="3"/>
      <c r="ETZ37" s="3"/>
      <c r="EUA37" s="3"/>
      <c r="EUB37" s="3"/>
      <c r="EUC37" s="3"/>
      <c r="EUD37" s="3"/>
      <c r="EUE37" s="3"/>
      <c r="EUF37" s="3"/>
      <c r="EUG37" s="3"/>
      <c r="EUH37" s="3"/>
      <c r="EUI37" s="3"/>
      <c r="EUJ37" s="3"/>
      <c r="EUK37" s="3"/>
      <c r="EUL37" s="3"/>
      <c r="EUM37" s="3"/>
      <c r="EUN37" s="3"/>
      <c r="EUO37" s="3"/>
      <c r="EUP37" s="3"/>
      <c r="EUQ37" s="3"/>
      <c r="EUR37" s="3"/>
      <c r="EUS37" s="3"/>
      <c r="EUT37" s="3"/>
      <c r="EUU37" s="3"/>
      <c r="EUV37" s="3"/>
      <c r="EUW37" s="3"/>
      <c r="EUX37" s="3"/>
      <c r="EUY37" s="3"/>
      <c r="EUZ37" s="3"/>
      <c r="EVA37" s="3"/>
      <c r="EVB37" s="3"/>
      <c r="EVC37" s="3"/>
      <c r="EVD37" s="3"/>
      <c r="EVE37" s="3"/>
      <c r="EVF37" s="3"/>
      <c r="EVG37" s="3"/>
      <c r="EVH37" s="3"/>
      <c r="EVI37" s="3"/>
      <c r="EVJ37" s="3"/>
      <c r="EVK37" s="3"/>
      <c r="EVL37" s="3"/>
      <c r="EVM37" s="3"/>
      <c r="EVN37" s="3"/>
      <c r="EVO37" s="3"/>
      <c r="EVP37" s="3"/>
      <c r="EVQ37" s="3"/>
      <c r="EVR37" s="3"/>
      <c r="EVS37" s="3"/>
      <c r="EVT37" s="3"/>
      <c r="EVU37" s="3"/>
      <c r="EVV37" s="3"/>
      <c r="EVW37" s="3"/>
      <c r="EVX37" s="3"/>
      <c r="EVY37" s="3"/>
      <c r="EVZ37" s="3"/>
      <c r="EWA37" s="3"/>
      <c r="EWB37" s="3"/>
      <c r="EWC37" s="3"/>
      <c r="EWD37" s="3"/>
      <c r="EWE37" s="3"/>
      <c r="EWF37" s="3"/>
      <c r="EWG37" s="3"/>
      <c r="EWH37" s="3"/>
      <c r="EWI37" s="3"/>
      <c r="EWJ37" s="3"/>
      <c r="EWK37" s="3"/>
      <c r="EWL37" s="3"/>
      <c r="EWM37" s="3"/>
      <c r="EWN37" s="3"/>
      <c r="EWO37" s="3"/>
      <c r="EWP37" s="3"/>
      <c r="EWQ37" s="3"/>
      <c r="EWR37" s="3"/>
      <c r="EWS37" s="3"/>
      <c r="EWT37" s="3"/>
      <c r="EWU37" s="3"/>
      <c r="EWV37" s="3"/>
      <c r="EWW37" s="3"/>
      <c r="EWX37" s="3"/>
      <c r="EWY37" s="3"/>
      <c r="EWZ37" s="3"/>
      <c r="EXA37" s="3"/>
      <c r="EXB37" s="3"/>
      <c r="EXC37" s="3"/>
      <c r="EXD37" s="3"/>
      <c r="EXE37" s="3"/>
      <c r="EXF37" s="3"/>
      <c r="EXG37" s="3"/>
      <c r="EXH37" s="3"/>
      <c r="EXI37" s="3"/>
      <c r="EXJ37" s="3"/>
      <c r="EXK37" s="3"/>
      <c r="EXL37" s="3"/>
      <c r="EXM37" s="3"/>
      <c r="EXN37" s="3"/>
      <c r="EXO37" s="3"/>
      <c r="EXP37" s="3"/>
      <c r="EXQ37" s="3"/>
      <c r="EXR37" s="3"/>
      <c r="EXS37" s="3"/>
      <c r="EXT37" s="3"/>
      <c r="EXU37" s="3"/>
      <c r="EXV37" s="3"/>
      <c r="EXW37" s="3"/>
      <c r="EXX37" s="3"/>
      <c r="EXY37" s="3"/>
      <c r="EXZ37" s="3"/>
      <c r="EYA37" s="3"/>
      <c r="EYB37" s="3"/>
      <c r="EYC37" s="3"/>
      <c r="EYD37" s="3"/>
      <c r="EYE37" s="3"/>
      <c r="EYF37" s="3"/>
      <c r="EYG37" s="3"/>
      <c r="EYH37" s="3"/>
      <c r="EYI37" s="3"/>
      <c r="EYJ37" s="3"/>
      <c r="EYK37" s="3"/>
      <c r="EYL37" s="3"/>
      <c r="EYM37" s="3"/>
      <c r="EYN37" s="3"/>
      <c r="EYO37" s="3"/>
      <c r="EYP37" s="3"/>
      <c r="EYQ37" s="3"/>
      <c r="EYR37" s="3"/>
      <c r="EYS37" s="3"/>
      <c r="EYT37" s="3"/>
      <c r="EYU37" s="3"/>
      <c r="EYV37" s="3"/>
      <c r="EYW37" s="3"/>
      <c r="EYX37" s="3"/>
      <c r="EYY37" s="3"/>
      <c r="EYZ37" s="3"/>
      <c r="EZA37" s="3"/>
      <c r="EZB37" s="3"/>
      <c r="EZC37" s="3"/>
      <c r="EZD37" s="3"/>
      <c r="EZE37" s="3"/>
      <c r="EZF37" s="3"/>
      <c r="EZG37" s="3"/>
      <c r="EZH37" s="3"/>
      <c r="EZI37" s="3"/>
      <c r="EZJ37" s="3"/>
      <c r="EZK37" s="3"/>
      <c r="EZL37" s="3"/>
      <c r="EZM37" s="3"/>
      <c r="EZN37" s="3"/>
      <c r="EZO37" s="3"/>
      <c r="EZP37" s="3"/>
      <c r="EZQ37" s="3"/>
      <c r="EZR37" s="3"/>
      <c r="EZS37" s="3"/>
      <c r="EZT37" s="3"/>
      <c r="EZU37" s="3"/>
      <c r="EZV37" s="3"/>
      <c r="EZW37" s="3"/>
      <c r="EZX37" s="3"/>
      <c r="EZY37" s="3"/>
      <c r="EZZ37" s="3"/>
      <c r="FAA37" s="3"/>
      <c r="FAB37" s="3"/>
      <c r="FAC37" s="3"/>
      <c r="FAD37" s="3"/>
      <c r="FAE37" s="3"/>
      <c r="FAF37" s="3"/>
      <c r="FAG37" s="3"/>
      <c r="FAH37" s="3"/>
      <c r="FAI37" s="3"/>
      <c r="FAJ37" s="3"/>
      <c r="FAK37" s="3"/>
      <c r="FAL37" s="3"/>
      <c r="FAM37" s="3"/>
      <c r="FAN37" s="3"/>
      <c r="FAO37" s="3"/>
      <c r="FAP37" s="3"/>
      <c r="FAQ37" s="3"/>
      <c r="FAR37" s="3"/>
      <c r="FAS37" s="3"/>
      <c r="FAT37" s="3"/>
      <c r="FAU37" s="3"/>
      <c r="FAV37" s="3"/>
      <c r="FAW37" s="3"/>
      <c r="FAX37" s="3"/>
      <c r="FAY37" s="3"/>
      <c r="FAZ37" s="3"/>
      <c r="FBA37" s="3"/>
      <c r="FBB37" s="3"/>
      <c r="FBC37" s="3"/>
      <c r="FBD37" s="3"/>
      <c r="FBE37" s="3"/>
      <c r="FBF37" s="3"/>
      <c r="FBG37" s="3"/>
      <c r="FBH37" s="3"/>
      <c r="FBI37" s="3"/>
      <c r="FBJ37" s="3"/>
      <c r="FBK37" s="3"/>
      <c r="FBL37" s="3"/>
      <c r="FBM37" s="3"/>
      <c r="FBN37" s="3"/>
      <c r="FBO37" s="3"/>
      <c r="FBP37" s="3"/>
      <c r="FBQ37" s="3"/>
      <c r="FBR37" s="3"/>
      <c r="FBS37" s="3"/>
      <c r="FBT37" s="3"/>
      <c r="FBU37" s="3"/>
      <c r="FBV37" s="3"/>
      <c r="FBW37" s="3"/>
      <c r="FBX37" s="3"/>
      <c r="FBY37" s="3"/>
      <c r="FBZ37" s="3"/>
      <c r="FCA37" s="3"/>
      <c r="FCB37" s="3"/>
      <c r="FCC37" s="3"/>
      <c r="FCD37" s="3"/>
      <c r="FCE37" s="3"/>
      <c r="FCF37" s="3"/>
      <c r="FCG37" s="3"/>
      <c r="FCH37" s="3"/>
      <c r="FCI37" s="3"/>
      <c r="FCJ37" s="3"/>
      <c r="FCK37" s="3"/>
      <c r="FCL37" s="3"/>
      <c r="FCM37" s="3"/>
      <c r="FCN37" s="3"/>
      <c r="FCO37" s="3"/>
      <c r="FCP37" s="3"/>
      <c r="FCQ37" s="3"/>
      <c r="FCR37" s="3"/>
      <c r="FCS37" s="3"/>
      <c r="FCT37" s="3"/>
      <c r="FCU37" s="3"/>
      <c r="FCV37" s="3"/>
      <c r="FCW37" s="3"/>
      <c r="FCX37" s="3"/>
      <c r="FCY37" s="3"/>
      <c r="FCZ37" s="3"/>
      <c r="FDA37" s="3"/>
      <c r="FDB37" s="3"/>
      <c r="FDC37" s="3"/>
      <c r="FDD37" s="3"/>
      <c r="FDE37" s="3"/>
      <c r="FDF37" s="3"/>
      <c r="FDG37" s="3"/>
      <c r="FDH37" s="3"/>
      <c r="FDI37" s="3"/>
      <c r="FDJ37" s="3"/>
      <c r="FDK37" s="3"/>
      <c r="FDL37" s="3"/>
      <c r="FDM37" s="3"/>
      <c r="FDN37" s="3"/>
      <c r="FDO37" s="3"/>
      <c r="FDP37" s="3"/>
      <c r="FDQ37" s="3"/>
      <c r="FDR37" s="3"/>
      <c r="FDS37" s="3"/>
      <c r="FDT37" s="3"/>
      <c r="FDU37" s="3"/>
      <c r="FDV37" s="3"/>
      <c r="FDW37" s="3"/>
      <c r="FDX37" s="3"/>
      <c r="FDY37" s="3"/>
      <c r="FDZ37" s="3"/>
      <c r="FEA37" s="3"/>
      <c r="FEB37" s="3"/>
      <c r="FEC37" s="3"/>
      <c r="FED37" s="3"/>
      <c r="FEE37" s="3"/>
      <c r="FEF37" s="3"/>
      <c r="FEG37" s="3"/>
      <c r="FEH37" s="3"/>
      <c r="FEI37" s="3"/>
      <c r="FEJ37" s="3"/>
      <c r="FEK37" s="3"/>
      <c r="FEL37" s="3"/>
      <c r="FEM37" s="3"/>
      <c r="FEN37" s="3"/>
      <c r="FEO37" s="3"/>
      <c r="FEP37" s="3"/>
      <c r="FEQ37" s="3"/>
      <c r="FER37" s="3"/>
      <c r="FES37" s="3"/>
      <c r="FET37" s="3"/>
      <c r="FEU37" s="3"/>
      <c r="FEV37" s="3"/>
      <c r="FEW37" s="3"/>
      <c r="FEX37" s="3"/>
      <c r="FEY37" s="3"/>
      <c r="FEZ37" s="3"/>
      <c r="FFA37" s="3"/>
      <c r="FFB37" s="3"/>
      <c r="FFC37" s="3"/>
      <c r="FFD37" s="3"/>
      <c r="FFE37" s="3"/>
      <c r="FFF37" s="3"/>
      <c r="FFG37" s="3"/>
      <c r="FFH37" s="3"/>
      <c r="FFI37" s="3"/>
      <c r="FFJ37" s="3"/>
      <c r="FFK37" s="3"/>
      <c r="FFL37" s="3"/>
      <c r="FFM37" s="3"/>
      <c r="FFN37" s="3"/>
      <c r="FFO37" s="3"/>
      <c r="FFP37" s="3"/>
      <c r="FFQ37" s="3"/>
      <c r="FFR37" s="3"/>
      <c r="FFS37" s="3"/>
      <c r="FFT37" s="3"/>
      <c r="FFU37" s="3"/>
      <c r="FFV37" s="3"/>
      <c r="FFW37" s="3"/>
      <c r="FFX37" s="3"/>
      <c r="FFY37" s="3"/>
      <c r="FFZ37" s="3"/>
      <c r="FGA37" s="3"/>
      <c r="FGB37" s="3"/>
      <c r="FGC37" s="3"/>
      <c r="FGD37" s="3"/>
      <c r="FGE37" s="3"/>
      <c r="FGF37" s="3"/>
      <c r="FGG37" s="3"/>
      <c r="FGH37" s="3"/>
      <c r="FGI37" s="3"/>
      <c r="FGJ37" s="3"/>
      <c r="FGK37" s="3"/>
      <c r="FGL37" s="3"/>
      <c r="FGM37" s="3"/>
      <c r="FGN37" s="3"/>
      <c r="FGO37" s="3"/>
      <c r="FGP37" s="3"/>
      <c r="FGQ37" s="3"/>
      <c r="FGR37" s="3"/>
      <c r="FGS37" s="3"/>
      <c r="FGT37" s="3"/>
      <c r="FGU37" s="3"/>
      <c r="FGV37" s="3"/>
      <c r="FGW37" s="3"/>
      <c r="FGX37" s="3"/>
      <c r="FGY37" s="3"/>
      <c r="FGZ37" s="3"/>
      <c r="FHA37" s="3"/>
      <c r="FHB37" s="3"/>
      <c r="FHC37" s="3"/>
      <c r="FHD37" s="3"/>
      <c r="FHE37" s="3"/>
      <c r="FHF37" s="3"/>
      <c r="FHG37" s="3"/>
      <c r="FHH37" s="3"/>
      <c r="FHI37" s="3"/>
      <c r="FHJ37" s="3"/>
      <c r="FHK37" s="3"/>
      <c r="FHL37" s="3"/>
      <c r="FHM37" s="3"/>
      <c r="FHN37" s="3"/>
      <c r="FHO37" s="3"/>
      <c r="FHP37" s="3"/>
      <c r="FHQ37" s="3"/>
      <c r="FHR37" s="3"/>
      <c r="FHS37" s="3"/>
      <c r="FHT37" s="3"/>
      <c r="FHU37" s="3"/>
      <c r="FHV37" s="3"/>
      <c r="FHW37" s="3"/>
      <c r="FHX37" s="3"/>
      <c r="FHY37" s="3"/>
      <c r="FHZ37" s="3"/>
      <c r="FIA37" s="3"/>
      <c r="FIB37" s="3"/>
      <c r="FIC37" s="3"/>
      <c r="FID37" s="3"/>
      <c r="FIE37" s="3"/>
      <c r="FIF37" s="3"/>
      <c r="FIG37" s="3"/>
      <c r="FIH37" s="3"/>
      <c r="FII37" s="3"/>
      <c r="FIJ37" s="3"/>
      <c r="FIK37" s="3"/>
      <c r="FIL37" s="3"/>
      <c r="FIM37" s="3"/>
      <c r="FIN37" s="3"/>
      <c r="FIO37" s="3"/>
      <c r="FIP37" s="3"/>
      <c r="FIQ37" s="3"/>
      <c r="FIR37" s="3"/>
      <c r="FIS37" s="3"/>
      <c r="FIT37" s="3"/>
      <c r="FIU37" s="3"/>
      <c r="FIV37" s="3"/>
      <c r="FIW37" s="3"/>
      <c r="FIX37" s="3"/>
      <c r="FIY37" s="3"/>
      <c r="FIZ37" s="3"/>
      <c r="FJA37" s="3"/>
      <c r="FJB37" s="3"/>
      <c r="FJC37" s="3"/>
      <c r="FJD37" s="3"/>
      <c r="FJE37" s="3"/>
      <c r="FJF37" s="3"/>
      <c r="FJG37" s="3"/>
      <c r="FJH37" s="3"/>
      <c r="FJI37" s="3"/>
      <c r="FJJ37" s="3"/>
      <c r="FJK37" s="3"/>
      <c r="FJL37" s="3"/>
      <c r="FJM37" s="3"/>
      <c r="FJN37" s="3"/>
      <c r="FJO37" s="3"/>
      <c r="FJP37" s="3"/>
      <c r="FJQ37" s="3"/>
      <c r="FJR37" s="3"/>
      <c r="FJS37" s="3"/>
      <c r="FJT37" s="3"/>
      <c r="FJU37" s="3"/>
      <c r="FJV37" s="3"/>
      <c r="FJW37" s="3"/>
      <c r="FJX37" s="3"/>
      <c r="FJY37" s="3"/>
      <c r="FJZ37" s="3"/>
      <c r="FKA37" s="3"/>
      <c r="FKB37" s="3"/>
      <c r="FKC37" s="3"/>
      <c r="FKD37" s="3"/>
      <c r="FKE37" s="3"/>
      <c r="FKF37" s="3"/>
      <c r="FKG37" s="3"/>
      <c r="FKH37" s="3"/>
      <c r="FKI37" s="3"/>
      <c r="FKJ37" s="3"/>
      <c r="FKK37" s="3"/>
      <c r="FKL37" s="3"/>
      <c r="FKM37" s="3"/>
      <c r="FKN37" s="3"/>
      <c r="FKO37" s="3"/>
      <c r="FKP37" s="3"/>
      <c r="FKQ37" s="3"/>
      <c r="FKR37" s="3"/>
      <c r="FKS37" s="3"/>
      <c r="FKT37" s="3"/>
      <c r="FKU37" s="3"/>
      <c r="FKV37" s="3"/>
      <c r="FKW37" s="3"/>
      <c r="FKX37" s="3"/>
      <c r="FKY37" s="3"/>
      <c r="FKZ37" s="3"/>
      <c r="FLA37" s="3"/>
      <c r="FLB37" s="3"/>
      <c r="FLC37" s="3"/>
      <c r="FLD37" s="3"/>
      <c r="FLE37" s="3"/>
      <c r="FLF37" s="3"/>
      <c r="FLG37" s="3"/>
      <c r="FLH37" s="3"/>
      <c r="FLI37" s="3"/>
      <c r="FLJ37" s="3"/>
      <c r="FLK37" s="3"/>
      <c r="FLL37" s="3"/>
      <c r="FLM37" s="3"/>
      <c r="FLN37" s="3"/>
      <c r="FLO37" s="3"/>
      <c r="FLP37" s="3"/>
      <c r="FLQ37" s="3"/>
      <c r="FLR37" s="3"/>
      <c r="FLS37" s="3"/>
      <c r="FLT37" s="3"/>
      <c r="FLU37" s="3"/>
      <c r="FLV37" s="3"/>
      <c r="FLW37" s="3"/>
      <c r="FLX37" s="3"/>
      <c r="FLY37" s="3"/>
      <c r="FLZ37" s="3"/>
      <c r="FMA37" s="3"/>
      <c r="FMB37" s="3"/>
      <c r="FMC37" s="3"/>
      <c r="FMD37" s="3"/>
      <c r="FME37" s="3"/>
      <c r="FMF37" s="3"/>
      <c r="FMG37" s="3"/>
      <c r="FMH37" s="3"/>
      <c r="FMI37" s="3"/>
      <c r="FMJ37" s="3"/>
      <c r="FMK37" s="3"/>
      <c r="FML37" s="3"/>
      <c r="FMM37" s="3"/>
      <c r="FMN37" s="3"/>
      <c r="FMO37" s="3"/>
      <c r="FMP37" s="3"/>
      <c r="FMQ37" s="3"/>
      <c r="FMR37" s="3"/>
      <c r="FMS37" s="3"/>
      <c r="FMT37" s="3"/>
      <c r="FMU37" s="3"/>
      <c r="FMV37" s="3"/>
      <c r="FMW37" s="3"/>
      <c r="FMX37" s="3"/>
      <c r="FMY37" s="3"/>
      <c r="FMZ37" s="3"/>
      <c r="FNA37" s="3"/>
      <c r="FNB37" s="3"/>
      <c r="FNC37" s="3"/>
      <c r="FND37" s="3"/>
      <c r="FNE37" s="3"/>
      <c r="FNF37" s="3"/>
      <c r="FNG37" s="3"/>
      <c r="FNH37" s="3"/>
      <c r="FNI37" s="3"/>
      <c r="FNJ37" s="3"/>
      <c r="FNK37" s="3"/>
      <c r="FNL37" s="3"/>
      <c r="FNM37" s="3"/>
      <c r="FNN37" s="3"/>
      <c r="FNO37" s="3"/>
      <c r="FNP37" s="3"/>
      <c r="FNQ37" s="3"/>
      <c r="FNR37" s="3"/>
      <c r="FNS37" s="3"/>
      <c r="FNT37" s="3"/>
      <c r="FNU37" s="3"/>
      <c r="FNV37" s="3"/>
      <c r="FNW37" s="3"/>
      <c r="FNX37" s="3"/>
      <c r="FNY37" s="3"/>
      <c r="FNZ37" s="3"/>
      <c r="FOA37" s="3"/>
      <c r="FOB37" s="3"/>
      <c r="FOC37" s="3"/>
      <c r="FOD37" s="3"/>
      <c r="FOE37" s="3"/>
      <c r="FOF37" s="3"/>
      <c r="FOG37" s="3"/>
      <c r="FOH37" s="3"/>
      <c r="FOI37" s="3"/>
      <c r="FOJ37" s="3"/>
      <c r="FOK37" s="3"/>
      <c r="FOL37" s="3"/>
      <c r="FOM37" s="3"/>
      <c r="FON37" s="3"/>
      <c r="FOO37" s="3"/>
      <c r="FOP37" s="3"/>
      <c r="FOQ37" s="3"/>
      <c r="FOR37" s="3"/>
      <c r="FOS37" s="3"/>
      <c r="FOT37" s="3"/>
      <c r="FOU37" s="3"/>
      <c r="FOV37" s="3"/>
      <c r="FOW37" s="3"/>
      <c r="FOX37" s="3"/>
      <c r="FOY37" s="3"/>
      <c r="FOZ37" s="3"/>
      <c r="FPA37" s="3"/>
      <c r="FPB37" s="3"/>
      <c r="FPC37" s="3"/>
      <c r="FPD37" s="3"/>
      <c r="FPE37" s="3"/>
      <c r="FPF37" s="3"/>
      <c r="FPG37" s="3"/>
      <c r="FPH37" s="3"/>
      <c r="FPI37" s="3"/>
      <c r="FPJ37" s="3"/>
      <c r="FPK37" s="3"/>
      <c r="FPL37" s="3"/>
      <c r="FPM37" s="3"/>
      <c r="FPN37" s="3"/>
      <c r="FPO37" s="3"/>
      <c r="FPP37" s="3"/>
      <c r="FPQ37" s="3"/>
      <c r="FPR37" s="3"/>
      <c r="FPS37" s="3"/>
      <c r="FPT37" s="3"/>
      <c r="FPU37" s="3"/>
      <c r="FPV37" s="3"/>
      <c r="FPW37" s="3"/>
      <c r="FPX37" s="3"/>
      <c r="FPY37" s="3"/>
      <c r="FPZ37" s="3"/>
      <c r="FQA37" s="3"/>
      <c r="FQB37" s="3"/>
      <c r="FQC37" s="3"/>
      <c r="FQD37" s="3"/>
      <c r="FQE37" s="3"/>
      <c r="FQF37" s="3"/>
      <c r="FQG37" s="3"/>
      <c r="FQH37" s="3"/>
      <c r="FQI37" s="3"/>
      <c r="FQJ37" s="3"/>
      <c r="FQK37" s="3"/>
      <c r="FQL37" s="3"/>
      <c r="FQM37" s="3"/>
      <c r="FQN37" s="3"/>
      <c r="FQO37" s="3"/>
      <c r="FQP37" s="3"/>
      <c r="FQQ37" s="3"/>
      <c r="FQR37" s="3"/>
      <c r="FQS37" s="3"/>
      <c r="FQT37" s="3"/>
      <c r="FQU37" s="3"/>
      <c r="FQV37" s="3"/>
      <c r="FQW37" s="3"/>
      <c r="FQX37" s="3"/>
      <c r="FQY37" s="3"/>
      <c r="FQZ37" s="3"/>
      <c r="FRA37" s="3"/>
      <c r="FRB37" s="3"/>
      <c r="FRC37" s="3"/>
      <c r="FRD37" s="3"/>
      <c r="FRE37" s="3"/>
      <c r="FRF37" s="3"/>
      <c r="FRG37" s="3"/>
      <c r="FRH37" s="3"/>
      <c r="FRI37" s="3"/>
      <c r="FRJ37" s="3"/>
      <c r="FRK37" s="3"/>
      <c r="FRL37" s="3"/>
      <c r="FRM37" s="3"/>
      <c r="FRN37" s="3"/>
      <c r="FRO37" s="3"/>
      <c r="FRP37" s="3"/>
      <c r="FRQ37" s="3"/>
      <c r="FRR37" s="3"/>
      <c r="FRS37" s="3"/>
      <c r="FRT37" s="3"/>
      <c r="FRU37" s="3"/>
      <c r="FRV37" s="3"/>
      <c r="FRW37" s="3"/>
      <c r="FRX37" s="3"/>
      <c r="FRY37" s="3"/>
      <c r="FRZ37" s="3"/>
      <c r="FSA37" s="3"/>
      <c r="FSB37" s="3"/>
      <c r="FSC37" s="3"/>
      <c r="FSD37" s="3"/>
      <c r="FSE37" s="3"/>
      <c r="FSF37" s="3"/>
      <c r="FSG37" s="3"/>
      <c r="FSH37" s="3"/>
      <c r="FSI37" s="3"/>
      <c r="FSJ37" s="3"/>
      <c r="FSK37" s="3"/>
      <c r="FSL37" s="3"/>
      <c r="FSM37" s="3"/>
      <c r="FSN37" s="3"/>
      <c r="FSO37" s="3"/>
      <c r="FSP37" s="3"/>
      <c r="FSQ37" s="3"/>
      <c r="FSR37" s="3"/>
      <c r="FSS37" s="3"/>
      <c r="FST37" s="3"/>
      <c r="FSU37" s="3"/>
      <c r="FSV37" s="3"/>
      <c r="FSW37" s="3"/>
      <c r="FSX37" s="3"/>
      <c r="FSY37" s="3"/>
      <c r="FSZ37" s="3"/>
      <c r="FTA37" s="3"/>
      <c r="FTB37" s="3"/>
      <c r="FTC37" s="3"/>
      <c r="FTD37" s="3"/>
      <c r="FTE37" s="3"/>
      <c r="FTF37" s="3"/>
      <c r="FTG37" s="3"/>
      <c r="FTH37" s="3"/>
      <c r="FTI37" s="3"/>
      <c r="FTJ37" s="3"/>
      <c r="FTK37" s="3"/>
      <c r="FTL37" s="3"/>
      <c r="FTM37" s="3"/>
      <c r="FTN37" s="3"/>
      <c r="FTO37" s="3"/>
      <c r="FTP37" s="3"/>
      <c r="FTQ37" s="3"/>
      <c r="FTR37" s="3"/>
      <c r="FTS37" s="3"/>
      <c r="FTT37" s="3"/>
      <c r="FTU37" s="3"/>
      <c r="FTV37" s="3"/>
      <c r="FTW37" s="3"/>
      <c r="FTX37" s="3"/>
      <c r="FTY37" s="3"/>
      <c r="FTZ37" s="3"/>
      <c r="FUA37" s="3"/>
      <c r="FUB37" s="3"/>
      <c r="FUC37" s="3"/>
      <c r="FUD37" s="3"/>
      <c r="FUE37" s="3"/>
      <c r="FUF37" s="3"/>
      <c r="FUG37" s="3"/>
      <c r="FUH37" s="3"/>
      <c r="FUI37" s="3"/>
      <c r="FUJ37" s="3"/>
      <c r="FUK37" s="3"/>
      <c r="FUL37" s="3"/>
      <c r="FUM37" s="3"/>
      <c r="FUN37" s="3"/>
      <c r="FUO37" s="3"/>
      <c r="FUP37" s="3"/>
      <c r="FUQ37" s="3"/>
      <c r="FUR37" s="3"/>
      <c r="FUS37" s="3"/>
      <c r="FUT37" s="3"/>
      <c r="FUU37" s="3"/>
      <c r="FUV37" s="3"/>
      <c r="FUW37" s="3"/>
      <c r="FUX37" s="3"/>
      <c r="FUY37" s="3"/>
      <c r="FUZ37" s="3"/>
      <c r="FVA37" s="3"/>
      <c r="FVB37" s="3"/>
      <c r="FVC37" s="3"/>
      <c r="FVD37" s="3"/>
      <c r="FVE37" s="3"/>
      <c r="FVF37" s="3"/>
      <c r="FVG37" s="3"/>
      <c r="FVH37" s="3"/>
      <c r="FVI37" s="3"/>
      <c r="FVJ37" s="3"/>
      <c r="FVK37" s="3"/>
      <c r="FVL37" s="3"/>
      <c r="FVM37" s="3"/>
      <c r="FVN37" s="3"/>
      <c r="FVO37" s="3"/>
      <c r="FVP37" s="3"/>
      <c r="FVQ37" s="3"/>
      <c r="FVR37" s="3"/>
      <c r="FVS37" s="3"/>
      <c r="FVT37" s="3"/>
      <c r="FVU37" s="3"/>
      <c r="FVV37" s="3"/>
      <c r="FVW37" s="3"/>
      <c r="FVX37" s="3"/>
      <c r="FVY37" s="3"/>
      <c r="FVZ37" s="3"/>
      <c r="FWA37" s="3"/>
      <c r="FWB37" s="3"/>
      <c r="FWC37" s="3"/>
      <c r="FWD37" s="3"/>
      <c r="FWE37" s="3"/>
      <c r="FWF37" s="3"/>
      <c r="FWG37" s="3"/>
      <c r="FWH37" s="3"/>
      <c r="FWI37" s="3"/>
      <c r="FWJ37" s="3"/>
      <c r="FWK37" s="3"/>
      <c r="FWL37" s="3"/>
      <c r="FWM37" s="3"/>
      <c r="FWN37" s="3"/>
      <c r="FWO37" s="3"/>
      <c r="FWP37" s="3"/>
      <c r="FWQ37" s="3"/>
      <c r="FWR37" s="3"/>
      <c r="FWS37" s="3"/>
      <c r="FWT37" s="3"/>
      <c r="FWU37" s="3"/>
      <c r="FWV37" s="3"/>
      <c r="FWW37" s="3"/>
      <c r="FWX37" s="3"/>
      <c r="FWY37" s="3"/>
      <c r="FWZ37" s="3"/>
      <c r="FXA37" s="3"/>
      <c r="FXB37" s="3"/>
      <c r="FXC37" s="3"/>
      <c r="FXD37" s="3"/>
      <c r="FXE37" s="3"/>
      <c r="FXF37" s="3"/>
      <c r="FXG37" s="3"/>
      <c r="FXH37" s="3"/>
      <c r="FXI37" s="3"/>
      <c r="FXJ37" s="3"/>
      <c r="FXK37" s="3"/>
      <c r="FXL37" s="3"/>
      <c r="FXM37" s="3"/>
      <c r="FXN37" s="3"/>
      <c r="FXO37" s="3"/>
      <c r="FXP37" s="3"/>
      <c r="FXQ37" s="3"/>
      <c r="FXR37" s="3"/>
      <c r="FXS37" s="3"/>
      <c r="FXT37" s="3"/>
      <c r="FXU37" s="3"/>
      <c r="FXV37" s="3"/>
      <c r="FXW37" s="3"/>
      <c r="FXX37" s="3"/>
      <c r="FXY37" s="3"/>
      <c r="FXZ37" s="3"/>
      <c r="FYA37" s="3"/>
      <c r="FYB37" s="3"/>
      <c r="FYC37" s="3"/>
      <c r="FYD37" s="3"/>
      <c r="FYE37" s="3"/>
      <c r="FYF37" s="3"/>
      <c r="FYG37" s="3"/>
      <c r="FYH37" s="3"/>
      <c r="FYI37" s="3"/>
      <c r="FYJ37" s="3"/>
      <c r="FYK37" s="3"/>
      <c r="FYL37" s="3"/>
      <c r="FYM37" s="3"/>
      <c r="FYN37" s="3"/>
      <c r="FYO37" s="3"/>
      <c r="FYP37" s="3"/>
      <c r="FYQ37" s="3"/>
      <c r="FYR37" s="3"/>
      <c r="FYS37" s="3"/>
      <c r="FYT37" s="3"/>
      <c r="FYU37" s="3"/>
      <c r="FYV37" s="3"/>
      <c r="FYW37" s="3"/>
      <c r="FYX37" s="3"/>
      <c r="FYY37" s="3"/>
      <c r="FYZ37" s="3"/>
      <c r="FZA37" s="3"/>
      <c r="FZB37" s="3"/>
      <c r="FZC37" s="3"/>
      <c r="FZD37" s="3"/>
      <c r="FZE37" s="3"/>
      <c r="FZF37" s="3"/>
      <c r="FZG37" s="3"/>
      <c r="FZH37" s="3"/>
      <c r="FZI37" s="3"/>
      <c r="FZJ37" s="3"/>
      <c r="FZK37" s="3"/>
      <c r="FZL37" s="3"/>
      <c r="FZM37" s="3"/>
      <c r="FZN37" s="3"/>
      <c r="FZO37" s="3"/>
      <c r="FZP37" s="3"/>
      <c r="FZQ37" s="3"/>
      <c r="FZR37" s="3"/>
      <c r="FZS37" s="3"/>
      <c r="FZT37" s="3"/>
      <c r="FZU37" s="3"/>
      <c r="FZV37" s="3"/>
      <c r="FZW37" s="3"/>
      <c r="FZX37" s="3"/>
      <c r="FZY37" s="3"/>
      <c r="FZZ37" s="3"/>
      <c r="GAA37" s="3"/>
      <c r="GAB37" s="3"/>
      <c r="GAC37" s="3"/>
      <c r="GAD37" s="3"/>
      <c r="GAE37" s="3"/>
      <c r="GAF37" s="3"/>
      <c r="GAG37" s="3"/>
      <c r="GAH37" s="3"/>
      <c r="GAI37" s="3"/>
      <c r="GAJ37" s="3"/>
      <c r="GAK37" s="3"/>
      <c r="GAL37" s="3"/>
      <c r="GAM37" s="3"/>
      <c r="GAN37" s="3"/>
      <c r="GAO37" s="3"/>
      <c r="GAP37" s="3"/>
      <c r="GAQ37" s="3"/>
      <c r="GAR37" s="3"/>
      <c r="GAS37" s="3"/>
      <c r="GAT37" s="3"/>
      <c r="GAU37" s="3"/>
      <c r="GAV37" s="3"/>
      <c r="GAW37" s="3"/>
      <c r="GAX37" s="3"/>
      <c r="GAY37" s="3"/>
      <c r="GAZ37" s="3"/>
      <c r="GBA37" s="3"/>
      <c r="GBB37" s="3"/>
      <c r="GBC37" s="3"/>
      <c r="GBD37" s="3"/>
      <c r="GBE37" s="3"/>
      <c r="GBF37" s="3"/>
      <c r="GBG37" s="3"/>
      <c r="GBH37" s="3"/>
      <c r="GBI37" s="3"/>
      <c r="GBJ37" s="3"/>
      <c r="GBK37" s="3"/>
      <c r="GBL37" s="3"/>
      <c r="GBM37" s="3"/>
      <c r="GBN37" s="3"/>
      <c r="GBO37" s="3"/>
      <c r="GBP37" s="3"/>
      <c r="GBQ37" s="3"/>
      <c r="GBR37" s="3"/>
      <c r="GBS37" s="3"/>
      <c r="GBT37" s="3"/>
      <c r="GBU37" s="3"/>
      <c r="GBV37" s="3"/>
      <c r="GBW37" s="3"/>
      <c r="GBX37" s="3"/>
      <c r="GBY37" s="3"/>
      <c r="GBZ37" s="3"/>
      <c r="GCA37" s="3"/>
      <c r="GCB37" s="3"/>
      <c r="GCC37" s="3"/>
      <c r="GCD37" s="3"/>
      <c r="GCE37" s="3"/>
      <c r="GCF37" s="3"/>
      <c r="GCG37" s="3"/>
      <c r="GCH37" s="3"/>
      <c r="GCI37" s="3"/>
      <c r="GCJ37" s="3"/>
      <c r="GCK37" s="3"/>
      <c r="GCL37" s="3"/>
      <c r="GCM37" s="3"/>
      <c r="GCN37" s="3"/>
      <c r="GCO37" s="3"/>
      <c r="GCP37" s="3"/>
      <c r="GCQ37" s="3"/>
      <c r="GCR37" s="3"/>
      <c r="GCS37" s="3"/>
      <c r="GCT37" s="3"/>
      <c r="GCU37" s="3"/>
      <c r="GCV37" s="3"/>
      <c r="GCW37" s="3"/>
      <c r="GCX37" s="3"/>
      <c r="GCY37" s="3"/>
      <c r="GCZ37" s="3"/>
      <c r="GDA37" s="3"/>
      <c r="GDB37" s="3"/>
      <c r="GDC37" s="3"/>
      <c r="GDD37" s="3"/>
      <c r="GDE37" s="3"/>
      <c r="GDF37" s="3"/>
      <c r="GDG37" s="3"/>
      <c r="GDH37" s="3"/>
      <c r="GDI37" s="3"/>
      <c r="GDJ37" s="3"/>
      <c r="GDK37" s="3"/>
      <c r="GDL37" s="3"/>
      <c r="GDM37" s="3"/>
      <c r="GDN37" s="3"/>
      <c r="GDO37" s="3"/>
      <c r="GDP37" s="3"/>
      <c r="GDQ37" s="3"/>
      <c r="GDR37" s="3"/>
      <c r="GDS37" s="3"/>
      <c r="GDT37" s="3"/>
      <c r="GDU37" s="3"/>
      <c r="GDV37" s="3"/>
      <c r="GDW37" s="3"/>
      <c r="GDX37" s="3"/>
      <c r="GDY37" s="3"/>
      <c r="GDZ37" s="3"/>
      <c r="GEA37" s="3"/>
      <c r="GEB37" s="3"/>
      <c r="GEC37" s="3"/>
      <c r="GED37" s="3"/>
      <c r="GEE37" s="3"/>
      <c r="GEF37" s="3"/>
      <c r="GEG37" s="3"/>
      <c r="GEH37" s="3"/>
      <c r="GEI37" s="3"/>
      <c r="GEJ37" s="3"/>
      <c r="GEK37" s="3"/>
      <c r="GEL37" s="3"/>
      <c r="GEM37" s="3"/>
      <c r="GEN37" s="3"/>
      <c r="GEO37" s="3"/>
      <c r="GEP37" s="3"/>
      <c r="GEQ37" s="3"/>
      <c r="GER37" s="3"/>
      <c r="GES37" s="3"/>
      <c r="GET37" s="3"/>
      <c r="GEU37" s="3"/>
      <c r="GEV37" s="3"/>
      <c r="GEW37" s="3"/>
      <c r="GEX37" s="3"/>
      <c r="GEY37" s="3"/>
      <c r="GEZ37" s="3"/>
      <c r="GFA37" s="3"/>
      <c r="GFB37" s="3"/>
      <c r="GFC37" s="3"/>
      <c r="GFD37" s="3"/>
      <c r="GFE37" s="3"/>
      <c r="GFF37" s="3"/>
      <c r="GFG37" s="3"/>
      <c r="GFH37" s="3"/>
      <c r="GFI37" s="3"/>
      <c r="GFJ37" s="3"/>
      <c r="GFK37" s="3"/>
      <c r="GFL37" s="3"/>
      <c r="GFM37" s="3"/>
      <c r="GFN37" s="3"/>
      <c r="GFO37" s="3"/>
      <c r="GFP37" s="3"/>
      <c r="GFQ37" s="3"/>
      <c r="GFR37" s="3"/>
      <c r="GFS37" s="3"/>
      <c r="GFT37" s="3"/>
      <c r="GFU37" s="3"/>
      <c r="GFV37" s="3"/>
      <c r="GFW37" s="3"/>
      <c r="GFX37" s="3"/>
      <c r="GFY37" s="3"/>
      <c r="GFZ37" s="3"/>
      <c r="GGA37" s="3"/>
      <c r="GGB37" s="3"/>
      <c r="GGC37" s="3"/>
      <c r="GGD37" s="3"/>
      <c r="GGE37" s="3"/>
      <c r="GGF37" s="3"/>
      <c r="GGG37" s="3"/>
      <c r="GGH37" s="3"/>
      <c r="GGI37" s="3"/>
      <c r="GGJ37" s="3"/>
      <c r="GGK37" s="3"/>
      <c r="GGL37" s="3"/>
      <c r="GGM37" s="3"/>
      <c r="GGN37" s="3"/>
      <c r="GGO37" s="3"/>
      <c r="GGP37" s="3"/>
      <c r="GGQ37" s="3"/>
      <c r="GGR37" s="3"/>
      <c r="GGS37" s="3"/>
      <c r="GGT37" s="3"/>
      <c r="GGU37" s="3"/>
      <c r="GGV37" s="3"/>
      <c r="GGW37" s="3"/>
      <c r="GGX37" s="3"/>
      <c r="GGY37" s="3"/>
      <c r="GGZ37" s="3"/>
      <c r="GHA37" s="3"/>
      <c r="GHB37" s="3"/>
      <c r="GHC37" s="3"/>
      <c r="GHD37" s="3"/>
      <c r="GHE37" s="3"/>
      <c r="GHF37" s="3"/>
      <c r="GHG37" s="3"/>
      <c r="GHH37" s="3"/>
      <c r="GHI37" s="3"/>
      <c r="GHJ37" s="3"/>
      <c r="GHK37" s="3"/>
      <c r="GHL37" s="3"/>
      <c r="GHM37" s="3"/>
      <c r="GHN37" s="3"/>
      <c r="GHO37" s="3"/>
      <c r="GHP37" s="3"/>
      <c r="GHQ37" s="3"/>
      <c r="GHR37" s="3"/>
      <c r="GHS37" s="3"/>
      <c r="GHT37" s="3"/>
      <c r="GHU37" s="3"/>
      <c r="GHV37" s="3"/>
      <c r="GHW37" s="3"/>
      <c r="GHX37" s="3"/>
      <c r="GHY37" s="3"/>
      <c r="GHZ37" s="3"/>
      <c r="GIA37" s="3"/>
      <c r="GIB37" s="3"/>
      <c r="GIC37" s="3"/>
      <c r="GID37" s="3"/>
      <c r="GIE37" s="3"/>
      <c r="GIF37" s="3"/>
      <c r="GIG37" s="3"/>
      <c r="GIH37" s="3"/>
      <c r="GII37" s="3"/>
      <c r="GIJ37" s="3"/>
      <c r="GIK37" s="3"/>
      <c r="GIL37" s="3"/>
      <c r="GIM37" s="3"/>
      <c r="GIN37" s="3"/>
      <c r="GIO37" s="3"/>
      <c r="GIP37" s="3"/>
      <c r="GIQ37" s="3"/>
      <c r="GIR37" s="3"/>
      <c r="GIS37" s="3"/>
      <c r="GIT37" s="3"/>
      <c r="GIU37" s="3"/>
      <c r="GIV37" s="3"/>
      <c r="GIW37" s="3"/>
      <c r="GIX37" s="3"/>
      <c r="GIY37" s="3"/>
      <c r="GIZ37" s="3"/>
      <c r="GJA37" s="3"/>
      <c r="GJB37" s="3"/>
      <c r="GJC37" s="3"/>
      <c r="GJD37" s="3"/>
      <c r="GJE37" s="3"/>
      <c r="GJF37" s="3"/>
      <c r="GJG37" s="3"/>
      <c r="GJH37" s="3"/>
      <c r="GJI37" s="3"/>
      <c r="GJJ37" s="3"/>
      <c r="GJK37" s="3"/>
      <c r="GJL37" s="3"/>
      <c r="GJM37" s="3"/>
      <c r="GJN37" s="3"/>
      <c r="GJO37" s="3"/>
      <c r="GJP37" s="3"/>
      <c r="GJQ37" s="3"/>
      <c r="GJR37" s="3"/>
      <c r="GJS37" s="3"/>
      <c r="GJT37" s="3"/>
      <c r="GJU37" s="3"/>
      <c r="GJV37" s="3"/>
      <c r="GJW37" s="3"/>
      <c r="GJX37" s="3"/>
      <c r="GJY37" s="3"/>
      <c r="GJZ37" s="3"/>
      <c r="GKA37" s="3"/>
      <c r="GKB37" s="3"/>
      <c r="GKC37" s="3"/>
      <c r="GKD37" s="3"/>
      <c r="GKE37" s="3"/>
      <c r="GKF37" s="3"/>
      <c r="GKG37" s="3"/>
      <c r="GKH37" s="3"/>
      <c r="GKI37" s="3"/>
      <c r="GKJ37" s="3"/>
      <c r="GKK37" s="3"/>
      <c r="GKL37" s="3"/>
      <c r="GKM37" s="3"/>
      <c r="GKN37" s="3"/>
      <c r="GKO37" s="3"/>
      <c r="GKP37" s="3"/>
      <c r="GKQ37" s="3"/>
      <c r="GKR37" s="3"/>
      <c r="GKS37" s="3"/>
      <c r="GKT37" s="3"/>
      <c r="GKU37" s="3"/>
      <c r="GKV37" s="3"/>
      <c r="GKW37" s="3"/>
      <c r="GKX37" s="3"/>
      <c r="GKY37" s="3"/>
      <c r="GKZ37" s="3"/>
      <c r="GLA37" s="3"/>
      <c r="GLB37" s="3"/>
      <c r="GLC37" s="3"/>
      <c r="GLD37" s="3"/>
      <c r="GLE37" s="3"/>
      <c r="GLF37" s="3"/>
      <c r="GLG37" s="3"/>
      <c r="GLH37" s="3"/>
      <c r="GLI37" s="3"/>
      <c r="GLJ37" s="3"/>
      <c r="GLK37" s="3"/>
      <c r="GLL37" s="3"/>
      <c r="GLM37" s="3"/>
      <c r="GLN37" s="3"/>
      <c r="GLO37" s="3"/>
      <c r="GLP37" s="3"/>
      <c r="GLQ37" s="3"/>
      <c r="GLR37" s="3"/>
      <c r="GLS37" s="3"/>
      <c r="GLT37" s="3"/>
      <c r="GLU37" s="3"/>
      <c r="GLV37" s="3"/>
      <c r="GLW37" s="3"/>
      <c r="GLX37" s="3"/>
      <c r="GLY37" s="3"/>
      <c r="GLZ37" s="3"/>
      <c r="GMA37" s="3"/>
      <c r="GMB37" s="3"/>
      <c r="GMC37" s="3"/>
      <c r="GMD37" s="3"/>
      <c r="GME37" s="3"/>
      <c r="GMF37" s="3"/>
      <c r="GMG37" s="3"/>
      <c r="GMH37" s="3"/>
      <c r="GMI37" s="3"/>
      <c r="GMJ37" s="3"/>
      <c r="GMK37" s="3"/>
      <c r="GML37" s="3"/>
      <c r="GMM37" s="3"/>
      <c r="GMN37" s="3"/>
      <c r="GMO37" s="3"/>
      <c r="GMP37" s="3"/>
      <c r="GMQ37" s="3"/>
      <c r="GMR37" s="3"/>
      <c r="GMS37" s="3"/>
      <c r="GMT37" s="3"/>
      <c r="GMU37" s="3"/>
      <c r="GMV37" s="3"/>
      <c r="GMW37" s="3"/>
      <c r="GMX37" s="3"/>
      <c r="GMY37" s="3"/>
      <c r="GMZ37" s="3"/>
      <c r="GNA37" s="3"/>
      <c r="GNB37" s="3"/>
      <c r="GNC37" s="3"/>
      <c r="GND37" s="3"/>
      <c r="GNE37" s="3"/>
      <c r="GNF37" s="3"/>
      <c r="GNG37" s="3"/>
      <c r="GNH37" s="3"/>
      <c r="GNI37" s="3"/>
      <c r="GNJ37" s="3"/>
      <c r="GNK37" s="3"/>
      <c r="GNL37" s="3"/>
      <c r="GNM37" s="3"/>
      <c r="GNN37" s="3"/>
      <c r="GNO37" s="3"/>
      <c r="GNP37" s="3"/>
      <c r="GNQ37" s="3"/>
      <c r="GNR37" s="3"/>
      <c r="GNS37" s="3"/>
      <c r="GNT37" s="3"/>
      <c r="GNU37" s="3"/>
      <c r="GNV37" s="3"/>
      <c r="GNW37" s="3"/>
      <c r="GNX37" s="3"/>
      <c r="GNY37" s="3"/>
      <c r="GNZ37" s="3"/>
      <c r="GOA37" s="3"/>
      <c r="GOB37" s="3"/>
      <c r="GOC37" s="3"/>
      <c r="GOD37" s="3"/>
      <c r="GOE37" s="3"/>
      <c r="GOF37" s="3"/>
      <c r="GOG37" s="3"/>
      <c r="GOH37" s="3"/>
      <c r="GOI37" s="3"/>
      <c r="GOJ37" s="3"/>
      <c r="GOK37" s="3"/>
      <c r="GOL37" s="3"/>
      <c r="GOM37" s="3"/>
      <c r="GON37" s="3"/>
      <c r="GOO37" s="3"/>
      <c r="GOP37" s="3"/>
      <c r="GOQ37" s="3"/>
      <c r="GOR37" s="3"/>
      <c r="GOS37" s="3"/>
      <c r="GOT37" s="3"/>
      <c r="GOU37" s="3"/>
      <c r="GOV37" s="3"/>
      <c r="GOW37" s="3"/>
      <c r="GOX37" s="3"/>
      <c r="GOY37" s="3"/>
      <c r="GOZ37" s="3"/>
      <c r="GPA37" s="3"/>
      <c r="GPB37" s="3"/>
      <c r="GPC37" s="3"/>
      <c r="GPD37" s="3"/>
      <c r="GPE37" s="3"/>
      <c r="GPF37" s="3"/>
      <c r="GPG37" s="3"/>
      <c r="GPH37" s="3"/>
      <c r="GPI37" s="3"/>
      <c r="GPJ37" s="3"/>
      <c r="GPK37" s="3"/>
      <c r="GPL37" s="3"/>
      <c r="GPM37" s="3"/>
      <c r="GPN37" s="3"/>
      <c r="GPO37" s="3"/>
      <c r="GPP37" s="3"/>
      <c r="GPQ37" s="3"/>
      <c r="GPR37" s="3"/>
      <c r="GPS37" s="3"/>
      <c r="GPT37" s="3"/>
      <c r="GPU37" s="3"/>
      <c r="GPV37" s="3"/>
      <c r="GPW37" s="3"/>
      <c r="GPX37" s="3"/>
      <c r="GPY37" s="3"/>
      <c r="GPZ37" s="3"/>
      <c r="GQA37" s="3"/>
      <c r="GQB37" s="3"/>
      <c r="GQC37" s="3"/>
      <c r="GQD37" s="3"/>
      <c r="GQE37" s="3"/>
      <c r="GQF37" s="3"/>
      <c r="GQG37" s="3"/>
      <c r="GQH37" s="3"/>
      <c r="GQI37" s="3"/>
      <c r="GQJ37" s="3"/>
      <c r="GQK37" s="3"/>
      <c r="GQL37" s="3"/>
      <c r="GQM37" s="3"/>
      <c r="GQN37" s="3"/>
      <c r="GQO37" s="3"/>
      <c r="GQP37" s="3"/>
      <c r="GQQ37" s="3"/>
      <c r="GQR37" s="3"/>
      <c r="GQS37" s="3"/>
      <c r="GQT37" s="3"/>
      <c r="GQU37" s="3"/>
      <c r="GQV37" s="3"/>
      <c r="GQW37" s="3"/>
      <c r="GQX37" s="3"/>
      <c r="GQY37" s="3"/>
      <c r="GQZ37" s="3"/>
      <c r="GRA37" s="3"/>
      <c r="GRB37" s="3"/>
      <c r="GRC37" s="3"/>
      <c r="GRD37" s="3"/>
      <c r="GRE37" s="3"/>
      <c r="GRF37" s="3"/>
      <c r="GRG37" s="3"/>
      <c r="GRH37" s="3"/>
      <c r="GRI37" s="3"/>
      <c r="GRJ37" s="3"/>
      <c r="GRK37" s="3"/>
      <c r="GRL37" s="3"/>
      <c r="GRM37" s="3"/>
      <c r="GRN37" s="3"/>
      <c r="GRO37" s="3"/>
      <c r="GRP37" s="3"/>
      <c r="GRQ37" s="3"/>
      <c r="GRR37" s="3"/>
      <c r="GRS37" s="3"/>
      <c r="GRT37" s="3"/>
      <c r="GRU37" s="3"/>
      <c r="GRV37" s="3"/>
      <c r="GRW37" s="3"/>
      <c r="GRX37" s="3"/>
      <c r="GRY37" s="3"/>
      <c r="GRZ37" s="3"/>
      <c r="GSA37" s="3"/>
      <c r="GSB37" s="3"/>
      <c r="GSC37" s="3"/>
      <c r="GSD37" s="3"/>
      <c r="GSE37" s="3"/>
      <c r="GSF37" s="3"/>
      <c r="GSG37" s="3"/>
      <c r="GSH37" s="3"/>
      <c r="GSI37" s="3"/>
      <c r="GSJ37" s="3"/>
      <c r="GSK37" s="3"/>
      <c r="GSL37" s="3"/>
      <c r="GSM37" s="3"/>
      <c r="GSN37" s="3"/>
      <c r="GSO37" s="3"/>
      <c r="GSP37" s="3"/>
      <c r="GSQ37" s="3"/>
      <c r="GSR37" s="3"/>
      <c r="GSS37" s="3"/>
      <c r="GST37" s="3"/>
      <c r="GSU37" s="3"/>
      <c r="GSV37" s="3"/>
      <c r="GSW37" s="3"/>
      <c r="GSX37" s="3"/>
      <c r="GSY37" s="3"/>
      <c r="GSZ37" s="3"/>
      <c r="GTA37" s="3"/>
      <c r="GTB37" s="3"/>
      <c r="GTC37" s="3"/>
      <c r="GTD37" s="3"/>
      <c r="GTE37" s="3"/>
      <c r="GTF37" s="3"/>
      <c r="GTG37" s="3"/>
      <c r="GTH37" s="3"/>
      <c r="GTI37" s="3"/>
      <c r="GTJ37" s="3"/>
      <c r="GTK37" s="3"/>
      <c r="GTL37" s="3"/>
      <c r="GTM37" s="3"/>
      <c r="GTN37" s="3"/>
      <c r="GTO37" s="3"/>
      <c r="GTP37" s="3"/>
      <c r="GTQ37" s="3"/>
      <c r="GTR37" s="3"/>
      <c r="GTS37" s="3"/>
      <c r="GTT37" s="3"/>
      <c r="GTU37" s="3"/>
      <c r="GTV37" s="3"/>
      <c r="GTW37" s="3"/>
      <c r="GTX37" s="3"/>
      <c r="GTY37" s="3"/>
      <c r="GTZ37" s="3"/>
      <c r="GUA37" s="3"/>
      <c r="GUB37" s="3"/>
      <c r="GUC37" s="3"/>
      <c r="GUD37" s="3"/>
      <c r="GUE37" s="3"/>
      <c r="GUF37" s="3"/>
      <c r="GUG37" s="3"/>
      <c r="GUH37" s="3"/>
      <c r="GUI37" s="3"/>
      <c r="GUJ37" s="3"/>
      <c r="GUK37" s="3"/>
      <c r="GUL37" s="3"/>
      <c r="GUM37" s="3"/>
      <c r="GUN37" s="3"/>
      <c r="GUO37" s="3"/>
      <c r="GUP37" s="3"/>
      <c r="GUQ37" s="3"/>
      <c r="GUR37" s="3"/>
      <c r="GUS37" s="3"/>
      <c r="GUT37" s="3"/>
      <c r="GUU37" s="3"/>
      <c r="GUV37" s="3"/>
      <c r="GUW37" s="3"/>
      <c r="GUX37" s="3"/>
      <c r="GUY37" s="3"/>
      <c r="GUZ37" s="3"/>
      <c r="GVA37" s="3"/>
      <c r="GVB37" s="3"/>
      <c r="GVC37" s="3"/>
      <c r="GVD37" s="3"/>
      <c r="GVE37" s="3"/>
      <c r="GVF37" s="3"/>
      <c r="GVG37" s="3"/>
      <c r="GVH37" s="3"/>
      <c r="GVI37" s="3"/>
      <c r="GVJ37" s="3"/>
      <c r="GVK37" s="3"/>
      <c r="GVL37" s="3"/>
      <c r="GVM37" s="3"/>
      <c r="GVN37" s="3"/>
      <c r="GVO37" s="3"/>
      <c r="GVP37" s="3"/>
      <c r="GVQ37" s="3"/>
      <c r="GVR37" s="3"/>
      <c r="GVS37" s="3"/>
      <c r="GVT37" s="3"/>
      <c r="GVU37" s="3"/>
      <c r="GVV37" s="3"/>
      <c r="GVW37" s="3"/>
      <c r="GVX37" s="3"/>
      <c r="GVY37" s="3"/>
      <c r="GVZ37" s="3"/>
      <c r="GWA37" s="3"/>
      <c r="GWB37" s="3"/>
      <c r="GWC37" s="3"/>
      <c r="GWD37" s="3"/>
      <c r="GWE37" s="3"/>
      <c r="GWF37" s="3"/>
      <c r="GWG37" s="3"/>
      <c r="GWH37" s="3"/>
      <c r="GWI37" s="3"/>
      <c r="GWJ37" s="3"/>
      <c r="GWK37" s="3"/>
      <c r="GWL37" s="3"/>
      <c r="GWM37" s="3"/>
      <c r="GWN37" s="3"/>
      <c r="GWO37" s="3"/>
      <c r="GWP37" s="3"/>
      <c r="GWQ37" s="3"/>
      <c r="GWR37" s="3"/>
      <c r="GWS37" s="3"/>
      <c r="GWT37" s="3"/>
      <c r="GWU37" s="3"/>
      <c r="GWV37" s="3"/>
      <c r="GWW37" s="3"/>
      <c r="GWX37" s="3"/>
      <c r="GWY37" s="3"/>
      <c r="GWZ37" s="3"/>
      <c r="GXA37" s="3"/>
      <c r="GXB37" s="3"/>
      <c r="GXC37" s="3"/>
      <c r="GXD37" s="3"/>
      <c r="GXE37" s="3"/>
      <c r="GXF37" s="3"/>
      <c r="GXG37" s="3"/>
      <c r="GXH37" s="3"/>
      <c r="GXI37" s="3"/>
      <c r="GXJ37" s="3"/>
      <c r="GXK37" s="3"/>
      <c r="GXL37" s="3"/>
      <c r="GXM37" s="3"/>
      <c r="GXN37" s="3"/>
      <c r="GXO37" s="3"/>
      <c r="GXP37" s="3"/>
      <c r="GXQ37" s="3"/>
      <c r="GXR37" s="3"/>
      <c r="GXS37" s="3"/>
      <c r="GXT37" s="3"/>
      <c r="GXU37" s="3"/>
      <c r="GXV37" s="3"/>
      <c r="GXW37" s="3"/>
      <c r="GXX37" s="3"/>
      <c r="GXY37" s="3"/>
      <c r="GXZ37" s="3"/>
      <c r="GYA37" s="3"/>
      <c r="GYB37" s="3"/>
      <c r="GYC37" s="3"/>
      <c r="GYD37" s="3"/>
      <c r="GYE37" s="3"/>
      <c r="GYF37" s="3"/>
      <c r="GYG37" s="3"/>
      <c r="GYH37" s="3"/>
      <c r="GYI37" s="3"/>
      <c r="GYJ37" s="3"/>
      <c r="GYK37" s="3"/>
      <c r="GYL37" s="3"/>
      <c r="GYM37" s="3"/>
      <c r="GYN37" s="3"/>
      <c r="GYO37" s="3"/>
      <c r="GYP37" s="3"/>
      <c r="GYQ37" s="3"/>
      <c r="GYR37" s="3"/>
      <c r="GYS37" s="3"/>
      <c r="GYT37" s="3"/>
      <c r="GYU37" s="3"/>
      <c r="GYV37" s="3"/>
      <c r="GYW37" s="3"/>
      <c r="GYX37" s="3"/>
      <c r="GYY37" s="3"/>
      <c r="GYZ37" s="3"/>
      <c r="GZA37" s="3"/>
      <c r="GZB37" s="3"/>
      <c r="GZC37" s="3"/>
      <c r="GZD37" s="3"/>
      <c r="GZE37" s="3"/>
      <c r="GZF37" s="3"/>
      <c r="GZG37" s="3"/>
      <c r="GZH37" s="3"/>
      <c r="GZI37" s="3"/>
      <c r="GZJ37" s="3"/>
      <c r="GZK37" s="3"/>
      <c r="GZL37" s="3"/>
      <c r="GZM37" s="3"/>
      <c r="GZN37" s="3"/>
      <c r="GZO37" s="3"/>
      <c r="GZP37" s="3"/>
      <c r="GZQ37" s="3"/>
      <c r="GZR37" s="3"/>
      <c r="GZS37" s="3"/>
      <c r="GZT37" s="3"/>
      <c r="GZU37" s="3"/>
      <c r="GZV37" s="3"/>
      <c r="GZW37" s="3"/>
      <c r="GZX37" s="3"/>
      <c r="GZY37" s="3"/>
      <c r="GZZ37" s="3"/>
      <c r="HAA37" s="3"/>
      <c r="HAB37" s="3"/>
      <c r="HAC37" s="3"/>
      <c r="HAD37" s="3"/>
      <c r="HAE37" s="3"/>
      <c r="HAF37" s="3"/>
      <c r="HAG37" s="3"/>
      <c r="HAH37" s="3"/>
      <c r="HAI37" s="3"/>
      <c r="HAJ37" s="3"/>
      <c r="HAK37" s="3"/>
      <c r="HAL37" s="3"/>
      <c r="HAM37" s="3"/>
      <c r="HAN37" s="3"/>
      <c r="HAO37" s="3"/>
      <c r="HAP37" s="3"/>
      <c r="HAQ37" s="3"/>
      <c r="HAR37" s="3"/>
      <c r="HAS37" s="3"/>
      <c r="HAT37" s="3"/>
      <c r="HAU37" s="3"/>
      <c r="HAV37" s="3"/>
      <c r="HAW37" s="3"/>
      <c r="HAX37" s="3"/>
      <c r="HAY37" s="3"/>
      <c r="HAZ37" s="3"/>
      <c r="HBA37" s="3"/>
      <c r="HBB37" s="3"/>
      <c r="HBC37" s="3"/>
      <c r="HBD37" s="3"/>
      <c r="HBE37" s="3"/>
      <c r="HBF37" s="3"/>
      <c r="HBG37" s="3"/>
      <c r="HBH37" s="3"/>
      <c r="HBI37" s="3"/>
      <c r="HBJ37" s="3"/>
      <c r="HBK37" s="3"/>
      <c r="HBL37" s="3"/>
      <c r="HBM37" s="3"/>
      <c r="HBN37" s="3"/>
      <c r="HBO37" s="3"/>
      <c r="HBP37" s="3"/>
      <c r="HBQ37" s="3"/>
      <c r="HBR37" s="3"/>
      <c r="HBS37" s="3"/>
      <c r="HBT37" s="3"/>
      <c r="HBU37" s="3"/>
      <c r="HBV37" s="3"/>
      <c r="HBW37" s="3"/>
      <c r="HBX37" s="3"/>
      <c r="HBY37" s="3"/>
      <c r="HBZ37" s="3"/>
      <c r="HCA37" s="3"/>
      <c r="HCB37" s="3"/>
      <c r="HCC37" s="3"/>
      <c r="HCD37" s="3"/>
      <c r="HCE37" s="3"/>
      <c r="HCF37" s="3"/>
      <c r="HCG37" s="3"/>
      <c r="HCH37" s="3"/>
      <c r="HCI37" s="3"/>
      <c r="HCJ37" s="3"/>
      <c r="HCK37" s="3"/>
      <c r="HCL37" s="3"/>
      <c r="HCM37" s="3"/>
      <c r="HCN37" s="3"/>
      <c r="HCO37" s="3"/>
      <c r="HCP37" s="3"/>
      <c r="HCQ37" s="3"/>
      <c r="HCR37" s="3"/>
      <c r="HCS37" s="3"/>
      <c r="HCT37" s="3"/>
      <c r="HCU37" s="3"/>
      <c r="HCV37" s="3"/>
      <c r="HCW37" s="3"/>
      <c r="HCX37" s="3"/>
      <c r="HCY37" s="3"/>
      <c r="HCZ37" s="3"/>
      <c r="HDA37" s="3"/>
      <c r="HDB37" s="3"/>
      <c r="HDC37" s="3"/>
      <c r="HDD37" s="3"/>
      <c r="HDE37" s="3"/>
      <c r="HDF37" s="3"/>
      <c r="HDG37" s="3"/>
      <c r="HDH37" s="3"/>
      <c r="HDI37" s="3"/>
      <c r="HDJ37" s="3"/>
      <c r="HDK37" s="3"/>
      <c r="HDL37" s="3"/>
      <c r="HDM37" s="3"/>
      <c r="HDN37" s="3"/>
      <c r="HDO37" s="3"/>
      <c r="HDP37" s="3"/>
      <c r="HDQ37" s="3"/>
      <c r="HDR37" s="3"/>
      <c r="HDS37" s="3"/>
      <c r="HDT37" s="3"/>
      <c r="HDU37" s="3"/>
      <c r="HDV37" s="3"/>
      <c r="HDW37" s="3"/>
      <c r="HDX37" s="3"/>
      <c r="HDY37" s="3"/>
      <c r="HDZ37" s="3"/>
      <c r="HEA37" s="3"/>
      <c r="HEB37" s="3"/>
      <c r="HEC37" s="3"/>
      <c r="HED37" s="3"/>
      <c r="HEE37" s="3"/>
      <c r="HEF37" s="3"/>
      <c r="HEG37" s="3"/>
      <c r="HEH37" s="3"/>
      <c r="HEI37" s="3"/>
      <c r="HEJ37" s="3"/>
      <c r="HEK37" s="3"/>
      <c r="HEL37" s="3"/>
      <c r="HEM37" s="3"/>
      <c r="HEN37" s="3"/>
      <c r="HEO37" s="3"/>
      <c r="HEP37" s="3"/>
      <c r="HEQ37" s="3"/>
      <c r="HER37" s="3"/>
      <c r="HES37" s="3"/>
      <c r="HET37" s="3"/>
      <c r="HEU37" s="3"/>
      <c r="HEV37" s="3"/>
      <c r="HEW37" s="3"/>
      <c r="HEX37" s="3"/>
      <c r="HEY37" s="3"/>
      <c r="HEZ37" s="3"/>
      <c r="HFA37" s="3"/>
      <c r="HFB37" s="3"/>
      <c r="HFC37" s="3"/>
      <c r="HFD37" s="3"/>
      <c r="HFE37" s="3"/>
      <c r="HFF37" s="3"/>
      <c r="HFG37" s="3"/>
      <c r="HFH37" s="3"/>
      <c r="HFI37" s="3"/>
      <c r="HFJ37" s="3"/>
      <c r="HFK37" s="3"/>
      <c r="HFL37" s="3"/>
      <c r="HFM37" s="3"/>
      <c r="HFN37" s="3"/>
      <c r="HFO37" s="3"/>
      <c r="HFP37" s="3"/>
      <c r="HFQ37" s="3"/>
      <c r="HFR37" s="3"/>
      <c r="HFS37" s="3"/>
      <c r="HFT37" s="3"/>
      <c r="HFU37" s="3"/>
      <c r="HFV37" s="3"/>
      <c r="HFW37" s="3"/>
      <c r="HFX37" s="3"/>
      <c r="HFY37" s="3"/>
      <c r="HFZ37" s="3"/>
      <c r="HGA37" s="3"/>
      <c r="HGB37" s="3"/>
      <c r="HGC37" s="3"/>
      <c r="HGD37" s="3"/>
      <c r="HGE37" s="3"/>
      <c r="HGF37" s="3"/>
      <c r="HGG37" s="3"/>
      <c r="HGH37" s="3"/>
      <c r="HGI37" s="3"/>
      <c r="HGJ37" s="3"/>
      <c r="HGK37" s="3"/>
      <c r="HGL37" s="3"/>
      <c r="HGM37" s="3"/>
      <c r="HGN37" s="3"/>
      <c r="HGO37" s="3"/>
      <c r="HGP37" s="3"/>
      <c r="HGQ37" s="3"/>
      <c r="HGR37" s="3"/>
      <c r="HGS37" s="3"/>
      <c r="HGT37" s="3"/>
      <c r="HGU37" s="3"/>
      <c r="HGV37" s="3"/>
      <c r="HGW37" s="3"/>
      <c r="HGX37" s="3"/>
      <c r="HGY37" s="3"/>
      <c r="HGZ37" s="3"/>
      <c r="HHA37" s="3"/>
      <c r="HHB37" s="3"/>
      <c r="HHC37" s="3"/>
      <c r="HHD37" s="3"/>
      <c r="HHE37" s="3"/>
      <c r="HHF37" s="3"/>
      <c r="HHG37" s="3"/>
      <c r="HHH37" s="3"/>
      <c r="HHI37" s="3"/>
      <c r="HHJ37" s="3"/>
      <c r="HHK37" s="3"/>
      <c r="HHL37" s="3"/>
      <c r="HHM37" s="3"/>
      <c r="HHN37" s="3"/>
      <c r="HHO37" s="3"/>
      <c r="HHP37" s="3"/>
      <c r="HHQ37" s="3"/>
      <c r="HHR37" s="3"/>
      <c r="HHS37" s="3"/>
      <c r="HHT37" s="3"/>
      <c r="HHU37" s="3"/>
      <c r="HHV37" s="3"/>
      <c r="HHW37" s="3"/>
      <c r="HHX37" s="3"/>
      <c r="HHY37" s="3"/>
      <c r="HHZ37" s="3"/>
      <c r="HIA37" s="3"/>
      <c r="HIB37" s="3"/>
      <c r="HIC37" s="3"/>
      <c r="HID37" s="3"/>
      <c r="HIE37" s="3"/>
      <c r="HIF37" s="3"/>
      <c r="HIG37" s="3"/>
      <c r="HIH37" s="3"/>
      <c r="HII37" s="3"/>
      <c r="HIJ37" s="3"/>
      <c r="HIK37" s="3"/>
      <c r="HIL37" s="3"/>
      <c r="HIM37" s="3"/>
      <c r="HIN37" s="3"/>
      <c r="HIO37" s="3"/>
      <c r="HIP37" s="3"/>
      <c r="HIQ37" s="3"/>
      <c r="HIR37" s="3"/>
      <c r="HIS37" s="3"/>
      <c r="HIT37" s="3"/>
      <c r="HIU37" s="3"/>
      <c r="HIV37" s="3"/>
      <c r="HIW37" s="3"/>
      <c r="HIX37" s="3"/>
      <c r="HIY37" s="3"/>
      <c r="HIZ37" s="3"/>
      <c r="HJA37" s="3"/>
      <c r="HJB37" s="3"/>
      <c r="HJC37" s="3"/>
      <c r="HJD37" s="3"/>
      <c r="HJE37" s="3"/>
      <c r="HJF37" s="3"/>
      <c r="HJG37" s="3"/>
      <c r="HJH37" s="3"/>
      <c r="HJI37" s="3"/>
      <c r="HJJ37" s="3"/>
      <c r="HJK37" s="3"/>
      <c r="HJL37" s="3"/>
      <c r="HJM37" s="3"/>
      <c r="HJN37" s="3"/>
      <c r="HJO37" s="3"/>
      <c r="HJP37" s="3"/>
      <c r="HJQ37" s="3"/>
      <c r="HJR37" s="3"/>
      <c r="HJS37" s="3"/>
      <c r="HJT37" s="3"/>
      <c r="HJU37" s="3"/>
      <c r="HJV37" s="3"/>
      <c r="HJW37" s="3"/>
      <c r="HJX37" s="3"/>
      <c r="HJY37" s="3"/>
      <c r="HJZ37" s="3"/>
      <c r="HKA37" s="3"/>
      <c r="HKB37" s="3"/>
      <c r="HKC37" s="3"/>
      <c r="HKD37" s="3"/>
      <c r="HKE37" s="3"/>
      <c r="HKF37" s="3"/>
      <c r="HKG37" s="3"/>
      <c r="HKH37" s="3"/>
      <c r="HKI37" s="3"/>
      <c r="HKJ37" s="3"/>
      <c r="HKK37" s="3"/>
      <c r="HKL37" s="3"/>
      <c r="HKM37" s="3"/>
      <c r="HKN37" s="3"/>
      <c r="HKO37" s="3"/>
      <c r="HKP37" s="3"/>
      <c r="HKQ37" s="3"/>
      <c r="HKR37" s="3"/>
      <c r="HKS37" s="3"/>
      <c r="HKT37" s="3"/>
      <c r="HKU37" s="3"/>
      <c r="HKV37" s="3"/>
      <c r="HKW37" s="3"/>
      <c r="HKX37" s="3"/>
      <c r="HKY37" s="3"/>
      <c r="HKZ37" s="3"/>
      <c r="HLA37" s="3"/>
      <c r="HLB37" s="3"/>
      <c r="HLC37" s="3"/>
      <c r="HLD37" s="3"/>
      <c r="HLE37" s="3"/>
      <c r="HLF37" s="3"/>
      <c r="HLG37" s="3"/>
      <c r="HLH37" s="3"/>
      <c r="HLI37" s="3"/>
      <c r="HLJ37" s="3"/>
      <c r="HLK37" s="3"/>
      <c r="HLL37" s="3"/>
      <c r="HLM37" s="3"/>
      <c r="HLN37" s="3"/>
      <c r="HLO37" s="3"/>
      <c r="HLP37" s="3"/>
      <c r="HLQ37" s="3"/>
      <c r="HLR37" s="3"/>
      <c r="HLS37" s="3"/>
      <c r="HLT37" s="3"/>
      <c r="HLU37" s="3"/>
      <c r="HLV37" s="3"/>
      <c r="HLW37" s="3"/>
      <c r="HLX37" s="3"/>
      <c r="HLY37" s="3"/>
      <c r="HLZ37" s="3"/>
      <c r="HMA37" s="3"/>
      <c r="HMB37" s="3"/>
      <c r="HMC37" s="3"/>
      <c r="HMD37" s="3"/>
      <c r="HME37" s="3"/>
      <c r="HMF37" s="3"/>
      <c r="HMG37" s="3"/>
      <c r="HMH37" s="3"/>
      <c r="HMI37" s="3"/>
      <c r="HMJ37" s="3"/>
      <c r="HMK37" s="3"/>
      <c r="HML37" s="3"/>
      <c r="HMM37" s="3"/>
      <c r="HMN37" s="3"/>
      <c r="HMO37" s="3"/>
      <c r="HMP37" s="3"/>
      <c r="HMQ37" s="3"/>
      <c r="HMR37" s="3"/>
      <c r="HMS37" s="3"/>
      <c r="HMT37" s="3"/>
      <c r="HMU37" s="3"/>
      <c r="HMV37" s="3"/>
      <c r="HMW37" s="3"/>
      <c r="HMX37" s="3"/>
      <c r="HMY37" s="3"/>
      <c r="HMZ37" s="3"/>
      <c r="HNA37" s="3"/>
      <c r="HNB37" s="3"/>
      <c r="HNC37" s="3"/>
      <c r="HND37" s="3"/>
      <c r="HNE37" s="3"/>
      <c r="HNF37" s="3"/>
      <c r="HNG37" s="3"/>
      <c r="HNH37" s="3"/>
      <c r="HNI37" s="3"/>
      <c r="HNJ37" s="3"/>
      <c r="HNK37" s="3"/>
      <c r="HNL37" s="3"/>
      <c r="HNM37" s="3"/>
      <c r="HNN37" s="3"/>
      <c r="HNO37" s="3"/>
      <c r="HNP37" s="3"/>
      <c r="HNQ37" s="3"/>
      <c r="HNR37" s="3"/>
      <c r="HNS37" s="3"/>
      <c r="HNT37" s="3"/>
      <c r="HNU37" s="3"/>
      <c r="HNV37" s="3"/>
      <c r="HNW37" s="3"/>
      <c r="HNX37" s="3"/>
      <c r="HNY37" s="3"/>
      <c r="HNZ37" s="3"/>
      <c r="HOA37" s="3"/>
      <c r="HOB37" s="3"/>
      <c r="HOC37" s="3"/>
      <c r="HOD37" s="3"/>
      <c r="HOE37" s="3"/>
      <c r="HOF37" s="3"/>
      <c r="HOG37" s="3"/>
      <c r="HOH37" s="3"/>
      <c r="HOI37" s="3"/>
      <c r="HOJ37" s="3"/>
      <c r="HOK37" s="3"/>
      <c r="HOL37" s="3"/>
      <c r="HOM37" s="3"/>
      <c r="HON37" s="3"/>
      <c r="HOO37" s="3"/>
      <c r="HOP37" s="3"/>
      <c r="HOQ37" s="3"/>
      <c r="HOR37" s="3"/>
      <c r="HOS37" s="3"/>
      <c r="HOT37" s="3"/>
      <c r="HOU37" s="3"/>
      <c r="HOV37" s="3"/>
      <c r="HOW37" s="3"/>
      <c r="HOX37" s="3"/>
      <c r="HOY37" s="3"/>
      <c r="HOZ37" s="3"/>
      <c r="HPA37" s="3"/>
      <c r="HPB37" s="3"/>
      <c r="HPC37" s="3"/>
      <c r="HPD37" s="3"/>
      <c r="HPE37" s="3"/>
      <c r="HPF37" s="3"/>
      <c r="HPG37" s="3"/>
      <c r="HPH37" s="3"/>
      <c r="HPI37" s="3"/>
      <c r="HPJ37" s="3"/>
      <c r="HPK37" s="3"/>
      <c r="HPL37" s="3"/>
      <c r="HPM37" s="3"/>
      <c r="HPN37" s="3"/>
      <c r="HPO37" s="3"/>
      <c r="HPP37" s="3"/>
      <c r="HPQ37" s="3"/>
      <c r="HPR37" s="3"/>
      <c r="HPS37" s="3"/>
      <c r="HPT37" s="3"/>
      <c r="HPU37" s="3"/>
      <c r="HPV37" s="3"/>
      <c r="HPW37" s="3"/>
      <c r="HPX37" s="3"/>
      <c r="HPY37" s="3"/>
      <c r="HPZ37" s="3"/>
      <c r="HQA37" s="3"/>
      <c r="HQB37" s="3"/>
      <c r="HQC37" s="3"/>
      <c r="HQD37" s="3"/>
      <c r="HQE37" s="3"/>
      <c r="HQF37" s="3"/>
      <c r="HQG37" s="3"/>
      <c r="HQH37" s="3"/>
      <c r="HQI37" s="3"/>
      <c r="HQJ37" s="3"/>
      <c r="HQK37" s="3"/>
      <c r="HQL37" s="3"/>
      <c r="HQM37" s="3"/>
      <c r="HQN37" s="3"/>
      <c r="HQO37" s="3"/>
      <c r="HQP37" s="3"/>
      <c r="HQQ37" s="3"/>
      <c r="HQR37" s="3"/>
      <c r="HQS37" s="3"/>
      <c r="HQT37" s="3"/>
      <c r="HQU37" s="3"/>
      <c r="HQV37" s="3"/>
      <c r="HQW37" s="3"/>
      <c r="HQX37" s="3"/>
      <c r="HQY37" s="3"/>
      <c r="HQZ37" s="3"/>
      <c r="HRA37" s="3"/>
      <c r="HRB37" s="3"/>
      <c r="HRC37" s="3"/>
      <c r="HRD37" s="3"/>
      <c r="HRE37" s="3"/>
      <c r="HRF37" s="3"/>
      <c r="HRG37" s="3"/>
      <c r="HRH37" s="3"/>
      <c r="HRI37" s="3"/>
      <c r="HRJ37" s="3"/>
      <c r="HRK37" s="3"/>
      <c r="HRL37" s="3"/>
      <c r="HRM37" s="3"/>
      <c r="HRN37" s="3"/>
      <c r="HRO37" s="3"/>
      <c r="HRP37" s="3"/>
      <c r="HRQ37" s="3"/>
      <c r="HRR37" s="3"/>
      <c r="HRS37" s="3"/>
      <c r="HRT37" s="3"/>
      <c r="HRU37" s="3"/>
      <c r="HRV37" s="3"/>
      <c r="HRW37" s="3"/>
      <c r="HRX37" s="3"/>
      <c r="HRY37" s="3"/>
      <c r="HRZ37" s="3"/>
      <c r="HSA37" s="3"/>
      <c r="HSB37" s="3"/>
      <c r="HSC37" s="3"/>
      <c r="HSD37" s="3"/>
      <c r="HSE37" s="3"/>
      <c r="HSF37" s="3"/>
      <c r="HSG37" s="3"/>
      <c r="HSH37" s="3"/>
      <c r="HSI37" s="3"/>
      <c r="HSJ37" s="3"/>
      <c r="HSK37" s="3"/>
      <c r="HSL37" s="3"/>
      <c r="HSM37" s="3"/>
      <c r="HSN37" s="3"/>
      <c r="HSO37" s="3"/>
      <c r="HSP37" s="3"/>
      <c r="HSQ37" s="3"/>
      <c r="HSR37" s="3"/>
      <c r="HSS37" s="3"/>
      <c r="HST37" s="3"/>
      <c r="HSU37" s="3"/>
      <c r="HSV37" s="3"/>
      <c r="HSW37" s="3"/>
      <c r="HSX37" s="3"/>
      <c r="HSY37" s="3"/>
      <c r="HSZ37" s="3"/>
      <c r="HTA37" s="3"/>
      <c r="HTB37" s="3"/>
      <c r="HTC37" s="3"/>
      <c r="HTD37" s="3"/>
      <c r="HTE37" s="3"/>
      <c r="HTF37" s="3"/>
      <c r="HTG37" s="3"/>
      <c r="HTH37" s="3"/>
      <c r="HTI37" s="3"/>
      <c r="HTJ37" s="3"/>
      <c r="HTK37" s="3"/>
      <c r="HTL37" s="3"/>
      <c r="HTM37" s="3"/>
      <c r="HTN37" s="3"/>
      <c r="HTO37" s="3"/>
      <c r="HTP37" s="3"/>
      <c r="HTQ37" s="3"/>
      <c r="HTR37" s="3"/>
      <c r="HTS37" s="3"/>
      <c r="HTT37" s="3"/>
      <c r="HTU37" s="3"/>
      <c r="HTV37" s="3"/>
      <c r="HTW37" s="3"/>
      <c r="HTX37" s="3"/>
      <c r="HTY37" s="3"/>
      <c r="HTZ37" s="3"/>
      <c r="HUA37" s="3"/>
      <c r="HUB37" s="3"/>
      <c r="HUC37" s="3"/>
      <c r="HUD37" s="3"/>
      <c r="HUE37" s="3"/>
      <c r="HUF37" s="3"/>
      <c r="HUG37" s="3"/>
      <c r="HUH37" s="3"/>
      <c r="HUI37" s="3"/>
      <c r="HUJ37" s="3"/>
      <c r="HUK37" s="3"/>
      <c r="HUL37" s="3"/>
      <c r="HUM37" s="3"/>
      <c r="HUN37" s="3"/>
      <c r="HUO37" s="3"/>
      <c r="HUP37" s="3"/>
      <c r="HUQ37" s="3"/>
      <c r="HUR37" s="3"/>
      <c r="HUS37" s="3"/>
      <c r="HUT37" s="3"/>
      <c r="HUU37" s="3"/>
      <c r="HUV37" s="3"/>
      <c r="HUW37" s="3"/>
      <c r="HUX37" s="3"/>
      <c r="HUY37" s="3"/>
      <c r="HUZ37" s="3"/>
      <c r="HVA37" s="3"/>
      <c r="HVB37" s="3"/>
      <c r="HVC37" s="3"/>
      <c r="HVD37" s="3"/>
      <c r="HVE37" s="3"/>
      <c r="HVF37" s="3"/>
      <c r="HVG37" s="3"/>
      <c r="HVH37" s="3"/>
      <c r="HVI37" s="3"/>
      <c r="HVJ37" s="3"/>
      <c r="HVK37" s="3"/>
      <c r="HVL37" s="3"/>
      <c r="HVM37" s="3"/>
      <c r="HVN37" s="3"/>
      <c r="HVO37" s="3"/>
      <c r="HVP37" s="3"/>
      <c r="HVQ37" s="3"/>
      <c r="HVR37" s="3"/>
      <c r="HVS37" s="3"/>
      <c r="HVT37" s="3"/>
      <c r="HVU37" s="3"/>
      <c r="HVV37" s="3"/>
      <c r="HVW37" s="3"/>
      <c r="HVX37" s="3"/>
      <c r="HVY37" s="3"/>
      <c r="HVZ37" s="3"/>
      <c r="HWA37" s="3"/>
      <c r="HWB37" s="3"/>
      <c r="HWC37" s="3"/>
      <c r="HWD37" s="3"/>
      <c r="HWE37" s="3"/>
      <c r="HWF37" s="3"/>
      <c r="HWG37" s="3"/>
      <c r="HWH37" s="3"/>
      <c r="HWI37" s="3"/>
      <c r="HWJ37" s="3"/>
      <c r="HWK37" s="3"/>
      <c r="HWL37" s="3"/>
      <c r="HWM37" s="3"/>
      <c r="HWN37" s="3"/>
      <c r="HWO37" s="3"/>
      <c r="HWP37" s="3"/>
      <c r="HWQ37" s="3"/>
      <c r="HWR37" s="3"/>
      <c r="HWS37" s="3"/>
      <c r="HWT37" s="3"/>
      <c r="HWU37" s="3"/>
      <c r="HWV37" s="3"/>
      <c r="HWW37" s="3"/>
      <c r="HWX37" s="3"/>
      <c r="HWY37" s="3"/>
      <c r="HWZ37" s="3"/>
      <c r="HXA37" s="3"/>
      <c r="HXB37" s="3"/>
      <c r="HXC37" s="3"/>
      <c r="HXD37" s="3"/>
      <c r="HXE37" s="3"/>
      <c r="HXF37" s="3"/>
      <c r="HXG37" s="3"/>
      <c r="HXH37" s="3"/>
      <c r="HXI37" s="3"/>
      <c r="HXJ37" s="3"/>
      <c r="HXK37" s="3"/>
      <c r="HXL37" s="3"/>
      <c r="HXM37" s="3"/>
      <c r="HXN37" s="3"/>
      <c r="HXO37" s="3"/>
      <c r="HXP37" s="3"/>
      <c r="HXQ37" s="3"/>
      <c r="HXR37" s="3"/>
      <c r="HXS37" s="3"/>
      <c r="HXT37" s="3"/>
      <c r="HXU37" s="3"/>
      <c r="HXV37" s="3"/>
      <c r="HXW37" s="3"/>
      <c r="HXX37" s="3"/>
      <c r="HXY37" s="3"/>
      <c r="HXZ37" s="3"/>
      <c r="HYA37" s="3"/>
      <c r="HYB37" s="3"/>
      <c r="HYC37" s="3"/>
      <c r="HYD37" s="3"/>
      <c r="HYE37" s="3"/>
      <c r="HYF37" s="3"/>
      <c r="HYG37" s="3"/>
      <c r="HYH37" s="3"/>
      <c r="HYI37" s="3"/>
      <c r="HYJ37" s="3"/>
      <c r="HYK37" s="3"/>
      <c r="HYL37" s="3"/>
      <c r="HYM37" s="3"/>
      <c r="HYN37" s="3"/>
      <c r="HYO37" s="3"/>
      <c r="HYP37" s="3"/>
      <c r="HYQ37" s="3"/>
      <c r="HYR37" s="3"/>
      <c r="HYS37" s="3"/>
      <c r="HYT37" s="3"/>
      <c r="HYU37" s="3"/>
      <c r="HYV37" s="3"/>
      <c r="HYW37" s="3"/>
      <c r="HYX37" s="3"/>
      <c r="HYY37" s="3"/>
      <c r="HYZ37" s="3"/>
      <c r="HZA37" s="3"/>
      <c r="HZB37" s="3"/>
      <c r="HZC37" s="3"/>
      <c r="HZD37" s="3"/>
      <c r="HZE37" s="3"/>
      <c r="HZF37" s="3"/>
      <c r="HZG37" s="3"/>
      <c r="HZH37" s="3"/>
      <c r="HZI37" s="3"/>
      <c r="HZJ37" s="3"/>
      <c r="HZK37" s="3"/>
      <c r="HZL37" s="3"/>
      <c r="HZM37" s="3"/>
      <c r="HZN37" s="3"/>
      <c r="HZO37" s="3"/>
      <c r="HZP37" s="3"/>
      <c r="HZQ37" s="3"/>
      <c r="HZR37" s="3"/>
      <c r="HZS37" s="3"/>
      <c r="HZT37" s="3"/>
      <c r="HZU37" s="3"/>
      <c r="HZV37" s="3"/>
      <c r="HZW37" s="3"/>
      <c r="HZX37" s="3"/>
      <c r="HZY37" s="3"/>
      <c r="HZZ37" s="3"/>
      <c r="IAA37" s="3"/>
      <c r="IAB37" s="3"/>
      <c r="IAC37" s="3"/>
      <c r="IAD37" s="3"/>
      <c r="IAE37" s="3"/>
      <c r="IAF37" s="3"/>
      <c r="IAG37" s="3"/>
      <c r="IAH37" s="3"/>
      <c r="IAI37" s="3"/>
      <c r="IAJ37" s="3"/>
      <c r="IAK37" s="3"/>
      <c r="IAL37" s="3"/>
      <c r="IAM37" s="3"/>
      <c r="IAN37" s="3"/>
      <c r="IAO37" s="3"/>
      <c r="IAP37" s="3"/>
      <c r="IAQ37" s="3"/>
      <c r="IAR37" s="3"/>
      <c r="IAS37" s="3"/>
      <c r="IAT37" s="3"/>
      <c r="IAU37" s="3"/>
      <c r="IAV37" s="3"/>
      <c r="IAW37" s="3"/>
      <c r="IAX37" s="3"/>
      <c r="IAY37" s="3"/>
      <c r="IAZ37" s="3"/>
      <c r="IBA37" s="3"/>
      <c r="IBB37" s="3"/>
      <c r="IBC37" s="3"/>
      <c r="IBD37" s="3"/>
      <c r="IBE37" s="3"/>
      <c r="IBF37" s="3"/>
      <c r="IBG37" s="3"/>
      <c r="IBH37" s="3"/>
      <c r="IBI37" s="3"/>
      <c r="IBJ37" s="3"/>
      <c r="IBK37" s="3"/>
      <c r="IBL37" s="3"/>
      <c r="IBM37" s="3"/>
      <c r="IBN37" s="3"/>
      <c r="IBO37" s="3"/>
      <c r="IBP37" s="3"/>
      <c r="IBQ37" s="3"/>
      <c r="IBR37" s="3"/>
      <c r="IBS37" s="3"/>
      <c r="IBT37" s="3"/>
      <c r="IBU37" s="3"/>
      <c r="IBV37" s="3"/>
      <c r="IBW37" s="3"/>
      <c r="IBX37" s="3"/>
      <c r="IBY37" s="3"/>
      <c r="IBZ37" s="3"/>
      <c r="ICA37" s="3"/>
      <c r="ICB37" s="3"/>
      <c r="ICC37" s="3"/>
      <c r="ICD37" s="3"/>
      <c r="ICE37" s="3"/>
      <c r="ICF37" s="3"/>
      <c r="ICG37" s="3"/>
      <c r="ICH37" s="3"/>
      <c r="ICI37" s="3"/>
      <c r="ICJ37" s="3"/>
      <c r="ICK37" s="3"/>
      <c r="ICL37" s="3"/>
      <c r="ICM37" s="3"/>
      <c r="ICN37" s="3"/>
      <c r="ICO37" s="3"/>
      <c r="ICP37" s="3"/>
      <c r="ICQ37" s="3"/>
      <c r="ICR37" s="3"/>
      <c r="ICS37" s="3"/>
      <c r="ICT37" s="3"/>
      <c r="ICU37" s="3"/>
      <c r="ICV37" s="3"/>
      <c r="ICW37" s="3"/>
      <c r="ICX37" s="3"/>
      <c r="ICY37" s="3"/>
      <c r="ICZ37" s="3"/>
      <c r="IDA37" s="3"/>
      <c r="IDB37" s="3"/>
      <c r="IDC37" s="3"/>
      <c r="IDD37" s="3"/>
      <c r="IDE37" s="3"/>
      <c r="IDF37" s="3"/>
      <c r="IDG37" s="3"/>
      <c r="IDH37" s="3"/>
      <c r="IDI37" s="3"/>
      <c r="IDJ37" s="3"/>
      <c r="IDK37" s="3"/>
      <c r="IDL37" s="3"/>
      <c r="IDM37" s="3"/>
      <c r="IDN37" s="3"/>
      <c r="IDO37" s="3"/>
      <c r="IDP37" s="3"/>
      <c r="IDQ37" s="3"/>
      <c r="IDR37" s="3"/>
      <c r="IDS37" s="3"/>
      <c r="IDT37" s="3"/>
      <c r="IDU37" s="3"/>
      <c r="IDV37" s="3"/>
      <c r="IDW37" s="3"/>
      <c r="IDX37" s="3"/>
      <c r="IDY37" s="3"/>
      <c r="IDZ37" s="3"/>
      <c r="IEA37" s="3"/>
      <c r="IEB37" s="3"/>
      <c r="IEC37" s="3"/>
      <c r="IED37" s="3"/>
      <c r="IEE37" s="3"/>
      <c r="IEF37" s="3"/>
      <c r="IEG37" s="3"/>
      <c r="IEH37" s="3"/>
      <c r="IEI37" s="3"/>
      <c r="IEJ37" s="3"/>
      <c r="IEK37" s="3"/>
      <c r="IEL37" s="3"/>
      <c r="IEM37" s="3"/>
      <c r="IEN37" s="3"/>
      <c r="IEO37" s="3"/>
      <c r="IEP37" s="3"/>
      <c r="IEQ37" s="3"/>
      <c r="IER37" s="3"/>
      <c r="IES37" s="3"/>
      <c r="IET37" s="3"/>
      <c r="IEU37" s="3"/>
      <c r="IEV37" s="3"/>
      <c r="IEW37" s="3"/>
      <c r="IEX37" s="3"/>
      <c r="IEY37" s="3"/>
      <c r="IEZ37" s="3"/>
      <c r="IFA37" s="3"/>
      <c r="IFB37" s="3"/>
      <c r="IFC37" s="3"/>
      <c r="IFD37" s="3"/>
      <c r="IFE37" s="3"/>
      <c r="IFF37" s="3"/>
      <c r="IFG37" s="3"/>
      <c r="IFH37" s="3"/>
      <c r="IFI37" s="3"/>
      <c r="IFJ37" s="3"/>
      <c r="IFK37" s="3"/>
      <c r="IFL37" s="3"/>
      <c r="IFM37" s="3"/>
      <c r="IFN37" s="3"/>
      <c r="IFO37" s="3"/>
      <c r="IFP37" s="3"/>
      <c r="IFQ37" s="3"/>
      <c r="IFR37" s="3"/>
      <c r="IFS37" s="3"/>
      <c r="IFT37" s="3"/>
      <c r="IFU37" s="3"/>
      <c r="IFV37" s="3"/>
      <c r="IFW37" s="3"/>
      <c r="IFX37" s="3"/>
      <c r="IFY37" s="3"/>
      <c r="IFZ37" s="3"/>
      <c r="IGA37" s="3"/>
      <c r="IGB37" s="3"/>
      <c r="IGC37" s="3"/>
      <c r="IGD37" s="3"/>
      <c r="IGE37" s="3"/>
      <c r="IGF37" s="3"/>
      <c r="IGG37" s="3"/>
      <c r="IGH37" s="3"/>
      <c r="IGI37" s="3"/>
      <c r="IGJ37" s="3"/>
      <c r="IGK37" s="3"/>
      <c r="IGL37" s="3"/>
      <c r="IGM37" s="3"/>
      <c r="IGN37" s="3"/>
      <c r="IGO37" s="3"/>
      <c r="IGP37" s="3"/>
      <c r="IGQ37" s="3"/>
      <c r="IGR37" s="3"/>
      <c r="IGS37" s="3"/>
      <c r="IGT37" s="3"/>
      <c r="IGU37" s="3"/>
      <c r="IGV37" s="3"/>
      <c r="IGW37" s="3"/>
      <c r="IGX37" s="3"/>
      <c r="IGY37" s="3"/>
      <c r="IGZ37" s="3"/>
      <c r="IHA37" s="3"/>
      <c r="IHB37" s="3"/>
      <c r="IHC37" s="3"/>
      <c r="IHD37" s="3"/>
      <c r="IHE37" s="3"/>
      <c r="IHF37" s="3"/>
      <c r="IHG37" s="3"/>
      <c r="IHH37" s="3"/>
      <c r="IHI37" s="3"/>
      <c r="IHJ37" s="3"/>
      <c r="IHK37" s="3"/>
      <c r="IHL37" s="3"/>
      <c r="IHM37" s="3"/>
      <c r="IHN37" s="3"/>
      <c r="IHO37" s="3"/>
      <c r="IHP37" s="3"/>
      <c r="IHQ37" s="3"/>
      <c r="IHR37" s="3"/>
      <c r="IHS37" s="3"/>
      <c r="IHT37" s="3"/>
      <c r="IHU37" s="3"/>
      <c r="IHV37" s="3"/>
      <c r="IHW37" s="3"/>
      <c r="IHX37" s="3"/>
      <c r="IHY37" s="3"/>
      <c r="IHZ37" s="3"/>
      <c r="IIA37" s="3"/>
      <c r="IIB37" s="3"/>
      <c r="IIC37" s="3"/>
      <c r="IID37" s="3"/>
      <c r="IIE37" s="3"/>
      <c r="IIF37" s="3"/>
      <c r="IIG37" s="3"/>
      <c r="IIH37" s="3"/>
      <c r="III37" s="3"/>
      <c r="IIJ37" s="3"/>
      <c r="IIK37" s="3"/>
      <c r="IIL37" s="3"/>
      <c r="IIM37" s="3"/>
      <c r="IIN37" s="3"/>
      <c r="IIO37" s="3"/>
      <c r="IIP37" s="3"/>
      <c r="IIQ37" s="3"/>
      <c r="IIR37" s="3"/>
      <c r="IIS37" s="3"/>
      <c r="IIT37" s="3"/>
      <c r="IIU37" s="3"/>
      <c r="IIV37" s="3"/>
      <c r="IIW37" s="3"/>
      <c r="IIX37" s="3"/>
      <c r="IIY37" s="3"/>
      <c r="IIZ37" s="3"/>
      <c r="IJA37" s="3"/>
      <c r="IJB37" s="3"/>
      <c r="IJC37" s="3"/>
      <c r="IJD37" s="3"/>
      <c r="IJE37" s="3"/>
      <c r="IJF37" s="3"/>
      <c r="IJG37" s="3"/>
      <c r="IJH37" s="3"/>
      <c r="IJI37" s="3"/>
      <c r="IJJ37" s="3"/>
      <c r="IJK37" s="3"/>
      <c r="IJL37" s="3"/>
      <c r="IJM37" s="3"/>
      <c r="IJN37" s="3"/>
      <c r="IJO37" s="3"/>
      <c r="IJP37" s="3"/>
      <c r="IJQ37" s="3"/>
      <c r="IJR37" s="3"/>
      <c r="IJS37" s="3"/>
      <c r="IJT37" s="3"/>
      <c r="IJU37" s="3"/>
      <c r="IJV37" s="3"/>
      <c r="IJW37" s="3"/>
      <c r="IJX37" s="3"/>
      <c r="IJY37" s="3"/>
      <c r="IJZ37" s="3"/>
      <c r="IKA37" s="3"/>
      <c r="IKB37" s="3"/>
      <c r="IKC37" s="3"/>
      <c r="IKD37" s="3"/>
      <c r="IKE37" s="3"/>
      <c r="IKF37" s="3"/>
      <c r="IKG37" s="3"/>
      <c r="IKH37" s="3"/>
      <c r="IKI37" s="3"/>
      <c r="IKJ37" s="3"/>
      <c r="IKK37" s="3"/>
      <c r="IKL37" s="3"/>
      <c r="IKM37" s="3"/>
      <c r="IKN37" s="3"/>
      <c r="IKO37" s="3"/>
      <c r="IKP37" s="3"/>
      <c r="IKQ37" s="3"/>
      <c r="IKR37" s="3"/>
      <c r="IKS37" s="3"/>
      <c r="IKT37" s="3"/>
      <c r="IKU37" s="3"/>
      <c r="IKV37" s="3"/>
      <c r="IKW37" s="3"/>
      <c r="IKX37" s="3"/>
      <c r="IKY37" s="3"/>
      <c r="IKZ37" s="3"/>
      <c r="ILA37" s="3"/>
      <c r="ILB37" s="3"/>
      <c r="ILC37" s="3"/>
      <c r="ILD37" s="3"/>
      <c r="ILE37" s="3"/>
      <c r="ILF37" s="3"/>
      <c r="ILG37" s="3"/>
      <c r="ILH37" s="3"/>
      <c r="ILI37" s="3"/>
      <c r="ILJ37" s="3"/>
      <c r="ILK37" s="3"/>
      <c r="ILL37" s="3"/>
      <c r="ILM37" s="3"/>
      <c r="ILN37" s="3"/>
      <c r="ILO37" s="3"/>
      <c r="ILP37" s="3"/>
      <c r="ILQ37" s="3"/>
      <c r="ILR37" s="3"/>
      <c r="ILS37" s="3"/>
      <c r="ILT37" s="3"/>
      <c r="ILU37" s="3"/>
      <c r="ILV37" s="3"/>
      <c r="ILW37" s="3"/>
      <c r="ILX37" s="3"/>
      <c r="ILY37" s="3"/>
      <c r="ILZ37" s="3"/>
      <c r="IMA37" s="3"/>
      <c r="IMB37" s="3"/>
      <c r="IMC37" s="3"/>
      <c r="IMD37" s="3"/>
      <c r="IME37" s="3"/>
      <c r="IMF37" s="3"/>
      <c r="IMG37" s="3"/>
      <c r="IMH37" s="3"/>
      <c r="IMI37" s="3"/>
      <c r="IMJ37" s="3"/>
      <c r="IMK37" s="3"/>
      <c r="IML37" s="3"/>
      <c r="IMM37" s="3"/>
      <c r="IMN37" s="3"/>
      <c r="IMO37" s="3"/>
      <c r="IMP37" s="3"/>
      <c r="IMQ37" s="3"/>
      <c r="IMR37" s="3"/>
      <c r="IMS37" s="3"/>
      <c r="IMT37" s="3"/>
      <c r="IMU37" s="3"/>
      <c r="IMV37" s="3"/>
      <c r="IMW37" s="3"/>
      <c r="IMX37" s="3"/>
      <c r="IMY37" s="3"/>
      <c r="IMZ37" s="3"/>
      <c r="INA37" s="3"/>
      <c r="INB37" s="3"/>
      <c r="INC37" s="3"/>
      <c r="IND37" s="3"/>
      <c r="INE37" s="3"/>
      <c r="INF37" s="3"/>
      <c r="ING37" s="3"/>
      <c r="INH37" s="3"/>
      <c r="INI37" s="3"/>
      <c r="INJ37" s="3"/>
      <c r="INK37" s="3"/>
      <c r="INL37" s="3"/>
      <c r="INM37" s="3"/>
      <c r="INN37" s="3"/>
      <c r="INO37" s="3"/>
      <c r="INP37" s="3"/>
      <c r="INQ37" s="3"/>
      <c r="INR37" s="3"/>
      <c r="INS37" s="3"/>
      <c r="INT37" s="3"/>
      <c r="INU37" s="3"/>
      <c r="INV37" s="3"/>
      <c r="INW37" s="3"/>
      <c r="INX37" s="3"/>
      <c r="INY37" s="3"/>
      <c r="INZ37" s="3"/>
      <c r="IOA37" s="3"/>
      <c r="IOB37" s="3"/>
      <c r="IOC37" s="3"/>
      <c r="IOD37" s="3"/>
      <c r="IOE37" s="3"/>
      <c r="IOF37" s="3"/>
      <c r="IOG37" s="3"/>
      <c r="IOH37" s="3"/>
      <c r="IOI37" s="3"/>
      <c r="IOJ37" s="3"/>
      <c r="IOK37" s="3"/>
      <c r="IOL37" s="3"/>
      <c r="IOM37" s="3"/>
      <c r="ION37" s="3"/>
      <c r="IOO37" s="3"/>
      <c r="IOP37" s="3"/>
      <c r="IOQ37" s="3"/>
      <c r="IOR37" s="3"/>
      <c r="IOS37" s="3"/>
      <c r="IOT37" s="3"/>
      <c r="IOU37" s="3"/>
      <c r="IOV37" s="3"/>
      <c r="IOW37" s="3"/>
      <c r="IOX37" s="3"/>
      <c r="IOY37" s="3"/>
      <c r="IOZ37" s="3"/>
      <c r="IPA37" s="3"/>
      <c r="IPB37" s="3"/>
      <c r="IPC37" s="3"/>
      <c r="IPD37" s="3"/>
      <c r="IPE37" s="3"/>
      <c r="IPF37" s="3"/>
      <c r="IPG37" s="3"/>
      <c r="IPH37" s="3"/>
      <c r="IPI37" s="3"/>
      <c r="IPJ37" s="3"/>
      <c r="IPK37" s="3"/>
      <c r="IPL37" s="3"/>
      <c r="IPM37" s="3"/>
      <c r="IPN37" s="3"/>
      <c r="IPO37" s="3"/>
      <c r="IPP37" s="3"/>
      <c r="IPQ37" s="3"/>
      <c r="IPR37" s="3"/>
      <c r="IPS37" s="3"/>
      <c r="IPT37" s="3"/>
      <c r="IPU37" s="3"/>
      <c r="IPV37" s="3"/>
      <c r="IPW37" s="3"/>
      <c r="IPX37" s="3"/>
      <c r="IPY37" s="3"/>
      <c r="IPZ37" s="3"/>
      <c r="IQA37" s="3"/>
      <c r="IQB37" s="3"/>
      <c r="IQC37" s="3"/>
      <c r="IQD37" s="3"/>
      <c r="IQE37" s="3"/>
      <c r="IQF37" s="3"/>
      <c r="IQG37" s="3"/>
      <c r="IQH37" s="3"/>
      <c r="IQI37" s="3"/>
      <c r="IQJ37" s="3"/>
      <c r="IQK37" s="3"/>
      <c r="IQL37" s="3"/>
      <c r="IQM37" s="3"/>
      <c r="IQN37" s="3"/>
      <c r="IQO37" s="3"/>
      <c r="IQP37" s="3"/>
      <c r="IQQ37" s="3"/>
      <c r="IQR37" s="3"/>
      <c r="IQS37" s="3"/>
      <c r="IQT37" s="3"/>
      <c r="IQU37" s="3"/>
      <c r="IQV37" s="3"/>
      <c r="IQW37" s="3"/>
      <c r="IQX37" s="3"/>
      <c r="IQY37" s="3"/>
      <c r="IQZ37" s="3"/>
      <c r="IRA37" s="3"/>
      <c r="IRB37" s="3"/>
      <c r="IRC37" s="3"/>
      <c r="IRD37" s="3"/>
      <c r="IRE37" s="3"/>
      <c r="IRF37" s="3"/>
      <c r="IRG37" s="3"/>
      <c r="IRH37" s="3"/>
      <c r="IRI37" s="3"/>
      <c r="IRJ37" s="3"/>
      <c r="IRK37" s="3"/>
      <c r="IRL37" s="3"/>
      <c r="IRM37" s="3"/>
      <c r="IRN37" s="3"/>
      <c r="IRO37" s="3"/>
      <c r="IRP37" s="3"/>
      <c r="IRQ37" s="3"/>
      <c r="IRR37" s="3"/>
      <c r="IRS37" s="3"/>
      <c r="IRT37" s="3"/>
      <c r="IRU37" s="3"/>
      <c r="IRV37" s="3"/>
      <c r="IRW37" s="3"/>
      <c r="IRX37" s="3"/>
      <c r="IRY37" s="3"/>
      <c r="IRZ37" s="3"/>
      <c r="ISA37" s="3"/>
      <c r="ISB37" s="3"/>
      <c r="ISC37" s="3"/>
      <c r="ISD37" s="3"/>
      <c r="ISE37" s="3"/>
      <c r="ISF37" s="3"/>
      <c r="ISG37" s="3"/>
      <c r="ISH37" s="3"/>
      <c r="ISI37" s="3"/>
      <c r="ISJ37" s="3"/>
      <c r="ISK37" s="3"/>
      <c r="ISL37" s="3"/>
      <c r="ISM37" s="3"/>
      <c r="ISN37" s="3"/>
      <c r="ISO37" s="3"/>
      <c r="ISP37" s="3"/>
      <c r="ISQ37" s="3"/>
      <c r="ISR37" s="3"/>
      <c r="ISS37" s="3"/>
      <c r="IST37" s="3"/>
      <c r="ISU37" s="3"/>
      <c r="ISV37" s="3"/>
      <c r="ISW37" s="3"/>
      <c r="ISX37" s="3"/>
      <c r="ISY37" s="3"/>
      <c r="ISZ37" s="3"/>
      <c r="ITA37" s="3"/>
      <c r="ITB37" s="3"/>
      <c r="ITC37" s="3"/>
      <c r="ITD37" s="3"/>
      <c r="ITE37" s="3"/>
      <c r="ITF37" s="3"/>
      <c r="ITG37" s="3"/>
      <c r="ITH37" s="3"/>
      <c r="ITI37" s="3"/>
      <c r="ITJ37" s="3"/>
      <c r="ITK37" s="3"/>
      <c r="ITL37" s="3"/>
      <c r="ITM37" s="3"/>
      <c r="ITN37" s="3"/>
      <c r="ITO37" s="3"/>
      <c r="ITP37" s="3"/>
      <c r="ITQ37" s="3"/>
      <c r="ITR37" s="3"/>
      <c r="ITS37" s="3"/>
      <c r="ITT37" s="3"/>
      <c r="ITU37" s="3"/>
      <c r="ITV37" s="3"/>
      <c r="ITW37" s="3"/>
      <c r="ITX37" s="3"/>
      <c r="ITY37" s="3"/>
      <c r="ITZ37" s="3"/>
      <c r="IUA37" s="3"/>
      <c r="IUB37" s="3"/>
      <c r="IUC37" s="3"/>
      <c r="IUD37" s="3"/>
      <c r="IUE37" s="3"/>
      <c r="IUF37" s="3"/>
      <c r="IUG37" s="3"/>
      <c r="IUH37" s="3"/>
      <c r="IUI37" s="3"/>
      <c r="IUJ37" s="3"/>
      <c r="IUK37" s="3"/>
      <c r="IUL37" s="3"/>
      <c r="IUM37" s="3"/>
      <c r="IUN37" s="3"/>
      <c r="IUO37" s="3"/>
      <c r="IUP37" s="3"/>
      <c r="IUQ37" s="3"/>
      <c r="IUR37" s="3"/>
      <c r="IUS37" s="3"/>
      <c r="IUT37" s="3"/>
      <c r="IUU37" s="3"/>
      <c r="IUV37" s="3"/>
      <c r="IUW37" s="3"/>
      <c r="IUX37" s="3"/>
      <c r="IUY37" s="3"/>
      <c r="IUZ37" s="3"/>
      <c r="IVA37" s="3"/>
      <c r="IVB37" s="3"/>
      <c r="IVC37" s="3"/>
      <c r="IVD37" s="3"/>
      <c r="IVE37" s="3"/>
      <c r="IVF37" s="3"/>
      <c r="IVG37" s="3"/>
      <c r="IVH37" s="3"/>
      <c r="IVI37" s="3"/>
      <c r="IVJ37" s="3"/>
      <c r="IVK37" s="3"/>
      <c r="IVL37" s="3"/>
      <c r="IVM37" s="3"/>
      <c r="IVN37" s="3"/>
      <c r="IVO37" s="3"/>
      <c r="IVP37" s="3"/>
      <c r="IVQ37" s="3"/>
      <c r="IVR37" s="3"/>
      <c r="IVS37" s="3"/>
      <c r="IVT37" s="3"/>
      <c r="IVU37" s="3"/>
      <c r="IVV37" s="3"/>
      <c r="IVW37" s="3"/>
      <c r="IVX37" s="3"/>
      <c r="IVY37" s="3"/>
      <c r="IVZ37" s="3"/>
      <c r="IWA37" s="3"/>
      <c r="IWB37" s="3"/>
      <c r="IWC37" s="3"/>
      <c r="IWD37" s="3"/>
      <c r="IWE37" s="3"/>
      <c r="IWF37" s="3"/>
      <c r="IWG37" s="3"/>
      <c r="IWH37" s="3"/>
      <c r="IWI37" s="3"/>
      <c r="IWJ37" s="3"/>
      <c r="IWK37" s="3"/>
      <c r="IWL37" s="3"/>
      <c r="IWM37" s="3"/>
      <c r="IWN37" s="3"/>
      <c r="IWO37" s="3"/>
      <c r="IWP37" s="3"/>
      <c r="IWQ37" s="3"/>
      <c r="IWR37" s="3"/>
      <c r="IWS37" s="3"/>
      <c r="IWT37" s="3"/>
      <c r="IWU37" s="3"/>
      <c r="IWV37" s="3"/>
      <c r="IWW37" s="3"/>
      <c r="IWX37" s="3"/>
      <c r="IWY37" s="3"/>
      <c r="IWZ37" s="3"/>
      <c r="IXA37" s="3"/>
      <c r="IXB37" s="3"/>
      <c r="IXC37" s="3"/>
      <c r="IXD37" s="3"/>
      <c r="IXE37" s="3"/>
      <c r="IXF37" s="3"/>
      <c r="IXG37" s="3"/>
      <c r="IXH37" s="3"/>
      <c r="IXI37" s="3"/>
      <c r="IXJ37" s="3"/>
      <c r="IXK37" s="3"/>
      <c r="IXL37" s="3"/>
      <c r="IXM37" s="3"/>
      <c r="IXN37" s="3"/>
      <c r="IXO37" s="3"/>
      <c r="IXP37" s="3"/>
      <c r="IXQ37" s="3"/>
      <c r="IXR37" s="3"/>
      <c r="IXS37" s="3"/>
      <c r="IXT37" s="3"/>
      <c r="IXU37" s="3"/>
      <c r="IXV37" s="3"/>
      <c r="IXW37" s="3"/>
      <c r="IXX37" s="3"/>
      <c r="IXY37" s="3"/>
      <c r="IXZ37" s="3"/>
      <c r="IYA37" s="3"/>
      <c r="IYB37" s="3"/>
      <c r="IYC37" s="3"/>
      <c r="IYD37" s="3"/>
      <c r="IYE37" s="3"/>
      <c r="IYF37" s="3"/>
      <c r="IYG37" s="3"/>
      <c r="IYH37" s="3"/>
      <c r="IYI37" s="3"/>
      <c r="IYJ37" s="3"/>
      <c r="IYK37" s="3"/>
      <c r="IYL37" s="3"/>
      <c r="IYM37" s="3"/>
      <c r="IYN37" s="3"/>
      <c r="IYO37" s="3"/>
      <c r="IYP37" s="3"/>
      <c r="IYQ37" s="3"/>
      <c r="IYR37" s="3"/>
      <c r="IYS37" s="3"/>
      <c r="IYT37" s="3"/>
      <c r="IYU37" s="3"/>
      <c r="IYV37" s="3"/>
      <c r="IYW37" s="3"/>
      <c r="IYX37" s="3"/>
      <c r="IYY37" s="3"/>
      <c r="IYZ37" s="3"/>
      <c r="IZA37" s="3"/>
      <c r="IZB37" s="3"/>
      <c r="IZC37" s="3"/>
      <c r="IZD37" s="3"/>
      <c r="IZE37" s="3"/>
      <c r="IZF37" s="3"/>
      <c r="IZG37" s="3"/>
      <c r="IZH37" s="3"/>
      <c r="IZI37" s="3"/>
      <c r="IZJ37" s="3"/>
      <c r="IZK37" s="3"/>
      <c r="IZL37" s="3"/>
      <c r="IZM37" s="3"/>
      <c r="IZN37" s="3"/>
      <c r="IZO37" s="3"/>
      <c r="IZP37" s="3"/>
      <c r="IZQ37" s="3"/>
      <c r="IZR37" s="3"/>
      <c r="IZS37" s="3"/>
      <c r="IZT37" s="3"/>
      <c r="IZU37" s="3"/>
      <c r="IZV37" s="3"/>
      <c r="IZW37" s="3"/>
      <c r="IZX37" s="3"/>
      <c r="IZY37" s="3"/>
      <c r="IZZ37" s="3"/>
      <c r="JAA37" s="3"/>
      <c r="JAB37" s="3"/>
      <c r="JAC37" s="3"/>
      <c r="JAD37" s="3"/>
      <c r="JAE37" s="3"/>
      <c r="JAF37" s="3"/>
      <c r="JAG37" s="3"/>
      <c r="JAH37" s="3"/>
      <c r="JAI37" s="3"/>
      <c r="JAJ37" s="3"/>
      <c r="JAK37" s="3"/>
      <c r="JAL37" s="3"/>
      <c r="JAM37" s="3"/>
      <c r="JAN37" s="3"/>
      <c r="JAO37" s="3"/>
      <c r="JAP37" s="3"/>
      <c r="JAQ37" s="3"/>
      <c r="JAR37" s="3"/>
      <c r="JAS37" s="3"/>
      <c r="JAT37" s="3"/>
      <c r="JAU37" s="3"/>
      <c r="JAV37" s="3"/>
      <c r="JAW37" s="3"/>
      <c r="JAX37" s="3"/>
      <c r="JAY37" s="3"/>
      <c r="JAZ37" s="3"/>
      <c r="JBA37" s="3"/>
      <c r="JBB37" s="3"/>
      <c r="JBC37" s="3"/>
      <c r="JBD37" s="3"/>
      <c r="JBE37" s="3"/>
      <c r="JBF37" s="3"/>
      <c r="JBG37" s="3"/>
      <c r="JBH37" s="3"/>
      <c r="JBI37" s="3"/>
      <c r="JBJ37" s="3"/>
      <c r="JBK37" s="3"/>
      <c r="JBL37" s="3"/>
      <c r="JBM37" s="3"/>
      <c r="JBN37" s="3"/>
      <c r="JBO37" s="3"/>
      <c r="JBP37" s="3"/>
      <c r="JBQ37" s="3"/>
      <c r="JBR37" s="3"/>
      <c r="JBS37" s="3"/>
      <c r="JBT37" s="3"/>
      <c r="JBU37" s="3"/>
      <c r="JBV37" s="3"/>
      <c r="JBW37" s="3"/>
      <c r="JBX37" s="3"/>
      <c r="JBY37" s="3"/>
      <c r="JBZ37" s="3"/>
      <c r="JCA37" s="3"/>
      <c r="JCB37" s="3"/>
      <c r="JCC37" s="3"/>
      <c r="JCD37" s="3"/>
      <c r="JCE37" s="3"/>
      <c r="JCF37" s="3"/>
      <c r="JCG37" s="3"/>
      <c r="JCH37" s="3"/>
      <c r="JCI37" s="3"/>
      <c r="JCJ37" s="3"/>
      <c r="JCK37" s="3"/>
      <c r="JCL37" s="3"/>
      <c r="JCM37" s="3"/>
      <c r="JCN37" s="3"/>
      <c r="JCO37" s="3"/>
      <c r="JCP37" s="3"/>
      <c r="JCQ37" s="3"/>
      <c r="JCR37" s="3"/>
      <c r="JCS37" s="3"/>
      <c r="JCT37" s="3"/>
      <c r="JCU37" s="3"/>
      <c r="JCV37" s="3"/>
      <c r="JCW37" s="3"/>
      <c r="JCX37" s="3"/>
      <c r="JCY37" s="3"/>
      <c r="JCZ37" s="3"/>
      <c r="JDA37" s="3"/>
      <c r="JDB37" s="3"/>
      <c r="JDC37" s="3"/>
      <c r="JDD37" s="3"/>
      <c r="JDE37" s="3"/>
      <c r="JDF37" s="3"/>
      <c r="JDG37" s="3"/>
      <c r="JDH37" s="3"/>
      <c r="JDI37" s="3"/>
      <c r="JDJ37" s="3"/>
      <c r="JDK37" s="3"/>
      <c r="JDL37" s="3"/>
      <c r="JDM37" s="3"/>
      <c r="JDN37" s="3"/>
      <c r="JDO37" s="3"/>
      <c r="JDP37" s="3"/>
      <c r="JDQ37" s="3"/>
      <c r="JDR37" s="3"/>
      <c r="JDS37" s="3"/>
      <c r="JDT37" s="3"/>
      <c r="JDU37" s="3"/>
      <c r="JDV37" s="3"/>
      <c r="JDW37" s="3"/>
      <c r="JDX37" s="3"/>
      <c r="JDY37" s="3"/>
      <c r="JDZ37" s="3"/>
      <c r="JEA37" s="3"/>
      <c r="JEB37" s="3"/>
      <c r="JEC37" s="3"/>
      <c r="JED37" s="3"/>
      <c r="JEE37" s="3"/>
      <c r="JEF37" s="3"/>
      <c r="JEG37" s="3"/>
      <c r="JEH37" s="3"/>
      <c r="JEI37" s="3"/>
      <c r="JEJ37" s="3"/>
      <c r="JEK37" s="3"/>
      <c r="JEL37" s="3"/>
      <c r="JEM37" s="3"/>
      <c r="JEN37" s="3"/>
      <c r="JEO37" s="3"/>
      <c r="JEP37" s="3"/>
      <c r="JEQ37" s="3"/>
      <c r="JER37" s="3"/>
      <c r="JES37" s="3"/>
      <c r="JET37" s="3"/>
      <c r="JEU37" s="3"/>
      <c r="JEV37" s="3"/>
      <c r="JEW37" s="3"/>
      <c r="JEX37" s="3"/>
      <c r="JEY37" s="3"/>
      <c r="JEZ37" s="3"/>
      <c r="JFA37" s="3"/>
      <c r="JFB37" s="3"/>
      <c r="JFC37" s="3"/>
      <c r="JFD37" s="3"/>
      <c r="JFE37" s="3"/>
      <c r="JFF37" s="3"/>
      <c r="JFG37" s="3"/>
      <c r="JFH37" s="3"/>
      <c r="JFI37" s="3"/>
      <c r="JFJ37" s="3"/>
      <c r="JFK37" s="3"/>
      <c r="JFL37" s="3"/>
      <c r="JFM37" s="3"/>
      <c r="JFN37" s="3"/>
      <c r="JFO37" s="3"/>
      <c r="JFP37" s="3"/>
      <c r="JFQ37" s="3"/>
      <c r="JFR37" s="3"/>
      <c r="JFS37" s="3"/>
      <c r="JFT37" s="3"/>
      <c r="JFU37" s="3"/>
      <c r="JFV37" s="3"/>
      <c r="JFW37" s="3"/>
      <c r="JFX37" s="3"/>
      <c r="JFY37" s="3"/>
      <c r="JFZ37" s="3"/>
      <c r="JGA37" s="3"/>
      <c r="JGB37" s="3"/>
      <c r="JGC37" s="3"/>
      <c r="JGD37" s="3"/>
      <c r="JGE37" s="3"/>
      <c r="JGF37" s="3"/>
      <c r="JGG37" s="3"/>
      <c r="JGH37" s="3"/>
      <c r="JGI37" s="3"/>
      <c r="JGJ37" s="3"/>
      <c r="JGK37" s="3"/>
      <c r="JGL37" s="3"/>
      <c r="JGM37" s="3"/>
      <c r="JGN37" s="3"/>
      <c r="JGO37" s="3"/>
      <c r="JGP37" s="3"/>
      <c r="JGQ37" s="3"/>
      <c r="JGR37" s="3"/>
      <c r="JGS37" s="3"/>
      <c r="JGT37" s="3"/>
      <c r="JGU37" s="3"/>
      <c r="JGV37" s="3"/>
      <c r="JGW37" s="3"/>
      <c r="JGX37" s="3"/>
      <c r="JGY37" s="3"/>
      <c r="JGZ37" s="3"/>
      <c r="JHA37" s="3"/>
      <c r="JHB37" s="3"/>
      <c r="JHC37" s="3"/>
      <c r="JHD37" s="3"/>
      <c r="JHE37" s="3"/>
      <c r="JHF37" s="3"/>
      <c r="JHG37" s="3"/>
      <c r="JHH37" s="3"/>
      <c r="JHI37" s="3"/>
      <c r="JHJ37" s="3"/>
      <c r="JHK37" s="3"/>
      <c r="JHL37" s="3"/>
      <c r="JHM37" s="3"/>
      <c r="JHN37" s="3"/>
      <c r="JHO37" s="3"/>
      <c r="JHP37" s="3"/>
      <c r="JHQ37" s="3"/>
      <c r="JHR37" s="3"/>
      <c r="JHS37" s="3"/>
      <c r="JHT37" s="3"/>
      <c r="JHU37" s="3"/>
      <c r="JHV37" s="3"/>
      <c r="JHW37" s="3"/>
      <c r="JHX37" s="3"/>
      <c r="JHY37" s="3"/>
      <c r="JHZ37" s="3"/>
      <c r="JIA37" s="3"/>
      <c r="JIB37" s="3"/>
      <c r="JIC37" s="3"/>
      <c r="JID37" s="3"/>
      <c r="JIE37" s="3"/>
      <c r="JIF37" s="3"/>
      <c r="JIG37" s="3"/>
      <c r="JIH37" s="3"/>
      <c r="JII37" s="3"/>
      <c r="JIJ37" s="3"/>
      <c r="JIK37" s="3"/>
      <c r="JIL37" s="3"/>
      <c r="JIM37" s="3"/>
      <c r="JIN37" s="3"/>
      <c r="JIO37" s="3"/>
      <c r="JIP37" s="3"/>
      <c r="JIQ37" s="3"/>
      <c r="JIR37" s="3"/>
      <c r="JIS37" s="3"/>
      <c r="JIT37" s="3"/>
      <c r="JIU37" s="3"/>
      <c r="JIV37" s="3"/>
      <c r="JIW37" s="3"/>
      <c r="JIX37" s="3"/>
      <c r="JIY37" s="3"/>
      <c r="JIZ37" s="3"/>
      <c r="JJA37" s="3"/>
      <c r="JJB37" s="3"/>
      <c r="JJC37" s="3"/>
      <c r="JJD37" s="3"/>
      <c r="JJE37" s="3"/>
      <c r="JJF37" s="3"/>
      <c r="JJG37" s="3"/>
      <c r="JJH37" s="3"/>
      <c r="JJI37" s="3"/>
      <c r="JJJ37" s="3"/>
      <c r="JJK37" s="3"/>
      <c r="JJL37" s="3"/>
      <c r="JJM37" s="3"/>
      <c r="JJN37" s="3"/>
      <c r="JJO37" s="3"/>
      <c r="JJP37" s="3"/>
      <c r="JJQ37" s="3"/>
      <c r="JJR37" s="3"/>
      <c r="JJS37" s="3"/>
      <c r="JJT37" s="3"/>
      <c r="JJU37" s="3"/>
      <c r="JJV37" s="3"/>
      <c r="JJW37" s="3"/>
      <c r="JJX37" s="3"/>
      <c r="JJY37" s="3"/>
      <c r="JJZ37" s="3"/>
      <c r="JKA37" s="3"/>
      <c r="JKB37" s="3"/>
      <c r="JKC37" s="3"/>
      <c r="JKD37" s="3"/>
      <c r="JKE37" s="3"/>
      <c r="JKF37" s="3"/>
      <c r="JKG37" s="3"/>
      <c r="JKH37" s="3"/>
      <c r="JKI37" s="3"/>
      <c r="JKJ37" s="3"/>
      <c r="JKK37" s="3"/>
      <c r="JKL37" s="3"/>
      <c r="JKM37" s="3"/>
      <c r="JKN37" s="3"/>
      <c r="JKO37" s="3"/>
      <c r="JKP37" s="3"/>
      <c r="JKQ37" s="3"/>
      <c r="JKR37" s="3"/>
      <c r="JKS37" s="3"/>
      <c r="JKT37" s="3"/>
      <c r="JKU37" s="3"/>
      <c r="JKV37" s="3"/>
      <c r="JKW37" s="3"/>
      <c r="JKX37" s="3"/>
      <c r="JKY37" s="3"/>
      <c r="JKZ37" s="3"/>
      <c r="JLA37" s="3"/>
      <c r="JLB37" s="3"/>
      <c r="JLC37" s="3"/>
      <c r="JLD37" s="3"/>
      <c r="JLE37" s="3"/>
      <c r="JLF37" s="3"/>
      <c r="JLG37" s="3"/>
      <c r="JLH37" s="3"/>
      <c r="JLI37" s="3"/>
      <c r="JLJ37" s="3"/>
      <c r="JLK37" s="3"/>
      <c r="JLL37" s="3"/>
      <c r="JLM37" s="3"/>
      <c r="JLN37" s="3"/>
      <c r="JLO37" s="3"/>
      <c r="JLP37" s="3"/>
      <c r="JLQ37" s="3"/>
      <c r="JLR37" s="3"/>
      <c r="JLS37" s="3"/>
      <c r="JLT37" s="3"/>
      <c r="JLU37" s="3"/>
      <c r="JLV37" s="3"/>
      <c r="JLW37" s="3"/>
      <c r="JLX37" s="3"/>
      <c r="JLY37" s="3"/>
      <c r="JLZ37" s="3"/>
      <c r="JMA37" s="3"/>
      <c r="JMB37" s="3"/>
      <c r="JMC37" s="3"/>
      <c r="JMD37" s="3"/>
      <c r="JME37" s="3"/>
      <c r="JMF37" s="3"/>
      <c r="JMG37" s="3"/>
      <c r="JMH37" s="3"/>
      <c r="JMI37" s="3"/>
      <c r="JMJ37" s="3"/>
      <c r="JMK37" s="3"/>
      <c r="JML37" s="3"/>
      <c r="JMM37" s="3"/>
      <c r="JMN37" s="3"/>
      <c r="JMO37" s="3"/>
      <c r="JMP37" s="3"/>
      <c r="JMQ37" s="3"/>
      <c r="JMR37" s="3"/>
      <c r="JMS37" s="3"/>
      <c r="JMT37" s="3"/>
      <c r="JMU37" s="3"/>
      <c r="JMV37" s="3"/>
      <c r="JMW37" s="3"/>
      <c r="JMX37" s="3"/>
      <c r="JMY37" s="3"/>
      <c r="JMZ37" s="3"/>
      <c r="JNA37" s="3"/>
      <c r="JNB37" s="3"/>
      <c r="JNC37" s="3"/>
      <c r="JND37" s="3"/>
      <c r="JNE37" s="3"/>
      <c r="JNF37" s="3"/>
      <c r="JNG37" s="3"/>
      <c r="JNH37" s="3"/>
      <c r="JNI37" s="3"/>
      <c r="JNJ37" s="3"/>
      <c r="JNK37" s="3"/>
      <c r="JNL37" s="3"/>
      <c r="JNM37" s="3"/>
      <c r="JNN37" s="3"/>
      <c r="JNO37" s="3"/>
      <c r="JNP37" s="3"/>
      <c r="JNQ37" s="3"/>
      <c r="JNR37" s="3"/>
      <c r="JNS37" s="3"/>
      <c r="JNT37" s="3"/>
      <c r="JNU37" s="3"/>
      <c r="JNV37" s="3"/>
      <c r="JNW37" s="3"/>
      <c r="JNX37" s="3"/>
      <c r="JNY37" s="3"/>
      <c r="JNZ37" s="3"/>
      <c r="JOA37" s="3"/>
      <c r="JOB37" s="3"/>
      <c r="JOC37" s="3"/>
      <c r="JOD37" s="3"/>
      <c r="JOE37" s="3"/>
      <c r="JOF37" s="3"/>
      <c r="JOG37" s="3"/>
      <c r="JOH37" s="3"/>
      <c r="JOI37" s="3"/>
      <c r="JOJ37" s="3"/>
      <c r="JOK37" s="3"/>
      <c r="JOL37" s="3"/>
      <c r="JOM37" s="3"/>
      <c r="JON37" s="3"/>
      <c r="JOO37" s="3"/>
      <c r="JOP37" s="3"/>
      <c r="JOQ37" s="3"/>
      <c r="JOR37" s="3"/>
      <c r="JOS37" s="3"/>
      <c r="JOT37" s="3"/>
      <c r="JOU37" s="3"/>
      <c r="JOV37" s="3"/>
      <c r="JOW37" s="3"/>
      <c r="JOX37" s="3"/>
      <c r="JOY37" s="3"/>
      <c r="JOZ37" s="3"/>
      <c r="JPA37" s="3"/>
      <c r="JPB37" s="3"/>
      <c r="JPC37" s="3"/>
      <c r="JPD37" s="3"/>
      <c r="JPE37" s="3"/>
      <c r="JPF37" s="3"/>
      <c r="JPG37" s="3"/>
      <c r="JPH37" s="3"/>
      <c r="JPI37" s="3"/>
      <c r="JPJ37" s="3"/>
      <c r="JPK37" s="3"/>
      <c r="JPL37" s="3"/>
      <c r="JPM37" s="3"/>
      <c r="JPN37" s="3"/>
      <c r="JPO37" s="3"/>
      <c r="JPP37" s="3"/>
      <c r="JPQ37" s="3"/>
      <c r="JPR37" s="3"/>
      <c r="JPS37" s="3"/>
      <c r="JPT37" s="3"/>
      <c r="JPU37" s="3"/>
      <c r="JPV37" s="3"/>
      <c r="JPW37" s="3"/>
      <c r="JPX37" s="3"/>
      <c r="JPY37" s="3"/>
      <c r="JPZ37" s="3"/>
      <c r="JQA37" s="3"/>
      <c r="JQB37" s="3"/>
      <c r="JQC37" s="3"/>
      <c r="JQD37" s="3"/>
      <c r="JQE37" s="3"/>
      <c r="JQF37" s="3"/>
      <c r="JQG37" s="3"/>
      <c r="JQH37" s="3"/>
      <c r="JQI37" s="3"/>
      <c r="JQJ37" s="3"/>
      <c r="JQK37" s="3"/>
      <c r="JQL37" s="3"/>
      <c r="JQM37" s="3"/>
      <c r="JQN37" s="3"/>
      <c r="JQO37" s="3"/>
      <c r="JQP37" s="3"/>
      <c r="JQQ37" s="3"/>
      <c r="JQR37" s="3"/>
      <c r="JQS37" s="3"/>
      <c r="JQT37" s="3"/>
      <c r="JQU37" s="3"/>
      <c r="JQV37" s="3"/>
      <c r="JQW37" s="3"/>
      <c r="JQX37" s="3"/>
      <c r="JQY37" s="3"/>
      <c r="JQZ37" s="3"/>
      <c r="JRA37" s="3"/>
      <c r="JRB37" s="3"/>
      <c r="JRC37" s="3"/>
      <c r="JRD37" s="3"/>
      <c r="JRE37" s="3"/>
      <c r="JRF37" s="3"/>
      <c r="JRG37" s="3"/>
      <c r="JRH37" s="3"/>
      <c r="JRI37" s="3"/>
      <c r="JRJ37" s="3"/>
      <c r="JRK37" s="3"/>
      <c r="JRL37" s="3"/>
      <c r="JRM37" s="3"/>
      <c r="JRN37" s="3"/>
      <c r="JRO37" s="3"/>
      <c r="JRP37" s="3"/>
      <c r="JRQ37" s="3"/>
      <c r="JRR37" s="3"/>
      <c r="JRS37" s="3"/>
      <c r="JRT37" s="3"/>
      <c r="JRU37" s="3"/>
      <c r="JRV37" s="3"/>
      <c r="JRW37" s="3"/>
      <c r="JRX37" s="3"/>
      <c r="JRY37" s="3"/>
      <c r="JRZ37" s="3"/>
      <c r="JSA37" s="3"/>
      <c r="JSB37" s="3"/>
      <c r="JSC37" s="3"/>
      <c r="JSD37" s="3"/>
      <c r="JSE37" s="3"/>
      <c r="JSF37" s="3"/>
      <c r="JSG37" s="3"/>
      <c r="JSH37" s="3"/>
      <c r="JSI37" s="3"/>
      <c r="JSJ37" s="3"/>
      <c r="JSK37" s="3"/>
      <c r="JSL37" s="3"/>
      <c r="JSM37" s="3"/>
      <c r="JSN37" s="3"/>
      <c r="JSO37" s="3"/>
      <c r="JSP37" s="3"/>
      <c r="JSQ37" s="3"/>
      <c r="JSR37" s="3"/>
      <c r="JSS37" s="3"/>
      <c r="JST37" s="3"/>
      <c r="JSU37" s="3"/>
      <c r="JSV37" s="3"/>
      <c r="JSW37" s="3"/>
      <c r="JSX37" s="3"/>
      <c r="JSY37" s="3"/>
      <c r="JSZ37" s="3"/>
      <c r="JTA37" s="3"/>
      <c r="JTB37" s="3"/>
      <c r="JTC37" s="3"/>
      <c r="JTD37" s="3"/>
      <c r="JTE37" s="3"/>
      <c r="JTF37" s="3"/>
      <c r="JTG37" s="3"/>
      <c r="JTH37" s="3"/>
      <c r="JTI37" s="3"/>
      <c r="JTJ37" s="3"/>
      <c r="JTK37" s="3"/>
      <c r="JTL37" s="3"/>
      <c r="JTM37" s="3"/>
      <c r="JTN37" s="3"/>
      <c r="JTO37" s="3"/>
      <c r="JTP37" s="3"/>
      <c r="JTQ37" s="3"/>
      <c r="JTR37" s="3"/>
      <c r="JTS37" s="3"/>
      <c r="JTT37" s="3"/>
      <c r="JTU37" s="3"/>
      <c r="JTV37" s="3"/>
      <c r="JTW37" s="3"/>
      <c r="JTX37" s="3"/>
      <c r="JTY37" s="3"/>
      <c r="JTZ37" s="3"/>
      <c r="JUA37" s="3"/>
      <c r="JUB37" s="3"/>
      <c r="JUC37" s="3"/>
      <c r="JUD37" s="3"/>
      <c r="JUE37" s="3"/>
      <c r="JUF37" s="3"/>
      <c r="JUG37" s="3"/>
      <c r="JUH37" s="3"/>
      <c r="JUI37" s="3"/>
      <c r="JUJ37" s="3"/>
      <c r="JUK37" s="3"/>
      <c r="JUL37" s="3"/>
      <c r="JUM37" s="3"/>
      <c r="JUN37" s="3"/>
      <c r="JUO37" s="3"/>
      <c r="JUP37" s="3"/>
      <c r="JUQ37" s="3"/>
      <c r="JUR37" s="3"/>
      <c r="JUS37" s="3"/>
      <c r="JUT37" s="3"/>
      <c r="JUU37" s="3"/>
      <c r="JUV37" s="3"/>
      <c r="JUW37" s="3"/>
      <c r="JUX37" s="3"/>
      <c r="JUY37" s="3"/>
      <c r="JUZ37" s="3"/>
      <c r="JVA37" s="3"/>
      <c r="JVB37" s="3"/>
      <c r="JVC37" s="3"/>
      <c r="JVD37" s="3"/>
      <c r="JVE37" s="3"/>
      <c r="JVF37" s="3"/>
      <c r="JVG37" s="3"/>
      <c r="JVH37" s="3"/>
      <c r="JVI37" s="3"/>
      <c r="JVJ37" s="3"/>
      <c r="JVK37" s="3"/>
      <c r="JVL37" s="3"/>
      <c r="JVM37" s="3"/>
      <c r="JVN37" s="3"/>
      <c r="JVO37" s="3"/>
      <c r="JVP37" s="3"/>
      <c r="JVQ37" s="3"/>
      <c r="JVR37" s="3"/>
      <c r="JVS37" s="3"/>
      <c r="JVT37" s="3"/>
      <c r="JVU37" s="3"/>
      <c r="JVV37" s="3"/>
      <c r="JVW37" s="3"/>
      <c r="JVX37" s="3"/>
      <c r="JVY37" s="3"/>
      <c r="JVZ37" s="3"/>
      <c r="JWA37" s="3"/>
      <c r="JWB37" s="3"/>
      <c r="JWC37" s="3"/>
      <c r="JWD37" s="3"/>
      <c r="JWE37" s="3"/>
      <c r="JWF37" s="3"/>
      <c r="JWG37" s="3"/>
      <c r="JWH37" s="3"/>
      <c r="JWI37" s="3"/>
      <c r="JWJ37" s="3"/>
      <c r="JWK37" s="3"/>
      <c r="JWL37" s="3"/>
      <c r="JWM37" s="3"/>
      <c r="JWN37" s="3"/>
      <c r="JWO37" s="3"/>
      <c r="JWP37" s="3"/>
      <c r="JWQ37" s="3"/>
      <c r="JWR37" s="3"/>
      <c r="JWS37" s="3"/>
      <c r="JWT37" s="3"/>
      <c r="JWU37" s="3"/>
      <c r="JWV37" s="3"/>
      <c r="JWW37" s="3"/>
      <c r="JWX37" s="3"/>
      <c r="JWY37" s="3"/>
      <c r="JWZ37" s="3"/>
      <c r="JXA37" s="3"/>
      <c r="JXB37" s="3"/>
      <c r="JXC37" s="3"/>
      <c r="JXD37" s="3"/>
      <c r="JXE37" s="3"/>
      <c r="JXF37" s="3"/>
      <c r="JXG37" s="3"/>
      <c r="JXH37" s="3"/>
      <c r="JXI37" s="3"/>
      <c r="JXJ37" s="3"/>
      <c r="JXK37" s="3"/>
      <c r="JXL37" s="3"/>
      <c r="JXM37" s="3"/>
      <c r="JXN37" s="3"/>
      <c r="JXO37" s="3"/>
      <c r="JXP37" s="3"/>
      <c r="JXQ37" s="3"/>
      <c r="JXR37" s="3"/>
      <c r="JXS37" s="3"/>
      <c r="JXT37" s="3"/>
      <c r="JXU37" s="3"/>
      <c r="JXV37" s="3"/>
      <c r="JXW37" s="3"/>
      <c r="JXX37" s="3"/>
      <c r="JXY37" s="3"/>
      <c r="JXZ37" s="3"/>
      <c r="JYA37" s="3"/>
      <c r="JYB37" s="3"/>
      <c r="JYC37" s="3"/>
      <c r="JYD37" s="3"/>
      <c r="JYE37" s="3"/>
      <c r="JYF37" s="3"/>
      <c r="JYG37" s="3"/>
      <c r="JYH37" s="3"/>
      <c r="JYI37" s="3"/>
      <c r="JYJ37" s="3"/>
      <c r="JYK37" s="3"/>
      <c r="JYL37" s="3"/>
      <c r="JYM37" s="3"/>
      <c r="JYN37" s="3"/>
      <c r="JYO37" s="3"/>
      <c r="JYP37" s="3"/>
      <c r="JYQ37" s="3"/>
      <c r="JYR37" s="3"/>
      <c r="JYS37" s="3"/>
      <c r="JYT37" s="3"/>
      <c r="JYU37" s="3"/>
      <c r="JYV37" s="3"/>
      <c r="JYW37" s="3"/>
      <c r="JYX37" s="3"/>
      <c r="JYY37" s="3"/>
      <c r="JYZ37" s="3"/>
      <c r="JZA37" s="3"/>
      <c r="JZB37" s="3"/>
      <c r="JZC37" s="3"/>
      <c r="JZD37" s="3"/>
      <c r="JZE37" s="3"/>
      <c r="JZF37" s="3"/>
      <c r="JZG37" s="3"/>
      <c r="JZH37" s="3"/>
      <c r="JZI37" s="3"/>
      <c r="JZJ37" s="3"/>
      <c r="JZK37" s="3"/>
      <c r="JZL37" s="3"/>
      <c r="JZM37" s="3"/>
      <c r="JZN37" s="3"/>
      <c r="JZO37" s="3"/>
      <c r="JZP37" s="3"/>
      <c r="JZQ37" s="3"/>
      <c r="JZR37" s="3"/>
      <c r="JZS37" s="3"/>
      <c r="JZT37" s="3"/>
      <c r="JZU37" s="3"/>
      <c r="JZV37" s="3"/>
      <c r="JZW37" s="3"/>
      <c r="JZX37" s="3"/>
      <c r="JZY37" s="3"/>
      <c r="JZZ37" s="3"/>
      <c r="KAA37" s="3"/>
      <c r="KAB37" s="3"/>
      <c r="KAC37" s="3"/>
      <c r="KAD37" s="3"/>
      <c r="KAE37" s="3"/>
      <c r="KAF37" s="3"/>
      <c r="KAG37" s="3"/>
      <c r="KAH37" s="3"/>
      <c r="KAI37" s="3"/>
      <c r="KAJ37" s="3"/>
      <c r="KAK37" s="3"/>
      <c r="KAL37" s="3"/>
      <c r="KAM37" s="3"/>
      <c r="KAN37" s="3"/>
      <c r="KAO37" s="3"/>
      <c r="KAP37" s="3"/>
      <c r="KAQ37" s="3"/>
      <c r="KAR37" s="3"/>
      <c r="KAS37" s="3"/>
      <c r="KAT37" s="3"/>
      <c r="KAU37" s="3"/>
      <c r="KAV37" s="3"/>
      <c r="KAW37" s="3"/>
      <c r="KAX37" s="3"/>
      <c r="KAY37" s="3"/>
      <c r="KAZ37" s="3"/>
      <c r="KBA37" s="3"/>
      <c r="KBB37" s="3"/>
      <c r="KBC37" s="3"/>
      <c r="KBD37" s="3"/>
      <c r="KBE37" s="3"/>
      <c r="KBF37" s="3"/>
      <c r="KBG37" s="3"/>
      <c r="KBH37" s="3"/>
      <c r="KBI37" s="3"/>
      <c r="KBJ37" s="3"/>
      <c r="KBK37" s="3"/>
      <c r="KBL37" s="3"/>
      <c r="KBM37" s="3"/>
      <c r="KBN37" s="3"/>
      <c r="KBO37" s="3"/>
      <c r="KBP37" s="3"/>
      <c r="KBQ37" s="3"/>
      <c r="KBR37" s="3"/>
      <c r="KBS37" s="3"/>
      <c r="KBT37" s="3"/>
      <c r="KBU37" s="3"/>
      <c r="KBV37" s="3"/>
      <c r="KBW37" s="3"/>
      <c r="KBX37" s="3"/>
      <c r="KBY37" s="3"/>
      <c r="KBZ37" s="3"/>
      <c r="KCA37" s="3"/>
      <c r="KCB37" s="3"/>
      <c r="KCC37" s="3"/>
      <c r="KCD37" s="3"/>
      <c r="KCE37" s="3"/>
      <c r="KCF37" s="3"/>
      <c r="KCG37" s="3"/>
      <c r="KCH37" s="3"/>
      <c r="KCI37" s="3"/>
      <c r="KCJ37" s="3"/>
      <c r="KCK37" s="3"/>
      <c r="KCL37" s="3"/>
      <c r="KCM37" s="3"/>
      <c r="KCN37" s="3"/>
      <c r="KCO37" s="3"/>
      <c r="KCP37" s="3"/>
      <c r="KCQ37" s="3"/>
      <c r="KCR37" s="3"/>
      <c r="KCS37" s="3"/>
      <c r="KCT37" s="3"/>
      <c r="KCU37" s="3"/>
      <c r="KCV37" s="3"/>
      <c r="KCW37" s="3"/>
      <c r="KCX37" s="3"/>
      <c r="KCY37" s="3"/>
      <c r="KCZ37" s="3"/>
      <c r="KDA37" s="3"/>
      <c r="KDB37" s="3"/>
      <c r="KDC37" s="3"/>
      <c r="KDD37" s="3"/>
      <c r="KDE37" s="3"/>
      <c r="KDF37" s="3"/>
      <c r="KDG37" s="3"/>
      <c r="KDH37" s="3"/>
      <c r="KDI37" s="3"/>
      <c r="KDJ37" s="3"/>
      <c r="KDK37" s="3"/>
      <c r="KDL37" s="3"/>
      <c r="KDM37" s="3"/>
      <c r="KDN37" s="3"/>
      <c r="KDO37" s="3"/>
      <c r="KDP37" s="3"/>
      <c r="KDQ37" s="3"/>
      <c r="KDR37" s="3"/>
      <c r="KDS37" s="3"/>
      <c r="KDT37" s="3"/>
      <c r="KDU37" s="3"/>
      <c r="KDV37" s="3"/>
      <c r="KDW37" s="3"/>
      <c r="KDX37" s="3"/>
      <c r="KDY37" s="3"/>
      <c r="KDZ37" s="3"/>
      <c r="KEA37" s="3"/>
      <c r="KEB37" s="3"/>
      <c r="KEC37" s="3"/>
      <c r="KED37" s="3"/>
      <c r="KEE37" s="3"/>
      <c r="KEF37" s="3"/>
      <c r="KEG37" s="3"/>
      <c r="KEH37" s="3"/>
      <c r="KEI37" s="3"/>
      <c r="KEJ37" s="3"/>
      <c r="KEK37" s="3"/>
      <c r="KEL37" s="3"/>
      <c r="KEM37" s="3"/>
      <c r="KEN37" s="3"/>
      <c r="KEO37" s="3"/>
      <c r="KEP37" s="3"/>
      <c r="KEQ37" s="3"/>
      <c r="KER37" s="3"/>
      <c r="KES37" s="3"/>
      <c r="KET37" s="3"/>
      <c r="KEU37" s="3"/>
      <c r="KEV37" s="3"/>
      <c r="KEW37" s="3"/>
      <c r="KEX37" s="3"/>
      <c r="KEY37" s="3"/>
      <c r="KEZ37" s="3"/>
      <c r="KFA37" s="3"/>
      <c r="KFB37" s="3"/>
      <c r="KFC37" s="3"/>
      <c r="KFD37" s="3"/>
      <c r="KFE37" s="3"/>
      <c r="KFF37" s="3"/>
      <c r="KFG37" s="3"/>
      <c r="KFH37" s="3"/>
      <c r="KFI37" s="3"/>
      <c r="KFJ37" s="3"/>
      <c r="KFK37" s="3"/>
      <c r="KFL37" s="3"/>
      <c r="KFM37" s="3"/>
      <c r="KFN37" s="3"/>
      <c r="KFO37" s="3"/>
      <c r="KFP37" s="3"/>
      <c r="KFQ37" s="3"/>
      <c r="KFR37" s="3"/>
      <c r="KFS37" s="3"/>
      <c r="KFT37" s="3"/>
      <c r="KFU37" s="3"/>
      <c r="KFV37" s="3"/>
      <c r="KFW37" s="3"/>
      <c r="KFX37" s="3"/>
      <c r="KFY37" s="3"/>
      <c r="KFZ37" s="3"/>
      <c r="KGA37" s="3"/>
      <c r="KGB37" s="3"/>
      <c r="KGC37" s="3"/>
      <c r="KGD37" s="3"/>
      <c r="KGE37" s="3"/>
      <c r="KGF37" s="3"/>
      <c r="KGG37" s="3"/>
      <c r="KGH37" s="3"/>
      <c r="KGI37" s="3"/>
      <c r="KGJ37" s="3"/>
      <c r="KGK37" s="3"/>
      <c r="KGL37" s="3"/>
      <c r="KGM37" s="3"/>
      <c r="KGN37" s="3"/>
      <c r="KGO37" s="3"/>
      <c r="KGP37" s="3"/>
      <c r="KGQ37" s="3"/>
      <c r="KGR37" s="3"/>
      <c r="KGS37" s="3"/>
      <c r="KGT37" s="3"/>
      <c r="KGU37" s="3"/>
      <c r="KGV37" s="3"/>
      <c r="KGW37" s="3"/>
      <c r="KGX37" s="3"/>
      <c r="KGY37" s="3"/>
      <c r="KGZ37" s="3"/>
      <c r="KHA37" s="3"/>
      <c r="KHB37" s="3"/>
      <c r="KHC37" s="3"/>
      <c r="KHD37" s="3"/>
      <c r="KHE37" s="3"/>
      <c r="KHF37" s="3"/>
      <c r="KHG37" s="3"/>
      <c r="KHH37" s="3"/>
      <c r="KHI37" s="3"/>
      <c r="KHJ37" s="3"/>
      <c r="KHK37" s="3"/>
      <c r="KHL37" s="3"/>
      <c r="KHM37" s="3"/>
      <c r="KHN37" s="3"/>
      <c r="KHO37" s="3"/>
      <c r="KHP37" s="3"/>
      <c r="KHQ37" s="3"/>
      <c r="KHR37" s="3"/>
      <c r="KHS37" s="3"/>
      <c r="KHT37" s="3"/>
      <c r="KHU37" s="3"/>
      <c r="KHV37" s="3"/>
      <c r="KHW37" s="3"/>
      <c r="KHX37" s="3"/>
      <c r="KHY37" s="3"/>
      <c r="KHZ37" s="3"/>
      <c r="KIA37" s="3"/>
      <c r="KIB37" s="3"/>
      <c r="KIC37" s="3"/>
      <c r="KID37" s="3"/>
      <c r="KIE37" s="3"/>
      <c r="KIF37" s="3"/>
      <c r="KIG37" s="3"/>
      <c r="KIH37" s="3"/>
      <c r="KII37" s="3"/>
      <c r="KIJ37" s="3"/>
      <c r="KIK37" s="3"/>
      <c r="KIL37" s="3"/>
      <c r="KIM37" s="3"/>
      <c r="KIN37" s="3"/>
      <c r="KIO37" s="3"/>
      <c r="KIP37" s="3"/>
      <c r="KIQ37" s="3"/>
      <c r="KIR37" s="3"/>
      <c r="KIS37" s="3"/>
      <c r="KIT37" s="3"/>
      <c r="KIU37" s="3"/>
      <c r="KIV37" s="3"/>
      <c r="KIW37" s="3"/>
      <c r="KIX37" s="3"/>
      <c r="KIY37" s="3"/>
      <c r="KIZ37" s="3"/>
      <c r="KJA37" s="3"/>
      <c r="KJB37" s="3"/>
      <c r="KJC37" s="3"/>
      <c r="KJD37" s="3"/>
      <c r="KJE37" s="3"/>
      <c r="KJF37" s="3"/>
      <c r="KJG37" s="3"/>
      <c r="KJH37" s="3"/>
      <c r="KJI37" s="3"/>
      <c r="KJJ37" s="3"/>
      <c r="KJK37" s="3"/>
      <c r="KJL37" s="3"/>
      <c r="KJM37" s="3"/>
      <c r="KJN37" s="3"/>
      <c r="KJO37" s="3"/>
      <c r="KJP37" s="3"/>
      <c r="KJQ37" s="3"/>
      <c r="KJR37" s="3"/>
      <c r="KJS37" s="3"/>
      <c r="KJT37" s="3"/>
      <c r="KJU37" s="3"/>
      <c r="KJV37" s="3"/>
      <c r="KJW37" s="3"/>
      <c r="KJX37" s="3"/>
      <c r="KJY37" s="3"/>
      <c r="KJZ37" s="3"/>
      <c r="KKA37" s="3"/>
      <c r="KKB37" s="3"/>
      <c r="KKC37" s="3"/>
      <c r="KKD37" s="3"/>
      <c r="KKE37" s="3"/>
      <c r="KKF37" s="3"/>
      <c r="KKG37" s="3"/>
      <c r="KKH37" s="3"/>
      <c r="KKI37" s="3"/>
      <c r="KKJ37" s="3"/>
      <c r="KKK37" s="3"/>
      <c r="KKL37" s="3"/>
      <c r="KKM37" s="3"/>
      <c r="KKN37" s="3"/>
      <c r="KKO37" s="3"/>
      <c r="KKP37" s="3"/>
      <c r="KKQ37" s="3"/>
      <c r="KKR37" s="3"/>
      <c r="KKS37" s="3"/>
      <c r="KKT37" s="3"/>
      <c r="KKU37" s="3"/>
      <c r="KKV37" s="3"/>
      <c r="KKW37" s="3"/>
      <c r="KKX37" s="3"/>
      <c r="KKY37" s="3"/>
      <c r="KKZ37" s="3"/>
      <c r="KLA37" s="3"/>
      <c r="KLB37" s="3"/>
      <c r="KLC37" s="3"/>
      <c r="KLD37" s="3"/>
      <c r="KLE37" s="3"/>
      <c r="KLF37" s="3"/>
      <c r="KLG37" s="3"/>
      <c r="KLH37" s="3"/>
      <c r="KLI37" s="3"/>
      <c r="KLJ37" s="3"/>
      <c r="KLK37" s="3"/>
      <c r="KLL37" s="3"/>
      <c r="KLM37" s="3"/>
      <c r="KLN37" s="3"/>
      <c r="KLO37" s="3"/>
      <c r="KLP37" s="3"/>
      <c r="KLQ37" s="3"/>
      <c r="KLR37" s="3"/>
      <c r="KLS37" s="3"/>
      <c r="KLT37" s="3"/>
      <c r="KLU37" s="3"/>
      <c r="KLV37" s="3"/>
      <c r="KLW37" s="3"/>
      <c r="KLX37" s="3"/>
      <c r="KLY37" s="3"/>
      <c r="KLZ37" s="3"/>
      <c r="KMA37" s="3"/>
      <c r="KMB37" s="3"/>
      <c r="KMC37" s="3"/>
      <c r="KMD37" s="3"/>
      <c r="KME37" s="3"/>
      <c r="KMF37" s="3"/>
      <c r="KMG37" s="3"/>
      <c r="KMH37" s="3"/>
      <c r="KMI37" s="3"/>
      <c r="KMJ37" s="3"/>
      <c r="KMK37" s="3"/>
      <c r="KML37" s="3"/>
      <c r="KMM37" s="3"/>
      <c r="KMN37" s="3"/>
      <c r="KMO37" s="3"/>
      <c r="KMP37" s="3"/>
      <c r="KMQ37" s="3"/>
      <c r="KMR37" s="3"/>
      <c r="KMS37" s="3"/>
      <c r="KMT37" s="3"/>
      <c r="KMU37" s="3"/>
      <c r="KMV37" s="3"/>
      <c r="KMW37" s="3"/>
      <c r="KMX37" s="3"/>
      <c r="KMY37" s="3"/>
      <c r="KMZ37" s="3"/>
      <c r="KNA37" s="3"/>
      <c r="KNB37" s="3"/>
      <c r="KNC37" s="3"/>
      <c r="KND37" s="3"/>
      <c r="KNE37" s="3"/>
      <c r="KNF37" s="3"/>
      <c r="KNG37" s="3"/>
      <c r="KNH37" s="3"/>
      <c r="KNI37" s="3"/>
      <c r="KNJ37" s="3"/>
      <c r="KNK37" s="3"/>
      <c r="KNL37" s="3"/>
      <c r="KNM37" s="3"/>
      <c r="KNN37" s="3"/>
      <c r="KNO37" s="3"/>
      <c r="KNP37" s="3"/>
      <c r="KNQ37" s="3"/>
      <c r="KNR37" s="3"/>
      <c r="KNS37" s="3"/>
      <c r="KNT37" s="3"/>
      <c r="KNU37" s="3"/>
      <c r="KNV37" s="3"/>
      <c r="KNW37" s="3"/>
      <c r="KNX37" s="3"/>
      <c r="KNY37" s="3"/>
      <c r="KNZ37" s="3"/>
      <c r="KOA37" s="3"/>
      <c r="KOB37" s="3"/>
      <c r="KOC37" s="3"/>
      <c r="KOD37" s="3"/>
      <c r="KOE37" s="3"/>
      <c r="KOF37" s="3"/>
      <c r="KOG37" s="3"/>
      <c r="KOH37" s="3"/>
      <c r="KOI37" s="3"/>
      <c r="KOJ37" s="3"/>
      <c r="KOK37" s="3"/>
      <c r="KOL37" s="3"/>
      <c r="KOM37" s="3"/>
      <c r="KON37" s="3"/>
      <c r="KOO37" s="3"/>
      <c r="KOP37" s="3"/>
      <c r="KOQ37" s="3"/>
      <c r="KOR37" s="3"/>
      <c r="KOS37" s="3"/>
      <c r="KOT37" s="3"/>
      <c r="KOU37" s="3"/>
      <c r="KOV37" s="3"/>
      <c r="KOW37" s="3"/>
      <c r="KOX37" s="3"/>
      <c r="KOY37" s="3"/>
      <c r="KOZ37" s="3"/>
      <c r="KPA37" s="3"/>
      <c r="KPB37" s="3"/>
      <c r="KPC37" s="3"/>
      <c r="KPD37" s="3"/>
      <c r="KPE37" s="3"/>
      <c r="KPF37" s="3"/>
      <c r="KPG37" s="3"/>
      <c r="KPH37" s="3"/>
      <c r="KPI37" s="3"/>
      <c r="KPJ37" s="3"/>
      <c r="KPK37" s="3"/>
      <c r="KPL37" s="3"/>
      <c r="KPM37" s="3"/>
      <c r="KPN37" s="3"/>
      <c r="KPO37" s="3"/>
      <c r="KPP37" s="3"/>
      <c r="KPQ37" s="3"/>
      <c r="KPR37" s="3"/>
      <c r="KPS37" s="3"/>
      <c r="KPT37" s="3"/>
      <c r="KPU37" s="3"/>
      <c r="KPV37" s="3"/>
      <c r="KPW37" s="3"/>
      <c r="KPX37" s="3"/>
      <c r="KPY37" s="3"/>
      <c r="KPZ37" s="3"/>
      <c r="KQA37" s="3"/>
      <c r="KQB37" s="3"/>
      <c r="KQC37" s="3"/>
      <c r="KQD37" s="3"/>
      <c r="KQE37" s="3"/>
      <c r="KQF37" s="3"/>
      <c r="KQG37" s="3"/>
      <c r="KQH37" s="3"/>
      <c r="KQI37" s="3"/>
      <c r="KQJ37" s="3"/>
      <c r="KQK37" s="3"/>
      <c r="KQL37" s="3"/>
      <c r="KQM37" s="3"/>
      <c r="KQN37" s="3"/>
      <c r="KQO37" s="3"/>
      <c r="KQP37" s="3"/>
      <c r="KQQ37" s="3"/>
      <c r="KQR37" s="3"/>
      <c r="KQS37" s="3"/>
      <c r="KQT37" s="3"/>
      <c r="KQU37" s="3"/>
      <c r="KQV37" s="3"/>
      <c r="KQW37" s="3"/>
      <c r="KQX37" s="3"/>
      <c r="KQY37" s="3"/>
      <c r="KQZ37" s="3"/>
      <c r="KRA37" s="3"/>
      <c r="KRB37" s="3"/>
      <c r="KRC37" s="3"/>
      <c r="KRD37" s="3"/>
      <c r="KRE37" s="3"/>
      <c r="KRF37" s="3"/>
      <c r="KRG37" s="3"/>
      <c r="KRH37" s="3"/>
      <c r="KRI37" s="3"/>
      <c r="KRJ37" s="3"/>
      <c r="KRK37" s="3"/>
      <c r="KRL37" s="3"/>
      <c r="KRM37" s="3"/>
      <c r="KRN37" s="3"/>
      <c r="KRO37" s="3"/>
      <c r="KRP37" s="3"/>
      <c r="KRQ37" s="3"/>
      <c r="KRR37" s="3"/>
      <c r="KRS37" s="3"/>
      <c r="KRT37" s="3"/>
      <c r="KRU37" s="3"/>
      <c r="KRV37" s="3"/>
      <c r="KRW37" s="3"/>
      <c r="KRX37" s="3"/>
      <c r="KRY37" s="3"/>
      <c r="KRZ37" s="3"/>
      <c r="KSA37" s="3"/>
      <c r="KSB37" s="3"/>
      <c r="KSC37" s="3"/>
      <c r="KSD37" s="3"/>
      <c r="KSE37" s="3"/>
      <c r="KSF37" s="3"/>
      <c r="KSG37" s="3"/>
      <c r="KSH37" s="3"/>
      <c r="KSI37" s="3"/>
      <c r="KSJ37" s="3"/>
      <c r="KSK37" s="3"/>
      <c r="KSL37" s="3"/>
      <c r="KSM37" s="3"/>
      <c r="KSN37" s="3"/>
      <c r="KSO37" s="3"/>
      <c r="KSP37" s="3"/>
      <c r="KSQ37" s="3"/>
      <c r="KSR37" s="3"/>
      <c r="KSS37" s="3"/>
      <c r="KST37" s="3"/>
      <c r="KSU37" s="3"/>
      <c r="KSV37" s="3"/>
      <c r="KSW37" s="3"/>
      <c r="KSX37" s="3"/>
      <c r="KSY37" s="3"/>
      <c r="KSZ37" s="3"/>
      <c r="KTA37" s="3"/>
      <c r="KTB37" s="3"/>
      <c r="KTC37" s="3"/>
      <c r="KTD37" s="3"/>
      <c r="KTE37" s="3"/>
      <c r="KTF37" s="3"/>
      <c r="KTG37" s="3"/>
      <c r="KTH37" s="3"/>
      <c r="KTI37" s="3"/>
      <c r="KTJ37" s="3"/>
      <c r="KTK37" s="3"/>
      <c r="KTL37" s="3"/>
      <c r="KTM37" s="3"/>
      <c r="KTN37" s="3"/>
      <c r="KTO37" s="3"/>
      <c r="KTP37" s="3"/>
      <c r="KTQ37" s="3"/>
      <c r="KTR37" s="3"/>
      <c r="KTS37" s="3"/>
      <c r="KTT37" s="3"/>
      <c r="KTU37" s="3"/>
      <c r="KTV37" s="3"/>
      <c r="KTW37" s="3"/>
      <c r="KTX37" s="3"/>
      <c r="KTY37" s="3"/>
      <c r="KTZ37" s="3"/>
      <c r="KUA37" s="3"/>
      <c r="KUB37" s="3"/>
      <c r="KUC37" s="3"/>
      <c r="KUD37" s="3"/>
      <c r="KUE37" s="3"/>
      <c r="KUF37" s="3"/>
      <c r="KUG37" s="3"/>
      <c r="KUH37" s="3"/>
      <c r="KUI37" s="3"/>
      <c r="KUJ37" s="3"/>
      <c r="KUK37" s="3"/>
      <c r="KUL37" s="3"/>
      <c r="KUM37" s="3"/>
      <c r="KUN37" s="3"/>
      <c r="KUO37" s="3"/>
      <c r="KUP37" s="3"/>
      <c r="KUQ37" s="3"/>
      <c r="KUR37" s="3"/>
      <c r="KUS37" s="3"/>
      <c r="KUT37" s="3"/>
      <c r="KUU37" s="3"/>
      <c r="KUV37" s="3"/>
      <c r="KUW37" s="3"/>
      <c r="KUX37" s="3"/>
      <c r="KUY37" s="3"/>
      <c r="KUZ37" s="3"/>
      <c r="KVA37" s="3"/>
      <c r="KVB37" s="3"/>
      <c r="KVC37" s="3"/>
      <c r="KVD37" s="3"/>
      <c r="KVE37" s="3"/>
      <c r="KVF37" s="3"/>
      <c r="KVG37" s="3"/>
      <c r="KVH37" s="3"/>
      <c r="KVI37" s="3"/>
      <c r="KVJ37" s="3"/>
      <c r="KVK37" s="3"/>
      <c r="KVL37" s="3"/>
      <c r="KVM37" s="3"/>
      <c r="KVN37" s="3"/>
      <c r="KVO37" s="3"/>
      <c r="KVP37" s="3"/>
      <c r="KVQ37" s="3"/>
      <c r="KVR37" s="3"/>
      <c r="KVS37" s="3"/>
      <c r="KVT37" s="3"/>
      <c r="KVU37" s="3"/>
      <c r="KVV37" s="3"/>
      <c r="KVW37" s="3"/>
      <c r="KVX37" s="3"/>
      <c r="KVY37" s="3"/>
      <c r="KVZ37" s="3"/>
      <c r="KWA37" s="3"/>
      <c r="KWB37" s="3"/>
      <c r="KWC37" s="3"/>
      <c r="KWD37" s="3"/>
      <c r="KWE37" s="3"/>
      <c r="KWF37" s="3"/>
      <c r="KWG37" s="3"/>
      <c r="KWH37" s="3"/>
      <c r="KWI37" s="3"/>
      <c r="KWJ37" s="3"/>
      <c r="KWK37" s="3"/>
      <c r="KWL37" s="3"/>
      <c r="KWM37" s="3"/>
      <c r="KWN37" s="3"/>
      <c r="KWO37" s="3"/>
      <c r="KWP37" s="3"/>
      <c r="KWQ37" s="3"/>
      <c r="KWR37" s="3"/>
      <c r="KWS37" s="3"/>
      <c r="KWT37" s="3"/>
      <c r="KWU37" s="3"/>
      <c r="KWV37" s="3"/>
      <c r="KWW37" s="3"/>
      <c r="KWX37" s="3"/>
      <c r="KWY37" s="3"/>
      <c r="KWZ37" s="3"/>
      <c r="KXA37" s="3"/>
      <c r="KXB37" s="3"/>
      <c r="KXC37" s="3"/>
      <c r="KXD37" s="3"/>
      <c r="KXE37" s="3"/>
      <c r="KXF37" s="3"/>
      <c r="KXG37" s="3"/>
      <c r="KXH37" s="3"/>
      <c r="KXI37" s="3"/>
      <c r="KXJ37" s="3"/>
      <c r="KXK37" s="3"/>
      <c r="KXL37" s="3"/>
      <c r="KXM37" s="3"/>
      <c r="KXN37" s="3"/>
      <c r="KXO37" s="3"/>
      <c r="KXP37" s="3"/>
      <c r="KXQ37" s="3"/>
      <c r="KXR37" s="3"/>
      <c r="KXS37" s="3"/>
      <c r="KXT37" s="3"/>
      <c r="KXU37" s="3"/>
      <c r="KXV37" s="3"/>
      <c r="KXW37" s="3"/>
      <c r="KXX37" s="3"/>
      <c r="KXY37" s="3"/>
      <c r="KXZ37" s="3"/>
      <c r="KYA37" s="3"/>
      <c r="KYB37" s="3"/>
      <c r="KYC37" s="3"/>
      <c r="KYD37" s="3"/>
      <c r="KYE37" s="3"/>
      <c r="KYF37" s="3"/>
      <c r="KYG37" s="3"/>
      <c r="KYH37" s="3"/>
      <c r="KYI37" s="3"/>
      <c r="KYJ37" s="3"/>
      <c r="KYK37" s="3"/>
      <c r="KYL37" s="3"/>
      <c r="KYM37" s="3"/>
      <c r="KYN37" s="3"/>
      <c r="KYO37" s="3"/>
      <c r="KYP37" s="3"/>
      <c r="KYQ37" s="3"/>
      <c r="KYR37" s="3"/>
      <c r="KYS37" s="3"/>
      <c r="KYT37" s="3"/>
      <c r="KYU37" s="3"/>
      <c r="KYV37" s="3"/>
      <c r="KYW37" s="3"/>
      <c r="KYX37" s="3"/>
      <c r="KYY37" s="3"/>
      <c r="KYZ37" s="3"/>
      <c r="KZA37" s="3"/>
      <c r="KZB37" s="3"/>
      <c r="KZC37" s="3"/>
      <c r="KZD37" s="3"/>
      <c r="KZE37" s="3"/>
      <c r="KZF37" s="3"/>
      <c r="KZG37" s="3"/>
      <c r="KZH37" s="3"/>
      <c r="KZI37" s="3"/>
      <c r="KZJ37" s="3"/>
      <c r="KZK37" s="3"/>
      <c r="KZL37" s="3"/>
      <c r="KZM37" s="3"/>
      <c r="KZN37" s="3"/>
      <c r="KZO37" s="3"/>
      <c r="KZP37" s="3"/>
      <c r="KZQ37" s="3"/>
      <c r="KZR37" s="3"/>
      <c r="KZS37" s="3"/>
      <c r="KZT37" s="3"/>
      <c r="KZU37" s="3"/>
      <c r="KZV37" s="3"/>
      <c r="KZW37" s="3"/>
      <c r="KZX37" s="3"/>
      <c r="KZY37" s="3"/>
      <c r="KZZ37" s="3"/>
      <c r="LAA37" s="3"/>
      <c r="LAB37" s="3"/>
      <c r="LAC37" s="3"/>
      <c r="LAD37" s="3"/>
      <c r="LAE37" s="3"/>
      <c r="LAF37" s="3"/>
      <c r="LAG37" s="3"/>
      <c r="LAH37" s="3"/>
      <c r="LAI37" s="3"/>
      <c r="LAJ37" s="3"/>
      <c r="LAK37" s="3"/>
      <c r="LAL37" s="3"/>
      <c r="LAM37" s="3"/>
      <c r="LAN37" s="3"/>
      <c r="LAO37" s="3"/>
      <c r="LAP37" s="3"/>
      <c r="LAQ37" s="3"/>
      <c r="LAR37" s="3"/>
      <c r="LAS37" s="3"/>
      <c r="LAT37" s="3"/>
      <c r="LAU37" s="3"/>
      <c r="LAV37" s="3"/>
      <c r="LAW37" s="3"/>
      <c r="LAX37" s="3"/>
      <c r="LAY37" s="3"/>
      <c r="LAZ37" s="3"/>
      <c r="LBA37" s="3"/>
      <c r="LBB37" s="3"/>
      <c r="LBC37" s="3"/>
      <c r="LBD37" s="3"/>
      <c r="LBE37" s="3"/>
      <c r="LBF37" s="3"/>
      <c r="LBG37" s="3"/>
      <c r="LBH37" s="3"/>
      <c r="LBI37" s="3"/>
      <c r="LBJ37" s="3"/>
      <c r="LBK37" s="3"/>
      <c r="LBL37" s="3"/>
      <c r="LBM37" s="3"/>
      <c r="LBN37" s="3"/>
      <c r="LBO37" s="3"/>
      <c r="LBP37" s="3"/>
      <c r="LBQ37" s="3"/>
      <c r="LBR37" s="3"/>
      <c r="LBS37" s="3"/>
      <c r="LBT37" s="3"/>
      <c r="LBU37" s="3"/>
      <c r="LBV37" s="3"/>
      <c r="LBW37" s="3"/>
      <c r="LBX37" s="3"/>
      <c r="LBY37" s="3"/>
      <c r="LBZ37" s="3"/>
      <c r="LCA37" s="3"/>
      <c r="LCB37" s="3"/>
      <c r="LCC37" s="3"/>
      <c r="LCD37" s="3"/>
      <c r="LCE37" s="3"/>
      <c r="LCF37" s="3"/>
      <c r="LCG37" s="3"/>
      <c r="LCH37" s="3"/>
      <c r="LCI37" s="3"/>
      <c r="LCJ37" s="3"/>
      <c r="LCK37" s="3"/>
      <c r="LCL37" s="3"/>
      <c r="LCM37" s="3"/>
      <c r="LCN37" s="3"/>
      <c r="LCO37" s="3"/>
      <c r="LCP37" s="3"/>
      <c r="LCQ37" s="3"/>
      <c r="LCR37" s="3"/>
      <c r="LCS37" s="3"/>
      <c r="LCT37" s="3"/>
      <c r="LCU37" s="3"/>
      <c r="LCV37" s="3"/>
      <c r="LCW37" s="3"/>
      <c r="LCX37" s="3"/>
      <c r="LCY37" s="3"/>
      <c r="LCZ37" s="3"/>
      <c r="LDA37" s="3"/>
      <c r="LDB37" s="3"/>
      <c r="LDC37" s="3"/>
      <c r="LDD37" s="3"/>
      <c r="LDE37" s="3"/>
      <c r="LDF37" s="3"/>
      <c r="LDG37" s="3"/>
      <c r="LDH37" s="3"/>
      <c r="LDI37" s="3"/>
      <c r="LDJ37" s="3"/>
      <c r="LDK37" s="3"/>
      <c r="LDL37" s="3"/>
      <c r="LDM37" s="3"/>
      <c r="LDN37" s="3"/>
      <c r="LDO37" s="3"/>
      <c r="LDP37" s="3"/>
      <c r="LDQ37" s="3"/>
      <c r="LDR37" s="3"/>
      <c r="LDS37" s="3"/>
      <c r="LDT37" s="3"/>
      <c r="LDU37" s="3"/>
      <c r="LDV37" s="3"/>
      <c r="LDW37" s="3"/>
      <c r="LDX37" s="3"/>
      <c r="LDY37" s="3"/>
      <c r="LDZ37" s="3"/>
      <c r="LEA37" s="3"/>
      <c r="LEB37" s="3"/>
      <c r="LEC37" s="3"/>
      <c r="LED37" s="3"/>
      <c r="LEE37" s="3"/>
      <c r="LEF37" s="3"/>
      <c r="LEG37" s="3"/>
      <c r="LEH37" s="3"/>
      <c r="LEI37" s="3"/>
      <c r="LEJ37" s="3"/>
      <c r="LEK37" s="3"/>
      <c r="LEL37" s="3"/>
      <c r="LEM37" s="3"/>
      <c r="LEN37" s="3"/>
      <c r="LEO37" s="3"/>
      <c r="LEP37" s="3"/>
      <c r="LEQ37" s="3"/>
      <c r="LER37" s="3"/>
      <c r="LES37" s="3"/>
      <c r="LET37" s="3"/>
      <c r="LEU37" s="3"/>
      <c r="LEV37" s="3"/>
      <c r="LEW37" s="3"/>
      <c r="LEX37" s="3"/>
      <c r="LEY37" s="3"/>
      <c r="LEZ37" s="3"/>
      <c r="LFA37" s="3"/>
      <c r="LFB37" s="3"/>
      <c r="LFC37" s="3"/>
      <c r="LFD37" s="3"/>
      <c r="LFE37" s="3"/>
      <c r="LFF37" s="3"/>
      <c r="LFG37" s="3"/>
      <c r="LFH37" s="3"/>
      <c r="LFI37" s="3"/>
      <c r="LFJ37" s="3"/>
      <c r="LFK37" s="3"/>
      <c r="LFL37" s="3"/>
      <c r="LFM37" s="3"/>
      <c r="LFN37" s="3"/>
      <c r="LFO37" s="3"/>
      <c r="LFP37" s="3"/>
      <c r="LFQ37" s="3"/>
      <c r="LFR37" s="3"/>
      <c r="LFS37" s="3"/>
      <c r="LFT37" s="3"/>
      <c r="LFU37" s="3"/>
      <c r="LFV37" s="3"/>
      <c r="LFW37" s="3"/>
      <c r="LFX37" s="3"/>
      <c r="LFY37" s="3"/>
      <c r="LFZ37" s="3"/>
      <c r="LGA37" s="3"/>
      <c r="LGB37" s="3"/>
      <c r="LGC37" s="3"/>
      <c r="LGD37" s="3"/>
      <c r="LGE37" s="3"/>
      <c r="LGF37" s="3"/>
      <c r="LGG37" s="3"/>
      <c r="LGH37" s="3"/>
      <c r="LGI37" s="3"/>
      <c r="LGJ37" s="3"/>
      <c r="LGK37" s="3"/>
      <c r="LGL37" s="3"/>
      <c r="LGM37" s="3"/>
      <c r="LGN37" s="3"/>
      <c r="LGO37" s="3"/>
      <c r="LGP37" s="3"/>
      <c r="LGQ37" s="3"/>
      <c r="LGR37" s="3"/>
      <c r="LGS37" s="3"/>
      <c r="LGT37" s="3"/>
      <c r="LGU37" s="3"/>
      <c r="LGV37" s="3"/>
      <c r="LGW37" s="3"/>
      <c r="LGX37" s="3"/>
      <c r="LGY37" s="3"/>
      <c r="LGZ37" s="3"/>
      <c r="LHA37" s="3"/>
      <c r="LHB37" s="3"/>
      <c r="LHC37" s="3"/>
      <c r="LHD37" s="3"/>
      <c r="LHE37" s="3"/>
      <c r="LHF37" s="3"/>
      <c r="LHG37" s="3"/>
      <c r="LHH37" s="3"/>
      <c r="LHI37" s="3"/>
      <c r="LHJ37" s="3"/>
      <c r="LHK37" s="3"/>
      <c r="LHL37" s="3"/>
      <c r="LHM37" s="3"/>
      <c r="LHN37" s="3"/>
      <c r="LHO37" s="3"/>
      <c r="LHP37" s="3"/>
      <c r="LHQ37" s="3"/>
      <c r="LHR37" s="3"/>
      <c r="LHS37" s="3"/>
      <c r="LHT37" s="3"/>
      <c r="LHU37" s="3"/>
      <c r="LHV37" s="3"/>
      <c r="LHW37" s="3"/>
      <c r="LHX37" s="3"/>
      <c r="LHY37" s="3"/>
      <c r="LHZ37" s="3"/>
      <c r="LIA37" s="3"/>
      <c r="LIB37" s="3"/>
      <c r="LIC37" s="3"/>
      <c r="LID37" s="3"/>
      <c r="LIE37" s="3"/>
      <c r="LIF37" s="3"/>
      <c r="LIG37" s="3"/>
      <c r="LIH37" s="3"/>
      <c r="LII37" s="3"/>
      <c r="LIJ37" s="3"/>
      <c r="LIK37" s="3"/>
      <c r="LIL37" s="3"/>
      <c r="LIM37" s="3"/>
      <c r="LIN37" s="3"/>
      <c r="LIO37" s="3"/>
      <c r="LIP37" s="3"/>
      <c r="LIQ37" s="3"/>
      <c r="LIR37" s="3"/>
      <c r="LIS37" s="3"/>
      <c r="LIT37" s="3"/>
      <c r="LIU37" s="3"/>
      <c r="LIV37" s="3"/>
      <c r="LIW37" s="3"/>
      <c r="LIX37" s="3"/>
      <c r="LIY37" s="3"/>
      <c r="LIZ37" s="3"/>
      <c r="LJA37" s="3"/>
      <c r="LJB37" s="3"/>
      <c r="LJC37" s="3"/>
      <c r="LJD37" s="3"/>
      <c r="LJE37" s="3"/>
      <c r="LJF37" s="3"/>
      <c r="LJG37" s="3"/>
      <c r="LJH37" s="3"/>
      <c r="LJI37" s="3"/>
      <c r="LJJ37" s="3"/>
      <c r="LJK37" s="3"/>
      <c r="LJL37" s="3"/>
      <c r="LJM37" s="3"/>
      <c r="LJN37" s="3"/>
      <c r="LJO37" s="3"/>
      <c r="LJP37" s="3"/>
      <c r="LJQ37" s="3"/>
      <c r="LJR37" s="3"/>
      <c r="LJS37" s="3"/>
      <c r="LJT37" s="3"/>
      <c r="LJU37" s="3"/>
      <c r="LJV37" s="3"/>
      <c r="LJW37" s="3"/>
      <c r="LJX37" s="3"/>
      <c r="LJY37" s="3"/>
      <c r="LJZ37" s="3"/>
      <c r="LKA37" s="3"/>
      <c r="LKB37" s="3"/>
      <c r="LKC37" s="3"/>
      <c r="LKD37" s="3"/>
      <c r="LKE37" s="3"/>
      <c r="LKF37" s="3"/>
      <c r="LKG37" s="3"/>
      <c r="LKH37" s="3"/>
      <c r="LKI37" s="3"/>
      <c r="LKJ37" s="3"/>
      <c r="LKK37" s="3"/>
      <c r="LKL37" s="3"/>
      <c r="LKM37" s="3"/>
      <c r="LKN37" s="3"/>
      <c r="LKO37" s="3"/>
      <c r="LKP37" s="3"/>
      <c r="LKQ37" s="3"/>
      <c r="LKR37" s="3"/>
      <c r="LKS37" s="3"/>
      <c r="LKT37" s="3"/>
      <c r="LKU37" s="3"/>
      <c r="LKV37" s="3"/>
      <c r="LKW37" s="3"/>
      <c r="LKX37" s="3"/>
      <c r="LKY37" s="3"/>
      <c r="LKZ37" s="3"/>
      <c r="LLA37" s="3"/>
      <c r="LLB37" s="3"/>
      <c r="LLC37" s="3"/>
      <c r="LLD37" s="3"/>
      <c r="LLE37" s="3"/>
      <c r="LLF37" s="3"/>
      <c r="LLG37" s="3"/>
      <c r="LLH37" s="3"/>
      <c r="LLI37" s="3"/>
      <c r="LLJ37" s="3"/>
      <c r="LLK37" s="3"/>
      <c r="LLL37" s="3"/>
      <c r="LLM37" s="3"/>
      <c r="LLN37" s="3"/>
      <c r="LLO37" s="3"/>
      <c r="LLP37" s="3"/>
      <c r="LLQ37" s="3"/>
      <c r="LLR37" s="3"/>
      <c r="LLS37" s="3"/>
      <c r="LLT37" s="3"/>
      <c r="LLU37" s="3"/>
      <c r="LLV37" s="3"/>
      <c r="LLW37" s="3"/>
      <c r="LLX37" s="3"/>
      <c r="LLY37" s="3"/>
      <c r="LLZ37" s="3"/>
      <c r="LMA37" s="3"/>
      <c r="LMB37" s="3"/>
      <c r="LMC37" s="3"/>
      <c r="LMD37" s="3"/>
      <c r="LME37" s="3"/>
      <c r="LMF37" s="3"/>
      <c r="LMG37" s="3"/>
      <c r="LMH37" s="3"/>
      <c r="LMI37" s="3"/>
      <c r="LMJ37" s="3"/>
      <c r="LMK37" s="3"/>
      <c r="LML37" s="3"/>
      <c r="LMM37" s="3"/>
      <c r="LMN37" s="3"/>
      <c r="LMO37" s="3"/>
      <c r="LMP37" s="3"/>
      <c r="LMQ37" s="3"/>
      <c r="LMR37" s="3"/>
      <c r="LMS37" s="3"/>
      <c r="LMT37" s="3"/>
      <c r="LMU37" s="3"/>
      <c r="LMV37" s="3"/>
      <c r="LMW37" s="3"/>
      <c r="LMX37" s="3"/>
      <c r="LMY37" s="3"/>
      <c r="LMZ37" s="3"/>
      <c r="LNA37" s="3"/>
      <c r="LNB37" s="3"/>
      <c r="LNC37" s="3"/>
      <c r="LND37" s="3"/>
      <c r="LNE37" s="3"/>
      <c r="LNF37" s="3"/>
      <c r="LNG37" s="3"/>
      <c r="LNH37" s="3"/>
      <c r="LNI37" s="3"/>
      <c r="LNJ37" s="3"/>
      <c r="LNK37" s="3"/>
      <c r="LNL37" s="3"/>
      <c r="LNM37" s="3"/>
      <c r="LNN37" s="3"/>
      <c r="LNO37" s="3"/>
      <c r="LNP37" s="3"/>
      <c r="LNQ37" s="3"/>
      <c r="LNR37" s="3"/>
      <c r="LNS37" s="3"/>
      <c r="LNT37" s="3"/>
      <c r="LNU37" s="3"/>
      <c r="LNV37" s="3"/>
      <c r="LNW37" s="3"/>
      <c r="LNX37" s="3"/>
      <c r="LNY37" s="3"/>
      <c r="LNZ37" s="3"/>
      <c r="LOA37" s="3"/>
      <c r="LOB37" s="3"/>
      <c r="LOC37" s="3"/>
      <c r="LOD37" s="3"/>
      <c r="LOE37" s="3"/>
      <c r="LOF37" s="3"/>
      <c r="LOG37" s="3"/>
      <c r="LOH37" s="3"/>
      <c r="LOI37" s="3"/>
      <c r="LOJ37" s="3"/>
      <c r="LOK37" s="3"/>
      <c r="LOL37" s="3"/>
      <c r="LOM37" s="3"/>
      <c r="LON37" s="3"/>
      <c r="LOO37" s="3"/>
      <c r="LOP37" s="3"/>
      <c r="LOQ37" s="3"/>
      <c r="LOR37" s="3"/>
      <c r="LOS37" s="3"/>
      <c r="LOT37" s="3"/>
      <c r="LOU37" s="3"/>
      <c r="LOV37" s="3"/>
      <c r="LOW37" s="3"/>
      <c r="LOX37" s="3"/>
      <c r="LOY37" s="3"/>
      <c r="LOZ37" s="3"/>
      <c r="LPA37" s="3"/>
      <c r="LPB37" s="3"/>
      <c r="LPC37" s="3"/>
      <c r="LPD37" s="3"/>
      <c r="LPE37" s="3"/>
      <c r="LPF37" s="3"/>
      <c r="LPG37" s="3"/>
      <c r="LPH37" s="3"/>
      <c r="LPI37" s="3"/>
      <c r="LPJ37" s="3"/>
      <c r="LPK37" s="3"/>
      <c r="LPL37" s="3"/>
      <c r="LPM37" s="3"/>
      <c r="LPN37" s="3"/>
      <c r="LPO37" s="3"/>
      <c r="LPP37" s="3"/>
      <c r="LPQ37" s="3"/>
      <c r="LPR37" s="3"/>
      <c r="LPS37" s="3"/>
      <c r="LPT37" s="3"/>
      <c r="LPU37" s="3"/>
      <c r="LPV37" s="3"/>
      <c r="LPW37" s="3"/>
      <c r="LPX37" s="3"/>
      <c r="LPY37" s="3"/>
      <c r="LPZ37" s="3"/>
      <c r="LQA37" s="3"/>
      <c r="LQB37" s="3"/>
      <c r="LQC37" s="3"/>
      <c r="LQD37" s="3"/>
      <c r="LQE37" s="3"/>
      <c r="LQF37" s="3"/>
      <c r="LQG37" s="3"/>
      <c r="LQH37" s="3"/>
      <c r="LQI37" s="3"/>
      <c r="LQJ37" s="3"/>
      <c r="LQK37" s="3"/>
      <c r="LQL37" s="3"/>
      <c r="LQM37" s="3"/>
      <c r="LQN37" s="3"/>
      <c r="LQO37" s="3"/>
      <c r="LQP37" s="3"/>
      <c r="LQQ37" s="3"/>
      <c r="LQR37" s="3"/>
      <c r="LQS37" s="3"/>
      <c r="LQT37" s="3"/>
      <c r="LQU37" s="3"/>
      <c r="LQV37" s="3"/>
      <c r="LQW37" s="3"/>
      <c r="LQX37" s="3"/>
      <c r="LQY37" s="3"/>
      <c r="LQZ37" s="3"/>
      <c r="LRA37" s="3"/>
      <c r="LRB37" s="3"/>
      <c r="LRC37" s="3"/>
      <c r="LRD37" s="3"/>
      <c r="LRE37" s="3"/>
      <c r="LRF37" s="3"/>
      <c r="LRG37" s="3"/>
      <c r="LRH37" s="3"/>
      <c r="LRI37" s="3"/>
      <c r="LRJ37" s="3"/>
      <c r="LRK37" s="3"/>
      <c r="LRL37" s="3"/>
      <c r="LRM37" s="3"/>
      <c r="LRN37" s="3"/>
      <c r="LRO37" s="3"/>
      <c r="LRP37" s="3"/>
      <c r="LRQ37" s="3"/>
      <c r="LRR37" s="3"/>
      <c r="LRS37" s="3"/>
      <c r="LRT37" s="3"/>
      <c r="LRU37" s="3"/>
      <c r="LRV37" s="3"/>
      <c r="LRW37" s="3"/>
      <c r="LRX37" s="3"/>
      <c r="LRY37" s="3"/>
      <c r="LRZ37" s="3"/>
      <c r="LSA37" s="3"/>
      <c r="LSB37" s="3"/>
      <c r="LSC37" s="3"/>
      <c r="LSD37" s="3"/>
      <c r="LSE37" s="3"/>
      <c r="LSF37" s="3"/>
      <c r="LSG37" s="3"/>
      <c r="LSH37" s="3"/>
      <c r="LSI37" s="3"/>
      <c r="LSJ37" s="3"/>
      <c r="LSK37" s="3"/>
      <c r="LSL37" s="3"/>
      <c r="LSM37" s="3"/>
      <c r="LSN37" s="3"/>
      <c r="LSO37" s="3"/>
      <c r="LSP37" s="3"/>
      <c r="LSQ37" s="3"/>
      <c r="LSR37" s="3"/>
      <c r="LSS37" s="3"/>
      <c r="LST37" s="3"/>
      <c r="LSU37" s="3"/>
      <c r="LSV37" s="3"/>
      <c r="LSW37" s="3"/>
      <c r="LSX37" s="3"/>
      <c r="LSY37" s="3"/>
      <c r="LSZ37" s="3"/>
      <c r="LTA37" s="3"/>
      <c r="LTB37" s="3"/>
      <c r="LTC37" s="3"/>
      <c r="LTD37" s="3"/>
      <c r="LTE37" s="3"/>
      <c r="LTF37" s="3"/>
      <c r="LTG37" s="3"/>
      <c r="LTH37" s="3"/>
      <c r="LTI37" s="3"/>
      <c r="LTJ37" s="3"/>
      <c r="LTK37" s="3"/>
      <c r="LTL37" s="3"/>
      <c r="LTM37" s="3"/>
      <c r="LTN37" s="3"/>
      <c r="LTO37" s="3"/>
      <c r="LTP37" s="3"/>
      <c r="LTQ37" s="3"/>
      <c r="LTR37" s="3"/>
      <c r="LTS37" s="3"/>
      <c r="LTT37" s="3"/>
      <c r="LTU37" s="3"/>
      <c r="LTV37" s="3"/>
      <c r="LTW37" s="3"/>
      <c r="LTX37" s="3"/>
      <c r="LTY37" s="3"/>
      <c r="LTZ37" s="3"/>
      <c r="LUA37" s="3"/>
      <c r="LUB37" s="3"/>
      <c r="LUC37" s="3"/>
      <c r="LUD37" s="3"/>
      <c r="LUE37" s="3"/>
      <c r="LUF37" s="3"/>
      <c r="LUG37" s="3"/>
      <c r="LUH37" s="3"/>
      <c r="LUI37" s="3"/>
      <c r="LUJ37" s="3"/>
      <c r="LUK37" s="3"/>
      <c r="LUL37" s="3"/>
      <c r="LUM37" s="3"/>
      <c r="LUN37" s="3"/>
      <c r="LUO37" s="3"/>
      <c r="LUP37" s="3"/>
      <c r="LUQ37" s="3"/>
      <c r="LUR37" s="3"/>
      <c r="LUS37" s="3"/>
      <c r="LUT37" s="3"/>
      <c r="LUU37" s="3"/>
      <c r="LUV37" s="3"/>
      <c r="LUW37" s="3"/>
      <c r="LUX37" s="3"/>
      <c r="LUY37" s="3"/>
      <c r="LUZ37" s="3"/>
      <c r="LVA37" s="3"/>
      <c r="LVB37" s="3"/>
      <c r="LVC37" s="3"/>
      <c r="LVD37" s="3"/>
      <c r="LVE37" s="3"/>
      <c r="LVF37" s="3"/>
      <c r="LVG37" s="3"/>
      <c r="LVH37" s="3"/>
      <c r="LVI37" s="3"/>
      <c r="LVJ37" s="3"/>
      <c r="LVK37" s="3"/>
      <c r="LVL37" s="3"/>
      <c r="LVM37" s="3"/>
      <c r="LVN37" s="3"/>
      <c r="LVO37" s="3"/>
      <c r="LVP37" s="3"/>
      <c r="LVQ37" s="3"/>
      <c r="LVR37" s="3"/>
      <c r="LVS37" s="3"/>
      <c r="LVT37" s="3"/>
      <c r="LVU37" s="3"/>
      <c r="LVV37" s="3"/>
      <c r="LVW37" s="3"/>
      <c r="LVX37" s="3"/>
      <c r="LVY37" s="3"/>
      <c r="LVZ37" s="3"/>
      <c r="LWA37" s="3"/>
      <c r="LWB37" s="3"/>
      <c r="LWC37" s="3"/>
      <c r="LWD37" s="3"/>
      <c r="LWE37" s="3"/>
      <c r="LWF37" s="3"/>
      <c r="LWG37" s="3"/>
      <c r="LWH37" s="3"/>
      <c r="LWI37" s="3"/>
      <c r="LWJ37" s="3"/>
      <c r="LWK37" s="3"/>
      <c r="LWL37" s="3"/>
      <c r="LWM37" s="3"/>
      <c r="LWN37" s="3"/>
      <c r="LWO37" s="3"/>
      <c r="LWP37" s="3"/>
      <c r="LWQ37" s="3"/>
      <c r="LWR37" s="3"/>
      <c r="LWS37" s="3"/>
      <c r="LWT37" s="3"/>
      <c r="LWU37" s="3"/>
      <c r="LWV37" s="3"/>
      <c r="LWW37" s="3"/>
      <c r="LWX37" s="3"/>
      <c r="LWY37" s="3"/>
      <c r="LWZ37" s="3"/>
      <c r="LXA37" s="3"/>
      <c r="LXB37" s="3"/>
      <c r="LXC37" s="3"/>
      <c r="LXD37" s="3"/>
      <c r="LXE37" s="3"/>
      <c r="LXF37" s="3"/>
      <c r="LXG37" s="3"/>
      <c r="LXH37" s="3"/>
      <c r="LXI37" s="3"/>
      <c r="LXJ37" s="3"/>
      <c r="LXK37" s="3"/>
      <c r="LXL37" s="3"/>
      <c r="LXM37" s="3"/>
      <c r="LXN37" s="3"/>
      <c r="LXO37" s="3"/>
      <c r="LXP37" s="3"/>
      <c r="LXQ37" s="3"/>
      <c r="LXR37" s="3"/>
      <c r="LXS37" s="3"/>
      <c r="LXT37" s="3"/>
      <c r="LXU37" s="3"/>
      <c r="LXV37" s="3"/>
      <c r="LXW37" s="3"/>
      <c r="LXX37" s="3"/>
      <c r="LXY37" s="3"/>
      <c r="LXZ37" s="3"/>
      <c r="LYA37" s="3"/>
      <c r="LYB37" s="3"/>
      <c r="LYC37" s="3"/>
      <c r="LYD37" s="3"/>
      <c r="LYE37" s="3"/>
      <c r="LYF37" s="3"/>
      <c r="LYG37" s="3"/>
      <c r="LYH37" s="3"/>
      <c r="LYI37" s="3"/>
      <c r="LYJ37" s="3"/>
      <c r="LYK37" s="3"/>
      <c r="LYL37" s="3"/>
      <c r="LYM37" s="3"/>
      <c r="LYN37" s="3"/>
      <c r="LYO37" s="3"/>
      <c r="LYP37" s="3"/>
      <c r="LYQ37" s="3"/>
      <c r="LYR37" s="3"/>
      <c r="LYS37" s="3"/>
      <c r="LYT37" s="3"/>
      <c r="LYU37" s="3"/>
      <c r="LYV37" s="3"/>
      <c r="LYW37" s="3"/>
      <c r="LYX37" s="3"/>
      <c r="LYY37" s="3"/>
      <c r="LYZ37" s="3"/>
      <c r="LZA37" s="3"/>
      <c r="LZB37" s="3"/>
      <c r="LZC37" s="3"/>
      <c r="LZD37" s="3"/>
      <c r="LZE37" s="3"/>
      <c r="LZF37" s="3"/>
      <c r="LZG37" s="3"/>
      <c r="LZH37" s="3"/>
      <c r="LZI37" s="3"/>
      <c r="LZJ37" s="3"/>
      <c r="LZK37" s="3"/>
      <c r="LZL37" s="3"/>
      <c r="LZM37" s="3"/>
      <c r="LZN37" s="3"/>
      <c r="LZO37" s="3"/>
      <c r="LZP37" s="3"/>
      <c r="LZQ37" s="3"/>
      <c r="LZR37" s="3"/>
      <c r="LZS37" s="3"/>
      <c r="LZT37" s="3"/>
      <c r="LZU37" s="3"/>
      <c r="LZV37" s="3"/>
      <c r="LZW37" s="3"/>
      <c r="LZX37" s="3"/>
      <c r="LZY37" s="3"/>
      <c r="LZZ37" s="3"/>
      <c r="MAA37" s="3"/>
      <c r="MAB37" s="3"/>
      <c r="MAC37" s="3"/>
      <c r="MAD37" s="3"/>
      <c r="MAE37" s="3"/>
      <c r="MAF37" s="3"/>
      <c r="MAG37" s="3"/>
      <c r="MAH37" s="3"/>
      <c r="MAI37" s="3"/>
      <c r="MAJ37" s="3"/>
      <c r="MAK37" s="3"/>
      <c r="MAL37" s="3"/>
      <c r="MAM37" s="3"/>
      <c r="MAN37" s="3"/>
      <c r="MAO37" s="3"/>
      <c r="MAP37" s="3"/>
      <c r="MAQ37" s="3"/>
      <c r="MAR37" s="3"/>
      <c r="MAS37" s="3"/>
      <c r="MAT37" s="3"/>
      <c r="MAU37" s="3"/>
      <c r="MAV37" s="3"/>
      <c r="MAW37" s="3"/>
      <c r="MAX37" s="3"/>
      <c r="MAY37" s="3"/>
      <c r="MAZ37" s="3"/>
      <c r="MBA37" s="3"/>
      <c r="MBB37" s="3"/>
      <c r="MBC37" s="3"/>
      <c r="MBD37" s="3"/>
      <c r="MBE37" s="3"/>
      <c r="MBF37" s="3"/>
      <c r="MBG37" s="3"/>
      <c r="MBH37" s="3"/>
      <c r="MBI37" s="3"/>
      <c r="MBJ37" s="3"/>
      <c r="MBK37" s="3"/>
      <c r="MBL37" s="3"/>
      <c r="MBM37" s="3"/>
      <c r="MBN37" s="3"/>
      <c r="MBO37" s="3"/>
      <c r="MBP37" s="3"/>
      <c r="MBQ37" s="3"/>
      <c r="MBR37" s="3"/>
      <c r="MBS37" s="3"/>
      <c r="MBT37" s="3"/>
      <c r="MBU37" s="3"/>
      <c r="MBV37" s="3"/>
      <c r="MBW37" s="3"/>
      <c r="MBX37" s="3"/>
      <c r="MBY37" s="3"/>
      <c r="MBZ37" s="3"/>
      <c r="MCA37" s="3"/>
      <c r="MCB37" s="3"/>
      <c r="MCC37" s="3"/>
      <c r="MCD37" s="3"/>
      <c r="MCE37" s="3"/>
      <c r="MCF37" s="3"/>
      <c r="MCG37" s="3"/>
      <c r="MCH37" s="3"/>
      <c r="MCI37" s="3"/>
      <c r="MCJ37" s="3"/>
      <c r="MCK37" s="3"/>
      <c r="MCL37" s="3"/>
      <c r="MCM37" s="3"/>
      <c r="MCN37" s="3"/>
      <c r="MCO37" s="3"/>
      <c r="MCP37" s="3"/>
      <c r="MCQ37" s="3"/>
      <c r="MCR37" s="3"/>
      <c r="MCS37" s="3"/>
      <c r="MCT37" s="3"/>
      <c r="MCU37" s="3"/>
      <c r="MCV37" s="3"/>
      <c r="MCW37" s="3"/>
      <c r="MCX37" s="3"/>
      <c r="MCY37" s="3"/>
      <c r="MCZ37" s="3"/>
      <c r="MDA37" s="3"/>
      <c r="MDB37" s="3"/>
      <c r="MDC37" s="3"/>
      <c r="MDD37" s="3"/>
      <c r="MDE37" s="3"/>
      <c r="MDF37" s="3"/>
      <c r="MDG37" s="3"/>
      <c r="MDH37" s="3"/>
      <c r="MDI37" s="3"/>
      <c r="MDJ37" s="3"/>
      <c r="MDK37" s="3"/>
      <c r="MDL37" s="3"/>
      <c r="MDM37" s="3"/>
      <c r="MDN37" s="3"/>
      <c r="MDO37" s="3"/>
      <c r="MDP37" s="3"/>
      <c r="MDQ37" s="3"/>
      <c r="MDR37" s="3"/>
      <c r="MDS37" s="3"/>
      <c r="MDT37" s="3"/>
      <c r="MDU37" s="3"/>
      <c r="MDV37" s="3"/>
      <c r="MDW37" s="3"/>
      <c r="MDX37" s="3"/>
      <c r="MDY37" s="3"/>
      <c r="MDZ37" s="3"/>
      <c r="MEA37" s="3"/>
      <c r="MEB37" s="3"/>
      <c r="MEC37" s="3"/>
      <c r="MED37" s="3"/>
      <c r="MEE37" s="3"/>
      <c r="MEF37" s="3"/>
      <c r="MEG37" s="3"/>
      <c r="MEH37" s="3"/>
      <c r="MEI37" s="3"/>
      <c r="MEJ37" s="3"/>
      <c r="MEK37" s="3"/>
      <c r="MEL37" s="3"/>
      <c r="MEM37" s="3"/>
      <c r="MEN37" s="3"/>
      <c r="MEO37" s="3"/>
      <c r="MEP37" s="3"/>
      <c r="MEQ37" s="3"/>
      <c r="MER37" s="3"/>
      <c r="MES37" s="3"/>
      <c r="MET37" s="3"/>
      <c r="MEU37" s="3"/>
      <c r="MEV37" s="3"/>
      <c r="MEW37" s="3"/>
      <c r="MEX37" s="3"/>
      <c r="MEY37" s="3"/>
      <c r="MEZ37" s="3"/>
      <c r="MFA37" s="3"/>
      <c r="MFB37" s="3"/>
      <c r="MFC37" s="3"/>
      <c r="MFD37" s="3"/>
      <c r="MFE37" s="3"/>
      <c r="MFF37" s="3"/>
      <c r="MFG37" s="3"/>
      <c r="MFH37" s="3"/>
      <c r="MFI37" s="3"/>
      <c r="MFJ37" s="3"/>
      <c r="MFK37" s="3"/>
      <c r="MFL37" s="3"/>
      <c r="MFM37" s="3"/>
      <c r="MFN37" s="3"/>
      <c r="MFO37" s="3"/>
      <c r="MFP37" s="3"/>
      <c r="MFQ37" s="3"/>
      <c r="MFR37" s="3"/>
      <c r="MFS37" s="3"/>
      <c r="MFT37" s="3"/>
      <c r="MFU37" s="3"/>
      <c r="MFV37" s="3"/>
      <c r="MFW37" s="3"/>
      <c r="MFX37" s="3"/>
      <c r="MFY37" s="3"/>
      <c r="MFZ37" s="3"/>
      <c r="MGA37" s="3"/>
      <c r="MGB37" s="3"/>
      <c r="MGC37" s="3"/>
      <c r="MGD37" s="3"/>
      <c r="MGE37" s="3"/>
      <c r="MGF37" s="3"/>
      <c r="MGG37" s="3"/>
      <c r="MGH37" s="3"/>
      <c r="MGI37" s="3"/>
      <c r="MGJ37" s="3"/>
      <c r="MGK37" s="3"/>
      <c r="MGL37" s="3"/>
      <c r="MGM37" s="3"/>
      <c r="MGN37" s="3"/>
      <c r="MGO37" s="3"/>
      <c r="MGP37" s="3"/>
      <c r="MGQ37" s="3"/>
      <c r="MGR37" s="3"/>
      <c r="MGS37" s="3"/>
      <c r="MGT37" s="3"/>
      <c r="MGU37" s="3"/>
      <c r="MGV37" s="3"/>
      <c r="MGW37" s="3"/>
      <c r="MGX37" s="3"/>
      <c r="MGY37" s="3"/>
      <c r="MGZ37" s="3"/>
      <c r="MHA37" s="3"/>
      <c r="MHB37" s="3"/>
      <c r="MHC37" s="3"/>
      <c r="MHD37" s="3"/>
      <c r="MHE37" s="3"/>
      <c r="MHF37" s="3"/>
      <c r="MHG37" s="3"/>
      <c r="MHH37" s="3"/>
      <c r="MHI37" s="3"/>
      <c r="MHJ37" s="3"/>
      <c r="MHK37" s="3"/>
      <c r="MHL37" s="3"/>
      <c r="MHM37" s="3"/>
      <c r="MHN37" s="3"/>
      <c r="MHO37" s="3"/>
      <c r="MHP37" s="3"/>
      <c r="MHQ37" s="3"/>
      <c r="MHR37" s="3"/>
      <c r="MHS37" s="3"/>
      <c r="MHT37" s="3"/>
      <c r="MHU37" s="3"/>
      <c r="MHV37" s="3"/>
      <c r="MHW37" s="3"/>
      <c r="MHX37" s="3"/>
      <c r="MHY37" s="3"/>
      <c r="MHZ37" s="3"/>
      <c r="MIA37" s="3"/>
      <c r="MIB37" s="3"/>
      <c r="MIC37" s="3"/>
      <c r="MID37" s="3"/>
      <c r="MIE37" s="3"/>
      <c r="MIF37" s="3"/>
      <c r="MIG37" s="3"/>
      <c r="MIH37" s="3"/>
      <c r="MII37" s="3"/>
      <c r="MIJ37" s="3"/>
      <c r="MIK37" s="3"/>
      <c r="MIL37" s="3"/>
      <c r="MIM37" s="3"/>
      <c r="MIN37" s="3"/>
      <c r="MIO37" s="3"/>
      <c r="MIP37" s="3"/>
      <c r="MIQ37" s="3"/>
      <c r="MIR37" s="3"/>
      <c r="MIS37" s="3"/>
      <c r="MIT37" s="3"/>
      <c r="MIU37" s="3"/>
      <c r="MIV37" s="3"/>
      <c r="MIW37" s="3"/>
      <c r="MIX37" s="3"/>
      <c r="MIY37" s="3"/>
      <c r="MIZ37" s="3"/>
      <c r="MJA37" s="3"/>
      <c r="MJB37" s="3"/>
      <c r="MJC37" s="3"/>
      <c r="MJD37" s="3"/>
      <c r="MJE37" s="3"/>
      <c r="MJF37" s="3"/>
      <c r="MJG37" s="3"/>
      <c r="MJH37" s="3"/>
      <c r="MJI37" s="3"/>
      <c r="MJJ37" s="3"/>
      <c r="MJK37" s="3"/>
      <c r="MJL37" s="3"/>
      <c r="MJM37" s="3"/>
      <c r="MJN37" s="3"/>
      <c r="MJO37" s="3"/>
      <c r="MJP37" s="3"/>
      <c r="MJQ37" s="3"/>
      <c r="MJR37" s="3"/>
      <c r="MJS37" s="3"/>
      <c r="MJT37" s="3"/>
      <c r="MJU37" s="3"/>
      <c r="MJV37" s="3"/>
      <c r="MJW37" s="3"/>
      <c r="MJX37" s="3"/>
      <c r="MJY37" s="3"/>
      <c r="MJZ37" s="3"/>
      <c r="MKA37" s="3"/>
      <c r="MKB37" s="3"/>
      <c r="MKC37" s="3"/>
      <c r="MKD37" s="3"/>
      <c r="MKE37" s="3"/>
      <c r="MKF37" s="3"/>
      <c r="MKG37" s="3"/>
      <c r="MKH37" s="3"/>
      <c r="MKI37" s="3"/>
      <c r="MKJ37" s="3"/>
      <c r="MKK37" s="3"/>
      <c r="MKL37" s="3"/>
      <c r="MKM37" s="3"/>
      <c r="MKN37" s="3"/>
      <c r="MKO37" s="3"/>
      <c r="MKP37" s="3"/>
      <c r="MKQ37" s="3"/>
      <c r="MKR37" s="3"/>
      <c r="MKS37" s="3"/>
      <c r="MKT37" s="3"/>
      <c r="MKU37" s="3"/>
      <c r="MKV37" s="3"/>
      <c r="MKW37" s="3"/>
      <c r="MKX37" s="3"/>
      <c r="MKY37" s="3"/>
      <c r="MKZ37" s="3"/>
      <c r="MLA37" s="3"/>
      <c r="MLB37" s="3"/>
      <c r="MLC37" s="3"/>
      <c r="MLD37" s="3"/>
      <c r="MLE37" s="3"/>
      <c r="MLF37" s="3"/>
      <c r="MLG37" s="3"/>
      <c r="MLH37" s="3"/>
      <c r="MLI37" s="3"/>
      <c r="MLJ37" s="3"/>
      <c r="MLK37" s="3"/>
      <c r="MLL37" s="3"/>
      <c r="MLM37" s="3"/>
      <c r="MLN37" s="3"/>
      <c r="MLO37" s="3"/>
      <c r="MLP37" s="3"/>
      <c r="MLQ37" s="3"/>
      <c r="MLR37" s="3"/>
      <c r="MLS37" s="3"/>
      <c r="MLT37" s="3"/>
      <c r="MLU37" s="3"/>
      <c r="MLV37" s="3"/>
      <c r="MLW37" s="3"/>
      <c r="MLX37" s="3"/>
      <c r="MLY37" s="3"/>
      <c r="MLZ37" s="3"/>
      <c r="MMA37" s="3"/>
      <c r="MMB37" s="3"/>
      <c r="MMC37" s="3"/>
      <c r="MMD37" s="3"/>
      <c r="MME37" s="3"/>
      <c r="MMF37" s="3"/>
      <c r="MMG37" s="3"/>
      <c r="MMH37" s="3"/>
      <c r="MMI37" s="3"/>
      <c r="MMJ37" s="3"/>
      <c r="MMK37" s="3"/>
      <c r="MML37" s="3"/>
      <c r="MMM37" s="3"/>
      <c r="MMN37" s="3"/>
      <c r="MMO37" s="3"/>
      <c r="MMP37" s="3"/>
      <c r="MMQ37" s="3"/>
      <c r="MMR37" s="3"/>
      <c r="MMS37" s="3"/>
      <c r="MMT37" s="3"/>
      <c r="MMU37" s="3"/>
      <c r="MMV37" s="3"/>
      <c r="MMW37" s="3"/>
      <c r="MMX37" s="3"/>
      <c r="MMY37" s="3"/>
      <c r="MMZ37" s="3"/>
      <c r="MNA37" s="3"/>
      <c r="MNB37" s="3"/>
      <c r="MNC37" s="3"/>
      <c r="MND37" s="3"/>
      <c r="MNE37" s="3"/>
      <c r="MNF37" s="3"/>
      <c r="MNG37" s="3"/>
      <c r="MNH37" s="3"/>
      <c r="MNI37" s="3"/>
      <c r="MNJ37" s="3"/>
      <c r="MNK37" s="3"/>
      <c r="MNL37" s="3"/>
      <c r="MNM37" s="3"/>
      <c r="MNN37" s="3"/>
      <c r="MNO37" s="3"/>
      <c r="MNP37" s="3"/>
      <c r="MNQ37" s="3"/>
      <c r="MNR37" s="3"/>
      <c r="MNS37" s="3"/>
      <c r="MNT37" s="3"/>
      <c r="MNU37" s="3"/>
      <c r="MNV37" s="3"/>
      <c r="MNW37" s="3"/>
      <c r="MNX37" s="3"/>
      <c r="MNY37" s="3"/>
      <c r="MNZ37" s="3"/>
      <c r="MOA37" s="3"/>
      <c r="MOB37" s="3"/>
      <c r="MOC37" s="3"/>
      <c r="MOD37" s="3"/>
      <c r="MOE37" s="3"/>
      <c r="MOF37" s="3"/>
      <c r="MOG37" s="3"/>
      <c r="MOH37" s="3"/>
      <c r="MOI37" s="3"/>
      <c r="MOJ37" s="3"/>
      <c r="MOK37" s="3"/>
      <c r="MOL37" s="3"/>
      <c r="MOM37" s="3"/>
      <c r="MON37" s="3"/>
      <c r="MOO37" s="3"/>
      <c r="MOP37" s="3"/>
      <c r="MOQ37" s="3"/>
      <c r="MOR37" s="3"/>
      <c r="MOS37" s="3"/>
      <c r="MOT37" s="3"/>
      <c r="MOU37" s="3"/>
      <c r="MOV37" s="3"/>
      <c r="MOW37" s="3"/>
      <c r="MOX37" s="3"/>
      <c r="MOY37" s="3"/>
      <c r="MOZ37" s="3"/>
      <c r="MPA37" s="3"/>
      <c r="MPB37" s="3"/>
      <c r="MPC37" s="3"/>
      <c r="MPD37" s="3"/>
      <c r="MPE37" s="3"/>
      <c r="MPF37" s="3"/>
      <c r="MPG37" s="3"/>
      <c r="MPH37" s="3"/>
      <c r="MPI37" s="3"/>
      <c r="MPJ37" s="3"/>
      <c r="MPK37" s="3"/>
      <c r="MPL37" s="3"/>
      <c r="MPM37" s="3"/>
      <c r="MPN37" s="3"/>
      <c r="MPO37" s="3"/>
      <c r="MPP37" s="3"/>
      <c r="MPQ37" s="3"/>
      <c r="MPR37" s="3"/>
      <c r="MPS37" s="3"/>
      <c r="MPT37" s="3"/>
      <c r="MPU37" s="3"/>
      <c r="MPV37" s="3"/>
      <c r="MPW37" s="3"/>
      <c r="MPX37" s="3"/>
      <c r="MPY37" s="3"/>
      <c r="MPZ37" s="3"/>
      <c r="MQA37" s="3"/>
      <c r="MQB37" s="3"/>
      <c r="MQC37" s="3"/>
      <c r="MQD37" s="3"/>
      <c r="MQE37" s="3"/>
      <c r="MQF37" s="3"/>
      <c r="MQG37" s="3"/>
      <c r="MQH37" s="3"/>
      <c r="MQI37" s="3"/>
      <c r="MQJ37" s="3"/>
      <c r="MQK37" s="3"/>
      <c r="MQL37" s="3"/>
      <c r="MQM37" s="3"/>
      <c r="MQN37" s="3"/>
      <c r="MQO37" s="3"/>
      <c r="MQP37" s="3"/>
      <c r="MQQ37" s="3"/>
      <c r="MQR37" s="3"/>
      <c r="MQS37" s="3"/>
      <c r="MQT37" s="3"/>
      <c r="MQU37" s="3"/>
      <c r="MQV37" s="3"/>
      <c r="MQW37" s="3"/>
      <c r="MQX37" s="3"/>
      <c r="MQY37" s="3"/>
      <c r="MQZ37" s="3"/>
      <c r="MRA37" s="3"/>
      <c r="MRB37" s="3"/>
      <c r="MRC37" s="3"/>
      <c r="MRD37" s="3"/>
      <c r="MRE37" s="3"/>
      <c r="MRF37" s="3"/>
      <c r="MRG37" s="3"/>
      <c r="MRH37" s="3"/>
      <c r="MRI37" s="3"/>
      <c r="MRJ37" s="3"/>
      <c r="MRK37" s="3"/>
      <c r="MRL37" s="3"/>
      <c r="MRM37" s="3"/>
      <c r="MRN37" s="3"/>
      <c r="MRO37" s="3"/>
      <c r="MRP37" s="3"/>
      <c r="MRQ37" s="3"/>
      <c r="MRR37" s="3"/>
      <c r="MRS37" s="3"/>
      <c r="MRT37" s="3"/>
      <c r="MRU37" s="3"/>
      <c r="MRV37" s="3"/>
      <c r="MRW37" s="3"/>
      <c r="MRX37" s="3"/>
      <c r="MRY37" s="3"/>
      <c r="MRZ37" s="3"/>
      <c r="MSA37" s="3"/>
      <c r="MSB37" s="3"/>
      <c r="MSC37" s="3"/>
      <c r="MSD37" s="3"/>
      <c r="MSE37" s="3"/>
      <c r="MSF37" s="3"/>
      <c r="MSG37" s="3"/>
      <c r="MSH37" s="3"/>
      <c r="MSI37" s="3"/>
      <c r="MSJ37" s="3"/>
      <c r="MSK37" s="3"/>
      <c r="MSL37" s="3"/>
      <c r="MSM37" s="3"/>
      <c r="MSN37" s="3"/>
      <c r="MSO37" s="3"/>
      <c r="MSP37" s="3"/>
      <c r="MSQ37" s="3"/>
      <c r="MSR37" s="3"/>
      <c r="MSS37" s="3"/>
      <c r="MST37" s="3"/>
      <c r="MSU37" s="3"/>
      <c r="MSV37" s="3"/>
      <c r="MSW37" s="3"/>
      <c r="MSX37" s="3"/>
      <c r="MSY37" s="3"/>
      <c r="MSZ37" s="3"/>
      <c r="MTA37" s="3"/>
      <c r="MTB37" s="3"/>
      <c r="MTC37" s="3"/>
      <c r="MTD37" s="3"/>
      <c r="MTE37" s="3"/>
      <c r="MTF37" s="3"/>
      <c r="MTG37" s="3"/>
      <c r="MTH37" s="3"/>
      <c r="MTI37" s="3"/>
      <c r="MTJ37" s="3"/>
      <c r="MTK37" s="3"/>
      <c r="MTL37" s="3"/>
      <c r="MTM37" s="3"/>
      <c r="MTN37" s="3"/>
      <c r="MTO37" s="3"/>
      <c r="MTP37" s="3"/>
      <c r="MTQ37" s="3"/>
      <c r="MTR37" s="3"/>
      <c r="MTS37" s="3"/>
      <c r="MTT37" s="3"/>
      <c r="MTU37" s="3"/>
      <c r="MTV37" s="3"/>
      <c r="MTW37" s="3"/>
      <c r="MTX37" s="3"/>
      <c r="MTY37" s="3"/>
      <c r="MTZ37" s="3"/>
      <c r="MUA37" s="3"/>
      <c r="MUB37" s="3"/>
      <c r="MUC37" s="3"/>
      <c r="MUD37" s="3"/>
      <c r="MUE37" s="3"/>
      <c r="MUF37" s="3"/>
      <c r="MUG37" s="3"/>
      <c r="MUH37" s="3"/>
      <c r="MUI37" s="3"/>
      <c r="MUJ37" s="3"/>
      <c r="MUK37" s="3"/>
      <c r="MUL37" s="3"/>
      <c r="MUM37" s="3"/>
      <c r="MUN37" s="3"/>
      <c r="MUO37" s="3"/>
      <c r="MUP37" s="3"/>
      <c r="MUQ37" s="3"/>
      <c r="MUR37" s="3"/>
      <c r="MUS37" s="3"/>
      <c r="MUT37" s="3"/>
      <c r="MUU37" s="3"/>
      <c r="MUV37" s="3"/>
      <c r="MUW37" s="3"/>
      <c r="MUX37" s="3"/>
      <c r="MUY37" s="3"/>
      <c r="MUZ37" s="3"/>
      <c r="MVA37" s="3"/>
      <c r="MVB37" s="3"/>
      <c r="MVC37" s="3"/>
      <c r="MVD37" s="3"/>
      <c r="MVE37" s="3"/>
      <c r="MVF37" s="3"/>
      <c r="MVG37" s="3"/>
      <c r="MVH37" s="3"/>
      <c r="MVI37" s="3"/>
      <c r="MVJ37" s="3"/>
      <c r="MVK37" s="3"/>
      <c r="MVL37" s="3"/>
      <c r="MVM37" s="3"/>
      <c r="MVN37" s="3"/>
      <c r="MVO37" s="3"/>
      <c r="MVP37" s="3"/>
      <c r="MVQ37" s="3"/>
      <c r="MVR37" s="3"/>
      <c r="MVS37" s="3"/>
      <c r="MVT37" s="3"/>
      <c r="MVU37" s="3"/>
      <c r="MVV37" s="3"/>
      <c r="MVW37" s="3"/>
      <c r="MVX37" s="3"/>
      <c r="MVY37" s="3"/>
      <c r="MVZ37" s="3"/>
      <c r="MWA37" s="3"/>
      <c r="MWB37" s="3"/>
      <c r="MWC37" s="3"/>
      <c r="MWD37" s="3"/>
      <c r="MWE37" s="3"/>
      <c r="MWF37" s="3"/>
      <c r="MWG37" s="3"/>
      <c r="MWH37" s="3"/>
      <c r="MWI37" s="3"/>
      <c r="MWJ37" s="3"/>
      <c r="MWK37" s="3"/>
      <c r="MWL37" s="3"/>
      <c r="MWM37" s="3"/>
      <c r="MWN37" s="3"/>
      <c r="MWO37" s="3"/>
      <c r="MWP37" s="3"/>
      <c r="MWQ37" s="3"/>
      <c r="MWR37" s="3"/>
      <c r="MWS37" s="3"/>
      <c r="MWT37" s="3"/>
      <c r="MWU37" s="3"/>
      <c r="MWV37" s="3"/>
      <c r="MWW37" s="3"/>
      <c r="MWX37" s="3"/>
      <c r="MWY37" s="3"/>
      <c r="MWZ37" s="3"/>
      <c r="MXA37" s="3"/>
      <c r="MXB37" s="3"/>
      <c r="MXC37" s="3"/>
      <c r="MXD37" s="3"/>
      <c r="MXE37" s="3"/>
      <c r="MXF37" s="3"/>
      <c r="MXG37" s="3"/>
      <c r="MXH37" s="3"/>
      <c r="MXI37" s="3"/>
      <c r="MXJ37" s="3"/>
      <c r="MXK37" s="3"/>
      <c r="MXL37" s="3"/>
      <c r="MXM37" s="3"/>
      <c r="MXN37" s="3"/>
      <c r="MXO37" s="3"/>
      <c r="MXP37" s="3"/>
      <c r="MXQ37" s="3"/>
      <c r="MXR37" s="3"/>
      <c r="MXS37" s="3"/>
      <c r="MXT37" s="3"/>
      <c r="MXU37" s="3"/>
      <c r="MXV37" s="3"/>
      <c r="MXW37" s="3"/>
      <c r="MXX37" s="3"/>
      <c r="MXY37" s="3"/>
      <c r="MXZ37" s="3"/>
      <c r="MYA37" s="3"/>
      <c r="MYB37" s="3"/>
      <c r="MYC37" s="3"/>
      <c r="MYD37" s="3"/>
      <c r="MYE37" s="3"/>
      <c r="MYF37" s="3"/>
      <c r="MYG37" s="3"/>
      <c r="MYH37" s="3"/>
      <c r="MYI37" s="3"/>
      <c r="MYJ37" s="3"/>
      <c r="MYK37" s="3"/>
      <c r="MYL37" s="3"/>
      <c r="MYM37" s="3"/>
      <c r="MYN37" s="3"/>
      <c r="MYO37" s="3"/>
      <c r="MYP37" s="3"/>
      <c r="MYQ37" s="3"/>
      <c r="MYR37" s="3"/>
      <c r="MYS37" s="3"/>
      <c r="MYT37" s="3"/>
      <c r="MYU37" s="3"/>
      <c r="MYV37" s="3"/>
      <c r="MYW37" s="3"/>
      <c r="MYX37" s="3"/>
      <c r="MYY37" s="3"/>
      <c r="MYZ37" s="3"/>
      <c r="MZA37" s="3"/>
      <c r="MZB37" s="3"/>
      <c r="MZC37" s="3"/>
      <c r="MZD37" s="3"/>
      <c r="MZE37" s="3"/>
      <c r="MZF37" s="3"/>
      <c r="MZG37" s="3"/>
      <c r="MZH37" s="3"/>
      <c r="MZI37" s="3"/>
      <c r="MZJ37" s="3"/>
      <c r="MZK37" s="3"/>
      <c r="MZL37" s="3"/>
      <c r="MZM37" s="3"/>
      <c r="MZN37" s="3"/>
      <c r="MZO37" s="3"/>
      <c r="MZP37" s="3"/>
      <c r="MZQ37" s="3"/>
      <c r="MZR37" s="3"/>
      <c r="MZS37" s="3"/>
      <c r="MZT37" s="3"/>
      <c r="MZU37" s="3"/>
      <c r="MZV37" s="3"/>
      <c r="MZW37" s="3"/>
      <c r="MZX37" s="3"/>
      <c r="MZY37" s="3"/>
      <c r="MZZ37" s="3"/>
      <c r="NAA37" s="3"/>
      <c r="NAB37" s="3"/>
      <c r="NAC37" s="3"/>
      <c r="NAD37" s="3"/>
      <c r="NAE37" s="3"/>
      <c r="NAF37" s="3"/>
      <c r="NAG37" s="3"/>
      <c r="NAH37" s="3"/>
      <c r="NAI37" s="3"/>
      <c r="NAJ37" s="3"/>
      <c r="NAK37" s="3"/>
      <c r="NAL37" s="3"/>
      <c r="NAM37" s="3"/>
      <c r="NAN37" s="3"/>
      <c r="NAO37" s="3"/>
      <c r="NAP37" s="3"/>
      <c r="NAQ37" s="3"/>
      <c r="NAR37" s="3"/>
      <c r="NAS37" s="3"/>
      <c r="NAT37" s="3"/>
      <c r="NAU37" s="3"/>
      <c r="NAV37" s="3"/>
      <c r="NAW37" s="3"/>
      <c r="NAX37" s="3"/>
      <c r="NAY37" s="3"/>
      <c r="NAZ37" s="3"/>
      <c r="NBA37" s="3"/>
      <c r="NBB37" s="3"/>
      <c r="NBC37" s="3"/>
      <c r="NBD37" s="3"/>
      <c r="NBE37" s="3"/>
      <c r="NBF37" s="3"/>
      <c r="NBG37" s="3"/>
      <c r="NBH37" s="3"/>
      <c r="NBI37" s="3"/>
      <c r="NBJ37" s="3"/>
      <c r="NBK37" s="3"/>
      <c r="NBL37" s="3"/>
      <c r="NBM37" s="3"/>
      <c r="NBN37" s="3"/>
      <c r="NBO37" s="3"/>
      <c r="NBP37" s="3"/>
      <c r="NBQ37" s="3"/>
      <c r="NBR37" s="3"/>
      <c r="NBS37" s="3"/>
      <c r="NBT37" s="3"/>
      <c r="NBU37" s="3"/>
      <c r="NBV37" s="3"/>
      <c r="NBW37" s="3"/>
      <c r="NBX37" s="3"/>
      <c r="NBY37" s="3"/>
      <c r="NBZ37" s="3"/>
      <c r="NCA37" s="3"/>
      <c r="NCB37" s="3"/>
      <c r="NCC37" s="3"/>
      <c r="NCD37" s="3"/>
      <c r="NCE37" s="3"/>
      <c r="NCF37" s="3"/>
      <c r="NCG37" s="3"/>
      <c r="NCH37" s="3"/>
      <c r="NCI37" s="3"/>
      <c r="NCJ37" s="3"/>
      <c r="NCK37" s="3"/>
      <c r="NCL37" s="3"/>
      <c r="NCM37" s="3"/>
      <c r="NCN37" s="3"/>
      <c r="NCO37" s="3"/>
      <c r="NCP37" s="3"/>
      <c r="NCQ37" s="3"/>
      <c r="NCR37" s="3"/>
      <c r="NCS37" s="3"/>
      <c r="NCT37" s="3"/>
      <c r="NCU37" s="3"/>
      <c r="NCV37" s="3"/>
      <c r="NCW37" s="3"/>
      <c r="NCX37" s="3"/>
      <c r="NCY37" s="3"/>
      <c r="NCZ37" s="3"/>
      <c r="NDA37" s="3"/>
      <c r="NDB37" s="3"/>
      <c r="NDC37" s="3"/>
      <c r="NDD37" s="3"/>
      <c r="NDE37" s="3"/>
      <c r="NDF37" s="3"/>
      <c r="NDG37" s="3"/>
      <c r="NDH37" s="3"/>
      <c r="NDI37" s="3"/>
      <c r="NDJ37" s="3"/>
      <c r="NDK37" s="3"/>
      <c r="NDL37" s="3"/>
      <c r="NDM37" s="3"/>
      <c r="NDN37" s="3"/>
      <c r="NDO37" s="3"/>
      <c r="NDP37" s="3"/>
      <c r="NDQ37" s="3"/>
      <c r="NDR37" s="3"/>
      <c r="NDS37" s="3"/>
      <c r="NDT37" s="3"/>
      <c r="NDU37" s="3"/>
      <c r="NDV37" s="3"/>
      <c r="NDW37" s="3"/>
      <c r="NDX37" s="3"/>
      <c r="NDY37" s="3"/>
      <c r="NDZ37" s="3"/>
      <c r="NEA37" s="3"/>
      <c r="NEB37" s="3"/>
      <c r="NEC37" s="3"/>
      <c r="NED37" s="3"/>
      <c r="NEE37" s="3"/>
      <c r="NEF37" s="3"/>
      <c r="NEG37" s="3"/>
      <c r="NEH37" s="3"/>
      <c r="NEI37" s="3"/>
      <c r="NEJ37" s="3"/>
      <c r="NEK37" s="3"/>
      <c r="NEL37" s="3"/>
      <c r="NEM37" s="3"/>
      <c r="NEN37" s="3"/>
      <c r="NEO37" s="3"/>
      <c r="NEP37" s="3"/>
      <c r="NEQ37" s="3"/>
      <c r="NER37" s="3"/>
      <c r="NES37" s="3"/>
      <c r="NET37" s="3"/>
      <c r="NEU37" s="3"/>
      <c r="NEV37" s="3"/>
      <c r="NEW37" s="3"/>
      <c r="NEX37" s="3"/>
      <c r="NEY37" s="3"/>
      <c r="NEZ37" s="3"/>
      <c r="NFA37" s="3"/>
      <c r="NFB37" s="3"/>
      <c r="NFC37" s="3"/>
      <c r="NFD37" s="3"/>
      <c r="NFE37" s="3"/>
      <c r="NFF37" s="3"/>
      <c r="NFG37" s="3"/>
      <c r="NFH37" s="3"/>
      <c r="NFI37" s="3"/>
      <c r="NFJ37" s="3"/>
      <c r="NFK37" s="3"/>
      <c r="NFL37" s="3"/>
      <c r="NFM37" s="3"/>
      <c r="NFN37" s="3"/>
      <c r="NFO37" s="3"/>
      <c r="NFP37" s="3"/>
      <c r="NFQ37" s="3"/>
      <c r="NFR37" s="3"/>
      <c r="NFS37" s="3"/>
      <c r="NFT37" s="3"/>
      <c r="NFU37" s="3"/>
      <c r="NFV37" s="3"/>
      <c r="NFW37" s="3"/>
      <c r="NFX37" s="3"/>
      <c r="NFY37" s="3"/>
      <c r="NFZ37" s="3"/>
      <c r="NGA37" s="3"/>
      <c r="NGB37" s="3"/>
      <c r="NGC37" s="3"/>
      <c r="NGD37" s="3"/>
      <c r="NGE37" s="3"/>
      <c r="NGF37" s="3"/>
      <c r="NGG37" s="3"/>
      <c r="NGH37" s="3"/>
      <c r="NGI37" s="3"/>
      <c r="NGJ37" s="3"/>
      <c r="NGK37" s="3"/>
      <c r="NGL37" s="3"/>
      <c r="NGM37" s="3"/>
      <c r="NGN37" s="3"/>
      <c r="NGO37" s="3"/>
      <c r="NGP37" s="3"/>
      <c r="NGQ37" s="3"/>
      <c r="NGR37" s="3"/>
      <c r="NGS37" s="3"/>
      <c r="NGT37" s="3"/>
      <c r="NGU37" s="3"/>
      <c r="NGV37" s="3"/>
      <c r="NGW37" s="3"/>
      <c r="NGX37" s="3"/>
      <c r="NGY37" s="3"/>
      <c r="NGZ37" s="3"/>
      <c r="NHA37" s="3"/>
      <c r="NHB37" s="3"/>
      <c r="NHC37" s="3"/>
      <c r="NHD37" s="3"/>
      <c r="NHE37" s="3"/>
      <c r="NHF37" s="3"/>
      <c r="NHG37" s="3"/>
      <c r="NHH37" s="3"/>
      <c r="NHI37" s="3"/>
      <c r="NHJ37" s="3"/>
      <c r="NHK37" s="3"/>
      <c r="NHL37" s="3"/>
      <c r="NHM37" s="3"/>
      <c r="NHN37" s="3"/>
      <c r="NHO37" s="3"/>
      <c r="NHP37" s="3"/>
      <c r="NHQ37" s="3"/>
      <c r="NHR37" s="3"/>
      <c r="NHS37" s="3"/>
      <c r="NHT37" s="3"/>
      <c r="NHU37" s="3"/>
      <c r="NHV37" s="3"/>
      <c r="NHW37" s="3"/>
      <c r="NHX37" s="3"/>
      <c r="NHY37" s="3"/>
      <c r="NHZ37" s="3"/>
      <c r="NIA37" s="3"/>
      <c r="NIB37" s="3"/>
      <c r="NIC37" s="3"/>
      <c r="NID37" s="3"/>
      <c r="NIE37" s="3"/>
      <c r="NIF37" s="3"/>
      <c r="NIG37" s="3"/>
      <c r="NIH37" s="3"/>
      <c r="NII37" s="3"/>
      <c r="NIJ37" s="3"/>
      <c r="NIK37" s="3"/>
      <c r="NIL37" s="3"/>
      <c r="NIM37" s="3"/>
      <c r="NIN37" s="3"/>
      <c r="NIO37" s="3"/>
      <c r="NIP37" s="3"/>
      <c r="NIQ37" s="3"/>
      <c r="NIR37" s="3"/>
      <c r="NIS37" s="3"/>
      <c r="NIT37" s="3"/>
      <c r="NIU37" s="3"/>
      <c r="NIV37" s="3"/>
      <c r="NIW37" s="3"/>
      <c r="NIX37" s="3"/>
      <c r="NIY37" s="3"/>
      <c r="NIZ37" s="3"/>
      <c r="NJA37" s="3"/>
      <c r="NJB37" s="3"/>
      <c r="NJC37" s="3"/>
      <c r="NJD37" s="3"/>
      <c r="NJE37" s="3"/>
      <c r="NJF37" s="3"/>
      <c r="NJG37" s="3"/>
      <c r="NJH37" s="3"/>
      <c r="NJI37" s="3"/>
      <c r="NJJ37" s="3"/>
      <c r="NJK37" s="3"/>
      <c r="NJL37" s="3"/>
      <c r="NJM37" s="3"/>
      <c r="NJN37" s="3"/>
      <c r="NJO37" s="3"/>
      <c r="NJP37" s="3"/>
      <c r="NJQ37" s="3"/>
      <c r="NJR37" s="3"/>
      <c r="NJS37" s="3"/>
      <c r="NJT37" s="3"/>
      <c r="NJU37" s="3"/>
      <c r="NJV37" s="3"/>
      <c r="NJW37" s="3"/>
      <c r="NJX37" s="3"/>
      <c r="NJY37" s="3"/>
      <c r="NJZ37" s="3"/>
      <c r="NKA37" s="3"/>
      <c r="NKB37" s="3"/>
      <c r="NKC37" s="3"/>
      <c r="NKD37" s="3"/>
      <c r="NKE37" s="3"/>
      <c r="NKF37" s="3"/>
      <c r="NKG37" s="3"/>
      <c r="NKH37" s="3"/>
      <c r="NKI37" s="3"/>
      <c r="NKJ37" s="3"/>
      <c r="NKK37" s="3"/>
      <c r="NKL37" s="3"/>
      <c r="NKM37" s="3"/>
      <c r="NKN37" s="3"/>
      <c r="NKO37" s="3"/>
      <c r="NKP37" s="3"/>
      <c r="NKQ37" s="3"/>
      <c r="NKR37" s="3"/>
      <c r="NKS37" s="3"/>
      <c r="NKT37" s="3"/>
      <c r="NKU37" s="3"/>
      <c r="NKV37" s="3"/>
      <c r="NKW37" s="3"/>
      <c r="NKX37" s="3"/>
      <c r="NKY37" s="3"/>
      <c r="NKZ37" s="3"/>
      <c r="NLA37" s="3"/>
      <c r="NLB37" s="3"/>
      <c r="NLC37" s="3"/>
      <c r="NLD37" s="3"/>
      <c r="NLE37" s="3"/>
      <c r="NLF37" s="3"/>
      <c r="NLG37" s="3"/>
      <c r="NLH37" s="3"/>
      <c r="NLI37" s="3"/>
      <c r="NLJ37" s="3"/>
      <c r="NLK37" s="3"/>
      <c r="NLL37" s="3"/>
      <c r="NLM37" s="3"/>
      <c r="NLN37" s="3"/>
      <c r="NLO37" s="3"/>
      <c r="NLP37" s="3"/>
      <c r="NLQ37" s="3"/>
      <c r="NLR37" s="3"/>
      <c r="NLS37" s="3"/>
      <c r="NLT37" s="3"/>
      <c r="NLU37" s="3"/>
      <c r="NLV37" s="3"/>
      <c r="NLW37" s="3"/>
      <c r="NLX37" s="3"/>
      <c r="NLY37" s="3"/>
      <c r="NLZ37" s="3"/>
      <c r="NMA37" s="3"/>
      <c r="NMB37" s="3"/>
      <c r="NMC37" s="3"/>
      <c r="NMD37" s="3"/>
      <c r="NME37" s="3"/>
      <c r="NMF37" s="3"/>
      <c r="NMG37" s="3"/>
      <c r="NMH37" s="3"/>
      <c r="NMI37" s="3"/>
      <c r="NMJ37" s="3"/>
      <c r="NMK37" s="3"/>
      <c r="NML37" s="3"/>
      <c r="NMM37" s="3"/>
      <c r="NMN37" s="3"/>
      <c r="NMO37" s="3"/>
      <c r="NMP37" s="3"/>
      <c r="NMQ37" s="3"/>
      <c r="NMR37" s="3"/>
      <c r="NMS37" s="3"/>
      <c r="NMT37" s="3"/>
      <c r="NMU37" s="3"/>
      <c r="NMV37" s="3"/>
      <c r="NMW37" s="3"/>
      <c r="NMX37" s="3"/>
      <c r="NMY37" s="3"/>
      <c r="NMZ37" s="3"/>
      <c r="NNA37" s="3"/>
      <c r="NNB37" s="3"/>
      <c r="NNC37" s="3"/>
      <c r="NND37" s="3"/>
      <c r="NNE37" s="3"/>
      <c r="NNF37" s="3"/>
      <c r="NNG37" s="3"/>
      <c r="NNH37" s="3"/>
      <c r="NNI37" s="3"/>
      <c r="NNJ37" s="3"/>
      <c r="NNK37" s="3"/>
      <c r="NNL37" s="3"/>
      <c r="NNM37" s="3"/>
      <c r="NNN37" s="3"/>
      <c r="NNO37" s="3"/>
      <c r="NNP37" s="3"/>
      <c r="NNQ37" s="3"/>
      <c r="NNR37" s="3"/>
      <c r="NNS37" s="3"/>
      <c r="NNT37" s="3"/>
      <c r="NNU37" s="3"/>
      <c r="NNV37" s="3"/>
      <c r="NNW37" s="3"/>
      <c r="NNX37" s="3"/>
      <c r="NNY37" s="3"/>
      <c r="NNZ37" s="3"/>
      <c r="NOA37" s="3"/>
      <c r="NOB37" s="3"/>
      <c r="NOC37" s="3"/>
      <c r="NOD37" s="3"/>
      <c r="NOE37" s="3"/>
      <c r="NOF37" s="3"/>
      <c r="NOG37" s="3"/>
      <c r="NOH37" s="3"/>
      <c r="NOI37" s="3"/>
      <c r="NOJ37" s="3"/>
      <c r="NOK37" s="3"/>
      <c r="NOL37" s="3"/>
      <c r="NOM37" s="3"/>
      <c r="NON37" s="3"/>
      <c r="NOO37" s="3"/>
      <c r="NOP37" s="3"/>
      <c r="NOQ37" s="3"/>
      <c r="NOR37" s="3"/>
      <c r="NOS37" s="3"/>
      <c r="NOT37" s="3"/>
      <c r="NOU37" s="3"/>
      <c r="NOV37" s="3"/>
      <c r="NOW37" s="3"/>
      <c r="NOX37" s="3"/>
      <c r="NOY37" s="3"/>
      <c r="NOZ37" s="3"/>
      <c r="NPA37" s="3"/>
      <c r="NPB37" s="3"/>
      <c r="NPC37" s="3"/>
      <c r="NPD37" s="3"/>
      <c r="NPE37" s="3"/>
      <c r="NPF37" s="3"/>
      <c r="NPG37" s="3"/>
      <c r="NPH37" s="3"/>
      <c r="NPI37" s="3"/>
      <c r="NPJ37" s="3"/>
      <c r="NPK37" s="3"/>
      <c r="NPL37" s="3"/>
      <c r="NPM37" s="3"/>
      <c r="NPN37" s="3"/>
      <c r="NPO37" s="3"/>
      <c r="NPP37" s="3"/>
      <c r="NPQ37" s="3"/>
      <c r="NPR37" s="3"/>
      <c r="NPS37" s="3"/>
      <c r="NPT37" s="3"/>
      <c r="NPU37" s="3"/>
      <c r="NPV37" s="3"/>
      <c r="NPW37" s="3"/>
      <c r="NPX37" s="3"/>
      <c r="NPY37" s="3"/>
      <c r="NPZ37" s="3"/>
      <c r="NQA37" s="3"/>
      <c r="NQB37" s="3"/>
      <c r="NQC37" s="3"/>
      <c r="NQD37" s="3"/>
      <c r="NQE37" s="3"/>
      <c r="NQF37" s="3"/>
      <c r="NQG37" s="3"/>
      <c r="NQH37" s="3"/>
      <c r="NQI37" s="3"/>
      <c r="NQJ37" s="3"/>
      <c r="NQK37" s="3"/>
      <c r="NQL37" s="3"/>
      <c r="NQM37" s="3"/>
      <c r="NQN37" s="3"/>
      <c r="NQO37" s="3"/>
      <c r="NQP37" s="3"/>
      <c r="NQQ37" s="3"/>
      <c r="NQR37" s="3"/>
      <c r="NQS37" s="3"/>
      <c r="NQT37" s="3"/>
      <c r="NQU37" s="3"/>
      <c r="NQV37" s="3"/>
      <c r="NQW37" s="3"/>
      <c r="NQX37" s="3"/>
      <c r="NQY37" s="3"/>
      <c r="NQZ37" s="3"/>
      <c r="NRA37" s="3"/>
      <c r="NRB37" s="3"/>
      <c r="NRC37" s="3"/>
      <c r="NRD37" s="3"/>
      <c r="NRE37" s="3"/>
      <c r="NRF37" s="3"/>
      <c r="NRG37" s="3"/>
      <c r="NRH37" s="3"/>
      <c r="NRI37" s="3"/>
      <c r="NRJ37" s="3"/>
      <c r="NRK37" s="3"/>
      <c r="NRL37" s="3"/>
      <c r="NRM37" s="3"/>
      <c r="NRN37" s="3"/>
      <c r="NRO37" s="3"/>
      <c r="NRP37" s="3"/>
      <c r="NRQ37" s="3"/>
      <c r="NRR37" s="3"/>
      <c r="NRS37" s="3"/>
      <c r="NRT37" s="3"/>
      <c r="NRU37" s="3"/>
      <c r="NRV37" s="3"/>
      <c r="NRW37" s="3"/>
      <c r="NRX37" s="3"/>
      <c r="NRY37" s="3"/>
      <c r="NRZ37" s="3"/>
      <c r="NSA37" s="3"/>
      <c r="NSB37" s="3"/>
      <c r="NSC37" s="3"/>
      <c r="NSD37" s="3"/>
      <c r="NSE37" s="3"/>
      <c r="NSF37" s="3"/>
      <c r="NSG37" s="3"/>
      <c r="NSH37" s="3"/>
      <c r="NSI37" s="3"/>
      <c r="NSJ37" s="3"/>
      <c r="NSK37" s="3"/>
      <c r="NSL37" s="3"/>
      <c r="NSM37" s="3"/>
      <c r="NSN37" s="3"/>
      <c r="NSO37" s="3"/>
      <c r="NSP37" s="3"/>
      <c r="NSQ37" s="3"/>
      <c r="NSR37" s="3"/>
      <c r="NSS37" s="3"/>
      <c r="NST37" s="3"/>
      <c r="NSU37" s="3"/>
      <c r="NSV37" s="3"/>
      <c r="NSW37" s="3"/>
      <c r="NSX37" s="3"/>
      <c r="NSY37" s="3"/>
      <c r="NSZ37" s="3"/>
      <c r="NTA37" s="3"/>
      <c r="NTB37" s="3"/>
      <c r="NTC37" s="3"/>
      <c r="NTD37" s="3"/>
      <c r="NTE37" s="3"/>
      <c r="NTF37" s="3"/>
      <c r="NTG37" s="3"/>
      <c r="NTH37" s="3"/>
      <c r="NTI37" s="3"/>
      <c r="NTJ37" s="3"/>
      <c r="NTK37" s="3"/>
      <c r="NTL37" s="3"/>
      <c r="NTM37" s="3"/>
      <c r="NTN37" s="3"/>
      <c r="NTO37" s="3"/>
      <c r="NTP37" s="3"/>
      <c r="NTQ37" s="3"/>
      <c r="NTR37" s="3"/>
      <c r="NTS37" s="3"/>
      <c r="NTT37" s="3"/>
      <c r="NTU37" s="3"/>
      <c r="NTV37" s="3"/>
      <c r="NTW37" s="3"/>
      <c r="NTX37" s="3"/>
      <c r="NTY37" s="3"/>
      <c r="NTZ37" s="3"/>
      <c r="NUA37" s="3"/>
      <c r="NUB37" s="3"/>
      <c r="NUC37" s="3"/>
      <c r="NUD37" s="3"/>
      <c r="NUE37" s="3"/>
      <c r="NUF37" s="3"/>
      <c r="NUG37" s="3"/>
      <c r="NUH37" s="3"/>
      <c r="NUI37" s="3"/>
      <c r="NUJ37" s="3"/>
      <c r="NUK37" s="3"/>
      <c r="NUL37" s="3"/>
      <c r="NUM37" s="3"/>
      <c r="NUN37" s="3"/>
      <c r="NUO37" s="3"/>
      <c r="NUP37" s="3"/>
      <c r="NUQ37" s="3"/>
      <c r="NUR37" s="3"/>
      <c r="NUS37" s="3"/>
      <c r="NUT37" s="3"/>
      <c r="NUU37" s="3"/>
      <c r="NUV37" s="3"/>
      <c r="NUW37" s="3"/>
      <c r="NUX37" s="3"/>
      <c r="NUY37" s="3"/>
      <c r="NUZ37" s="3"/>
      <c r="NVA37" s="3"/>
      <c r="NVB37" s="3"/>
      <c r="NVC37" s="3"/>
      <c r="NVD37" s="3"/>
      <c r="NVE37" s="3"/>
      <c r="NVF37" s="3"/>
      <c r="NVG37" s="3"/>
      <c r="NVH37" s="3"/>
      <c r="NVI37" s="3"/>
      <c r="NVJ37" s="3"/>
      <c r="NVK37" s="3"/>
      <c r="NVL37" s="3"/>
      <c r="NVM37" s="3"/>
      <c r="NVN37" s="3"/>
      <c r="NVO37" s="3"/>
      <c r="NVP37" s="3"/>
      <c r="NVQ37" s="3"/>
      <c r="NVR37" s="3"/>
      <c r="NVS37" s="3"/>
      <c r="NVT37" s="3"/>
      <c r="NVU37" s="3"/>
      <c r="NVV37" s="3"/>
      <c r="NVW37" s="3"/>
      <c r="NVX37" s="3"/>
      <c r="NVY37" s="3"/>
      <c r="NVZ37" s="3"/>
      <c r="NWA37" s="3"/>
      <c r="NWB37" s="3"/>
      <c r="NWC37" s="3"/>
      <c r="NWD37" s="3"/>
      <c r="NWE37" s="3"/>
      <c r="NWF37" s="3"/>
      <c r="NWG37" s="3"/>
      <c r="NWH37" s="3"/>
      <c r="NWI37" s="3"/>
      <c r="NWJ37" s="3"/>
      <c r="NWK37" s="3"/>
      <c r="NWL37" s="3"/>
      <c r="NWM37" s="3"/>
      <c r="NWN37" s="3"/>
      <c r="NWO37" s="3"/>
      <c r="NWP37" s="3"/>
      <c r="NWQ37" s="3"/>
      <c r="NWR37" s="3"/>
      <c r="NWS37" s="3"/>
      <c r="NWT37" s="3"/>
      <c r="NWU37" s="3"/>
      <c r="NWV37" s="3"/>
      <c r="NWW37" s="3"/>
      <c r="NWX37" s="3"/>
      <c r="NWY37" s="3"/>
      <c r="NWZ37" s="3"/>
      <c r="NXA37" s="3"/>
      <c r="NXB37" s="3"/>
      <c r="NXC37" s="3"/>
      <c r="NXD37" s="3"/>
      <c r="NXE37" s="3"/>
      <c r="NXF37" s="3"/>
      <c r="NXG37" s="3"/>
      <c r="NXH37" s="3"/>
      <c r="NXI37" s="3"/>
      <c r="NXJ37" s="3"/>
      <c r="NXK37" s="3"/>
      <c r="NXL37" s="3"/>
      <c r="NXM37" s="3"/>
      <c r="NXN37" s="3"/>
      <c r="NXO37" s="3"/>
      <c r="NXP37" s="3"/>
      <c r="NXQ37" s="3"/>
      <c r="NXR37" s="3"/>
      <c r="NXS37" s="3"/>
      <c r="NXT37" s="3"/>
      <c r="NXU37" s="3"/>
      <c r="NXV37" s="3"/>
      <c r="NXW37" s="3"/>
      <c r="NXX37" s="3"/>
      <c r="NXY37" s="3"/>
      <c r="NXZ37" s="3"/>
      <c r="NYA37" s="3"/>
      <c r="NYB37" s="3"/>
      <c r="NYC37" s="3"/>
      <c r="NYD37" s="3"/>
      <c r="NYE37" s="3"/>
      <c r="NYF37" s="3"/>
      <c r="NYG37" s="3"/>
      <c r="NYH37" s="3"/>
      <c r="NYI37" s="3"/>
      <c r="NYJ37" s="3"/>
      <c r="NYK37" s="3"/>
      <c r="NYL37" s="3"/>
      <c r="NYM37" s="3"/>
      <c r="NYN37" s="3"/>
      <c r="NYO37" s="3"/>
      <c r="NYP37" s="3"/>
      <c r="NYQ37" s="3"/>
      <c r="NYR37" s="3"/>
      <c r="NYS37" s="3"/>
      <c r="NYT37" s="3"/>
      <c r="NYU37" s="3"/>
      <c r="NYV37" s="3"/>
      <c r="NYW37" s="3"/>
      <c r="NYX37" s="3"/>
      <c r="NYY37" s="3"/>
      <c r="NYZ37" s="3"/>
      <c r="NZA37" s="3"/>
      <c r="NZB37" s="3"/>
      <c r="NZC37" s="3"/>
      <c r="NZD37" s="3"/>
      <c r="NZE37" s="3"/>
      <c r="NZF37" s="3"/>
      <c r="NZG37" s="3"/>
      <c r="NZH37" s="3"/>
      <c r="NZI37" s="3"/>
      <c r="NZJ37" s="3"/>
      <c r="NZK37" s="3"/>
      <c r="NZL37" s="3"/>
      <c r="NZM37" s="3"/>
      <c r="NZN37" s="3"/>
      <c r="NZO37" s="3"/>
      <c r="NZP37" s="3"/>
      <c r="NZQ37" s="3"/>
      <c r="NZR37" s="3"/>
      <c r="NZS37" s="3"/>
      <c r="NZT37" s="3"/>
      <c r="NZU37" s="3"/>
      <c r="NZV37" s="3"/>
      <c r="NZW37" s="3"/>
      <c r="NZX37" s="3"/>
      <c r="NZY37" s="3"/>
      <c r="NZZ37" s="3"/>
      <c r="OAA37" s="3"/>
      <c r="OAB37" s="3"/>
      <c r="OAC37" s="3"/>
      <c r="OAD37" s="3"/>
      <c r="OAE37" s="3"/>
      <c r="OAF37" s="3"/>
      <c r="OAG37" s="3"/>
      <c r="OAH37" s="3"/>
      <c r="OAI37" s="3"/>
      <c r="OAJ37" s="3"/>
      <c r="OAK37" s="3"/>
      <c r="OAL37" s="3"/>
      <c r="OAM37" s="3"/>
      <c r="OAN37" s="3"/>
      <c r="OAO37" s="3"/>
      <c r="OAP37" s="3"/>
      <c r="OAQ37" s="3"/>
      <c r="OAR37" s="3"/>
      <c r="OAS37" s="3"/>
      <c r="OAT37" s="3"/>
      <c r="OAU37" s="3"/>
      <c r="OAV37" s="3"/>
      <c r="OAW37" s="3"/>
      <c r="OAX37" s="3"/>
      <c r="OAY37" s="3"/>
      <c r="OAZ37" s="3"/>
      <c r="OBA37" s="3"/>
      <c r="OBB37" s="3"/>
      <c r="OBC37" s="3"/>
      <c r="OBD37" s="3"/>
      <c r="OBE37" s="3"/>
      <c r="OBF37" s="3"/>
      <c r="OBG37" s="3"/>
      <c r="OBH37" s="3"/>
      <c r="OBI37" s="3"/>
      <c r="OBJ37" s="3"/>
      <c r="OBK37" s="3"/>
      <c r="OBL37" s="3"/>
      <c r="OBM37" s="3"/>
      <c r="OBN37" s="3"/>
      <c r="OBO37" s="3"/>
      <c r="OBP37" s="3"/>
      <c r="OBQ37" s="3"/>
      <c r="OBR37" s="3"/>
      <c r="OBS37" s="3"/>
      <c r="OBT37" s="3"/>
      <c r="OBU37" s="3"/>
      <c r="OBV37" s="3"/>
      <c r="OBW37" s="3"/>
      <c r="OBX37" s="3"/>
      <c r="OBY37" s="3"/>
      <c r="OBZ37" s="3"/>
      <c r="OCA37" s="3"/>
      <c r="OCB37" s="3"/>
      <c r="OCC37" s="3"/>
      <c r="OCD37" s="3"/>
      <c r="OCE37" s="3"/>
      <c r="OCF37" s="3"/>
      <c r="OCG37" s="3"/>
      <c r="OCH37" s="3"/>
      <c r="OCI37" s="3"/>
      <c r="OCJ37" s="3"/>
      <c r="OCK37" s="3"/>
      <c r="OCL37" s="3"/>
      <c r="OCM37" s="3"/>
      <c r="OCN37" s="3"/>
      <c r="OCO37" s="3"/>
      <c r="OCP37" s="3"/>
      <c r="OCQ37" s="3"/>
      <c r="OCR37" s="3"/>
      <c r="OCS37" s="3"/>
      <c r="OCT37" s="3"/>
      <c r="OCU37" s="3"/>
      <c r="OCV37" s="3"/>
      <c r="OCW37" s="3"/>
      <c r="OCX37" s="3"/>
      <c r="OCY37" s="3"/>
      <c r="OCZ37" s="3"/>
      <c r="ODA37" s="3"/>
      <c r="ODB37" s="3"/>
      <c r="ODC37" s="3"/>
      <c r="ODD37" s="3"/>
      <c r="ODE37" s="3"/>
      <c r="ODF37" s="3"/>
      <c r="ODG37" s="3"/>
      <c r="ODH37" s="3"/>
      <c r="ODI37" s="3"/>
      <c r="ODJ37" s="3"/>
      <c r="ODK37" s="3"/>
      <c r="ODL37" s="3"/>
      <c r="ODM37" s="3"/>
      <c r="ODN37" s="3"/>
      <c r="ODO37" s="3"/>
      <c r="ODP37" s="3"/>
      <c r="ODQ37" s="3"/>
      <c r="ODR37" s="3"/>
      <c r="ODS37" s="3"/>
      <c r="ODT37" s="3"/>
      <c r="ODU37" s="3"/>
      <c r="ODV37" s="3"/>
      <c r="ODW37" s="3"/>
      <c r="ODX37" s="3"/>
      <c r="ODY37" s="3"/>
      <c r="ODZ37" s="3"/>
      <c r="OEA37" s="3"/>
      <c r="OEB37" s="3"/>
      <c r="OEC37" s="3"/>
      <c r="OED37" s="3"/>
      <c r="OEE37" s="3"/>
      <c r="OEF37" s="3"/>
      <c r="OEG37" s="3"/>
      <c r="OEH37" s="3"/>
      <c r="OEI37" s="3"/>
      <c r="OEJ37" s="3"/>
      <c r="OEK37" s="3"/>
      <c r="OEL37" s="3"/>
      <c r="OEM37" s="3"/>
      <c r="OEN37" s="3"/>
      <c r="OEO37" s="3"/>
      <c r="OEP37" s="3"/>
      <c r="OEQ37" s="3"/>
      <c r="OER37" s="3"/>
      <c r="OES37" s="3"/>
      <c r="OET37" s="3"/>
      <c r="OEU37" s="3"/>
      <c r="OEV37" s="3"/>
      <c r="OEW37" s="3"/>
      <c r="OEX37" s="3"/>
      <c r="OEY37" s="3"/>
      <c r="OEZ37" s="3"/>
      <c r="OFA37" s="3"/>
      <c r="OFB37" s="3"/>
      <c r="OFC37" s="3"/>
      <c r="OFD37" s="3"/>
      <c r="OFE37" s="3"/>
      <c r="OFF37" s="3"/>
      <c r="OFG37" s="3"/>
      <c r="OFH37" s="3"/>
      <c r="OFI37" s="3"/>
      <c r="OFJ37" s="3"/>
      <c r="OFK37" s="3"/>
      <c r="OFL37" s="3"/>
      <c r="OFM37" s="3"/>
      <c r="OFN37" s="3"/>
      <c r="OFO37" s="3"/>
      <c r="OFP37" s="3"/>
      <c r="OFQ37" s="3"/>
      <c r="OFR37" s="3"/>
      <c r="OFS37" s="3"/>
      <c r="OFT37" s="3"/>
      <c r="OFU37" s="3"/>
      <c r="OFV37" s="3"/>
      <c r="OFW37" s="3"/>
      <c r="OFX37" s="3"/>
      <c r="OFY37" s="3"/>
      <c r="OFZ37" s="3"/>
      <c r="OGA37" s="3"/>
      <c r="OGB37" s="3"/>
      <c r="OGC37" s="3"/>
      <c r="OGD37" s="3"/>
      <c r="OGE37" s="3"/>
      <c r="OGF37" s="3"/>
      <c r="OGG37" s="3"/>
      <c r="OGH37" s="3"/>
      <c r="OGI37" s="3"/>
      <c r="OGJ37" s="3"/>
      <c r="OGK37" s="3"/>
      <c r="OGL37" s="3"/>
      <c r="OGM37" s="3"/>
      <c r="OGN37" s="3"/>
      <c r="OGO37" s="3"/>
      <c r="OGP37" s="3"/>
      <c r="OGQ37" s="3"/>
      <c r="OGR37" s="3"/>
      <c r="OGS37" s="3"/>
      <c r="OGT37" s="3"/>
      <c r="OGU37" s="3"/>
      <c r="OGV37" s="3"/>
      <c r="OGW37" s="3"/>
      <c r="OGX37" s="3"/>
      <c r="OGY37" s="3"/>
      <c r="OGZ37" s="3"/>
      <c r="OHA37" s="3"/>
      <c r="OHB37" s="3"/>
      <c r="OHC37" s="3"/>
      <c r="OHD37" s="3"/>
      <c r="OHE37" s="3"/>
      <c r="OHF37" s="3"/>
      <c r="OHG37" s="3"/>
      <c r="OHH37" s="3"/>
      <c r="OHI37" s="3"/>
      <c r="OHJ37" s="3"/>
      <c r="OHK37" s="3"/>
      <c r="OHL37" s="3"/>
      <c r="OHM37" s="3"/>
      <c r="OHN37" s="3"/>
      <c r="OHO37" s="3"/>
      <c r="OHP37" s="3"/>
      <c r="OHQ37" s="3"/>
      <c r="OHR37" s="3"/>
      <c r="OHS37" s="3"/>
      <c r="OHT37" s="3"/>
      <c r="OHU37" s="3"/>
      <c r="OHV37" s="3"/>
      <c r="OHW37" s="3"/>
      <c r="OHX37" s="3"/>
      <c r="OHY37" s="3"/>
      <c r="OHZ37" s="3"/>
      <c r="OIA37" s="3"/>
      <c r="OIB37" s="3"/>
      <c r="OIC37" s="3"/>
      <c r="OID37" s="3"/>
      <c r="OIE37" s="3"/>
      <c r="OIF37" s="3"/>
      <c r="OIG37" s="3"/>
      <c r="OIH37" s="3"/>
      <c r="OII37" s="3"/>
      <c r="OIJ37" s="3"/>
      <c r="OIK37" s="3"/>
      <c r="OIL37" s="3"/>
      <c r="OIM37" s="3"/>
      <c r="OIN37" s="3"/>
      <c r="OIO37" s="3"/>
      <c r="OIP37" s="3"/>
      <c r="OIQ37" s="3"/>
      <c r="OIR37" s="3"/>
      <c r="OIS37" s="3"/>
      <c r="OIT37" s="3"/>
      <c r="OIU37" s="3"/>
      <c r="OIV37" s="3"/>
      <c r="OIW37" s="3"/>
      <c r="OIX37" s="3"/>
      <c r="OIY37" s="3"/>
      <c r="OIZ37" s="3"/>
      <c r="OJA37" s="3"/>
      <c r="OJB37" s="3"/>
      <c r="OJC37" s="3"/>
      <c r="OJD37" s="3"/>
      <c r="OJE37" s="3"/>
      <c r="OJF37" s="3"/>
      <c r="OJG37" s="3"/>
      <c r="OJH37" s="3"/>
      <c r="OJI37" s="3"/>
      <c r="OJJ37" s="3"/>
      <c r="OJK37" s="3"/>
      <c r="OJL37" s="3"/>
      <c r="OJM37" s="3"/>
      <c r="OJN37" s="3"/>
      <c r="OJO37" s="3"/>
      <c r="OJP37" s="3"/>
      <c r="OJQ37" s="3"/>
      <c r="OJR37" s="3"/>
      <c r="OJS37" s="3"/>
      <c r="OJT37" s="3"/>
      <c r="OJU37" s="3"/>
      <c r="OJV37" s="3"/>
      <c r="OJW37" s="3"/>
      <c r="OJX37" s="3"/>
      <c r="OJY37" s="3"/>
      <c r="OJZ37" s="3"/>
      <c r="OKA37" s="3"/>
      <c r="OKB37" s="3"/>
      <c r="OKC37" s="3"/>
      <c r="OKD37" s="3"/>
      <c r="OKE37" s="3"/>
      <c r="OKF37" s="3"/>
      <c r="OKG37" s="3"/>
      <c r="OKH37" s="3"/>
      <c r="OKI37" s="3"/>
      <c r="OKJ37" s="3"/>
      <c r="OKK37" s="3"/>
      <c r="OKL37" s="3"/>
      <c r="OKM37" s="3"/>
      <c r="OKN37" s="3"/>
      <c r="OKO37" s="3"/>
      <c r="OKP37" s="3"/>
      <c r="OKQ37" s="3"/>
      <c r="OKR37" s="3"/>
      <c r="OKS37" s="3"/>
      <c r="OKT37" s="3"/>
      <c r="OKU37" s="3"/>
      <c r="OKV37" s="3"/>
      <c r="OKW37" s="3"/>
      <c r="OKX37" s="3"/>
      <c r="OKY37" s="3"/>
      <c r="OKZ37" s="3"/>
      <c r="OLA37" s="3"/>
      <c r="OLB37" s="3"/>
      <c r="OLC37" s="3"/>
      <c r="OLD37" s="3"/>
      <c r="OLE37" s="3"/>
      <c r="OLF37" s="3"/>
      <c r="OLG37" s="3"/>
      <c r="OLH37" s="3"/>
      <c r="OLI37" s="3"/>
      <c r="OLJ37" s="3"/>
      <c r="OLK37" s="3"/>
      <c r="OLL37" s="3"/>
      <c r="OLM37" s="3"/>
      <c r="OLN37" s="3"/>
      <c r="OLO37" s="3"/>
      <c r="OLP37" s="3"/>
      <c r="OLQ37" s="3"/>
      <c r="OLR37" s="3"/>
      <c r="OLS37" s="3"/>
      <c r="OLT37" s="3"/>
      <c r="OLU37" s="3"/>
      <c r="OLV37" s="3"/>
      <c r="OLW37" s="3"/>
      <c r="OLX37" s="3"/>
      <c r="OLY37" s="3"/>
      <c r="OLZ37" s="3"/>
      <c r="OMA37" s="3"/>
      <c r="OMB37" s="3"/>
      <c r="OMC37" s="3"/>
      <c r="OMD37" s="3"/>
      <c r="OME37" s="3"/>
      <c r="OMF37" s="3"/>
      <c r="OMG37" s="3"/>
      <c r="OMH37" s="3"/>
      <c r="OMI37" s="3"/>
      <c r="OMJ37" s="3"/>
      <c r="OMK37" s="3"/>
      <c r="OML37" s="3"/>
      <c r="OMM37" s="3"/>
      <c r="OMN37" s="3"/>
      <c r="OMO37" s="3"/>
      <c r="OMP37" s="3"/>
      <c r="OMQ37" s="3"/>
      <c r="OMR37" s="3"/>
      <c r="OMS37" s="3"/>
      <c r="OMT37" s="3"/>
      <c r="OMU37" s="3"/>
      <c r="OMV37" s="3"/>
      <c r="OMW37" s="3"/>
      <c r="OMX37" s="3"/>
      <c r="OMY37" s="3"/>
      <c r="OMZ37" s="3"/>
      <c r="ONA37" s="3"/>
      <c r="ONB37" s="3"/>
      <c r="ONC37" s="3"/>
      <c r="OND37" s="3"/>
      <c r="ONE37" s="3"/>
      <c r="ONF37" s="3"/>
      <c r="ONG37" s="3"/>
      <c r="ONH37" s="3"/>
      <c r="ONI37" s="3"/>
      <c r="ONJ37" s="3"/>
      <c r="ONK37" s="3"/>
      <c r="ONL37" s="3"/>
      <c r="ONM37" s="3"/>
      <c r="ONN37" s="3"/>
      <c r="ONO37" s="3"/>
      <c r="ONP37" s="3"/>
      <c r="ONQ37" s="3"/>
      <c r="ONR37" s="3"/>
      <c r="ONS37" s="3"/>
      <c r="ONT37" s="3"/>
      <c r="ONU37" s="3"/>
      <c r="ONV37" s="3"/>
      <c r="ONW37" s="3"/>
      <c r="ONX37" s="3"/>
      <c r="ONY37" s="3"/>
      <c r="ONZ37" s="3"/>
      <c r="OOA37" s="3"/>
      <c r="OOB37" s="3"/>
      <c r="OOC37" s="3"/>
      <c r="OOD37" s="3"/>
      <c r="OOE37" s="3"/>
      <c r="OOF37" s="3"/>
      <c r="OOG37" s="3"/>
      <c r="OOH37" s="3"/>
      <c r="OOI37" s="3"/>
      <c r="OOJ37" s="3"/>
      <c r="OOK37" s="3"/>
      <c r="OOL37" s="3"/>
      <c r="OOM37" s="3"/>
      <c r="OON37" s="3"/>
      <c r="OOO37" s="3"/>
      <c r="OOP37" s="3"/>
      <c r="OOQ37" s="3"/>
      <c r="OOR37" s="3"/>
      <c r="OOS37" s="3"/>
      <c r="OOT37" s="3"/>
      <c r="OOU37" s="3"/>
      <c r="OOV37" s="3"/>
      <c r="OOW37" s="3"/>
      <c r="OOX37" s="3"/>
      <c r="OOY37" s="3"/>
      <c r="OOZ37" s="3"/>
      <c r="OPA37" s="3"/>
      <c r="OPB37" s="3"/>
      <c r="OPC37" s="3"/>
      <c r="OPD37" s="3"/>
      <c r="OPE37" s="3"/>
      <c r="OPF37" s="3"/>
      <c r="OPG37" s="3"/>
      <c r="OPH37" s="3"/>
      <c r="OPI37" s="3"/>
      <c r="OPJ37" s="3"/>
      <c r="OPK37" s="3"/>
      <c r="OPL37" s="3"/>
      <c r="OPM37" s="3"/>
      <c r="OPN37" s="3"/>
      <c r="OPO37" s="3"/>
      <c r="OPP37" s="3"/>
      <c r="OPQ37" s="3"/>
      <c r="OPR37" s="3"/>
      <c r="OPS37" s="3"/>
      <c r="OPT37" s="3"/>
      <c r="OPU37" s="3"/>
      <c r="OPV37" s="3"/>
      <c r="OPW37" s="3"/>
      <c r="OPX37" s="3"/>
      <c r="OPY37" s="3"/>
      <c r="OPZ37" s="3"/>
      <c r="OQA37" s="3"/>
      <c r="OQB37" s="3"/>
      <c r="OQC37" s="3"/>
      <c r="OQD37" s="3"/>
      <c r="OQE37" s="3"/>
      <c r="OQF37" s="3"/>
      <c r="OQG37" s="3"/>
      <c r="OQH37" s="3"/>
      <c r="OQI37" s="3"/>
      <c r="OQJ37" s="3"/>
      <c r="OQK37" s="3"/>
      <c r="OQL37" s="3"/>
      <c r="OQM37" s="3"/>
      <c r="OQN37" s="3"/>
      <c r="OQO37" s="3"/>
      <c r="OQP37" s="3"/>
      <c r="OQQ37" s="3"/>
      <c r="OQR37" s="3"/>
      <c r="OQS37" s="3"/>
      <c r="OQT37" s="3"/>
      <c r="OQU37" s="3"/>
      <c r="OQV37" s="3"/>
      <c r="OQW37" s="3"/>
      <c r="OQX37" s="3"/>
      <c r="OQY37" s="3"/>
      <c r="OQZ37" s="3"/>
      <c r="ORA37" s="3"/>
      <c r="ORB37" s="3"/>
      <c r="ORC37" s="3"/>
      <c r="ORD37" s="3"/>
      <c r="ORE37" s="3"/>
      <c r="ORF37" s="3"/>
      <c r="ORG37" s="3"/>
      <c r="ORH37" s="3"/>
      <c r="ORI37" s="3"/>
      <c r="ORJ37" s="3"/>
      <c r="ORK37" s="3"/>
      <c r="ORL37" s="3"/>
      <c r="ORM37" s="3"/>
      <c r="ORN37" s="3"/>
      <c r="ORO37" s="3"/>
      <c r="ORP37" s="3"/>
      <c r="ORQ37" s="3"/>
      <c r="ORR37" s="3"/>
      <c r="ORS37" s="3"/>
      <c r="ORT37" s="3"/>
      <c r="ORU37" s="3"/>
      <c r="ORV37" s="3"/>
      <c r="ORW37" s="3"/>
      <c r="ORX37" s="3"/>
      <c r="ORY37" s="3"/>
      <c r="ORZ37" s="3"/>
      <c r="OSA37" s="3"/>
      <c r="OSB37" s="3"/>
      <c r="OSC37" s="3"/>
      <c r="OSD37" s="3"/>
      <c r="OSE37" s="3"/>
      <c r="OSF37" s="3"/>
      <c r="OSG37" s="3"/>
      <c r="OSH37" s="3"/>
      <c r="OSI37" s="3"/>
      <c r="OSJ37" s="3"/>
      <c r="OSK37" s="3"/>
      <c r="OSL37" s="3"/>
      <c r="OSM37" s="3"/>
      <c r="OSN37" s="3"/>
      <c r="OSO37" s="3"/>
      <c r="OSP37" s="3"/>
      <c r="OSQ37" s="3"/>
      <c r="OSR37" s="3"/>
      <c r="OSS37" s="3"/>
      <c r="OST37" s="3"/>
      <c r="OSU37" s="3"/>
      <c r="OSV37" s="3"/>
      <c r="OSW37" s="3"/>
      <c r="OSX37" s="3"/>
      <c r="OSY37" s="3"/>
      <c r="OSZ37" s="3"/>
      <c r="OTA37" s="3"/>
      <c r="OTB37" s="3"/>
      <c r="OTC37" s="3"/>
      <c r="OTD37" s="3"/>
      <c r="OTE37" s="3"/>
      <c r="OTF37" s="3"/>
      <c r="OTG37" s="3"/>
      <c r="OTH37" s="3"/>
      <c r="OTI37" s="3"/>
      <c r="OTJ37" s="3"/>
      <c r="OTK37" s="3"/>
      <c r="OTL37" s="3"/>
      <c r="OTM37" s="3"/>
      <c r="OTN37" s="3"/>
      <c r="OTO37" s="3"/>
      <c r="OTP37" s="3"/>
      <c r="OTQ37" s="3"/>
      <c r="OTR37" s="3"/>
      <c r="OTS37" s="3"/>
      <c r="OTT37" s="3"/>
      <c r="OTU37" s="3"/>
      <c r="OTV37" s="3"/>
      <c r="OTW37" s="3"/>
      <c r="OTX37" s="3"/>
      <c r="OTY37" s="3"/>
      <c r="OTZ37" s="3"/>
      <c r="OUA37" s="3"/>
      <c r="OUB37" s="3"/>
      <c r="OUC37" s="3"/>
      <c r="OUD37" s="3"/>
      <c r="OUE37" s="3"/>
      <c r="OUF37" s="3"/>
      <c r="OUG37" s="3"/>
      <c r="OUH37" s="3"/>
      <c r="OUI37" s="3"/>
      <c r="OUJ37" s="3"/>
      <c r="OUK37" s="3"/>
      <c r="OUL37" s="3"/>
      <c r="OUM37" s="3"/>
      <c r="OUN37" s="3"/>
      <c r="OUO37" s="3"/>
      <c r="OUP37" s="3"/>
      <c r="OUQ37" s="3"/>
      <c r="OUR37" s="3"/>
      <c r="OUS37" s="3"/>
      <c r="OUT37" s="3"/>
      <c r="OUU37" s="3"/>
      <c r="OUV37" s="3"/>
      <c r="OUW37" s="3"/>
      <c r="OUX37" s="3"/>
      <c r="OUY37" s="3"/>
      <c r="OUZ37" s="3"/>
      <c r="OVA37" s="3"/>
      <c r="OVB37" s="3"/>
      <c r="OVC37" s="3"/>
      <c r="OVD37" s="3"/>
      <c r="OVE37" s="3"/>
      <c r="OVF37" s="3"/>
      <c r="OVG37" s="3"/>
      <c r="OVH37" s="3"/>
      <c r="OVI37" s="3"/>
      <c r="OVJ37" s="3"/>
      <c r="OVK37" s="3"/>
      <c r="OVL37" s="3"/>
      <c r="OVM37" s="3"/>
      <c r="OVN37" s="3"/>
      <c r="OVO37" s="3"/>
      <c r="OVP37" s="3"/>
      <c r="OVQ37" s="3"/>
      <c r="OVR37" s="3"/>
      <c r="OVS37" s="3"/>
      <c r="OVT37" s="3"/>
      <c r="OVU37" s="3"/>
      <c r="OVV37" s="3"/>
      <c r="OVW37" s="3"/>
      <c r="OVX37" s="3"/>
      <c r="OVY37" s="3"/>
      <c r="OVZ37" s="3"/>
      <c r="OWA37" s="3"/>
      <c r="OWB37" s="3"/>
      <c r="OWC37" s="3"/>
      <c r="OWD37" s="3"/>
      <c r="OWE37" s="3"/>
      <c r="OWF37" s="3"/>
      <c r="OWG37" s="3"/>
      <c r="OWH37" s="3"/>
      <c r="OWI37" s="3"/>
      <c r="OWJ37" s="3"/>
      <c r="OWK37" s="3"/>
      <c r="OWL37" s="3"/>
      <c r="OWM37" s="3"/>
      <c r="OWN37" s="3"/>
      <c r="OWO37" s="3"/>
      <c r="OWP37" s="3"/>
      <c r="OWQ37" s="3"/>
      <c r="OWR37" s="3"/>
      <c r="OWS37" s="3"/>
      <c r="OWT37" s="3"/>
      <c r="OWU37" s="3"/>
      <c r="OWV37" s="3"/>
      <c r="OWW37" s="3"/>
      <c r="OWX37" s="3"/>
      <c r="OWY37" s="3"/>
      <c r="OWZ37" s="3"/>
      <c r="OXA37" s="3"/>
      <c r="OXB37" s="3"/>
      <c r="OXC37" s="3"/>
      <c r="OXD37" s="3"/>
      <c r="OXE37" s="3"/>
      <c r="OXF37" s="3"/>
      <c r="OXG37" s="3"/>
      <c r="OXH37" s="3"/>
      <c r="OXI37" s="3"/>
      <c r="OXJ37" s="3"/>
      <c r="OXK37" s="3"/>
      <c r="OXL37" s="3"/>
      <c r="OXM37" s="3"/>
      <c r="OXN37" s="3"/>
      <c r="OXO37" s="3"/>
      <c r="OXP37" s="3"/>
      <c r="OXQ37" s="3"/>
      <c r="OXR37" s="3"/>
      <c r="OXS37" s="3"/>
      <c r="OXT37" s="3"/>
      <c r="OXU37" s="3"/>
      <c r="OXV37" s="3"/>
      <c r="OXW37" s="3"/>
      <c r="OXX37" s="3"/>
      <c r="OXY37" s="3"/>
      <c r="OXZ37" s="3"/>
      <c r="OYA37" s="3"/>
      <c r="OYB37" s="3"/>
      <c r="OYC37" s="3"/>
      <c r="OYD37" s="3"/>
      <c r="OYE37" s="3"/>
      <c r="OYF37" s="3"/>
      <c r="OYG37" s="3"/>
      <c r="OYH37" s="3"/>
      <c r="OYI37" s="3"/>
      <c r="OYJ37" s="3"/>
      <c r="OYK37" s="3"/>
      <c r="OYL37" s="3"/>
      <c r="OYM37" s="3"/>
      <c r="OYN37" s="3"/>
      <c r="OYO37" s="3"/>
      <c r="OYP37" s="3"/>
      <c r="OYQ37" s="3"/>
      <c r="OYR37" s="3"/>
      <c r="OYS37" s="3"/>
      <c r="OYT37" s="3"/>
      <c r="OYU37" s="3"/>
      <c r="OYV37" s="3"/>
      <c r="OYW37" s="3"/>
      <c r="OYX37" s="3"/>
      <c r="OYY37" s="3"/>
      <c r="OYZ37" s="3"/>
      <c r="OZA37" s="3"/>
      <c r="OZB37" s="3"/>
      <c r="OZC37" s="3"/>
      <c r="OZD37" s="3"/>
      <c r="OZE37" s="3"/>
      <c r="OZF37" s="3"/>
      <c r="OZG37" s="3"/>
      <c r="OZH37" s="3"/>
      <c r="OZI37" s="3"/>
      <c r="OZJ37" s="3"/>
      <c r="OZK37" s="3"/>
      <c r="OZL37" s="3"/>
      <c r="OZM37" s="3"/>
      <c r="OZN37" s="3"/>
      <c r="OZO37" s="3"/>
      <c r="OZP37" s="3"/>
      <c r="OZQ37" s="3"/>
      <c r="OZR37" s="3"/>
      <c r="OZS37" s="3"/>
      <c r="OZT37" s="3"/>
      <c r="OZU37" s="3"/>
      <c r="OZV37" s="3"/>
      <c r="OZW37" s="3"/>
      <c r="OZX37" s="3"/>
      <c r="OZY37" s="3"/>
      <c r="OZZ37" s="3"/>
      <c r="PAA37" s="3"/>
      <c r="PAB37" s="3"/>
      <c r="PAC37" s="3"/>
      <c r="PAD37" s="3"/>
      <c r="PAE37" s="3"/>
      <c r="PAF37" s="3"/>
      <c r="PAG37" s="3"/>
      <c r="PAH37" s="3"/>
      <c r="PAI37" s="3"/>
      <c r="PAJ37" s="3"/>
      <c r="PAK37" s="3"/>
      <c r="PAL37" s="3"/>
      <c r="PAM37" s="3"/>
      <c r="PAN37" s="3"/>
      <c r="PAO37" s="3"/>
      <c r="PAP37" s="3"/>
      <c r="PAQ37" s="3"/>
      <c r="PAR37" s="3"/>
      <c r="PAS37" s="3"/>
      <c r="PAT37" s="3"/>
      <c r="PAU37" s="3"/>
      <c r="PAV37" s="3"/>
      <c r="PAW37" s="3"/>
      <c r="PAX37" s="3"/>
      <c r="PAY37" s="3"/>
      <c r="PAZ37" s="3"/>
      <c r="PBA37" s="3"/>
      <c r="PBB37" s="3"/>
      <c r="PBC37" s="3"/>
      <c r="PBD37" s="3"/>
      <c r="PBE37" s="3"/>
      <c r="PBF37" s="3"/>
      <c r="PBG37" s="3"/>
      <c r="PBH37" s="3"/>
      <c r="PBI37" s="3"/>
      <c r="PBJ37" s="3"/>
      <c r="PBK37" s="3"/>
      <c r="PBL37" s="3"/>
      <c r="PBM37" s="3"/>
      <c r="PBN37" s="3"/>
      <c r="PBO37" s="3"/>
      <c r="PBP37" s="3"/>
      <c r="PBQ37" s="3"/>
      <c r="PBR37" s="3"/>
      <c r="PBS37" s="3"/>
      <c r="PBT37" s="3"/>
      <c r="PBU37" s="3"/>
      <c r="PBV37" s="3"/>
      <c r="PBW37" s="3"/>
      <c r="PBX37" s="3"/>
      <c r="PBY37" s="3"/>
      <c r="PBZ37" s="3"/>
      <c r="PCA37" s="3"/>
      <c r="PCB37" s="3"/>
      <c r="PCC37" s="3"/>
      <c r="PCD37" s="3"/>
      <c r="PCE37" s="3"/>
      <c r="PCF37" s="3"/>
      <c r="PCG37" s="3"/>
      <c r="PCH37" s="3"/>
      <c r="PCI37" s="3"/>
      <c r="PCJ37" s="3"/>
      <c r="PCK37" s="3"/>
      <c r="PCL37" s="3"/>
      <c r="PCM37" s="3"/>
      <c r="PCN37" s="3"/>
      <c r="PCO37" s="3"/>
      <c r="PCP37" s="3"/>
      <c r="PCQ37" s="3"/>
      <c r="PCR37" s="3"/>
      <c r="PCS37" s="3"/>
      <c r="PCT37" s="3"/>
      <c r="PCU37" s="3"/>
      <c r="PCV37" s="3"/>
      <c r="PCW37" s="3"/>
      <c r="PCX37" s="3"/>
      <c r="PCY37" s="3"/>
      <c r="PCZ37" s="3"/>
      <c r="PDA37" s="3"/>
      <c r="PDB37" s="3"/>
      <c r="PDC37" s="3"/>
      <c r="PDD37" s="3"/>
      <c r="PDE37" s="3"/>
      <c r="PDF37" s="3"/>
      <c r="PDG37" s="3"/>
      <c r="PDH37" s="3"/>
      <c r="PDI37" s="3"/>
      <c r="PDJ37" s="3"/>
      <c r="PDK37" s="3"/>
      <c r="PDL37" s="3"/>
      <c r="PDM37" s="3"/>
      <c r="PDN37" s="3"/>
      <c r="PDO37" s="3"/>
      <c r="PDP37" s="3"/>
      <c r="PDQ37" s="3"/>
      <c r="PDR37" s="3"/>
      <c r="PDS37" s="3"/>
      <c r="PDT37" s="3"/>
      <c r="PDU37" s="3"/>
      <c r="PDV37" s="3"/>
      <c r="PDW37" s="3"/>
      <c r="PDX37" s="3"/>
      <c r="PDY37" s="3"/>
      <c r="PDZ37" s="3"/>
      <c r="PEA37" s="3"/>
      <c r="PEB37" s="3"/>
      <c r="PEC37" s="3"/>
      <c r="PED37" s="3"/>
      <c r="PEE37" s="3"/>
      <c r="PEF37" s="3"/>
      <c r="PEG37" s="3"/>
      <c r="PEH37" s="3"/>
      <c r="PEI37" s="3"/>
      <c r="PEJ37" s="3"/>
      <c r="PEK37" s="3"/>
      <c r="PEL37" s="3"/>
      <c r="PEM37" s="3"/>
      <c r="PEN37" s="3"/>
      <c r="PEO37" s="3"/>
      <c r="PEP37" s="3"/>
      <c r="PEQ37" s="3"/>
      <c r="PER37" s="3"/>
      <c r="PES37" s="3"/>
      <c r="PET37" s="3"/>
      <c r="PEU37" s="3"/>
      <c r="PEV37" s="3"/>
      <c r="PEW37" s="3"/>
      <c r="PEX37" s="3"/>
      <c r="PEY37" s="3"/>
      <c r="PEZ37" s="3"/>
      <c r="PFA37" s="3"/>
      <c r="PFB37" s="3"/>
      <c r="PFC37" s="3"/>
      <c r="PFD37" s="3"/>
      <c r="PFE37" s="3"/>
      <c r="PFF37" s="3"/>
      <c r="PFG37" s="3"/>
      <c r="PFH37" s="3"/>
      <c r="PFI37" s="3"/>
      <c r="PFJ37" s="3"/>
      <c r="PFK37" s="3"/>
      <c r="PFL37" s="3"/>
      <c r="PFM37" s="3"/>
      <c r="PFN37" s="3"/>
      <c r="PFO37" s="3"/>
      <c r="PFP37" s="3"/>
      <c r="PFQ37" s="3"/>
      <c r="PFR37" s="3"/>
      <c r="PFS37" s="3"/>
      <c r="PFT37" s="3"/>
      <c r="PFU37" s="3"/>
      <c r="PFV37" s="3"/>
      <c r="PFW37" s="3"/>
      <c r="PFX37" s="3"/>
      <c r="PFY37" s="3"/>
      <c r="PFZ37" s="3"/>
      <c r="PGA37" s="3"/>
      <c r="PGB37" s="3"/>
      <c r="PGC37" s="3"/>
      <c r="PGD37" s="3"/>
      <c r="PGE37" s="3"/>
      <c r="PGF37" s="3"/>
      <c r="PGG37" s="3"/>
      <c r="PGH37" s="3"/>
      <c r="PGI37" s="3"/>
      <c r="PGJ37" s="3"/>
      <c r="PGK37" s="3"/>
      <c r="PGL37" s="3"/>
      <c r="PGM37" s="3"/>
      <c r="PGN37" s="3"/>
      <c r="PGO37" s="3"/>
      <c r="PGP37" s="3"/>
      <c r="PGQ37" s="3"/>
      <c r="PGR37" s="3"/>
      <c r="PGS37" s="3"/>
      <c r="PGT37" s="3"/>
      <c r="PGU37" s="3"/>
      <c r="PGV37" s="3"/>
      <c r="PGW37" s="3"/>
      <c r="PGX37" s="3"/>
      <c r="PGY37" s="3"/>
      <c r="PGZ37" s="3"/>
      <c r="PHA37" s="3"/>
      <c r="PHB37" s="3"/>
      <c r="PHC37" s="3"/>
      <c r="PHD37" s="3"/>
      <c r="PHE37" s="3"/>
      <c r="PHF37" s="3"/>
      <c r="PHG37" s="3"/>
      <c r="PHH37" s="3"/>
      <c r="PHI37" s="3"/>
      <c r="PHJ37" s="3"/>
      <c r="PHK37" s="3"/>
      <c r="PHL37" s="3"/>
      <c r="PHM37" s="3"/>
      <c r="PHN37" s="3"/>
      <c r="PHO37" s="3"/>
      <c r="PHP37" s="3"/>
      <c r="PHQ37" s="3"/>
      <c r="PHR37" s="3"/>
      <c r="PHS37" s="3"/>
      <c r="PHT37" s="3"/>
      <c r="PHU37" s="3"/>
      <c r="PHV37" s="3"/>
      <c r="PHW37" s="3"/>
      <c r="PHX37" s="3"/>
      <c r="PHY37" s="3"/>
      <c r="PHZ37" s="3"/>
      <c r="PIA37" s="3"/>
      <c r="PIB37" s="3"/>
      <c r="PIC37" s="3"/>
      <c r="PID37" s="3"/>
      <c r="PIE37" s="3"/>
      <c r="PIF37" s="3"/>
      <c r="PIG37" s="3"/>
      <c r="PIH37" s="3"/>
      <c r="PII37" s="3"/>
      <c r="PIJ37" s="3"/>
      <c r="PIK37" s="3"/>
      <c r="PIL37" s="3"/>
      <c r="PIM37" s="3"/>
      <c r="PIN37" s="3"/>
      <c r="PIO37" s="3"/>
      <c r="PIP37" s="3"/>
      <c r="PIQ37" s="3"/>
      <c r="PIR37" s="3"/>
      <c r="PIS37" s="3"/>
      <c r="PIT37" s="3"/>
      <c r="PIU37" s="3"/>
      <c r="PIV37" s="3"/>
      <c r="PIW37" s="3"/>
      <c r="PIX37" s="3"/>
      <c r="PIY37" s="3"/>
      <c r="PIZ37" s="3"/>
      <c r="PJA37" s="3"/>
      <c r="PJB37" s="3"/>
      <c r="PJC37" s="3"/>
      <c r="PJD37" s="3"/>
      <c r="PJE37" s="3"/>
      <c r="PJF37" s="3"/>
      <c r="PJG37" s="3"/>
      <c r="PJH37" s="3"/>
      <c r="PJI37" s="3"/>
      <c r="PJJ37" s="3"/>
      <c r="PJK37" s="3"/>
      <c r="PJL37" s="3"/>
      <c r="PJM37" s="3"/>
      <c r="PJN37" s="3"/>
      <c r="PJO37" s="3"/>
      <c r="PJP37" s="3"/>
      <c r="PJQ37" s="3"/>
      <c r="PJR37" s="3"/>
      <c r="PJS37" s="3"/>
      <c r="PJT37" s="3"/>
      <c r="PJU37" s="3"/>
      <c r="PJV37" s="3"/>
      <c r="PJW37" s="3"/>
      <c r="PJX37" s="3"/>
      <c r="PJY37" s="3"/>
      <c r="PJZ37" s="3"/>
      <c r="PKA37" s="3"/>
      <c r="PKB37" s="3"/>
      <c r="PKC37" s="3"/>
      <c r="PKD37" s="3"/>
      <c r="PKE37" s="3"/>
      <c r="PKF37" s="3"/>
      <c r="PKG37" s="3"/>
      <c r="PKH37" s="3"/>
      <c r="PKI37" s="3"/>
      <c r="PKJ37" s="3"/>
      <c r="PKK37" s="3"/>
      <c r="PKL37" s="3"/>
      <c r="PKM37" s="3"/>
      <c r="PKN37" s="3"/>
      <c r="PKO37" s="3"/>
      <c r="PKP37" s="3"/>
      <c r="PKQ37" s="3"/>
      <c r="PKR37" s="3"/>
      <c r="PKS37" s="3"/>
      <c r="PKT37" s="3"/>
      <c r="PKU37" s="3"/>
      <c r="PKV37" s="3"/>
      <c r="PKW37" s="3"/>
      <c r="PKX37" s="3"/>
      <c r="PKY37" s="3"/>
      <c r="PKZ37" s="3"/>
      <c r="PLA37" s="3"/>
      <c r="PLB37" s="3"/>
      <c r="PLC37" s="3"/>
      <c r="PLD37" s="3"/>
      <c r="PLE37" s="3"/>
      <c r="PLF37" s="3"/>
      <c r="PLG37" s="3"/>
      <c r="PLH37" s="3"/>
      <c r="PLI37" s="3"/>
      <c r="PLJ37" s="3"/>
      <c r="PLK37" s="3"/>
      <c r="PLL37" s="3"/>
      <c r="PLM37" s="3"/>
      <c r="PLN37" s="3"/>
      <c r="PLO37" s="3"/>
      <c r="PLP37" s="3"/>
      <c r="PLQ37" s="3"/>
      <c r="PLR37" s="3"/>
      <c r="PLS37" s="3"/>
      <c r="PLT37" s="3"/>
      <c r="PLU37" s="3"/>
      <c r="PLV37" s="3"/>
      <c r="PLW37" s="3"/>
      <c r="PLX37" s="3"/>
      <c r="PLY37" s="3"/>
      <c r="PLZ37" s="3"/>
      <c r="PMA37" s="3"/>
      <c r="PMB37" s="3"/>
      <c r="PMC37" s="3"/>
      <c r="PMD37" s="3"/>
      <c r="PME37" s="3"/>
      <c r="PMF37" s="3"/>
      <c r="PMG37" s="3"/>
      <c r="PMH37" s="3"/>
      <c r="PMI37" s="3"/>
      <c r="PMJ37" s="3"/>
      <c r="PMK37" s="3"/>
      <c r="PML37" s="3"/>
      <c r="PMM37" s="3"/>
      <c r="PMN37" s="3"/>
      <c r="PMO37" s="3"/>
      <c r="PMP37" s="3"/>
      <c r="PMQ37" s="3"/>
      <c r="PMR37" s="3"/>
      <c r="PMS37" s="3"/>
      <c r="PMT37" s="3"/>
      <c r="PMU37" s="3"/>
      <c r="PMV37" s="3"/>
      <c r="PMW37" s="3"/>
      <c r="PMX37" s="3"/>
      <c r="PMY37" s="3"/>
      <c r="PMZ37" s="3"/>
      <c r="PNA37" s="3"/>
      <c r="PNB37" s="3"/>
      <c r="PNC37" s="3"/>
      <c r="PND37" s="3"/>
      <c r="PNE37" s="3"/>
      <c r="PNF37" s="3"/>
      <c r="PNG37" s="3"/>
      <c r="PNH37" s="3"/>
      <c r="PNI37" s="3"/>
      <c r="PNJ37" s="3"/>
      <c r="PNK37" s="3"/>
      <c r="PNL37" s="3"/>
      <c r="PNM37" s="3"/>
      <c r="PNN37" s="3"/>
      <c r="PNO37" s="3"/>
      <c r="PNP37" s="3"/>
      <c r="PNQ37" s="3"/>
      <c r="PNR37" s="3"/>
      <c r="PNS37" s="3"/>
      <c r="PNT37" s="3"/>
      <c r="PNU37" s="3"/>
      <c r="PNV37" s="3"/>
      <c r="PNW37" s="3"/>
      <c r="PNX37" s="3"/>
      <c r="PNY37" s="3"/>
      <c r="PNZ37" s="3"/>
      <c r="POA37" s="3"/>
      <c r="POB37" s="3"/>
      <c r="POC37" s="3"/>
      <c r="POD37" s="3"/>
      <c r="POE37" s="3"/>
      <c r="POF37" s="3"/>
      <c r="POG37" s="3"/>
      <c r="POH37" s="3"/>
      <c r="POI37" s="3"/>
      <c r="POJ37" s="3"/>
      <c r="POK37" s="3"/>
      <c r="POL37" s="3"/>
      <c r="POM37" s="3"/>
      <c r="PON37" s="3"/>
      <c r="POO37" s="3"/>
      <c r="POP37" s="3"/>
      <c r="POQ37" s="3"/>
      <c r="POR37" s="3"/>
      <c r="POS37" s="3"/>
      <c r="POT37" s="3"/>
      <c r="POU37" s="3"/>
      <c r="POV37" s="3"/>
      <c r="POW37" s="3"/>
      <c r="POX37" s="3"/>
      <c r="POY37" s="3"/>
      <c r="POZ37" s="3"/>
      <c r="PPA37" s="3"/>
      <c r="PPB37" s="3"/>
      <c r="PPC37" s="3"/>
      <c r="PPD37" s="3"/>
      <c r="PPE37" s="3"/>
      <c r="PPF37" s="3"/>
      <c r="PPG37" s="3"/>
      <c r="PPH37" s="3"/>
      <c r="PPI37" s="3"/>
      <c r="PPJ37" s="3"/>
      <c r="PPK37" s="3"/>
      <c r="PPL37" s="3"/>
      <c r="PPM37" s="3"/>
      <c r="PPN37" s="3"/>
      <c r="PPO37" s="3"/>
      <c r="PPP37" s="3"/>
      <c r="PPQ37" s="3"/>
      <c r="PPR37" s="3"/>
      <c r="PPS37" s="3"/>
      <c r="PPT37" s="3"/>
      <c r="PPU37" s="3"/>
      <c r="PPV37" s="3"/>
      <c r="PPW37" s="3"/>
      <c r="PPX37" s="3"/>
      <c r="PPY37" s="3"/>
      <c r="PPZ37" s="3"/>
      <c r="PQA37" s="3"/>
      <c r="PQB37" s="3"/>
      <c r="PQC37" s="3"/>
      <c r="PQD37" s="3"/>
      <c r="PQE37" s="3"/>
      <c r="PQF37" s="3"/>
      <c r="PQG37" s="3"/>
      <c r="PQH37" s="3"/>
      <c r="PQI37" s="3"/>
      <c r="PQJ37" s="3"/>
      <c r="PQK37" s="3"/>
      <c r="PQL37" s="3"/>
      <c r="PQM37" s="3"/>
      <c r="PQN37" s="3"/>
      <c r="PQO37" s="3"/>
      <c r="PQP37" s="3"/>
      <c r="PQQ37" s="3"/>
      <c r="PQR37" s="3"/>
      <c r="PQS37" s="3"/>
      <c r="PQT37" s="3"/>
      <c r="PQU37" s="3"/>
      <c r="PQV37" s="3"/>
      <c r="PQW37" s="3"/>
      <c r="PQX37" s="3"/>
      <c r="PQY37" s="3"/>
      <c r="PQZ37" s="3"/>
      <c r="PRA37" s="3"/>
      <c r="PRB37" s="3"/>
      <c r="PRC37" s="3"/>
      <c r="PRD37" s="3"/>
      <c r="PRE37" s="3"/>
      <c r="PRF37" s="3"/>
      <c r="PRG37" s="3"/>
      <c r="PRH37" s="3"/>
      <c r="PRI37" s="3"/>
      <c r="PRJ37" s="3"/>
      <c r="PRK37" s="3"/>
      <c r="PRL37" s="3"/>
      <c r="PRM37" s="3"/>
      <c r="PRN37" s="3"/>
      <c r="PRO37" s="3"/>
      <c r="PRP37" s="3"/>
      <c r="PRQ37" s="3"/>
      <c r="PRR37" s="3"/>
      <c r="PRS37" s="3"/>
      <c r="PRT37" s="3"/>
      <c r="PRU37" s="3"/>
      <c r="PRV37" s="3"/>
      <c r="PRW37" s="3"/>
      <c r="PRX37" s="3"/>
      <c r="PRY37" s="3"/>
      <c r="PRZ37" s="3"/>
      <c r="PSA37" s="3"/>
      <c r="PSB37" s="3"/>
      <c r="PSC37" s="3"/>
      <c r="PSD37" s="3"/>
      <c r="PSE37" s="3"/>
      <c r="PSF37" s="3"/>
      <c r="PSG37" s="3"/>
      <c r="PSH37" s="3"/>
      <c r="PSI37" s="3"/>
      <c r="PSJ37" s="3"/>
      <c r="PSK37" s="3"/>
      <c r="PSL37" s="3"/>
      <c r="PSM37" s="3"/>
      <c r="PSN37" s="3"/>
      <c r="PSO37" s="3"/>
      <c r="PSP37" s="3"/>
      <c r="PSQ37" s="3"/>
      <c r="PSR37" s="3"/>
      <c r="PSS37" s="3"/>
      <c r="PST37" s="3"/>
      <c r="PSU37" s="3"/>
      <c r="PSV37" s="3"/>
      <c r="PSW37" s="3"/>
      <c r="PSX37" s="3"/>
      <c r="PSY37" s="3"/>
      <c r="PSZ37" s="3"/>
      <c r="PTA37" s="3"/>
      <c r="PTB37" s="3"/>
      <c r="PTC37" s="3"/>
      <c r="PTD37" s="3"/>
      <c r="PTE37" s="3"/>
      <c r="PTF37" s="3"/>
      <c r="PTG37" s="3"/>
      <c r="PTH37" s="3"/>
      <c r="PTI37" s="3"/>
      <c r="PTJ37" s="3"/>
      <c r="PTK37" s="3"/>
      <c r="PTL37" s="3"/>
      <c r="PTM37" s="3"/>
      <c r="PTN37" s="3"/>
      <c r="PTO37" s="3"/>
      <c r="PTP37" s="3"/>
      <c r="PTQ37" s="3"/>
      <c r="PTR37" s="3"/>
      <c r="PTS37" s="3"/>
      <c r="PTT37" s="3"/>
      <c r="PTU37" s="3"/>
      <c r="PTV37" s="3"/>
      <c r="PTW37" s="3"/>
      <c r="PTX37" s="3"/>
      <c r="PTY37" s="3"/>
      <c r="PTZ37" s="3"/>
      <c r="PUA37" s="3"/>
      <c r="PUB37" s="3"/>
      <c r="PUC37" s="3"/>
      <c r="PUD37" s="3"/>
      <c r="PUE37" s="3"/>
      <c r="PUF37" s="3"/>
      <c r="PUG37" s="3"/>
      <c r="PUH37" s="3"/>
      <c r="PUI37" s="3"/>
      <c r="PUJ37" s="3"/>
      <c r="PUK37" s="3"/>
      <c r="PUL37" s="3"/>
      <c r="PUM37" s="3"/>
      <c r="PUN37" s="3"/>
      <c r="PUO37" s="3"/>
      <c r="PUP37" s="3"/>
      <c r="PUQ37" s="3"/>
      <c r="PUR37" s="3"/>
      <c r="PUS37" s="3"/>
      <c r="PUT37" s="3"/>
      <c r="PUU37" s="3"/>
      <c r="PUV37" s="3"/>
      <c r="PUW37" s="3"/>
      <c r="PUX37" s="3"/>
      <c r="PUY37" s="3"/>
      <c r="PUZ37" s="3"/>
      <c r="PVA37" s="3"/>
      <c r="PVB37" s="3"/>
      <c r="PVC37" s="3"/>
      <c r="PVD37" s="3"/>
      <c r="PVE37" s="3"/>
      <c r="PVF37" s="3"/>
      <c r="PVG37" s="3"/>
      <c r="PVH37" s="3"/>
      <c r="PVI37" s="3"/>
      <c r="PVJ37" s="3"/>
      <c r="PVK37" s="3"/>
      <c r="PVL37" s="3"/>
      <c r="PVM37" s="3"/>
      <c r="PVN37" s="3"/>
      <c r="PVO37" s="3"/>
      <c r="PVP37" s="3"/>
      <c r="PVQ37" s="3"/>
      <c r="PVR37" s="3"/>
      <c r="PVS37" s="3"/>
      <c r="PVT37" s="3"/>
      <c r="PVU37" s="3"/>
      <c r="PVV37" s="3"/>
      <c r="PVW37" s="3"/>
      <c r="PVX37" s="3"/>
      <c r="PVY37" s="3"/>
      <c r="PVZ37" s="3"/>
      <c r="PWA37" s="3"/>
      <c r="PWB37" s="3"/>
      <c r="PWC37" s="3"/>
      <c r="PWD37" s="3"/>
      <c r="PWE37" s="3"/>
      <c r="PWF37" s="3"/>
      <c r="PWG37" s="3"/>
      <c r="PWH37" s="3"/>
      <c r="PWI37" s="3"/>
      <c r="PWJ37" s="3"/>
      <c r="PWK37" s="3"/>
      <c r="PWL37" s="3"/>
      <c r="PWM37" s="3"/>
      <c r="PWN37" s="3"/>
      <c r="PWO37" s="3"/>
      <c r="PWP37" s="3"/>
      <c r="PWQ37" s="3"/>
      <c r="PWR37" s="3"/>
      <c r="PWS37" s="3"/>
      <c r="PWT37" s="3"/>
      <c r="PWU37" s="3"/>
      <c r="PWV37" s="3"/>
      <c r="PWW37" s="3"/>
      <c r="PWX37" s="3"/>
      <c r="PWY37" s="3"/>
      <c r="PWZ37" s="3"/>
      <c r="PXA37" s="3"/>
      <c r="PXB37" s="3"/>
      <c r="PXC37" s="3"/>
      <c r="PXD37" s="3"/>
      <c r="PXE37" s="3"/>
      <c r="PXF37" s="3"/>
      <c r="PXG37" s="3"/>
      <c r="PXH37" s="3"/>
      <c r="PXI37" s="3"/>
      <c r="PXJ37" s="3"/>
      <c r="PXK37" s="3"/>
      <c r="PXL37" s="3"/>
      <c r="PXM37" s="3"/>
      <c r="PXN37" s="3"/>
      <c r="PXO37" s="3"/>
      <c r="PXP37" s="3"/>
      <c r="PXQ37" s="3"/>
      <c r="PXR37" s="3"/>
      <c r="PXS37" s="3"/>
      <c r="PXT37" s="3"/>
      <c r="PXU37" s="3"/>
      <c r="PXV37" s="3"/>
      <c r="PXW37" s="3"/>
      <c r="PXX37" s="3"/>
      <c r="PXY37" s="3"/>
      <c r="PXZ37" s="3"/>
      <c r="PYA37" s="3"/>
      <c r="PYB37" s="3"/>
      <c r="PYC37" s="3"/>
      <c r="PYD37" s="3"/>
      <c r="PYE37" s="3"/>
      <c r="PYF37" s="3"/>
      <c r="PYG37" s="3"/>
      <c r="PYH37" s="3"/>
      <c r="PYI37" s="3"/>
      <c r="PYJ37" s="3"/>
      <c r="PYK37" s="3"/>
      <c r="PYL37" s="3"/>
      <c r="PYM37" s="3"/>
      <c r="PYN37" s="3"/>
      <c r="PYO37" s="3"/>
      <c r="PYP37" s="3"/>
      <c r="PYQ37" s="3"/>
      <c r="PYR37" s="3"/>
      <c r="PYS37" s="3"/>
      <c r="PYT37" s="3"/>
      <c r="PYU37" s="3"/>
      <c r="PYV37" s="3"/>
      <c r="PYW37" s="3"/>
      <c r="PYX37" s="3"/>
      <c r="PYY37" s="3"/>
      <c r="PYZ37" s="3"/>
      <c r="PZA37" s="3"/>
      <c r="PZB37" s="3"/>
      <c r="PZC37" s="3"/>
      <c r="PZD37" s="3"/>
      <c r="PZE37" s="3"/>
      <c r="PZF37" s="3"/>
      <c r="PZG37" s="3"/>
      <c r="PZH37" s="3"/>
      <c r="PZI37" s="3"/>
      <c r="PZJ37" s="3"/>
      <c r="PZK37" s="3"/>
      <c r="PZL37" s="3"/>
      <c r="PZM37" s="3"/>
      <c r="PZN37" s="3"/>
      <c r="PZO37" s="3"/>
      <c r="PZP37" s="3"/>
      <c r="PZQ37" s="3"/>
      <c r="PZR37" s="3"/>
      <c r="PZS37" s="3"/>
      <c r="PZT37" s="3"/>
      <c r="PZU37" s="3"/>
      <c r="PZV37" s="3"/>
      <c r="PZW37" s="3"/>
      <c r="PZX37" s="3"/>
      <c r="PZY37" s="3"/>
      <c r="PZZ37" s="3"/>
      <c r="QAA37" s="3"/>
      <c r="QAB37" s="3"/>
      <c r="QAC37" s="3"/>
      <c r="QAD37" s="3"/>
      <c r="QAE37" s="3"/>
      <c r="QAF37" s="3"/>
      <c r="QAG37" s="3"/>
      <c r="QAH37" s="3"/>
      <c r="QAI37" s="3"/>
      <c r="QAJ37" s="3"/>
      <c r="QAK37" s="3"/>
      <c r="QAL37" s="3"/>
      <c r="QAM37" s="3"/>
      <c r="QAN37" s="3"/>
      <c r="QAO37" s="3"/>
      <c r="QAP37" s="3"/>
      <c r="QAQ37" s="3"/>
      <c r="QAR37" s="3"/>
      <c r="QAS37" s="3"/>
      <c r="QAT37" s="3"/>
      <c r="QAU37" s="3"/>
      <c r="QAV37" s="3"/>
      <c r="QAW37" s="3"/>
      <c r="QAX37" s="3"/>
      <c r="QAY37" s="3"/>
      <c r="QAZ37" s="3"/>
      <c r="QBA37" s="3"/>
      <c r="QBB37" s="3"/>
      <c r="QBC37" s="3"/>
      <c r="QBD37" s="3"/>
      <c r="QBE37" s="3"/>
      <c r="QBF37" s="3"/>
      <c r="QBG37" s="3"/>
      <c r="QBH37" s="3"/>
      <c r="QBI37" s="3"/>
      <c r="QBJ37" s="3"/>
      <c r="QBK37" s="3"/>
      <c r="QBL37" s="3"/>
      <c r="QBM37" s="3"/>
      <c r="QBN37" s="3"/>
      <c r="QBO37" s="3"/>
      <c r="QBP37" s="3"/>
      <c r="QBQ37" s="3"/>
      <c r="QBR37" s="3"/>
      <c r="QBS37" s="3"/>
      <c r="QBT37" s="3"/>
      <c r="QBU37" s="3"/>
      <c r="QBV37" s="3"/>
      <c r="QBW37" s="3"/>
      <c r="QBX37" s="3"/>
      <c r="QBY37" s="3"/>
      <c r="QBZ37" s="3"/>
      <c r="QCA37" s="3"/>
      <c r="QCB37" s="3"/>
      <c r="QCC37" s="3"/>
      <c r="QCD37" s="3"/>
      <c r="QCE37" s="3"/>
      <c r="QCF37" s="3"/>
      <c r="QCG37" s="3"/>
      <c r="QCH37" s="3"/>
      <c r="QCI37" s="3"/>
      <c r="QCJ37" s="3"/>
      <c r="QCK37" s="3"/>
      <c r="QCL37" s="3"/>
      <c r="QCM37" s="3"/>
      <c r="QCN37" s="3"/>
      <c r="QCO37" s="3"/>
      <c r="QCP37" s="3"/>
      <c r="QCQ37" s="3"/>
      <c r="QCR37" s="3"/>
      <c r="QCS37" s="3"/>
      <c r="QCT37" s="3"/>
      <c r="QCU37" s="3"/>
      <c r="QCV37" s="3"/>
      <c r="QCW37" s="3"/>
      <c r="QCX37" s="3"/>
      <c r="QCY37" s="3"/>
      <c r="QCZ37" s="3"/>
      <c r="QDA37" s="3"/>
      <c r="QDB37" s="3"/>
      <c r="QDC37" s="3"/>
      <c r="QDD37" s="3"/>
      <c r="QDE37" s="3"/>
      <c r="QDF37" s="3"/>
      <c r="QDG37" s="3"/>
      <c r="QDH37" s="3"/>
      <c r="QDI37" s="3"/>
      <c r="QDJ37" s="3"/>
      <c r="QDK37" s="3"/>
      <c r="QDL37" s="3"/>
      <c r="QDM37" s="3"/>
      <c r="QDN37" s="3"/>
      <c r="QDO37" s="3"/>
      <c r="QDP37" s="3"/>
      <c r="QDQ37" s="3"/>
      <c r="QDR37" s="3"/>
      <c r="QDS37" s="3"/>
      <c r="QDT37" s="3"/>
      <c r="QDU37" s="3"/>
      <c r="QDV37" s="3"/>
      <c r="QDW37" s="3"/>
      <c r="QDX37" s="3"/>
      <c r="QDY37" s="3"/>
      <c r="QDZ37" s="3"/>
      <c r="QEA37" s="3"/>
      <c r="QEB37" s="3"/>
      <c r="QEC37" s="3"/>
      <c r="QED37" s="3"/>
      <c r="QEE37" s="3"/>
      <c r="QEF37" s="3"/>
      <c r="QEG37" s="3"/>
      <c r="QEH37" s="3"/>
      <c r="QEI37" s="3"/>
      <c r="QEJ37" s="3"/>
      <c r="QEK37" s="3"/>
      <c r="QEL37" s="3"/>
      <c r="QEM37" s="3"/>
      <c r="QEN37" s="3"/>
      <c r="QEO37" s="3"/>
      <c r="QEP37" s="3"/>
      <c r="QEQ37" s="3"/>
      <c r="QER37" s="3"/>
      <c r="QES37" s="3"/>
      <c r="QET37" s="3"/>
      <c r="QEU37" s="3"/>
      <c r="QEV37" s="3"/>
      <c r="QEW37" s="3"/>
      <c r="QEX37" s="3"/>
      <c r="QEY37" s="3"/>
      <c r="QEZ37" s="3"/>
      <c r="QFA37" s="3"/>
      <c r="QFB37" s="3"/>
      <c r="QFC37" s="3"/>
      <c r="QFD37" s="3"/>
      <c r="QFE37" s="3"/>
      <c r="QFF37" s="3"/>
      <c r="QFG37" s="3"/>
      <c r="QFH37" s="3"/>
      <c r="QFI37" s="3"/>
      <c r="QFJ37" s="3"/>
      <c r="QFK37" s="3"/>
      <c r="QFL37" s="3"/>
      <c r="QFM37" s="3"/>
      <c r="QFN37" s="3"/>
      <c r="QFO37" s="3"/>
      <c r="QFP37" s="3"/>
      <c r="QFQ37" s="3"/>
      <c r="QFR37" s="3"/>
      <c r="QFS37" s="3"/>
      <c r="QFT37" s="3"/>
      <c r="QFU37" s="3"/>
      <c r="QFV37" s="3"/>
      <c r="QFW37" s="3"/>
      <c r="QFX37" s="3"/>
      <c r="QFY37" s="3"/>
      <c r="QFZ37" s="3"/>
      <c r="QGA37" s="3"/>
      <c r="QGB37" s="3"/>
      <c r="QGC37" s="3"/>
      <c r="QGD37" s="3"/>
      <c r="QGE37" s="3"/>
      <c r="QGF37" s="3"/>
      <c r="QGG37" s="3"/>
      <c r="QGH37" s="3"/>
      <c r="QGI37" s="3"/>
      <c r="QGJ37" s="3"/>
      <c r="QGK37" s="3"/>
      <c r="QGL37" s="3"/>
      <c r="QGM37" s="3"/>
      <c r="QGN37" s="3"/>
      <c r="QGO37" s="3"/>
      <c r="QGP37" s="3"/>
      <c r="QGQ37" s="3"/>
      <c r="QGR37" s="3"/>
      <c r="QGS37" s="3"/>
      <c r="QGT37" s="3"/>
      <c r="QGU37" s="3"/>
      <c r="QGV37" s="3"/>
      <c r="QGW37" s="3"/>
      <c r="QGX37" s="3"/>
      <c r="QGY37" s="3"/>
      <c r="QGZ37" s="3"/>
      <c r="QHA37" s="3"/>
      <c r="QHB37" s="3"/>
      <c r="QHC37" s="3"/>
      <c r="QHD37" s="3"/>
      <c r="QHE37" s="3"/>
      <c r="QHF37" s="3"/>
      <c r="QHG37" s="3"/>
      <c r="QHH37" s="3"/>
      <c r="QHI37" s="3"/>
      <c r="QHJ37" s="3"/>
      <c r="QHK37" s="3"/>
      <c r="QHL37" s="3"/>
      <c r="QHM37" s="3"/>
      <c r="QHN37" s="3"/>
      <c r="QHO37" s="3"/>
      <c r="QHP37" s="3"/>
      <c r="QHQ37" s="3"/>
      <c r="QHR37" s="3"/>
      <c r="QHS37" s="3"/>
      <c r="QHT37" s="3"/>
      <c r="QHU37" s="3"/>
      <c r="QHV37" s="3"/>
      <c r="QHW37" s="3"/>
      <c r="QHX37" s="3"/>
      <c r="QHY37" s="3"/>
      <c r="QHZ37" s="3"/>
      <c r="QIA37" s="3"/>
      <c r="QIB37" s="3"/>
      <c r="QIC37" s="3"/>
      <c r="QID37" s="3"/>
      <c r="QIE37" s="3"/>
      <c r="QIF37" s="3"/>
      <c r="QIG37" s="3"/>
      <c r="QIH37" s="3"/>
      <c r="QII37" s="3"/>
      <c r="QIJ37" s="3"/>
      <c r="QIK37" s="3"/>
      <c r="QIL37" s="3"/>
      <c r="QIM37" s="3"/>
      <c r="QIN37" s="3"/>
      <c r="QIO37" s="3"/>
      <c r="QIP37" s="3"/>
      <c r="QIQ37" s="3"/>
      <c r="QIR37" s="3"/>
      <c r="QIS37" s="3"/>
      <c r="QIT37" s="3"/>
      <c r="QIU37" s="3"/>
      <c r="QIV37" s="3"/>
      <c r="QIW37" s="3"/>
      <c r="QIX37" s="3"/>
      <c r="QIY37" s="3"/>
      <c r="QIZ37" s="3"/>
      <c r="QJA37" s="3"/>
      <c r="QJB37" s="3"/>
      <c r="QJC37" s="3"/>
      <c r="QJD37" s="3"/>
      <c r="QJE37" s="3"/>
      <c r="QJF37" s="3"/>
      <c r="QJG37" s="3"/>
      <c r="QJH37" s="3"/>
      <c r="QJI37" s="3"/>
      <c r="QJJ37" s="3"/>
      <c r="QJK37" s="3"/>
      <c r="QJL37" s="3"/>
      <c r="QJM37" s="3"/>
      <c r="QJN37" s="3"/>
      <c r="QJO37" s="3"/>
      <c r="QJP37" s="3"/>
      <c r="QJQ37" s="3"/>
      <c r="QJR37" s="3"/>
      <c r="QJS37" s="3"/>
      <c r="QJT37" s="3"/>
      <c r="QJU37" s="3"/>
      <c r="QJV37" s="3"/>
      <c r="QJW37" s="3"/>
      <c r="QJX37" s="3"/>
      <c r="QJY37" s="3"/>
      <c r="QJZ37" s="3"/>
      <c r="QKA37" s="3"/>
      <c r="QKB37" s="3"/>
      <c r="QKC37" s="3"/>
      <c r="QKD37" s="3"/>
      <c r="QKE37" s="3"/>
      <c r="QKF37" s="3"/>
      <c r="QKG37" s="3"/>
      <c r="QKH37" s="3"/>
      <c r="QKI37" s="3"/>
      <c r="QKJ37" s="3"/>
      <c r="QKK37" s="3"/>
      <c r="QKL37" s="3"/>
      <c r="QKM37" s="3"/>
      <c r="QKN37" s="3"/>
      <c r="QKO37" s="3"/>
      <c r="QKP37" s="3"/>
      <c r="QKQ37" s="3"/>
      <c r="QKR37" s="3"/>
      <c r="QKS37" s="3"/>
      <c r="QKT37" s="3"/>
      <c r="QKU37" s="3"/>
      <c r="QKV37" s="3"/>
      <c r="QKW37" s="3"/>
      <c r="QKX37" s="3"/>
      <c r="QKY37" s="3"/>
      <c r="QKZ37" s="3"/>
      <c r="QLA37" s="3"/>
      <c r="QLB37" s="3"/>
      <c r="QLC37" s="3"/>
      <c r="QLD37" s="3"/>
      <c r="QLE37" s="3"/>
      <c r="QLF37" s="3"/>
      <c r="QLG37" s="3"/>
      <c r="QLH37" s="3"/>
      <c r="QLI37" s="3"/>
      <c r="QLJ37" s="3"/>
      <c r="QLK37" s="3"/>
      <c r="QLL37" s="3"/>
      <c r="QLM37" s="3"/>
      <c r="QLN37" s="3"/>
      <c r="QLO37" s="3"/>
      <c r="QLP37" s="3"/>
      <c r="QLQ37" s="3"/>
      <c r="QLR37" s="3"/>
      <c r="QLS37" s="3"/>
      <c r="QLT37" s="3"/>
      <c r="QLU37" s="3"/>
      <c r="QLV37" s="3"/>
      <c r="QLW37" s="3"/>
      <c r="QLX37" s="3"/>
      <c r="QLY37" s="3"/>
      <c r="QLZ37" s="3"/>
      <c r="QMA37" s="3"/>
      <c r="QMB37" s="3"/>
      <c r="QMC37" s="3"/>
      <c r="QMD37" s="3"/>
      <c r="QME37" s="3"/>
      <c r="QMF37" s="3"/>
      <c r="QMG37" s="3"/>
      <c r="QMH37" s="3"/>
      <c r="QMI37" s="3"/>
      <c r="QMJ37" s="3"/>
      <c r="QMK37" s="3"/>
      <c r="QML37" s="3"/>
      <c r="QMM37" s="3"/>
      <c r="QMN37" s="3"/>
      <c r="QMO37" s="3"/>
      <c r="QMP37" s="3"/>
      <c r="QMQ37" s="3"/>
      <c r="QMR37" s="3"/>
      <c r="QMS37" s="3"/>
      <c r="QMT37" s="3"/>
      <c r="QMU37" s="3"/>
      <c r="QMV37" s="3"/>
      <c r="QMW37" s="3"/>
      <c r="QMX37" s="3"/>
      <c r="QMY37" s="3"/>
      <c r="QMZ37" s="3"/>
      <c r="QNA37" s="3"/>
      <c r="QNB37" s="3"/>
      <c r="QNC37" s="3"/>
      <c r="QND37" s="3"/>
      <c r="QNE37" s="3"/>
      <c r="QNF37" s="3"/>
      <c r="QNG37" s="3"/>
      <c r="QNH37" s="3"/>
      <c r="QNI37" s="3"/>
      <c r="QNJ37" s="3"/>
      <c r="QNK37" s="3"/>
      <c r="QNL37" s="3"/>
      <c r="QNM37" s="3"/>
      <c r="QNN37" s="3"/>
      <c r="QNO37" s="3"/>
      <c r="QNP37" s="3"/>
      <c r="QNQ37" s="3"/>
      <c r="QNR37" s="3"/>
      <c r="QNS37" s="3"/>
      <c r="QNT37" s="3"/>
      <c r="QNU37" s="3"/>
      <c r="QNV37" s="3"/>
      <c r="QNW37" s="3"/>
      <c r="QNX37" s="3"/>
      <c r="QNY37" s="3"/>
      <c r="QNZ37" s="3"/>
      <c r="QOA37" s="3"/>
      <c r="QOB37" s="3"/>
      <c r="QOC37" s="3"/>
      <c r="QOD37" s="3"/>
      <c r="QOE37" s="3"/>
      <c r="QOF37" s="3"/>
      <c r="QOG37" s="3"/>
      <c r="QOH37" s="3"/>
      <c r="QOI37" s="3"/>
      <c r="QOJ37" s="3"/>
      <c r="QOK37" s="3"/>
      <c r="QOL37" s="3"/>
      <c r="QOM37" s="3"/>
      <c r="QON37" s="3"/>
      <c r="QOO37" s="3"/>
      <c r="QOP37" s="3"/>
      <c r="QOQ37" s="3"/>
      <c r="QOR37" s="3"/>
      <c r="QOS37" s="3"/>
      <c r="QOT37" s="3"/>
      <c r="QOU37" s="3"/>
      <c r="QOV37" s="3"/>
      <c r="QOW37" s="3"/>
      <c r="QOX37" s="3"/>
      <c r="QOY37" s="3"/>
      <c r="QOZ37" s="3"/>
      <c r="QPA37" s="3"/>
      <c r="QPB37" s="3"/>
      <c r="QPC37" s="3"/>
      <c r="QPD37" s="3"/>
      <c r="QPE37" s="3"/>
      <c r="QPF37" s="3"/>
      <c r="QPG37" s="3"/>
      <c r="QPH37" s="3"/>
      <c r="QPI37" s="3"/>
      <c r="QPJ37" s="3"/>
      <c r="QPK37" s="3"/>
      <c r="QPL37" s="3"/>
      <c r="QPM37" s="3"/>
      <c r="QPN37" s="3"/>
      <c r="QPO37" s="3"/>
      <c r="QPP37" s="3"/>
      <c r="QPQ37" s="3"/>
      <c r="QPR37" s="3"/>
      <c r="QPS37" s="3"/>
      <c r="QPT37" s="3"/>
      <c r="QPU37" s="3"/>
      <c r="QPV37" s="3"/>
      <c r="QPW37" s="3"/>
      <c r="QPX37" s="3"/>
      <c r="QPY37" s="3"/>
      <c r="QPZ37" s="3"/>
      <c r="QQA37" s="3"/>
      <c r="QQB37" s="3"/>
      <c r="QQC37" s="3"/>
      <c r="QQD37" s="3"/>
      <c r="QQE37" s="3"/>
      <c r="QQF37" s="3"/>
      <c r="QQG37" s="3"/>
      <c r="QQH37" s="3"/>
      <c r="QQI37" s="3"/>
      <c r="QQJ37" s="3"/>
      <c r="QQK37" s="3"/>
      <c r="QQL37" s="3"/>
      <c r="QQM37" s="3"/>
      <c r="QQN37" s="3"/>
      <c r="QQO37" s="3"/>
      <c r="QQP37" s="3"/>
      <c r="QQQ37" s="3"/>
      <c r="QQR37" s="3"/>
      <c r="QQS37" s="3"/>
      <c r="QQT37" s="3"/>
      <c r="QQU37" s="3"/>
      <c r="QQV37" s="3"/>
      <c r="QQW37" s="3"/>
      <c r="QQX37" s="3"/>
      <c r="QQY37" s="3"/>
      <c r="QQZ37" s="3"/>
      <c r="QRA37" s="3"/>
      <c r="QRB37" s="3"/>
      <c r="QRC37" s="3"/>
      <c r="QRD37" s="3"/>
      <c r="QRE37" s="3"/>
      <c r="QRF37" s="3"/>
      <c r="QRG37" s="3"/>
      <c r="QRH37" s="3"/>
      <c r="QRI37" s="3"/>
      <c r="QRJ37" s="3"/>
      <c r="QRK37" s="3"/>
      <c r="QRL37" s="3"/>
      <c r="QRM37" s="3"/>
      <c r="QRN37" s="3"/>
      <c r="QRO37" s="3"/>
      <c r="QRP37" s="3"/>
      <c r="QRQ37" s="3"/>
      <c r="QRR37" s="3"/>
      <c r="QRS37" s="3"/>
      <c r="QRT37" s="3"/>
      <c r="QRU37" s="3"/>
      <c r="QRV37" s="3"/>
      <c r="QRW37" s="3"/>
      <c r="QRX37" s="3"/>
      <c r="QRY37" s="3"/>
      <c r="QRZ37" s="3"/>
      <c r="QSA37" s="3"/>
      <c r="QSB37" s="3"/>
      <c r="QSC37" s="3"/>
      <c r="QSD37" s="3"/>
      <c r="QSE37" s="3"/>
      <c r="QSF37" s="3"/>
      <c r="QSG37" s="3"/>
      <c r="QSH37" s="3"/>
      <c r="QSI37" s="3"/>
      <c r="QSJ37" s="3"/>
      <c r="QSK37" s="3"/>
      <c r="QSL37" s="3"/>
      <c r="QSM37" s="3"/>
      <c r="QSN37" s="3"/>
      <c r="QSO37" s="3"/>
      <c r="QSP37" s="3"/>
      <c r="QSQ37" s="3"/>
      <c r="QSR37" s="3"/>
      <c r="QSS37" s="3"/>
      <c r="QST37" s="3"/>
      <c r="QSU37" s="3"/>
      <c r="QSV37" s="3"/>
      <c r="QSW37" s="3"/>
      <c r="QSX37" s="3"/>
      <c r="QSY37" s="3"/>
      <c r="QSZ37" s="3"/>
      <c r="QTA37" s="3"/>
      <c r="QTB37" s="3"/>
      <c r="QTC37" s="3"/>
      <c r="QTD37" s="3"/>
      <c r="QTE37" s="3"/>
      <c r="QTF37" s="3"/>
      <c r="QTG37" s="3"/>
      <c r="QTH37" s="3"/>
      <c r="QTI37" s="3"/>
      <c r="QTJ37" s="3"/>
      <c r="QTK37" s="3"/>
      <c r="QTL37" s="3"/>
      <c r="QTM37" s="3"/>
      <c r="QTN37" s="3"/>
      <c r="QTO37" s="3"/>
      <c r="QTP37" s="3"/>
      <c r="QTQ37" s="3"/>
      <c r="QTR37" s="3"/>
      <c r="QTS37" s="3"/>
      <c r="QTT37" s="3"/>
      <c r="QTU37" s="3"/>
      <c r="QTV37" s="3"/>
      <c r="QTW37" s="3"/>
      <c r="QTX37" s="3"/>
      <c r="QTY37" s="3"/>
      <c r="QTZ37" s="3"/>
      <c r="QUA37" s="3"/>
      <c r="QUB37" s="3"/>
      <c r="QUC37" s="3"/>
      <c r="QUD37" s="3"/>
      <c r="QUE37" s="3"/>
      <c r="QUF37" s="3"/>
      <c r="QUG37" s="3"/>
      <c r="QUH37" s="3"/>
      <c r="QUI37" s="3"/>
      <c r="QUJ37" s="3"/>
      <c r="QUK37" s="3"/>
      <c r="QUL37" s="3"/>
      <c r="QUM37" s="3"/>
      <c r="QUN37" s="3"/>
      <c r="QUO37" s="3"/>
      <c r="QUP37" s="3"/>
      <c r="QUQ37" s="3"/>
      <c r="QUR37" s="3"/>
      <c r="QUS37" s="3"/>
      <c r="QUT37" s="3"/>
      <c r="QUU37" s="3"/>
      <c r="QUV37" s="3"/>
      <c r="QUW37" s="3"/>
      <c r="QUX37" s="3"/>
      <c r="QUY37" s="3"/>
      <c r="QUZ37" s="3"/>
      <c r="QVA37" s="3"/>
      <c r="QVB37" s="3"/>
      <c r="QVC37" s="3"/>
      <c r="QVD37" s="3"/>
      <c r="QVE37" s="3"/>
      <c r="QVF37" s="3"/>
      <c r="QVG37" s="3"/>
      <c r="QVH37" s="3"/>
      <c r="QVI37" s="3"/>
      <c r="QVJ37" s="3"/>
      <c r="QVK37" s="3"/>
      <c r="QVL37" s="3"/>
      <c r="QVM37" s="3"/>
      <c r="QVN37" s="3"/>
      <c r="QVO37" s="3"/>
      <c r="QVP37" s="3"/>
      <c r="QVQ37" s="3"/>
      <c r="QVR37" s="3"/>
      <c r="QVS37" s="3"/>
      <c r="QVT37" s="3"/>
      <c r="QVU37" s="3"/>
      <c r="QVV37" s="3"/>
      <c r="QVW37" s="3"/>
      <c r="QVX37" s="3"/>
      <c r="QVY37" s="3"/>
      <c r="QVZ37" s="3"/>
      <c r="QWA37" s="3"/>
      <c r="QWB37" s="3"/>
      <c r="QWC37" s="3"/>
      <c r="QWD37" s="3"/>
      <c r="QWE37" s="3"/>
      <c r="QWF37" s="3"/>
      <c r="QWG37" s="3"/>
      <c r="QWH37" s="3"/>
      <c r="QWI37" s="3"/>
      <c r="QWJ37" s="3"/>
      <c r="QWK37" s="3"/>
      <c r="QWL37" s="3"/>
      <c r="QWM37" s="3"/>
      <c r="QWN37" s="3"/>
      <c r="QWO37" s="3"/>
      <c r="QWP37" s="3"/>
      <c r="QWQ37" s="3"/>
      <c r="QWR37" s="3"/>
      <c r="QWS37" s="3"/>
      <c r="QWT37" s="3"/>
      <c r="QWU37" s="3"/>
      <c r="QWV37" s="3"/>
      <c r="QWW37" s="3"/>
      <c r="QWX37" s="3"/>
      <c r="QWY37" s="3"/>
      <c r="QWZ37" s="3"/>
      <c r="QXA37" s="3"/>
      <c r="QXB37" s="3"/>
      <c r="QXC37" s="3"/>
      <c r="QXD37" s="3"/>
      <c r="QXE37" s="3"/>
      <c r="QXF37" s="3"/>
      <c r="QXG37" s="3"/>
      <c r="QXH37" s="3"/>
      <c r="QXI37" s="3"/>
      <c r="QXJ37" s="3"/>
      <c r="QXK37" s="3"/>
      <c r="QXL37" s="3"/>
      <c r="QXM37" s="3"/>
      <c r="QXN37" s="3"/>
      <c r="QXO37" s="3"/>
      <c r="QXP37" s="3"/>
      <c r="QXQ37" s="3"/>
      <c r="QXR37" s="3"/>
      <c r="QXS37" s="3"/>
      <c r="QXT37" s="3"/>
      <c r="QXU37" s="3"/>
      <c r="QXV37" s="3"/>
      <c r="QXW37" s="3"/>
      <c r="QXX37" s="3"/>
      <c r="QXY37" s="3"/>
      <c r="QXZ37" s="3"/>
      <c r="QYA37" s="3"/>
      <c r="QYB37" s="3"/>
      <c r="QYC37" s="3"/>
      <c r="QYD37" s="3"/>
      <c r="QYE37" s="3"/>
      <c r="QYF37" s="3"/>
      <c r="QYG37" s="3"/>
      <c r="QYH37" s="3"/>
      <c r="QYI37" s="3"/>
      <c r="QYJ37" s="3"/>
      <c r="QYK37" s="3"/>
      <c r="QYL37" s="3"/>
      <c r="QYM37" s="3"/>
      <c r="QYN37" s="3"/>
      <c r="QYO37" s="3"/>
      <c r="QYP37" s="3"/>
      <c r="QYQ37" s="3"/>
      <c r="QYR37" s="3"/>
      <c r="QYS37" s="3"/>
      <c r="QYT37" s="3"/>
      <c r="QYU37" s="3"/>
      <c r="QYV37" s="3"/>
      <c r="QYW37" s="3"/>
      <c r="QYX37" s="3"/>
      <c r="QYY37" s="3"/>
      <c r="QYZ37" s="3"/>
      <c r="QZA37" s="3"/>
      <c r="QZB37" s="3"/>
      <c r="QZC37" s="3"/>
      <c r="QZD37" s="3"/>
      <c r="QZE37" s="3"/>
      <c r="QZF37" s="3"/>
      <c r="QZG37" s="3"/>
      <c r="QZH37" s="3"/>
      <c r="QZI37" s="3"/>
      <c r="QZJ37" s="3"/>
      <c r="QZK37" s="3"/>
      <c r="QZL37" s="3"/>
      <c r="QZM37" s="3"/>
      <c r="QZN37" s="3"/>
      <c r="QZO37" s="3"/>
      <c r="QZP37" s="3"/>
      <c r="QZQ37" s="3"/>
      <c r="QZR37" s="3"/>
      <c r="QZS37" s="3"/>
      <c r="QZT37" s="3"/>
      <c r="QZU37" s="3"/>
      <c r="QZV37" s="3"/>
      <c r="QZW37" s="3"/>
      <c r="QZX37" s="3"/>
      <c r="QZY37" s="3"/>
      <c r="QZZ37" s="3"/>
      <c r="RAA37" s="3"/>
      <c r="RAB37" s="3"/>
      <c r="RAC37" s="3"/>
      <c r="RAD37" s="3"/>
      <c r="RAE37" s="3"/>
      <c r="RAF37" s="3"/>
      <c r="RAG37" s="3"/>
      <c r="RAH37" s="3"/>
      <c r="RAI37" s="3"/>
      <c r="RAJ37" s="3"/>
      <c r="RAK37" s="3"/>
      <c r="RAL37" s="3"/>
      <c r="RAM37" s="3"/>
      <c r="RAN37" s="3"/>
      <c r="RAO37" s="3"/>
      <c r="RAP37" s="3"/>
      <c r="RAQ37" s="3"/>
      <c r="RAR37" s="3"/>
      <c r="RAS37" s="3"/>
      <c r="RAT37" s="3"/>
      <c r="RAU37" s="3"/>
      <c r="RAV37" s="3"/>
      <c r="RAW37" s="3"/>
      <c r="RAX37" s="3"/>
      <c r="RAY37" s="3"/>
      <c r="RAZ37" s="3"/>
      <c r="RBA37" s="3"/>
      <c r="RBB37" s="3"/>
      <c r="RBC37" s="3"/>
      <c r="RBD37" s="3"/>
      <c r="RBE37" s="3"/>
      <c r="RBF37" s="3"/>
      <c r="RBG37" s="3"/>
      <c r="RBH37" s="3"/>
      <c r="RBI37" s="3"/>
      <c r="RBJ37" s="3"/>
      <c r="RBK37" s="3"/>
      <c r="RBL37" s="3"/>
      <c r="RBM37" s="3"/>
      <c r="RBN37" s="3"/>
      <c r="RBO37" s="3"/>
      <c r="RBP37" s="3"/>
      <c r="RBQ37" s="3"/>
      <c r="RBR37" s="3"/>
      <c r="RBS37" s="3"/>
      <c r="RBT37" s="3"/>
      <c r="RBU37" s="3"/>
      <c r="RBV37" s="3"/>
      <c r="RBW37" s="3"/>
      <c r="RBX37" s="3"/>
      <c r="RBY37" s="3"/>
      <c r="RBZ37" s="3"/>
      <c r="RCA37" s="3"/>
      <c r="RCB37" s="3"/>
      <c r="RCC37" s="3"/>
      <c r="RCD37" s="3"/>
      <c r="RCE37" s="3"/>
      <c r="RCF37" s="3"/>
      <c r="RCG37" s="3"/>
      <c r="RCH37" s="3"/>
      <c r="RCI37" s="3"/>
      <c r="RCJ37" s="3"/>
      <c r="RCK37" s="3"/>
      <c r="RCL37" s="3"/>
      <c r="RCM37" s="3"/>
      <c r="RCN37" s="3"/>
      <c r="RCO37" s="3"/>
      <c r="RCP37" s="3"/>
      <c r="RCQ37" s="3"/>
      <c r="RCR37" s="3"/>
      <c r="RCS37" s="3"/>
      <c r="RCT37" s="3"/>
      <c r="RCU37" s="3"/>
      <c r="RCV37" s="3"/>
      <c r="RCW37" s="3"/>
      <c r="RCX37" s="3"/>
      <c r="RCY37" s="3"/>
      <c r="RCZ37" s="3"/>
      <c r="RDA37" s="3"/>
      <c r="RDB37" s="3"/>
      <c r="RDC37" s="3"/>
      <c r="RDD37" s="3"/>
      <c r="RDE37" s="3"/>
      <c r="RDF37" s="3"/>
      <c r="RDG37" s="3"/>
      <c r="RDH37" s="3"/>
      <c r="RDI37" s="3"/>
      <c r="RDJ37" s="3"/>
      <c r="RDK37" s="3"/>
      <c r="RDL37" s="3"/>
      <c r="RDM37" s="3"/>
      <c r="RDN37" s="3"/>
      <c r="RDO37" s="3"/>
      <c r="RDP37" s="3"/>
      <c r="RDQ37" s="3"/>
      <c r="RDR37" s="3"/>
      <c r="RDS37" s="3"/>
      <c r="RDT37" s="3"/>
      <c r="RDU37" s="3"/>
      <c r="RDV37" s="3"/>
      <c r="RDW37" s="3"/>
      <c r="RDX37" s="3"/>
      <c r="RDY37" s="3"/>
      <c r="RDZ37" s="3"/>
      <c r="REA37" s="3"/>
      <c r="REB37" s="3"/>
      <c r="REC37" s="3"/>
      <c r="RED37" s="3"/>
      <c r="REE37" s="3"/>
      <c r="REF37" s="3"/>
      <c r="REG37" s="3"/>
      <c r="REH37" s="3"/>
      <c r="REI37" s="3"/>
      <c r="REJ37" s="3"/>
      <c r="REK37" s="3"/>
      <c r="REL37" s="3"/>
      <c r="REM37" s="3"/>
      <c r="REN37" s="3"/>
      <c r="REO37" s="3"/>
      <c r="REP37" s="3"/>
      <c r="REQ37" s="3"/>
      <c r="RER37" s="3"/>
      <c r="RES37" s="3"/>
      <c r="RET37" s="3"/>
      <c r="REU37" s="3"/>
      <c r="REV37" s="3"/>
      <c r="REW37" s="3"/>
      <c r="REX37" s="3"/>
      <c r="REY37" s="3"/>
      <c r="REZ37" s="3"/>
      <c r="RFA37" s="3"/>
      <c r="RFB37" s="3"/>
      <c r="RFC37" s="3"/>
      <c r="RFD37" s="3"/>
      <c r="RFE37" s="3"/>
      <c r="RFF37" s="3"/>
      <c r="RFG37" s="3"/>
      <c r="RFH37" s="3"/>
      <c r="RFI37" s="3"/>
      <c r="RFJ37" s="3"/>
      <c r="RFK37" s="3"/>
      <c r="RFL37" s="3"/>
      <c r="RFM37" s="3"/>
      <c r="RFN37" s="3"/>
      <c r="RFO37" s="3"/>
      <c r="RFP37" s="3"/>
      <c r="RFQ37" s="3"/>
      <c r="RFR37" s="3"/>
      <c r="RFS37" s="3"/>
      <c r="RFT37" s="3"/>
      <c r="RFU37" s="3"/>
      <c r="RFV37" s="3"/>
      <c r="RFW37" s="3"/>
      <c r="RFX37" s="3"/>
      <c r="RFY37" s="3"/>
      <c r="RFZ37" s="3"/>
      <c r="RGA37" s="3"/>
      <c r="RGB37" s="3"/>
      <c r="RGC37" s="3"/>
      <c r="RGD37" s="3"/>
      <c r="RGE37" s="3"/>
      <c r="RGF37" s="3"/>
      <c r="RGG37" s="3"/>
      <c r="RGH37" s="3"/>
      <c r="RGI37" s="3"/>
      <c r="RGJ37" s="3"/>
      <c r="RGK37" s="3"/>
      <c r="RGL37" s="3"/>
      <c r="RGM37" s="3"/>
      <c r="RGN37" s="3"/>
      <c r="RGO37" s="3"/>
      <c r="RGP37" s="3"/>
      <c r="RGQ37" s="3"/>
      <c r="RGR37" s="3"/>
      <c r="RGS37" s="3"/>
      <c r="RGT37" s="3"/>
      <c r="RGU37" s="3"/>
      <c r="RGV37" s="3"/>
      <c r="RGW37" s="3"/>
      <c r="RGX37" s="3"/>
      <c r="RGY37" s="3"/>
      <c r="RGZ37" s="3"/>
      <c r="RHA37" s="3"/>
      <c r="RHB37" s="3"/>
      <c r="RHC37" s="3"/>
      <c r="RHD37" s="3"/>
      <c r="RHE37" s="3"/>
      <c r="RHF37" s="3"/>
      <c r="RHG37" s="3"/>
      <c r="RHH37" s="3"/>
      <c r="RHI37" s="3"/>
      <c r="RHJ37" s="3"/>
      <c r="RHK37" s="3"/>
      <c r="RHL37" s="3"/>
      <c r="RHM37" s="3"/>
      <c r="RHN37" s="3"/>
      <c r="RHO37" s="3"/>
      <c r="RHP37" s="3"/>
      <c r="RHQ37" s="3"/>
      <c r="RHR37" s="3"/>
      <c r="RHS37" s="3"/>
      <c r="RHT37" s="3"/>
      <c r="RHU37" s="3"/>
      <c r="RHV37" s="3"/>
      <c r="RHW37" s="3"/>
      <c r="RHX37" s="3"/>
      <c r="RHY37" s="3"/>
      <c r="RHZ37" s="3"/>
      <c r="RIA37" s="3"/>
      <c r="RIB37" s="3"/>
      <c r="RIC37" s="3"/>
      <c r="RID37" s="3"/>
      <c r="RIE37" s="3"/>
      <c r="RIF37" s="3"/>
      <c r="RIG37" s="3"/>
      <c r="RIH37" s="3"/>
      <c r="RII37" s="3"/>
      <c r="RIJ37" s="3"/>
      <c r="RIK37" s="3"/>
      <c r="RIL37" s="3"/>
      <c r="RIM37" s="3"/>
      <c r="RIN37" s="3"/>
      <c r="RIO37" s="3"/>
      <c r="RIP37" s="3"/>
      <c r="RIQ37" s="3"/>
      <c r="RIR37" s="3"/>
      <c r="RIS37" s="3"/>
      <c r="RIT37" s="3"/>
      <c r="RIU37" s="3"/>
      <c r="RIV37" s="3"/>
      <c r="RIW37" s="3"/>
      <c r="RIX37" s="3"/>
      <c r="RIY37" s="3"/>
      <c r="RIZ37" s="3"/>
      <c r="RJA37" s="3"/>
      <c r="RJB37" s="3"/>
      <c r="RJC37" s="3"/>
      <c r="RJD37" s="3"/>
      <c r="RJE37" s="3"/>
      <c r="RJF37" s="3"/>
      <c r="RJG37" s="3"/>
      <c r="RJH37" s="3"/>
      <c r="RJI37" s="3"/>
      <c r="RJJ37" s="3"/>
      <c r="RJK37" s="3"/>
      <c r="RJL37" s="3"/>
      <c r="RJM37" s="3"/>
      <c r="RJN37" s="3"/>
      <c r="RJO37" s="3"/>
      <c r="RJP37" s="3"/>
      <c r="RJQ37" s="3"/>
      <c r="RJR37" s="3"/>
      <c r="RJS37" s="3"/>
      <c r="RJT37" s="3"/>
      <c r="RJU37" s="3"/>
      <c r="RJV37" s="3"/>
      <c r="RJW37" s="3"/>
      <c r="RJX37" s="3"/>
      <c r="RJY37" s="3"/>
      <c r="RJZ37" s="3"/>
      <c r="RKA37" s="3"/>
      <c r="RKB37" s="3"/>
      <c r="RKC37" s="3"/>
      <c r="RKD37" s="3"/>
      <c r="RKE37" s="3"/>
      <c r="RKF37" s="3"/>
      <c r="RKG37" s="3"/>
      <c r="RKH37" s="3"/>
      <c r="RKI37" s="3"/>
      <c r="RKJ37" s="3"/>
      <c r="RKK37" s="3"/>
      <c r="RKL37" s="3"/>
      <c r="RKM37" s="3"/>
      <c r="RKN37" s="3"/>
      <c r="RKO37" s="3"/>
      <c r="RKP37" s="3"/>
      <c r="RKQ37" s="3"/>
      <c r="RKR37" s="3"/>
      <c r="RKS37" s="3"/>
      <c r="RKT37" s="3"/>
      <c r="RKU37" s="3"/>
      <c r="RKV37" s="3"/>
      <c r="RKW37" s="3"/>
      <c r="RKX37" s="3"/>
      <c r="RKY37" s="3"/>
      <c r="RKZ37" s="3"/>
      <c r="RLA37" s="3"/>
      <c r="RLB37" s="3"/>
      <c r="RLC37" s="3"/>
      <c r="RLD37" s="3"/>
      <c r="RLE37" s="3"/>
      <c r="RLF37" s="3"/>
      <c r="RLG37" s="3"/>
      <c r="RLH37" s="3"/>
      <c r="RLI37" s="3"/>
      <c r="RLJ37" s="3"/>
      <c r="RLK37" s="3"/>
      <c r="RLL37" s="3"/>
      <c r="RLM37" s="3"/>
      <c r="RLN37" s="3"/>
      <c r="RLO37" s="3"/>
      <c r="RLP37" s="3"/>
      <c r="RLQ37" s="3"/>
      <c r="RLR37" s="3"/>
      <c r="RLS37" s="3"/>
      <c r="RLT37" s="3"/>
      <c r="RLU37" s="3"/>
      <c r="RLV37" s="3"/>
      <c r="RLW37" s="3"/>
      <c r="RLX37" s="3"/>
      <c r="RLY37" s="3"/>
      <c r="RLZ37" s="3"/>
      <c r="RMA37" s="3"/>
      <c r="RMB37" s="3"/>
      <c r="RMC37" s="3"/>
      <c r="RMD37" s="3"/>
      <c r="RME37" s="3"/>
      <c r="RMF37" s="3"/>
      <c r="RMG37" s="3"/>
      <c r="RMH37" s="3"/>
      <c r="RMI37" s="3"/>
      <c r="RMJ37" s="3"/>
      <c r="RMK37" s="3"/>
      <c r="RML37" s="3"/>
      <c r="RMM37" s="3"/>
      <c r="RMN37" s="3"/>
      <c r="RMO37" s="3"/>
      <c r="RMP37" s="3"/>
      <c r="RMQ37" s="3"/>
      <c r="RMR37" s="3"/>
      <c r="RMS37" s="3"/>
      <c r="RMT37" s="3"/>
      <c r="RMU37" s="3"/>
      <c r="RMV37" s="3"/>
      <c r="RMW37" s="3"/>
      <c r="RMX37" s="3"/>
      <c r="RMY37" s="3"/>
      <c r="RMZ37" s="3"/>
      <c r="RNA37" s="3"/>
      <c r="RNB37" s="3"/>
      <c r="RNC37" s="3"/>
      <c r="RND37" s="3"/>
      <c r="RNE37" s="3"/>
      <c r="RNF37" s="3"/>
      <c r="RNG37" s="3"/>
      <c r="RNH37" s="3"/>
      <c r="RNI37" s="3"/>
      <c r="RNJ37" s="3"/>
      <c r="RNK37" s="3"/>
      <c r="RNL37" s="3"/>
      <c r="RNM37" s="3"/>
      <c r="RNN37" s="3"/>
      <c r="RNO37" s="3"/>
      <c r="RNP37" s="3"/>
      <c r="RNQ37" s="3"/>
      <c r="RNR37" s="3"/>
      <c r="RNS37" s="3"/>
      <c r="RNT37" s="3"/>
      <c r="RNU37" s="3"/>
      <c r="RNV37" s="3"/>
      <c r="RNW37" s="3"/>
      <c r="RNX37" s="3"/>
      <c r="RNY37" s="3"/>
      <c r="RNZ37" s="3"/>
      <c r="ROA37" s="3"/>
      <c r="ROB37" s="3"/>
      <c r="ROC37" s="3"/>
      <c r="ROD37" s="3"/>
      <c r="ROE37" s="3"/>
      <c r="ROF37" s="3"/>
      <c r="ROG37" s="3"/>
      <c r="ROH37" s="3"/>
      <c r="ROI37" s="3"/>
      <c r="ROJ37" s="3"/>
      <c r="ROK37" s="3"/>
      <c r="ROL37" s="3"/>
      <c r="ROM37" s="3"/>
      <c r="RON37" s="3"/>
      <c r="ROO37" s="3"/>
      <c r="ROP37" s="3"/>
      <c r="ROQ37" s="3"/>
      <c r="ROR37" s="3"/>
      <c r="ROS37" s="3"/>
      <c r="ROT37" s="3"/>
      <c r="ROU37" s="3"/>
      <c r="ROV37" s="3"/>
      <c r="ROW37" s="3"/>
      <c r="ROX37" s="3"/>
      <c r="ROY37" s="3"/>
      <c r="ROZ37" s="3"/>
      <c r="RPA37" s="3"/>
      <c r="RPB37" s="3"/>
      <c r="RPC37" s="3"/>
      <c r="RPD37" s="3"/>
      <c r="RPE37" s="3"/>
      <c r="RPF37" s="3"/>
      <c r="RPG37" s="3"/>
      <c r="RPH37" s="3"/>
      <c r="RPI37" s="3"/>
      <c r="RPJ37" s="3"/>
      <c r="RPK37" s="3"/>
      <c r="RPL37" s="3"/>
      <c r="RPM37" s="3"/>
      <c r="RPN37" s="3"/>
      <c r="RPO37" s="3"/>
      <c r="RPP37" s="3"/>
      <c r="RPQ37" s="3"/>
      <c r="RPR37" s="3"/>
      <c r="RPS37" s="3"/>
      <c r="RPT37" s="3"/>
      <c r="RPU37" s="3"/>
      <c r="RPV37" s="3"/>
      <c r="RPW37" s="3"/>
      <c r="RPX37" s="3"/>
      <c r="RPY37" s="3"/>
      <c r="RPZ37" s="3"/>
      <c r="RQA37" s="3"/>
      <c r="RQB37" s="3"/>
      <c r="RQC37" s="3"/>
      <c r="RQD37" s="3"/>
      <c r="RQE37" s="3"/>
      <c r="RQF37" s="3"/>
      <c r="RQG37" s="3"/>
      <c r="RQH37" s="3"/>
      <c r="RQI37" s="3"/>
      <c r="RQJ37" s="3"/>
      <c r="RQK37" s="3"/>
      <c r="RQL37" s="3"/>
      <c r="RQM37" s="3"/>
      <c r="RQN37" s="3"/>
      <c r="RQO37" s="3"/>
      <c r="RQP37" s="3"/>
      <c r="RQQ37" s="3"/>
      <c r="RQR37" s="3"/>
      <c r="RQS37" s="3"/>
      <c r="RQT37" s="3"/>
      <c r="RQU37" s="3"/>
      <c r="RQV37" s="3"/>
      <c r="RQW37" s="3"/>
      <c r="RQX37" s="3"/>
      <c r="RQY37" s="3"/>
      <c r="RQZ37" s="3"/>
      <c r="RRA37" s="3"/>
      <c r="RRB37" s="3"/>
      <c r="RRC37" s="3"/>
      <c r="RRD37" s="3"/>
      <c r="RRE37" s="3"/>
      <c r="RRF37" s="3"/>
      <c r="RRG37" s="3"/>
      <c r="RRH37" s="3"/>
      <c r="RRI37" s="3"/>
      <c r="RRJ37" s="3"/>
      <c r="RRK37" s="3"/>
      <c r="RRL37" s="3"/>
      <c r="RRM37" s="3"/>
      <c r="RRN37" s="3"/>
      <c r="RRO37" s="3"/>
      <c r="RRP37" s="3"/>
      <c r="RRQ37" s="3"/>
      <c r="RRR37" s="3"/>
      <c r="RRS37" s="3"/>
      <c r="RRT37" s="3"/>
      <c r="RRU37" s="3"/>
      <c r="RRV37" s="3"/>
      <c r="RRW37" s="3"/>
      <c r="RRX37" s="3"/>
      <c r="RRY37" s="3"/>
      <c r="RRZ37" s="3"/>
      <c r="RSA37" s="3"/>
      <c r="RSB37" s="3"/>
      <c r="RSC37" s="3"/>
      <c r="RSD37" s="3"/>
      <c r="RSE37" s="3"/>
      <c r="RSF37" s="3"/>
      <c r="RSG37" s="3"/>
      <c r="RSH37" s="3"/>
      <c r="RSI37" s="3"/>
      <c r="RSJ37" s="3"/>
      <c r="RSK37" s="3"/>
      <c r="RSL37" s="3"/>
      <c r="RSM37" s="3"/>
      <c r="RSN37" s="3"/>
      <c r="RSO37" s="3"/>
      <c r="RSP37" s="3"/>
      <c r="RSQ37" s="3"/>
      <c r="RSR37" s="3"/>
      <c r="RSS37" s="3"/>
      <c r="RST37" s="3"/>
      <c r="RSU37" s="3"/>
      <c r="RSV37" s="3"/>
      <c r="RSW37" s="3"/>
      <c r="RSX37" s="3"/>
      <c r="RSY37" s="3"/>
      <c r="RSZ37" s="3"/>
      <c r="RTA37" s="3"/>
      <c r="RTB37" s="3"/>
      <c r="RTC37" s="3"/>
      <c r="RTD37" s="3"/>
      <c r="RTE37" s="3"/>
      <c r="RTF37" s="3"/>
      <c r="RTG37" s="3"/>
      <c r="RTH37" s="3"/>
      <c r="RTI37" s="3"/>
      <c r="RTJ37" s="3"/>
      <c r="RTK37" s="3"/>
      <c r="RTL37" s="3"/>
      <c r="RTM37" s="3"/>
      <c r="RTN37" s="3"/>
      <c r="RTO37" s="3"/>
      <c r="RTP37" s="3"/>
      <c r="RTQ37" s="3"/>
      <c r="RTR37" s="3"/>
      <c r="RTS37" s="3"/>
      <c r="RTT37" s="3"/>
      <c r="RTU37" s="3"/>
      <c r="RTV37" s="3"/>
      <c r="RTW37" s="3"/>
      <c r="RTX37" s="3"/>
      <c r="RTY37" s="3"/>
      <c r="RTZ37" s="3"/>
      <c r="RUA37" s="3"/>
      <c r="RUB37" s="3"/>
      <c r="RUC37" s="3"/>
      <c r="RUD37" s="3"/>
      <c r="RUE37" s="3"/>
      <c r="RUF37" s="3"/>
      <c r="RUG37" s="3"/>
      <c r="RUH37" s="3"/>
      <c r="RUI37" s="3"/>
      <c r="RUJ37" s="3"/>
      <c r="RUK37" s="3"/>
      <c r="RUL37" s="3"/>
      <c r="RUM37" s="3"/>
      <c r="RUN37" s="3"/>
      <c r="RUO37" s="3"/>
      <c r="RUP37" s="3"/>
      <c r="RUQ37" s="3"/>
      <c r="RUR37" s="3"/>
      <c r="RUS37" s="3"/>
      <c r="RUT37" s="3"/>
      <c r="RUU37" s="3"/>
      <c r="RUV37" s="3"/>
      <c r="RUW37" s="3"/>
      <c r="RUX37" s="3"/>
      <c r="RUY37" s="3"/>
      <c r="RUZ37" s="3"/>
      <c r="RVA37" s="3"/>
      <c r="RVB37" s="3"/>
      <c r="RVC37" s="3"/>
      <c r="RVD37" s="3"/>
      <c r="RVE37" s="3"/>
      <c r="RVF37" s="3"/>
      <c r="RVG37" s="3"/>
      <c r="RVH37" s="3"/>
      <c r="RVI37" s="3"/>
      <c r="RVJ37" s="3"/>
      <c r="RVK37" s="3"/>
      <c r="RVL37" s="3"/>
      <c r="RVM37" s="3"/>
      <c r="RVN37" s="3"/>
      <c r="RVO37" s="3"/>
      <c r="RVP37" s="3"/>
      <c r="RVQ37" s="3"/>
      <c r="RVR37" s="3"/>
      <c r="RVS37" s="3"/>
      <c r="RVT37" s="3"/>
      <c r="RVU37" s="3"/>
      <c r="RVV37" s="3"/>
      <c r="RVW37" s="3"/>
      <c r="RVX37" s="3"/>
      <c r="RVY37" s="3"/>
      <c r="RVZ37" s="3"/>
      <c r="RWA37" s="3"/>
      <c r="RWB37" s="3"/>
      <c r="RWC37" s="3"/>
      <c r="RWD37" s="3"/>
      <c r="RWE37" s="3"/>
      <c r="RWF37" s="3"/>
      <c r="RWG37" s="3"/>
      <c r="RWH37" s="3"/>
      <c r="RWI37" s="3"/>
      <c r="RWJ37" s="3"/>
      <c r="RWK37" s="3"/>
      <c r="RWL37" s="3"/>
      <c r="RWM37" s="3"/>
      <c r="RWN37" s="3"/>
      <c r="RWO37" s="3"/>
      <c r="RWP37" s="3"/>
      <c r="RWQ37" s="3"/>
      <c r="RWR37" s="3"/>
      <c r="RWS37" s="3"/>
      <c r="RWT37" s="3"/>
      <c r="RWU37" s="3"/>
      <c r="RWV37" s="3"/>
      <c r="RWW37" s="3"/>
      <c r="RWX37" s="3"/>
      <c r="RWY37" s="3"/>
      <c r="RWZ37" s="3"/>
      <c r="RXA37" s="3"/>
      <c r="RXB37" s="3"/>
      <c r="RXC37" s="3"/>
      <c r="RXD37" s="3"/>
      <c r="RXE37" s="3"/>
      <c r="RXF37" s="3"/>
      <c r="RXG37" s="3"/>
      <c r="RXH37" s="3"/>
      <c r="RXI37" s="3"/>
      <c r="RXJ37" s="3"/>
      <c r="RXK37" s="3"/>
      <c r="RXL37" s="3"/>
      <c r="RXM37" s="3"/>
      <c r="RXN37" s="3"/>
      <c r="RXO37" s="3"/>
      <c r="RXP37" s="3"/>
      <c r="RXQ37" s="3"/>
      <c r="RXR37" s="3"/>
      <c r="RXS37" s="3"/>
      <c r="RXT37" s="3"/>
      <c r="RXU37" s="3"/>
      <c r="RXV37" s="3"/>
      <c r="RXW37" s="3"/>
      <c r="RXX37" s="3"/>
      <c r="RXY37" s="3"/>
      <c r="RXZ37" s="3"/>
      <c r="RYA37" s="3"/>
      <c r="RYB37" s="3"/>
      <c r="RYC37" s="3"/>
      <c r="RYD37" s="3"/>
      <c r="RYE37" s="3"/>
      <c r="RYF37" s="3"/>
      <c r="RYG37" s="3"/>
      <c r="RYH37" s="3"/>
      <c r="RYI37" s="3"/>
      <c r="RYJ37" s="3"/>
      <c r="RYK37" s="3"/>
      <c r="RYL37" s="3"/>
      <c r="RYM37" s="3"/>
      <c r="RYN37" s="3"/>
      <c r="RYO37" s="3"/>
      <c r="RYP37" s="3"/>
      <c r="RYQ37" s="3"/>
      <c r="RYR37" s="3"/>
      <c r="RYS37" s="3"/>
      <c r="RYT37" s="3"/>
      <c r="RYU37" s="3"/>
      <c r="RYV37" s="3"/>
      <c r="RYW37" s="3"/>
      <c r="RYX37" s="3"/>
      <c r="RYY37" s="3"/>
      <c r="RYZ37" s="3"/>
      <c r="RZA37" s="3"/>
      <c r="RZB37" s="3"/>
      <c r="RZC37" s="3"/>
      <c r="RZD37" s="3"/>
      <c r="RZE37" s="3"/>
      <c r="RZF37" s="3"/>
      <c r="RZG37" s="3"/>
      <c r="RZH37" s="3"/>
      <c r="RZI37" s="3"/>
      <c r="RZJ37" s="3"/>
      <c r="RZK37" s="3"/>
      <c r="RZL37" s="3"/>
      <c r="RZM37" s="3"/>
      <c r="RZN37" s="3"/>
      <c r="RZO37" s="3"/>
      <c r="RZP37" s="3"/>
      <c r="RZQ37" s="3"/>
      <c r="RZR37" s="3"/>
      <c r="RZS37" s="3"/>
      <c r="RZT37" s="3"/>
      <c r="RZU37" s="3"/>
      <c r="RZV37" s="3"/>
      <c r="RZW37" s="3"/>
      <c r="RZX37" s="3"/>
      <c r="RZY37" s="3"/>
      <c r="RZZ37" s="3"/>
      <c r="SAA37" s="3"/>
      <c r="SAB37" s="3"/>
      <c r="SAC37" s="3"/>
      <c r="SAD37" s="3"/>
      <c r="SAE37" s="3"/>
      <c r="SAF37" s="3"/>
      <c r="SAG37" s="3"/>
      <c r="SAH37" s="3"/>
      <c r="SAI37" s="3"/>
      <c r="SAJ37" s="3"/>
      <c r="SAK37" s="3"/>
      <c r="SAL37" s="3"/>
      <c r="SAM37" s="3"/>
      <c r="SAN37" s="3"/>
      <c r="SAO37" s="3"/>
      <c r="SAP37" s="3"/>
      <c r="SAQ37" s="3"/>
      <c r="SAR37" s="3"/>
      <c r="SAS37" s="3"/>
      <c r="SAT37" s="3"/>
      <c r="SAU37" s="3"/>
      <c r="SAV37" s="3"/>
      <c r="SAW37" s="3"/>
      <c r="SAX37" s="3"/>
      <c r="SAY37" s="3"/>
      <c r="SAZ37" s="3"/>
      <c r="SBA37" s="3"/>
      <c r="SBB37" s="3"/>
      <c r="SBC37" s="3"/>
      <c r="SBD37" s="3"/>
      <c r="SBE37" s="3"/>
      <c r="SBF37" s="3"/>
      <c r="SBG37" s="3"/>
      <c r="SBH37" s="3"/>
      <c r="SBI37" s="3"/>
      <c r="SBJ37" s="3"/>
      <c r="SBK37" s="3"/>
      <c r="SBL37" s="3"/>
      <c r="SBM37" s="3"/>
      <c r="SBN37" s="3"/>
      <c r="SBO37" s="3"/>
      <c r="SBP37" s="3"/>
      <c r="SBQ37" s="3"/>
      <c r="SBR37" s="3"/>
      <c r="SBS37" s="3"/>
      <c r="SBT37" s="3"/>
      <c r="SBU37" s="3"/>
      <c r="SBV37" s="3"/>
      <c r="SBW37" s="3"/>
      <c r="SBX37" s="3"/>
      <c r="SBY37" s="3"/>
      <c r="SBZ37" s="3"/>
      <c r="SCA37" s="3"/>
      <c r="SCB37" s="3"/>
      <c r="SCC37" s="3"/>
      <c r="SCD37" s="3"/>
      <c r="SCE37" s="3"/>
      <c r="SCF37" s="3"/>
      <c r="SCG37" s="3"/>
      <c r="SCH37" s="3"/>
      <c r="SCI37" s="3"/>
      <c r="SCJ37" s="3"/>
      <c r="SCK37" s="3"/>
      <c r="SCL37" s="3"/>
      <c r="SCM37" s="3"/>
      <c r="SCN37" s="3"/>
      <c r="SCO37" s="3"/>
      <c r="SCP37" s="3"/>
      <c r="SCQ37" s="3"/>
      <c r="SCR37" s="3"/>
      <c r="SCS37" s="3"/>
      <c r="SCT37" s="3"/>
      <c r="SCU37" s="3"/>
      <c r="SCV37" s="3"/>
      <c r="SCW37" s="3"/>
      <c r="SCX37" s="3"/>
      <c r="SCY37" s="3"/>
      <c r="SCZ37" s="3"/>
      <c r="SDA37" s="3"/>
      <c r="SDB37" s="3"/>
      <c r="SDC37" s="3"/>
      <c r="SDD37" s="3"/>
      <c r="SDE37" s="3"/>
      <c r="SDF37" s="3"/>
      <c r="SDG37" s="3"/>
      <c r="SDH37" s="3"/>
      <c r="SDI37" s="3"/>
      <c r="SDJ37" s="3"/>
      <c r="SDK37" s="3"/>
      <c r="SDL37" s="3"/>
      <c r="SDM37" s="3"/>
      <c r="SDN37" s="3"/>
      <c r="SDO37" s="3"/>
      <c r="SDP37" s="3"/>
      <c r="SDQ37" s="3"/>
      <c r="SDR37" s="3"/>
      <c r="SDS37" s="3"/>
      <c r="SDT37" s="3"/>
      <c r="SDU37" s="3"/>
      <c r="SDV37" s="3"/>
      <c r="SDW37" s="3"/>
      <c r="SDX37" s="3"/>
      <c r="SDY37" s="3"/>
      <c r="SDZ37" s="3"/>
      <c r="SEA37" s="3"/>
      <c r="SEB37" s="3"/>
      <c r="SEC37" s="3"/>
      <c r="SED37" s="3"/>
      <c r="SEE37" s="3"/>
      <c r="SEF37" s="3"/>
      <c r="SEG37" s="3"/>
      <c r="SEH37" s="3"/>
      <c r="SEI37" s="3"/>
      <c r="SEJ37" s="3"/>
      <c r="SEK37" s="3"/>
      <c r="SEL37" s="3"/>
      <c r="SEM37" s="3"/>
      <c r="SEN37" s="3"/>
      <c r="SEO37" s="3"/>
      <c r="SEP37" s="3"/>
      <c r="SEQ37" s="3"/>
      <c r="SER37" s="3"/>
      <c r="SES37" s="3"/>
      <c r="SET37" s="3"/>
      <c r="SEU37" s="3"/>
      <c r="SEV37" s="3"/>
      <c r="SEW37" s="3"/>
      <c r="SEX37" s="3"/>
      <c r="SEY37" s="3"/>
      <c r="SEZ37" s="3"/>
      <c r="SFA37" s="3"/>
      <c r="SFB37" s="3"/>
      <c r="SFC37" s="3"/>
      <c r="SFD37" s="3"/>
      <c r="SFE37" s="3"/>
      <c r="SFF37" s="3"/>
      <c r="SFG37" s="3"/>
      <c r="SFH37" s="3"/>
      <c r="SFI37" s="3"/>
      <c r="SFJ37" s="3"/>
      <c r="SFK37" s="3"/>
      <c r="SFL37" s="3"/>
      <c r="SFM37" s="3"/>
      <c r="SFN37" s="3"/>
      <c r="SFO37" s="3"/>
      <c r="SFP37" s="3"/>
      <c r="SFQ37" s="3"/>
      <c r="SFR37" s="3"/>
      <c r="SFS37" s="3"/>
      <c r="SFT37" s="3"/>
      <c r="SFU37" s="3"/>
      <c r="SFV37" s="3"/>
      <c r="SFW37" s="3"/>
      <c r="SFX37" s="3"/>
      <c r="SFY37" s="3"/>
      <c r="SFZ37" s="3"/>
      <c r="SGA37" s="3"/>
      <c r="SGB37" s="3"/>
      <c r="SGC37" s="3"/>
      <c r="SGD37" s="3"/>
      <c r="SGE37" s="3"/>
      <c r="SGF37" s="3"/>
      <c r="SGG37" s="3"/>
      <c r="SGH37" s="3"/>
      <c r="SGI37" s="3"/>
      <c r="SGJ37" s="3"/>
      <c r="SGK37" s="3"/>
      <c r="SGL37" s="3"/>
      <c r="SGM37" s="3"/>
      <c r="SGN37" s="3"/>
      <c r="SGO37" s="3"/>
      <c r="SGP37" s="3"/>
      <c r="SGQ37" s="3"/>
      <c r="SGR37" s="3"/>
      <c r="SGS37" s="3"/>
      <c r="SGT37" s="3"/>
      <c r="SGU37" s="3"/>
      <c r="SGV37" s="3"/>
      <c r="SGW37" s="3"/>
      <c r="SGX37" s="3"/>
      <c r="SGY37" s="3"/>
      <c r="SGZ37" s="3"/>
      <c r="SHA37" s="3"/>
      <c r="SHB37" s="3"/>
      <c r="SHC37" s="3"/>
      <c r="SHD37" s="3"/>
      <c r="SHE37" s="3"/>
      <c r="SHF37" s="3"/>
      <c r="SHG37" s="3"/>
      <c r="SHH37" s="3"/>
      <c r="SHI37" s="3"/>
      <c r="SHJ37" s="3"/>
      <c r="SHK37" s="3"/>
      <c r="SHL37" s="3"/>
      <c r="SHM37" s="3"/>
      <c r="SHN37" s="3"/>
      <c r="SHO37" s="3"/>
      <c r="SHP37" s="3"/>
      <c r="SHQ37" s="3"/>
      <c r="SHR37" s="3"/>
      <c r="SHS37" s="3"/>
      <c r="SHT37" s="3"/>
      <c r="SHU37" s="3"/>
      <c r="SHV37" s="3"/>
      <c r="SHW37" s="3"/>
      <c r="SHX37" s="3"/>
      <c r="SHY37" s="3"/>
      <c r="SHZ37" s="3"/>
      <c r="SIA37" s="3"/>
      <c r="SIB37" s="3"/>
      <c r="SIC37" s="3"/>
      <c r="SID37" s="3"/>
      <c r="SIE37" s="3"/>
      <c r="SIF37" s="3"/>
      <c r="SIG37" s="3"/>
      <c r="SIH37" s="3"/>
      <c r="SII37" s="3"/>
      <c r="SIJ37" s="3"/>
      <c r="SIK37" s="3"/>
      <c r="SIL37" s="3"/>
      <c r="SIM37" s="3"/>
      <c r="SIN37" s="3"/>
      <c r="SIO37" s="3"/>
      <c r="SIP37" s="3"/>
      <c r="SIQ37" s="3"/>
      <c r="SIR37" s="3"/>
      <c r="SIS37" s="3"/>
      <c r="SIT37" s="3"/>
      <c r="SIU37" s="3"/>
      <c r="SIV37" s="3"/>
      <c r="SIW37" s="3"/>
      <c r="SIX37" s="3"/>
      <c r="SIY37" s="3"/>
      <c r="SIZ37" s="3"/>
      <c r="SJA37" s="3"/>
      <c r="SJB37" s="3"/>
      <c r="SJC37" s="3"/>
      <c r="SJD37" s="3"/>
      <c r="SJE37" s="3"/>
      <c r="SJF37" s="3"/>
      <c r="SJG37" s="3"/>
      <c r="SJH37" s="3"/>
      <c r="SJI37" s="3"/>
      <c r="SJJ37" s="3"/>
      <c r="SJK37" s="3"/>
      <c r="SJL37" s="3"/>
      <c r="SJM37" s="3"/>
      <c r="SJN37" s="3"/>
      <c r="SJO37" s="3"/>
      <c r="SJP37" s="3"/>
      <c r="SJQ37" s="3"/>
      <c r="SJR37" s="3"/>
      <c r="SJS37" s="3"/>
      <c r="SJT37" s="3"/>
      <c r="SJU37" s="3"/>
      <c r="SJV37" s="3"/>
      <c r="SJW37" s="3"/>
      <c r="SJX37" s="3"/>
      <c r="SJY37" s="3"/>
      <c r="SJZ37" s="3"/>
      <c r="SKA37" s="3"/>
      <c r="SKB37" s="3"/>
      <c r="SKC37" s="3"/>
      <c r="SKD37" s="3"/>
      <c r="SKE37" s="3"/>
      <c r="SKF37" s="3"/>
      <c r="SKG37" s="3"/>
      <c r="SKH37" s="3"/>
      <c r="SKI37" s="3"/>
      <c r="SKJ37" s="3"/>
      <c r="SKK37" s="3"/>
      <c r="SKL37" s="3"/>
      <c r="SKM37" s="3"/>
      <c r="SKN37" s="3"/>
      <c r="SKO37" s="3"/>
      <c r="SKP37" s="3"/>
      <c r="SKQ37" s="3"/>
      <c r="SKR37" s="3"/>
      <c r="SKS37" s="3"/>
      <c r="SKT37" s="3"/>
      <c r="SKU37" s="3"/>
      <c r="SKV37" s="3"/>
      <c r="SKW37" s="3"/>
      <c r="SKX37" s="3"/>
      <c r="SKY37" s="3"/>
      <c r="SKZ37" s="3"/>
      <c r="SLA37" s="3"/>
      <c r="SLB37" s="3"/>
      <c r="SLC37" s="3"/>
      <c r="SLD37" s="3"/>
      <c r="SLE37" s="3"/>
      <c r="SLF37" s="3"/>
      <c r="SLG37" s="3"/>
      <c r="SLH37" s="3"/>
      <c r="SLI37" s="3"/>
      <c r="SLJ37" s="3"/>
      <c r="SLK37" s="3"/>
      <c r="SLL37" s="3"/>
      <c r="SLM37" s="3"/>
      <c r="SLN37" s="3"/>
      <c r="SLO37" s="3"/>
      <c r="SLP37" s="3"/>
      <c r="SLQ37" s="3"/>
      <c r="SLR37" s="3"/>
      <c r="SLS37" s="3"/>
      <c r="SLT37" s="3"/>
      <c r="SLU37" s="3"/>
      <c r="SLV37" s="3"/>
      <c r="SLW37" s="3"/>
      <c r="SLX37" s="3"/>
      <c r="SLY37" s="3"/>
      <c r="SLZ37" s="3"/>
      <c r="SMA37" s="3"/>
      <c r="SMB37" s="3"/>
      <c r="SMC37" s="3"/>
      <c r="SMD37" s="3"/>
      <c r="SME37" s="3"/>
      <c r="SMF37" s="3"/>
      <c r="SMG37" s="3"/>
      <c r="SMH37" s="3"/>
      <c r="SMI37" s="3"/>
      <c r="SMJ37" s="3"/>
      <c r="SMK37" s="3"/>
      <c r="SML37" s="3"/>
      <c r="SMM37" s="3"/>
      <c r="SMN37" s="3"/>
      <c r="SMO37" s="3"/>
      <c r="SMP37" s="3"/>
      <c r="SMQ37" s="3"/>
      <c r="SMR37" s="3"/>
      <c r="SMS37" s="3"/>
      <c r="SMT37" s="3"/>
      <c r="SMU37" s="3"/>
      <c r="SMV37" s="3"/>
      <c r="SMW37" s="3"/>
      <c r="SMX37" s="3"/>
      <c r="SMY37" s="3"/>
      <c r="SMZ37" s="3"/>
      <c r="SNA37" s="3"/>
      <c r="SNB37" s="3"/>
      <c r="SNC37" s="3"/>
      <c r="SND37" s="3"/>
      <c r="SNE37" s="3"/>
      <c r="SNF37" s="3"/>
      <c r="SNG37" s="3"/>
      <c r="SNH37" s="3"/>
      <c r="SNI37" s="3"/>
      <c r="SNJ37" s="3"/>
      <c r="SNK37" s="3"/>
      <c r="SNL37" s="3"/>
      <c r="SNM37" s="3"/>
      <c r="SNN37" s="3"/>
      <c r="SNO37" s="3"/>
      <c r="SNP37" s="3"/>
      <c r="SNQ37" s="3"/>
      <c r="SNR37" s="3"/>
      <c r="SNS37" s="3"/>
      <c r="SNT37" s="3"/>
      <c r="SNU37" s="3"/>
      <c r="SNV37" s="3"/>
      <c r="SNW37" s="3"/>
      <c r="SNX37" s="3"/>
      <c r="SNY37" s="3"/>
      <c r="SNZ37" s="3"/>
      <c r="SOA37" s="3"/>
      <c r="SOB37" s="3"/>
      <c r="SOC37" s="3"/>
      <c r="SOD37" s="3"/>
      <c r="SOE37" s="3"/>
      <c r="SOF37" s="3"/>
      <c r="SOG37" s="3"/>
      <c r="SOH37" s="3"/>
      <c r="SOI37" s="3"/>
      <c r="SOJ37" s="3"/>
      <c r="SOK37" s="3"/>
      <c r="SOL37" s="3"/>
      <c r="SOM37" s="3"/>
      <c r="SON37" s="3"/>
      <c r="SOO37" s="3"/>
      <c r="SOP37" s="3"/>
      <c r="SOQ37" s="3"/>
      <c r="SOR37" s="3"/>
      <c r="SOS37" s="3"/>
      <c r="SOT37" s="3"/>
      <c r="SOU37" s="3"/>
      <c r="SOV37" s="3"/>
      <c r="SOW37" s="3"/>
      <c r="SOX37" s="3"/>
      <c r="SOY37" s="3"/>
      <c r="SOZ37" s="3"/>
      <c r="SPA37" s="3"/>
      <c r="SPB37" s="3"/>
      <c r="SPC37" s="3"/>
      <c r="SPD37" s="3"/>
      <c r="SPE37" s="3"/>
      <c r="SPF37" s="3"/>
      <c r="SPG37" s="3"/>
      <c r="SPH37" s="3"/>
      <c r="SPI37" s="3"/>
      <c r="SPJ37" s="3"/>
      <c r="SPK37" s="3"/>
      <c r="SPL37" s="3"/>
      <c r="SPM37" s="3"/>
      <c r="SPN37" s="3"/>
      <c r="SPO37" s="3"/>
      <c r="SPP37" s="3"/>
      <c r="SPQ37" s="3"/>
      <c r="SPR37" s="3"/>
      <c r="SPS37" s="3"/>
      <c r="SPT37" s="3"/>
      <c r="SPU37" s="3"/>
      <c r="SPV37" s="3"/>
      <c r="SPW37" s="3"/>
      <c r="SPX37" s="3"/>
      <c r="SPY37" s="3"/>
      <c r="SPZ37" s="3"/>
      <c r="SQA37" s="3"/>
      <c r="SQB37" s="3"/>
      <c r="SQC37" s="3"/>
      <c r="SQD37" s="3"/>
      <c r="SQE37" s="3"/>
      <c r="SQF37" s="3"/>
      <c r="SQG37" s="3"/>
      <c r="SQH37" s="3"/>
      <c r="SQI37" s="3"/>
      <c r="SQJ37" s="3"/>
      <c r="SQK37" s="3"/>
      <c r="SQL37" s="3"/>
      <c r="SQM37" s="3"/>
      <c r="SQN37" s="3"/>
      <c r="SQO37" s="3"/>
      <c r="SQP37" s="3"/>
      <c r="SQQ37" s="3"/>
      <c r="SQR37" s="3"/>
      <c r="SQS37" s="3"/>
      <c r="SQT37" s="3"/>
      <c r="SQU37" s="3"/>
      <c r="SQV37" s="3"/>
      <c r="SQW37" s="3"/>
      <c r="SQX37" s="3"/>
      <c r="SQY37" s="3"/>
      <c r="SQZ37" s="3"/>
      <c r="SRA37" s="3"/>
      <c r="SRB37" s="3"/>
      <c r="SRC37" s="3"/>
      <c r="SRD37" s="3"/>
      <c r="SRE37" s="3"/>
      <c r="SRF37" s="3"/>
      <c r="SRG37" s="3"/>
      <c r="SRH37" s="3"/>
      <c r="SRI37" s="3"/>
      <c r="SRJ37" s="3"/>
      <c r="SRK37" s="3"/>
      <c r="SRL37" s="3"/>
      <c r="SRM37" s="3"/>
      <c r="SRN37" s="3"/>
      <c r="SRO37" s="3"/>
      <c r="SRP37" s="3"/>
      <c r="SRQ37" s="3"/>
      <c r="SRR37" s="3"/>
      <c r="SRS37" s="3"/>
      <c r="SRT37" s="3"/>
      <c r="SRU37" s="3"/>
      <c r="SRV37" s="3"/>
      <c r="SRW37" s="3"/>
      <c r="SRX37" s="3"/>
      <c r="SRY37" s="3"/>
      <c r="SRZ37" s="3"/>
      <c r="SSA37" s="3"/>
      <c r="SSB37" s="3"/>
      <c r="SSC37" s="3"/>
      <c r="SSD37" s="3"/>
      <c r="SSE37" s="3"/>
      <c r="SSF37" s="3"/>
      <c r="SSG37" s="3"/>
      <c r="SSH37" s="3"/>
      <c r="SSI37" s="3"/>
      <c r="SSJ37" s="3"/>
      <c r="SSK37" s="3"/>
      <c r="SSL37" s="3"/>
      <c r="SSM37" s="3"/>
      <c r="SSN37" s="3"/>
      <c r="SSO37" s="3"/>
      <c r="SSP37" s="3"/>
      <c r="SSQ37" s="3"/>
      <c r="SSR37" s="3"/>
      <c r="SSS37" s="3"/>
      <c r="SST37" s="3"/>
      <c r="SSU37" s="3"/>
      <c r="SSV37" s="3"/>
      <c r="SSW37" s="3"/>
      <c r="SSX37" s="3"/>
      <c r="SSY37" s="3"/>
      <c r="SSZ37" s="3"/>
      <c r="STA37" s="3"/>
      <c r="STB37" s="3"/>
      <c r="STC37" s="3"/>
      <c r="STD37" s="3"/>
      <c r="STE37" s="3"/>
      <c r="STF37" s="3"/>
      <c r="STG37" s="3"/>
      <c r="STH37" s="3"/>
      <c r="STI37" s="3"/>
      <c r="STJ37" s="3"/>
      <c r="STK37" s="3"/>
      <c r="STL37" s="3"/>
      <c r="STM37" s="3"/>
      <c r="STN37" s="3"/>
      <c r="STO37" s="3"/>
      <c r="STP37" s="3"/>
      <c r="STQ37" s="3"/>
      <c r="STR37" s="3"/>
      <c r="STS37" s="3"/>
      <c r="STT37" s="3"/>
      <c r="STU37" s="3"/>
      <c r="STV37" s="3"/>
      <c r="STW37" s="3"/>
      <c r="STX37" s="3"/>
      <c r="STY37" s="3"/>
      <c r="STZ37" s="3"/>
      <c r="SUA37" s="3"/>
      <c r="SUB37" s="3"/>
      <c r="SUC37" s="3"/>
      <c r="SUD37" s="3"/>
      <c r="SUE37" s="3"/>
      <c r="SUF37" s="3"/>
      <c r="SUG37" s="3"/>
      <c r="SUH37" s="3"/>
      <c r="SUI37" s="3"/>
      <c r="SUJ37" s="3"/>
      <c r="SUK37" s="3"/>
      <c r="SUL37" s="3"/>
      <c r="SUM37" s="3"/>
      <c r="SUN37" s="3"/>
      <c r="SUO37" s="3"/>
      <c r="SUP37" s="3"/>
      <c r="SUQ37" s="3"/>
      <c r="SUR37" s="3"/>
      <c r="SUS37" s="3"/>
      <c r="SUT37" s="3"/>
      <c r="SUU37" s="3"/>
      <c r="SUV37" s="3"/>
      <c r="SUW37" s="3"/>
      <c r="SUX37" s="3"/>
      <c r="SUY37" s="3"/>
      <c r="SUZ37" s="3"/>
      <c r="SVA37" s="3"/>
      <c r="SVB37" s="3"/>
      <c r="SVC37" s="3"/>
      <c r="SVD37" s="3"/>
      <c r="SVE37" s="3"/>
      <c r="SVF37" s="3"/>
      <c r="SVG37" s="3"/>
      <c r="SVH37" s="3"/>
      <c r="SVI37" s="3"/>
      <c r="SVJ37" s="3"/>
      <c r="SVK37" s="3"/>
      <c r="SVL37" s="3"/>
      <c r="SVM37" s="3"/>
      <c r="SVN37" s="3"/>
      <c r="SVO37" s="3"/>
      <c r="SVP37" s="3"/>
      <c r="SVQ37" s="3"/>
      <c r="SVR37" s="3"/>
      <c r="SVS37" s="3"/>
      <c r="SVT37" s="3"/>
      <c r="SVU37" s="3"/>
      <c r="SVV37" s="3"/>
      <c r="SVW37" s="3"/>
      <c r="SVX37" s="3"/>
      <c r="SVY37" s="3"/>
      <c r="SVZ37" s="3"/>
      <c r="SWA37" s="3"/>
      <c r="SWB37" s="3"/>
      <c r="SWC37" s="3"/>
      <c r="SWD37" s="3"/>
      <c r="SWE37" s="3"/>
      <c r="SWF37" s="3"/>
      <c r="SWG37" s="3"/>
      <c r="SWH37" s="3"/>
      <c r="SWI37" s="3"/>
      <c r="SWJ37" s="3"/>
      <c r="SWK37" s="3"/>
      <c r="SWL37" s="3"/>
      <c r="SWM37" s="3"/>
      <c r="SWN37" s="3"/>
      <c r="SWO37" s="3"/>
      <c r="SWP37" s="3"/>
      <c r="SWQ37" s="3"/>
      <c r="SWR37" s="3"/>
      <c r="SWS37" s="3"/>
      <c r="SWT37" s="3"/>
      <c r="SWU37" s="3"/>
      <c r="SWV37" s="3"/>
      <c r="SWW37" s="3"/>
      <c r="SWX37" s="3"/>
      <c r="SWY37" s="3"/>
      <c r="SWZ37" s="3"/>
      <c r="SXA37" s="3"/>
      <c r="SXB37" s="3"/>
      <c r="SXC37" s="3"/>
      <c r="SXD37" s="3"/>
      <c r="SXE37" s="3"/>
      <c r="SXF37" s="3"/>
      <c r="SXG37" s="3"/>
      <c r="SXH37" s="3"/>
      <c r="SXI37" s="3"/>
      <c r="SXJ37" s="3"/>
      <c r="SXK37" s="3"/>
      <c r="SXL37" s="3"/>
      <c r="SXM37" s="3"/>
      <c r="SXN37" s="3"/>
      <c r="SXO37" s="3"/>
      <c r="SXP37" s="3"/>
      <c r="SXQ37" s="3"/>
      <c r="SXR37" s="3"/>
      <c r="SXS37" s="3"/>
      <c r="SXT37" s="3"/>
      <c r="SXU37" s="3"/>
      <c r="SXV37" s="3"/>
      <c r="SXW37" s="3"/>
      <c r="SXX37" s="3"/>
      <c r="SXY37" s="3"/>
      <c r="SXZ37" s="3"/>
      <c r="SYA37" s="3"/>
      <c r="SYB37" s="3"/>
      <c r="SYC37" s="3"/>
      <c r="SYD37" s="3"/>
      <c r="SYE37" s="3"/>
      <c r="SYF37" s="3"/>
      <c r="SYG37" s="3"/>
      <c r="SYH37" s="3"/>
      <c r="SYI37" s="3"/>
      <c r="SYJ37" s="3"/>
      <c r="SYK37" s="3"/>
      <c r="SYL37" s="3"/>
      <c r="SYM37" s="3"/>
      <c r="SYN37" s="3"/>
      <c r="SYO37" s="3"/>
      <c r="SYP37" s="3"/>
      <c r="SYQ37" s="3"/>
      <c r="SYR37" s="3"/>
      <c r="SYS37" s="3"/>
      <c r="SYT37" s="3"/>
      <c r="SYU37" s="3"/>
      <c r="SYV37" s="3"/>
      <c r="SYW37" s="3"/>
      <c r="SYX37" s="3"/>
      <c r="SYY37" s="3"/>
      <c r="SYZ37" s="3"/>
      <c r="SZA37" s="3"/>
      <c r="SZB37" s="3"/>
      <c r="SZC37" s="3"/>
      <c r="SZD37" s="3"/>
      <c r="SZE37" s="3"/>
      <c r="SZF37" s="3"/>
      <c r="SZG37" s="3"/>
      <c r="SZH37" s="3"/>
      <c r="SZI37" s="3"/>
      <c r="SZJ37" s="3"/>
      <c r="SZK37" s="3"/>
      <c r="SZL37" s="3"/>
      <c r="SZM37" s="3"/>
      <c r="SZN37" s="3"/>
      <c r="SZO37" s="3"/>
      <c r="SZP37" s="3"/>
      <c r="SZQ37" s="3"/>
      <c r="SZR37" s="3"/>
      <c r="SZS37" s="3"/>
      <c r="SZT37" s="3"/>
      <c r="SZU37" s="3"/>
      <c r="SZV37" s="3"/>
      <c r="SZW37" s="3"/>
      <c r="SZX37" s="3"/>
      <c r="SZY37" s="3"/>
      <c r="SZZ37" s="3"/>
      <c r="TAA37" s="3"/>
      <c r="TAB37" s="3"/>
      <c r="TAC37" s="3"/>
      <c r="TAD37" s="3"/>
      <c r="TAE37" s="3"/>
      <c r="TAF37" s="3"/>
      <c r="TAG37" s="3"/>
      <c r="TAH37" s="3"/>
      <c r="TAI37" s="3"/>
      <c r="TAJ37" s="3"/>
      <c r="TAK37" s="3"/>
      <c r="TAL37" s="3"/>
      <c r="TAM37" s="3"/>
      <c r="TAN37" s="3"/>
      <c r="TAO37" s="3"/>
      <c r="TAP37" s="3"/>
      <c r="TAQ37" s="3"/>
      <c r="TAR37" s="3"/>
      <c r="TAS37" s="3"/>
      <c r="TAT37" s="3"/>
      <c r="TAU37" s="3"/>
      <c r="TAV37" s="3"/>
      <c r="TAW37" s="3"/>
      <c r="TAX37" s="3"/>
      <c r="TAY37" s="3"/>
      <c r="TAZ37" s="3"/>
      <c r="TBA37" s="3"/>
      <c r="TBB37" s="3"/>
      <c r="TBC37" s="3"/>
      <c r="TBD37" s="3"/>
      <c r="TBE37" s="3"/>
      <c r="TBF37" s="3"/>
      <c r="TBG37" s="3"/>
      <c r="TBH37" s="3"/>
      <c r="TBI37" s="3"/>
      <c r="TBJ37" s="3"/>
      <c r="TBK37" s="3"/>
      <c r="TBL37" s="3"/>
      <c r="TBM37" s="3"/>
      <c r="TBN37" s="3"/>
      <c r="TBO37" s="3"/>
      <c r="TBP37" s="3"/>
      <c r="TBQ37" s="3"/>
      <c r="TBR37" s="3"/>
      <c r="TBS37" s="3"/>
      <c r="TBT37" s="3"/>
      <c r="TBU37" s="3"/>
      <c r="TBV37" s="3"/>
      <c r="TBW37" s="3"/>
      <c r="TBX37" s="3"/>
      <c r="TBY37" s="3"/>
      <c r="TBZ37" s="3"/>
      <c r="TCA37" s="3"/>
      <c r="TCB37" s="3"/>
      <c r="TCC37" s="3"/>
      <c r="TCD37" s="3"/>
      <c r="TCE37" s="3"/>
      <c r="TCF37" s="3"/>
      <c r="TCG37" s="3"/>
      <c r="TCH37" s="3"/>
      <c r="TCI37" s="3"/>
      <c r="TCJ37" s="3"/>
      <c r="TCK37" s="3"/>
      <c r="TCL37" s="3"/>
      <c r="TCM37" s="3"/>
      <c r="TCN37" s="3"/>
      <c r="TCO37" s="3"/>
      <c r="TCP37" s="3"/>
      <c r="TCQ37" s="3"/>
      <c r="TCR37" s="3"/>
      <c r="TCS37" s="3"/>
      <c r="TCT37" s="3"/>
      <c r="TCU37" s="3"/>
      <c r="TCV37" s="3"/>
      <c r="TCW37" s="3"/>
      <c r="TCX37" s="3"/>
      <c r="TCY37" s="3"/>
      <c r="TCZ37" s="3"/>
      <c r="TDA37" s="3"/>
      <c r="TDB37" s="3"/>
      <c r="TDC37" s="3"/>
      <c r="TDD37" s="3"/>
      <c r="TDE37" s="3"/>
      <c r="TDF37" s="3"/>
      <c r="TDG37" s="3"/>
      <c r="TDH37" s="3"/>
      <c r="TDI37" s="3"/>
      <c r="TDJ37" s="3"/>
      <c r="TDK37" s="3"/>
      <c r="TDL37" s="3"/>
      <c r="TDM37" s="3"/>
      <c r="TDN37" s="3"/>
      <c r="TDO37" s="3"/>
      <c r="TDP37" s="3"/>
      <c r="TDQ37" s="3"/>
      <c r="TDR37" s="3"/>
      <c r="TDS37" s="3"/>
      <c r="TDT37" s="3"/>
      <c r="TDU37" s="3"/>
      <c r="TDV37" s="3"/>
      <c r="TDW37" s="3"/>
      <c r="TDX37" s="3"/>
      <c r="TDY37" s="3"/>
      <c r="TDZ37" s="3"/>
      <c r="TEA37" s="3"/>
      <c r="TEB37" s="3"/>
      <c r="TEC37" s="3"/>
      <c r="TED37" s="3"/>
      <c r="TEE37" s="3"/>
      <c r="TEF37" s="3"/>
      <c r="TEG37" s="3"/>
      <c r="TEH37" s="3"/>
      <c r="TEI37" s="3"/>
      <c r="TEJ37" s="3"/>
      <c r="TEK37" s="3"/>
      <c r="TEL37" s="3"/>
      <c r="TEM37" s="3"/>
      <c r="TEN37" s="3"/>
      <c r="TEO37" s="3"/>
      <c r="TEP37" s="3"/>
      <c r="TEQ37" s="3"/>
      <c r="TER37" s="3"/>
      <c r="TES37" s="3"/>
      <c r="TET37" s="3"/>
      <c r="TEU37" s="3"/>
      <c r="TEV37" s="3"/>
      <c r="TEW37" s="3"/>
      <c r="TEX37" s="3"/>
      <c r="TEY37" s="3"/>
      <c r="TEZ37" s="3"/>
      <c r="TFA37" s="3"/>
      <c r="TFB37" s="3"/>
      <c r="TFC37" s="3"/>
      <c r="TFD37" s="3"/>
      <c r="TFE37" s="3"/>
      <c r="TFF37" s="3"/>
      <c r="TFG37" s="3"/>
      <c r="TFH37" s="3"/>
      <c r="TFI37" s="3"/>
      <c r="TFJ37" s="3"/>
      <c r="TFK37" s="3"/>
      <c r="TFL37" s="3"/>
      <c r="TFM37" s="3"/>
      <c r="TFN37" s="3"/>
      <c r="TFO37" s="3"/>
      <c r="TFP37" s="3"/>
      <c r="TFQ37" s="3"/>
      <c r="TFR37" s="3"/>
      <c r="TFS37" s="3"/>
      <c r="TFT37" s="3"/>
      <c r="TFU37" s="3"/>
      <c r="TFV37" s="3"/>
      <c r="TFW37" s="3"/>
      <c r="TFX37" s="3"/>
      <c r="TFY37" s="3"/>
      <c r="TFZ37" s="3"/>
      <c r="TGA37" s="3"/>
      <c r="TGB37" s="3"/>
      <c r="TGC37" s="3"/>
      <c r="TGD37" s="3"/>
      <c r="TGE37" s="3"/>
      <c r="TGF37" s="3"/>
      <c r="TGG37" s="3"/>
      <c r="TGH37" s="3"/>
      <c r="TGI37" s="3"/>
      <c r="TGJ37" s="3"/>
      <c r="TGK37" s="3"/>
      <c r="TGL37" s="3"/>
      <c r="TGM37" s="3"/>
      <c r="TGN37" s="3"/>
      <c r="TGO37" s="3"/>
      <c r="TGP37" s="3"/>
      <c r="TGQ37" s="3"/>
      <c r="TGR37" s="3"/>
      <c r="TGS37" s="3"/>
      <c r="TGT37" s="3"/>
      <c r="TGU37" s="3"/>
      <c r="TGV37" s="3"/>
      <c r="TGW37" s="3"/>
      <c r="TGX37" s="3"/>
      <c r="TGY37" s="3"/>
      <c r="TGZ37" s="3"/>
      <c r="THA37" s="3"/>
      <c r="THB37" s="3"/>
      <c r="THC37" s="3"/>
      <c r="THD37" s="3"/>
      <c r="THE37" s="3"/>
      <c r="THF37" s="3"/>
      <c r="THG37" s="3"/>
      <c r="THH37" s="3"/>
      <c r="THI37" s="3"/>
      <c r="THJ37" s="3"/>
      <c r="THK37" s="3"/>
      <c r="THL37" s="3"/>
      <c r="THM37" s="3"/>
      <c r="THN37" s="3"/>
      <c r="THO37" s="3"/>
      <c r="THP37" s="3"/>
      <c r="THQ37" s="3"/>
      <c r="THR37" s="3"/>
      <c r="THS37" s="3"/>
      <c r="THT37" s="3"/>
      <c r="THU37" s="3"/>
      <c r="THV37" s="3"/>
      <c r="THW37" s="3"/>
      <c r="THX37" s="3"/>
      <c r="THY37" s="3"/>
      <c r="THZ37" s="3"/>
      <c r="TIA37" s="3"/>
      <c r="TIB37" s="3"/>
      <c r="TIC37" s="3"/>
      <c r="TID37" s="3"/>
      <c r="TIE37" s="3"/>
      <c r="TIF37" s="3"/>
      <c r="TIG37" s="3"/>
      <c r="TIH37" s="3"/>
      <c r="TII37" s="3"/>
      <c r="TIJ37" s="3"/>
      <c r="TIK37" s="3"/>
      <c r="TIL37" s="3"/>
      <c r="TIM37" s="3"/>
      <c r="TIN37" s="3"/>
      <c r="TIO37" s="3"/>
      <c r="TIP37" s="3"/>
      <c r="TIQ37" s="3"/>
      <c r="TIR37" s="3"/>
      <c r="TIS37" s="3"/>
      <c r="TIT37" s="3"/>
      <c r="TIU37" s="3"/>
      <c r="TIV37" s="3"/>
      <c r="TIW37" s="3"/>
      <c r="TIX37" s="3"/>
      <c r="TIY37" s="3"/>
      <c r="TIZ37" s="3"/>
      <c r="TJA37" s="3"/>
      <c r="TJB37" s="3"/>
      <c r="TJC37" s="3"/>
      <c r="TJD37" s="3"/>
      <c r="TJE37" s="3"/>
      <c r="TJF37" s="3"/>
      <c r="TJG37" s="3"/>
      <c r="TJH37" s="3"/>
      <c r="TJI37" s="3"/>
      <c r="TJJ37" s="3"/>
      <c r="TJK37" s="3"/>
      <c r="TJL37" s="3"/>
      <c r="TJM37" s="3"/>
      <c r="TJN37" s="3"/>
      <c r="TJO37" s="3"/>
      <c r="TJP37" s="3"/>
      <c r="TJQ37" s="3"/>
      <c r="TJR37" s="3"/>
      <c r="TJS37" s="3"/>
      <c r="TJT37" s="3"/>
      <c r="TJU37" s="3"/>
      <c r="TJV37" s="3"/>
      <c r="TJW37" s="3"/>
      <c r="TJX37" s="3"/>
      <c r="TJY37" s="3"/>
      <c r="TJZ37" s="3"/>
      <c r="TKA37" s="3"/>
      <c r="TKB37" s="3"/>
      <c r="TKC37" s="3"/>
      <c r="TKD37" s="3"/>
      <c r="TKE37" s="3"/>
      <c r="TKF37" s="3"/>
      <c r="TKG37" s="3"/>
      <c r="TKH37" s="3"/>
      <c r="TKI37" s="3"/>
      <c r="TKJ37" s="3"/>
      <c r="TKK37" s="3"/>
      <c r="TKL37" s="3"/>
      <c r="TKM37" s="3"/>
      <c r="TKN37" s="3"/>
      <c r="TKO37" s="3"/>
      <c r="TKP37" s="3"/>
      <c r="TKQ37" s="3"/>
      <c r="TKR37" s="3"/>
      <c r="TKS37" s="3"/>
      <c r="TKT37" s="3"/>
      <c r="TKU37" s="3"/>
      <c r="TKV37" s="3"/>
      <c r="TKW37" s="3"/>
      <c r="TKX37" s="3"/>
      <c r="TKY37" s="3"/>
      <c r="TKZ37" s="3"/>
      <c r="TLA37" s="3"/>
      <c r="TLB37" s="3"/>
      <c r="TLC37" s="3"/>
      <c r="TLD37" s="3"/>
      <c r="TLE37" s="3"/>
      <c r="TLF37" s="3"/>
      <c r="TLG37" s="3"/>
      <c r="TLH37" s="3"/>
      <c r="TLI37" s="3"/>
      <c r="TLJ37" s="3"/>
      <c r="TLK37" s="3"/>
      <c r="TLL37" s="3"/>
      <c r="TLM37" s="3"/>
      <c r="TLN37" s="3"/>
      <c r="TLO37" s="3"/>
      <c r="TLP37" s="3"/>
      <c r="TLQ37" s="3"/>
      <c r="TLR37" s="3"/>
      <c r="TLS37" s="3"/>
      <c r="TLT37" s="3"/>
      <c r="TLU37" s="3"/>
      <c r="TLV37" s="3"/>
      <c r="TLW37" s="3"/>
      <c r="TLX37" s="3"/>
      <c r="TLY37" s="3"/>
      <c r="TLZ37" s="3"/>
      <c r="TMA37" s="3"/>
      <c r="TMB37" s="3"/>
      <c r="TMC37" s="3"/>
      <c r="TMD37" s="3"/>
      <c r="TME37" s="3"/>
      <c r="TMF37" s="3"/>
      <c r="TMG37" s="3"/>
      <c r="TMH37" s="3"/>
      <c r="TMI37" s="3"/>
      <c r="TMJ37" s="3"/>
      <c r="TMK37" s="3"/>
      <c r="TML37" s="3"/>
      <c r="TMM37" s="3"/>
      <c r="TMN37" s="3"/>
      <c r="TMO37" s="3"/>
      <c r="TMP37" s="3"/>
      <c r="TMQ37" s="3"/>
      <c r="TMR37" s="3"/>
      <c r="TMS37" s="3"/>
      <c r="TMT37" s="3"/>
      <c r="TMU37" s="3"/>
      <c r="TMV37" s="3"/>
      <c r="TMW37" s="3"/>
      <c r="TMX37" s="3"/>
      <c r="TMY37" s="3"/>
      <c r="TMZ37" s="3"/>
      <c r="TNA37" s="3"/>
      <c r="TNB37" s="3"/>
      <c r="TNC37" s="3"/>
      <c r="TND37" s="3"/>
      <c r="TNE37" s="3"/>
      <c r="TNF37" s="3"/>
      <c r="TNG37" s="3"/>
      <c r="TNH37" s="3"/>
      <c r="TNI37" s="3"/>
      <c r="TNJ37" s="3"/>
      <c r="TNK37" s="3"/>
      <c r="TNL37" s="3"/>
      <c r="TNM37" s="3"/>
      <c r="TNN37" s="3"/>
      <c r="TNO37" s="3"/>
      <c r="TNP37" s="3"/>
      <c r="TNQ37" s="3"/>
      <c r="TNR37" s="3"/>
      <c r="TNS37" s="3"/>
      <c r="TNT37" s="3"/>
      <c r="TNU37" s="3"/>
      <c r="TNV37" s="3"/>
      <c r="TNW37" s="3"/>
      <c r="TNX37" s="3"/>
      <c r="TNY37" s="3"/>
      <c r="TNZ37" s="3"/>
      <c r="TOA37" s="3"/>
      <c r="TOB37" s="3"/>
      <c r="TOC37" s="3"/>
      <c r="TOD37" s="3"/>
      <c r="TOE37" s="3"/>
      <c r="TOF37" s="3"/>
      <c r="TOG37" s="3"/>
      <c r="TOH37" s="3"/>
      <c r="TOI37" s="3"/>
      <c r="TOJ37" s="3"/>
      <c r="TOK37" s="3"/>
      <c r="TOL37" s="3"/>
      <c r="TOM37" s="3"/>
      <c r="TON37" s="3"/>
      <c r="TOO37" s="3"/>
      <c r="TOP37" s="3"/>
      <c r="TOQ37" s="3"/>
      <c r="TOR37" s="3"/>
      <c r="TOS37" s="3"/>
      <c r="TOT37" s="3"/>
      <c r="TOU37" s="3"/>
      <c r="TOV37" s="3"/>
      <c r="TOW37" s="3"/>
      <c r="TOX37" s="3"/>
      <c r="TOY37" s="3"/>
      <c r="TOZ37" s="3"/>
      <c r="TPA37" s="3"/>
      <c r="TPB37" s="3"/>
      <c r="TPC37" s="3"/>
      <c r="TPD37" s="3"/>
      <c r="TPE37" s="3"/>
      <c r="TPF37" s="3"/>
      <c r="TPG37" s="3"/>
      <c r="TPH37" s="3"/>
      <c r="TPI37" s="3"/>
      <c r="TPJ37" s="3"/>
      <c r="TPK37" s="3"/>
      <c r="TPL37" s="3"/>
      <c r="TPM37" s="3"/>
      <c r="TPN37" s="3"/>
      <c r="TPO37" s="3"/>
      <c r="TPP37" s="3"/>
      <c r="TPQ37" s="3"/>
      <c r="TPR37" s="3"/>
      <c r="TPS37" s="3"/>
      <c r="TPT37" s="3"/>
      <c r="TPU37" s="3"/>
      <c r="TPV37" s="3"/>
      <c r="TPW37" s="3"/>
      <c r="TPX37" s="3"/>
      <c r="TPY37" s="3"/>
      <c r="TPZ37" s="3"/>
      <c r="TQA37" s="3"/>
      <c r="TQB37" s="3"/>
      <c r="TQC37" s="3"/>
      <c r="TQD37" s="3"/>
      <c r="TQE37" s="3"/>
      <c r="TQF37" s="3"/>
      <c r="TQG37" s="3"/>
      <c r="TQH37" s="3"/>
      <c r="TQI37" s="3"/>
      <c r="TQJ37" s="3"/>
      <c r="TQK37" s="3"/>
      <c r="TQL37" s="3"/>
      <c r="TQM37" s="3"/>
      <c r="TQN37" s="3"/>
      <c r="TQO37" s="3"/>
      <c r="TQP37" s="3"/>
      <c r="TQQ37" s="3"/>
      <c r="TQR37" s="3"/>
      <c r="TQS37" s="3"/>
      <c r="TQT37" s="3"/>
      <c r="TQU37" s="3"/>
      <c r="TQV37" s="3"/>
      <c r="TQW37" s="3"/>
      <c r="TQX37" s="3"/>
      <c r="TQY37" s="3"/>
      <c r="TQZ37" s="3"/>
      <c r="TRA37" s="3"/>
      <c r="TRB37" s="3"/>
      <c r="TRC37" s="3"/>
      <c r="TRD37" s="3"/>
      <c r="TRE37" s="3"/>
      <c r="TRF37" s="3"/>
      <c r="TRG37" s="3"/>
      <c r="TRH37" s="3"/>
      <c r="TRI37" s="3"/>
      <c r="TRJ37" s="3"/>
      <c r="TRK37" s="3"/>
      <c r="TRL37" s="3"/>
      <c r="TRM37" s="3"/>
      <c r="TRN37" s="3"/>
      <c r="TRO37" s="3"/>
      <c r="TRP37" s="3"/>
      <c r="TRQ37" s="3"/>
      <c r="TRR37" s="3"/>
      <c r="TRS37" s="3"/>
      <c r="TRT37" s="3"/>
      <c r="TRU37" s="3"/>
      <c r="TRV37" s="3"/>
      <c r="TRW37" s="3"/>
      <c r="TRX37" s="3"/>
      <c r="TRY37" s="3"/>
      <c r="TRZ37" s="3"/>
      <c r="TSA37" s="3"/>
      <c r="TSB37" s="3"/>
      <c r="TSC37" s="3"/>
      <c r="TSD37" s="3"/>
      <c r="TSE37" s="3"/>
      <c r="TSF37" s="3"/>
      <c r="TSG37" s="3"/>
      <c r="TSH37" s="3"/>
      <c r="TSI37" s="3"/>
      <c r="TSJ37" s="3"/>
      <c r="TSK37" s="3"/>
      <c r="TSL37" s="3"/>
      <c r="TSM37" s="3"/>
      <c r="TSN37" s="3"/>
      <c r="TSO37" s="3"/>
      <c r="TSP37" s="3"/>
      <c r="TSQ37" s="3"/>
      <c r="TSR37" s="3"/>
      <c r="TSS37" s="3"/>
      <c r="TST37" s="3"/>
      <c r="TSU37" s="3"/>
      <c r="TSV37" s="3"/>
      <c r="TSW37" s="3"/>
      <c r="TSX37" s="3"/>
      <c r="TSY37" s="3"/>
      <c r="TSZ37" s="3"/>
      <c r="TTA37" s="3"/>
      <c r="TTB37" s="3"/>
      <c r="TTC37" s="3"/>
      <c r="TTD37" s="3"/>
      <c r="TTE37" s="3"/>
      <c r="TTF37" s="3"/>
      <c r="TTG37" s="3"/>
      <c r="TTH37" s="3"/>
      <c r="TTI37" s="3"/>
      <c r="TTJ37" s="3"/>
      <c r="TTK37" s="3"/>
      <c r="TTL37" s="3"/>
      <c r="TTM37" s="3"/>
      <c r="TTN37" s="3"/>
      <c r="TTO37" s="3"/>
      <c r="TTP37" s="3"/>
      <c r="TTQ37" s="3"/>
      <c r="TTR37" s="3"/>
      <c r="TTS37" s="3"/>
      <c r="TTT37" s="3"/>
      <c r="TTU37" s="3"/>
      <c r="TTV37" s="3"/>
      <c r="TTW37" s="3"/>
      <c r="TTX37" s="3"/>
      <c r="TTY37" s="3"/>
      <c r="TTZ37" s="3"/>
      <c r="TUA37" s="3"/>
      <c r="TUB37" s="3"/>
      <c r="TUC37" s="3"/>
      <c r="TUD37" s="3"/>
      <c r="TUE37" s="3"/>
      <c r="TUF37" s="3"/>
      <c r="TUG37" s="3"/>
      <c r="TUH37" s="3"/>
      <c r="TUI37" s="3"/>
      <c r="TUJ37" s="3"/>
      <c r="TUK37" s="3"/>
      <c r="TUL37" s="3"/>
      <c r="TUM37" s="3"/>
      <c r="TUN37" s="3"/>
      <c r="TUO37" s="3"/>
      <c r="TUP37" s="3"/>
      <c r="TUQ37" s="3"/>
      <c r="TUR37" s="3"/>
      <c r="TUS37" s="3"/>
      <c r="TUT37" s="3"/>
      <c r="TUU37" s="3"/>
      <c r="TUV37" s="3"/>
      <c r="TUW37" s="3"/>
      <c r="TUX37" s="3"/>
      <c r="TUY37" s="3"/>
      <c r="TUZ37" s="3"/>
      <c r="TVA37" s="3"/>
      <c r="TVB37" s="3"/>
      <c r="TVC37" s="3"/>
      <c r="TVD37" s="3"/>
      <c r="TVE37" s="3"/>
      <c r="TVF37" s="3"/>
      <c r="TVG37" s="3"/>
      <c r="TVH37" s="3"/>
      <c r="TVI37" s="3"/>
      <c r="TVJ37" s="3"/>
      <c r="TVK37" s="3"/>
      <c r="TVL37" s="3"/>
      <c r="TVM37" s="3"/>
      <c r="TVN37" s="3"/>
      <c r="TVO37" s="3"/>
      <c r="TVP37" s="3"/>
      <c r="TVQ37" s="3"/>
      <c r="TVR37" s="3"/>
      <c r="TVS37" s="3"/>
      <c r="TVT37" s="3"/>
      <c r="TVU37" s="3"/>
      <c r="TVV37" s="3"/>
      <c r="TVW37" s="3"/>
      <c r="TVX37" s="3"/>
      <c r="TVY37" s="3"/>
      <c r="TVZ37" s="3"/>
      <c r="TWA37" s="3"/>
      <c r="TWB37" s="3"/>
      <c r="TWC37" s="3"/>
      <c r="TWD37" s="3"/>
      <c r="TWE37" s="3"/>
      <c r="TWF37" s="3"/>
      <c r="TWG37" s="3"/>
      <c r="TWH37" s="3"/>
      <c r="TWI37" s="3"/>
      <c r="TWJ37" s="3"/>
      <c r="TWK37" s="3"/>
      <c r="TWL37" s="3"/>
      <c r="TWM37" s="3"/>
      <c r="TWN37" s="3"/>
      <c r="TWO37" s="3"/>
      <c r="TWP37" s="3"/>
      <c r="TWQ37" s="3"/>
      <c r="TWR37" s="3"/>
      <c r="TWS37" s="3"/>
      <c r="TWT37" s="3"/>
      <c r="TWU37" s="3"/>
      <c r="TWV37" s="3"/>
      <c r="TWW37" s="3"/>
      <c r="TWX37" s="3"/>
      <c r="TWY37" s="3"/>
      <c r="TWZ37" s="3"/>
      <c r="TXA37" s="3"/>
      <c r="TXB37" s="3"/>
      <c r="TXC37" s="3"/>
      <c r="TXD37" s="3"/>
      <c r="TXE37" s="3"/>
      <c r="TXF37" s="3"/>
      <c r="TXG37" s="3"/>
      <c r="TXH37" s="3"/>
      <c r="TXI37" s="3"/>
      <c r="TXJ37" s="3"/>
      <c r="TXK37" s="3"/>
      <c r="TXL37" s="3"/>
      <c r="TXM37" s="3"/>
      <c r="TXN37" s="3"/>
      <c r="TXO37" s="3"/>
      <c r="TXP37" s="3"/>
      <c r="TXQ37" s="3"/>
      <c r="TXR37" s="3"/>
      <c r="TXS37" s="3"/>
      <c r="TXT37" s="3"/>
      <c r="TXU37" s="3"/>
      <c r="TXV37" s="3"/>
      <c r="TXW37" s="3"/>
      <c r="TXX37" s="3"/>
      <c r="TXY37" s="3"/>
      <c r="TXZ37" s="3"/>
      <c r="TYA37" s="3"/>
      <c r="TYB37" s="3"/>
      <c r="TYC37" s="3"/>
      <c r="TYD37" s="3"/>
      <c r="TYE37" s="3"/>
      <c r="TYF37" s="3"/>
      <c r="TYG37" s="3"/>
      <c r="TYH37" s="3"/>
      <c r="TYI37" s="3"/>
      <c r="TYJ37" s="3"/>
      <c r="TYK37" s="3"/>
      <c r="TYL37" s="3"/>
      <c r="TYM37" s="3"/>
      <c r="TYN37" s="3"/>
      <c r="TYO37" s="3"/>
      <c r="TYP37" s="3"/>
      <c r="TYQ37" s="3"/>
      <c r="TYR37" s="3"/>
      <c r="TYS37" s="3"/>
      <c r="TYT37" s="3"/>
      <c r="TYU37" s="3"/>
      <c r="TYV37" s="3"/>
      <c r="TYW37" s="3"/>
      <c r="TYX37" s="3"/>
      <c r="TYY37" s="3"/>
      <c r="TYZ37" s="3"/>
      <c r="TZA37" s="3"/>
      <c r="TZB37" s="3"/>
      <c r="TZC37" s="3"/>
      <c r="TZD37" s="3"/>
      <c r="TZE37" s="3"/>
      <c r="TZF37" s="3"/>
      <c r="TZG37" s="3"/>
      <c r="TZH37" s="3"/>
      <c r="TZI37" s="3"/>
      <c r="TZJ37" s="3"/>
      <c r="TZK37" s="3"/>
      <c r="TZL37" s="3"/>
      <c r="TZM37" s="3"/>
      <c r="TZN37" s="3"/>
      <c r="TZO37" s="3"/>
      <c r="TZP37" s="3"/>
      <c r="TZQ37" s="3"/>
      <c r="TZR37" s="3"/>
      <c r="TZS37" s="3"/>
      <c r="TZT37" s="3"/>
      <c r="TZU37" s="3"/>
      <c r="TZV37" s="3"/>
      <c r="TZW37" s="3"/>
      <c r="TZX37" s="3"/>
      <c r="TZY37" s="3"/>
      <c r="TZZ37" s="3"/>
      <c r="UAA37" s="3"/>
      <c r="UAB37" s="3"/>
      <c r="UAC37" s="3"/>
      <c r="UAD37" s="3"/>
      <c r="UAE37" s="3"/>
      <c r="UAF37" s="3"/>
      <c r="UAG37" s="3"/>
      <c r="UAH37" s="3"/>
      <c r="UAI37" s="3"/>
      <c r="UAJ37" s="3"/>
      <c r="UAK37" s="3"/>
      <c r="UAL37" s="3"/>
      <c r="UAM37" s="3"/>
      <c r="UAN37" s="3"/>
      <c r="UAO37" s="3"/>
      <c r="UAP37" s="3"/>
      <c r="UAQ37" s="3"/>
      <c r="UAR37" s="3"/>
      <c r="UAS37" s="3"/>
      <c r="UAT37" s="3"/>
      <c r="UAU37" s="3"/>
      <c r="UAV37" s="3"/>
      <c r="UAW37" s="3"/>
      <c r="UAX37" s="3"/>
      <c r="UAY37" s="3"/>
      <c r="UAZ37" s="3"/>
      <c r="UBA37" s="3"/>
      <c r="UBB37" s="3"/>
      <c r="UBC37" s="3"/>
      <c r="UBD37" s="3"/>
      <c r="UBE37" s="3"/>
      <c r="UBF37" s="3"/>
      <c r="UBG37" s="3"/>
      <c r="UBH37" s="3"/>
      <c r="UBI37" s="3"/>
      <c r="UBJ37" s="3"/>
      <c r="UBK37" s="3"/>
      <c r="UBL37" s="3"/>
      <c r="UBM37" s="3"/>
      <c r="UBN37" s="3"/>
      <c r="UBO37" s="3"/>
      <c r="UBP37" s="3"/>
      <c r="UBQ37" s="3"/>
      <c r="UBR37" s="3"/>
      <c r="UBS37" s="3"/>
      <c r="UBT37" s="3"/>
      <c r="UBU37" s="3"/>
      <c r="UBV37" s="3"/>
      <c r="UBW37" s="3"/>
      <c r="UBX37" s="3"/>
      <c r="UBY37" s="3"/>
      <c r="UBZ37" s="3"/>
      <c r="UCA37" s="3"/>
      <c r="UCB37" s="3"/>
      <c r="UCC37" s="3"/>
      <c r="UCD37" s="3"/>
      <c r="UCE37" s="3"/>
      <c r="UCF37" s="3"/>
      <c r="UCG37" s="3"/>
      <c r="UCH37" s="3"/>
      <c r="UCI37" s="3"/>
      <c r="UCJ37" s="3"/>
      <c r="UCK37" s="3"/>
      <c r="UCL37" s="3"/>
      <c r="UCM37" s="3"/>
      <c r="UCN37" s="3"/>
      <c r="UCO37" s="3"/>
      <c r="UCP37" s="3"/>
      <c r="UCQ37" s="3"/>
      <c r="UCR37" s="3"/>
      <c r="UCS37" s="3"/>
      <c r="UCT37" s="3"/>
      <c r="UCU37" s="3"/>
      <c r="UCV37" s="3"/>
      <c r="UCW37" s="3"/>
      <c r="UCX37" s="3"/>
      <c r="UCY37" s="3"/>
      <c r="UCZ37" s="3"/>
      <c r="UDA37" s="3"/>
      <c r="UDB37" s="3"/>
      <c r="UDC37" s="3"/>
      <c r="UDD37" s="3"/>
      <c r="UDE37" s="3"/>
      <c r="UDF37" s="3"/>
      <c r="UDG37" s="3"/>
      <c r="UDH37" s="3"/>
      <c r="UDI37" s="3"/>
      <c r="UDJ37" s="3"/>
      <c r="UDK37" s="3"/>
      <c r="UDL37" s="3"/>
      <c r="UDM37" s="3"/>
      <c r="UDN37" s="3"/>
      <c r="UDO37" s="3"/>
      <c r="UDP37" s="3"/>
      <c r="UDQ37" s="3"/>
      <c r="UDR37" s="3"/>
      <c r="UDS37" s="3"/>
      <c r="UDT37" s="3"/>
      <c r="UDU37" s="3"/>
      <c r="UDV37" s="3"/>
      <c r="UDW37" s="3"/>
      <c r="UDX37" s="3"/>
      <c r="UDY37" s="3"/>
      <c r="UDZ37" s="3"/>
      <c r="UEA37" s="3"/>
      <c r="UEB37" s="3"/>
      <c r="UEC37" s="3"/>
      <c r="UED37" s="3"/>
      <c r="UEE37" s="3"/>
      <c r="UEF37" s="3"/>
      <c r="UEG37" s="3"/>
      <c r="UEH37" s="3"/>
      <c r="UEI37" s="3"/>
      <c r="UEJ37" s="3"/>
      <c r="UEK37" s="3"/>
      <c r="UEL37" s="3"/>
      <c r="UEM37" s="3"/>
      <c r="UEN37" s="3"/>
      <c r="UEO37" s="3"/>
      <c r="UEP37" s="3"/>
      <c r="UEQ37" s="3"/>
      <c r="UER37" s="3"/>
      <c r="UES37" s="3"/>
      <c r="UET37" s="3"/>
      <c r="UEU37" s="3"/>
      <c r="UEV37" s="3"/>
      <c r="UEW37" s="3"/>
      <c r="UEX37" s="3"/>
      <c r="UEY37" s="3"/>
      <c r="UEZ37" s="3"/>
      <c r="UFA37" s="3"/>
      <c r="UFB37" s="3"/>
      <c r="UFC37" s="3"/>
      <c r="UFD37" s="3"/>
      <c r="UFE37" s="3"/>
      <c r="UFF37" s="3"/>
      <c r="UFG37" s="3"/>
      <c r="UFH37" s="3"/>
      <c r="UFI37" s="3"/>
      <c r="UFJ37" s="3"/>
      <c r="UFK37" s="3"/>
      <c r="UFL37" s="3"/>
      <c r="UFM37" s="3"/>
      <c r="UFN37" s="3"/>
      <c r="UFO37" s="3"/>
      <c r="UFP37" s="3"/>
      <c r="UFQ37" s="3"/>
      <c r="UFR37" s="3"/>
      <c r="UFS37" s="3"/>
      <c r="UFT37" s="3"/>
      <c r="UFU37" s="3"/>
      <c r="UFV37" s="3"/>
      <c r="UFW37" s="3"/>
      <c r="UFX37" s="3"/>
      <c r="UFY37" s="3"/>
      <c r="UFZ37" s="3"/>
      <c r="UGA37" s="3"/>
      <c r="UGB37" s="3"/>
      <c r="UGC37" s="3"/>
      <c r="UGD37" s="3"/>
      <c r="UGE37" s="3"/>
      <c r="UGF37" s="3"/>
      <c r="UGG37" s="3"/>
      <c r="UGH37" s="3"/>
      <c r="UGI37" s="3"/>
      <c r="UGJ37" s="3"/>
      <c r="UGK37" s="3"/>
      <c r="UGL37" s="3"/>
      <c r="UGM37" s="3"/>
      <c r="UGN37" s="3"/>
      <c r="UGO37" s="3"/>
      <c r="UGP37" s="3"/>
      <c r="UGQ37" s="3"/>
      <c r="UGR37" s="3"/>
      <c r="UGS37" s="3"/>
      <c r="UGT37" s="3"/>
      <c r="UGU37" s="3"/>
      <c r="UGV37" s="3"/>
      <c r="UGW37" s="3"/>
      <c r="UGX37" s="3"/>
      <c r="UGY37" s="3"/>
      <c r="UGZ37" s="3"/>
      <c r="UHA37" s="3"/>
      <c r="UHB37" s="3"/>
      <c r="UHC37" s="3"/>
      <c r="UHD37" s="3"/>
      <c r="UHE37" s="3"/>
      <c r="UHF37" s="3"/>
      <c r="UHG37" s="3"/>
      <c r="UHH37" s="3"/>
      <c r="UHI37" s="3"/>
      <c r="UHJ37" s="3"/>
      <c r="UHK37" s="3"/>
      <c r="UHL37" s="3"/>
      <c r="UHM37" s="3"/>
      <c r="UHN37" s="3"/>
      <c r="UHO37" s="3"/>
      <c r="UHP37" s="3"/>
      <c r="UHQ37" s="3"/>
      <c r="UHR37" s="3"/>
      <c r="UHS37" s="3"/>
      <c r="UHT37" s="3"/>
      <c r="UHU37" s="3"/>
      <c r="UHV37" s="3"/>
      <c r="UHW37" s="3"/>
      <c r="UHX37" s="3"/>
      <c r="UHY37" s="3"/>
      <c r="UHZ37" s="3"/>
      <c r="UIA37" s="3"/>
      <c r="UIB37" s="3"/>
      <c r="UIC37" s="3"/>
      <c r="UID37" s="3"/>
      <c r="UIE37" s="3"/>
      <c r="UIF37" s="3"/>
      <c r="UIG37" s="3"/>
      <c r="UIH37" s="3"/>
      <c r="UII37" s="3"/>
      <c r="UIJ37" s="3"/>
      <c r="UIK37" s="3"/>
      <c r="UIL37" s="3"/>
      <c r="UIM37" s="3"/>
      <c r="UIN37" s="3"/>
      <c r="UIO37" s="3"/>
      <c r="UIP37" s="3"/>
      <c r="UIQ37" s="3"/>
      <c r="UIR37" s="3"/>
      <c r="UIS37" s="3"/>
      <c r="UIT37" s="3"/>
      <c r="UIU37" s="3"/>
      <c r="UIV37" s="3"/>
      <c r="UIW37" s="3"/>
      <c r="UIX37" s="3"/>
      <c r="UIY37" s="3"/>
      <c r="UIZ37" s="3"/>
      <c r="UJA37" s="3"/>
      <c r="UJB37" s="3"/>
      <c r="UJC37" s="3"/>
      <c r="UJD37" s="3"/>
      <c r="UJE37" s="3"/>
      <c r="UJF37" s="3"/>
      <c r="UJG37" s="3"/>
      <c r="UJH37" s="3"/>
      <c r="UJI37" s="3"/>
      <c r="UJJ37" s="3"/>
      <c r="UJK37" s="3"/>
      <c r="UJL37" s="3"/>
      <c r="UJM37" s="3"/>
      <c r="UJN37" s="3"/>
      <c r="UJO37" s="3"/>
      <c r="UJP37" s="3"/>
      <c r="UJQ37" s="3"/>
      <c r="UJR37" s="3"/>
      <c r="UJS37" s="3"/>
      <c r="UJT37" s="3"/>
      <c r="UJU37" s="3"/>
      <c r="UJV37" s="3"/>
      <c r="UJW37" s="3"/>
      <c r="UJX37" s="3"/>
      <c r="UJY37" s="3"/>
      <c r="UJZ37" s="3"/>
      <c r="UKA37" s="3"/>
      <c r="UKB37" s="3"/>
      <c r="UKC37" s="3"/>
      <c r="UKD37" s="3"/>
      <c r="UKE37" s="3"/>
      <c r="UKF37" s="3"/>
      <c r="UKG37" s="3"/>
      <c r="UKH37" s="3"/>
      <c r="UKI37" s="3"/>
      <c r="UKJ37" s="3"/>
      <c r="UKK37" s="3"/>
      <c r="UKL37" s="3"/>
      <c r="UKM37" s="3"/>
      <c r="UKN37" s="3"/>
      <c r="UKO37" s="3"/>
      <c r="UKP37" s="3"/>
      <c r="UKQ37" s="3"/>
      <c r="UKR37" s="3"/>
      <c r="UKS37" s="3"/>
      <c r="UKT37" s="3"/>
      <c r="UKU37" s="3"/>
      <c r="UKV37" s="3"/>
      <c r="UKW37" s="3"/>
      <c r="UKX37" s="3"/>
      <c r="UKY37" s="3"/>
      <c r="UKZ37" s="3"/>
      <c r="ULA37" s="3"/>
      <c r="ULB37" s="3"/>
      <c r="ULC37" s="3"/>
      <c r="ULD37" s="3"/>
      <c r="ULE37" s="3"/>
      <c r="ULF37" s="3"/>
      <c r="ULG37" s="3"/>
      <c r="ULH37" s="3"/>
      <c r="ULI37" s="3"/>
      <c r="ULJ37" s="3"/>
      <c r="ULK37" s="3"/>
      <c r="ULL37" s="3"/>
      <c r="ULM37" s="3"/>
      <c r="ULN37" s="3"/>
      <c r="ULO37" s="3"/>
      <c r="ULP37" s="3"/>
      <c r="ULQ37" s="3"/>
      <c r="ULR37" s="3"/>
      <c r="ULS37" s="3"/>
      <c r="ULT37" s="3"/>
      <c r="ULU37" s="3"/>
      <c r="ULV37" s="3"/>
      <c r="ULW37" s="3"/>
      <c r="ULX37" s="3"/>
      <c r="ULY37" s="3"/>
      <c r="ULZ37" s="3"/>
      <c r="UMA37" s="3"/>
      <c r="UMB37" s="3"/>
      <c r="UMC37" s="3"/>
      <c r="UMD37" s="3"/>
      <c r="UME37" s="3"/>
      <c r="UMF37" s="3"/>
      <c r="UMG37" s="3"/>
      <c r="UMH37" s="3"/>
      <c r="UMI37" s="3"/>
      <c r="UMJ37" s="3"/>
      <c r="UMK37" s="3"/>
      <c r="UML37" s="3"/>
      <c r="UMM37" s="3"/>
      <c r="UMN37" s="3"/>
      <c r="UMO37" s="3"/>
      <c r="UMP37" s="3"/>
      <c r="UMQ37" s="3"/>
      <c r="UMR37" s="3"/>
      <c r="UMS37" s="3"/>
      <c r="UMT37" s="3"/>
      <c r="UMU37" s="3"/>
      <c r="UMV37" s="3"/>
      <c r="UMW37" s="3"/>
      <c r="UMX37" s="3"/>
      <c r="UMY37" s="3"/>
      <c r="UMZ37" s="3"/>
      <c r="UNA37" s="3"/>
      <c r="UNB37" s="3"/>
      <c r="UNC37" s="3"/>
      <c r="UND37" s="3"/>
      <c r="UNE37" s="3"/>
      <c r="UNF37" s="3"/>
      <c r="UNG37" s="3"/>
      <c r="UNH37" s="3"/>
      <c r="UNI37" s="3"/>
      <c r="UNJ37" s="3"/>
      <c r="UNK37" s="3"/>
      <c r="UNL37" s="3"/>
      <c r="UNM37" s="3"/>
      <c r="UNN37" s="3"/>
      <c r="UNO37" s="3"/>
      <c r="UNP37" s="3"/>
      <c r="UNQ37" s="3"/>
      <c r="UNR37" s="3"/>
      <c r="UNS37" s="3"/>
      <c r="UNT37" s="3"/>
      <c r="UNU37" s="3"/>
      <c r="UNV37" s="3"/>
      <c r="UNW37" s="3"/>
      <c r="UNX37" s="3"/>
      <c r="UNY37" s="3"/>
      <c r="UNZ37" s="3"/>
      <c r="UOA37" s="3"/>
      <c r="UOB37" s="3"/>
      <c r="UOC37" s="3"/>
      <c r="UOD37" s="3"/>
      <c r="UOE37" s="3"/>
      <c r="UOF37" s="3"/>
      <c r="UOG37" s="3"/>
      <c r="UOH37" s="3"/>
      <c r="UOI37" s="3"/>
      <c r="UOJ37" s="3"/>
      <c r="UOK37" s="3"/>
      <c r="UOL37" s="3"/>
      <c r="UOM37" s="3"/>
      <c r="UON37" s="3"/>
      <c r="UOO37" s="3"/>
      <c r="UOP37" s="3"/>
      <c r="UOQ37" s="3"/>
      <c r="UOR37" s="3"/>
      <c r="UOS37" s="3"/>
      <c r="UOT37" s="3"/>
      <c r="UOU37" s="3"/>
      <c r="UOV37" s="3"/>
      <c r="UOW37" s="3"/>
      <c r="UOX37" s="3"/>
      <c r="UOY37" s="3"/>
      <c r="UOZ37" s="3"/>
      <c r="UPA37" s="3"/>
      <c r="UPB37" s="3"/>
      <c r="UPC37" s="3"/>
      <c r="UPD37" s="3"/>
      <c r="UPE37" s="3"/>
      <c r="UPF37" s="3"/>
      <c r="UPG37" s="3"/>
      <c r="UPH37" s="3"/>
      <c r="UPI37" s="3"/>
      <c r="UPJ37" s="3"/>
      <c r="UPK37" s="3"/>
      <c r="UPL37" s="3"/>
      <c r="UPM37" s="3"/>
      <c r="UPN37" s="3"/>
      <c r="UPO37" s="3"/>
      <c r="UPP37" s="3"/>
      <c r="UPQ37" s="3"/>
      <c r="UPR37" s="3"/>
      <c r="UPS37" s="3"/>
      <c r="UPT37" s="3"/>
      <c r="UPU37" s="3"/>
      <c r="UPV37" s="3"/>
      <c r="UPW37" s="3"/>
      <c r="UPX37" s="3"/>
      <c r="UPY37" s="3"/>
      <c r="UPZ37" s="3"/>
      <c r="UQA37" s="3"/>
      <c r="UQB37" s="3"/>
      <c r="UQC37" s="3"/>
      <c r="UQD37" s="3"/>
      <c r="UQE37" s="3"/>
      <c r="UQF37" s="3"/>
      <c r="UQG37" s="3"/>
      <c r="UQH37" s="3"/>
      <c r="UQI37" s="3"/>
      <c r="UQJ37" s="3"/>
      <c r="UQK37" s="3"/>
      <c r="UQL37" s="3"/>
      <c r="UQM37" s="3"/>
      <c r="UQN37" s="3"/>
      <c r="UQO37" s="3"/>
      <c r="UQP37" s="3"/>
      <c r="UQQ37" s="3"/>
      <c r="UQR37" s="3"/>
      <c r="UQS37" s="3"/>
      <c r="UQT37" s="3"/>
      <c r="UQU37" s="3"/>
      <c r="UQV37" s="3"/>
      <c r="UQW37" s="3"/>
      <c r="UQX37" s="3"/>
      <c r="UQY37" s="3"/>
      <c r="UQZ37" s="3"/>
      <c r="URA37" s="3"/>
      <c r="URB37" s="3"/>
      <c r="URC37" s="3"/>
      <c r="URD37" s="3"/>
      <c r="URE37" s="3"/>
      <c r="URF37" s="3"/>
      <c r="URG37" s="3"/>
      <c r="URH37" s="3"/>
      <c r="URI37" s="3"/>
      <c r="URJ37" s="3"/>
      <c r="URK37" s="3"/>
      <c r="URL37" s="3"/>
      <c r="URM37" s="3"/>
      <c r="URN37" s="3"/>
      <c r="URO37" s="3"/>
      <c r="URP37" s="3"/>
      <c r="URQ37" s="3"/>
      <c r="URR37" s="3"/>
      <c r="URS37" s="3"/>
      <c r="URT37" s="3"/>
      <c r="URU37" s="3"/>
      <c r="URV37" s="3"/>
      <c r="URW37" s="3"/>
      <c r="URX37" s="3"/>
      <c r="URY37" s="3"/>
      <c r="URZ37" s="3"/>
      <c r="USA37" s="3"/>
      <c r="USB37" s="3"/>
      <c r="USC37" s="3"/>
      <c r="USD37" s="3"/>
      <c r="USE37" s="3"/>
      <c r="USF37" s="3"/>
      <c r="USG37" s="3"/>
      <c r="USH37" s="3"/>
      <c r="USI37" s="3"/>
      <c r="USJ37" s="3"/>
      <c r="USK37" s="3"/>
      <c r="USL37" s="3"/>
      <c r="USM37" s="3"/>
      <c r="USN37" s="3"/>
      <c r="USO37" s="3"/>
      <c r="USP37" s="3"/>
      <c r="USQ37" s="3"/>
      <c r="USR37" s="3"/>
      <c r="USS37" s="3"/>
      <c r="UST37" s="3"/>
      <c r="USU37" s="3"/>
      <c r="USV37" s="3"/>
      <c r="USW37" s="3"/>
      <c r="USX37" s="3"/>
      <c r="USY37" s="3"/>
      <c r="USZ37" s="3"/>
      <c r="UTA37" s="3"/>
      <c r="UTB37" s="3"/>
      <c r="UTC37" s="3"/>
      <c r="UTD37" s="3"/>
      <c r="UTE37" s="3"/>
      <c r="UTF37" s="3"/>
      <c r="UTG37" s="3"/>
      <c r="UTH37" s="3"/>
      <c r="UTI37" s="3"/>
      <c r="UTJ37" s="3"/>
      <c r="UTK37" s="3"/>
      <c r="UTL37" s="3"/>
      <c r="UTM37" s="3"/>
      <c r="UTN37" s="3"/>
      <c r="UTO37" s="3"/>
      <c r="UTP37" s="3"/>
      <c r="UTQ37" s="3"/>
      <c r="UTR37" s="3"/>
      <c r="UTS37" s="3"/>
      <c r="UTT37" s="3"/>
      <c r="UTU37" s="3"/>
      <c r="UTV37" s="3"/>
      <c r="UTW37" s="3"/>
      <c r="UTX37" s="3"/>
      <c r="UTY37" s="3"/>
      <c r="UTZ37" s="3"/>
      <c r="UUA37" s="3"/>
      <c r="UUB37" s="3"/>
      <c r="UUC37" s="3"/>
      <c r="UUD37" s="3"/>
      <c r="UUE37" s="3"/>
      <c r="UUF37" s="3"/>
      <c r="UUG37" s="3"/>
      <c r="UUH37" s="3"/>
      <c r="UUI37" s="3"/>
      <c r="UUJ37" s="3"/>
      <c r="UUK37" s="3"/>
      <c r="UUL37" s="3"/>
      <c r="UUM37" s="3"/>
      <c r="UUN37" s="3"/>
      <c r="UUO37" s="3"/>
      <c r="UUP37" s="3"/>
      <c r="UUQ37" s="3"/>
      <c r="UUR37" s="3"/>
      <c r="UUS37" s="3"/>
      <c r="UUT37" s="3"/>
      <c r="UUU37" s="3"/>
      <c r="UUV37" s="3"/>
      <c r="UUW37" s="3"/>
      <c r="UUX37" s="3"/>
      <c r="UUY37" s="3"/>
      <c r="UUZ37" s="3"/>
      <c r="UVA37" s="3"/>
      <c r="UVB37" s="3"/>
      <c r="UVC37" s="3"/>
      <c r="UVD37" s="3"/>
      <c r="UVE37" s="3"/>
      <c r="UVF37" s="3"/>
      <c r="UVG37" s="3"/>
      <c r="UVH37" s="3"/>
      <c r="UVI37" s="3"/>
      <c r="UVJ37" s="3"/>
      <c r="UVK37" s="3"/>
      <c r="UVL37" s="3"/>
      <c r="UVM37" s="3"/>
      <c r="UVN37" s="3"/>
      <c r="UVO37" s="3"/>
      <c r="UVP37" s="3"/>
      <c r="UVQ37" s="3"/>
      <c r="UVR37" s="3"/>
      <c r="UVS37" s="3"/>
      <c r="UVT37" s="3"/>
      <c r="UVU37" s="3"/>
      <c r="UVV37" s="3"/>
      <c r="UVW37" s="3"/>
      <c r="UVX37" s="3"/>
      <c r="UVY37" s="3"/>
      <c r="UVZ37" s="3"/>
      <c r="UWA37" s="3"/>
      <c r="UWB37" s="3"/>
      <c r="UWC37" s="3"/>
      <c r="UWD37" s="3"/>
      <c r="UWE37" s="3"/>
      <c r="UWF37" s="3"/>
      <c r="UWG37" s="3"/>
      <c r="UWH37" s="3"/>
      <c r="UWI37" s="3"/>
      <c r="UWJ37" s="3"/>
      <c r="UWK37" s="3"/>
      <c r="UWL37" s="3"/>
      <c r="UWM37" s="3"/>
      <c r="UWN37" s="3"/>
      <c r="UWO37" s="3"/>
      <c r="UWP37" s="3"/>
      <c r="UWQ37" s="3"/>
      <c r="UWR37" s="3"/>
      <c r="UWS37" s="3"/>
      <c r="UWT37" s="3"/>
      <c r="UWU37" s="3"/>
      <c r="UWV37" s="3"/>
      <c r="UWW37" s="3"/>
      <c r="UWX37" s="3"/>
      <c r="UWY37" s="3"/>
      <c r="UWZ37" s="3"/>
      <c r="UXA37" s="3"/>
      <c r="UXB37" s="3"/>
      <c r="UXC37" s="3"/>
      <c r="UXD37" s="3"/>
      <c r="UXE37" s="3"/>
      <c r="UXF37" s="3"/>
      <c r="UXG37" s="3"/>
      <c r="UXH37" s="3"/>
      <c r="UXI37" s="3"/>
      <c r="UXJ37" s="3"/>
      <c r="UXK37" s="3"/>
      <c r="UXL37" s="3"/>
      <c r="UXM37" s="3"/>
      <c r="UXN37" s="3"/>
      <c r="UXO37" s="3"/>
      <c r="UXP37" s="3"/>
      <c r="UXQ37" s="3"/>
      <c r="UXR37" s="3"/>
      <c r="UXS37" s="3"/>
      <c r="UXT37" s="3"/>
      <c r="UXU37" s="3"/>
      <c r="UXV37" s="3"/>
      <c r="UXW37" s="3"/>
      <c r="UXX37" s="3"/>
      <c r="UXY37" s="3"/>
      <c r="UXZ37" s="3"/>
      <c r="UYA37" s="3"/>
      <c r="UYB37" s="3"/>
      <c r="UYC37" s="3"/>
      <c r="UYD37" s="3"/>
      <c r="UYE37" s="3"/>
      <c r="UYF37" s="3"/>
      <c r="UYG37" s="3"/>
      <c r="UYH37" s="3"/>
      <c r="UYI37" s="3"/>
      <c r="UYJ37" s="3"/>
      <c r="UYK37" s="3"/>
      <c r="UYL37" s="3"/>
      <c r="UYM37" s="3"/>
      <c r="UYN37" s="3"/>
      <c r="UYO37" s="3"/>
      <c r="UYP37" s="3"/>
      <c r="UYQ37" s="3"/>
      <c r="UYR37" s="3"/>
      <c r="UYS37" s="3"/>
      <c r="UYT37" s="3"/>
      <c r="UYU37" s="3"/>
      <c r="UYV37" s="3"/>
      <c r="UYW37" s="3"/>
      <c r="UYX37" s="3"/>
      <c r="UYY37" s="3"/>
      <c r="UYZ37" s="3"/>
      <c r="UZA37" s="3"/>
      <c r="UZB37" s="3"/>
      <c r="UZC37" s="3"/>
      <c r="UZD37" s="3"/>
      <c r="UZE37" s="3"/>
      <c r="UZF37" s="3"/>
      <c r="UZG37" s="3"/>
      <c r="UZH37" s="3"/>
      <c r="UZI37" s="3"/>
      <c r="UZJ37" s="3"/>
      <c r="UZK37" s="3"/>
      <c r="UZL37" s="3"/>
      <c r="UZM37" s="3"/>
      <c r="UZN37" s="3"/>
      <c r="UZO37" s="3"/>
      <c r="UZP37" s="3"/>
      <c r="UZQ37" s="3"/>
      <c r="UZR37" s="3"/>
      <c r="UZS37" s="3"/>
      <c r="UZT37" s="3"/>
      <c r="UZU37" s="3"/>
      <c r="UZV37" s="3"/>
      <c r="UZW37" s="3"/>
      <c r="UZX37" s="3"/>
      <c r="UZY37" s="3"/>
      <c r="UZZ37" s="3"/>
      <c r="VAA37" s="3"/>
      <c r="VAB37" s="3"/>
      <c r="VAC37" s="3"/>
      <c r="VAD37" s="3"/>
      <c r="VAE37" s="3"/>
      <c r="VAF37" s="3"/>
      <c r="VAG37" s="3"/>
      <c r="VAH37" s="3"/>
      <c r="VAI37" s="3"/>
      <c r="VAJ37" s="3"/>
      <c r="VAK37" s="3"/>
      <c r="VAL37" s="3"/>
      <c r="VAM37" s="3"/>
      <c r="VAN37" s="3"/>
      <c r="VAO37" s="3"/>
      <c r="VAP37" s="3"/>
      <c r="VAQ37" s="3"/>
      <c r="VAR37" s="3"/>
      <c r="VAS37" s="3"/>
      <c r="VAT37" s="3"/>
      <c r="VAU37" s="3"/>
      <c r="VAV37" s="3"/>
      <c r="VAW37" s="3"/>
      <c r="VAX37" s="3"/>
      <c r="VAY37" s="3"/>
      <c r="VAZ37" s="3"/>
      <c r="VBA37" s="3"/>
      <c r="VBB37" s="3"/>
      <c r="VBC37" s="3"/>
      <c r="VBD37" s="3"/>
      <c r="VBE37" s="3"/>
      <c r="VBF37" s="3"/>
      <c r="VBG37" s="3"/>
      <c r="VBH37" s="3"/>
      <c r="VBI37" s="3"/>
      <c r="VBJ37" s="3"/>
      <c r="VBK37" s="3"/>
      <c r="VBL37" s="3"/>
      <c r="VBM37" s="3"/>
      <c r="VBN37" s="3"/>
      <c r="VBO37" s="3"/>
      <c r="VBP37" s="3"/>
      <c r="VBQ37" s="3"/>
      <c r="VBR37" s="3"/>
      <c r="VBS37" s="3"/>
      <c r="VBT37" s="3"/>
      <c r="VBU37" s="3"/>
      <c r="VBV37" s="3"/>
      <c r="VBW37" s="3"/>
      <c r="VBX37" s="3"/>
      <c r="VBY37" s="3"/>
      <c r="VBZ37" s="3"/>
      <c r="VCA37" s="3"/>
      <c r="VCB37" s="3"/>
      <c r="VCC37" s="3"/>
      <c r="VCD37" s="3"/>
      <c r="VCE37" s="3"/>
      <c r="VCF37" s="3"/>
      <c r="VCG37" s="3"/>
      <c r="VCH37" s="3"/>
      <c r="VCI37" s="3"/>
      <c r="VCJ37" s="3"/>
      <c r="VCK37" s="3"/>
      <c r="VCL37" s="3"/>
      <c r="VCM37" s="3"/>
      <c r="VCN37" s="3"/>
      <c r="VCO37" s="3"/>
      <c r="VCP37" s="3"/>
      <c r="VCQ37" s="3"/>
      <c r="VCR37" s="3"/>
      <c r="VCS37" s="3"/>
      <c r="VCT37" s="3"/>
      <c r="VCU37" s="3"/>
      <c r="VCV37" s="3"/>
      <c r="VCW37" s="3"/>
      <c r="VCX37" s="3"/>
      <c r="VCY37" s="3"/>
      <c r="VCZ37" s="3"/>
      <c r="VDA37" s="3"/>
      <c r="VDB37" s="3"/>
      <c r="VDC37" s="3"/>
      <c r="VDD37" s="3"/>
      <c r="VDE37" s="3"/>
      <c r="VDF37" s="3"/>
      <c r="VDG37" s="3"/>
      <c r="VDH37" s="3"/>
      <c r="VDI37" s="3"/>
      <c r="VDJ37" s="3"/>
      <c r="VDK37" s="3"/>
      <c r="VDL37" s="3"/>
      <c r="VDM37" s="3"/>
      <c r="VDN37" s="3"/>
      <c r="VDO37" s="3"/>
      <c r="VDP37" s="3"/>
      <c r="VDQ37" s="3"/>
      <c r="VDR37" s="3"/>
      <c r="VDS37" s="3"/>
      <c r="VDT37" s="3"/>
      <c r="VDU37" s="3"/>
      <c r="VDV37" s="3"/>
      <c r="VDW37" s="3"/>
      <c r="VDX37" s="3"/>
      <c r="VDY37" s="3"/>
      <c r="VDZ37" s="3"/>
      <c r="VEA37" s="3"/>
      <c r="VEB37" s="3"/>
      <c r="VEC37" s="3"/>
      <c r="VED37" s="3"/>
      <c r="VEE37" s="3"/>
      <c r="VEF37" s="3"/>
      <c r="VEG37" s="3"/>
      <c r="VEH37" s="3"/>
      <c r="VEI37" s="3"/>
      <c r="VEJ37" s="3"/>
      <c r="VEK37" s="3"/>
      <c r="VEL37" s="3"/>
      <c r="VEM37" s="3"/>
      <c r="VEN37" s="3"/>
      <c r="VEO37" s="3"/>
      <c r="VEP37" s="3"/>
      <c r="VEQ37" s="3"/>
      <c r="VER37" s="3"/>
      <c r="VES37" s="3"/>
      <c r="VET37" s="3"/>
      <c r="VEU37" s="3"/>
      <c r="VEV37" s="3"/>
      <c r="VEW37" s="3"/>
      <c r="VEX37" s="3"/>
      <c r="VEY37" s="3"/>
      <c r="VEZ37" s="3"/>
      <c r="VFA37" s="3"/>
      <c r="VFB37" s="3"/>
      <c r="VFC37" s="3"/>
      <c r="VFD37" s="3"/>
      <c r="VFE37" s="3"/>
      <c r="VFF37" s="3"/>
      <c r="VFG37" s="3"/>
      <c r="VFH37" s="3"/>
      <c r="VFI37" s="3"/>
      <c r="VFJ37" s="3"/>
      <c r="VFK37" s="3"/>
      <c r="VFL37" s="3"/>
      <c r="VFM37" s="3"/>
      <c r="VFN37" s="3"/>
      <c r="VFO37" s="3"/>
      <c r="VFP37" s="3"/>
      <c r="VFQ37" s="3"/>
      <c r="VFR37" s="3"/>
      <c r="VFS37" s="3"/>
      <c r="VFT37" s="3"/>
      <c r="VFU37" s="3"/>
      <c r="VFV37" s="3"/>
      <c r="VFW37" s="3"/>
      <c r="VFX37" s="3"/>
      <c r="VFY37" s="3"/>
      <c r="VFZ37" s="3"/>
      <c r="VGA37" s="3"/>
      <c r="VGB37" s="3"/>
      <c r="VGC37" s="3"/>
      <c r="VGD37" s="3"/>
      <c r="VGE37" s="3"/>
      <c r="VGF37" s="3"/>
      <c r="VGG37" s="3"/>
      <c r="VGH37" s="3"/>
      <c r="VGI37" s="3"/>
      <c r="VGJ37" s="3"/>
      <c r="VGK37" s="3"/>
      <c r="VGL37" s="3"/>
      <c r="VGM37" s="3"/>
      <c r="VGN37" s="3"/>
      <c r="VGO37" s="3"/>
      <c r="VGP37" s="3"/>
      <c r="VGQ37" s="3"/>
      <c r="VGR37" s="3"/>
      <c r="VGS37" s="3"/>
      <c r="VGT37" s="3"/>
      <c r="VGU37" s="3"/>
      <c r="VGV37" s="3"/>
      <c r="VGW37" s="3"/>
      <c r="VGX37" s="3"/>
      <c r="VGY37" s="3"/>
      <c r="VGZ37" s="3"/>
      <c r="VHA37" s="3"/>
      <c r="VHB37" s="3"/>
      <c r="VHC37" s="3"/>
      <c r="VHD37" s="3"/>
      <c r="VHE37" s="3"/>
      <c r="VHF37" s="3"/>
      <c r="VHG37" s="3"/>
      <c r="VHH37" s="3"/>
      <c r="VHI37" s="3"/>
      <c r="VHJ37" s="3"/>
      <c r="VHK37" s="3"/>
      <c r="VHL37" s="3"/>
      <c r="VHM37" s="3"/>
      <c r="VHN37" s="3"/>
      <c r="VHO37" s="3"/>
      <c r="VHP37" s="3"/>
      <c r="VHQ37" s="3"/>
      <c r="VHR37" s="3"/>
      <c r="VHS37" s="3"/>
      <c r="VHT37" s="3"/>
      <c r="VHU37" s="3"/>
      <c r="VHV37" s="3"/>
      <c r="VHW37" s="3"/>
      <c r="VHX37" s="3"/>
      <c r="VHY37" s="3"/>
      <c r="VHZ37" s="3"/>
      <c r="VIA37" s="3"/>
      <c r="VIB37" s="3"/>
      <c r="VIC37" s="3"/>
      <c r="VID37" s="3"/>
      <c r="VIE37" s="3"/>
      <c r="VIF37" s="3"/>
      <c r="VIG37" s="3"/>
      <c r="VIH37" s="3"/>
      <c r="VII37" s="3"/>
      <c r="VIJ37" s="3"/>
      <c r="VIK37" s="3"/>
      <c r="VIL37" s="3"/>
      <c r="VIM37" s="3"/>
      <c r="VIN37" s="3"/>
      <c r="VIO37" s="3"/>
      <c r="VIP37" s="3"/>
      <c r="VIQ37" s="3"/>
      <c r="VIR37" s="3"/>
      <c r="VIS37" s="3"/>
      <c r="VIT37" s="3"/>
      <c r="VIU37" s="3"/>
      <c r="VIV37" s="3"/>
      <c r="VIW37" s="3"/>
      <c r="VIX37" s="3"/>
      <c r="VIY37" s="3"/>
      <c r="VIZ37" s="3"/>
      <c r="VJA37" s="3"/>
      <c r="VJB37" s="3"/>
      <c r="VJC37" s="3"/>
      <c r="VJD37" s="3"/>
      <c r="VJE37" s="3"/>
      <c r="VJF37" s="3"/>
      <c r="VJG37" s="3"/>
      <c r="VJH37" s="3"/>
      <c r="VJI37" s="3"/>
      <c r="VJJ37" s="3"/>
      <c r="VJK37" s="3"/>
      <c r="VJL37" s="3"/>
      <c r="VJM37" s="3"/>
      <c r="VJN37" s="3"/>
      <c r="VJO37" s="3"/>
      <c r="VJP37" s="3"/>
      <c r="VJQ37" s="3"/>
      <c r="VJR37" s="3"/>
      <c r="VJS37" s="3"/>
      <c r="VJT37" s="3"/>
      <c r="VJU37" s="3"/>
      <c r="VJV37" s="3"/>
      <c r="VJW37" s="3"/>
      <c r="VJX37" s="3"/>
      <c r="VJY37" s="3"/>
      <c r="VJZ37" s="3"/>
      <c r="VKA37" s="3"/>
      <c r="VKB37" s="3"/>
      <c r="VKC37" s="3"/>
      <c r="VKD37" s="3"/>
      <c r="VKE37" s="3"/>
      <c r="VKF37" s="3"/>
      <c r="VKG37" s="3"/>
      <c r="VKH37" s="3"/>
      <c r="VKI37" s="3"/>
      <c r="VKJ37" s="3"/>
      <c r="VKK37" s="3"/>
      <c r="VKL37" s="3"/>
      <c r="VKM37" s="3"/>
      <c r="VKN37" s="3"/>
      <c r="VKO37" s="3"/>
      <c r="VKP37" s="3"/>
      <c r="VKQ37" s="3"/>
      <c r="VKR37" s="3"/>
      <c r="VKS37" s="3"/>
      <c r="VKT37" s="3"/>
      <c r="VKU37" s="3"/>
      <c r="VKV37" s="3"/>
      <c r="VKW37" s="3"/>
      <c r="VKX37" s="3"/>
      <c r="VKY37" s="3"/>
      <c r="VKZ37" s="3"/>
      <c r="VLA37" s="3"/>
      <c r="VLB37" s="3"/>
      <c r="VLC37" s="3"/>
      <c r="VLD37" s="3"/>
      <c r="VLE37" s="3"/>
      <c r="VLF37" s="3"/>
      <c r="VLG37" s="3"/>
      <c r="VLH37" s="3"/>
      <c r="VLI37" s="3"/>
      <c r="VLJ37" s="3"/>
      <c r="VLK37" s="3"/>
      <c r="VLL37" s="3"/>
      <c r="VLM37" s="3"/>
      <c r="VLN37" s="3"/>
      <c r="VLO37" s="3"/>
      <c r="VLP37" s="3"/>
      <c r="VLQ37" s="3"/>
      <c r="VLR37" s="3"/>
      <c r="VLS37" s="3"/>
      <c r="VLT37" s="3"/>
      <c r="VLU37" s="3"/>
      <c r="VLV37" s="3"/>
      <c r="VLW37" s="3"/>
      <c r="VLX37" s="3"/>
      <c r="VLY37" s="3"/>
      <c r="VLZ37" s="3"/>
      <c r="VMA37" s="3"/>
      <c r="VMB37" s="3"/>
      <c r="VMC37" s="3"/>
      <c r="VMD37" s="3"/>
      <c r="VME37" s="3"/>
      <c r="VMF37" s="3"/>
      <c r="VMG37" s="3"/>
      <c r="VMH37" s="3"/>
      <c r="VMI37" s="3"/>
      <c r="VMJ37" s="3"/>
      <c r="VMK37" s="3"/>
      <c r="VML37" s="3"/>
      <c r="VMM37" s="3"/>
      <c r="VMN37" s="3"/>
      <c r="VMO37" s="3"/>
      <c r="VMP37" s="3"/>
      <c r="VMQ37" s="3"/>
      <c r="VMR37" s="3"/>
      <c r="VMS37" s="3"/>
      <c r="VMT37" s="3"/>
      <c r="VMU37" s="3"/>
      <c r="VMV37" s="3"/>
      <c r="VMW37" s="3"/>
      <c r="VMX37" s="3"/>
      <c r="VMY37" s="3"/>
      <c r="VMZ37" s="3"/>
      <c r="VNA37" s="3"/>
      <c r="VNB37" s="3"/>
      <c r="VNC37" s="3"/>
      <c r="VND37" s="3"/>
      <c r="VNE37" s="3"/>
      <c r="VNF37" s="3"/>
      <c r="VNG37" s="3"/>
      <c r="VNH37" s="3"/>
      <c r="VNI37" s="3"/>
      <c r="VNJ37" s="3"/>
      <c r="VNK37" s="3"/>
      <c r="VNL37" s="3"/>
      <c r="VNM37" s="3"/>
      <c r="VNN37" s="3"/>
      <c r="VNO37" s="3"/>
      <c r="VNP37" s="3"/>
      <c r="VNQ37" s="3"/>
      <c r="VNR37" s="3"/>
      <c r="VNS37" s="3"/>
      <c r="VNT37" s="3"/>
      <c r="VNU37" s="3"/>
      <c r="VNV37" s="3"/>
      <c r="VNW37" s="3"/>
      <c r="VNX37" s="3"/>
      <c r="VNY37" s="3"/>
      <c r="VNZ37" s="3"/>
      <c r="VOA37" s="3"/>
      <c r="VOB37" s="3"/>
      <c r="VOC37" s="3"/>
      <c r="VOD37" s="3"/>
      <c r="VOE37" s="3"/>
      <c r="VOF37" s="3"/>
      <c r="VOG37" s="3"/>
      <c r="VOH37" s="3"/>
      <c r="VOI37" s="3"/>
      <c r="VOJ37" s="3"/>
      <c r="VOK37" s="3"/>
      <c r="VOL37" s="3"/>
      <c r="VOM37" s="3"/>
      <c r="VON37" s="3"/>
      <c r="VOO37" s="3"/>
      <c r="VOP37" s="3"/>
      <c r="VOQ37" s="3"/>
      <c r="VOR37" s="3"/>
      <c r="VOS37" s="3"/>
      <c r="VOT37" s="3"/>
      <c r="VOU37" s="3"/>
      <c r="VOV37" s="3"/>
      <c r="VOW37" s="3"/>
      <c r="VOX37" s="3"/>
      <c r="VOY37" s="3"/>
      <c r="VOZ37" s="3"/>
      <c r="VPA37" s="3"/>
      <c r="VPB37" s="3"/>
      <c r="VPC37" s="3"/>
      <c r="VPD37" s="3"/>
      <c r="VPE37" s="3"/>
      <c r="VPF37" s="3"/>
      <c r="VPG37" s="3"/>
      <c r="VPH37" s="3"/>
      <c r="VPI37" s="3"/>
      <c r="VPJ37" s="3"/>
      <c r="VPK37" s="3"/>
      <c r="VPL37" s="3"/>
      <c r="VPM37" s="3"/>
      <c r="VPN37" s="3"/>
      <c r="VPO37" s="3"/>
      <c r="VPP37" s="3"/>
      <c r="VPQ37" s="3"/>
      <c r="VPR37" s="3"/>
      <c r="VPS37" s="3"/>
      <c r="VPT37" s="3"/>
      <c r="VPU37" s="3"/>
      <c r="VPV37" s="3"/>
      <c r="VPW37" s="3"/>
      <c r="VPX37" s="3"/>
      <c r="VPY37" s="3"/>
      <c r="VPZ37" s="3"/>
      <c r="VQA37" s="3"/>
      <c r="VQB37" s="3"/>
      <c r="VQC37" s="3"/>
      <c r="VQD37" s="3"/>
      <c r="VQE37" s="3"/>
      <c r="VQF37" s="3"/>
      <c r="VQG37" s="3"/>
      <c r="VQH37" s="3"/>
      <c r="VQI37" s="3"/>
      <c r="VQJ37" s="3"/>
      <c r="VQK37" s="3"/>
      <c r="VQL37" s="3"/>
      <c r="VQM37" s="3"/>
      <c r="VQN37" s="3"/>
      <c r="VQO37" s="3"/>
      <c r="VQP37" s="3"/>
      <c r="VQQ37" s="3"/>
      <c r="VQR37" s="3"/>
      <c r="VQS37" s="3"/>
      <c r="VQT37" s="3"/>
      <c r="VQU37" s="3"/>
      <c r="VQV37" s="3"/>
      <c r="VQW37" s="3"/>
      <c r="VQX37" s="3"/>
      <c r="VQY37" s="3"/>
      <c r="VQZ37" s="3"/>
      <c r="VRA37" s="3"/>
      <c r="VRB37" s="3"/>
      <c r="VRC37" s="3"/>
      <c r="VRD37" s="3"/>
      <c r="VRE37" s="3"/>
      <c r="VRF37" s="3"/>
      <c r="VRG37" s="3"/>
      <c r="VRH37" s="3"/>
      <c r="VRI37" s="3"/>
      <c r="VRJ37" s="3"/>
      <c r="VRK37" s="3"/>
      <c r="VRL37" s="3"/>
      <c r="VRM37" s="3"/>
      <c r="VRN37" s="3"/>
      <c r="VRO37" s="3"/>
      <c r="VRP37" s="3"/>
      <c r="VRQ37" s="3"/>
      <c r="VRR37" s="3"/>
      <c r="VRS37" s="3"/>
      <c r="VRT37" s="3"/>
      <c r="VRU37" s="3"/>
      <c r="VRV37" s="3"/>
      <c r="VRW37" s="3"/>
      <c r="VRX37" s="3"/>
      <c r="VRY37" s="3"/>
      <c r="VRZ37" s="3"/>
      <c r="VSA37" s="3"/>
      <c r="VSB37" s="3"/>
      <c r="VSC37" s="3"/>
      <c r="VSD37" s="3"/>
      <c r="VSE37" s="3"/>
      <c r="VSF37" s="3"/>
      <c r="VSG37" s="3"/>
      <c r="VSH37" s="3"/>
      <c r="VSI37" s="3"/>
      <c r="VSJ37" s="3"/>
      <c r="VSK37" s="3"/>
      <c r="VSL37" s="3"/>
      <c r="VSM37" s="3"/>
      <c r="VSN37" s="3"/>
      <c r="VSO37" s="3"/>
      <c r="VSP37" s="3"/>
      <c r="VSQ37" s="3"/>
      <c r="VSR37" s="3"/>
      <c r="VSS37" s="3"/>
      <c r="VST37" s="3"/>
      <c r="VSU37" s="3"/>
      <c r="VSV37" s="3"/>
      <c r="VSW37" s="3"/>
      <c r="VSX37" s="3"/>
      <c r="VSY37" s="3"/>
      <c r="VSZ37" s="3"/>
      <c r="VTA37" s="3"/>
      <c r="VTB37" s="3"/>
      <c r="VTC37" s="3"/>
      <c r="VTD37" s="3"/>
      <c r="VTE37" s="3"/>
      <c r="VTF37" s="3"/>
      <c r="VTG37" s="3"/>
      <c r="VTH37" s="3"/>
      <c r="VTI37" s="3"/>
      <c r="VTJ37" s="3"/>
      <c r="VTK37" s="3"/>
      <c r="VTL37" s="3"/>
      <c r="VTM37" s="3"/>
      <c r="VTN37" s="3"/>
      <c r="VTO37" s="3"/>
      <c r="VTP37" s="3"/>
      <c r="VTQ37" s="3"/>
      <c r="VTR37" s="3"/>
      <c r="VTS37" s="3"/>
      <c r="VTT37" s="3"/>
      <c r="VTU37" s="3"/>
      <c r="VTV37" s="3"/>
      <c r="VTW37" s="3"/>
      <c r="VTX37" s="3"/>
      <c r="VTY37" s="3"/>
      <c r="VTZ37" s="3"/>
      <c r="VUA37" s="3"/>
      <c r="VUB37" s="3"/>
      <c r="VUC37" s="3"/>
      <c r="VUD37" s="3"/>
      <c r="VUE37" s="3"/>
      <c r="VUF37" s="3"/>
      <c r="VUG37" s="3"/>
      <c r="VUH37" s="3"/>
      <c r="VUI37" s="3"/>
      <c r="VUJ37" s="3"/>
      <c r="VUK37" s="3"/>
      <c r="VUL37" s="3"/>
      <c r="VUM37" s="3"/>
      <c r="VUN37" s="3"/>
      <c r="VUO37" s="3"/>
      <c r="VUP37" s="3"/>
      <c r="VUQ37" s="3"/>
      <c r="VUR37" s="3"/>
      <c r="VUS37" s="3"/>
      <c r="VUT37" s="3"/>
      <c r="VUU37" s="3"/>
      <c r="VUV37" s="3"/>
      <c r="VUW37" s="3"/>
      <c r="VUX37" s="3"/>
      <c r="VUY37" s="3"/>
      <c r="VUZ37" s="3"/>
      <c r="VVA37" s="3"/>
      <c r="VVB37" s="3"/>
      <c r="VVC37" s="3"/>
      <c r="VVD37" s="3"/>
      <c r="VVE37" s="3"/>
      <c r="VVF37" s="3"/>
      <c r="VVG37" s="3"/>
      <c r="VVH37" s="3"/>
      <c r="VVI37" s="3"/>
      <c r="VVJ37" s="3"/>
      <c r="VVK37" s="3"/>
      <c r="VVL37" s="3"/>
      <c r="VVM37" s="3"/>
      <c r="VVN37" s="3"/>
      <c r="VVO37" s="3"/>
      <c r="VVP37" s="3"/>
      <c r="VVQ37" s="3"/>
      <c r="VVR37" s="3"/>
      <c r="VVS37" s="3"/>
      <c r="VVT37" s="3"/>
      <c r="VVU37" s="3"/>
      <c r="VVV37" s="3"/>
      <c r="VVW37" s="3"/>
      <c r="VVX37" s="3"/>
      <c r="VVY37" s="3"/>
      <c r="VVZ37" s="3"/>
      <c r="VWA37" s="3"/>
      <c r="VWB37" s="3"/>
      <c r="VWC37" s="3"/>
      <c r="VWD37" s="3"/>
      <c r="VWE37" s="3"/>
      <c r="VWF37" s="3"/>
      <c r="VWG37" s="3"/>
      <c r="VWH37" s="3"/>
      <c r="VWI37" s="3"/>
      <c r="VWJ37" s="3"/>
      <c r="VWK37" s="3"/>
      <c r="VWL37" s="3"/>
      <c r="VWM37" s="3"/>
      <c r="VWN37" s="3"/>
      <c r="VWO37" s="3"/>
      <c r="VWP37" s="3"/>
      <c r="VWQ37" s="3"/>
      <c r="VWR37" s="3"/>
      <c r="VWS37" s="3"/>
      <c r="VWT37" s="3"/>
      <c r="VWU37" s="3"/>
      <c r="VWV37" s="3"/>
      <c r="VWW37" s="3"/>
      <c r="VWX37" s="3"/>
      <c r="VWY37" s="3"/>
      <c r="VWZ37" s="3"/>
      <c r="VXA37" s="3"/>
      <c r="VXB37" s="3"/>
      <c r="VXC37" s="3"/>
      <c r="VXD37" s="3"/>
      <c r="VXE37" s="3"/>
      <c r="VXF37" s="3"/>
      <c r="VXG37" s="3"/>
      <c r="VXH37" s="3"/>
      <c r="VXI37" s="3"/>
      <c r="VXJ37" s="3"/>
      <c r="VXK37" s="3"/>
      <c r="VXL37" s="3"/>
      <c r="VXM37" s="3"/>
      <c r="VXN37" s="3"/>
      <c r="VXO37" s="3"/>
      <c r="VXP37" s="3"/>
      <c r="VXQ37" s="3"/>
      <c r="VXR37" s="3"/>
      <c r="VXS37" s="3"/>
      <c r="VXT37" s="3"/>
      <c r="VXU37" s="3"/>
      <c r="VXV37" s="3"/>
      <c r="VXW37" s="3"/>
      <c r="VXX37" s="3"/>
      <c r="VXY37" s="3"/>
      <c r="VXZ37" s="3"/>
      <c r="VYA37" s="3"/>
      <c r="VYB37" s="3"/>
      <c r="VYC37" s="3"/>
      <c r="VYD37" s="3"/>
      <c r="VYE37" s="3"/>
      <c r="VYF37" s="3"/>
      <c r="VYG37" s="3"/>
      <c r="VYH37" s="3"/>
      <c r="VYI37" s="3"/>
      <c r="VYJ37" s="3"/>
      <c r="VYK37" s="3"/>
      <c r="VYL37" s="3"/>
      <c r="VYM37" s="3"/>
      <c r="VYN37" s="3"/>
      <c r="VYO37" s="3"/>
      <c r="VYP37" s="3"/>
      <c r="VYQ37" s="3"/>
      <c r="VYR37" s="3"/>
      <c r="VYS37" s="3"/>
      <c r="VYT37" s="3"/>
      <c r="VYU37" s="3"/>
      <c r="VYV37" s="3"/>
      <c r="VYW37" s="3"/>
      <c r="VYX37" s="3"/>
      <c r="VYY37" s="3"/>
      <c r="VYZ37" s="3"/>
      <c r="VZA37" s="3"/>
      <c r="VZB37" s="3"/>
      <c r="VZC37" s="3"/>
      <c r="VZD37" s="3"/>
      <c r="VZE37" s="3"/>
      <c r="VZF37" s="3"/>
      <c r="VZG37" s="3"/>
      <c r="VZH37" s="3"/>
      <c r="VZI37" s="3"/>
      <c r="VZJ37" s="3"/>
      <c r="VZK37" s="3"/>
      <c r="VZL37" s="3"/>
      <c r="VZM37" s="3"/>
      <c r="VZN37" s="3"/>
      <c r="VZO37" s="3"/>
      <c r="VZP37" s="3"/>
      <c r="VZQ37" s="3"/>
      <c r="VZR37" s="3"/>
      <c r="VZS37" s="3"/>
      <c r="VZT37" s="3"/>
      <c r="VZU37" s="3"/>
      <c r="VZV37" s="3"/>
      <c r="VZW37" s="3"/>
      <c r="VZX37" s="3"/>
      <c r="VZY37" s="3"/>
      <c r="VZZ37" s="3"/>
      <c r="WAA37" s="3"/>
      <c r="WAB37" s="3"/>
      <c r="WAC37" s="3"/>
      <c r="WAD37" s="3"/>
      <c r="WAE37" s="3"/>
      <c r="WAF37" s="3"/>
      <c r="WAG37" s="3"/>
      <c r="WAH37" s="3"/>
      <c r="WAI37" s="3"/>
      <c r="WAJ37" s="3"/>
      <c r="WAK37" s="3"/>
      <c r="WAL37" s="3"/>
      <c r="WAM37" s="3"/>
      <c r="WAN37" s="3"/>
      <c r="WAO37" s="3"/>
      <c r="WAP37" s="3"/>
      <c r="WAQ37" s="3"/>
      <c r="WAR37" s="3"/>
      <c r="WAS37" s="3"/>
      <c r="WAT37" s="3"/>
      <c r="WAU37" s="3"/>
      <c r="WAV37" s="3"/>
      <c r="WAW37" s="3"/>
      <c r="WAX37" s="3"/>
      <c r="WAY37" s="3"/>
      <c r="WAZ37" s="3"/>
      <c r="WBA37" s="3"/>
      <c r="WBB37" s="3"/>
      <c r="WBC37" s="3"/>
      <c r="WBD37" s="3"/>
      <c r="WBE37" s="3"/>
      <c r="WBF37" s="3"/>
      <c r="WBG37" s="3"/>
      <c r="WBH37" s="3"/>
      <c r="WBI37" s="3"/>
      <c r="WBJ37" s="3"/>
      <c r="WBK37" s="3"/>
      <c r="WBL37" s="3"/>
      <c r="WBM37" s="3"/>
      <c r="WBN37" s="3"/>
      <c r="WBO37" s="3"/>
      <c r="WBP37" s="3"/>
      <c r="WBQ37" s="3"/>
      <c r="WBR37" s="3"/>
      <c r="WBS37" s="3"/>
      <c r="WBT37" s="3"/>
      <c r="WBU37" s="3"/>
      <c r="WBV37" s="3"/>
      <c r="WBW37" s="3"/>
      <c r="WBX37" s="3"/>
      <c r="WBY37" s="3"/>
      <c r="WBZ37" s="3"/>
      <c r="WCA37" s="3"/>
      <c r="WCB37" s="3"/>
      <c r="WCC37" s="3"/>
      <c r="WCD37" s="3"/>
      <c r="WCE37" s="3"/>
      <c r="WCF37" s="3"/>
      <c r="WCG37" s="3"/>
      <c r="WCH37" s="3"/>
      <c r="WCI37" s="3"/>
      <c r="WCJ37" s="3"/>
      <c r="WCK37" s="3"/>
      <c r="WCL37" s="3"/>
      <c r="WCM37" s="3"/>
      <c r="WCN37" s="3"/>
      <c r="WCO37" s="3"/>
      <c r="WCP37" s="3"/>
      <c r="WCQ37" s="3"/>
      <c r="WCR37" s="3"/>
      <c r="WCS37" s="3"/>
      <c r="WCT37" s="3"/>
      <c r="WCU37" s="3"/>
      <c r="WCV37" s="3"/>
      <c r="WCW37" s="3"/>
      <c r="WCX37" s="3"/>
      <c r="WCY37" s="3"/>
      <c r="WCZ37" s="3"/>
      <c r="WDA37" s="3"/>
      <c r="WDB37" s="3"/>
      <c r="WDC37" s="3"/>
      <c r="WDD37" s="3"/>
      <c r="WDE37" s="3"/>
      <c r="WDF37" s="3"/>
      <c r="WDG37" s="3"/>
      <c r="WDH37" s="3"/>
      <c r="WDI37" s="3"/>
      <c r="WDJ37" s="3"/>
      <c r="WDK37" s="3"/>
      <c r="WDL37" s="3"/>
      <c r="WDM37" s="3"/>
      <c r="WDN37" s="3"/>
      <c r="WDO37" s="3"/>
      <c r="WDP37" s="3"/>
      <c r="WDQ37" s="3"/>
      <c r="WDR37" s="3"/>
      <c r="WDS37" s="3"/>
      <c r="WDT37" s="3"/>
      <c r="WDU37" s="3"/>
      <c r="WDV37" s="3"/>
      <c r="WDW37" s="3"/>
      <c r="WDX37" s="3"/>
      <c r="WDY37" s="3"/>
      <c r="WDZ37" s="3"/>
      <c r="WEA37" s="3"/>
      <c r="WEB37" s="3"/>
      <c r="WEC37" s="3"/>
      <c r="WED37" s="3"/>
      <c r="WEE37" s="3"/>
      <c r="WEF37" s="3"/>
      <c r="WEG37" s="3"/>
      <c r="WEH37" s="3"/>
      <c r="WEI37" s="3"/>
      <c r="WEJ37" s="3"/>
      <c r="WEK37" s="3"/>
      <c r="WEL37" s="3"/>
      <c r="WEM37" s="3"/>
      <c r="WEN37" s="3"/>
      <c r="WEO37" s="3"/>
      <c r="WEP37" s="3"/>
      <c r="WEQ37" s="3"/>
      <c r="WER37" s="3"/>
      <c r="WES37" s="3"/>
      <c r="WET37" s="3"/>
      <c r="WEU37" s="3"/>
      <c r="WEV37" s="3"/>
      <c r="WEW37" s="3"/>
      <c r="WEX37" s="3"/>
      <c r="WEY37" s="3"/>
      <c r="WEZ37" s="3"/>
      <c r="WFA37" s="3"/>
      <c r="WFB37" s="3"/>
      <c r="WFC37" s="3"/>
      <c r="WFD37" s="3"/>
      <c r="WFE37" s="3"/>
      <c r="WFF37" s="3"/>
      <c r="WFG37" s="3"/>
      <c r="WFH37" s="3"/>
      <c r="WFI37" s="3"/>
      <c r="WFJ37" s="3"/>
      <c r="WFK37" s="3"/>
      <c r="WFL37" s="3"/>
      <c r="WFM37" s="3"/>
      <c r="WFN37" s="3"/>
      <c r="WFO37" s="3"/>
      <c r="WFP37" s="3"/>
      <c r="WFQ37" s="3"/>
      <c r="WFR37" s="3"/>
      <c r="WFS37" s="3"/>
      <c r="WFT37" s="3"/>
      <c r="WFU37" s="3"/>
      <c r="WFV37" s="3"/>
      <c r="WFW37" s="3"/>
      <c r="WFX37" s="3"/>
      <c r="WFY37" s="3"/>
      <c r="WFZ37" s="3"/>
      <c r="WGA37" s="3"/>
      <c r="WGB37" s="3"/>
      <c r="WGC37" s="3"/>
      <c r="WGD37" s="3"/>
      <c r="WGE37" s="3"/>
      <c r="WGF37" s="3"/>
      <c r="WGG37" s="3"/>
      <c r="WGH37" s="3"/>
      <c r="WGI37" s="3"/>
      <c r="WGJ37" s="3"/>
      <c r="WGK37" s="3"/>
      <c r="WGL37" s="3"/>
      <c r="WGM37" s="3"/>
      <c r="WGN37" s="3"/>
      <c r="WGO37" s="3"/>
      <c r="WGP37" s="3"/>
      <c r="WGQ37" s="3"/>
      <c r="WGR37" s="3"/>
      <c r="WGS37" s="3"/>
      <c r="WGT37" s="3"/>
      <c r="WGU37" s="3"/>
      <c r="WGV37" s="3"/>
      <c r="WGW37" s="3"/>
      <c r="WGX37" s="3"/>
      <c r="WGY37" s="3"/>
      <c r="WGZ37" s="3"/>
      <c r="WHA37" s="3"/>
      <c r="WHB37" s="3"/>
      <c r="WHC37" s="3"/>
      <c r="WHD37" s="3"/>
      <c r="WHE37" s="3"/>
      <c r="WHF37" s="3"/>
      <c r="WHG37" s="3"/>
      <c r="WHH37" s="3"/>
      <c r="WHI37" s="3"/>
      <c r="WHJ37" s="3"/>
      <c r="WHK37" s="3"/>
      <c r="WHL37" s="3"/>
      <c r="WHM37" s="3"/>
      <c r="WHN37" s="3"/>
      <c r="WHO37" s="3"/>
      <c r="WHP37" s="3"/>
      <c r="WHQ37" s="3"/>
      <c r="WHR37" s="3"/>
      <c r="WHS37" s="3"/>
      <c r="WHT37" s="3"/>
      <c r="WHU37" s="3"/>
      <c r="WHV37" s="3"/>
      <c r="WHW37" s="3"/>
      <c r="WHX37" s="3"/>
      <c r="WHY37" s="3"/>
      <c r="WHZ37" s="3"/>
      <c r="WIA37" s="3"/>
      <c r="WIB37" s="3"/>
      <c r="WIC37" s="3"/>
      <c r="WID37" s="3"/>
      <c r="WIE37" s="3"/>
      <c r="WIF37" s="3"/>
      <c r="WIG37" s="3"/>
      <c r="WIH37" s="3"/>
      <c r="WII37" s="3"/>
      <c r="WIJ37" s="3"/>
      <c r="WIK37" s="3"/>
      <c r="WIL37" s="3"/>
      <c r="WIM37" s="3"/>
      <c r="WIN37" s="3"/>
      <c r="WIO37" s="3"/>
      <c r="WIP37" s="3"/>
      <c r="WIQ37" s="3"/>
      <c r="WIR37" s="3"/>
      <c r="WIS37" s="3"/>
      <c r="WIT37" s="3"/>
      <c r="WIU37" s="3"/>
      <c r="WIV37" s="3"/>
      <c r="WIW37" s="3"/>
      <c r="WIX37" s="3"/>
      <c r="WIY37" s="3"/>
      <c r="WIZ37" s="3"/>
      <c r="WJA37" s="3"/>
      <c r="WJB37" s="3"/>
      <c r="WJC37" s="3"/>
      <c r="WJD37" s="3"/>
      <c r="WJE37" s="3"/>
      <c r="WJF37" s="3"/>
      <c r="WJG37" s="3"/>
      <c r="WJH37" s="3"/>
      <c r="WJI37" s="3"/>
      <c r="WJJ37" s="3"/>
      <c r="WJK37" s="3"/>
      <c r="WJL37" s="3"/>
      <c r="WJM37" s="3"/>
      <c r="WJN37" s="3"/>
      <c r="WJO37" s="3"/>
      <c r="WJP37" s="3"/>
      <c r="WJQ37" s="3"/>
      <c r="WJR37" s="3"/>
      <c r="WJS37" s="3"/>
      <c r="WJT37" s="3"/>
      <c r="WJU37" s="3"/>
      <c r="WJV37" s="3"/>
      <c r="WJW37" s="3"/>
      <c r="WJX37" s="3"/>
      <c r="WJY37" s="3"/>
      <c r="WJZ37" s="3"/>
      <c r="WKA37" s="3"/>
      <c r="WKB37" s="3"/>
      <c r="WKC37" s="3"/>
      <c r="WKD37" s="3"/>
      <c r="WKE37" s="3"/>
      <c r="WKF37" s="3"/>
      <c r="WKG37" s="3"/>
      <c r="WKH37" s="3"/>
      <c r="WKI37" s="3"/>
      <c r="WKJ37" s="3"/>
      <c r="WKK37" s="3"/>
      <c r="WKL37" s="3"/>
      <c r="WKM37" s="3"/>
      <c r="WKN37" s="3"/>
      <c r="WKO37" s="3"/>
      <c r="WKP37" s="3"/>
      <c r="WKQ37" s="3"/>
      <c r="WKR37" s="3"/>
      <c r="WKS37" s="3"/>
      <c r="WKT37" s="3"/>
      <c r="WKU37" s="3"/>
      <c r="WKV37" s="3"/>
      <c r="WKW37" s="3"/>
      <c r="WKX37" s="3"/>
      <c r="WKY37" s="3"/>
      <c r="WKZ37" s="3"/>
      <c r="WLA37" s="3"/>
      <c r="WLB37" s="3"/>
      <c r="WLC37" s="3"/>
      <c r="WLD37" s="3"/>
      <c r="WLE37" s="3"/>
      <c r="WLF37" s="3"/>
      <c r="WLG37" s="3"/>
      <c r="WLH37" s="3"/>
      <c r="WLI37" s="3"/>
      <c r="WLJ37" s="3"/>
      <c r="WLK37" s="3"/>
      <c r="WLL37" s="3"/>
      <c r="WLM37" s="3"/>
      <c r="WLN37" s="3"/>
      <c r="WLO37" s="3"/>
      <c r="WLP37" s="3"/>
      <c r="WLQ37" s="3"/>
      <c r="WLR37" s="3"/>
      <c r="WLS37" s="3"/>
      <c r="WLT37" s="3"/>
      <c r="WLU37" s="3"/>
      <c r="WLV37" s="3"/>
      <c r="WLW37" s="3"/>
      <c r="WLX37" s="3"/>
      <c r="WLY37" s="3"/>
      <c r="WLZ37" s="3"/>
      <c r="WMA37" s="3"/>
      <c r="WMB37" s="3"/>
      <c r="WMC37" s="3"/>
      <c r="WMD37" s="3"/>
      <c r="WME37" s="3"/>
      <c r="WMF37" s="3"/>
      <c r="WMG37" s="3"/>
      <c r="WMH37" s="3"/>
      <c r="WMI37" s="3"/>
      <c r="WMJ37" s="3"/>
      <c r="WMK37" s="3"/>
      <c r="WML37" s="3"/>
      <c r="WMM37" s="3"/>
      <c r="WMN37" s="3"/>
      <c r="WMO37" s="3"/>
      <c r="WMP37" s="3"/>
      <c r="WMQ37" s="3"/>
      <c r="WMR37" s="3"/>
      <c r="WMS37" s="3"/>
      <c r="WMT37" s="3"/>
      <c r="WMU37" s="3"/>
      <c r="WMV37" s="3"/>
      <c r="WMW37" s="3"/>
      <c r="WMX37" s="3"/>
      <c r="WMY37" s="3"/>
      <c r="WMZ37" s="3"/>
      <c r="WNA37" s="3"/>
      <c r="WNB37" s="3"/>
      <c r="WNC37" s="3"/>
      <c r="WND37" s="3"/>
      <c r="WNE37" s="3"/>
      <c r="WNF37" s="3"/>
      <c r="WNG37" s="3"/>
      <c r="WNH37" s="3"/>
      <c r="WNI37" s="3"/>
      <c r="WNJ37" s="3"/>
      <c r="WNK37" s="3"/>
      <c r="WNL37" s="3"/>
      <c r="WNM37" s="3"/>
      <c r="WNN37" s="3"/>
      <c r="WNO37" s="3"/>
      <c r="WNP37" s="3"/>
      <c r="WNQ37" s="3"/>
      <c r="WNR37" s="3"/>
      <c r="WNS37" s="3"/>
      <c r="WNT37" s="3"/>
      <c r="WNU37" s="3"/>
      <c r="WNV37" s="3"/>
      <c r="WNW37" s="3"/>
      <c r="WNX37" s="3"/>
      <c r="WNY37" s="3"/>
      <c r="WNZ37" s="3"/>
      <c r="WOA37" s="3"/>
      <c r="WOB37" s="3"/>
      <c r="WOC37" s="3"/>
      <c r="WOD37" s="3"/>
      <c r="WOE37" s="3"/>
      <c r="WOF37" s="3"/>
      <c r="WOG37" s="3"/>
      <c r="WOH37" s="3"/>
      <c r="WOI37" s="3"/>
      <c r="WOJ37" s="3"/>
      <c r="WOK37" s="3"/>
      <c r="WOL37" s="3"/>
      <c r="WOM37" s="3"/>
      <c r="WON37" s="3"/>
      <c r="WOO37" s="3"/>
      <c r="WOP37" s="3"/>
      <c r="WOQ37" s="3"/>
      <c r="WOR37" s="3"/>
      <c r="WOS37" s="3"/>
      <c r="WOT37" s="3"/>
      <c r="WOU37" s="3"/>
      <c r="WOV37" s="3"/>
      <c r="WOW37" s="3"/>
      <c r="WOX37" s="3"/>
      <c r="WOY37" s="3"/>
      <c r="WOZ37" s="3"/>
      <c r="WPA37" s="3"/>
      <c r="WPB37" s="3"/>
      <c r="WPC37" s="3"/>
      <c r="WPD37" s="3"/>
      <c r="WPE37" s="3"/>
      <c r="WPF37" s="3"/>
      <c r="WPG37" s="3"/>
      <c r="WPH37" s="3"/>
      <c r="WPI37" s="3"/>
      <c r="WPJ37" s="3"/>
      <c r="WPK37" s="3"/>
      <c r="WPL37" s="3"/>
      <c r="WPM37" s="3"/>
      <c r="WPN37" s="3"/>
      <c r="WPO37" s="3"/>
      <c r="WPP37" s="3"/>
      <c r="WPQ37" s="3"/>
      <c r="WPR37" s="3"/>
      <c r="WPS37" s="3"/>
      <c r="WPT37" s="3"/>
      <c r="WPU37" s="3"/>
      <c r="WPV37" s="3"/>
      <c r="WPW37" s="3"/>
      <c r="WPX37" s="3"/>
      <c r="WPY37" s="3"/>
      <c r="WPZ37" s="3"/>
      <c r="WQA37" s="3"/>
      <c r="WQB37" s="3"/>
      <c r="WQC37" s="3"/>
      <c r="WQD37" s="3"/>
      <c r="WQE37" s="3"/>
      <c r="WQF37" s="3"/>
      <c r="WQG37" s="3"/>
      <c r="WQH37" s="3"/>
      <c r="WQI37" s="3"/>
      <c r="WQJ37" s="3"/>
      <c r="WQK37" s="3"/>
      <c r="WQL37" s="3"/>
      <c r="WQM37" s="3"/>
      <c r="WQN37" s="3"/>
      <c r="WQO37" s="3"/>
      <c r="WQP37" s="3"/>
      <c r="WQQ37" s="3"/>
      <c r="WQR37" s="3"/>
      <c r="WQS37" s="3"/>
      <c r="WQT37" s="3"/>
      <c r="WQU37" s="3"/>
      <c r="WQV37" s="3"/>
      <c r="WQW37" s="3"/>
      <c r="WQX37" s="3"/>
      <c r="WQY37" s="3"/>
      <c r="WQZ37" s="3"/>
      <c r="WRA37" s="3"/>
      <c r="WRB37" s="3"/>
      <c r="WRC37" s="3"/>
      <c r="WRD37" s="3"/>
      <c r="WRE37" s="3"/>
      <c r="WRF37" s="3"/>
      <c r="WRG37" s="3"/>
      <c r="WRH37" s="3"/>
      <c r="WRI37" s="3"/>
      <c r="WRJ37" s="3"/>
      <c r="WRK37" s="3"/>
      <c r="WRL37" s="3"/>
      <c r="WRM37" s="3"/>
      <c r="WRN37" s="3"/>
      <c r="WRO37" s="3"/>
      <c r="WRP37" s="3"/>
      <c r="WRQ37" s="3"/>
      <c r="WRR37" s="3"/>
      <c r="WRS37" s="3"/>
      <c r="WRT37" s="3"/>
      <c r="WRU37" s="3"/>
      <c r="WRV37" s="3"/>
      <c r="WRW37" s="3"/>
      <c r="WRX37" s="3"/>
      <c r="WRY37" s="3"/>
      <c r="WRZ37" s="3"/>
      <c r="WSA37" s="3"/>
      <c r="WSB37" s="3"/>
      <c r="WSC37" s="3"/>
      <c r="WSD37" s="3"/>
      <c r="WSE37" s="3"/>
      <c r="WSF37" s="3"/>
      <c r="WSG37" s="3"/>
      <c r="WSH37" s="3"/>
      <c r="WSI37" s="3"/>
      <c r="WSJ37" s="3"/>
      <c r="WSK37" s="3"/>
      <c r="WSL37" s="3"/>
      <c r="WSM37" s="3"/>
      <c r="WSN37" s="3"/>
      <c r="WSO37" s="3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16384">
      <c r="C38" s="18"/>
      <c r="D38" s="19">
        <f t="shared" si="2"/>
        <v>0</v>
      </c>
      <c r="E38" s="19">
        <f t="shared" si="3"/>
        <v>0</v>
      </c>
    </row>
    <row r="39" spans="1:16384" s="1" customFormat="1" ht="14.25">
      <c r="D39" s="20">
        <f>SUM(D35:D38)</f>
        <v>4.3565846348715507</v>
      </c>
      <c r="E39" s="20">
        <f>SUM(E35:E38)</f>
        <v>2.0494609070865395</v>
      </c>
    </row>
    <row r="40" spans="1:16384" s="1" customFormat="1" ht="14.25"/>
    <row r="41" spans="1:16384" s="1" customFormat="1" ht="14.25"/>
    <row r="42" spans="1:16384" s="1" customFormat="1" ht="14.25"/>
    <row r="48" spans="1:16384" hidden="1"/>
    <row r="49" spans="16058:16071" hidden="1"/>
    <row r="55" spans="16058:16071" s="3" customFormat="1"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</row>
    <row r="56" spans="16058:16071" s="3" customFormat="1"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</row>
    <row r="59" spans="16058:16071" s="5" customFormat="1" ht="14.25"/>
    <row r="60" spans="16058:16071" s="5" customFormat="1" ht="14.25"/>
    <row r="61" spans="16058:16071" s="5" customFormat="1" ht="14.25"/>
    <row r="63" spans="16058:16071" s="6" customFormat="1"/>
    <row r="64" spans="16058:16071" s="1" customFormat="1" ht="14.25"/>
    <row r="65" spans="1:16057" s="1" customFormat="1" ht="14.25"/>
    <row r="66" spans="1:16057" s="1" customFormat="1" ht="14.25"/>
    <row r="67" spans="1:16057" s="1" customFormat="1" ht="14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  <c r="AAA67" s="3"/>
      <c r="AAB67" s="3"/>
      <c r="AAC67" s="3"/>
      <c r="AAD67" s="3"/>
      <c r="AAE67" s="3"/>
      <c r="AAF67" s="3"/>
      <c r="AAG67" s="3"/>
      <c r="AAH67" s="3"/>
      <c r="AAI67" s="3"/>
      <c r="AAJ67" s="3"/>
      <c r="AAK67" s="3"/>
      <c r="AAL67" s="3"/>
      <c r="AAM67" s="3"/>
      <c r="AAN67" s="3"/>
      <c r="AAO67" s="3"/>
      <c r="AAP67" s="3"/>
      <c r="AAQ67" s="3"/>
      <c r="AAR67" s="3"/>
      <c r="AAS67" s="3"/>
      <c r="AAT67" s="3"/>
      <c r="AAU67" s="3"/>
      <c r="AAV67" s="3"/>
      <c r="AAW67" s="3"/>
      <c r="AAX67" s="3"/>
      <c r="AAY67" s="3"/>
      <c r="AAZ67" s="3"/>
      <c r="ABA67" s="3"/>
      <c r="ABB67" s="3"/>
      <c r="ABC67" s="3"/>
      <c r="ABD67" s="3"/>
      <c r="ABE67" s="3"/>
      <c r="ABF67" s="3"/>
      <c r="ABG67" s="3"/>
      <c r="ABH67" s="3"/>
      <c r="ABI67" s="3"/>
      <c r="ABJ67" s="3"/>
      <c r="ABK67" s="3"/>
      <c r="ABL67" s="3"/>
      <c r="ABM67" s="3"/>
      <c r="ABN67" s="3"/>
      <c r="ABO67" s="3"/>
      <c r="ABP67" s="3"/>
      <c r="ABQ67" s="3"/>
      <c r="ABR67" s="3"/>
      <c r="ABS67" s="3"/>
      <c r="ABT67" s="3"/>
      <c r="ABU67" s="3"/>
      <c r="ABV67" s="3"/>
      <c r="ABW67" s="3"/>
      <c r="ABX67" s="3"/>
      <c r="ABY67" s="3"/>
      <c r="ABZ67" s="3"/>
      <c r="ACA67" s="3"/>
      <c r="ACB67" s="3"/>
      <c r="ACC67" s="3"/>
      <c r="ACD67" s="3"/>
      <c r="ACE67" s="3"/>
      <c r="ACF67" s="3"/>
      <c r="ACG67" s="3"/>
      <c r="ACH67" s="3"/>
      <c r="ACI67" s="3"/>
      <c r="ACJ67" s="3"/>
      <c r="ACK67" s="3"/>
      <c r="ACL67" s="3"/>
      <c r="ACM67" s="3"/>
      <c r="ACN67" s="3"/>
      <c r="ACO67" s="3"/>
      <c r="ACP67" s="3"/>
      <c r="ACQ67" s="3"/>
      <c r="ACR67" s="3"/>
      <c r="ACS67" s="3"/>
      <c r="ACT67" s="3"/>
      <c r="ACU67" s="3"/>
      <c r="ACV67" s="3"/>
      <c r="ACW67" s="3"/>
      <c r="ACX67" s="3"/>
      <c r="ACY67" s="3"/>
      <c r="ACZ67" s="3"/>
      <c r="ADA67" s="3"/>
      <c r="ADB67" s="3"/>
      <c r="ADC67" s="3"/>
      <c r="ADD67" s="3"/>
      <c r="ADE67" s="3"/>
      <c r="ADF67" s="3"/>
      <c r="ADG67" s="3"/>
      <c r="ADH67" s="3"/>
      <c r="ADI67" s="3"/>
      <c r="ADJ67" s="3"/>
      <c r="ADK67" s="3"/>
      <c r="ADL67" s="3"/>
      <c r="ADM67" s="3"/>
      <c r="ADN67" s="3"/>
      <c r="ADO67" s="3"/>
      <c r="ADP67" s="3"/>
      <c r="ADQ67" s="3"/>
      <c r="ADR67" s="3"/>
      <c r="ADS67" s="3"/>
      <c r="ADT67" s="3"/>
      <c r="ADU67" s="3"/>
      <c r="ADV67" s="3"/>
      <c r="ADW67" s="3"/>
      <c r="ADX67" s="3"/>
      <c r="ADY67" s="3"/>
      <c r="ADZ67" s="3"/>
      <c r="AEA67" s="3"/>
      <c r="AEB67" s="3"/>
      <c r="AEC67" s="3"/>
      <c r="AED67" s="3"/>
      <c r="AEE67" s="3"/>
      <c r="AEF67" s="3"/>
      <c r="AEG67" s="3"/>
      <c r="AEH67" s="3"/>
      <c r="AEI67" s="3"/>
      <c r="AEJ67" s="3"/>
      <c r="AEK67" s="3"/>
      <c r="AEL67" s="3"/>
      <c r="AEM67" s="3"/>
      <c r="AEN67" s="3"/>
      <c r="AEO67" s="3"/>
      <c r="AEP67" s="3"/>
      <c r="AEQ67" s="3"/>
      <c r="AER67" s="3"/>
      <c r="AES67" s="3"/>
      <c r="AET67" s="3"/>
      <c r="AEU67" s="3"/>
      <c r="AEV67" s="3"/>
      <c r="AEW67" s="3"/>
      <c r="AEX67" s="3"/>
      <c r="AEY67" s="3"/>
      <c r="AEZ67" s="3"/>
      <c r="AFA67" s="3"/>
      <c r="AFB67" s="3"/>
      <c r="AFC67" s="3"/>
      <c r="AFD67" s="3"/>
      <c r="AFE67" s="3"/>
      <c r="AFF67" s="3"/>
      <c r="AFG67" s="3"/>
      <c r="AFH67" s="3"/>
      <c r="AFI67" s="3"/>
      <c r="AFJ67" s="3"/>
      <c r="AFK67" s="3"/>
      <c r="AFL67" s="3"/>
      <c r="AFM67" s="3"/>
      <c r="AFN67" s="3"/>
      <c r="AFO67" s="3"/>
      <c r="AFP67" s="3"/>
      <c r="AFQ67" s="3"/>
      <c r="AFR67" s="3"/>
      <c r="AFS67" s="3"/>
      <c r="AFT67" s="3"/>
      <c r="AFU67" s="3"/>
      <c r="AFV67" s="3"/>
      <c r="AFW67" s="3"/>
      <c r="AFX67" s="3"/>
      <c r="AFY67" s="3"/>
      <c r="AFZ67" s="3"/>
      <c r="AGA67" s="3"/>
      <c r="AGB67" s="3"/>
      <c r="AGC67" s="3"/>
      <c r="AGD67" s="3"/>
      <c r="AGE67" s="3"/>
      <c r="AGF67" s="3"/>
      <c r="AGG67" s="3"/>
      <c r="AGH67" s="3"/>
      <c r="AGI67" s="3"/>
      <c r="AGJ67" s="3"/>
      <c r="AGK67" s="3"/>
      <c r="AGL67" s="3"/>
      <c r="AGM67" s="3"/>
      <c r="AGN67" s="3"/>
      <c r="AGO67" s="3"/>
      <c r="AGP67" s="3"/>
      <c r="AGQ67" s="3"/>
      <c r="AGR67" s="3"/>
      <c r="AGS67" s="3"/>
      <c r="AGT67" s="3"/>
      <c r="AGU67" s="3"/>
      <c r="AGV67" s="3"/>
      <c r="AGW67" s="3"/>
      <c r="AGX67" s="3"/>
      <c r="AGY67" s="3"/>
      <c r="AGZ67" s="3"/>
      <c r="AHA67" s="3"/>
      <c r="AHB67" s="3"/>
      <c r="AHC67" s="3"/>
      <c r="AHD67" s="3"/>
      <c r="AHE67" s="3"/>
      <c r="AHF67" s="3"/>
      <c r="AHG67" s="3"/>
      <c r="AHH67" s="3"/>
      <c r="AHI67" s="3"/>
      <c r="AHJ67" s="3"/>
      <c r="AHK67" s="3"/>
      <c r="AHL67" s="3"/>
      <c r="AHM67" s="3"/>
      <c r="AHN67" s="3"/>
      <c r="AHO67" s="3"/>
      <c r="AHP67" s="3"/>
      <c r="AHQ67" s="3"/>
      <c r="AHR67" s="3"/>
      <c r="AHS67" s="3"/>
      <c r="AHT67" s="3"/>
      <c r="AHU67" s="3"/>
      <c r="AHV67" s="3"/>
      <c r="AHW67" s="3"/>
      <c r="AHX67" s="3"/>
      <c r="AHY67" s="3"/>
      <c r="AHZ67" s="3"/>
      <c r="AIA67" s="3"/>
      <c r="AIB67" s="3"/>
      <c r="AIC67" s="3"/>
      <c r="AID67" s="3"/>
      <c r="AIE67" s="3"/>
      <c r="AIF67" s="3"/>
      <c r="AIG67" s="3"/>
      <c r="AIH67" s="3"/>
      <c r="AII67" s="3"/>
      <c r="AIJ67" s="3"/>
      <c r="AIK67" s="3"/>
      <c r="AIL67" s="3"/>
      <c r="AIM67" s="3"/>
      <c r="AIN67" s="3"/>
      <c r="AIO67" s="3"/>
      <c r="AIP67" s="3"/>
      <c r="AIQ67" s="3"/>
      <c r="AIR67" s="3"/>
      <c r="AIS67" s="3"/>
      <c r="AIT67" s="3"/>
      <c r="AIU67" s="3"/>
      <c r="AIV67" s="3"/>
      <c r="AIW67" s="3"/>
      <c r="AIX67" s="3"/>
      <c r="AIY67" s="3"/>
      <c r="AIZ67" s="3"/>
      <c r="AJA67" s="3"/>
      <c r="AJB67" s="3"/>
      <c r="AJC67" s="3"/>
      <c r="AJD67" s="3"/>
      <c r="AJE67" s="3"/>
      <c r="AJF67" s="3"/>
      <c r="AJG67" s="3"/>
      <c r="AJH67" s="3"/>
      <c r="AJI67" s="3"/>
      <c r="AJJ67" s="3"/>
      <c r="AJK67" s="3"/>
      <c r="AJL67" s="3"/>
      <c r="AJM67" s="3"/>
      <c r="AJN67" s="3"/>
      <c r="AJO67" s="3"/>
      <c r="AJP67" s="3"/>
      <c r="AJQ67" s="3"/>
      <c r="AJR67" s="3"/>
      <c r="AJS67" s="3"/>
      <c r="AJT67" s="3"/>
      <c r="AJU67" s="3"/>
      <c r="AJV67" s="3"/>
      <c r="AJW67" s="3"/>
      <c r="AJX67" s="3"/>
      <c r="AJY67" s="3"/>
      <c r="AJZ67" s="3"/>
      <c r="AKA67" s="3"/>
      <c r="AKB67" s="3"/>
      <c r="AKC67" s="3"/>
      <c r="AKD67" s="3"/>
      <c r="AKE67" s="3"/>
      <c r="AKF67" s="3"/>
      <c r="AKG67" s="3"/>
      <c r="AKH67" s="3"/>
      <c r="AKI67" s="3"/>
      <c r="AKJ67" s="3"/>
      <c r="AKK67" s="3"/>
      <c r="AKL67" s="3"/>
      <c r="AKM67" s="3"/>
      <c r="AKN67" s="3"/>
      <c r="AKO67" s="3"/>
      <c r="AKP67" s="3"/>
      <c r="AKQ67" s="3"/>
      <c r="AKR67" s="3"/>
      <c r="AKS67" s="3"/>
      <c r="AKT67" s="3"/>
      <c r="AKU67" s="3"/>
      <c r="AKV67" s="3"/>
      <c r="AKW67" s="3"/>
      <c r="AKX67" s="3"/>
      <c r="AKY67" s="3"/>
      <c r="AKZ67" s="3"/>
      <c r="ALA67" s="3"/>
      <c r="ALB67" s="3"/>
      <c r="ALC67" s="3"/>
      <c r="ALD67" s="3"/>
      <c r="ALE67" s="3"/>
      <c r="ALF67" s="3"/>
      <c r="ALG67" s="3"/>
      <c r="ALH67" s="3"/>
      <c r="ALI67" s="3"/>
      <c r="ALJ67" s="3"/>
      <c r="ALK67" s="3"/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  <c r="AQB67" s="3"/>
      <c r="AQC67" s="3"/>
      <c r="AQD67" s="3"/>
      <c r="AQE67" s="3"/>
      <c r="AQF67" s="3"/>
      <c r="AQG67" s="3"/>
      <c r="AQH67" s="3"/>
      <c r="AQI67" s="3"/>
      <c r="AQJ67" s="3"/>
      <c r="AQK67" s="3"/>
      <c r="AQL67" s="3"/>
      <c r="AQM67" s="3"/>
      <c r="AQN67" s="3"/>
      <c r="AQO67" s="3"/>
      <c r="AQP67" s="3"/>
      <c r="AQQ67" s="3"/>
      <c r="AQR67" s="3"/>
      <c r="AQS67" s="3"/>
      <c r="AQT67" s="3"/>
      <c r="AQU67" s="3"/>
      <c r="AQV67" s="3"/>
      <c r="AQW67" s="3"/>
      <c r="AQX67" s="3"/>
      <c r="AQY67" s="3"/>
      <c r="AQZ67" s="3"/>
      <c r="ARA67" s="3"/>
      <c r="ARB67" s="3"/>
      <c r="ARC67" s="3"/>
      <c r="ARD67" s="3"/>
      <c r="ARE67" s="3"/>
      <c r="ARF67" s="3"/>
      <c r="ARG67" s="3"/>
      <c r="ARH67" s="3"/>
      <c r="ARI67" s="3"/>
      <c r="ARJ67" s="3"/>
      <c r="ARK67" s="3"/>
      <c r="ARL67" s="3"/>
      <c r="ARM67" s="3"/>
      <c r="ARN67" s="3"/>
      <c r="ARO67" s="3"/>
      <c r="ARP67" s="3"/>
      <c r="ARQ67" s="3"/>
      <c r="ARR67" s="3"/>
      <c r="ARS67" s="3"/>
      <c r="ART67" s="3"/>
      <c r="ARU67" s="3"/>
      <c r="ARV67" s="3"/>
      <c r="ARW67" s="3"/>
      <c r="ARX67" s="3"/>
      <c r="ARY67" s="3"/>
      <c r="ARZ67" s="3"/>
      <c r="ASA67" s="3"/>
      <c r="ASB67" s="3"/>
      <c r="ASC67" s="3"/>
      <c r="ASD67" s="3"/>
      <c r="ASE67" s="3"/>
      <c r="ASF67" s="3"/>
      <c r="ASG67" s="3"/>
      <c r="ASH67" s="3"/>
      <c r="ASI67" s="3"/>
      <c r="ASJ67" s="3"/>
      <c r="ASK67" s="3"/>
      <c r="ASL67" s="3"/>
      <c r="ASM67" s="3"/>
      <c r="ASN67" s="3"/>
      <c r="ASO67" s="3"/>
      <c r="ASP67" s="3"/>
      <c r="ASQ67" s="3"/>
      <c r="ASR67" s="3"/>
      <c r="ASS67" s="3"/>
      <c r="AST67" s="3"/>
      <c r="ASU67" s="3"/>
      <c r="ASV67" s="3"/>
      <c r="ASW67" s="3"/>
      <c r="ASX67" s="3"/>
      <c r="ASY67" s="3"/>
      <c r="ASZ67" s="3"/>
      <c r="ATA67" s="3"/>
      <c r="ATB67" s="3"/>
      <c r="ATC67" s="3"/>
      <c r="ATD67" s="3"/>
      <c r="ATE67" s="3"/>
      <c r="ATF67" s="3"/>
      <c r="ATG67" s="3"/>
      <c r="ATH67" s="3"/>
      <c r="ATI67" s="3"/>
      <c r="ATJ67" s="3"/>
      <c r="ATK67" s="3"/>
      <c r="ATL67" s="3"/>
      <c r="ATM67" s="3"/>
      <c r="ATN67" s="3"/>
      <c r="ATO67" s="3"/>
      <c r="ATP67" s="3"/>
      <c r="ATQ67" s="3"/>
      <c r="ATR67" s="3"/>
      <c r="ATS67" s="3"/>
      <c r="ATT67" s="3"/>
      <c r="ATU67" s="3"/>
      <c r="ATV67" s="3"/>
      <c r="ATW67" s="3"/>
      <c r="ATX67" s="3"/>
      <c r="ATY67" s="3"/>
      <c r="ATZ67" s="3"/>
      <c r="AUA67" s="3"/>
      <c r="AUB67" s="3"/>
      <c r="AUC67" s="3"/>
      <c r="AUD67" s="3"/>
      <c r="AUE67" s="3"/>
      <c r="AUF67" s="3"/>
      <c r="AUG67" s="3"/>
      <c r="AUH67" s="3"/>
      <c r="AUI67" s="3"/>
      <c r="AUJ67" s="3"/>
      <c r="AUK67" s="3"/>
      <c r="AUL67" s="3"/>
      <c r="AUM67" s="3"/>
      <c r="AUN67" s="3"/>
      <c r="AUO67" s="3"/>
      <c r="AUP67" s="3"/>
      <c r="AUQ67" s="3"/>
      <c r="AUR67" s="3"/>
      <c r="AUS67" s="3"/>
      <c r="AUT67" s="3"/>
      <c r="AUU67" s="3"/>
      <c r="AUV67" s="3"/>
      <c r="AUW67" s="3"/>
      <c r="AUX67" s="3"/>
      <c r="AUY67" s="3"/>
      <c r="AUZ67" s="3"/>
      <c r="AVA67" s="3"/>
      <c r="AVB67" s="3"/>
      <c r="AVC67" s="3"/>
      <c r="AVD67" s="3"/>
      <c r="AVE67" s="3"/>
      <c r="AVF67" s="3"/>
      <c r="AVG67" s="3"/>
      <c r="AVH67" s="3"/>
      <c r="AVI67" s="3"/>
      <c r="AVJ67" s="3"/>
      <c r="AVK67" s="3"/>
      <c r="AVL67" s="3"/>
      <c r="AVM67" s="3"/>
      <c r="AVN67" s="3"/>
      <c r="AVO67" s="3"/>
      <c r="AVP67" s="3"/>
      <c r="AVQ67" s="3"/>
      <c r="AVR67" s="3"/>
      <c r="AVS67" s="3"/>
      <c r="AVT67" s="3"/>
      <c r="AVU67" s="3"/>
      <c r="AVV67" s="3"/>
      <c r="AVW67" s="3"/>
      <c r="AVX67" s="3"/>
      <c r="AVY67" s="3"/>
      <c r="AVZ67" s="3"/>
      <c r="AWA67" s="3"/>
      <c r="AWB67" s="3"/>
      <c r="AWC67" s="3"/>
      <c r="AWD67" s="3"/>
      <c r="AWE67" s="3"/>
      <c r="AWF67" s="3"/>
      <c r="AWG67" s="3"/>
      <c r="AWH67" s="3"/>
      <c r="AWI67" s="3"/>
      <c r="AWJ67" s="3"/>
      <c r="AWK67" s="3"/>
      <c r="AWL67" s="3"/>
      <c r="AWM67" s="3"/>
      <c r="AWN67" s="3"/>
      <c r="AWO67" s="3"/>
      <c r="AWP67" s="3"/>
      <c r="AWQ67" s="3"/>
      <c r="AWR67" s="3"/>
      <c r="AWS67" s="3"/>
      <c r="AWT67" s="3"/>
      <c r="AWU67" s="3"/>
      <c r="AWV67" s="3"/>
      <c r="AWW67" s="3"/>
      <c r="AWX67" s="3"/>
      <c r="AWY67" s="3"/>
      <c r="AWZ67" s="3"/>
      <c r="AXA67" s="3"/>
      <c r="AXB67" s="3"/>
      <c r="AXC67" s="3"/>
      <c r="AXD67" s="3"/>
      <c r="AXE67" s="3"/>
      <c r="AXF67" s="3"/>
      <c r="AXG67" s="3"/>
      <c r="AXH67" s="3"/>
      <c r="AXI67" s="3"/>
      <c r="AXJ67" s="3"/>
      <c r="AXK67" s="3"/>
      <c r="AXL67" s="3"/>
      <c r="AXM67" s="3"/>
      <c r="AXN67" s="3"/>
      <c r="AXO67" s="3"/>
      <c r="AXP67" s="3"/>
      <c r="AXQ67" s="3"/>
      <c r="AXR67" s="3"/>
      <c r="AXS67" s="3"/>
      <c r="AXT67" s="3"/>
      <c r="AXU67" s="3"/>
      <c r="AXV67" s="3"/>
      <c r="AXW67" s="3"/>
      <c r="AXX67" s="3"/>
      <c r="AXY67" s="3"/>
      <c r="AXZ67" s="3"/>
      <c r="AYA67" s="3"/>
      <c r="AYB67" s="3"/>
      <c r="AYC67" s="3"/>
      <c r="AYD67" s="3"/>
      <c r="AYE67" s="3"/>
      <c r="AYF67" s="3"/>
      <c r="AYG67" s="3"/>
      <c r="AYH67" s="3"/>
      <c r="AYI67" s="3"/>
      <c r="AYJ67" s="3"/>
      <c r="AYK67" s="3"/>
      <c r="AYL67" s="3"/>
      <c r="AYM67" s="3"/>
      <c r="AYN67" s="3"/>
      <c r="AYO67" s="3"/>
      <c r="AYP67" s="3"/>
      <c r="AYQ67" s="3"/>
      <c r="AYR67" s="3"/>
      <c r="AYS67" s="3"/>
      <c r="AYT67" s="3"/>
      <c r="AYU67" s="3"/>
      <c r="AYV67" s="3"/>
      <c r="AYW67" s="3"/>
      <c r="AYX67" s="3"/>
      <c r="AYY67" s="3"/>
      <c r="AYZ67" s="3"/>
      <c r="AZA67" s="3"/>
      <c r="AZB67" s="3"/>
      <c r="AZC67" s="3"/>
      <c r="AZD67" s="3"/>
      <c r="AZE67" s="3"/>
      <c r="AZF67" s="3"/>
      <c r="AZG67" s="3"/>
      <c r="AZH67" s="3"/>
      <c r="AZI67" s="3"/>
      <c r="AZJ67" s="3"/>
      <c r="AZK67" s="3"/>
      <c r="AZL67" s="3"/>
      <c r="AZM67" s="3"/>
      <c r="AZN67" s="3"/>
      <c r="AZO67" s="3"/>
      <c r="AZP67" s="3"/>
      <c r="AZQ67" s="3"/>
      <c r="AZR67" s="3"/>
      <c r="AZS67" s="3"/>
      <c r="AZT67" s="3"/>
      <c r="AZU67" s="3"/>
      <c r="AZV67" s="3"/>
      <c r="AZW67" s="3"/>
      <c r="AZX67" s="3"/>
      <c r="AZY67" s="3"/>
      <c r="AZZ67" s="3"/>
      <c r="BAA67" s="3"/>
      <c r="BAB67" s="3"/>
      <c r="BAC67" s="3"/>
      <c r="BAD67" s="3"/>
      <c r="BAE67" s="3"/>
      <c r="BAF67" s="3"/>
      <c r="BAG67" s="3"/>
      <c r="BAH67" s="3"/>
      <c r="BAI67" s="3"/>
      <c r="BAJ67" s="3"/>
      <c r="BAK67" s="3"/>
      <c r="BAL67" s="3"/>
      <c r="BAM67" s="3"/>
      <c r="BAN67" s="3"/>
      <c r="BAO67" s="3"/>
      <c r="BAP67" s="3"/>
      <c r="BAQ67" s="3"/>
      <c r="BAR67" s="3"/>
      <c r="BAS67" s="3"/>
      <c r="BAT67" s="3"/>
      <c r="BAU67" s="3"/>
      <c r="BAV67" s="3"/>
      <c r="BAW67" s="3"/>
      <c r="BAX67" s="3"/>
      <c r="BAY67" s="3"/>
      <c r="BAZ67" s="3"/>
      <c r="BBA67" s="3"/>
      <c r="BBB67" s="3"/>
      <c r="BBC67" s="3"/>
      <c r="BBD67" s="3"/>
      <c r="BBE67" s="3"/>
      <c r="BBF67" s="3"/>
      <c r="BBG67" s="3"/>
      <c r="BBH67" s="3"/>
      <c r="BBI67" s="3"/>
      <c r="BBJ67" s="3"/>
      <c r="BBK67" s="3"/>
      <c r="BBL67" s="3"/>
      <c r="BBM67" s="3"/>
      <c r="BBN67" s="3"/>
      <c r="BBO67" s="3"/>
      <c r="BBP67" s="3"/>
      <c r="BBQ67" s="3"/>
      <c r="BBR67" s="3"/>
      <c r="BBS67" s="3"/>
      <c r="BBT67" s="3"/>
      <c r="BBU67" s="3"/>
      <c r="BBV67" s="3"/>
      <c r="BBW67" s="3"/>
      <c r="BBX67" s="3"/>
      <c r="BBY67" s="3"/>
      <c r="BBZ67" s="3"/>
      <c r="BCA67" s="3"/>
      <c r="BCB67" s="3"/>
      <c r="BCC67" s="3"/>
      <c r="BCD67" s="3"/>
      <c r="BCE67" s="3"/>
      <c r="BCF67" s="3"/>
      <c r="BCG67" s="3"/>
      <c r="BCH67" s="3"/>
      <c r="BCI67" s="3"/>
      <c r="BCJ67" s="3"/>
      <c r="BCK67" s="3"/>
      <c r="BCL67" s="3"/>
      <c r="BCM67" s="3"/>
      <c r="BCN67" s="3"/>
      <c r="BCO67" s="3"/>
      <c r="BCP67" s="3"/>
      <c r="BCQ67" s="3"/>
      <c r="BCR67" s="3"/>
      <c r="BCS67" s="3"/>
      <c r="BCT67" s="3"/>
      <c r="BCU67" s="3"/>
      <c r="BCV67" s="3"/>
      <c r="BCW67" s="3"/>
      <c r="BCX67" s="3"/>
      <c r="BCY67" s="3"/>
      <c r="BCZ67" s="3"/>
      <c r="BDA67" s="3"/>
      <c r="BDB67" s="3"/>
      <c r="BDC67" s="3"/>
      <c r="BDD67" s="3"/>
      <c r="BDE67" s="3"/>
      <c r="BDF67" s="3"/>
      <c r="BDG67" s="3"/>
      <c r="BDH67" s="3"/>
      <c r="BDI67" s="3"/>
      <c r="BDJ67" s="3"/>
      <c r="BDK67" s="3"/>
      <c r="BDL67" s="3"/>
      <c r="BDM67" s="3"/>
      <c r="BDN67" s="3"/>
      <c r="BDO67" s="3"/>
      <c r="BDP67" s="3"/>
      <c r="BDQ67" s="3"/>
      <c r="BDR67" s="3"/>
      <c r="BDS67" s="3"/>
      <c r="BDT67" s="3"/>
      <c r="BDU67" s="3"/>
      <c r="BDV67" s="3"/>
      <c r="BDW67" s="3"/>
      <c r="BDX67" s="3"/>
      <c r="BDY67" s="3"/>
      <c r="BDZ67" s="3"/>
      <c r="BEA67" s="3"/>
      <c r="BEB67" s="3"/>
      <c r="BEC67" s="3"/>
      <c r="BED67" s="3"/>
      <c r="BEE67" s="3"/>
      <c r="BEF67" s="3"/>
      <c r="BEG67" s="3"/>
      <c r="BEH67" s="3"/>
      <c r="BEI67" s="3"/>
      <c r="BEJ67" s="3"/>
      <c r="BEK67" s="3"/>
      <c r="BEL67" s="3"/>
      <c r="BEM67" s="3"/>
      <c r="BEN67" s="3"/>
      <c r="BEO67" s="3"/>
      <c r="BEP67" s="3"/>
      <c r="BEQ67" s="3"/>
      <c r="BER67" s="3"/>
      <c r="BES67" s="3"/>
      <c r="BET67" s="3"/>
      <c r="BEU67" s="3"/>
      <c r="BEV67" s="3"/>
      <c r="BEW67" s="3"/>
      <c r="BEX67" s="3"/>
      <c r="BEY67" s="3"/>
      <c r="BEZ67" s="3"/>
      <c r="BFA67" s="3"/>
      <c r="BFB67" s="3"/>
      <c r="BFC67" s="3"/>
      <c r="BFD67" s="3"/>
      <c r="BFE67" s="3"/>
      <c r="BFF67" s="3"/>
      <c r="BFG67" s="3"/>
      <c r="BFH67" s="3"/>
      <c r="BFI67" s="3"/>
      <c r="BFJ67" s="3"/>
      <c r="BFK67" s="3"/>
      <c r="BFL67" s="3"/>
      <c r="BFM67" s="3"/>
      <c r="BFN67" s="3"/>
      <c r="BFO67" s="3"/>
      <c r="BFP67" s="3"/>
      <c r="BFQ67" s="3"/>
      <c r="BFR67" s="3"/>
      <c r="BFS67" s="3"/>
      <c r="BFT67" s="3"/>
      <c r="BFU67" s="3"/>
      <c r="BFV67" s="3"/>
      <c r="BFW67" s="3"/>
      <c r="BFX67" s="3"/>
      <c r="BFY67" s="3"/>
      <c r="BFZ67" s="3"/>
      <c r="BGA67" s="3"/>
      <c r="BGB67" s="3"/>
      <c r="BGC67" s="3"/>
      <c r="BGD67" s="3"/>
      <c r="BGE67" s="3"/>
      <c r="BGF67" s="3"/>
      <c r="BGG67" s="3"/>
      <c r="BGH67" s="3"/>
      <c r="BGI67" s="3"/>
      <c r="BGJ67" s="3"/>
      <c r="BGK67" s="3"/>
      <c r="BGL67" s="3"/>
      <c r="BGM67" s="3"/>
      <c r="BGN67" s="3"/>
      <c r="BGO67" s="3"/>
      <c r="BGP67" s="3"/>
      <c r="BGQ67" s="3"/>
      <c r="BGR67" s="3"/>
      <c r="BGS67" s="3"/>
      <c r="BGT67" s="3"/>
      <c r="BGU67" s="3"/>
      <c r="BGV67" s="3"/>
      <c r="BGW67" s="3"/>
      <c r="BGX67" s="3"/>
      <c r="BGY67" s="3"/>
      <c r="BGZ67" s="3"/>
      <c r="BHA67" s="3"/>
      <c r="BHB67" s="3"/>
      <c r="BHC67" s="3"/>
      <c r="BHD67" s="3"/>
      <c r="BHE67" s="3"/>
      <c r="BHF67" s="3"/>
      <c r="BHG67" s="3"/>
      <c r="BHH67" s="3"/>
      <c r="BHI67" s="3"/>
      <c r="BHJ67" s="3"/>
      <c r="BHK67" s="3"/>
      <c r="BHL67" s="3"/>
      <c r="BHM67" s="3"/>
      <c r="BHN67" s="3"/>
      <c r="BHO67" s="3"/>
      <c r="BHP67" s="3"/>
      <c r="BHQ67" s="3"/>
      <c r="BHR67" s="3"/>
      <c r="BHS67" s="3"/>
      <c r="BHT67" s="3"/>
      <c r="BHU67" s="3"/>
      <c r="BHV67" s="3"/>
      <c r="BHW67" s="3"/>
      <c r="BHX67" s="3"/>
      <c r="BHY67" s="3"/>
      <c r="BHZ67" s="3"/>
      <c r="BIA67" s="3"/>
      <c r="BIB67" s="3"/>
      <c r="BIC67" s="3"/>
      <c r="BID67" s="3"/>
      <c r="BIE67" s="3"/>
      <c r="BIF67" s="3"/>
      <c r="BIG67" s="3"/>
      <c r="BIH67" s="3"/>
      <c r="BII67" s="3"/>
      <c r="BIJ67" s="3"/>
      <c r="BIK67" s="3"/>
      <c r="BIL67" s="3"/>
      <c r="BIM67" s="3"/>
      <c r="BIN67" s="3"/>
      <c r="BIO67" s="3"/>
      <c r="BIP67" s="3"/>
      <c r="BIQ67" s="3"/>
      <c r="BIR67" s="3"/>
      <c r="BIS67" s="3"/>
      <c r="BIT67" s="3"/>
      <c r="BIU67" s="3"/>
      <c r="BIV67" s="3"/>
      <c r="BIW67" s="3"/>
      <c r="BIX67" s="3"/>
      <c r="BIY67" s="3"/>
      <c r="BIZ67" s="3"/>
      <c r="BJA67" s="3"/>
      <c r="BJB67" s="3"/>
      <c r="BJC67" s="3"/>
      <c r="BJD67" s="3"/>
      <c r="BJE67" s="3"/>
      <c r="BJF67" s="3"/>
      <c r="BJG67" s="3"/>
      <c r="BJH67" s="3"/>
      <c r="BJI67" s="3"/>
      <c r="BJJ67" s="3"/>
      <c r="BJK67" s="3"/>
      <c r="BJL67" s="3"/>
      <c r="BJM67" s="3"/>
      <c r="BJN67" s="3"/>
      <c r="BJO67" s="3"/>
      <c r="BJP67" s="3"/>
      <c r="BJQ67" s="3"/>
      <c r="BJR67" s="3"/>
      <c r="BJS67" s="3"/>
      <c r="BJT67" s="3"/>
      <c r="BJU67" s="3"/>
      <c r="BJV67" s="3"/>
      <c r="BJW67" s="3"/>
      <c r="BJX67" s="3"/>
      <c r="BJY67" s="3"/>
      <c r="BJZ67" s="3"/>
      <c r="BKA67" s="3"/>
      <c r="BKB67" s="3"/>
      <c r="BKC67" s="3"/>
      <c r="BKD67" s="3"/>
      <c r="BKE67" s="3"/>
      <c r="BKF67" s="3"/>
      <c r="BKG67" s="3"/>
      <c r="BKH67" s="3"/>
      <c r="BKI67" s="3"/>
      <c r="BKJ67" s="3"/>
      <c r="BKK67" s="3"/>
      <c r="BKL67" s="3"/>
      <c r="BKM67" s="3"/>
      <c r="BKN67" s="3"/>
      <c r="BKO67" s="3"/>
      <c r="BKP67" s="3"/>
      <c r="BKQ67" s="3"/>
      <c r="BKR67" s="3"/>
      <c r="BKS67" s="3"/>
      <c r="BKT67" s="3"/>
      <c r="BKU67" s="3"/>
      <c r="BKV67" s="3"/>
      <c r="BKW67" s="3"/>
      <c r="BKX67" s="3"/>
      <c r="BKY67" s="3"/>
      <c r="BKZ67" s="3"/>
      <c r="BLA67" s="3"/>
      <c r="BLB67" s="3"/>
      <c r="BLC67" s="3"/>
      <c r="BLD67" s="3"/>
      <c r="BLE67" s="3"/>
      <c r="BLF67" s="3"/>
      <c r="BLG67" s="3"/>
      <c r="BLH67" s="3"/>
      <c r="BLI67" s="3"/>
      <c r="BLJ67" s="3"/>
      <c r="BLK67" s="3"/>
      <c r="BLL67" s="3"/>
      <c r="BLM67" s="3"/>
      <c r="BLN67" s="3"/>
      <c r="BLO67" s="3"/>
      <c r="BLP67" s="3"/>
      <c r="BLQ67" s="3"/>
      <c r="BLR67" s="3"/>
      <c r="BLS67" s="3"/>
      <c r="BLT67" s="3"/>
      <c r="BLU67" s="3"/>
      <c r="BLV67" s="3"/>
      <c r="BLW67" s="3"/>
      <c r="BLX67" s="3"/>
      <c r="BLY67" s="3"/>
      <c r="BLZ67" s="3"/>
      <c r="BMA67" s="3"/>
      <c r="BMB67" s="3"/>
      <c r="BMC67" s="3"/>
      <c r="BMD67" s="3"/>
      <c r="BME67" s="3"/>
      <c r="BMF67" s="3"/>
      <c r="BMG67" s="3"/>
      <c r="BMH67" s="3"/>
      <c r="BMI67" s="3"/>
      <c r="BMJ67" s="3"/>
      <c r="BMK67" s="3"/>
      <c r="BML67" s="3"/>
      <c r="BMM67" s="3"/>
      <c r="BMN67" s="3"/>
      <c r="BMO67" s="3"/>
      <c r="BMP67" s="3"/>
      <c r="BMQ67" s="3"/>
      <c r="BMR67" s="3"/>
      <c r="BMS67" s="3"/>
      <c r="BMT67" s="3"/>
      <c r="BMU67" s="3"/>
      <c r="BMV67" s="3"/>
      <c r="BMW67" s="3"/>
      <c r="BMX67" s="3"/>
      <c r="BMY67" s="3"/>
      <c r="BMZ67" s="3"/>
      <c r="BNA67" s="3"/>
      <c r="BNB67" s="3"/>
      <c r="BNC67" s="3"/>
      <c r="BND67" s="3"/>
      <c r="BNE67" s="3"/>
      <c r="BNF67" s="3"/>
      <c r="BNG67" s="3"/>
      <c r="BNH67" s="3"/>
      <c r="BNI67" s="3"/>
      <c r="BNJ67" s="3"/>
      <c r="BNK67" s="3"/>
      <c r="BNL67" s="3"/>
      <c r="BNM67" s="3"/>
      <c r="BNN67" s="3"/>
      <c r="BNO67" s="3"/>
      <c r="BNP67" s="3"/>
      <c r="BNQ67" s="3"/>
      <c r="BNR67" s="3"/>
      <c r="BNS67" s="3"/>
      <c r="BNT67" s="3"/>
      <c r="BNU67" s="3"/>
      <c r="BNV67" s="3"/>
      <c r="BNW67" s="3"/>
      <c r="BNX67" s="3"/>
      <c r="BNY67" s="3"/>
      <c r="BNZ67" s="3"/>
      <c r="BOA67" s="3"/>
      <c r="BOB67" s="3"/>
      <c r="BOC67" s="3"/>
      <c r="BOD67" s="3"/>
      <c r="BOE67" s="3"/>
      <c r="BOF67" s="3"/>
      <c r="BOG67" s="3"/>
      <c r="BOH67" s="3"/>
      <c r="BOI67" s="3"/>
      <c r="BOJ67" s="3"/>
      <c r="BOK67" s="3"/>
      <c r="BOL67" s="3"/>
      <c r="BOM67" s="3"/>
      <c r="BON67" s="3"/>
      <c r="BOO67" s="3"/>
      <c r="BOP67" s="3"/>
      <c r="BOQ67" s="3"/>
      <c r="BOR67" s="3"/>
      <c r="BOS67" s="3"/>
      <c r="BOT67" s="3"/>
      <c r="BOU67" s="3"/>
      <c r="BOV67" s="3"/>
      <c r="BOW67" s="3"/>
      <c r="BOX67" s="3"/>
      <c r="BOY67" s="3"/>
      <c r="BOZ67" s="3"/>
      <c r="BPA67" s="3"/>
      <c r="BPB67" s="3"/>
      <c r="BPC67" s="3"/>
      <c r="BPD67" s="3"/>
      <c r="BPE67" s="3"/>
      <c r="BPF67" s="3"/>
      <c r="BPG67" s="3"/>
      <c r="BPH67" s="3"/>
      <c r="BPI67" s="3"/>
      <c r="BPJ67" s="3"/>
      <c r="BPK67" s="3"/>
      <c r="BPL67" s="3"/>
      <c r="BPM67" s="3"/>
      <c r="BPN67" s="3"/>
      <c r="BPO67" s="3"/>
      <c r="BPP67" s="3"/>
      <c r="BPQ67" s="3"/>
      <c r="BPR67" s="3"/>
      <c r="BPS67" s="3"/>
      <c r="BPT67" s="3"/>
      <c r="BPU67" s="3"/>
      <c r="BPV67" s="3"/>
      <c r="BPW67" s="3"/>
      <c r="BPX67" s="3"/>
      <c r="BPY67" s="3"/>
      <c r="BPZ67" s="3"/>
      <c r="BQA67" s="3"/>
      <c r="BQB67" s="3"/>
      <c r="BQC67" s="3"/>
      <c r="BQD67" s="3"/>
      <c r="BQE67" s="3"/>
      <c r="BQF67" s="3"/>
      <c r="BQG67" s="3"/>
      <c r="BQH67" s="3"/>
      <c r="BQI67" s="3"/>
      <c r="BQJ67" s="3"/>
      <c r="BQK67" s="3"/>
      <c r="BQL67" s="3"/>
      <c r="BQM67" s="3"/>
      <c r="BQN67" s="3"/>
      <c r="BQO67" s="3"/>
      <c r="BQP67" s="3"/>
      <c r="BQQ67" s="3"/>
      <c r="BQR67" s="3"/>
      <c r="BQS67" s="3"/>
      <c r="BQT67" s="3"/>
      <c r="BQU67" s="3"/>
      <c r="BQV67" s="3"/>
      <c r="BQW67" s="3"/>
      <c r="BQX67" s="3"/>
      <c r="BQY67" s="3"/>
      <c r="BQZ67" s="3"/>
      <c r="BRA67" s="3"/>
      <c r="BRB67" s="3"/>
      <c r="BRC67" s="3"/>
      <c r="BRD67" s="3"/>
      <c r="BRE67" s="3"/>
      <c r="BRF67" s="3"/>
      <c r="BRG67" s="3"/>
      <c r="BRH67" s="3"/>
      <c r="BRI67" s="3"/>
      <c r="BRJ67" s="3"/>
      <c r="BRK67" s="3"/>
      <c r="BRL67" s="3"/>
      <c r="BRM67" s="3"/>
      <c r="BRN67" s="3"/>
      <c r="BRO67" s="3"/>
      <c r="BRP67" s="3"/>
      <c r="BRQ67" s="3"/>
      <c r="BRR67" s="3"/>
      <c r="BRS67" s="3"/>
      <c r="BRT67" s="3"/>
      <c r="BRU67" s="3"/>
      <c r="BRV67" s="3"/>
      <c r="BRW67" s="3"/>
      <c r="BRX67" s="3"/>
      <c r="BRY67" s="3"/>
      <c r="BRZ67" s="3"/>
      <c r="BSA67" s="3"/>
      <c r="BSB67" s="3"/>
      <c r="BSC67" s="3"/>
      <c r="BSD67" s="3"/>
      <c r="BSE67" s="3"/>
      <c r="BSF67" s="3"/>
      <c r="BSG67" s="3"/>
      <c r="BSH67" s="3"/>
      <c r="BSI67" s="3"/>
      <c r="BSJ67" s="3"/>
      <c r="BSK67" s="3"/>
      <c r="BSL67" s="3"/>
      <c r="BSM67" s="3"/>
      <c r="BSN67" s="3"/>
      <c r="BSO67" s="3"/>
      <c r="BSP67" s="3"/>
      <c r="BSQ67" s="3"/>
      <c r="BSR67" s="3"/>
      <c r="BSS67" s="3"/>
      <c r="BST67" s="3"/>
      <c r="BSU67" s="3"/>
      <c r="BSV67" s="3"/>
      <c r="BSW67" s="3"/>
      <c r="BSX67" s="3"/>
      <c r="BSY67" s="3"/>
      <c r="BSZ67" s="3"/>
      <c r="BTA67" s="3"/>
      <c r="BTB67" s="3"/>
      <c r="BTC67" s="3"/>
      <c r="BTD67" s="3"/>
      <c r="BTE67" s="3"/>
      <c r="BTF67" s="3"/>
      <c r="BTG67" s="3"/>
      <c r="BTH67" s="3"/>
      <c r="BTI67" s="3"/>
      <c r="BTJ67" s="3"/>
      <c r="BTK67" s="3"/>
      <c r="BTL67" s="3"/>
      <c r="BTM67" s="3"/>
      <c r="BTN67" s="3"/>
      <c r="BTO67" s="3"/>
      <c r="BTP67" s="3"/>
      <c r="BTQ67" s="3"/>
      <c r="BTR67" s="3"/>
      <c r="BTS67" s="3"/>
      <c r="BTT67" s="3"/>
      <c r="BTU67" s="3"/>
      <c r="BTV67" s="3"/>
      <c r="BTW67" s="3"/>
      <c r="BTX67" s="3"/>
      <c r="BTY67" s="3"/>
      <c r="BTZ67" s="3"/>
      <c r="BUA67" s="3"/>
      <c r="BUB67" s="3"/>
      <c r="BUC67" s="3"/>
      <c r="BUD67" s="3"/>
      <c r="BUE67" s="3"/>
      <c r="BUF67" s="3"/>
      <c r="BUG67" s="3"/>
      <c r="BUH67" s="3"/>
      <c r="BUI67" s="3"/>
      <c r="BUJ67" s="3"/>
      <c r="BUK67" s="3"/>
      <c r="BUL67" s="3"/>
      <c r="BUM67" s="3"/>
      <c r="BUN67" s="3"/>
      <c r="BUO67" s="3"/>
      <c r="BUP67" s="3"/>
      <c r="BUQ67" s="3"/>
      <c r="BUR67" s="3"/>
      <c r="BUS67" s="3"/>
      <c r="BUT67" s="3"/>
      <c r="BUU67" s="3"/>
      <c r="BUV67" s="3"/>
      <c r="BUW67" s="3"/>
      <c r="BUX67" s="3"/>
      <c r="BUY67" s="3"/>
      <c r="BUZ67" s="3"/>
      <c r="BVA67" s="3"/>
      <c r="BVB67" s="3"/>
      <c r="BVC67" s="3"/>
      <c r="BVD67" s="3"/>
      <c r="BVE67" s="3"/>
      <c r="BVF67" s="3"/>
      <c r="BVG67" s="3"/>
      <c r="BVH67" s="3"/>
      <c r="BVI67" s="3"/>
      <c r="BVJ67" s="3"/>
      <c r="BVK67" s="3"/>
      <c r="BVL67" s="3"/>
      <c r="BVM67" s="3"/>
      <c r="BVN67" s="3"/>
      <c r="BVO67" s="3"/>
      <c r="BVP67" s="3"/>
      <c r="BVQ67" s="3"/>
      <c r="BVR67" s="3"/>
      <c r="BVS67" s="3"/>
      <c r="BVT67" s="3"/>
      <c r="BVU67" s="3"/>
      <c r="BVV67" s="3"/>
      <c r="BVW67" s="3"/>
      <c r="BVX67" s="3"/>
      <c r="BVY67" s="3"/>
      <c r="BVZ67" s="3"/>
      <c r="BWA67" s="3"/>
      <c r="BWB67" s="3"/>
      <c r="BWC67" s="3"/>
      <c r="BWD67" s="3"/>
      <c r="BWE67" s="3"/>
      <c r="BWF67" s="3"/>
      <c r="BWG67" s="3"/>
      <c r="BWH67" s="3"/>
      <c r="BWI67" s="3"/>
      <c r="BWJ67" s="3"/>
      <c r="BWK67" s="3"/>
      <c r="BWL67" s="3"/>
      <c r="BWM67" s="3"/>
      <c r="BWN67" s="3"/>
      <c r="BWO67" s="3"/>
      <c r="BWP67" s="3"/>
      <c r="BWQ67" s="3"/>
      <c r="BWR67" s="3"/>
      <c r="BWS67" s="3"/>
      <c r="BWT67" s="3"/>
      <c r="BWU67" s="3"/>
      <c r="BWV67" s="3"/>
      <c r="BWW67" s="3"/>
      <c r="BWX67" s="3"/>
      <c r="BWY67" s="3"/>
      <c r="BWZ67" s="3"/>
      <c r="BXA67" s="3"/>
      <c r="BXB67" s="3"/>
      <c r="BXC67" s="3"/>
      <c r="BXD67" s="3"/>
      <c r="BXE67" s="3"/>
      <c r="BXF67" s="3"/>
      <c r="BXG67" s="3"/>
      <c r="BXH67" s="3"/>
      <c r="BXI67" s="3"/>
      <c r="BXJ67" s="3"/>
      <c r="BXK67" s="3"/>
      <c r="BXL67" s="3"/>
      <c r="BXM67" s="3"/>
      <c r="BXN67" s="3"/>
      <c r="BXO67" s="3"/>
      <c r="BXP67" s="3"/>
      <c r="BXQ67" s="3"/>
      <c r="BXR67" s="3"/>
      <c r="BXS67" s="3"/>
      <c r="BXT67" s="3"/>
      <c r="BXU67" s="3"/>
      <c r="BXV67" s="3"/>
      <c r="BXW67" s="3"/>
      <c r="BXX67" s="3"/>
      <c r="BXY67" s="3"/>
      <c r="BXZ67" s="3"/>
      <c r="BYA67" s="3"/>
      <c r="BYB67" s="3"/>
      <c r="BYC67" s="3"/>
      <c r="BYD67" s="3"/>
      <c r="BYE67" s="3"/>
      <c r="BYF67" s="3"/>
      <c r="BYG67" s="3"/>
      <c r="BYH67" s="3"/>
      <c r="BYI67" s="3"/>
      <c r="BYJ67" s="3"/>
      <c r="BYK67" s="3"/>
      <c r="BYL67" s="3"/>
      <c r="BYM67" s="3"/>
      <c r="BYN67" s="3"/>
      <c r="BYO67" s="3"/>
      <c r="BYP67" s="3"/>
      <c r="BYQ67" s="3"/>
      <c r="BYR67" s="3"/>
      <c r="BYS67" s="3"/>
      <c r="BYT67" s="3"/>
      <c r="BYU67" s="3"/>
      <c r="BYV67" s="3"/>
      <c r="BYW67" s="3"/>
      <c r="BYX67" s="3"/>
      <c r="BYY67" s="3"/>
      <c r="BYZ67" s="3"/>
      <c r="BZA67" s="3"/>
      <c r="BZB67" s="3"/>
      <c r="BZC67" s="3"/>
      <c r="BZD67" s="3"/>
      <c r="BZE67" s="3"/>
      <c r="BZF67" s="3"/>
      <c r="BZG67" s="3"/>
      <c r="BZH67" s="3"/>
      <c r="BZI67" s="3"/>
      <c r="BZJ67" s="3"/>
      <c r="BZK67" s="3"/>
      <c r="BZL67" s="3"/>
      <c r="BZM67" s="3"/>
      <c r="BZN67" s="3"/>
      <c r="BZO67" s="3"/>
      <c r="BZP67" s="3"/>
      <c r="BZQ67" s="3"/>
      <c r="BZR67" s="3"/>
      <c r="BZS67" s="3"/>
      <c r="BZT67" s="3"/>
      <c r="BZU67" s="3"/>
      <c r="BZV67" s="3"/>
      <c r="BZW67" s="3"/>
      <c r="BZX67" s="3"/>
      <c r="BZY67" s="3"/>
      <c r="BZZ67" s="3"/>
      <c r="CAA67" s="3"/>
      <c r="CAB67" s="3"/>
      <c r="CAC67" s="3"/>
      <c r="CAD67" s="3"/>
      <c r="CAE67" s="3"/>
      <c r="CAF67" s="3"/>
      <c r="CAG67" s="3"/>
      <c r="CAH67" s="3"/>
      <c r="CAI67" s="3"/>
      <c r="CAJ67" s="3"/>
      <c r="CAK67" s="3"/>
      <c r="CAL67" s="3"/>
      <c r="CAM67" s="3"/>
      <c r="CAN67" s="3"/>
      <c r="CAO67" s="3"/>
      <c r="CAP67" s="3"/>
      <c r="CAQ67" s="3"/>
      <c r="CAR67" s="3"/>
      <c r="CAS67" s="3"/>
      <c r="CAT67" s="3"/>
      <c r="CAU67" s="3"/>
      <c r="CAV67" s="3"/>
      <c r="CAW67" s="3"/>
      <c r="CAX67" s="3"/>
      <c r="CAY67" s="3"/>
      <c r="CAZ67" s="3"/>
      <c r="CBA67" s="3"/>
      <c r="CBB67" s="3"/>
      <c r="CBC67" s="3"/>
      <c r="CBD67" s="3"/>
      <c r="CBE67" s="3"/>
      <c r="CBF67" s="3"/>
      <c r="CBG67" s="3"/>
      <c r="CBH67" s="3"/>
      <c r="CBI67" s="3"/>
      <c r="CBJ67" s="3"/>
      <c r="CBK67" s="3"/>
      <c r="CBL67" s="3"/>
      <c r="CBM67" s="3"/>
      <c r="CBN67" s="3"/>
      <c r="CBO67" s="3"/>
      <c r="CBP67" s="3"/>
      <c r="CBQ67" s="3"/>
      <c r="CBR67" s="3"/>
      <c r="CBS67" s="3"/>
      <c r="CBT67" s="3"/>
      <c r="CBU67" s="3"/>
      <c r="CBV67" s="3"/>
      <c r="CBW67" s="3"/>
      <c r="CBX67" s="3"/>
      <c r="CBY67" s="3"/>
      <c r="CBZ67" s="3"/>
      <c r="CCA67" s="3"/>
      <c r="CCB67" s="3"/>
      <c r="CCC67" s="3"/>
      <c r="CCD67" s="3"/>
      <c r="CCE67" s="3"/>
      <c r="CCF67" s="3"/>
      <c r="CCG67" s="3"/>
      <c r="CCH67" s="3"/>
      <c r="CCI67" s="3"/>
      <c r="CCJ67" s="3"/>
      <c r="CCK67" s="3"/>
      <c r="CCL67" s="3"/>
      <c r="CCM67" s="3"/>
      <c r="CCN67" s="3"/>
      <c r="CCO67" s="3"/>
      <c r="CCP67" s="3"/>
      <c r="CCQ67" s="3"/>
      <c r="CCR67" s="3"/>
      <c r="CCS67" s="3"/>
      <c r="CCT67" s="3"/>
      <c r="CCU67" s="3"/>
      <c r="CCV67" s="3"/>
      <c r="CCW67" s="3"/>
      <c r="CCX67" s="3"/>
      <c r="CCY67" s="3"/>
      <c r="CCZ67" s="3"/>
      <c r="CDA67" s="3"/>
      <c r="CDB67" s="3"/>
      <c r="CDC67" s="3"/>
      <c r="CDD67" s="3"/>
      <c r="CDE67" s="3"/>
      <c r="CDF67" s="3"/>
      <c r="CDG67" s="3"/>
      <c r="CDH67" s="3"/>
      <c r="CDI67" s="3"/>
      <c r="CDJ67" s="3"/>
      <c r="CDK67" s="3"/>
      <c r="CDL67" s="3"/>
      <c r="CDM67" s="3"/>
      <c r="CDN67" s="3"/>
      <c r="CDO67" s="3"/>
      <c r="CDP67" s="3"/>
      <c r="CDQ67" s="3"/>
      <c r="CDR67" s="3"/>
      <c r="CDS67" s="3"/>
      <c r="CDT67" s="3"/>
      <c r="CDU67" s="3"/>
      <c r="CDV67" s="3"/>
      <c r="CDW67" s="3"/>
      <c r="CDX67" s="3"/>
      <c r="CDY67" s="3"/>
      <c r="CDZ67" s="3"/>
      <c r="CEA67" s="3"/>
      <c r="CEB67" s="3"/>
      <c r="CEC67" s="3"/>
      <c r="CED67" s="3"/>
      <c r="CEE67" s="3"/>
      <c r="CEF67" s="3"/>
      <c r="CEG67" s="3"/>
      <c r="CEH67" s="3"/>
      <c r="CEI67" s="3"/>
      <c r="CEJ67" s="3"/>
      <c r="CEK67" s="3"/>
      <c r="CEL67" s="3"/>
      <c r="CEM67" s="3"/>
      <c r="CEN67" s="3"/>
      <c r="CEO67" s="3"/>
      <c r="CEP67" s="3"/>
      <c r="CEQ67" s="3"/>
      <c r="CER67" s="3"/>
      <c r="CES67" s="3"/>
      <c r="CET67" s="3"/>
      <c r="CEU67" s="3"/>
      <c r="CEV67" s="3"/>
      <c r="CEW67" s="3"/>
      <c r="CEX67" s="3"/>
      <c r="CEY67" s="3"/>
      <c r="CEZ67" s="3"/>
      <c r="CFA67" s="3"/>
      <c r="CFB67" s="3"/>
      <c r="CFC67" s="3"/>
      <c r="CFD67" s="3"/>
      <c r="CFE67" s="3"/>
      <c r="CFF67" s="3"/>
      <c r="CFG67" s="3"/>
      <c r="CFH67" s="3"/>
      <c r="CFI67" s="3"/>
      <c r="CFJ67" s="3"/>
      <c r="CFK67" s="3"/>
      <c r="CFL67" s="3"/>
      <c r="CFM67" s="3"/>
      <c r="CFN67" s="3"/>
      <c r="CFO67" s="3"/>
      <c r="CFP67" s="3"/>
      <c r="CFQ67" s="3"/>
      <c r="CFR67" s="3"/>
      <c r="CFS67" s="3"/>
      <c r="CFT67" s="3"/>
      <c r="CFU67" s="3"/>
      <c r="CFV67" s="3"/>
      <c r="CFW67" s="3"/>
      <c r="CFX67" s="3"/>
      <c r="CFY67" s="3"/>
      <c r="CFZ67" s="3"/>
      <c r="CGA67" s="3"/>
      <c r="CGB67" s="3"/>
      <c r="CGC67" s="3"/>
      <c r="CGD67" s="3"/>
      <c r="CGE67" s="3"/>
      <c r="CGF67" s="3"/>
      <c r="CGG67" s="3"/>
      <c r="CGH67" s="3"/>
      <c r="CGI67" s="3"/>
      <c r="CGJ67" s="3"/>
      <c r="CGK67" s="3"/>
      <c r="CGL67" s="3"/>
      <c r="CGM67" s="3"/>
      <c r="CGN67" s="3"/>
      <c r="CGO67" s="3"/>
      <c r="CGP67" s="3"/>
      <c r="CGQ67" s="3"/>
      <c r="CGR67" s="3"/>
      <c r="CGS67" s="3"/>
      <c r="CGT67" s="3"/>
      <c r="CGU67" s="3"/>
      <c r="CGV67" s="3"/>
      <c r="CGW67" s="3"/>
      <c r="CGX67" s="3"/>
      <c r="CGY67" s="3"/>
      <c r="CGZ67" s="3"/>
      <c r="CHA67" s="3"/>
      <c r="CHB67" s="3"/>
      <c r="CHC67" s="3"/>
      <c r="CHD67" s="3"/>
      <c r="CHE67" s="3"/>
      <c r="CHF67" s="3"/>
      <c r="CHG67" s="3"/>
      <c r="CHH67" s="3"/>
      <c r="CHI67" s="3"/>
      <c r="CHJ67" s="3"/>
      <c r="CHK67" s="3"/>
      <c r="CHL67" s="3"/>
      <c r="CHM67" s="3"/>
      <c r="CHN67" s="3"/>
      <c r="CHO67" s="3"/>
      <c r="CHP67" s="3"/>
      <c r="CHQ67" s="3"/>
      <c r="CHR67" s="3"/>
      <c r="CHS67" s="3"/>
      <c r="CHT67" s="3"/>
      <c r="CHU67" s="3"/>
      <c r="CHV67" s="3"/>
      <c r="CHW67" s="3"/>
      <c r="CHX67" s="3"/>
      <c r="CHY67" s="3"/>
      <c r="CHZ67" s="3"/>
      <c r="CIA67" s="3"/>
      <c r="CIB67" s="3"/>
      <c r="CIC67" s="3"/>
      <c r="CID67" s="3"/>
      <c r="CIE67" s="3"/>
      <c r="CIF67" s="3"/>
      <c r="CIG67" s="3"/>
      <c r="CIH67" s="3"/>
      <c r="CII67" s="3"/>
      <c r="CIJ67" s="3"/>
      <c r="CIK67" s="3"/>
      <c r="CIL67" s="3"/>
      <c r="CIM67" s="3"/>
      <c r="CIN67" s="3"/>
      <c r="CIO67" s="3"/>
      <c r="CIP67" s="3"/>
      <c r="CIQ67" s="3"/>
      <c r="CIR67" s="3"/>
      <c r="CIS67" s="3"/>
      <c r="CIT67" s="3"/>
      <c r="CIU67" s="3"/>
      <c r="CIV67" s="3"/>
      <c r="CIW67" s="3"/>
      <c r="CIX67" s="3"/>
      <c r="CIY67" s="3"/>
      <c r="CIZ67" s="3"/>
      <c r="CJA67" s="3"/>
      <c r="CJB67" s="3"/>
      <c r="CJC67" s="3"/>
      <c r="CJD67" s="3"/>
      <c r="CJE67" s="3"/>
      <c r="CJF67" s="3"/>
      <c r="CJG67" s="3"/>
      <c r="CJH67" s="3"/>
      <c r="CJI67" s="3"/>
      <c r="CJJ67" s="3"/>
      <c r="CJK67" s="3"/>
      <c r="CJL67" s="3"/>
      <c r="CJM67" s="3"/>
      <c r="CJN67" s="3"/>
      <c r="CJO67" s="3"/>
      <c r="CJP67" s="3"/>
      <c r="CJQ67" s="3"/>
      <c r="CJR67" s="3"/>
      <c r="CJS67" s="3"/>
      <c r="CJT67" s="3"/>
      <c r="CJU67" s="3"/>
      <c r="CJV67" s="3"/>
      <c r="CJW67" s="3"/>
      <c r="CJX67" s="3"/>
      <c r="CJY67" s="3"/>
      <c r="CJZ67" s="3"/>
      <c r="CKA67" s="3"/>
      <c r="CKB67" s="3"/>
      <c r="CKC67" s="3"/>
      <c r="CKD67" s="3"/>
      <c r="CKE67" s="3"/>
      <c r="CKF67" s="3"/>
      <c r="CKG67" s="3"/>
      <c r="CKH67" s="3"/>
      <c r="CKI67" s="3"/>
      <c r="CKJ67" s="3"/>
      <c r="CKK67" s="3"/>
      <c r="CKL67" s="3"/>
      <c r="CKM67" s="3"/>
      <c r="CKN67" s="3"/>
      <c r="CKO67" s="3"/>
      <c r="CKP67" s="3"/>
      <c r="CKQ67" s="3"/>
      <c r="CKR67" s="3"/>
      <c r="CKS67" s="3"/>
      <c r="CKT67" s="3"/>
      <c r="CKU67" s="3"/>
      <c r="CKV67" s="3"/>
      <c r="CKW67" s="3"/>
      <c r="CKX67" s="3"/>
      <c r="CKY67" s="3"/>
      <c r="CKZ67" s="3"/>
      <c r="CLA67" s="3"/>
      <c r="CLB67" s="3"/>
      <c r="CLC67" s="3"/>
      <c r="CLD67" s="3"/>
      <c r="CLE67" s="3"/>
      <c r="CLF67" s="3"/>
      <c r="CLG67" s="3"/>
      <c r="CLH67" s="3"/>
      <c r="CLI67" s="3"/>
      <c r="CLJ67" s="3"/>
      <c r="CLK67" s="3"/>
      <c r="CLL67" s="3"/>
      <c r="CLM67" s="3"/>
      <c r="CLN67" s="3"/>
      <c r="CLO67" s="3"/>
      <c r="CLP67" s="3"/>
      <c r="CLQ67" s="3"/>
      <c r="CLR67" s="3"/>
      <c r="CLS67" s="3"/>
      <c r="CLT67" s="3"/>
      <c r="CLU67" s="3"/>
      <c r="CLV67" s="3"/>
      <c r="CLW67" s="3"/>
      <c r="CLX67" s="3"/>
      <c r="CLY67" s="3"/>
      <c r="CLZ67" s="3"/>
      <c r="CMA67" s="3"/>
      <c r="CMB67" s="3"/>
      <c r="CMC67" s="3"/>
      <c r="CMD67" s="3"/>
      <c r="CME67" s="3"/>
      <c r="CMF67" s="3"/>
      <c r="CMG67" s="3"/>
      <c r="CMH67" s="3"/>
      <c r="CMI67" s="3"/>
      <c r="CMJ67" s="3"/>
      <c r="CMK67" s="3"/>
      <c r="CML67" s="3"/>
      <c r="CMM67" s="3"/>
      <c r="CMN67" s="3"/>
      <c r="CMO67" s="3"/>
      <c r="CMP67" s="3"/>
      <c r="CMQ67" s="3"/>
      <c r="CMR67" s="3"/>
      <c r="CMS67" s="3"/>
      <c r="CMT67" s="3"/>
      <c r="CMU67" s="3"/>
      <c r="CMV67" s="3"/>
      <c r="CMW67" s="3"/>
      <c r="CMX67" s="3"/>
      <c r="CMY67" s="3"/>
      <c r="CMZ67" s="3"/>
      <c r="CNA67" s="3"/>
      <c r="CNB67" s="3"/>
      <c r="CNC67" s="3"/>
      <c r="CND67" s="3"/>
      <c r="CNE67" s="3"/>
      <c r="CNF67" s="3"/>
      <c r="CNG67" s="3"/>
      <c r="CNH67" s="3"/>
      <c r="CNI67" s="3"/>
      <c r="CNJ67" s="3"/>
      <c r="CNK67" s="3"/>
      <c r="CNL67" s="3"/>
      <c r="CNM67" s="3"/>
      <c r="CNN67" s="3"/>
      <c r="CNO67" s="3"/>
      <c r="CNP67" s="3"/>
      <c r="CNQ67" s="3"/>
      <c r="CNR67" s="3"/>
      <c r="CNS67" s="3"/>
      <c r="CNT67" s="3"/>
      <c r="CNU67" s="3"/>
      <c r="CNV67" s="3"/>
      <c r="CNW67" s="3"/>
      <c r="CNX67" s="3"/>
      <c r="CNY67" s="3"/>
      <c r="CNZ67" s="3"/>
      <c r="COA67" s="3"/>
      <c r="COB67" s="3"/>
      <c r="COC67" s="3"/>
      <c r="COD67" s="3"/>
      <c r="COE67" s="3"/>
      <c r="COF67" s="3"/>
      <c r="COG67" s="3"/>
      <c r="COH67" s="3"/>
      <c r="COI67" s="3"/>
      <c r="COJ67" s="3"/>
      <c r="COK67" s="3"/>
      <c r="COL67" s="3"/>
      <c r="COM67" s="3"/>
      <c r="CON67" s="3"/>
      <c r="COO67" s="3"/>
      <c r="COP67" s="3"/>
      <c r="COQ67" s="3"/>
      <c r="COR67" s="3"/>
      <c r="COS67" s="3"/>
      <c r="COT67" s="3"/>
      <c r="COU67" s="3"/>
      <c r="COV67" s="3"/>
      <c r="COW67" s="3"/>
      <c r="COX67" s="3"/>
      <c r="COY67" s="3"/>
      <c r="COZ67" s="3"/>
      <c r="CPA67" s="3"/>
      <c r="CPB67" s="3"/>
      <c r="CPC67" s="3"/>
      <c r="CPD67" s="3"/>
      <c r="CPE67" s="3"/>
      <c r="CPF67" s="3"/>
      <c r="CPG67" s="3"/>
      <c r="CPH67" s="3"/>
      <c r="CPI67" s="3"/>
      <c r="CPJ67" s="3"/>
      <c r="CPK67" s="3"/>
      <c r="CPL67" s="3"/>
      <c r="CPM67" s="3"/>
      <c r="CPN67" s="3"/>
      <c r="CPO67" s="3"/>
      <c r="CPP67" s="3"/>
      <c r="CPQ67" s="3"/>
      <c r="CPR67" s="3"/>
      <c r="CPS67" s="3"/>
      <c r="CPT67" s="3"/>
      <c r="CPU67" s="3"/>
      <c r="CPV67" s="3"/>
      <c r="CPW67" s="3"/>
      <c r="CPX67" s="3"/>
      <c r="CPY67" s="3"/>
      <c r="CPZ67" s="3"/>
      <c r="CQA67" s="3"/>
      <c r="CQB67" s="3"/>
      <c r="CQC67" s="3"/>
      <c r="CQD67" s="3"/>
      <c r="CQE67" s="3"/>
      <c r="CQF67" s="3"/>
      <c r="CQG67" s="3"/>
      <c r="CQH67" s="3"/>
      <c r="CQI67" s="3"/>
      <c r="CQJ67" s="3"/>
      <c r="CQK67" s="3"/>
      <c r="CQL67" s="3"/>
      <c r="CQM67" s="3"/>
      <c r="CQN67" s="3"/>
      <c r="CQO67" s="3"/>
      <c r="CQP67" s="3"/>
      <c r="CQQ67" s="3"/>
      <c r="CQR67" s="3"/>
      <c r="CQS67" s="3"/>
      <c r="CQT67" s="3"/>
      <c r="CQU67" s="3"/>
      <c r="CQV67" s="3"/>
      <c r="CQW67" s="3"/>
      <c r="CQX67" s="3"/>
      <c r="CQY67" s="3"/>
      <c r="CQZ67" s="3"/>
      <c r="CRA67" s="3"/>
      <c r="CRB67" s="3"/>
      <c r="CRC67" s="3"/>
      <c r="CRD67" s="3"/>
      <c r="CRE67" s="3"/>
      <c r="CRF67" s="3"/>
      <c r="CRG67" s="3"/>
      <c r="CRH67" s="3"/>
      <c r="CRI67" s="3"/>
      <c r="CRJ67" s="3"/>
      <c r="CRK67" s="3"/>
      <c r="CRL67" s="3"/>
      <c r="CRM67" s="3"/>
      <c r="CRN67" s="3"/>
      <c r="CRO67" s="3"/>
      <c r="CRP67" s="3"/>
      <c r="CRQ67" s="3"/>
      <c r="CRR67" s="3"/>
      <c r="CRS67" s="3"/>
      <c r="CRT67" s="3"/>
      <c r="CRU67" s="3"/>
      <c r="CRV67" s="3"/>
      <c r="CRW67" s="3"/>
      <c r="CRX67" s="3"/>
      <c r="CRY67" s="3"/>
      <c r="CRZ67" s="3"/>
      <c r="CSA67" s="3"/>
      <c r="CSB67" s="3"/>
      <c r="CSC67" s="3"/>
      <c r="CSD67" s="3"/>
      <c r="CSE67" s="3"/>
      <c r="CSF67" s="3"/>
      <c r="CSG67" s="3"/>
      <c r="CSH67" s="3"/>
      <c r="CSI67" s="3"/>
      <c r="CSJ67" s="3"/>
      <c r="CSK67" s="3"/>
      <c r="CSL67" s="3"/>
      <c r="CSM67" s="3"/>
      <c r="CSN67" s="3"/>
      <c r="CSO67" s="3"/>
      <c r="CSP67" s="3"/>
      <c r="CSQ67" s="3"/>
      <c r="CSR67" s="3"/>
      <c r="CSS67" s="3"/>
      <c r="CST67" s="3"/>
      <c r="CSU67" s="3"/>
      <c r="CSV67" s="3"/>
      <c r="CSW67" s="3"/>
      <c r="CSX67" s="3"/>
      <c r="CSY67" s="3"/>
      <c r="CSZ67" s="3"/>
      <c r="CTA67" s="3"/>
      <c r="CTB67" s="3"/>
      <c r="CTC67" s="3"/>
      <c r="CTD67" s="3"/>
      <c r="CTE67" s="3"/>
      <c r="CTF67" s="3"/>
      <c r="CTG67" s="3"/>
      <c r="CTH67" s="3"/>
      <c r="CTI67" s="3"/>
      <c r="CTJ67" s="3"/>
      <c r="CTK67" s="3"/>
      <c r="CTL67" s="3"/>
      <c r="CTM67" s="3"/>
      <c r="CTN67" s="3"/>
      <c r="CTO67" s="3"/>
      <c r="CTP67" s="3"/>
      <c r="CTQ67" s="3"/>
      <c r="CTR67" s="3"/>
      <c r="CTS67" s="3"/>
      <c r="CTT67" s="3"/>
      <c r="CTU67" s="3"/>
      <c r="CTV67" s="3"/>
      <c r="CTW67" s="3"/>
      <c r="CTX67" s="3"/>
      <c r="CTY67" s="3"/>
      <c r="CTZ67" s="3"/>
      <c r="CUA67" s="3"/>
      <c r="CUB67" s="3"/>
      <c r="CUC67" s="3"/>
      <c r="CUD67" s="3"/>
      <c r="CUE67" s="3"/>
      <c r="CUF67" s="3"/>
      <c r="CUG67" s="3"/>
      <c r="CUH67" s="3"/>
      <c r="CUI67" s="3"/>
      <c r="CUJ67" s="3"/>
      <c r="CUK67" s="3"/>
      <c r="CUL67" s="3"/>
      <c r="CUM67" s="3"/>
      <c r="CUN67" s="3"/>
      <c r="CUO67" s="3"/>
      <c r="CUP67" s="3"/>
      <c r="CUQ67" s="3"/>
      <c r="CUR67" s="3"/>
      <c r="CUS67" s="3"/>
      <c r="CUT67" s="3"/>
      <c r="CUU67" s="3"/>
      <c r="CUV67" s="3"/>
      <c r="CUW67" s="3"/>
      <c r="CUX67" s="3"/>
      <c r="CUY67" s="3"/>
      <c r="CUZ67" s="3"/>
      <c r="CVA67" s="3"/>
      <c r="CVB67" s="3"/>
      <c r="CVC67" s="3"/>
      <c r="CVD67" s="3"/>
      <c r="CVE67" s="3"/>
      <c r="CVF67" s="3"/>
      <c r="CVG67" s="3"/>
      <c r="CVH67" s="3"/>
      <c r="CVI67" s="3"/>
      <c r="CVJ67" s="3"/>
      <c r="CVK67" s="3"/>
      <c r="CVL67" s="3"/>
      <c r="CVM67" s="3"/>
      <c r="CVN67" s="3"/>
      <c r="CVO67" s="3"/>
      <c r="CVP67" s="3"/>
      <c r="CVQ67" s="3"/>
      <c r="CVR67" s="3"/>
      <c r="CVS67" s="3"/>
      <c r="CVT67" s="3"/>
      <c r="CVU67" s="3"/>
      <c r="CVV67" s="3"/>
      <c r="CVW67" s="3"/>
      <c r="CVX67" s="3"/>
      <c r="CVY67" s="3"/>
      <c r="CVZ67" s="3"/>
      <c r="CWA67" s="3"/>
      <c r="CWB67" s="3"/>
      <c r="CWC67" s="3"/>
      <c r="CWD67" s="3"/>
      <c r="CWE67" s="3"/>
      <c r="CWF67" s="3"/>
      <c r="CWG67" s="3"/>
      <c r="CWH67" s="3"/>
      <c r="CWI67" s="3"/>
      <c r="CWJ67" s="3"/>
      <c r="CWK67" s="3"/>
      <c r="CWL67" s="3"/>
      <c r="CWM67" s="3"/>
      <c r="CWN67" s="3"/>
      <c r="CWO67" s="3"/>
      <c r="CWP67" s="3"/>
      <c r="CWQ67" s="3"/>
      <c r="CWR67" s="3"/>
      <c r="CWS67" s="3"/>
      <c r="CWT67" s="3"/>
      <c r="CWU67" s="3"/>
      <c r="CWV67" s="3"/>
      <c r="CWW67" s="3"/>
      <c r="CWX67" s="3"/>
      <c r="CWY67" s="3"/>
      <c r="CWZ67" s="3"/>
      <c r="CXA67" s="3"/>
      <c r="CXB67" s="3"/>
      <c r="CXC67" s="3"/>
      <c r="CXD67" s="3"/>
      <c r="CXE67" s="3"/>
      <c r="CXF67" s="3"/>
      <c r="CXG67" s="3"/>
      <c r="CXH67" s="3"/>
      <c r="CXI67" s="3"/>
      <c r="CXJ67" s="3"/>
      <c r="CXK67" s="3"/>
      <c r="CXL67" s="3"/>
      <c r="CXM67" s="3"/>
      <c r="CXN67" s="3"/>
      <c r="CXO67" s="3"/>
      <c r="CXP67" s="3"/>
      <c r="CXQ67" s="3"/>
      <c r="CXR67" s="3"/>
      <c r="CXS67" s="3"/>
      <c r="CXT67" s="3"/>
      <c r="CXU67" s="3"/>
      <c r="CXV67" s="3"/>
      <c r="CXW67" s="3"/>
      <c r="CXX67" s="3"/>
      <c r="CXY67" s="3"/>
      <c r="CXZ67" s="3"/>
      <c r="CYA67" s="3"/>
      <c r="CYB67" s="3"/>
      <c r="CYC67" s="3"/>
      <c r="CYD67" s="3"/>
      <c r="CYE67" s="3"/>
      <c r="CYF67" s="3"/>
      <c r="CYG67" s="3"/>
      <c r="CYH67" s="3"/>
      <c r="CYI67" s="3"/>
      <c r="CYJ67" s="3"/>
      <c r="CYK67" s="3"/>
      <c r="CYL67" s="3"/>
      <c r="CYM67" s="3"/>
      <c r="CYN67" s="3"/>
      <c r="CYO67" s="3"/>
      <c r="CYP67" s="3"/>
      <c r="CYQ67" s="3"/>
      <c r="CYR67" s="3"/>
      <c r="CYS67" s="3"/>
      <c r="CYT67" s="3"/>
      <c r="CYU67" s="3"/>
      <c r="CYV67" s="3"/>
      <c r="CYW67" s="3"/>
      <c r="CYX67" s="3"/>
      <c r="CYY67" s="3"/>
      <c r="CYZ67" s="3"/>
      <c r="CZA67" s="3"/>
      <c r="CZB67" s="3"/>
      <c r="CZC67" s="3"/>
      <c r="CZD67" s="3"/>
      <c r="CZE67" s="3"/>
      <c r="CZF67" s="3"/>
      <c r="CZG67" s="3"/>
      <c r="CZH67" s="3"/>
      <c r="CZI67" s="3"/>
      <c r="CZJ67" s="3"/>
      <c r="CZK67" s="3"/>
      <c r="CZL67" s="3"/>
      <c r="CZM67" s="3"/>
      <c r="CZN67" s="3"/>
      <c r="CZO67" s="3"/>
      <c r="CZP67" s="3"/>
      <c r="CZQ67" s="3"/>
      <c r="CZR67" s="3"/>
      <c r="CZS67" s="3"/>
      <c r="CZT67" s="3"/>
      <c r="CZU67" s="3"/>
      <c r="CZV67" s="3"/>
      <c r="CZW67" s="3"/>
      <c r="CZX67" s="3"/>
      <c r="CZY67" s="3"/>
      <c r="CZZ67" s="3"/>
      <c r="DAA67" s="3"/>
      <c r="DAB67" s="3"/>
      <c r="DAC67" s="3"/>
      <c r="DAD67" s="3"/>
      <c r="DAE67" s="3"/>
      <c r="DAF67" s="3"/>
      <c r="DAG67" s="3"/>
      <c r="DAH67" s="3"/>
      <c r="DAI67" s="3"/>
      <c r="DAJ67" s="3"/>
      <c r="DAK67" s="3"/>
      <c r="DAL67" s="3"/>
      <c r="DAM67" s="3"/>
      <c r="DAN67" s="3"/>
      <c r="DAO67" s="3"/>
      <c r="DAP67" s="3"/>
      <c r="DAQ67" s="3"/>
      <c r="DAR67" s="3"/>
      <c r="DAS67" s="3"/>
      <c r="DAT67" s="3"/>
      <c r="DAU67" s="3"/>
      <c r="DAV67" s="3"/>
      <c r="DAW67" s="3"/>
      <c r="DAX67" s="3"/>
      <c r="DAY67" s="3"/>
      <c r="DAZ67" s="3"/>
      <c r="DBA67" s="3"/>
      <c r="DBB67" s="3"/>
      <c r="DBC67" s="3"/>
      <c r="DBD67" s="3"/>
      <c r="DBE67" s="3"/>
      <c r="DBF67" s="3"/>
      <c r="DBG67" s="3"/>
      <c r="DBH67" s="3"/>
      <c r="DBI67" s="3"/>
      <c r="DBJ67" s="3"/>
      <c r="DBK67" s="3"/>
      <c r="DBL67" s="3"/>
      <c r="DBM67" s="3"/>
      <c r="DBN67" s="3"/>
      <c r="DBO67" s="3"/>
      <c r="DBP67" s="3"/>
      <c r="DBQ67" s="3"/>
      <c r="DBR67" s="3"/>
      <c r="DBS67" s="3"/>
      <c r="DBT67" s="3"/>
      <c r="DBU67" s="3"/>
      <c r="DBV67" s="3"/>
      <c r="DBW67" s="3"/>
      <c r="DBX67" s="3"/>
      <c r="DBY67" s="3"/>
      <c r="DBZ67" s="3"/>
      <c r="DCA67" s="3"/>
      <c r="DCB67" s="3"/>
      <c r="DCC67" s="3"/>
      <c r="DCD67" s="3"/>
      <c r="DCE67" s="3"/>
      <c r="DCF67" s="3"/>
      <c r="DCG67" s="3"/>
      <c r="DCH67" s="3"/>
      <c r="DCI67" s="3"/>
      <c r="DCJ67" s="3"/>
      <c r="DCK67" s="3"/>
      <c r="DCL67" s="3"/>
      <c r="DCM67" s="3"/>
      <c r="DCN67" s="3"/>
      <c r="DCO67" s="3"/>
      <c r="DCP67" s="3"/>
      <c r="DCQ67" s="3"/>
      <c r="DCR67" s="3"/>
      <c r="DCS67" s="3"/>
      <c r="DCT67" s="3"/>
      <c r="DCU67" s="3"/>
      <c r="DCV67" s="3"/>
      <c r="DCW67" s="3"/>
      <c r="DCX67" s="3"/>
      <c r="DCY67" s="3"/>
      <c r="DCZ67" s="3"/>
      <c r="DDA67" s="3"/>
      <c r="DDB67" s="3"/>
      <c r="DDC67" s="3"/>
      <c r="DDD67" s="3"/>
      <c r="DDE67" s="3"/>
      <c r="DDF67" s="3"/>
      <c r="DDG67" s="3"/>
      <c r="DDH67" s="3"/>
      <c r="DDI67" s="3"/>
      <c r="DDJ67" s="3"/>
      <c r="DDK67" s="3"/>
      <c r="DDL67" s="3"/>
      <c r="DDM67" s="3"/>
      <c r="DDN67" s="3"/>
      <c r="DDO67" s="3"/>
      <c r="DDP67" s="3"/>
      <c r="DDQ67" s="3"/>
      <c r="DDR67" s="3"/>
      <c r="DDS67" s="3"/>
      <c r="DDT67" s="3"/>
      <c r="DDU67" s="3"/>
      <c r="DDV67" s="3"/>
      <c r="DDW67" s="3"/>
      <c r="DDX67" s="3"/>
      <c r="DDY67" s="3"/>
      <c r="DDZ67" s="3"/>
      <c r="DEA67" s="3"/>
      <c r="DEB67" s="3"/>
      <c r="DEC67" s="3"/>
      <c r="DED67" s="3"/>
      <c r="DEE67" s="3"/>
      <c r="DEF67" s="3"/>
      <c r="DEG67" s="3"/>
      <c r="DEH67" s="3"/>
      <c r="DEI67" s="3"/>
      <c r="DEJ67" s="3"/>
      <c r="DEK67" s="3"/>
      <c r="DEL67" s="3"/>
      <c r="DEM67" s="3"/>
      <c r="DEN67" s="3"/>
      <c r="DEO67" s="3"/>
      <c r="DEP67" s="3"/>
      <c r="DEQ67" s="3"/>
      <c r="DER67" s="3"/>
      <c r="DES67" s="3"/>
      <c r="DET67" s="3"/>
      <c r="DEU67" s="3"/>
      <c r="DEV67" s="3"/>
      <c r="DEW67" s="3"/>
      <c r="DEX67" s="3"/>
      <c r="DEY67" s="3"/>
      <c r="DEZ67" s="3"/>
      <c r="DFA67" s="3"/>
      <c r="DFB67" s="3"/>
      <c r="DFC67" s="3"/>
      <c r="DFD67" s="3"/>
      <c r="DFE67" s="3"/>
      <c r="DFF67" s="3"/>
      <c r="DFG67" s="3"/>
      <c r="DFH67" s="3"/>
      <c r="DFI67" s="3"/>
      <c r="DFJ67" s="3"/>
      <c r="DFK67" s="3"/>
      <c r="DFL67" s="3"/>
      <c r="DFM67" s="3"/>
      <c r="DFN67" s="3"/>
      <c r="DFO67" s="3"/>
      <c r="DFP67" s="3"/>
      <c r="DFQ67" s="3"/>
      <c r="DFR67" s="3"/>
      <c r="DFS67" s="3"/>
      <c r="DFT67" s="3"/>
      <c r="DFU67" s="3"/>
      <c r="DFV67" s="3"/>
      <c r="DFW67" s="3"/>
      <c r="DFX67" s="3"/>
      <c r="DFY67" s="3"/>
      <c r="DFZ67" s="3"/>
      <c r="DGA67" s="3"/>
      <c r="DGB67" s="3"/>
      <c r="DGC67" s="3"/>
      <c r="DGD67" s="3"/>
      <c r="DGE67" s="3"/>
      <c r="DGF67" s="3"/>
      <c r="DGG67" s="3"/>
      <c r="DGH67" s="3"/>
      <c r="DGI67" s="3"/>
      <c r="DGJ67" s="3"/>
      <c r="DGK67" s="3"/>
      <c r="DGL67" s="3"/>
      <c r="DGM67" s="3"/>
      <c r="DGN67" s="3"/>
      <c r="DGO67" s="3"/>
      <c r="DGP67" s="3"/>
      <c r="DGQ67" s="3"/>
      <c r="DGR67" s="3"/>
      <c r="DGS67" s="3"/>
      <c r="DGT67" s="3"/>
      <c r="DGU67" s="3"/>
      <c r="DGV67" s="3"/>
      <c r="DGW67" s="3"/>
      <c r="DGX67" s="3"/>
      <c r="DGY67" s="3"/>
      <c r="DGZ67" s="3"/>
      <c r="DHA67" s="3"/>
      <c r="DHB67" s="3"/>
      <c r="DHC67" s="3"/>
      <c r="DHD67" s="3"/>
      <c r="DHE67" s="3"/>
      <c r="DHF67" s="3"/>
      <c r="DHG67" s="3"/>
      <c r="DHH67" s="3"/>
      <c r="DHI67" s="3"/>
      <c r="DHJ67" s="3"/>
      <c r="DHK67" s="3"/>
      <c r="DHL67" s="3"/>
      <c r="DHM67" s="3"/>
      <c r="DHN67" s="3"/>
      <c r="DHO67" s="3"/>
      <c r="DHP67" s="3"/>
      <c r="DHQ67" s="3"/>
      <c r="DHR67" s="3"/>
      <c r="DHS67" s="3"/>
      <c r="DHT67" s="3"/>
      <c r="DHU67" s="3"/>
      <c r="DHV67" s="3"/>
      <c r="DHW67" s="3"/>
      <c r="DHX67" s="3"/>
      <c r="DHY67" s="3"/>
      <c r="DHZ67" s="3"/>
      <c r="DIA67" s="3"/>
      <c r="DIB67" s="3"/>
      <c r="DIC67" s="3"/>
      <c r="DID67" s="3"/>
      <c r="DIE67" s="3"/>
      <c r="DIF67" s="3"/>
      <c r="DIG67" s="3"/>
      <c r="DIH67" s="3"/>
      <c r="DII67" s="3"/>
      <c r="DIJ67" s="3"/>
      <c r="DIK67" s="3"/>
      <c r="DIL67" s="3"/>
      <c r="DIM67" s="3"/>
      <c r="DIN67" s="3"/>
      <c r="DIO67" s="3"/>
      <c r="DIP67" s="3"/>
      <c r="DIQ67" s="3"/>
      <c r="DIR67" s="3"/>
      <c r="DIS67" s="3"/>
      <c r="DIT67" s="3"/>
      <c r="DIU67" s="3"/>
      <c r="DIV67" s="3"/>
      <c r="DIW67" s="3"/>
      <c r="DIX67" s="3"/>
      <c r="DIY67" s="3"/>
      <c r="DIZ67" s="3"/>
      <c r="DJA67" s="3"/>
      <c r="DJB67" s="3"/>
      <c r="DJC67" s="3"/>
      <c r="DJD67" s="3"/>
      <c r="DJE67" s="3"/>
      <c r="DJF67" s="3"/>
      <c r="DJG67" s="3"/>
      <c r="DJH67" s="3"/>
      <c r="DJI67" s="3"/>
      <c r="DJJ67" s="3"/>
      <c r="DJK67" s="3"/>
      <c r="DJL67" s="3"/>
      <c r="DJM67" s="3"/>
      <c r="DJN67" s="3"/>
      <c r="DJO67" s="3"/>
      <c r="DJP67" s="3"/>
      <c r="DJQ67" s="3"/>
      <c r="DJR67" s="3"/>
      <c r="DJS67" s="3"/>
      <c r="DJT67" s="3"/>
      <c r="DJU67" s="3"/>
      <c r="DJV67" s="3"/>
      <c r="DJW67" s="3"/>
      <c r="DJX67" s="3"/>
      <c r="DJY67" s="3"/>
      <c r="DJZ67" s="3"/>
      <c r="DKA67" s="3"/>
      <c r="DKB67" s="3"/>
      <c r="DKC67" s="3"/>
      <c r="DKD67" s="3"/>
      <c r="DKE67" s="3"/>
      <c r="DKF67" s="3"/>
      <c r="DKG67" s="3"/>
      <c r="DKH67" s="3"/>
      <c r="DKI67" s="3"/>
      <c r="DKJ67" s="3"/>
      <c r="DKK67" s="3"/>
      <c r="DKL67" s="3"/>
      <c r="DKM67" s="3"/>
      <c r="DKN67" s="3"/>
      <c r="DKO67" s="3"/>
      <c r="DKP67" s="3"/>
      <c r="DKQ67" s="3"/>
      <c r="DKR67" s="3"/>
      <c r="DKS67" s="3"/>
      <c r="DKT67" s="3"/>
      <c r="DKU67" s="3"/>
      <c r="DKV67" s="3"/>
      <c r="DKW67" s="3"/>
      <c r="DKX67" s="3"/>
      <c r="DKY67" s="3"/>
      <c r="DKZ67" s="3"/>
      <c r="DLA67" s="3"/>
      <c r="DLB67" s="3"/>
      <c r="DLC67" s="3"/>
      <c r="DLD67" s="3"/>
      <c r="DLE67" s="3"/>
      <c r="DLF67" s="3"/>
      <c r="DLG67" s="3"/>
      <c r="DLH67" s="3"/>
      <c r="DLI67" s="3"/>
      <c r="DLJ67" s="3"/>
      <c r="DLK67" s="3"/>
      <c r="DLL67" s="3"/>
      <c r="DLM67" s="3"/>
      <c r="DLN67" s="3"/>
      <c r="DLO67" s="3"/>
      <c r="DLP67" s="3"/>
      <c r="DLQ67" s="3"/>
      <c r="DLR67" s="3"/>
      <c r="DLS67" s="3"/>
      <c r="DLT67" s="3"/>
      <c r="DLU67" s="3"/>
      <c r="DLV67" s="3"/>
      <c r="DLW67" s="3"/>
      <c r="DLX67" s="3"/>
      <c r="DLY67" s="3"/>
      <c r="DLZ67" s="3"/>
      <c r="DMA67" s="3"/>
      <c r="DMB67" s="3"/>
      <c r="DMC67" s="3"/>
      <c r="DMD67" s="3"/>
      <c r="DME67" s="3"/>
      <c r="DMF67" s="3"/>
      <c r="DMG67" s="3"/>
      <c r="DMH67" s="3"/>
      <c r="DMI67" s="3"/>
      <c r="DMJ67" s="3"/>
      <c r="DMK67" s="3"/>
      <c r="DML67" s="3"/>
      <c r="DMM67" s="3"/>
      <c r="DMN67" s="3"/>
      <c r="DMO67" s="3"/>
      <c r="DMP67" s="3"/>
      <c r="DMQ67" s="3"/>
      <c r="DMR67" s="3"/>
      <c r="DMS67" s="3"/>
      <c r="DMT67" s="3"/>
      <c r="DMU67" s="3"/>
      <c r="DMV67" s="3"/>
      <c r="DMW67" s="3"/>
      <c r="DMX67" s="3"/>
      <c r="DMY67" s="3"/>
      <c r="DMZ67" s="3"/>
      <c r="DNA67" s="3"/>
      <c r="DNB67" s="3"/>
      <c r="DNC67" s="3"/>
      <c r="DND67" s="3"/>
      <c r="DNE67" s="3"/>
      <c r="DNF67" s="3"/>
      <c r="DNG67" s="3"/>
      <c r="DNH67" s="3"/>
      <c r="DNI67" s="3"/>
      <c r="DNJ67" s="3"/>
      <c r="DNK67" s="3"/>
      <c r="DNL67" s="3"/>
      <c r="DNM67" s="3"/>
      <c r="DNN67" s="3"/>
      <c r="DNO67" s="3"/>
      <c r="DNP67" s="3"/>
      <c r="DNQ67" s="3"/>
      <c r="DNR67" s="3"/>
      <c r="DNS67" s="3"/>
      <c r="DNT67" s="3"/>
      <c r="DNU67" s="3"/>
      <c r="DNV67" s="3"/>
      <c r="DNW67" s="3"/>
      <c r="DNX67" s="3"/>
      <c r="DNY67" s="3"/>
      <c r="DNZ67" s="3"/>
      <c r="DOA67" s="3"/>
      <c r="DOB67" s="3"/>
      <c r="DOC67" s="3"/>
      <c r="DOD67" s="3"/>
      <c r="DOE67" s="3"/>
      <c r="DOF67" s="3"/>
      <c r="DOG67" s="3"/>
      <c r="DOH67" s="3"/>
      <c r="DOI67" s="3"/>
      <c r="DOJ67" s="3"/>
      <c r="DOK67" s="3"/>
      <c r="DOL67" s="3"/>
      <c r="DOM67" s="3"/>
      <c r="DON67" s="3"/>
      <c r="DOO67" s="3"/>
      <c r="DOP67" s="3"/>
      <c r="DOQ67" s="3"/>
      <c r="DOR67" s="3"/>
      <c r="DOS67" s="3"/>
      <c r="DOT67" s="3"/>
      <c r="DOU67" s="3"/>
      <c r="DOV67" s="3"/>
      <c r="DOW67" s="3"/>
      <c r="DOX67" s="3"/>
      <c r="DOY67" s="3"/>
      <c r="DOZ67" s="3"/>
      <c r="DPA67" s="3"/>
      <c r="DPB67" s="3"/>
      <c r="DPC67" s="3"/>
      <c r="DPD67" s="3"/>
      <c r="DPE67" s="3"/>
      <c r="DPF67" s="3"/>
      <c r="DPG67" s="3"/>
      <c r="DPH67" s="3"/>
      <c r="DPI67" s="3"/>
      <c r="DPJ67" s="3"/>
      <c r="DPK67" s="3"/>
      <c r="DPL67" s="3"/>
      <c r="DPM67" s="3"/>
      <c r="DPN67" s="3"/>
      <c r="DPO67" s="3"/>
      <c r="DPP67" s="3"/>
      <c r="DPQ67" s="3"/>
      <c r="DPR67" s="3"/>
      <c r="DPS67" s="3"/>
      <c r="DPT67" s="3"/>
      <c r="DPU67" s="3"/>
      <c r="DPV67" s="3"/>
      <c r="DPW67" s="3"/>
      <c r="DPX67" s="3"/>
      <c r="DPY67" s="3"/>
      <c r="DPZ67" s="3"/>
      <c r="DQA67" s="3"/>
      <c r="DQB67" s="3"/>
      <c r="DQC67" s="3"/>
      <c r="DQD67" s="3"/>
      <c r="DQE67" s="3"/>
      <c r="DQF67" s="3"/>
      <c r="DQG67" s="3"/>
      <c r="DQH67" s="3"/>
      <c r="DQI67" s="3"/>
      <c r="DQJ67" s="3"/>
      <c r="DQK67" s="3"/>
      <c r="DQL67" s="3"/>
      <c r="DQM67" s="3"/>
      <c r="DQN67" s="3"/>
      <c r="DQO67" s="3"/>
      <c r="DQP67" s="3"/>
      <c r="DQQ67" s="3"/>
      <c r="DQR67" s="3"/>
      <c r="DQS67" s="3"/>
      <c r="DQT67" s="3"/>
      <c r="DQU67" s="3"/>
      <c r="DQV67" s="3"/>
      <c r="DQW67" s="3"/>
      <c r="DQX67" s="3"/>
      <c r="DQY67" s="3"/>
      <c r="DQZ67" s="3"/>
      <c r="DRA67" s="3"/>
      <c r="DRB67" s="3"/>
      <c r="DRC67" s="3"/>
      <c r="DRD67" s="3"/>
      <c r="DRE67" s="3"/>
      <c r="DRF67" s="3"/>
      <c r="DRG67" s="3"/>
      <c r="DRH67" s="3"/>
      <c r="DRI67" s="3"/>
      <c r="DRJ67" s="3"/>
      <c r="DRK67" s="3"/>
      <c r="DRL67" s="3"/>
      <c r="DRM67" s="3"/>
      <c r="DRN67" s="3"/>
      <c r="DRO67" s="3"/>
      <c r="DRP67" s="3"/>
      <c r="DRQ67" s="3"/>
      <c r="DRR67" s="3"/>
      <c r="DRS67" s="3"/>
      <c r="DRT67" s="3"/>
      <c r="DRU67" s="3"/>
      <c r="DRV67" s="3"/>
      <c r="DRW67" s="3"/>
      <c r="DRX67" s="3"/>
      <c r="DRY67" s="3"/>
      <c r="DRZ67" s="3"/>
      <c r="DSA67" s="3"/>
      <c r="DSB67" s="3"/>
      <c r="DSC67" s="3"/>
      <c r="DSD67" s="3"/>
      <c r="DSE67" s="3"/>
      <c r="DSF67" s="3"/>
      <c r="DSG67" s="3"/>
      <c r="DSH67" s="3"/>
      <c r="DSI67" s="3"/>
      <c r="DSJ67" s="3"/>
      <c r="DSK67" s="3"/>
      <c r="DSL67" s="3"/>
      <c r="DSM67" s="3"/>
      <c r="DSN67" s="3"/>
      <c r="DSO67" s="3"/>
      <c r="DSP67" s="3"/>
      <c r="DSQ67" s="3"/>
      <c r="DSR67" s="3"/>
      <c r="DSS67" s="3"/>
      <c r="DST67" s="3"/>
      <c r="DSU67" s="3"/>
      <c r="DSV67" s="3"/>
      <c r="DSW67" s="3"/>
      <c r="DSX67" s="3"/>
      <c r="DSY67" s="3"/>
      <c r="DSZ67" s="3"/>
      <c r="DTA67" s="3"/>
      <c r="DTB67" s="3"/>
      <c r="DTC67" s="3"/>
      <c r="DTD67" s="3"/>
      <c r="DTE67" s="3"/>
      <c r="DTF67" s="3"/>
      <c r="DTG67" s="3"/>
      <c r="DTH67" s="3"/>
      <c r="DTI67" s="3"/>
      <c r="DTJ67" s="3"/>
      <c r="DTK67" s="3"/>
      <c r="DTL67" s="3"/>
      <c r="DTM67" s="3"/>
      <c r="DTN67" s="3"/>
      <c r="DTO67" s="3"/>
      <c r="DTP67" s="3"/>
      <c r="DTQ67" s="3"/>
      <c r="DTR67" s="3"/>
      <c r="DTS67" s="3"/>
      <c r="DTT67" s="3"/>
      <c r="DTU67" s="3"/>
      <c r="DTV67" s="3"/>
      <c r="DTW67" s="3"/>
      <c r="DTX67" s="3"/>
      <c r="DTY67" s="3"/>
      <c r="DTZ67" s="3"/>
      <c r="DUA67" s="3"/>
      <c r="DUB67" s="3"/>
      <c r="DUC67" s="3"/>
      <c r="DUD67" s="3"/>
      <c r="DUE67" s="3"/>
      <c r="DUF67" s="3"/>
      <c r="DUG67" s="3"/>
      <c r="DUH67" s="3"/>
      <c r="DUI67" s="3"/>
      <c r="DUJ67" s="3"/>
      <c r="DUK67" s="3"/>
      <c r="DUL67" s="3"/>
      <c r="DUM67" s="3"/>
      <c r="DUN67" s="3"/>
      <c r="DUO67" s="3"/>
      <c r="DUP67" s="3"/>
      <c r="DUQ67" s="3"/>
      <c r="DUR67" s="3"/>
      <c r="DUS67" s="3"/>
      <c r="DUT67" s="3"/>
      <c r="DUU67" s="3"/>
      <c r="DUV67" s="3"/>
      <c r="DUW67" s="3"/>
      <c r="DUX67" s="3"/>
      <c r="DUY67" s="3"/>
      <c r="DUZ67" s="3"/>
      <c r="DVA67" s="3"/>
      <c r="DVB67" s="3"/>
      <c r="DVC67" s="3"/>
      <c r="DVD67" s="3"/>
      <c r="DVE67" s="3"/>
      <c r="DVF67" s="3"/>
      <c r="DVG67" s="3"/>
      <c r="DVH67" s="3"/>
      <c r="DVI67" s="3"/>
      <c r="DVJ67" s="3"/>
      <c r="DVK67" s="3"/>
      <c r="DVL67" s="3"/>
      <c r="DVM67" s="3"/>
      <c r="DVN67" s="3"/>
      <c r="DVO67" s="3"/>
      <c r="DVP67" s="3"/>
      <c r="DVQ67" s="3"/>
      <c r="DVR67" s="3"/>
      <c r="DVS67" s="3"/>
      <c r="DVT67" s="3"/>
      <c r="DVU67" s="3"/>
      <c r="DVV67" s="3"/>
      <c r="DVW67" s="3"/>
      <c r="DVX67" s="3"/>
      <c r="DVY67" s="3"/>
      <c r="DVZ67" s="3"/>
      <c r="DWA67" s="3"/>
      <c r="DWB67" s="3"/>
      <c r="DWC67" s="3"/>
      <c r="DWD67" s="3"/>
      <c r="DWE67" s="3"/>
      <c r="DWF67" s="3"/>
      <c r="DWG67" s="3"/>
      <c r="DWH67" s="3"/>
      <c r="DWI67" s="3"/>
      <c r="DWJ67" s="3"/>
      <c r="DWK67" s="3"/>
      <c r="DWL67" s="3"/>
      <c r="DWM67" s="3"/>
      <c r="DWN67" s="3"/>
      <c r="DWO67" s="3"/>
      <c r="DWP67" s="3"/>
      <c r="DWQ67" s="3"/>
      <c r="DWR67" s="3"/>
      <c r="DWS67" s="3"/>
      <c r="DWT67" s="3"/>
      <c r="DWU67" s="3"/>
      <c r="DWV67" s="3"/>
      <c r="DWW67" s="3"/>
      <c r="DWX67" s="3"/>
      <c r="DWY67" s="3"/>
      <c r="DWZ67" s="3"/>
      <c r="DXA67" s="3"/>
      <c r="DXB67" s="3"/>
      <c r="DXC67" s="3"/>
      <c r="DXD67" s="3"/>
      <c r="DXE67" s="3"/>
      <c r="DXF67" s="3"/>
      <c r="DXG67" s="3"/>
      <c r="DXH67" s="3"/>
      <c r="DXI67" s="3"/>
      <c r="DXJ67" s="3"/>
      <c r="DXK67" s="3"/>
      <c r="DXL67" s="3"/>
      <c r="DXM67" s="3"/>
      <c r="DXN67" s="3"/>
      <c r="DXO67" s="3"/>
      <c r="DXP67" s="3"/>
      <c r="DXQ67" s="3"/>
      <c r="DXR67" s="3"/>
      <c r="DXS67" s="3"/>
      <c r="DXT67" s="3"/>
      <c r="DXU67" s="3"/>
      <c r="DXV67" s="3"/>
      <c r="DXW67" s="3"/>
      <c r="DXX67" s="3"/>
      <c r="DXY67" s="3"/>
      <c r="DXZ67" s="3"/>
      <c r="DYA67" s="3"/>
      <c r="DYB67" s="3"/>
      <c r="DYC67" s="3"/>
      <c r="DYD67" s="3"/>
      <c r="DYE67" s="3"/>
      <c r="DYF67" s="3"/>
      <c r="DYG67" s="3"/>
      <c r="DYH67" s="3"/>
      <c r="DYI67" s="3"/>
      <c r="DYJ67" s="3"/>
      <c r="DYK67" s="3"/>
      <c r="DYL67" s="3"/>
      <c r="DYM67" s="3"/>
      <c r="DYN67" s="3"/>
      <c r="DYO67" s="3"/>
      <c r="DYP67" s="3"/>
      <c r="DYQ67" s="3"/>
      <c r="DYR67" s="3"/>
      <c r="DYS67" s="3"/>
      <c r="DYT67" s="3"/>
      <c r="DYU67" s="3"/>
      <c r="DYV67" s="3"/>
      <c r="DYW67" s="3"/>
      <c r="DYX67" s="3"/>
      <c r="DYY67" s="3"/>
      <c r="DYZ67" s="3"/>
      <c r="DZA67" s="3"/>
      <c r="DZB67" s="3"/>
      <c r="DZC67" s="3"/>
      <c r="DZD67" s="3"/>
      <c r="DZE67" s="3"/>
      <c r="DZF67" s="3"/>
      <c r="DZG67" s="3"/>
      <c r="DZH67" s="3"/>
      <c r="DZI67" s="3"/>
      <c r="DZJ67" s="3"/>
      <c r="DZK67" s="3"/>
      <c r="DZL67" s="3"/>
      <c r="DZM67" s="3"/>
      <c r="DZN67" s="3"/>
      <c r="DZO67" s="3"/>
      <c r="DZP67" s="3"/>
      <c r="DZQ67" s="3"/>
      <c r="DZR67" s="3"/>
      <c r="DZS67" s="3"/>
      <c r="DZT67" s="3"/>
      <c r="DZU67" s="3"/>
      <c r="DZV67" s="3"/>
      <c r="DZW67" s="3"/>
      <c r="DZX67" s="3"/>
      <c r="DZY67" s="3"/>
      <c r="DZZ67" s="3"/>
      <c r="EAA67" s="3"/>
      <c r="EAB67" s="3"/>
      <c r="EAC67" s="3"/>
      <c r="EAD67" s="3"/>
      <c r="EAE67" s="3"/>
      <c r="EAF67" s="3"/>
      <c r="EAG67" s="3"/>
      <c r="EAH67" s="3"/>
      <c r="EAI67" s="3"/>
      <c r="EAJ67" s="3"/>
      <c r="EAK67" s="3"/>
      <c r="EAL67" s="3"/>
      <c r="EAM67" s="3"/>
      <c r="EAN67" s="3"/>
      <c r="EAO67" s="3"/>
      <c r="EAP67" s="3"/>
      <c r="EAQ67" s="3"/>
      <c r="EAR67" s="3"/>
      <c r="EAS67" s="3"/>
      <c r="EAT67" s="3"/>
      <c r="EAU67" s="3"/>
      <c r="EAV67" s="3"/>
      <c r="EAW67" s="3"/>
      <c r="EAX67" s="3"/>
      <c r="EAY67" s="3"/>
      <c r="EAZ67" s="3"/>
      <c r="EBA67" s="3"/>
      <c r="EBB67" s="3"/>
      <c r="EBC67" s="3"/>
      <c r="EBD67" s="3"/>
      <c r="EBE67" s="3"/>
      <c r="EBF67" s="3"/>
      <c r="EBG67" s="3"/>
      <c r="EBH67" s="3"/>
      <c r="EBI67" s="3"/>
      <c r="EBJ67" s="3"/>
      <c r="EBK67" s="3"/>
      <c r="EBL67" s="3"/>
      <c r="EBM67" s="3"/>
      <c r="EBN67" s="3"/>
      <c r="EBO67" s="3"/>
      <c r="EBP67" s="3"/>
      <c r="EBQ67" s="3"/>
      <c r="EBR67" s="3"/>
      <c r="EBS67" s="3"/>
      <c r="EBT67" s="3"/>
      <c r="EBU67" s="3"/>
      <c r="EBV67" s="3"/>
      <c r="EBW67" s="3"/>
      <c r="EBX67" s="3"/>
      <c r="EBY67" s="3"/>
      <c r="EBZ67" s="3"/>
      <c r="ECA67" s="3"/>
      <c r="ECB67" s="3"/>
      <c r="ECC67" s="3"/>
      <c r="ECD67" s="3"/>
      <c r="ECE67" s="3"/>
      <c r="ECF67" s="3"/>
      <c r="ECG67" s="3"/>
      <c r="ECH67" s="3"/>
      <c r="ECI67" s="3"/>
      <c r="ECJ67" s="3"/>
      <c r="ECK67" s="3"/>
      <c r="ECL67" s="3"/>
      <c r="ECM67" s="3"/>
      <c r="ECN67" s="3"/>
      <c r="ECO67" s="3"/>
      <c r="ECP67" s="3"/>
      <c r="ECQ67" s="3"/>
      <c r="ECR67" s="3"/>
      <c r="ECS67" s="3"/>
      <c r="ECT67" s="3"/>
      <c r="ECU67" s="3"/>
      <c r="ECV67" s="3"/>
      <c r="ECW67" s="3"/>
      <c r="ECX67" s="3"/>
      <c r="ECY67" s="3"/>
      <c r="ECZ67" s="3"/>
      <c r="EDA67" s="3"/>
      <c r="EDB67" s="3"/>
      <c r="EDC67" s="3"/>
      <c r="EDD67" s="3"/>
      <c r="EDE67" s="3"/>
      <c r="EDF67" s="3"/>
      <c r="EDG67" s="3"/>
      <c r="EDH67" s="3"/>
      <c r="EDI67" s="3"/>
      <c r="EDJ67" s="3"/>
      <c r="EDK67" s="3"/>
      <c r="EDL67" s="3"/>
      <c r="EDM67" s="3"/>
      <c r="EDN67" s="3"/>
      <c r="EDO67" s="3"/>
      <c r="EDP67" s="3"/>
      <c r="EDQ67" s="3"/>
      <c r="EDR67" s="3"/>
      <c r="EDS67" s="3"/>
      <c r="EDT67" s="3"/>
      <c r="EDU67" s="3"/>
      <c r="EDV67" s="3"/>
      <c r="EDW67" s="3"/>
      <c r="EDX67" s="3"/>
      <c r="EDY67" s="3"/>
      <c r="EDZ67" s="3"/>
      <c r="EEA67" s="3"/>
      <c r="EEB67" s="3"/>
      <c r="EEC67" s="3"/>
      <c r="EED67" s="3"/>
      <c r="EEE67" s="3"/>
      <c r="EEF67" s="3"/>
      <c r="EEG67" s="3"/>
      <c r="EEH67" s="3"/>
      <c r="EEI67" s="3"/>
      <c r="EEJ67" s="3"/>
      <c r="EEK67" s="3"/>
      <c r="EEL67" s="3"/>
      <c r="EEM67" s="3"/>
      <c r="EEN67" s="3"/>
      <c r="EEO67" s="3"/>
      <c r="EEP67" s="3"/>
      <c r="EEQ67" s="3"/>
      <c r="EER67" s="3"/>
      <c r="EES67" s="3"/>
      <c r="EET67" s="3"/>
      <c r="EEU67" s="3"/>
      <c r="EEV67" s="3"/>
      <c r="EEW67" s="3"/>
      <c r="EEX67" s="3"/>
      <c r="EEY67" s="3"/>
      <c r="EEZ67" s="3"/>
      <c r="EFA67" s="3"/>
      <c r="EFB67" s="3"/>
      <c r="EFC67" s="3"/>
      <c r="EFD67" s="3"/>
      <c r="EFE67" s="3"/>
      <c r="EFF67" s="3"/>
      <c r="EFG67" s="3"/>
      <c r="EFH67" s="3"/>
      <c r="EFI67" s="3"/>
      <c r="EFJ67" s="3"/>
      <c r="EFK67" s="3"/>
      <c r="EFL67" s="3"/>
      <c r="EFM67" s="3"/>
      <c r="EFN67" s="3"/>
      <c r="EFO67" s="3"/>
      <c r="EFP67" s="3"/>
      <c r="EFQ67" s="3"/>
      <c r="EFR67" s="3"/>
      <c r="EFS67" s="3"/>
      <c r="EFT67" s="3"/>
      <c r="EFU67" s="3"/>
      <c r="EFV67" s="3"/>
      <c r="EFW67" s="3"/>
      <c r="EFX67" s="3"/>
      <c r="EFY67" s="3"/>
      <c r="EFZ67" s="3"/>
      <c r="EGA67" s="3"/>
      <c r="EGB67" s="3"/>
      <c r="EGC67" s="3"/>
      <c r="EGD67" s="3"/>
      <c r="EGE67" s="3"/>
      <c r="EGF67" s="3"/>
      <c r="EGG67" s="3"/>
      <c r="EGH67" s="3"/>
      <c r="EGI67" s="3"/>
      <c r="EGJ67" s="3"/>
      <c r="EGK67" s="3"/>
      <c r="EGL67" s="3"/>
      <c r="EGM67" s="3"/>
      <c r="EGN67" s="3"/>
      <c r="EGO67" s="3"/>
      <c r="EGP67" s="3"/>
      <c r="EGQ67" s="3"/>
      <c r="EGR67" s="3"/>
      <c r="EGS67" s="3"/>
      <c r="EGT67" s="3"/>
      <c r="EGU67" s="3"/>
      <c r="EGV67" s="3"/>
      <c r="EGW67" s="3"/>
      <c r="EGX67" s="3"/>
      <c r="EGY67" s="3"/>
      <c r="EGZ67" s="3"/>
      <c r="EHA67" s="3"/>
      <c r="EHB67" s="3"/>
      <c r="EHC67" s="3"/>
      <c r="EHD67" s="3"/>
      <c r="EHE67" s="3"/>
      <c r="EHF67" s="3"/>
      <c r="EHG67" s="3"/>
      <c r="EHH67" s="3"/>
      <c r="EHI67" s="3"/>
      <c r="EHJ67" s="3"/>
      <c r="EHK67" s="3"/>
      <c r="EHL67" s="3"/>
      <c r="EHM67" s="3"/>
      <c r="EHN67" s="3"/>
      <c r="EHO67" s="3"/>
      <c r="EHP67" s="3"/>
      <c r="EHQ67" s="3"/>
      <c r="EHR67" s="3"/>
      <c r="EHS67" s="3"/>
      <c r="EHT67" s="3"/>
      <c r="EHU67" s="3"/>
      <c r="EHV67" s="3"/>
      <c r="EHW67" s="3"/>
      <c r="EHX67" s="3"/>
      <c r="EHY67" s="3"/>
      <c r="EHZ67" s="3"/>
      <c r="EIA67" s="3"/>
      <c r="EIB67" s="3"/>
      <c r="EIC67" s="3"/>
      <c r="EID67" s="3"/>
      <c r="EIE67" s="3"/>
      <c r="EIF67" s="3"/>
      <c r="EIG67" s="3"/>
      <c r="EIH67" s="3"/>
      <c r="EII67" s="3"/>
      <c r="EIJ67" s="3"/>
      <c r="EIK67" s="3"/>
      <c r="EIL67" s="3"/>
      <c r="EIM67" s="3"/>
      <c r="EIN67" s="3"/>
      <c r="EIO67" s="3"/>
      <c r="EIP67" s="3"/>
      <c r="EIQ67" s="3"/>
      <c r="EIR67" s="3"/>
      <c r="EIS67" s="3"/>
      <c r="EIT67" s="3"/>
      <c r="EIU67" s="3"/>
      <c r="EIV67" s="3"/>
      <c r="EIW67" s="3"/>
      <c r="EIX67" s="3"/>
      <c r="EIY67" s="3"/>
      <c r="EIZ67" s="3"/>
      <c r="EJA67" s="3"/>
      <c r="EJB67" s="3"/>
      <c r="EJC67" s="3"/>
      <c r="EJD67" s="3"/>
      <c r="EJE67" s="3"/>
      <c r="EJF67" s="3"/>
      <c r="EJG67" s="3"/>
      <c r="EJH67" s="3"/>
      <c r="EJI67" s="3"/>
      <c r="EJJ67" s="3"/>
      <c r="EJK67" s="3"/>
      <c r="EJL67" s="3"/>
      <c r="EJM67" s="3"/>
      <c r="EJN67" s="3"/>
      <c r="EJO67" s="3"/>
      <c r="EJP67" s="3"/>
      <c r="EJQ67" s="3"/>
      <c r="EJR67" s="3"/>
      <c r="EJS67" s="3"/>
      <c r="EJT67" s="3"/>
      <c r="EJU67" s="3"/>
      <c r="EJV67" s="3"/>
      <c r="EJW67" s="3"/>
      <c r="EJX67" s="3"/>
      <c r="EJY67" s="3"/>
      <c r="EJZ67" s="3"/>
      <c r="EKA67" s="3"/>
      <c r="EKB67" s="3"/>
      <c r="EKC67" s="3"/>
      <c r="EKD67" s="3"/>
      <c r="EKE67" s="3"/>
      <c r="EKF67" s="3"/>
      <c r="EKG67" s="3"/>
      <c r="EKH67" s="3"/>
      <c r="EKI67" s="3"/>
      <c r="EKJ67" s="3"/>
      <c r="EKK67" s="3"/>
      <c r="EKL67" s="3"/>
      <c r="EKM67" s="3"/>
      <c r="EKN67" s="3"/>
      <c r="EKO67" s="3"/>
      <c r="EKP67" s="3"/>
      <c r="EKQ67" s="3"/>
      <c r="EKR67" s="3"/>
      <c r="EKS67" s="3"/>
      <c r="EKT67" s="3"/>
      <c r="EKU67" s="3"/>
      <c r="EKV67" s="3"/>
      <c r="EKW67" s="3"/>
      <c r="EKX67" s="3"/>
      <c r="EKY67" s="3"/>
      <c r="EKZ67" s="3"/>
      <c r="ELA67" s="3"/>
      <c r="ELB67" s="3"/>
      <c r="ELC67" s="3"/>
      <c r="ELD67" s="3"/>
      <c r="ELE67" s="3"/>
      <c r="ELF67" s="3"/>
      <c r="ELG67" s="3"/>
      <c r="ELH67" s="3"/>
      <c r="ELI67" s="3"/>
      <c r="ELJ67" s="3"/>
      <c r="ELK67" s="3"/>
      <c r="ELL67" s="3"/>
      <c r="ELM67" s="3"/>
      <c r="ELN67" s="3"/>
      <c r="ELO67" s="3"/>
      <c r="ELP67" s="3"/>
      <c r="ELQ67" s="3"/>
      <c r="ELR67" s="3"/>
      <c r="ELS67" s="3"/>
      <c r="ELT67" s="3"/>
      <c r="ELU67" s="3"/>
      <c r="ELV67" s="3"/>
      <c r="ELW67" s="3"/>
      <c r="ELX67" s="3"/>
      <c r="ELY67" s="3"/>
      <c r="ELZ67" s="3"/>
      <c r="EMA67" s="3"/>
      <c r="EMB67" s="3"/>
      <c r="EMC67" s="3"/>
      <c r="EMD67" s="3"/>
      <c r="EME67" s="3"/>
      <c r="EMF67" s="3"/>
      <c r="EMG67" s="3"/>
      <c r="EMH67" s="3"/>
      <c r="EMI67" s="3"/>
      <c r="EMJ67" s="3"/>
      <c r="EMK67" s="3"/>
      <c r="EML67" s="3"/>
      <c r="EMM67" s="3"/>
      <c r="EMN67" s="3"/>
      <c r="EMO67" s="3"/>
      <c r="EMP67" s="3"/>
      <c r="EMQ67" s="3"/>
      <c r="EMR67" s="3"/>
      <c r="EMS67" s="3"/>
      <c r="EMT67" s="3"/>
      <c r="EMU67" s="3"/>
      <c r="EMV67" s="3"/>
      <c r="EMW67" s="3"/>
      <c r="EMX67" s="3"/>
      <c r="EMY67" s="3"/>
      <c r="EMZ67" s="3"/>
      <c r="ENA67" s="3"/>
      <c r="ENB67" s="3"/>
      <c r="ENC67" s="3"/>
      <c r="END67" s="3"/>
      <c r="ENE67" s="3"/>
      <c r="ENF67" s="3"/>
      <c r="ENG67" s="3"/>
      <c r="ENH67" s="3"/>
      <c r="ENI67" s="3"/>
      <c r="ENJ67" s="3"/>
      <c r="ENK67" s="3"/>
      <c r="ENL67" s="3"/>
      <c r="ENM67" s="3"/>
      <c r="ENN67" s="3"/>
      <c r="ENO67" s="3"/>
      <c r="ENP67" s="3"/>
      <c r="ENQ67" s="3"/>
      <c r="ENR67" s="3"/>
      <c r="ENS67" s="3"/>
      <c r="ENT67" s="3"/>
      <c r="ENU67" s="3"/>
      <c r="ENV67" s="3"/>
      <c r="ENW67" s="3"/>
      <c r="ENX67" s="3"/>
      <c r="ENY67" s="3"/>
      <c r="ENZ67" s="3"/>
      <c r="EOA67" s="3"/>
      <c r="EOB67" s="3"/>
      <c r="EOC67" s="3"/>
      <c r="EOD67" s="3"/>
      <c r="EOE67" s="3"/>
      <c r="EOF67" s="3"/>
      <c r="EOG67" s="3"/>
      <c r="EOH67" s="3"/>
      <c r="EOI67" s="3"/>
      <c r="EOJ67" s="3"/>
      <c r="EOK67" s="3"/>
      <c r="EOL67" s="3"/>
      <c r="EOM67" s="3"/>
      <c r="EON67" s="3"/>
      <c r="EOO67" s="3"/>
      <c r="EOP67" s="3"/>
      <c r="EOQ67" s="3"/>
      <c r="EOR67" s="3"/>
      <c r="EOS67" s="3"/>
      <c r="EOT67" s="3"/>
      <c r="EOU67" s="3"/>
      <c r="EOV67" s="3"/>
      <c r="EOW67" s="3"/>
      <c r="EOX67" s="3"/>
      <c r="EOY67" s="3"/>
      <c r="EOZ67" s="3"/>
      <c r="EPA67" s="3"/>
      <c r="EPB67" s="3"/>
      <c r="EPC67" s="3"/>
      <c r="EPD67" s="3"/>
      <c r="EPE67" s="3"/>
      <c r="EPF67" s="3"/>
      <c r="EPG67" s="3"/>
      <c r="EPH67" s="3"/>
      <c r="EPI67" s="3"/>
      <c r="EPJ67" s="3"/>
      <c r="EPK67" s="3"/>
      <c r="EPL67" s="3"/>
      <c r="EPM67" s="3"/>
      <c r="EPN67" s="3"/>
      <c r="EPO67" s="3"/>
      <c r="EPP67" s="3"/>
      <c r="EPQ67" s="3"/>
      <c r="EPR67" s="3"/>
      <c r="EPS67" s="3"/>
      <c r="EPT67" s="3"/>
      <c r="EPU67" s="3"/>
      <c r="EPV67" s="3"/>
      <c r="EPW67" s="3"/>
      <c r="EPX67" s="3"/>
      <c r="EPY67" s="3"/>
      <c r="EPZ67" s="3"/>
      <c r="EQA67" s="3"/>
      <c r="EQB67" s="3"/>
      <c r="EQC67" s="3"/>
      <c r="EQD67" s="3"/>
      <c r="EQE67" s="3"/>
      <c r="EQF67" s="3"/>
      <c r="EQG67" s="3"/>
      <c r="EQH67" s="3"/>
      <c r="EQI67" s="3"/>
      <c r="EQJ67" s="3"/>
      <c r="EQK67" s="3"/>
      <c r="EQL67" s="3"/>
      <c r="EQM67" s="3"/>
      <c r="EQN67" s="3"/>
      <c r="EQO67" s="3"/>
      <c r="EQP67" s="3"/>
      <c r="EQQ67" s="3"/>
      <c r="EQR67" s="3"/>
      <c r="EQS67" s="3"/>
      <c r="EQT67" s="3"/>
      <c r="EQU67" s="3"/>
      <c r="EQV67" s="3"/>
      <c r="EQW67" s="3"/>
      <c r="EQX67" s="3"/>
      <c r="EQY67" s="3"/>
      <c r="EQZ67" s="3"/>
      <c r="ERA67" s="3"/>
      <c r="ERB67" s="3"/>
      <c r="ERC67" s="3"/>
      <c r="ERD67" s="3"/>
      <c r="ERE67" s="3"/>
      <c r="ERF67" s="3"/>
      <c r="ERG67" s="3"/>
      <c r="ERH67" s="3"/>
      <c r="ERI67" s="3"/>
      <c r="ERJ67" s="3"/>
      <c r="ERK67" s="3"/>
      <c r="ERL67" s="3"/>
      <c r="ERM67" s="3"/>
      <c r="ERN67" s="3"/>
      <c r="ERO67" s="3"/>
      <c r="ERP67" s="3"/>
      <c r="ERQ67" s="3"/>
      <c r="ERR67" s="3"/>
      <c r="ERS67" s="3"/>
      <c r="ERT67" s="3"/>
      <c r="ERU67" s="3"/>
      <c r="ERV67" s="3"/>
      <c r="ERW67" s="3"/>
      <c r="ERX67" s="3"/>
      <c r="ERY67" s="3"/>
      <c r="ERZ67" s="3"/>
      <c r="ESA67" s="3"/>
      <c r="ESB67" s="3"/>
      <c r="ESC67" s="3"/>
      <c r="ESD67" s="3"/>
      <c r="ESE67" s="3"/>
      <c r="ESF67" s="3"/>
      <c r="ESG67" s="3"/>
      <c r="ESH67" s="3"/>
      <c r="ESI67" s="3"/>
      <c r="ESJ67" s="3"/>
      <c r="ESK67" s="3"/>
      <c r="ESL67" s="3"/>
      <c r="ESM67" s="3"/>
      <c r="ESN67" s="3"/>
      <c r="ESO67" s="3"/>
      <c r="ESP67" s="3"/>
      <c r="ESQ67" s="3"/>
      <c r="ESR67" s="3"/>
      <c r="ESS67" s="3"/>
      <c r="EST67" s="3"/>
      <c r="ESU67" s="3"/>
      <c r="ESV67" s="3"/>
      <c r="ESW67" s="3"/>
      <c r="ESX67" s="3"/>
      <c r="ESY67" s="3"/>
      <c r="ESZ67" s="3"/>
      <c r="ETA67" s="3"/>
      <c r="ETB67" s="3"/>
      <c r="ETC67" s="3"/>
      <c r="ETD67" s="3"/>
      <c r="ETE67" s="3"/>
      <c r="ETF67" s="3"/>
      <c r="ETG67" s="3"/>
      <c r="ETH67" s="3"/>
      <c r="ETI67" s="3"/>
      <c r="ETJ67" s="3"/>
      <c r="ETK67" s="3"/>
      <c r="ETL67" s="3"/>
      <c r="ETM67" s="3"/>
      <c r="ETN67" s="3"/>
      <c r="ETO67" s="3"/>
      <c r="ETP67" s="3"/>
      <c r="ETQ67" s="3"/>
      <c r="ETR67" s="3"/>
      <c r="ETS67" s="3"/>
      <c r="ETT67" s="3"/>
      <c r="ETU67" s="3"/>
      <c r="ETV67" s="3"/>
      <c r="ETW67" s="3"/>
      <c r="ETX67" s="3"/>
      <c r="ETY67" s="3"/>
      <c r="ETZ67" s="3"/>
      <c r="EUA67" s="3"/>
      <c r="EUB67" s="3"/>
      <c r="EUC67" s="3"/>
      <c r="EUD67" s="3"/>
      <c r="EUE67" s="3"/>
      <c r="EUF67" s="3"/>
      <c r="EUG67" s="3"/>
      <c r="EUH67" s="3"/>
      <c r="EUI67" s="3"/>
      <c r="EUJ67" s="3"/>
      <c r="EUK67" s="3"/>
      <c r="EUL67" s="3"/>
      <c r="EUM67" s="3"/>
      <c r="EUN67" s="3"/>
      <c r="EUO67" s="3"/>
      <c r="EUP67" s="3"/>
      <c r="EUQ67" s="3"/>
      <c r="EUR67" s="3"/>
      <c r="EUS67" s="3"/>
      <c r="EUT67" s="3"/>
      <c r="EUU67" s="3"/>
      <c r="EUV67" s="3"/>
      <c r="EUW67" s="3"/>
      <c r="EUX67" s="3"/>
      <c r="EUY67" s="3"/>
      <c r="EUZ67" s="3"/>
      <c r="EVA67" s="3"/>
      <c r="EVB67" s="3"/>
      <c r="EVC67" s="3"/>
      <c r="EVD67" s="3"/>
      <c r="EVE67" s="3"/>
      <c r="EVF67" s="3"/>
      <c r="EVG67" s="3"/>
      <c r="EVH67" s="3"/>
      <c r="EVI67" s="3"/>
      <c r="EVJ67" s="3"/>
      <c r="EVK67" s="3"/>
      <c r="EVL67" s="3"/>
      <c r="EVM67" s="3"/>
      <c r="EVN67" s="3"/>
      <c r="EVO67" s="3"/>
      <c r="EVP67" s="3"/>
      <c r="EVQ67" s="3"/>
      <c r="EVR67" s="3"/>
      <c r="EVS67" s="3"/>
      <c r="EVT67" s="3"/>
      <c r="EVU67" s="3"/>
      <c r="EVV67" s="3"/>
      <c r="EVW67" s="3"/>
      <c r="EVX67" s="3"/>
      <c r="EVY67" s="3"/>
      <c r="EVZ67" s="3"/>
      <c r="EWA67" s="3"/>
      <c r="EWB67" s="3"/>
      <c r="EWC67" s="3"/>
      <c r="EWD67" s="3"/>
      <c r="EWE67" s="3"/>
      <c r="EWF67" s="3"/>
      <c r="EWG67" s="3"/>
      <c r="EWH67" s="3"/>
      <c r="EWI67" s="3"/>
      <c r="EWJ67" s="3"/>
      <c r="EWK67" s="3"/>
      <c r="EWL67" s="3"/>
      <c r="EWM67" s="3"/>
      <c r="EWN67" s="3"/>
      <c r="EWO67" s="3"/>
      <c r="EWP67" s="3"/>
      <c r="EWQ67" s="3"/>
      <c r="EWR67" s="3"/>
      <c r="EWS67" s="3"/>
      <c r="EWT67" s="3"/>
      <c r="EWU67" s="3"/>
      <c r="EWV67" s="3"/>
      <c r="EWW67" s="3"/>
      <c r="EWX67" s="3"/>
      <c r="EWY67" s="3"/>
      <c r="EWZ67" s="3"/>
      <c r="EXA67" s="3"/>
      <c r="EXB67" s="3"/>
      <c r="EXC67" s="3"/>
      <c r="EXD67" s="3"/>
      <c r="EXE67" s="3"/>
      <c r="EXF67" s="3"/>
      <c r="EXG67" s="3"/>
      <c r="EXH67" s="3"/>
      <c r="EXI67" s="3"/>
      <c r="EXJ67" s="3"/>
      <c r="EXK67" s="3"/>
      <c r="EXL67" s="3"/>
      <c r="EXM67" s="3"/>
      <c r="EXN67" s="3"/>
      <c r="EXO67" s="3"/>
      <c r="EXP67" s="3"/>
      <c r="EXQ67" s="3"/>
      <c r="EXR67" s="3"/>
      <c r="EXS67" s="3"/>
      <c r="EXT67" s="3"/>
      <c r="EXU67" s="3"/>
      <c r="EXV67" s="3"/>
      <c r="EXW67" s="3"/>
      <c r="EXX67" s="3"/>
      <c r="EXY67" s="3"/>
      <c r="EXZ67" s="3"/>
      <c r="EYA67" s="3"/>
      <c r="EYB67" s="3"/>
      <c r="EYC67" s="3"/>
      <c r="EYD67" s="3"/>
      <c r="EYE67" s="3"/>
      <c r="EYF67" s="3"/>
      <c r="EYG67" s="3"/>
      <c r="EYH67" s="3"/>
      <c r="EYI67" s="3"/>
      <c r="EYJ67" s="3"/>
      <c r="EYK67" s="3"/>
      <c r="EYL67" s="3"/>
      <c r="EYM67" s="3"/>
      <c r="EYN67" s="3"/>
      <c r="EYO67" s="3"/>
      <c r="EYP67" s="3"/>
      <c r="EYQ67" s="3"/>
      <c r="EYR67" s="3"/>
      <c r="EYS67" s="3"/>
      <c r="EYT67" s="3"/>
      <c r="EYU67" s="3"/>
      <c r="EYV67" s="3"/>
      <c r="EYW67" s="3"/>
      <c r="EYX67" s="3"/>
      <c r="EYY67" s="3"/>
      <c r="EYZ67" s="3"/>
      <c r="EZA67" s="3"/>
      <c r="EZB67" s="3"/>
      <c r="EZC67" s="3"/>
      <c r="EZD67" s="3"/>
      <c r="EZE67" s="3"/>
      <c r="EZF67" s="3"/>
      <c r="EZG67" s="3"/>
      <c r="EZH67" s="3"/>
      <c r="EZI67" s="3"/>
      <c r="EZJ67" s="3"/>
      <c r="EZK67" s="3"/>
      <c r="EZL67" s="3"/>
      <c r="EZM67" s="3"/>
      <c r="EZN67" s="3"/>
      <c r="EZO67" s="3"/>
      <c r="EZP67" s="3"/>
      <c r="EZQ67" s="3"/>
      <c r="EZR67" s="3"/>
      <c r="EZS67" s="3"/>
      <c r="EZT67" s="3"/>
      <c r="EZU67" s="3"/>
      <c r="EZV67" s="3"/>
      <c r="EZW67" s="3"/>
      <c r="EZX67" s="3"/>
      <c r="EZY67" s="3"/>
      <c r="EZZ67" s="3"/>
      <c r="FAA67" s="3"/>
      <c r="FAB67" s="3"/>
      <c r="FAC67" s="3"/>
      <c r="FAD67" s="3"/>
      <c r="FAE67" s="3"/>
      <c r="FAF67" s="3"/>
      <c r="FAG67" s="3"/>
      <c r="FAH67" s="3"/>
      <c r="FAI67" s="3"/>
      <c r="FAJ67" s="3"/>
      <c r="FAK67" s="3"/>
      <c r="FAL67" s="3"/>
      <c r="FAM67" s="3"/>
      <c r="FAN67" s="3"/>
      <c r="FAO67" s="3"/>
      <c r="FAP67" s="3"/>
      <c r="FAQ67" s="3"/>
      <c r="FAR67" s="3"/>
      <c r="FAS67" s="3"/>
      <c r="FAT67" s="3"/>
      <c r="FAU67" s="3"/>
      <c r="FAV67" s="3"/>
      <c r="FAW67" s="3"/>
      <c r="FAX67" s="3"/>
      <c r="FAY67" s="3"/>
      <c r="FAZ67" s="3"/>
      <c r="FBA67" s="3"/>
      <c r="FBB67" s="3"/>
      <c r="FBC67" s="3"/>
      <c r="FBD67" s="3"/>
      <c r="FBE67" s="3"/>
      <c r="FBF67" s="3"/>
      <c r="FBG67" s="3"/>
      <c r="FBH67" s="3"/>
      <c r="FBI67" s="3"/>
      <c r="FBJ67" s="3"/>
      <c r="FBK67" s="3"/>
      <c r="FBL67" s="3"/>
      <c r="FBM67" s="3"/>
      <c r="FBN67" s="3"/>
      <c r="FBO67" s="3"/>
      <c r="FBP67" s="3"/>
      <c r="FBQ67" s="3"/>
      <c r="FBR67" s="3"/>
      <c r="FBS67" s="3"/>
      <c r="FBT67" s="3"/>
      <c r="FBU67" s="3"/>
      <c r="FBV67" s="3"/>
      <c r="FBW67" s="3"/>
      <c r="FBX67" s="3"/>
      <c r="FBY67" s="3"/>
      <c r="FBZ67" s="3"/>
      <c r="FCA67" s="3"/>
      <c r="FCB67" s="3"/>
      <c r="FCC67" s="3"/>
      <c r="FCD67" s="3"/>
      <c r="FCE67" s="3"/>
      <c r="FCF67" s="3"/>
      <c r="FCG67" s="3"/>
      <c r="FCH67" s="3"/>
      <c r="FCI67" s="3"/>
      <c r="FCJ67" s="3"/>
      <c r="FCK67" s="3"/>
      <c r="FCL67" s="3"/>
      <c r="FCM67" s="3"/>
      <c r="FCN67" s="3"/>
      <c r="FCO67" s="3"/>
      <c r="FCP67" s="3"/>
      <c r="FCQ67" s="3"/>
      <c r="FCR67" s="3"/>
      <c r="FCS67" s="3"/>
      <c r="FCT67" s="3"/>
      <c r="FCU67" s="3"/>
      <c r="FCV67" s="3"/>
      <c r="FCW67" s="3"/>
      <c r="FCX67" s="3"/>
      <c r="FCY67" s="3"/>
      <c r="FCZ67" s="3"/>
      <c r="FDA67" s="3"/>
      <c r="FDB67" s="3"/>
      <c r="FDC67" s="3"/>
      <c r="FDD67" s="3"/>
      <c r="FDE67" s="3"/>
      <c r="FDF67" s="3"/>
      <c r="FDG67" s="3"/>
      <c r="FDH67" s="3"/>
      <c r="FDI67" s="3"/>
      <c r="FDJ67" s="3"/>
      <c r="FDK67" s="3"/>
      <c r="FDL67" s="3"/>
      <c r="FDM67" s="3"/>
      <c r="FDN67" s="3"/>
      <c r="FDO67" s="3"/>
      <c r="FDP67" s="3"/>
      <c r="FDQ67" s="3"/>
      <c r="FDR67" s="3"/>
      <c r="FDS67" s="3"/>
      <c r="FDT67" s="3"/>
      <c r="FDU67" s="3"/>
      <c r="FDV67" s="3"/>
      <c r="FDW67" s="3"/>
      <c r="FDX67" s="3"/>
      <c r="FDY67" s="3"/>
      <c r="FDZ67" s="3"/>
      <c r="FEA67" s="3"/>
      <c r="FEB67" s="3"/>
      <c r="FEC67" s="3"/>
      <c r="FED67" s="3"/>
      <c r="FEE67" s="3"/>
      <c r="FEF67" s="3"/>
      <c r="FEG67" s="3"/>
      <c r="FEH67" s="3"/>
      <c r="FEI67" s="3"/>
      <c r="FEJ67" s="3"/>
      <c r="FEK67" s="3"/>
      <c r="FEL67" s="3"/>
      <c r="FEM67" s="3"/>
      <c r="FEN67" s="3"/>
      <c r="FEO67" s="3"/>
      <c r="FEP67" s="3"/>
      <c r="FEQ67" s="3"/>
      <c r="FER67" s="3"/>
      <c r="FES67" s="3"/>
      <c r="FET67" s="3"/>
      <c r="FEU67" s="3"/>
      <c r="FEV67" s="3"/>
      <c r="FEW67" s="3"/>
      <c r="FEX67" s="3"/>
      <c r="FEY67" s="3"/>
      <c r="FEZ67" s="3"/>
      <c r="FFA67" s="3"/>
      <c r="FFB67" s="3"/>
      <c r="FFC67" s="3"/>
      <c r="FFD67" s="3"/>
      <c r="FFE67" s="3"/>
      <c r="FFF67" s="3"/>
      <c r="FFG67" s="3"/>
      <c r="FFH67" s="3"/>
      <c r="FFI67" s="3"/>
      <c r="FFJ67" s="3"/>
      <c r="FFK67" s="3"/>
      <c r="FFL67" s="3"/>
      <c r="FFM67" s="3"/>
      <c r="FFN67" s="3"/>
      <c r="FFO67" s="3"/>
      <c r="FFP67" s="3"/>
      <c r="FFQ67" s="3"/>
      <c r="FFR67" s="3"/>
      <c r="FFS67" s="3"/>
      <c r="FFT67" s="3"/>
      <c r="FFU67" s="3"/>
      <c r="FFV67" s="3"/>
      <c r="FFW67" s="3"/>
      <c r="FFX67" s="3"/>
      <c r="FFY67" s="3"/>
      <c r="FFZ67" s="3"/>
      <c r="FGA67" s="3"/>
      <c r="FGB67" s="3"/>
      <c r="FGC67" s="3"/>
      <c r="FGD67" s="3"/>
      <c r="FGE67" s="3"/>
      <c r="FGF67" s="3"/>
      <c r="FGG67" s="3"/>
      <c r="FGH67" s="3"/>
      <c r="FGI67" s="3"/>
      <c r="FGJ67" s="3"/>
      <c r="FGK67" s="3"/>
      <c r="FGL67" s="3"/>
      <c r="FGM67" s="3"/>
      <c r="FGN67" s="3"/>
      <c r="FGO67" s="3"/>
      <c r="FGP67" s="3"/>
      <c r="FGQ67" s="3"/>
      <c r="FGR67" s="3"/>
      <c r="FGS67" s="3"/>
      <c r="FGT67" s="3"/>
      <c r="FGU67" s="3"/>
      <c r="FGV67" s="3"/>
      <c r="FGW67" s="3"/>
      <c r="FGX67" s="3"/>
      <c r="FGY67" s="3"/>
      <c r="FGZ67" s="3"/>
      <c r="FHA67" s="3"/>
      <c r="FHB67" s="3"/>
      <c r="FHC67" s="3"/>
      <c r="FHD67" s="3"/>
      <c r="FHE67" s="3"/>
      <c r="FHF67" s="3"/>
      <c r="FHG67" s="3"/>
      <c r="FHH67" s="3"/>
      <c r="FHI67" s="3"/>
      <c r="FHJ67" s="3"/>
      <c r="FHK67" s="3"/>
      <c r="FHL67" s="3"/>
      <c r="FHM67" s="3"/>
      <c r="FHN67" s="3"/>
      <c r="FHO67" s="3"/>
      <c r="FHP67" s="3"/>
      <c r="FHQ67" s="3"/>
      <c r="FHR67" s="3"/>
      <c r="FHS67" s="3"/>
      <c r="FHT67" s="3"/>
      <c r="FHU67" s="3"/>
      <c r="FHV67" s="3"/>
      <c r="FHW67" s="3"/>
      <c r="FHX67" s="3"/>
      <c r="FHY67" s="3"/>
      <c r="FHZ67" s="3"/>
      <c r="FIA67" s="3"/>
      <c r="FIB67" s="3"/>
      <c r="FIC67" s="3"/>
      <c r="FID67" s="3"/>
      <c r="FIE67" s="3"/>
      <c r="FIF67" s="3"/>
      <c r="FIG67" s="3"/>
      <c r="FIH67" s="3"/>
      <c r="FII67" s="3"/>
      <c r="FIJ67" s="3"/>
      <c r="FIK67" s="3"/>
      <c r="FIL67" s="3"/>
      <c r="FIM67" s="3"/>
      <c r="FIN67" s="3"/>
      <c r="FIO67" s="3"/>
      <c r="FIP67" s="3"/>
      <c r="FIQ67" s="3"/>
      <c r="FIR67" s="3"/>
      <c r="FIS67" s="3"/>
      <c r="FIT67" s="3"/>
      <c r="FIU67" s="3"/>
      <c r="FIV67" s="3"/>
      <c r="FIW67" s="3"/>
      <c r="FIX67" s="3"/>
      <c r="FIY67" s="3"/>
      <c r="FIZ67" s="3"/>
      <c r="FJA67" s="3"/>
      <c r="FJB67" s="3"/>
      <c r="FJC67" s="3"/>
      <c r="FJD67" s="3"/>
      <c r="FJE67" s="3"/>
      <c r="FJF67" s="3"/>
      <c r="FJG67" s="3"/>
      <c r="FJH67" s="3"/>
      <c r="FJI67" s="3"/>
      <c r="FJJ67" s="3"/>
      <c r="FJK67" s="3"/>
      <c r="FJL67" s="3"/>
      <c r="FJM67" s="3"/>
      <c r="FJN67" s="3"/>
      <c r="FJO67" s="3"/>
      <c r="FJP67" s="3"/>
      <c r="FJQ67" s="3"/>
      <c r="FJR67" s="3"/>
      <c r="FJS67" s="3"/>
      <c r="FJT67" s="3"/>
      <c r="FJU67" s="3"/>
      <c r="FJV67" s="3"/>
      <c r="FJW67" s="3"/>
      <c r="FJX67" s="3"/>
      <c r="FJY67" s="3"/>
      <c r="FJZ67" s="3"/>
      <c r="FKA67" s="3"/>
      <c r="FKB67" s="3"/>
      <c r="FKC67" s="3"/>
      <c r="FKD67" s="3"/>
      <c r="FKE67" s="3"/>
      <c r="FKF67" s="3"/>
      <c r="FKG67" s="3"/>
      <c r="FKH67" s="3"/>
      <c r="FKI67" s="3"/>
      <c r="FKJ67" s="3"/>
      <c r="FKK67" s="3"/>
      <c r="FKL67" s="3"/>
      <c r="FKM67" s="3"/>
      <c r="FKN67" s="3"/>
      <c r="FKO67" s="3"/>
      <c r="FKP67" s="3"/>
      <c r="FKQ67" s="3"/>
      <c r="FKR67" s="3"/>
      <c r="FKS67" s="3"/>
      <c r="FKT67" s="3"/>
      <c r="FKU67" s="3"/>
      <c r="FKV67" s="3"/>
      <c r="FKW67" s="3"/>
      <c r="FKX67" s="3"/>
      <c r="FKY67" s="3"/>
      <c r="FKZ67" s="3"/>
      <c r="FLA67" s="3"/>
      <c r="FLB67" s="3"/>
      <c r="FLC67" s="3"/>
      <c r="FLD67" s="3"/>
      <c r="FLE67" s="3"/>
      <c r="FLF67" s="3"/>
      <c r="FLG67" s="3"/>
      <c r="FLH67" s="3"/>
      <c r="FLI67" s="3"/>
      <c r="FLJ67" s="3"/>
      <c r="FLK67" s="3"/>
      <c r="FLL67" s="3"/>
      <c r="FLM67" s="3"/>
      <c r="FLN67" s="3"/>
      <c r="FLO67" s="3"/>
      <c r="FLP67" s="3"/>
      <c r="FLQ67" s="3"/>
      <c r="FLR67" s="3"/>
      <c r="FLS67" s="3"/>
      <c r="FLT67" s="3"/>
      <c r="FLU67" s="3"/>
      <c r="FLV67" s="3"/>
      <c r="FLW67" s="3"/>
      <c r="FLX67" s="3"/>
      <c r="FLY67" s="3"/>
      <c r="FLZ67" s="3"/>
      <c r="FMA67" s="3"/>
      <c r="FMB67" s="3"/>
      <c r="FMC67" s="3"/>
      <c r="FMD67" s="3"/>
      <c r="FME67" s="3"/>
      <c r="FMF67" s="3"/>
      <c r="FMG67" s="3"/>
      <c r="FMH67" s="3"/>
      <c r="FMI67" s="3"/>
      <c r="FMJ67" s="3"/>
      <c r="FMK67" s="3"/>
      <c r="FML67" s="3"/>
      <c r="FMM67" s="3"/>
      <c r="FMN67" s="3"/>
      <c r="FMO67" s="3"/>
      <c r="FMP67" s="3"/>
      <c r="FMQ67" s="3"/>
      <c r="FMR67" s="3"/>
      <c r="FMS67" s="3"/>
      <c r="FMT67" s="3"/>
      <c r="FMU67" s="3"/>
      <c r="FMV67" s="3"/>
      <c r="FMW67" s="3"/>
      <c r="FMX67" s="3"/>
      <c r="FMY67" s="3"/>
      <c r="FMZ67" s="3"/>
      <c r="FNA67" s="3"/>
      <c r="FNB67" s="3"/>
      <c r="FNC67" s="3"/>
      <c r="FND67" s="3"/>
      <c r="FNE67" s="3"/>
      <c r="FNF67" s="3"/>
      <c r="FNG67" s="3"/>
      <c r="FNH67" s="3"/>
      <c r="FNI67" s="3"/>
      <c r="FNJ67" s="3"/>
      <c r="FNK67" s="3"/>
      <c r="FNL67" s="3"/>
      <c r="FNM67" s="3"/>
      <c r="FNN67" s="3"/>
      <c r="FNO67" s="3"/>
      <c r="FNP67" s="3"/>
      <c r="FNQ67" s="3"/>
      <c r="FNR67" s="3"/>
      <c r="FNS67" s="3"/>
      <c r="FNT67" s="3"/>
      <c r="FNU67" s="3"/>
      <c r="FNV67" s="3"/>
      <c r="FNW67" s="3"/>
      <c r="FNX67" s="3"/>
      <c r="FNY67" s="3"/>
      <c r="FNZ67" s="3"/>
      <c r="FOA67" s="3"/>
      <c r="FOB67" s="3"/>
      <c r="FOC67" s="3"/>
      <c r="FOD67" s="3"/>
      <c r="FOE67" s="3"/>
      <c r="FOF67" s="3"/>
      <c r="FOG67" s="3"/>
      <c r="FOH67" s="3"/>
      <c r="FOI67" s="3"/>
      <c r="FOJ67" s="3"/>
      <c r="FOK67" s="3"/>
      <c r="FOL67" s="3"/>
      <c r="FOM67" s="3"/>
      <c r="FON67" s="3"/>
      <c r="FOO67" s="3"/>
      <c r="FOP67" s="3"/>
      <c r="FOQ67" s="3"/>
      <c r="FOR67" s="3"/>
      <c r="FOS67" s="3"/>
      <c r="FOT67" s="3"/>
      <c r="FOU67" s="3"/>
      <c r="FOV67" s="3"/>
      <c r="FOW67" s="3"/>
      <c r="FOX67" s="3"/>
      <c r="FOY67" s="3"/>
      <c r="FOZ67" s="3"/>
      <c r="FPA67" s="3"/>
      <c r="FPB67" s="3"/>
      <c r="FPC67" s="3"/>
      <c r="FPD67" s="3"/>
      <c r="FPE67" s="3"/>
      <c r="FPF67" s="3"/>
      <c r="FPG67" s="3"/>
      <c r="FPH67" s="3"/>
      <c r="FPI67" s="3"/>
      <c r="FPJ67" s="3"/>
      <c r="FPK67" s="3"/>
      <c r="FPL67" s="3"/>
      <c r="FPM67" s="3"/>
      <c r="FPN67" s="3"/>
      <c r="FPO67" s="3"/>
      <c r="FPP67" s="3"/>
      <c r="FPQ67" s="3"/>
      <c r="FPR67" s="3"/>
      <c r="FPS67" s="3"/>
      <c r="FPT67" s="3"/>
      <c r="FPU67" s="3"/>
      <c r="FPV67" s="3"/>
      <c r="FPW67" s="3"/>
      <c r="FPX67" s="3"/>
      <c r="FPY67" s="3"/>
      <c r="FPZ67" s="3"/>
      <c r="FQA67" s="3"/>
      <c r="FQB67" s="3"/>
      <c r="FQC67" s="3"/>
      <c r="FQD67" s="3"/>
      <c r="FQE67" s="3"/>
      <c r="FQF67" s="3"/>
      <c r="FQG67" s="3"/>
      <c r="FQH67" s="3"/>
      <c r="FQI67" s="3"/>
      <c r="FQJ67" s="3"/>
      <c r="FQK67" s="3"/>
      <c r="FQL67" s="3"/>
      <c r="FQM67" s="3"/>
      <c r="FQN67" s="3"/>
      <c r="FQO67" s="3"/>
      <c r="FQP67" s="3"/>
      <c r="FQQ67" s="3"/>
      <c r="FQR67" s="3"/>
      <c r="FQS67" s="3"/>
      <c r="FQT67" s="3"/>
      <c r="FQU67" s="3"/>
      <c r="FQV67" s="3"/>
      <c r="FQW67" s="3"/>
      <c r="FQX67" s="3"/>
      <c r="FQY67" s="3"/>
      <c r="FQZ67" s="3"/>
      <c r="FRA67" s="3"/>
      <c r="FRB67" s="3"/>
      <c r="FRC67" s="3"/>
      <c r="FRD67" s="3"/>
      <c r="FRE67" s="3"/>
      <c r="FRF67" s="3"/>
      <c r="FRG67" s="3"/>
      <c r="FRH67" s="3"/>
      <c r="FRI67" s="3"/>
      <c r="FRJ67" s="3"/>
      <c r="FRK67" s="3"/>
      <c r="FRL67" s="3"/>
      <c r="FRM67" s="3"/>
      <c r="FRN67" s="3"/>
      <c r="FRO67" s="3"/>
      <c r="FRP67" s="3"/>
      <c r="FRQ67" s="3"/>
      <c r="FRR67" s="3"/>
      <c r="FRS67" s="3"/>
      <c r="FRT67" s="3"/>
      <c r="FRU67" s="3"/>
      <c r="FRV67" s="3"/>
      <c r="FRW67" s="3"/>
      <c r="FRX67" s="3"/>
      <c r="FRY67" s="3"/>
      <c r="FRZ67" s="3"/>
      <c r="FSA67" s="3"/>
      <c r="FSB67" s="3"/>
      <c r="FSC67" s="3"/>
      <c r="FSD67" s="3"/>
      <c r="FSE67" s="3"/>
      <c r="FSF67" s="3"/>
      <c r="FSG67" s="3"/>
      <c r="FSH67" s="3"/>
      <c r="FSI67" s="3"/>
      <c r="FSJ67" s="3"/>
      <c r="FSK67" s="3"/>
      <c r="FSL67" s="3"/>
      <c r="FSM67" s="3"/>
      <c r="FSN67" s="3"/>
      <c r="FSO67" s="3"/>
      <c r="FSP67" s="3"/>
      <c r="FSQ67" s="3"/>
      <c r="FSR67" s="3"/>
      <c r="FSS67" s="3"/>
      <c r="FST67" s="3"/>
      <c r="FSU67" s="3"/>
      <c r="FSV67" s="3"/>
      <c r="FSW67" s="3"/>
      <c r="FSX67" s="3"/>
      <c r="FSY67" s="3"/>
      <c r="FSZ67" s="3"/>
      <c r="FTA67" s="3"/>
      <c r="FTB67" s="3"/>
      <c r="FTC67" s="3"/>
      <c r="FTD67" s="3"/>
      <c r="FTE67" s="3"/>
      <c r="FTF67" s="3"/>
      <c r="FTG67" s="3"/>
      <c r="FTH67" s="3"/>
      <c r="FTI67" s="3"/>
      <c r="FTJ67" s="3"/>
      <c r="FTK67" s="3"/>
      <c r="FTL67" s="3"/>
      <c r="FTM67" s="3"/>
      <c r="FTN67" s="3"/>
      <c r="FTO67" s="3"/>
      <c r="FTP67" s="3"/>
      <c r="FTQ67" s="3"/>
      <c r="FTR67" s="3"/>
      <c r="FTS67" s="3"/>
      <c r="FTT67" s="3"/>
      <c r="FTU67" s="3"/>
      <c r="FTV67" s="3"/>
      <c r="FTW67" s="3"/>
      <c r="FTX67" s="3"/>
      <c r="FTY67" s="3"/>
      <c r="FTZ67" s="3"/>
      <c r="FUA67" s="3"/>
      <c r="FUB67" s="3"/>
      <c r="FUC67" s="3"/>
      <c r="FUD67" s="3"/>
      <c r="FUE67" s="3"/>
      <c r="FUF67" s="3"/>
      <c r="FUG67" s="3"/>
      <c r="FUH67" s="3"/>
      <c r="FUI67" s="3"/>
      <c r="FUJ67" s="3"/>
      <c r="FUK67" s="3"/>
      <c r="FUL67" s="3"/>
      <c r="FUM67" s="3"/>
      <c r="FUN67" s="3"/>
      <c r="FUO67" s="3"/>
      <c r="FUP67" s="3"/>
      <c r="FUQ67" s="3"/>
      <c r="FUR67" s="3"/>
      <c r="FUS67" s="3"/>
      <c r="FUT67" s="3"/>
      <c r="FUU67" s="3"/>
      <c r="FUV67" s="3"/>
      <c r="FUW67" s="3"/>
      <c r="FUX67" s="3"/>
      <c r="FUY67" s="3"/>
      <c r="FUZ67" s="3"/>
      <c r="FVA67" s="3"/>
      <c r="FVB67" s="3"/>
      <c r="FVC67" s="3"/>
      <c r="FVD67" s="3"/>
      <c r="FVE67" s="3"/>
      <c r="FVF67" s="3"/>
      <c r="FVG67" s="3"/>
      <c r="FVH67" s="3"/>
      <c r="FVI67" s="3"/>
      <c r="FVJ67" s="3"/>
      <c r="FVK67" s="3"/>
      <c r="FVL67" s="3"/>
      <c r="FVM67" s="3"/>
      <c r="FVN67" s="3"/>
      <c r="FVO67" s="3"/>
      <c r="FVP67" s="3"/>
      <c r="FVQ67" s="3"/>
      <c r="FVR67" s="3"/>
      <c r="FVS67" s="3"/>
      <c r="FVT67" s="3"/>
      <c r="FVU67" s="3"/>
      <c r="FVV67" s="3"/>
      <c r="FVW67" s="3"/>
      <c r="FVX67" s="3"/>
      <c r="FVY67" s="3"/>
      <c r="FVZ67" s="3"/>
      <c r="FWA67" s="3"/>
      <c r="FWB67" s="3"/>
      <c r="FWC67" s="3"/>
      <c r="FWD67" s="3"/>
      <c r="FWE67" s="3"/>
      <c r="FWF67" s="3"/>
      <c r="FWG67" s="3"/>
      <c r="FWH67" s="3"/>
      <c r="FWI67" s="3"/>
      <c r="FWJ67" s="3"/>
      <c r="FWK67" s="3"/>
      <c r="FWL67" s="3"/>
      <c r="FWM67" s="3"/>
      <c r="FWN67" s="3"/>
      <c r="FWO67" s="3"/>
      <c r="FWP67" s="3"/>
      <c r="FWQ67" s="3"/>
      <c r="FWR67" s="3"/>
      <c r="FWS67" s="3"/>
      <c r="FWT67" s="3"/>
      <c r="FWU67" s="3"/>
      <c r="FWV67" s="3"/>
      <c r="FWW67" s="3"/>
      <c r="FWX67" s="3"/>
      <c r="FWY67" s="3"/>
      <c r="FWZ67" s="3"/>
      <c r="FXA67" s="3"/>
      <c r="FXB67" s="3"/>
      <c r="FXC67" s="3"/>
      <c r="FXD67" s="3"/>
      <c r="FXE67" s="3"/>
      <c r="FXF67" s="3"/>
      <c r="FXG67" s="3"/>
      <c r="FXH67" s="3"/>
      <c r="FXI67" s="3"/>
      <c r="FXJ67" s="3"/>
      <c r="FXK67" s="3"/>
      <c r="FXL67" s="3"/>
      <c r="FXM67" s="3"/>
      <c r="FXN67" s="3"/>
      <c r="FXO67" s="3"/>
      <c r="FXP67" s="3"/>
      <c r="FXQ67" s="3"/>
      <c r="FXR67" s="3"/>
      <c r="FXS67" s="3"/>
      <c r="FXT67" s="3"/>
      <c r="FXU67" s="3"/>
      <c r="FXV67" s="3"/>
      <c r="FXW67" s="3"/>
      <c r="FXX67" s="3"/>
      <c r="FXY67" s="3"/>
      <c r="FXZ67" s="3"/>
      <c r="FYA67" s="3"/>
      <c r="FYB67" s="3"/>
      <c r="FYC67" s="3"/>
      <c r="FYD67" s="3"/>
      <c r="FYE67" s="3"/>
      <c r="FYF67" s="3"/>
      <c r="FYG67" s="3"/>
      <c r="FYH67" s="3"/>
      <c r="FYI67" s="3"/>
      <c r="FYJ67" s="3"/>
      <c r="FYK67" s="3"/>
      <c r="FYL67" s="3"/>
      <c r="FYM67" s="3"/>
      <c r="FYN67" s="3"/>
      <c r="FYO67" s="3"/>
      <c r="FYP67" s="3"/>
      <c r="FYQ67" s="3"/>
      <c r="FYR67" s="3"/>
      <c r="FYS67" s="3"/>
      <c r="FYT67" s="3"/>
      <c r="FYU67" s="3"/>
      <c r="FYV67" s="3"/>
      <c r="FYW67" s="3"/>
      <c r="FYX67" s="3"/>
      <c r="FYY67" s="3"/>
      <c r="FYZ67" s="3"/>
      <c r="FZA67" s="3"/>
      <c r="FZB67" s="3"/>
      <c r="FZC67" s="3"/>
      <c r="FZD67" s="3"/>
      <c r="FZE67" s="3"/>
      <c r="FZF67" s="3"/>
      <c r="FZG67" s="3"/>
      <c r="FZH67" s="3"/>
      <c r="FZI67" s="3"/>
      <c r="FZJ67" s="3"/>
      <c r="FZK67" s="3"/>
      <c r="FZL67" s="3"/>
      <c r="FZM67" s="3"/>
      <c r="FZN67" s="3"/>
      <c r="FZO67" s="3"/>
      <c r="FZP67" s="3"/>
      <c r="FZQ67" s="3"/>
      <c r="FZR67" s="3"/>
      <c r="FZS67" s="3"/>
      <c r="FZT67" s="3"/>
      <c r="FZU67" s="3"/>
      <c r="FZV67" s="3"/>
      <c r="FZW67" s="3"/>
      <c r="FZX67" s="3"/>
      <c r="FZY67" s="3"/>
      <c r="FZZ67" s="3"/>
      <c r="GAA67" s="3"/>
      <c r="GAB67" s="3"/>
      <c r="GAC67" s="3"/>
      <c r="GAD67" s="3"/>
      <c r="GAE67" s="3"/>
      <c r="GAF67" s="3"/>
      <c r="GAG67" s="3"/>
      <c r="GAH67" s="3"/>
      <c r="GAI67" s="3"/>
      <c r="GAJ67" s="3"/>
      <c r="GAK67" s="3"/>
      <c r="GAL67" s="3"/>
      <c r="GAM67" s="3"/>
      <c r="GAN67" s="3"/>
      <c r="GAO67" s="3"/>
      <c r="GAP67" s="3"/>
      <c r="GAQ67" s="3"/>
      <c r="GAR67" s="3"/>
      <c r="GAS67" s="3"/>
      <c r="GAT67" s="3"/>
      <c r="GAU67" s="3"/>
      <c r="GAV67" s="3"/>
      <c r="GAW67" s="3"/>
      <c r="GAX67" s="3"/>
      <c r="GAY67" s="3"/>
      <c r="GAZ67" s="3"/>
      <c r="GBA67" s="3"/>
      <c r="GBB67" s="3"/>
      <c r="GBC67" s="3"/>
      <c r="GBD67" s="3"/>
      <c r="GBE67" s="3"/>
      <c r="GBF67" s="3"/>
      <c r="GBG67" s="3"/>
      <c r="GBH67" s="3"/>
      <c r="GBI67" s="3"/>
      <c r="GBJ67" s="3"/>
      <c r="GBK67" s="3"/>
      <c r="GBL67" s="3"/>
      <c r="GBM67" s="3"/>
      <c r="GBN67" s="3"/>
      <c r="GBO67" s="3"/>
      <c r="GBP67" s="3"/>
      <c r="GBQ67" s="3"/>
      <c r="GBR67" s="3"/>
      <c r="GBS67" s="3"/>
      <c r="GBT67" s="3"/>
      <c r="GBU67" s="3"/>
      <c r="GBV67" s="3"/>
      <c r="GBW67" s="3"/>
      <c r="GBX67" s="3"/>
      <c r="GBY67" s="3"/>
      <c r="GBZ67" s="3"/>
      <c r="GCA67" s="3"/>
      <c r="GCB67" s="3"/>
      <c r="GCC67" s="3"/>
      <c r="GCD67" s="3"/>
      <c r="GCE67" s="3"/>
      <c r="GCF67" s="3"/>
      <c r="GCG67" s="3"/>
      <c r="GCH67" s="3"/>
      <c r="GCI67" s="3"/>
      <c r="GCJ67" s="3"/>
      <c r="GCK67" s="3"/>
      <c r="GCL67" s="3"/>
      <c r="GCM67" s="3"/>
      <c r="GCN67" s="3"/>
      <c r="GCO67" s="3"/>
      <c r="GCP67" s="3"/>
      <c r="GCQ67" s="3"/>
      <c r="GCR67" s="3"/>
      <c r="GCS67" s="3"/>
      <c r="GCT67" s="3"/>
      <c r="GCU67" s="3"/>
      <c r="GCV67" s="3"/>
      <c r="GCW67" s="3"/>
      <c r="GCX67" s="3"/>
      <c r="GCY67" s="3"/>
      <c r="GCZ67" s="3"/>
      <c r="GDA67" s="3"/>
      <c r="GDB67" s="3"/>
      <c r="GDC67" s="3"/>
      <c r="GDD67" s="3"/>
      <c r="GDE67" s="3"/>
      <c r="GDF67" s="3"/>
      <c r="GDG67" s="3"/>
      <c r="GDH67" s="3"/>
      <c r="GDI67" s="3"/>
      <c r="GDJ67" s="3"/>
      <c r="GDK67" s="3"/>
      <c r="GDL67" s="3"/>
      <c r="GDM67" s="3"/>
      <c r="GDN67" s="3"/>
      <c r="GDO67" s="3"/>
      <c r="GDP67" s="3"/>
      <c r="GDQ67" s="3"/>
      <c r="GDR67" s="3"/>
      <c r="GDS67" s="3"/>
      <c r="GDT67" s="3"/>
      <c r="GDU67" s="3"/>
      <c r="GDV67" s="3"/>
      <c r="GDW67" s="3"/>
      <c r="GDX67" s="3"/>
      <c r="GDY67" s="3"/>
      <c r="GDZ67" s="3"/>
      <c r="GEA67" s="3"/>
      <c r="GEB67" s="3"/>
      <c r="GEC67" s="3"/>
      <c r="GED67" s="3"/>
      <c r="GEE67" s="3"/>
      <c r="GEF67" s="3"/>
      <c r="GEG67" s="3"/>
      <c r="GEH67" s="3"/>
      <c r="GEI67" s="3"/>
      <c r="GEJ67" s="3"/>
      <c r="GEK67" s="3"/>
      <c r="GEL67" s="3"/>
      <c r="GEM67" s="3"/>
      <c r="GEN67" s="3"/>
      <c r="GEO67" s="3"/>
      <c r="GEP67" s="3"/>
      <c r="GEQ67" s="3"/>
      <c r="GER67" s="3"/>
      <c r="GES67" s="3"/>
      <c r="GET67" s="3"/>
      <c r="GEU67" s="3"/>
      <c r="GEV67" s="3"/>
      <c r="GEW67" s="3"/>
      <c r="GEX67" s="3"/>
      <c r="GEY67" s="3"/>
      <c r="GEZ67" s="3"/>
      <c r="GFA67" s="3"/>
      <c r="GFB67" s="3"/>
      <c r="GFC67" s="3"/>
      <c r="GFD67" s="3"/>
      <c r="GFE67" s="3"/>
      <c r="GFF67" s="3"/>
      <c r="GFG67" s="3"/>
      <c r="GFH67" s="3"/>
      <c r="GFI67" s="3"/>
      <c r="GFJ67" s="3"/>
      <c r="GFK67" s="3"/>
      <c r="GFL67" s="3"/>
      <c r="GFM67" s="3"/>
      <c r="GFN67" s="3"/>
      <c r="GFO67" s="3"/>
      <c r="GFP67" s="3"/>
      <c r="GFQ67" s="3"/>
      <c r="GFR67" s="3"/>
      <c r="GFS67" s="3"/>
      <c r="GFT67" s="3"/>
      <c r="GFU67" s="3"/>
      <c r="GFV67" s="3"/>
      <c r="GFW67" s="3"/>
      <c r="GFX67" s="3"/>
      <c r="GFY67" s="3"/>
      <c r="GFZ67" s="3"/>
      <c r="GGA67" s="3"/>
      <c r="GGB67" s="3"/>
      <c r="GGC67" s="3"/>
      <c r="GGD67" s="3"/>
      <c r="GGE67" s="3"/>
      <c r="GGF67" s="3"/>
      <c r="GGG67" s="3"/>
      <c r="GGH67" s="3"/>
      <c r="GGI67" s="3"/>
      <c r="GGJ67" s="3"/>
      <c r="GGK67" s="3"/>
      <c r="GGL67" s="3"/>
      <c r="GGM67" s="3"/>
      <c r="GGN67" s="3"/>
      <c r="GGO67" s="3"/>
      <c r="GGP67" s="3"/>
      <c r="GGQ67" s="3"/>
      <c r="GGR67" s="3"/>
      <c r="GGS67" s="3"/>
      <c r="GGT67" s="3"/>
      <c r="GGU67" s="3"/>
      <c r="GGV67" s="3"/>
      <c r="GGW67" s="3"/>
      <c r="GGX67" s="3"/>
      <c r="GGY67" s="3"/>
      <c r="GGZ67" s="3"/>
      <c r="GHA67" s="3"/>
      <c r="GHB67" s="3"/>
      <c r="GHC67" s="3"/>
      <c r="GHD67" s="3"/>
      <c r="GHE67" s="3"/>
      <c r="GHF67" s="3"/>
      <c r="GHG67" s="3"/>
      <c r="GHH67" s="3"/>
      <c r="GHI67" s="3"/>
      <c r="GHJ67" s="3"/>
      <c r="GHK67" s="3"/>
      <c r="GHL67" s="3"/>
      <c r="GHM67" s="3"/>
      <c r="GHN67" s="3"/>
      <c r="GHO67" s="3"/>
      <c r="GHP67" s="3"/>
      <c r="GHQ67" s="3"/>
      <c r="GHR67" s="3"/>
      <c r="GHS67" s="3"/>
      <c r="GHT67" s="3"/>
      <c r="GHU67" s="3"/>
      <c r="GHV67" s="3"/>
      <c r="GHW67" s="3"/>
      <c r="GHX67" s="3"/>
      <c r="GHY67" s="3"/>
      <c r="GHZ67" s="3"/>
      <c r="GIA67" s="3"/>
      <c r="GIB67" s="3"/>
      <c r="GIC67" s="3"/>
      <c r="GID67" s="3"/>
      <c r="GIE67" s="3"/>
      <c r="GIF67" s="3"/>
      <c r="GIG67" s="3"/>
      <c r="GIH67" s="3"/>
      <c r="GII67" s="3"/>
      <c r="GIJ67" s="3"/>
      <c r="GIK67" s="3"/>
      <c r="GIL67" s="3"/>
      <c r="GIM67" s="3"/>
      <c r="GIN67" s="3"/>
      <c r="GIO67" s="3"/>
      <c r="GIP67" s="3"/>
      <c r="GIQ67" s="3"/>
      <c r="GIR67" s="3"/>
      <c r="GIS67" s="3"/>
      <c r="GIT67" s="3"/>
      <c r="GIU67" s="3"/>
      <c r="GIV67" s="3"/>
      <c r="GIW67" s="3"/>
      <c r="GIX67" s="3"/>
      <c r="GIY67" s="3"/>
      <c r="GIZ67" s="3"/>
      <c r="GJA67" s="3"/>
      <c r="GJB67" s="3"/>
      <c r="GJC67" s="3"/>
      <c r="GJD67" s="3"/>
      <c r="GJE67" s="3"/>
      <c r="GJF67" s="3"/>
      <c r="GJG67" s="3"/>
      <c r="GJH67" s="3"/>
      <c r="GJI67" s="3"/>
      <c r="GJJ67" s="3"/>
      <c r="GJK67" s="3"/>
      <c r="GJL67" s="3"/>
      <c r="GJM67" s="3"/>
      <c r="GJN67" s="3"/>
      <c r="GJO67" s="3"/>
      <c r="GJP67" s="3"/>
      <c r="GJQ67" s="3"/>
      <c r="GJR67" s="3"/>
      <c r="GJS67" s="3"/>
      <c r="GJT67" s="3"/>
      <c r="GJU67" s="3"/>
      <c r="GJV67" s="3"/>
      <c r="GJW67" s="3"/>
      <c r="GJX67" s="3"/>
      <c r="GJY67" s="3"/>
      <c r="GJZ67" s="3"/>
      <c r="GKA67" s="3"/>
      <c r="GKB67" s="3"/>
      <c r="GKC67" s="3"/>
      <c r="GKD67" s="3"/>
      <c r="GKE67" s="3"/>
      <c r="GKF67" s="3"/>
      <c r="GKG67" s="3"/>
      <c r="GKH67" s="3"/>
      <c r="GKI67" s="3"/>
      <c r="GKJ67" s="3"/>
      <c r="GKK67" s="3"/>
      <c r="GKL67" s="3"/>
      <c r="GKM67" s="3"/>
      <c r="GKN67" s="3"/>
      <c r="GKO67" s="3"/>
      <c r="GKP67" s="3"/>
      <c r="GKQ67" s="3"/>
      <c r="GKR67" s="3"/>
      <c r="GKS67" s="3"/>
      <c r="GKT67" s="3"/>
      <c r="GKU67" s="3"/>
      <c r="GKV67" s="3"/>
      <c r="GKW67" s="3"/>
      <c r="GKX67" s="3"/>
      <c r="GKY67" s="3"/>
      <c r="GKZ67" s="3"/>
      <c r="GLA67" s="3"/>
      <c r="GLB67" s="3"/>
      <c r="GLC67" s="3"/>
      <c r="GLD67" s="3"/>
      <c r="GLE67" s="3"/>
      <c r="GLF67" s="3"/>
      <c r="GLG67" s="3"/>
      <c r="GLH67" s="3"/>
      <c r="GLI67" s="3"/>
      <c r="GLJ67" s="3"/>
      <c r="GLK67" s="3"/>
      <c r="GLL67" s="3"/>
      <c r="GLM67" s="3"/>
      <c r="GLN67" s="3"/>
      <c r="GLO67" s="3"/>
      <c r="GLP67" s="3"/>
      <c r="GLQ67" s="3"/>
      <c r="GLR67" s="3"/>
      <c r="GLS67" s="3"/>
      <c r="GLT67" s="3"/>
      <c r="GLU67" s="3"/>
      <c r="GLV67" s="3"/>
      <c r="GLW67" s="3"/>
      <c r="GLX67" s="3"/>
      <c r="GLY67" s="3"/>
      <c r="GLZ67" s="3"/>
      <c r="GMA67" s="3"/>
      <c r="GMB67" s="3"/>
      <c r="GMC67" s="3"/>
      <c r="GMD67" s="3"/>
      <c r="GME67" s="3"/>
      <c r="GMF67" s="3"/>
      <c r="GMG67" s="3"/>
      <c r="GMH67" s="3"/>
      <c r="GMI67" s="3"/>
      <c r="GMJ67" s="3"/>
      <c r="GMK67" s="3"/>
      <c r="GML67" s="3"/>
      <c r="GMM67" s="3"/>
      <c r="GMN67" s="3"/>
      <c r="GMO67" s="3"/>
      <c r="GMP67" s="3"/>
      <c r="GMQ67" s="3"/>
      <c r="GMR67" s="3"/>
      <c r="GMS67" s="3"/>
      <c r="GMT67" s="3"/>
      <c r="GMU67" s="3"/>
      <c r="GMV67" s="3"/>
      <c r="GMW67" s="3"/>
      <c r="GMX67" s="3"/>
      <c r="GMY67" s="3"/>
      <c r="GMZ67" s="3"/>
      <c r="GNA67" s="3"/>
      <c r="GNB67" s="3"/>
      <c r="GNC67" s="3"/>
      <c r="GND67" s="3"/>
      <c r="GNE67" s="3"/>
      <c r="GNF67" s="3"/>
      <c r="GNG67" s="3"/>
      <c r="GNH67" s="3"/>
      <c r="GNI67" s="3"/>
      <c r="GNJ67" s="3"/>
      <c r="GNK67" s="3"/>
      <c r="GNL67" s="3"/>
      <c r="GNM67" s="3"/>
      <c r="GNN67" s="3"/>
      <c r="GNO67" s="3"/>
      <c r="GNP67" s="3"/>
      <c r="GNQ67" s="3"/>
      <c r="GNR67" s="3"/>
      <c r="GNS67" s="3"/>
      <c r="GNT67" s="3"/>
      <c r="GNU67" s="3"/>
      <c r="GNV67" s="3"/>
      <c r="GNW67" s="3"/>
      <c r="GNX67" s="3"/>
      <c r="GNY67" s="3"/>
      <c r="GNZ67" s="3"/>
      <c r="GOA67" s="3"/>
      <c r="GOB67" s="3"/>
      <c r="GOC67" s="3"/>
      <c r="GOD67" s="3"/>
      <c r="GOE67" s="3"/>
      <c r="GOF67" s="3"/>
      <c r="GOG67" s="3"/>
      <c r="GOH67" s="3"/>
      <c r="GOI67" s="3"/>
      <c r="GOJ67" s="3"/>
      <c r="GOK67" s="3"/>
      <c r="GOL67" s="3"/>
      <c r="GOM67" s="3"/>
      <c r="GON67" s="3"/>
      <c r="GOO67" s="3"/>
      <c r="GOP67" s="3"/>
      <c r="GOQ67" s="3"/>
      <c r="GOR67" s="3"/>
      <c r="GOS67" s="3"/>
      <c r="GOT67" s="3"/>
      <c r="GOU67" s="3"/>
      <c r="GOV67" s="3"/>
      <c r="GOW67" s="3"/>
      <c r="GOX67" s="3"/>
      <c r="GOY67" s="3"/>
      <c r="GOZ67" s="3"/>
      <c r="GPA67" s="3"/>
      <c r="GPB67" s="3"/>
      <c r="GPC67" s="3"/>
      <c r="GPD67" s="3"/>
      <c r="GPE67" s="3"/>
      <c r="GPF67" s="3"/>
      <c r="GPG67" s="3"/>
      <c r="GPH67" s="3"/>
      <c r="GPI67" s="3"/>
      <c r="GPJ67" s="3"/>
      <c r="GPK67" s="3"/>
      <c r="GPL67" s="3"/>
      <c r="GPM67" s="3"/>
      <c r="GPN67" s="3"/>
      <c r="GPO67" s="3"/>
      <c r="GPP67" s="3"/>
      <c r="GPQ67" s="3"/>
      <c r="GPR67" s="3"/>
      <c r="GPS67" s="3"/>
      <c r="GPT67" s="3"/>
      <c r="GPU67" s="3"/>
      <c r="GPV67" s="3"/>
      <c r="GPW67" s="3"/>
      <c r="GPX67" s="3"/>
      <c r="GPY67" s="3"/>
      <c r="GPZ67" s="3"/>
      <c r="GQA67" s="3"/>
      <c r="GQB67" s="3"/>
      <c r="GQC67" s="3"/>
      <c r="GQD67" s="3"/>
      <c r="GQE67" s="3"/>
      <c r="GQF67" s="3"/>
      <c r="GQG67" s="3"/>
      <c r="GQH67" s="3"/>
      <c r="GQI67" s="3"/>
      <c r="GQJ67" s="3"/>
      <c r="GQK67" s="3"/>
      <c r="GQL67" s="3"/>
      <c r="GQM67" s="3"/>
      <c r="GQN67" s="3"/>
      <c r="GQO67" s="3"/>
      <c r="GQP67" s="3"/>
      <c r="GQQ67" s="3"/>
      <c r="GQR67" s="3"/>
      <c r="GQS67" s="3"/>
      <c r="GQT67" s="3"/>
      <c r="GQU67" s="3"/>
      <c r="GQV67" s="3"/>
      <c r="GQW67" s="3"/>
      <c r="GQX67" s="3"/>
      <c r="GQY67" s="3"/>
      <c r="GQZ67" s="3"/>
      <c r="GRA67" s="3"/>
      <c r="GRB67" s="3"/>
      <c r="GRC67" s="3"/>
      <c r="GRD67" s="3"/>
      <c r="GRE67" s="3"/>
      <c r="GRF67" s="3"/>
      <c r="GRG67" s="3"/>
      <c r="GRH67" s="3"/>
      <c r="GRI67" s="3"/>
      <c r="GRJ67" s="3"/>
      <c r="GRK67" s="3"/>
      <c r="GRL67" s="3"/>
      <c r="GRM67" s="3"/>
      <c r="GRN67" s="3"/>
      <c r="GRO67" s="3"/>
      <c r="GRP67" s="3"/>
      <c r="GRQ67" s="3"/>
      <c r="GRR67" s="3"/>
      <c r="GRS67" s="3"/>
      <c r="GRT67" s="3"/>
      <c r="GRU67" s="3"/>
      <c r="GRV67" s="3"/>
      <c r="GRW67" s="3"/>
      <c r="GRX67" s="3"/>
      <c r="GRY67" s="3"/>
      <c r="GRZ67" s="3"/>
      <c r="GSA67" s="3"/>
      <c r="GSB67" s="3"/>
      <c r="GSC67" s="3"/>
      <c r="GSD67" s="3"/>
      <c r="GSE67" s="3"/>
      <c r="GSF67" s="3"/>
      <c r="GSG67" s="3"/>
      <c r="GSH67" s="3"/>
      <c r="GSI67" s="3"/>
      <c r="GSJ67" s="3"/>
      <c r="GSK67" s="3"/>
      <c r="GSL67" s="3"/>
      <c r="GSM67" s="3"/>
      <c r="GSN67" s="3"/>
      <c r="GSO67" s="3"/>
      <c r="GSP67" s="3"/>
      <c r="GSQ67" s="3"/>
      <c r="GSR67" s="3"/>
      <c r="GSS67" s="3"/>
      <c r="GST67" s="3"/>
      <c r="GSU67" s="3"/>
      <c r="GSV67" s="3"/>
      <c r="GSW67" s="3"/>
      <c r="GSX67" s="3"/>
      <c r="GSY67" s="3"/>
      <c r="GSZ67" s="3"/>
      <c r="GTA67" s="3"/>
      <c r="GTB67" s="3"/>
      <c r="GTC67" s="3"/>
      <c r="GTD67" s="3"/>
      <c r="GTE67" s="3"/>
      <c r="GTF67" s="3"/>
      <c r="GTG67" s="3"/>
      <c r="GTH67" s="3"/>
      <c r="GTI67" s="3"/>
      <c r="GTJ67" s="3"/>
      <c r="GTK67" s="3"/>
      <c r="GTL67" s="3"/>
      <c r="GTM67" s="3"/>
      <c r="GTN67" s="3"/>
      <c r="GTO67" s="3"/>
      <c r="GTP67" s="3"/>
      <c r="GTQ67" s="3"/>
      <c r="GTR67" s="3"/>
      <c r="GTS67" s="3"/>
      <c r="GTT67" s="3"/>
      <c r="GTU67" s="3"/>
      <c r="GTV67" s="3"/>
      <c r="GTW67" s="3"/>
      <c r="GTX67" s="3"/>
      <c r="GTY67" s="3"/>
      <c r="GTZ67" s="3"/>
      <c r="GUA67" s="3"/>
      <c r="GUB67" s="3"/>
      <c r="GUC67" s="3"/>
      <c r="GUD67" s="3"/>
      <c r="GUE67" s="3"/>
      <c r="GUF67" s="3"/>
      <c r="GUG67" s="3"/>
      <c r="GUH67" s="3"/>
      <c r="GUI67" s="3"/>
      <c r="GUJ67" s="3"/>
      <c r="GUK67" s="3"/>
      <c r="GUL67" s="3"/>
      <c r="GUM67" s="3"/>
      <c r="GUN67" s="3"/>
      <c r="GUO67" s="3"/>
      <c r="GUP67" s="3"/>
      <c r="GUQ67" s="3"/>
      <c r="GUR67" s="3"/>
      <c r="GUS67" s="3"/>
      <c r="GUT67" s="3"/>
      <c r="GUU67" s="3"/>
      <c r="GUV67" s="3"/>
      <c r="GUW67" s="3"/>
      <c r="GUX67" s="3"/>
      <c r="GUY67" s="3"/>
      <c r="GUZ67" s="3"/>
      <c r="GVA67" s="3"/>
      <c r="GVB67" s="3"/>
      <c r="GVC67" s="3"/>
      <c r="GVD67" s="3"/>
      <c r="GVE67" s="3"/>
      <c r="GVF67" s="3"/>
      <c r="GVG67" s="3"/>
      <c r="GVH67" s="3"/>
      <c r="GVI67" s="3"/>
      <c r="GVJ67" s="3"/>
      <c r="GVK67" s="3"/>
      <c r="GVL67" s="3"/>
      <c r="GVM67" s="3"/>
      <c r="GVN67" s="3"/>
      <c r="GVO67" s="3"/>
      <c r="GVP67" s="3"/>
      <c r="GVQ67" s="3"/>
      <c r="GVR67" s="3"/>
      <c r="GVS67" s="3"/>
      <c r="GVT67" s="3"/>
      <c r="GVU67" s="3"/>
      <c r="GVV67" s="3"/>
      <c r="GVW67" s="3"/>
      <c r="GVX67" s="3"/>
      <c r="GVY67" s="3"/>
      <c r="GVZ67" s="3"/>
      <c r="GWA67" s="3"/>
      <c r="GWB67" s="3"/>
      <c r="GWC67" s="3"/>
      <c r="GWD67" s="3"/>
      <c r="GWE67" s="3"/>
      <c r="GWF67" s="3"/>
      <c r="GWG67" s="3"/>
      <c r="GWH67" s="3"/>
      <c r="GWI67" s="3"/>
      <c r="GWJ67" s="3"/>
      <c r="GWK67" s="3"/>
      <c r="GWL67" s="3"/>
      <c r="GWM67" s="3"/>
      <c r="GWN67" s="3"/>
      <c r="GWO67" s="3"/>
      <c r="GWP67" s="3"/>
      <c r="GWQ67" s="3"/>
      <c r="GWR67" s="3"/>
      <c r="GWS67" s="3"/>
      <c r="GWT67" s="3"/>
      <c r="GWU67" s="3"/>
      <c r="GWV67" s="3"/>
      <c r="GWW67" s="3"/>
      <c r="GWX67" s="3"/>
      <c r="GWY67" s="3"/>
      <c r="GWZ67" s="3"/>
      <c r="GXA67" s="3"/>
      <c r="GXB67" s="3"/>
      <c r="GXC67" s="3"/>
      <c r="GXD67" s="3"/>
      <c r="GXE67" s="3"/>
      <c r="GXF67" s="3"/>
      <c r="GXG67" s="3"/>
      <c r="GXH67" s="3"/>
      <c r="GXI67" s="3"/>
      <c r="GXJ67" s="3"/>
      <c r="GXK67" s="3"/>
      <c r="GXL67" s="3"/>
      <c r="GXM67" s="3"/>
      <c r="GXN67" s="3"/>
      <c r="GXO67" s="3"/>
      <c r="GXP67" s="3"/>
      <c r="GXQ67" s="3"/>
      <c r="GXR67" s="3"/>
      <c r="GXS67" s="3"/>
      <c r="GXT67" s="3"/>
      <c r="GXU67" s="3"/>
      <c r="GXV67" s="3"/>
      <c r="GXW67" s="3"/>
      <c r="GXX67" s="3"/>
      <c r="GXY67" s="3"/>
      <c r="GXZ67" s="3"/>
      <c r="GYA67" s="3"/>
      <c r="GYB67" s="3"/>
      <c r="GYC67" s="3"/>
      <c r="GYD67" s="3"/>
      <c r="GYE67" s="3"/>
      <c r="GYF67" s="3"/>
      <c r="GYG67" s="3"/>
      <c r="GYH67" s="3"/>
      <c r="GYI67" s="3"/>
      <c r="GYJ67" s="3"/>
      <c r="GYK67" s="3"/>
      <c r="GYL67" s="3"/>
      <c r="GYM67" s="3"/>
      <c r="GYN67" s="3"/>
      <c r="GYO67" s="3"/>
      <c r="GYP67" s="3"/>
      <c r="GYQ67" s="3"/>
      <c r="GYR67" s="3"/>
      <c r="GYS67" s="3"/>
      <c r="GYT67" s="3"/>
      <c r="GYU67" s="3"/>
      <c r="GYV67" s="3"/>
      <c r="GYW67" s="3"/>
      <c r="GYX67" s="3"/>
      <c r="GYY67" s="3"/>
      <c r="GYZ67" s="3"/>
      <c r="GZA67" s="3"/>
      <c r="GZB67" s="3"/>
      <c r="GZC67" s="3"/>
      <c r="GZD67" s="3"/>
      <c r="GZE67" s="3"/>
      <c r="GZF67" s="3"/>
      <c r="GZG67" s="3"/>
      <c r="GZH67" s="3"/>
      <c r="GZI67" s="3"/>
      <c r="GZJ67" s="3"/>
      <c r="GZK67" s="3"/>
      <c r="GZL67" s="3"/>
      <c r="GZM67" s="3"/>
      <c r="GZN67" s="3"/>
      <c r="GZO67" s="3"/>
      <c r="GZP67" s="3"/>
      <c r="GZQ67" s="3"/>
      <c r="GZR67" s="3"/>
      <c r="GZS67" s="3"/>
      <c r="GZT67" s="3"/>
      <c r="GZU67" s="3"/>
      <c r="GZV67" s="3"/>
      <c r="GZW67" s="3"/>
      <c r="GZX67" s="3"/>
      <c r="GZY67" s="3"/>
      <c r="GZZ67" s="3"/>
      <c r="HAA67" s="3"/>
      <c r="HAB67" s="3"/>
      <c r="HAC67" s="3"/>
      <c r="HAD67" s="3"/>
      <c r="HAE67" s="3"/>
      <c r="HAF67" s="3"/>
      <c r="HAG67" s="3"/>
      <c r="HAH67" s="3"/>
      <c r="HAI67" s="3"/>
      <c r="HAJ67" s="3"/>
      <c r="HAK67" s="3"/>
      <c r="HAL67" s="3"/>
      <c r="HAM67" s="3"/>
      <c r="HAN67" s="3"/>
      <c r="HAO67" s="3"/>
      <c r="HAP67" s="3"/>
      <c r="HAQ67" s="3"/>
      <c r="HAR67" s="3"/>
      <c r="HAS67" s="3"/>
      <c r="HAT67" s="3"/>
      <c r="HAU67" s="3"/>
      <c r="HAV67" s="3"/>
      <c r="HAW67" s="3"/>
      <c r="HAX67" s="3"/>
      <c r="HAY67" s="3"/>
      <c r="HAZ67" s="3"/>
      <c r="HBA67" s="3"/>
      <c r="HBB67" s="3"/>
      <c r="HBC67" s="3"/>
      <c r="HBD67" s="3"/>
      <c r="HBE67" s="3"/>
      <c r="HBF67" s="3"/>
      <c r="HBG67" s="3"/>
      <c r="HBH67" s="3"/>
      <c r="HBI67" s="3"/>
      <c r="HBJ67" s="3"/>
      <c r="HBK67" s="3"/>
      <c r="HBL67" s="3"/>
      <c r="HBM67" s="3"/>
      <c r="HBN67" s="3"/>
      <c r="HBO67" s="3"/>
      <c r="HBP67" s="3"/>
      <c r="HBQ67" s="3"/>
      <c r="HBR67" s="3"/>
      <c r="HBS67" s="3"/>
      <c r="HBT67" s="3"/>
      <c r="HBU67" s="3"/>
      <c r="HBV67" s="3"/>
      <c r="HBW67" s="3"/>
      <c r="HBX67" s="3"/>
      <c r="HBY67" s="3"/>
      <c r="HBZ67" s="3"/>
      <c r="HCA67" s="3"/>
      <c r="HCB67" s="3"/>
      <c r="HCC67" s="3"/>
      <c r="HCD67" s="3"/>
      <c r="HCE67" s="3"/>
      <c r="HCF67" s="3"/>
      <c r="HCG67" s="3"/>
      <c r="HCH67" s="3"/>
      <c r="HCI67" s="3"/>
      <c r="HCJ67" s="3"/>
      <c r="HCK67" s="3"/>
      <c r="HCL67" s="3"/>
      <c r="HCM67" s="3"/>
      <c r="HCN67" s="3"/>
      <c r="HCO67" s="3"/>
      <c r="HCP67" s="3"/>
      <c r="HCQ67" s="3"/>
      <c r="HCR67" s="3"/>
      <c r="HCS67" s="3"/>
      <c r="HCT67" s="3"/>
      <c r="HCU67" s="3"/>
      <c r="HCV67" s="3"/>
      <c r="HCW67" s="3"/>
      <c r="HCX67" s="3"/>
      <c r="HCY67" s="3"/>
      <c r="HCZ67" s="3"/>
      <c r="HDA67" s="3"/>
      <c r="HDB67" s="3"/>
      <c r="HDC67" s="3"/>
      <c r="HDD67" s="3"/>
      <c r="HDE67" s="3"/>
      <c r="HDF67" s="3"/>
      <c r="HDG67" s="3"/>
      <c r="HDH67" s="3"/>
      <c r="HDI67" s="3"/>
      <c r="HDJ67" s="3"/>
      <c r="HDK67" s="3"/>
      <c r="HDL67" s="3"/>
      <c r="HDM67" s="3"/>
      <c r="HDN67" s="3"/>
      <c r="HDO67" s="3"/>
      <c r="HDP67" s="3"/>
      <c r="HDQ67" s="3"/>
      <c r="HDR67" s="3"/>
      <c r="HDS67" s="3"/>
      <c r="HDT67" s="3"/>
      <c r="HDU67" s="3"/>
      <c r="HDV67" s="3"/>
      <c r="HDW67" s="3"/>
      <c r="HDX67" s="3"/>
      <c r="HDY67" s="3"/>
      <c r="HDZ67" s="3"/>
      <c r="HEA67" s="3"/>
      <c r="HEB67" s="3"/>
      <c r="HEC67" s="3"/>
      <c r="HED67" s="3"/>
      <c r="HEE67" s="3"/>
      <c r="HEF67" s="3"/>
      <c r="HEG67" s="3"/>
      <c r="HEH67" s="3"/>
      <c r="HEI67" s="3"/>
      <c r="HEJ67" s="3"/>
      <c r="HEK67" s="3"/>
      <c r="HEL67" s="3"/>
      <c r="HEM67" s="3"/>
      <c r="HEN67" s="3"/>
      <c r="HEO67" s="3"/>
      <c r="HEP67" s="3"/>
      <c r="HEQ67" s="3"/>
      <c r="HER67" s="3"/>
      <c r="HES67" s="3"/>
      <c r="HET67" s="3"/>
      <c r="HEU67" s="3"/>
      <c r="HEV67" s="3"/>
      <c r="HEW67" s="3"/>
      <c r="HEX67" s="3"/>
      <c r="HEY67" s="3"/>
      <c r="HEZ67" s="3"/>
      <c r="HFA67" s="3"/>
      <c r="HFB67" s="3"/>
      <c r="HFC67" s="3"/>
      <c r="HFD67" s="3"/>
      <c r="HFE67" s="3"/>
      <c r="HFF67" s="3"/>
      <c r="HFG67" s="3"/>
      <c r="HFH67" s="3"/>
      <c r="HFI67" s="3"/>
      <c r="HFJ67" s="3"/>
      <c r="HFK67" s="3"/>
      <c r="HFL67" s="3"/>
      <c r="HFM67" s="3"/>
      <c r="HFN67" s="3"/>
      <c r="HFO67" s="3"/>
      <c r="HFP67" s="3"/>
      <c r="HFQ67" s="3"/>
      <c r="HFR67" s="3"/>
      <c r="HFS67" s="3"/>
      <c r="HFT67" s="3"/>
      <c r="HFU67" s="3"/>
      <c r="HFV67" s="3"/>
      <c r="HFW67" s="3"/>
      <c r="HFX67" s="3"/>
      <c r="HFY67" s="3"/>
      <c r="HFZ67" s="3"/>
      <c r="HGA67" s="3"/>
      <c r="HGB67" s="3"/>
      <c r="HGC67" s="3"/>
      <c r="HGD67" s="3"/>
      <c r="HGE67" s="3"/>
      <c r="HGF67" s="3"/>
      <c r="HGG67" s="3"/>
      <c r="HGH67" s="3"/>
      <c r="HGI67" s="3"/>
      <c r="HGJ67" s="3"/>
      <c r="HGK67" s="3"/>
      <c r="HGL67" s="3"/>
      <c r="HGM67" s="3"/>
      <c r="HGN67" s="3"/>
      <c r="HGO67" s="3"/>
      <c r="HGP67" s="3"/>
      <c r="HGQ67" s="3"/>
      <c r="HGR67" s="3"/>
      <c r="HGS67" s="3"/>
      <c r="HGT67" s="3"/>
      <c r="HGU67" s="3"/>
      <c r="HGV67" s="3"/>
      <c r="HGW67" s="3"/>
      <c r="HGX67" s="3"/>
      <c r="HGY67" s="3"/>
      <c r="HGZ67" s="3"/>
      <c r="HHA67" s="3"/>
      <c r="HHB67" s="3"/>
      <c r="HHC67" s="3"/>
      <c r="HHD67" s="3"/>
      <c r="HHE67" s="3"/>
      <c r="HHF67" s="3"/>
      <c r="HHG67" s="3"/>
      <c r="HHH67" s="3"/>
      <c r="HHI67" s="3"/>
      <c r="HHJ67" s="3"/>
      <c r="HHK67" s="3"/>
      <c r="HHL67" s="3"/>
      <c r="HHM67" s="3"/>
      <c r="HHN67" s="3"/>
      <c r="HHO67" s="3"/>
      <c r="HHP67" s="3"/>
      <c r="HHQ67" s="3"/>
      <c r="HHR67" s="3"/>
      <c r="HHS67" s="3"/>
      <c r="HHT67" s="3"/>
      <c r="HHU67" s="3"/>
      <c r="HHV67" s="3"/>
      <c r="HHW67" s="3"/>
      <c r="HHX67" s="3"/>
      <c r="HHY67" s="3"/>
      <c r="HHZ67" s="3"/>
      <c r="HIA67" s="3"/>
      <c r="HIB67" s="3"/>
      <c r="HIC67" s="3"/>
      <c r="HID67" s="3"/>
      <c r="HIE67" s="3"/>
      <c r="HIF67" s="3"/>
      <c r="HIG67" s="3"/>
      <c r="HIH67" s="3"/>
      <c r="HII67" s="3"/>
      <c r="HIJ67" s="3"/>
      <c r="HIK67" s="3"/>
      <c r="HIL67" s="3"/>
      <c r="HIM67" s="3"/>
      <c r="HIN67" s="3"/>
      <c r="HIO67" s="3"/>
      <c r="HIP67" s="3"/>
      <c r="HIQ67" s="3"/>
      <c r="HIR67" s="3"/>
      <c r="HIS67" s="3"/>
      <c r="HIT67" s="3"/>
      <c r="HIU67" s="3"/>
      <c r="HIV67" s="3"/>
      <c r="HIW67" s="3"/>
      <c r="HIX67" s="3"/>
      <c r="HIY67" s="3"/>
      <c r="HIZ67" s="3"/>
      <c r="HJA67" s="3"/>
      <c r="HJB67" s="3"/>
      <c r="HJC67" s="3"/>
      <c r="HJD67" s="3"/>
      <c r="HJE67" s="3"/>
      <c r="HJF67" s="3"/>
      <c r="HJG67" s="3"/>
      <c r="HJH67" s="3"/>
      <c r="HJI67" s="3"/>
      <c r="HJJ67" s="3"/>
      <c r="HJK67" s="3"/>
      <c r="HJL67" s="3"/>
      <c r="HJM67" s="3"/>
      <c r="HJN67" s="3"/>
      <c r="HJO67" s="3"/>
      <c r="HJP67" s="3"/>
      <c r="HJQ67" s="3"/>
      <c r="HJR67" s="3"/>
      <c r="HJS67" s="3"/>
      <c r="HJT67" s="3"/>
      <c r="HJU67" s="3"/>
      <c r="HJV67" s="3"/>
      <c r="HJW67" s="3"/>
      <c r="HJX67" s="3"/>
      <c r="HJY67" s="3"/>
      <c r="HJZ67" s="3"/>
      <c r="HKA67" s="3"/>
      <c r="HKB67" s="3"/>
      <c r="HKC67" s="3"/>
      <c r="HKD67" s="3"/>
      <c r="HKE67" s="3"/>
      <c r="HKF67" s="3"/>
      <c r="HKG67" s="3"/>
      <c r="HKH67" s="3"/>
      <c r="HKI67" s="3"/>
      <c r="HKJ67" s="3"/>
      <c r="HKK67" s="3"/>
      <c r="HKL67" s="3"/>
      <c r="HKM67" s="3"/>
      <c r="HKN67" s="3"/>
      <c r="HKO67" s="3"/>
      <c r="HKP67" s="3"/>
      <c r="HKQ67" s="3"/>
      <c r="HKR67" s="3"/>
      <c r="HKS67" s="3"/>
      <c r="HKT67" s="3"/>
      <c r="HKU67" s="3"/>
      <c r="HKV67" s="3"/>
      <c r="HKW67" s="3"/>
      <c r="HKX67" s="3"/>
      <c r="HKY67" s="3"/>
      <c r="HKZ67" s="3"/>
      <c r="HLA67" s="3"/>
      <c r="HLB67" s="3"/>
      <c r="HLC67" s="3"/>
      <c r="HLD67" s="3"/>
      <c r="HLE67" s="3"/>
      <c r="HLF67" s="3"/>
      <c r="HLG67" s="3"/>
      <c r="HLH67" s="3"/>
      <c r="HLI67" s="3"/>
      <c r="HLJ67" s="3"/>
      <c r="HLK67" s="3"/>
      <c r="HLL67" s="3"/>
      <c r="HLM67" s="3"/>
      <c r="HLN67" s="3"/>
      <c r="HLO67" s="3"/>
      <c r="HLP67" s="3"/>
      <c r="HLQ67" s="3"/>
      <c r="HLR67" s="3"/>
      <c r="HLS67" s="3"/>
      <c r="HLT67" s="3"/>
      <c r="HLU67" s="3"/>
      <c r="HLV67" s="3"/>
      <c r="HLW67" s="3"/>
      <c r="HLX67" s="3"/>
      <c r="HLY67" s="3"/>
      <c r="HLZ67" s="3"/>
      <c r="HMA67" s="3"/>
      <c r="HMB67" s="3"/>
      <c r="HMC67" s="3"/>
      <c r="HMD67" s="3"/>
      <c r="HME67" s="3"/>
      <c r="HMF67" s="3"/>
      <c r="HMG67" s="3"/>
      <c r="HMH67" s="3"/>
      <c r="HMI67" s="3"/>
      <c r="HMJ67" s="3"/>
      <c r="HMK67" s="3"/>
      <c r="HML67" s="3"/>
      <c r="HMM67" s="3"/>
      <c r="HMN67" s="3"/>
      <c r="HMO67" s="3"/>
      <c r="HMP67" s="3"/>
      <c r="HMQ67" s="3"/>
      <c r="HMR67" s="3"/>
      <c r="HMS67" s="3"/>
      <c r="HMT67" s="3"/>
      <c r="HMU67" s="3"/>
      <c r="HMV67" s="3"/>
      <c r="HMW67" s="3"/>
      <c r="HMX67" s="3"/>
      <c r="HMY67" s="3"/>
      <c r="HMZ67" s="3"/>
      <c r="HNA67" s="3"/>
      <c r="HNB67" s="3"/>
      <c r="HNC67" s="3"/>
      <c r="HND67" s="3"/>
      <c r="HNE67" s="3"/>
      <c r="HNF67" s="3"/>
      <c r="HNG67" s="3"/>
      <c r="HNH67" s="3"/>
      <c r="HNI67" s="3"/>
      <c r="HNJ67" s="3"/>
      <c r="HNK67" s="3"/>
      <c r="HNL67" s="3"/>
      <c r="HNM67" s="3"/>
      <c r="HNN67" s="3"/>
      <c r="HNO67" s="3"/>
      <c r="HNP67" s="3"/>
      <c r="HNQ67" s="3"/>
      <c r="HNR67" s="3"/>
      <c r="HNS67" s="3"/>
      <c r="HNT67" s="3"/>
      <c r="HNU67" s="3"/>
      <c r="HNV67" s="3"/>
      <c r="HNW67" s="3"/>
      <c r="HNX67" s="3"/>
      <c r="HNY67" s="3"/>
      <c r="HNZ67" s="3"/>
      <c r="HOA67" s="3"/>
      <c r="HOB67" s="3"/>
      <c r="HOC67" s="3"/>
      <c r="HOD67" s="3"/>
      <c r="HOE67" s="3"/>
      <c r="HOF67" s="3"/>
      <c r="HOG67" s="3"/>
      <c r="HOH67" s="3"/>
      <c r="HOI67" s="3"/>
      <c r="HOJ67" s="3"/>
      <c r="HOK67" s="3"/>
      <c r="HOL67" s="3"/>
      <c r="HOM67" s="3"/>
      <c r="HON67" s="3"/>
      <c r="HOO67" s="3"/>
      <c r="HOP67" s="3"/>
      <c r="HOQ67" s="3"/>
      <c r="HOR67" s="3"/>
      <c r="HOS67" s="3"/>
      <c r="HOT67" s="3"/>
      <c r="HOU67" s="3"/>
      <c r="HOV67" s="3"/>
      <c r="HOW67" s="3"/>
      <c r="HOX67" s="3"/>
      <c r="HOY67" s="3"/>
      <c r="HOZ67" s="3"/>
      <c r="HPA67" s="3"/>
      <c r="HPB67" s="3"/>
      <c r="HPC67" s="3"/>
      <c r="HPD67" s="3"/>
      <c r="HPE67" s="3"/>
      <c r="HPF67" s="3"/>
      <c r="HPG67" s="3"/>
      <c r="HPH67" s="3"/>
      <c r="HPI67" s="3"/>
      <c r="HPJ67" s="3"/>
      <c r="HPK67" s="3"/>
      <c r="HPL67" s="3"/>
      <c r="HPM67" s="3"/>
      <c r="HPN67" s="3"/>
      <c r="HPO67" s="3"/>
      <c r="HPP67" s="3"/>
      <c r="HPQ67" s="3"/>
      <c r="HPR67" s="3"/>
      <c r="HPS67" s="3"/>
      <c r="HPT67" s="3"/>
      <c r="HPU67" s="3"/>
      <c r="HPV67" s="3"/>
      <c r="HPW67" s="3"/>
      <c r="HPX67" s="3"/>
      <c r="HPY67" s="3"/>
      <c r="HPZ67" s="3"/>
      <c r="HQA67" s="3"/>
      <c r="HQB67" s="3"/>
      <c r="HQC67" s="3"/>
      <c r="HQD67" s="3"/>
      <c r="HQE67" s="3"/>
      <c r="HQF67" s="3"/>
      <c r="HQG67" s="3"/>
      <c r="HQH67" s="3"/>
      <c r="HQI67" s="3"/>
      <c r="HQJ67" s="3"/>
      <c r="HQK67" s="3"/>
      <c r="HQL67" s="3"/>
      <c r="HQM67" s="3"/>
      <c r="HQN67" s="3"/>
      <c r="HQO67" s="3"/>
      <c r="HQP67" s="3"/>
      <c r="HQQ67" s="3"/>
      <c r="HQR67" s="3"/>
      <c r="HQS67" s="3"/>
      <c r="HQT67" s="3"/>
      <c r="HQU67" s="3"/>
      <c r="HQV67" s="3"/>
      <c r="HQW67" s="3"/>
      <c r="HQX67" s="3"/>
      <c r="HQY67" s="3"/>
      <c r="HQZ67" s="3"/>
      <c r="HRA67" s="3"/>
      <c r="HRB67" s="3"/>
      <c r="HRC67" s="3"/>
      <c r="HRD67" s="3"/>
      <c r="HRE67" s="3"/>
      <c r="HRF67" s="3"/>
      <c r="HRG67" s="3"/>
      <c r="HRH67" s="3"/>
      <c r="HRI67" s="3"/>
      <c r="HRJ67" s="3"/>
      <c r="HRK67" s="3"/>
      <c r="HRL67" s="3"/>
      <c r="HRM67" s="3"/>
      <c r="HRN67" s="3"/>
      <c r="HRO67" s="3"/>
      <c r="HRP67" s="3"/>
      <c r="HRQ67" s="3"/>
      <c r="HRR67" s="3"/>
      <c r="HRS67" s="3"/>
      <c r="HRT67" s="3"/>
      <c r="HRU67" s="3"/>
      <c r="HRV67" s="3"/>
      <c r="HRW67" s="3"/>
      <c r="HRX67" s="3"/>
      <c r="HRY67" s="3"/>
      <c r="HRZ67" s="3"/>
      <c r="HSA67" s="3"/>
      <c r="HSB67" s="3"/>
      <c r="HSC67" s="3"/>
      <c r="HSD67" s="3"/>
      <c r="HSE67" s="3"/>
      <c r="HSF67" s="3"/>
      <c r="HSG67" s="3"/>
      <c r="HSH67" s="3"/>
      <c r="HSI67" s="3"/>
      <c r="HSJ67" s="3"/>
      <c r="HSK67" s="3"/>
      <c r="HSL67" s="3"/>
      <c r="HSM67" s="3"/>
      <c r="HSN67" s="3"/>
      <c r="HSO67" s="3"/>
      <c r="HSP67" s="3"/>
      <c r="HSQ67" s="3"/>
      <c r="HSR67" s="3"/>
      <c r="HSS67" s="3"/>
      <c r="HST67" s="3"/>
      <c r="HSU67" s="3"/>
      <c r="HSV67" s="3"/>
      <c r="HSW67" s="3"/>
      <c r="HSX67" s="3"/>
      <c r="HSY67" s="3"/>
      <c r="HSZ67" s="3"/>
      <c r="HTA67" s="3"/>
      <c r="HTB67" s="3"/>
      <c r="HTC67" s="3"/>
      <c r="HTD67" s="3"/>
      <c r="HTE67" s="3"/>
      <c r="HTF67" s="3"/>
      <c r="HTG67" s="3"/>
      <c r="HTH67" s="3"/>
      <c r="HTI67" s="3"/>
      <c r="HTJ67" s="3"/>
      <c r="HTK67" s="3"/>
      <c r="HTL67" s="3"/>
      <c r="HTM67" s="3"/>
      <c r="HTN67" s="3"/>
      <c r="HTO67" s="3"/>
      <c r="HTP67" s="3"/>
      <c r="HTQ67" s="3"/>
      <c r="HTR67" s="3"/>
      <c r="HTS67" s="3"/>
      <c r="HTT67" s="3"/>
      <c r="HTU67" s="3"/>
      <c r="HTV67" s="3"/>
      <c r="HTW67" s="3"/>
      <c r="HTX67" s="3"/>
      <c r="HTY67" s="3"/>
      <c r="HTZ67" s="3"/>
      <c r="HUA67" s="3"/>
      <c r="HUB67" s="3"/>
      <c r="HUC67" s="3"/>
      <c r="HUD67" s="3"/>
      <c r="HUE67" s="3"/>
      <c r="HUF67" s="3"/>
      <c r="HUG67" s="3"/>
      <c r="HUH67" s="3"/>
      <c r="HUI67" s="3"/>
      <c r="HUJ67" s="3"/>
      <c r="HUK67" s="3"/>
      <c r="HUL67" s="3"/>
      <c r="HUM67" s="3"/>
      <c r="HUN67" s="3"/>
      <c r="HUO67" s="3"/>
      <c r="HUP67" s="3"/>
      <c r="HUQ67" s="3"/>
      <c r="HUR67" s="3"/>
      <c r="HUS67" s="3"/>
      <c r="HUT67" s="3"/>
      <c r="HUU67" s="3"/>
      <c r="HUV67" s="3"/>
      <c r="HUW67" s="3"/>
      <c r="HUX67" s="3"/>
      <c r="HUY67" s="3"/>
      <c r="HUZ67" s="3"/>
      <c r="HVA67" s="3"/>
      <c r="HVB67" s="3"/>
      <c r="HVC67" s="3"/>
      <c r="HVD67" s="3"/>
      <c r="HVE67" s="3"/>
      <c r="HVF67" s="3"/>
      <c r="HVG67" s="3"/>
      <c r="HVH67" s="3"/>
      <c r="HVI67" s="3"/>
      <c r="HVJ67" s="3"/>
      <c r="HVK67" s="3"/>
      <c r="HVL67" s="3"/>
      <c r="HVM67" s="3"/>
      <c r="HVN67" s="3"/>
      <c r="HVO67" s="3"/>
      <c r="HVP67" s="3"/>
      <c r="HVQ67" s="3"/>
      <c r="HVR67" s="3"/>
      <c r="HVS67" s="3"/>
      <c r="HVT67" s="3"/>
      <c r="HVU67" s="3"/>
      <c r="HVV67" s="3"/>
      <c r="HVW67" s="3"/>
      <c r="HVX67" s="3"/>
      <c r="HVY67" s="3"/>
      <c r="HVZ67" s="3"/>
      <c r="HWA67" s="3"/>
      <c r="HWB67" s="3"/>
      <c r="HWC67" s="3"/>
      <c r="HWD67" s="3"/>
      <c r="HWE67" s="3"/>
      <c r="HWF67" s="3"/>
      <c r="HWG67" s="3"/>
      <c r="HWH67" s="3"/>
      <c r="HWI67" s="3"/>
      <c r="HWJ67" s="3"/>
      <c r="HWK67" s="3"/>
      <c r="HWL67" s="3"/>
      <c r="HWM67" s="3"/>
      <c r="HWN67" s="3"/>
      <c r="HWO67" s="3"/>
      <c r="HWP67" s="3"/>
      <c r="HWQ67" s="3"/>
      <c r="HWR67" s="3"/>
      <c r="HWS67" s="3"/>
      <c r="HWT67" s="3"/>
      <c r="HWU67" s="3"/>
      <c r="HWV67" s="3"/>
      <c r="HWW67" s="3"/>
      <c r="HWX67" s="3"/>
      <c r="HWY67" s="3"/>
      <c r="HWZ67" s="3"/>
      <c r="HXA67" s="3"/>
      <c r="HXB67" s="3"/>
      <c r="HXC67" s="3"/>
      <c r="HXD67" s="3"/>
      <c r="HXE67" s="3"/>
      <c r="HXF67" s="3"/>
      <c r="HXG67" s="3"/>
      <c r="HXH67" s="3"/>
      <c r="HXI67" s="3"/>
      <c r="HXJ67" s="3"/>
      <c r="HXK67" s="3"/>
      <c r="HXL67" s="3"/>
      <c r="HXM67" s="3"/>
      <c r="HXN67" s="3"/>
      <c r="HXO67" s="3"/>
      <c r="HXP67" s="3"/>
      <c r="HXQ67" s="3"/>
      <c r="HXR67" s="3"/>
      <c r="HXS67" s="3"/>
      <c r="HXT67" s="3"/>
      <c r="HXU67" s="3"/>
      <c r="HXV67" s="3"/>
      <c r="HXW67" s="3"/>
      <c r="HXX67" s="3"/>
      <c r="HXY67" s="3"/>
      <c r="HXZ67" s="3"/>
      <c r="HYA67" s="3"/>
      <c r="HYB67" s="3"/>
      <c r="HYC67" s="3"/>
      <c r="HYD67" s="3"/>
      <c r="HYE67" s="3"/>
      <c r="HYF67" s="3"/>
      <c r="HYG67" s="3"/>
      <c r="HYH67" s="3"/>
      <c r="HYI67" s="3"/>
      <c r="HYJ67" s="3"/>
      <c r="HYK67" s="3"/>
      <c r="HYL67" s="3"/>
      <c r="HYM67" s="3"/>
      <c r="HYN67" s="3"/>
      <c r="HYO67" s="3"/>
      <c r="HYP67" s="3"/>
      <c r="HYQ67" s="3"/>
      <c r="HYR67" s="3"/>
      <c r="HYS67" s="3"/>
      <c r="HYT67" s="3"/>
      <c r="HYU67" s="3"/>
      <c r="HYV67" s="3"/>
      <c r="HYW67" s="3"/>
      <c r="HYX67" s="3"/>
      <c r="HYY67" s="3"/>
      <c r="HYZ67" s="3"/>
      <c r="HZA67" s="3"/>
      <c r="HZB67" s="3"/>
      <c r="HZC67" s="3"/>
      <c r="HZD67" s="3"/>
      <c r="HZE67" s="3"/>
      <c r="HZF67" s="3"/>
      <c r="HZG67" s="3"/>
      <c r="HZH67" s="3"/>
      <c r="HZI67" s="3"/>
      <c r="HZJ67" s="3"/>
      <c r="HZK67" s="3"/>
      <c r="HZL67" s="3"/>
      <c r="HZM67" s="3"/>
      <c r="HZN67" s="3"/>
      <c r="HZO67" s="3"/>
      <c r="HZP67" s="3"/>
      <c r="HZQ67" s="3"/>
      <c r="HZR67" s="3"/>
      <c r="HZS67" s="3"/>
      <c r="HZT67" s="3"/>
      <c r="HZU67" s="3"/>
      <c r="HZV67" s="3"/>
      <c r="HZW67" s="3"/>
      <c r="HZX67" s="3"/>
      <c r="HZY67" s="3"/>
      <c r="HZZ67" s="3"/>
      <c r="IAA67" s="3"/>
      <c r="IAB67" s="3"/>
      <c r="IAC67" s="3"/>
      <c r="IAD67" s="3"/>
      <c r="IAE67" s="3"/>
      <c r="IAF67" s="3"/>
      <c r="IAG67" s="3"/>
      <c r="IAH67" s="3"/>
      <c r="IAI67" s="3"/>
      <c r="IAJ67" s="3"/>
      <c r="IAK67" s="3"/>
      <c r="IAL67" s="3"/>
      <c r="IAM67" s="3"/>
      <c r="IAN67" s="3"/>
      <c r="IAO67" s="3"/>
      <c r="IAP67" s="3"/>
      <c r="IAQ67" s="3"/>
      <c r="IAR67" s="3"/>
      <c r="IAS67" s="3"/>
      <c r="IAT67" s="3"/>
      <c r="IAU67" s="3"/>
      <c r="IAV67" s="3"/>
      <c r="IAW67" s="3"/>
      <c r="IAX67" s="3"/>
      <c r="IAY67" s="3"/>
      <c r="IAZ67" s="3"/>
      <c r="IBA67" s="3"/>
      <c r="IBB67" s="3"/>
      <c r="IBC67" s="3"/>
      <c r="IBD67" s="3"/>
      <c r="IBE67" s="3"/>
      <c r="IBF67" s="3"/>
      <c r="IBG67" s="3"/>
      <c r="IBH67" s="3"/>
      <c r="IBI67" s="3"/>
      <c r="IBJ67" s="3"/>
      <c r="IBK67" s="3"/>
      <c r="IBL67" s="3"/>
      <c r="IBM67" s="3"/>
      <c r="IBN67" s="3"/>
      <c r="IBO67" s="3"/>
      <c r="IBP67" s="3"/>
      <c r="IBQ67" s="3"/>
      <c r="IBR67" s="3"/>
      <c r="IBS67" s="3"/>
      <c r="IBT67" s="3"/>
      <c r="IBU67" s="3"/>
      <c r="IBV67" s="3"/>
      <c r="IBW67" s="3"/>
      <c r="IBX67" s="3"/>
      <c r="IBY67" s="3"/>
      <c r="IBZ67" s="3"/>
      <c r="ICA67" s="3"/>
      <c r="ICB67" s="3"/>
      <c r="ICC67" s="3"/>
      <c r="ICD67" s="3"/>
      <c r="ICE67" s="3"/>
      <c r="ICF67" s="3"/>
      <c r="ICG67" s="3"/>
      <c r="ICH67" s="3"/>
      <c r="ICI67" s="3"/>
      <c r="ICJ67" s="3"/>
      <c r="ICK67" s="3"/>
      <c r="ICL67" s="3"/>
      <c r="ICM67" s="3"/>
      <c r="ICN67" s="3"/>
      <c r="ICO67" s="3"/>
      <c r="ICP67" s="3"/>
      <c r="ICQ67" s="3"/>
      <c r="ICR67" s="3"/>
      <c r="ICS67" s="3"/>
      <c r="ICT67" s="3"/>
      <c r="ICU67" s="3"/>
      <c r="ICV67" s="3"/>
      <c r="ICW67" s="3"/>
      <c r="ICX67" s="3"/>
      <c r="ICY67" s="3"/>
      <c r="ICZ67" s="3"/>
      <c r="IDA67" s="3"/>
      <c r="IDB67" s="3"/>
      <c r="IDC67" s="3"/>
      <c r="IDD67" s="3"/>
      <c r="IDE67" s="3"/>
      <c r="IDF67" s="3"/>
      <c r="IDG67" s="3"/>
      <c r="IDH67" s="3"/>
      <c r="IDI67" s="3"/>
      <c r="IDJ67" s="3"/>
      <c r="IDK67" s="3"/>
      <c r="IDL67" s="3"/>
      <c r="IDM67" s="3"/>
      <c r="IDN67" s="3"/>
      <c r="IDO67" s="3"/>
      <c r="IDP67" s="3"/>
      <c r="IDQ67" s="3"/>
      <c r="IDR67" s="3"/>
      <c r="IDS67" s="3"/>
      <c r="IDT67" s="3"/>
      <c r="IDU67" s="3"/>
      <c r="IDV67" s="3"/>
      <c r="IDW67" s="3"/>
      <c r="IDX67" s="3"/>
      <c r="IDY67" s="3"/>
      <c r="IDZ67" s="3"/>
      <c r="IEA67" s="3"/>
      <c r="IEB67" s="3"/>
      <c r="IEC67" s="3"/>
      <c r="IED67" s="3"/>
      <c r="IEE67" s="3"/>
      <c r="IEF67" s="3"/>
      <c r="IEG67" s="3"/>
      <c r="IEH67" s="3"/>
      <c r="IEI67" s="3"/>
      <c r="IEJ67" s="3"/>
      <c r="IEK67" s="3"/>
      <c r="IEL67" s="3"/>
      <c r="IEM67" s="3"/>
      <c r="IEN67" s="3"/>
      <c r="IEO67" s="3"/>
      <c r="IEP67" s="3"/>
      <c r="IEQ67" s="3"/>
      <c r="IER67" s="3"/>
      <c r="IES67" s="3"/>
      <c r="IET67" s="3"/>
      <c r="IEU67" s="3"/>
      <c r="IEV67" s="3"/>
      <c r="IEW67" s="3"/>
      <c r="IEX67" s="3"/>
      <c r="IEY67" s="3"/>
      <c r="IEZ67" s="3"/>
      <c r="IFA67" s="3"/>
      <c r="IFB67" s="3"/>
      <c r="IFC67" s="3"/>
      <c r="IFD67" s="3"/>
      <c r="IFE67" s="3"/>
      <c r="IFF67" s="3"/>
      <c r="IFG67" s="3"/>
      <c r="IFH67" s="3"/>
      <c r="IFI67" s="3"/>
      <c r="IFJ67" s="3"/>
      <c r="IFK67" s="3"/>
      <c r="IFL67" s="3"/>
      <c r="IFM67" s="3"/>
      <c r="IFN67" s="3"/>
      <c r="IFO67" s="3"/>
      <c r="IFP67" s="3"/>
      <c r="IFQ67" s="3"/>
      <c r="IFR67" s="3"/>
      <c r="IFS67" s="3"/>
      <c r="IFT67" s="3"/>
      <c r="IFU67" s="3"/>
      <c r="IFV67" s="3"/>
      <c r="IFW67" s="3"/>
      <c r="IFX67" s="3"/>
      <c r="IFY67" s="3"/>
      <c r="IFZ67" s="3"/>
      <c r="IGA67" s="3"/>
      <c r="IGB67" s="3"/>
      <c r="IGC67" s="3"/>
      <c r="IGD67" s="3"/>
      <c r="IGE67" s="3"/>
      <c r="IGF67" s="3"/>
      <c r="IGG67" s="3"/>
      <c r="IGH67" s="3"/>
      <c r="IGI67" s="3"/>
      <c r="IGJ67" s="3"/>
      <c r="IGK67" s="3"/>
      <c r="IGL67" s="3"/>
      <c r="IGM67" s="3"/>
      <c r="IGN67" s="3"/>
      <c r="IGO67" s="3"/>
      <c r="IGP67" s="3"/>
      <c r="IGQ67" s="3"/>
      <c r="IGR67" s="3"/>
      <c r="IGS67" s="3"/>
      <c r="IGT67" s="3"/>
      <c r="IGU67" s="3"/>
      <c r="IGV67" s="3"/>
      <c r="IGW67" s="3"/>
      <c r="IGX67" s="3"/>
      <c r="IGY67" s="3"/>
      <c r="IGZ67" s="3"/>
      <c r="IHA67" s="3"/>
      <c r="IHB67" s="3"/>
      <c r="IHC67" s="3"/>
      <c r="IHD67" s="3"/>
      <c r="IHE67" s="3"/>
      <c r="IHF67" s="3"/>
      <c r="IHG67" s="3"/>
      <c r="IHH67" s="3"/>
      <c r="IHI67" s="3"/>
      <c r="IHJ67" s="3"/>
      <c r="IHK67" s="3"/>
      <c r="IHL67" s="3"/>
      <c r="IHM67" s="3"/>
      <c r="IHN67" s="3"/>
      <c r="IHO67" s="3"/>
      <c r="IHP67" s="3"/>
      <c r="IHQ67" s="3"/>
      <c r="IHR67" s="3"/>
      <c r="IHS67" s="3"/>
      <c r="IHT67" s="3"/>
      <c r="IHU67" s="3"/>
      <c r="IHV67" s="3"/>
      <c r="IHW67" s="3"/>
      <c r="IHX67" s="3"/>
      <c r="IHY67" s="3"/>
      <c r="IHZ67" s="3"/>
      <c r="IIA67" s="3"/>
      <c r="IIB67" s="3"/>
      <c r="IIC67" s="3"/>
      <c r="IID67" s="3"/>
      <c r="IIE67" s="3"/>
      <c r="IIF67" s="3"/>
      <c r="IIG67" s="3"/>
      <c r="IIH67" s="3"/>
      <c r="III67" s="3"/>
      <c r="IIJ67" s="3"/>
      <c r="IIK67" s="3"/>
      <c r="IIL67" s="3"/>
      <c r="IIM67" s="3"/>
      <c r="IIN67" s="3"/>
      <c r="IIO67" s="3"/>
      <c r="IIP67" s="3"/>
      <c r="IIQ67" s="3"/>
      <c r="IIR67" s="3"/>
      <c r="IIS67" s="3"/>
      <c r="IIT67" s="3"/>
      <c r="IIU67" s="3"/>
      <c r="IIV67" s="3"/>
      <c r="IIW67" s="3"/>
      <c r="IIX67" s="3"/>
      <c r="IIY67" s="3"/>
      <c r="IIZ67" s="3"/>
      <c r="IJA67" s="3"/>
      <c r="IJB67" s="3"/>
      <c r="IJC67" s="3"/>
      <c r="IJD67" s="3"/>
      <c r="IJE67" s="3"/>
      <c r="IJF67" s="3"/>
      <c r="IJG67" s="3"/>
      <c r="IJH67" s="3"/>
      <c r="IJI67" s="3"/>
      <c r="IJJ67" s="3"/>
      <c r="IJK67" s="3"/>
      <c r="IJL67" s="3"/>
      <c r="IJM67" s="3"/>
      <c r="IJN67" s="3"/>
      <c r="IJO67" s="3"/>
      <c r="IJP67" s="3"/>
      <c r="IJQ67" s="3"/>
      <c r="IJR67" s="3"/>
      <c r="IJS67" s="3"/>
      <c r="IJT67" s="3"/>
      <c r="IJU67" s="3"/>
      <c r="IJV67" s="3"/>
      <c r="IJW67" s="3"/>
      <c r="IJX67" s="3"/>
      <c r="IJY67" s="3"/>
      <c r="IJZ67" s="3"/>
      <c r="IKA67" s="3"/>
      <c r="IKB67" s="3"/>
      <c r="IKC67" s="3"/>
      <c r="IKD67" s="3"/>
      <c r="IKE67" s="3"/>
      <c r="IKF67" s="3"/>
      <c r="IKG67" s="3"/>
      <c r="IKH67" s="3"/>
      <c r="IKI67" s="3"/>
      <c r="IKJ67" s="3"/>
      <c r="IKK67" s="3"/>
      <c r="IKL67" s="3"/>
      <c r="IKM67" s="3"/>
      <c r="IKN67" s="3"/>
      <c r="IKO67" s="3"/>
      <c r="IKP67" s="3"/>
      <c r="IKQ67" s="3"/>
      <c r="IKR67" s="3"/>
      <c r="IKS67" s="3"/>
      <c r="IKT67" s="3"/>
      <c r="IKU67" s="3"/>
      <c r="IKV67" s="3"/>
      <c r="IKW67" s="3"/>
      <c r="IKX67" s="3"/>
      <c r="IKY67" s="3"/>
      <c r="IKZ67" s="3"/>
      <c r="ILA67" s="3"/>
      <c r="ILB67" s="3"/>
      <c r="ILC67" s="3"/>
      <c r="ILD67" s="3"/>
      <c r="ILE67" s="3"/>
      <c r="ILF67" s="3"/>
      <c r="ILG67" s="3"/>
      <c r="ILH67" s="3"/>
      <c r="ILI67" s="3"/>
      <c r="ILJ67" s="3"/>
      <c r="ILK67" s="3"/>
      <c r="ILL67" s="3"/>
      <c r="ILM67" s="3"/>
      <c r="ILN67" s="3"/>
      <c r="ILO67" s="3"/>
      <c r="ILP67" s="3"/>
      <c r="ILQ67" s="3"/>
      <c r="ILR67" s="3"/>
      <c r="ILS67" s="3"/>
      <c r="ILT67" s="3"/>
      <c r="ILU67" s="3"/>
      <c r="ILV67" s="3"/>
      <c r="ILW67" s="3"/>
      <c r="ILX67" s="3"/>
      <c r="ILY67" s="3"/>
      <c r="ILZ67" s="3"/>
      <c r="IMA67" s="3"/>
      <c r="IMB67" s="3"/>
      <c r="IMC67" s="3"/>
      <c r="IMD67" s="3"/>
      <c r="IME67" s="3"/>
      <c r="IMF67" s="3"/>
      <c r="IMG67" s="3"/>
      <c r="IMH67" s="3"/>
      <c r="IMI67" s="3"/>
      <c r="IMJ67" s="3"/>
      <c r="IMK67" s="3"/>
      <c r="IML67" s="3"/>
      <c r="IMM67" s="3"/>
      <c r="IMN67" s="3"/>
      <c r="IMO67" s="3"/>
      <c r="IMP67" s="3"/>
      <c r="IMQ67" s="3"/>
      <c r="IMR67" s="3"/>
      <c r="IMS67" s="3"/>
      <c r="IMT67" s="3"/>
      <c r="IMU67" s="3"/>
      <c r="IMV67" s="3"/>
      <c r="IMW67" s="3"/>
      <c r="IMX67" s="3"/>
      <c r="IMY67" s="3"/>
      <c r="IMZ67" s="3"/>
      <c r="INA67" s="3"/>
      <c r="INB67" s="3"/>
      <c r="INC67" s="3"/>
      <c r="IND67" s="3"/>
      <c r="INE67" s="3"/>
      <c r="INF67" s="3"/>
      <c r="ING67" s="3"/>
      <c r="INH67" s="3"/>
      <c r="INI67" s="3"/>
      <c r="INJ67" s="3"/>
      <c r="INK67" s="3"/>
      <c r="INL67" s="3"/>
      <c r="INM67" s="3"/>
      <c r="INN67" s="3"/>
      <c r="INO67" s="3"/>
      <c r="INP67" s="3"/>
      <c r="INQ67" s="3"/>
      <c r="INR67" s="3"/>
      <c r="INS67" s="3"/>
      <c r="INT67" s="3"/>
      <c r="INU67" s="3"/>
      <c r="INV67" s="3"/>
      <c r="INW67" s="3"/>
      <c r="INX67" s="3"/>
      <c r="INY67" s="3"/>
      <c r="INZ67" s="3"/>
      <c r="IOA67" s="3"/>
      <c r="IOB67" s="3"/>
      <c r="IOC67" s="3"/>
      <c r="IOD67" s="3"/>
      <c r="IOE67" s="3"/>
      <c r="IOF67" s="3"/>
      <c r="IOG67" s="3"/>
      <c r="IOH67" s="3"/>
      <c r="IOI67" s="3"/>
      <c r="IOJ67" s="3"/>
      <c r="IOK67" s="3"/>
      <c r="IOL67" s="3"/>
      <c r="IOM67" s="3"/>
      <c r="ION67" s="3"/>
      <c r="IOO67" s="3"/>
      <c r="IOP67" s="3"/>
      <c r="IOQ67" s="3"/>
      <c r="IOR67" s="3"/>
      <c r="IOS67" s="3"/>
      <c r="IOT67" s="3"/>
      <c r="IOU67" s="3"/>
      <c r="IOV67" s="3"/>
      <c r="IOW67" s="3"/>
      <c r="IOX67" s="3"/>
      <c r="IOY67" s="3"/>
      <c r="IOZ67" s="3"/>
      <c r="IPA67" s="3"/>
      <c r="IPB67" s="3"/>
      <c r="IPC67" s="3"/>
      <c r="IPD67" s="3"/>
      <c r="IPE67" s="3"/>
      <c r="IPF67" s="3"/>
      <c r="IPG67" s="3"/>
      <c r="IPH67" s="3"/>
      <c r="IPI67" s="3"/>
      <c r="IPJ67" s="3"/>
      <c r="IPK67" s="3"/>
      <c r="IPL67" s="3"/>
      <c r="IPM67" s="3"/>
      <c r="IPN67" s="3"/>
      <c r="IPO67" s="3"/>
      <c r="IPP67" s="3"/>
      <c r="IPQ67" s="3"/>
      <c r="IPR67" s="3"/>
      <c r="IPS67" s="3"/>
      <c r="IPT67" s="3"/>
      <c r="IPU67" s="3"/>
      <c r="IPV67" s="3"/>
      <c r="IPW67" s="3"/>
      <c r="IPX67" s="3"/>
      <c r="IPY67" s="3"/>
      <c r="IPZ67" s="3"/>
      <c r="IQA67" s="3"/>
      <c r="IQB67" s="3"/>
      <c r="IQC67" s="3"/>
      <c r="IQD67" s="3"/>
      <c r="IQE67" s="3"/>
      <c r="IQF67" s="3"/>
      <c r="IQG67" s="3"/>
      <c r="IQH67" s="3"/>
      <c r="IQI67" s="3"/>
      <c r="IQJ67" s="3"/>
      <c r="IQK67" s="3"/>
      <c r="IQL67" s="3"/>
      <c r="IQM67" s="3"/>
      <c r="IQN67" s="3"/>
      <c r="IQO67" s="3"/>
      <c r="IQP67" s="3"/>
      <c r="IQQ67" s="3"/>
      <c r="IQR67" s="3"/>
      <c r="IQS67" s="3"/>
      <c r="IQT67" s="3"/>
      <c r="IQU67" s="3"/>
      <c r="IQV67" s="3"/>
      <c r="IQW67" s="3"/>
      <c r="IQX67" s="3"/>
      <c r="IQY67" s="3"/>
      <c r="IQZ67" s="3"/>
      <c r="IRA67" s="3"/>
      <c r="IRB67" s="3"/>
      <c r="IRC67" s="3"/>
      <c r="IRD67" s="3"/>
      <c r="IRE67" s="3"/>
      <c r="IRF67" s="3"/>
      <c r="IRG67" s="3"/>
      <c r="IRH67" s="3"/>
      <c r="IRI67" s="3"/>
      <c r="IRJ67" s="3"/>
      <c r="IRK67" s="3"/>
      <c r="IRL67" s="3"/>
      <c r="IRM67" s="3"/>
      <c r="IRN67" s="3"/>
      <c r="IRO67" s="3"/>
      <c r="IRP67" s="3"/>
      <c r="IRQ67" s="3"/>
      <c r="IRR67" s="3"/>
      <c r="IRS67" s="3"/>
      <c r="IRT67" s="3"/>
      <c r="IRU67" s="3"/>
      <c r="IRV67" s="3"/>
      <c r="IRW67" s="3"/>
      <c r="IRX67" s="3"/>
      <c r="IRY67" s="3"/>
      <c r="IRZ67" s="3"/>
      <c r="ISA67" s="3"/>
      <c r="ISB67" s="3"/>
      <c r="ISC67" s="3"/>
      <c r="ISD67" s="3"/>
      <c r="ISE67" s="3"/>
      <c r="ISF67" s="3"/>
      <c r="ISG67" s="3"/>
      <c r="ISH67" s="3"/>
      <c r="ISI67" s="3"/>
      <c r="ISJ67" s="3"/>
      <c r="ISK67" s="3"/>
      <c r="ISL67" s="3"/>
      <c r="ISM67" s="3"/>
      <c r="ISN67" s="3"/>
      <c r="ISO67" s="3"/>
      <c r="ISP67" s="3"/>
      <c r="ISQ67" s="3"/>
      <c r="ISR67" s="3"/>
      <c r="ISS67" s="3"/>
      <c r="IST67" s="3"/>
      <c r="ISU67" s="3"/>
      <c r="ISV67" s="3"/>
      <c r="ISW67" s="3"/>
      <c r="ISX67" s="3"/>
      <c r="ISY67" s="3"/>
      <c r="ISZ67" s="3"/>
      <c r="ITA67" s="3"/>
      <c r="ITB67" s="3"/>
      <c r="ITC67" s="3"/>
      <c r="ITD67" s="3"/>
      <c r="ITE67" s="3"/>
      <c r="ITF67" s="3"/>
      <c r="ITG67" s="3"/>
      <c r="ITH67" s="3"/>
      <c r="ITI67" s="3"/>
      <c r="ITJ67" s="3"/>
      <c r="ITK67" s="3"/>
      <c r="ITL67" s="3"/>
      <c r="ITM67" s="3"/>
      <c r="ITN67" s="3"/>
      <c r="ITO67" s="3"/>
      <c r="ITP67" s="3"/>
      <c r="ITQ67" s="3"/>
      <c r="ITR67" s="3"/>
      <c r="ITS67" s="3"/>
      <c r="ITT67" s="3"/>
      <c r="ITU67" s="3"/>
      <c r="ITV67" s="3"/>
      <c r="ITW67" s="3"/>
      <c r="ITX67" s="3"/>
      <c r="ITY67" s="3"/>
      <c r="ITZ67" s="3"/>
      <c r="IUA67" s="3"/>
      <c r="IUB67" s="3"/>
      <c r="IUC67" s="3"/>
      <c r="IUD67" s="3"/>
      <c r="IUE67" s="3"/>
      <c r="IUF67" s="3"/>
      <c r="IUG67" s="3"/>
      <c r="IUH67" s="3"/>
      <c r="IUI67" s="3"/>
      <c r="IUJ67" s="3"/>
      <c r="IUK67" s="3"/>
      <c r="IUL67" s="3"/>
      <c r="IUM67" s="3"/>
      <c r="IUN67" s="3"/>
      <c r="IUO67" s="3"/>
      <c r="IUP67" s="3"/>
      <c r="IUQ67" s="3"/>
      <c r="IUR67" s="3"/>
      <c r="IUS67" s="3"/>
      <c r="IUT67" s="3"/>
      <c r="IUU67" s="3"/>
      <c r="IUV67" s="3"/>
      <c r="IUW67" s="3"/>
      <c r="IUX67" s="3"/>
      <c r="IUY67" s="3"/>
      <c r="IUZ67" s="3"/>
      <c r="IVA67" s="3"/>
      <c r="IVB67" s="3"/>
      <c r="IVC67" s="3"/>
      <c r="IVD67" s="3"/>
      <c r="IVE67" s="3"/>
      <c r="IVF67" s="3"/>
      <c r="IVG67" s="3"/>
      <c r="IVH67" s="3"/>
      <c r="IVI67" s="3"/>
      <c r="IVJ67" s="3"/>
      <c r="IVK67" s="3"/>
      <c r="IVL67" s="3"/>
      <c r="IVM67" s="3"/>
      <c r="IVN67" s="3"/>
      <c r="IVO67" s="3"/>
      <c r="IVP67" s="3"/>
      <c r="IVQ67" s="3"/>
      <c r="IVR67" s="3"/>
      <c r="IVS67" s="3"/>
      <c r="IVT67" s="3"/>
      <c r="IVU67" s="3"/>
      <c r="IVV67" s="3"/>
      <c r="IVW67" s="3"/>
      <c r="IVX67" s="3"/>
      <c r="IVY67" s="3"/>
      <c r="IVZ67" s="3"/>
      <c r="IWA67" s="3"/>
      <c r="IWB67" s="3"/>
      <c r="IWC67" s="3"/>
      <c r="IWD67" s="3"/>
      <c r="IWE67" s="3"/>
      <c r="IWF67" s="3"/>
      <c r="IWG67" s="3"/>
      <c r="IWH67" s="3"/>
      <c r="IWI67" s="3"/>
      <c r="IWJ67" s="3"/>
      <c r="IWK67" s="3"/>
      <c r="IWL67" s="3"/>
      <c r="IWM67" s="3"/>
      <c r="IWN67" s="3"/>
      <c r="IWO67" s="3"/>
      <c r="IWP67" s="3"/>
      <c r="IWQ67" s="3"/>
      <c r="IWR67" s="3"/>
      <c r="IWS67" s="3"/>
      <c r="IWT67" s="3"/>
      <c r="IWU67" s="3"/>
      <c r="IWV67" s="3"/>
      <c r="IWW67" s="3"/>
      <c r="IWX67" s="3"/>
      <c r="IWY67" s="3"/>
      <c r="IWZ67" s="3"/>
      <c r="IXA67" s="3"/>
      <c r="IXB67" s="3"/>
      <c r="IXC67" s="3"/>
      <c r="IXD67" s="3"/>
      <c r="IXE67" s="3"/>
      <c r="IXF67" s="3"/>
      <c r="IXG67" s="3"/>
      <c r="IXH67" s="3"/>
      <c r="IXI67" s="3"/>
      <c r="IXJ67" s="3"/>
      <c r="IXK67" s="3"/>
      <c r="IXL67" s="3"/>
      <c r="IXM67" s="3"/>
      <c r="IXN67" s="3"/>
      <c r="IXO67" s="3"/>
      <c r="IXP67" s="3"/>
      <c r="IXQ67" s="3"/>
      <c r="IXR67" s="3"/>
      <c r="IXS67" s="3"/>
      <c r="IXT67" s="3"/>
      <c r="IXU67" s="3"/>
      <c r="IXV67" s="3"/>
      <c r="IXW67" s="3"/>
      <c r="IXX67" s="3"/>
      <c r="IXY67" s="3"/>
      <c r="IXZ67" s="3"/>
      <c r="IYA67" s="3"/>
      <c r="IYB67" s="3"/>
      <c r="IYC67" s="3"/>
      <c r="IYD67" s="3"/>
      <c r="IYE67" s="3"/>
      <c r="IYF67" s="3"/>
      <c r="IYG67" s="3"/>
      <c r="IYH67" s="3"/>
      <c r="IYI67" s="3"/>
      <c r="IYJ67" s="3"/>
      <c r="IYK67" s="3"/>
      <c r="IYL67" s="3"/>
      <c r="IYM67" s="3"/>
      <c r="IYN67" s="3"/>
      <c r="IYO67" s="3"/>
      <c r="IYP67" s="3"/>
      <c r="IYQ67" s="3"/>
      <c r="IYR67" s="3"/>
      <c r="IYS67" s="3"/>
      <c r="IYT67" s="3"/>
      <c r="IYU67" s="3"/>
      <c r="IYV67" s="3"/>
      <c r="IYW67" s="3"/>
      <c r="IYX67" s="3"/>
      <c r="IYY67" s="3"/>
      <c r="IYZ67" s="3"/>
      <c r="IZA67" s="3"/>
      <c r="IZB67" s="3"/>
      <c r="IZC67" s="3"/>
      <c r="IZD67" s="3"/>
      <c r="IZE67" s="3"/>
      <c r="IZF67" s="3"/>
      <c r="IZG67" s="3"/>
      <c r="IZH67" s="3"/>
      <c r="IZI67" s="3"/>
      <c r="IZJ67" s="3"/>
      <c r="IZK67" s="3"/>
      <c r="IZL67" s="3"/>
      <c r="IZM67" s="3"/>
      <c r="IZN67" s="3"/>
      <c r="IZO67" s="3"/>
      <c r="IZP67" s="3"/>
      <c r="IZQ67" s="3"/>
      <c r="IZR67" s="3"/>
      <c r="IZS67" s="3"/>
      <c r="IZT67" s="3"/>
      <c r="IZU67" s="3"/>
      <c r="IZV67" s="3"/>
      <c r="IZW67" s="3"/>
      <c r="IZX67" s="3"/>
      <c r="IZY67" s="3"/>
      <c r="IZZ67" s="3"/>
      <c r="JAA67" s="3"/>
      <c r="JAB67" s="3"/>
      <c r="JAC67" s="3"/>
      <c r="JAD67" s="3"/>
      <c r="JAE67" s="3"/>
      <c r="JAF67" s="3"/>
      <c r="JAG67" s="3"/>
      <c r="JAH67" s="3"/>
      <c r="JAI67" s="3"/>
      <c r="JAJ67" s="3"/>
      <c r="JAK67" s="3"/>
      <c r="JAL67" s="3"/>
      <c r="JAM67" s="3"/>
      <c r="JAN67" s="3"/>
      <c r="JAO67" s="3"/>
      <c r="JAP67" s="3"/>
      <c r="JAQ67" s="3"/>
      <c r="JAR67" s="3"/>
      <c r="JAS67" s="3"/>
      <c r="JAT67" s="3"/>
      <c r="JAU67" s="3"/>
      <c r="JAV67" s="3"/>
      <c r="JAW67" s="3"/>
      <c r="JAX67" s="3"/>
      <c r="JAY67" s="3"/>
      <c r="JAZ67" s="3"/>
      <c r="JBA67" s="3"/>
      <c r="JBB67" s="3"/>
      <c r="JBC67" s="3"/>
      <c r="JBD67" s="3"/>
      <c r="JBE67" s="3"/>
      <c r="JBF67" s="3"/>
      <c r="JBG67" s="3"/>
      <c r="JBH67" s="3"/>
      <c r="JBI67" s="3"/>
      <c r="JBJ67" s="3"/>
      <c r="JBK67" s="3"/>
      <c r="JBL67" s="3"/>
      <c r="JBM67" s="3"/>
      <c r="JBN67" s="3"/>
      <c r="JBO67" s="3"/>
      <c r="JBP67" s="3"/>
      <c r="JBQ67" s="3"/>
      <c r="JBR67" s="3"/>
      <c r="JBS67" s="3"/>
      <c r="JBT67" s="3"/>
      <c r="JBU67" s="3"/>
      <c r="JBV67" s="3"/>
      <c r="JBW67" s="3"/>
      <c r="JBX67" s="3"/>
      <c r="JBY67" s="3"/>
      <c r="JBZ67" s="3"/>
      <c r="JCA67" s="3"/>
      <c r="JCB67" s="3"/>
      <c r="JCC67" s="3"/>
      <c r="JCD67" s="3"/>
      <c r="JCE67" s="3"/>
      <c r="JCF67" s="3"/>
      <c r="JCG67" s="3"/>
      <c r="JCH67" s="3"/>
      <c r="JCI67" s="3"/>
      <c r="JCJ67" s="3"/>
      <c r="JCK67" s="3"/>
      <c r="JCL67" s="3"/>
      <c r="JCM67" s="3"/>
      <c r="JCN67" s="3"/>
      <c r="JCO67" s="3"/>
      <c r="JCP67" s="3"/>
      <c r="JCQ67" s="3"/>
      <c r="JCR67" s="3"/>
      <c r="JCS67" s="3"/>
      <c r="JCT67" s="3"/>
      <c r="JCU67" s="3"/>
      <c r="JCV67" s="3"/>
      <c r="JCW67" s="3"/>
      <c r="JCX67" s="3"/>
      <c r="JCY67" s="3"/>
      <c r="JCZ67" s="3"/>
      <c r="JDA67" s="3"/>
      <c r="JDB67" s="3"/>
      <c r="JDC67" s="3"/>
      <c r="JDD67" s="3"/>
      <c r="JDE67" s="3"/>
      <c r="JDF67" s="3"/>
      <c r="JDG67" s="3"/>
      <c r="JDH67" s="3"/>
      <c r="JDI67" s="3"/>
      <c r="JDJ67" s="3"/>
      <c r="JDK67" s="3"/>
      <c r="JDL67" s="3"/>
      <c r="JDM67" s="3"/>
      <c r="JDN67" s="3"/>
      <c r="JDO67" s="3"/>
      <c r="JDP67" s="3"/>
      <c r="JDQ67" s="3"/>
      <c r="JDR67" s="3"/>
      <c r="JDS67" s="3"/>
      <c r="JDT67" s="3"/>
      <c r="JDU67" s="3"/>
      <c r="JDV67" s="3"/>
      <c r="JDW67" s="3"/>
      <c r="JDX67" s="3"/>
      <c r="JDY67" s="3"/>
      <c r="JDZ67" s="3"/>
      <c r="JEA67" s="3"/>
      <c r="JEB67" s="3"/>
      <c r="JEC67" s="3"/>
      <c r="JED67" s="3"/>
      <c r="JEE67" s="3"/>
      <c r="JEF67" s="3"/>
      <c r="JEG67" s="3"/>
      <c r="JEH67" s="3"/>
      <c r="JEI67" s="3"/>
      <c r="JEJ67" s="3"/>
      <c r="JEK67" s="3"/>
      <c r="JEL67" s="3"/>
      <c r="JEM67" s="3"/>
      <c r="JEN67" s="3"/>
      <c r="JEO67" s="3"/>
      <c r="JEP67" s="3"/>
      <c r="JEQ67" s="3"/>
      <c r="JER67" s="3"/>
      <c r="JES67" s="3"/>
      <c r="JET67" s="3"/>
      <c r="JEU67" s="3"/>
      <c r="JEV67" s="3"/>
      <c r="JEW67" s="3"/>
      <c r="JEX67" s="3"/>
      <c r="JEY67" s="3"/>
      <c r="JEZ67" s="3"/>
      <c r="JFA67" s="3"/>
      <c r="JFB67" s="3"/>
      <c r="JFC67" s="3"/>
      <c r="JFD67" s="3"/>
      <c r="JFE67" s="3"/>
      <c r="JFF67" s="3"/>
      <c r="JFG67" s="3"/>
      <c r="JFH67" s="3"/>
      <c r="JFI67" s="3"/>
      <c r="JFJ67" s="3"/>
      <c r="JFK67" s="3"/>
      <c r="JFL67" s="3"/>
      <c r="JFM67" s="3"/>
      <c r="JFN67" s="3"/>
      <c r="JFO67" s="3"/>
      <c r="JFP67" s="3"/>
      <c r="JFQ67" s="3"/>
      <c r="JFR67" s="3"/>
      <c r="JFS67" s="3"/>
      <c r="JFT67" s="3"/>
      <c r="JFU67" s="3"/>
      <c r="JFV67" s="3"/>
      <c r="JFW67" s="3"/>
      <c r="JFX67" s="3"/>
      <c r="JFY67" s="3"/>
      <c r="JFZ67" s="3"/>
      <c r="JGA67" s="3"/>
      <c r="JGB67" s="3"/>
      <c r="JGC67" s="3"/>
      <c r="JGD67" s="3"/>
      <c r="JGE67" s="3"/>
      <c r="JGF67" s="3"/>
      <c r="JGG67" s="3"/>
      <c r="JGH67" s="3"/>
      <c r="JGI67" s="3"/>
      <c r="JGJ67" s="3"/>
      <c r="JGK67" s="3"/>
      <c r="JGL67" s="3"/>
      <c r="JGM67" s="3"/>
      <c r="JGN67" s="3"/>
      <c r="JGO67" s="3"/>
      <c r="JGP67" s="3"/>
      <c r="JGQ67" s="3"/>
      <c r="JGR67" s="3"/>
      <c r="JGS67" s="3"/>
      <c r="JGT67" s="3"/>
      <c r="JGU67" s="3"/>
      <c r="JGV67" s="3"/>
      <c r="JGW67" s="3"/>
      <c r="JGX67" s="3"/>
      <c r="JGY67" s="3"/>
      <c r="JGZ67" s="3"/>
      <c r="JHA67" s="3"/>
      <c r="JHB67" s="3"/>
      <c r="JHC67" s="3"/>
      <c r="JHD67" s="3"/>
      <c r="JHE67" s="3"/>
      <c r="JHF67" s="3"/>
      <c r="JHG67" s="3"/>
      <c r="JHH67" s="3"/>
      <c r="JHI67" s="3"/>
      <c r="JHJ67" s="3"/>
      <c r="JHK67" s="3"/>
      <c r="JHL67" s="3"/>
      <c r="JHM67" s="3"/>
      <c r="JHN67" s="3"/>
      <c r="JHO67" s="3"/>
      <c r="JHP67" s="3"/>
      <c r="JHQ67" s="3"/>
      <c r="JHR67" s="3"/>
      <c r="JHS67" s="3"/>
      <c r="JHT67" s="3"/>
      <c r="JHU67" s="3"/>
      <c r="JHV67" s="3"/>
      <c r="JHW67" s="3"/>
      <c r="JHX67" s="3"/>
      <c r="JHY67" s="3"/>
      <c r="JHZ67" s="3"/>
      <c r="JIA67" s="3"/>
      <c r="JIB67" s="3"/>
      <c r="JIC67" s="3"/>
      <c r="JID67" s="3"/>
      <c r="JIE67" s="3"/>
      <c r="JIF67" s="3"/>
      <c r="JIG67" s="3"/>
      <c r="JIH67" s="3"/>
      <c r="JII67" s="3"/>
      <c r="JIJ67" s="3"/>
      <c r="JIK67" s="3"/>
      <c r="JIL67" s="3"/>
      <c r="JIM67" s="3"/>
      <c r="JIN67" s="3"/>
      <c r="JIO67" s="3"/>
      <c r="JIP67" s="3"/>
      <c r="JIQ67" s="3"/>
      <c r="JIR67" s="3"/>
      <c r="JIS67" s="3"/>
      <c r="JIT67" s="3"/>
      <c r="JIU67" s="3"/>
      <c r="JIV67" s="3"/>
      <c r="JIW67" s="3"/>
      <c r="JIX67" s="3"/>
      <c r="JIY67" s="3"/>
      <c r="JIZ67" s="3"/>
      <c r="JJA67" s="3"/>
      <c r="JJB67" s="3"/>
      <c r="JJC67" s="3"/>
      <c r="JJD67" s="3"/>
      <c r="JJE67" s="3"/>
      <c r="JJF67" s="3"/>
      <c r="JJG67" s="3"/>
      <c r="JJH67" s="3"/>
      <c r="JJI67" s="3"/>
      <c r="JJJ67" s="3"/>
      <c r="JJK67" s="3"/>
      <c r="JJL67" s="3"/>
      <c r="JJM67" s="3"/>
      <c r="JJN67" s="3"/>
      <c r="JJO67" s="3"/>
      <c r="JJP67" s="3"/>
      <c r="JJQ67" s="3"/>
      <c r="JJR67" s="3"/>
      <c r="JJS67" s="3"/>
      <c r="JJT67" s="3"/>
      <c r="JJU67" s="3"/>
      <c r="JJV67" s="3"/>
      <c r="JJW67" s="3"/>
      <c r="JJX67" s="3"/>
      <c r="JJY67" s="3"/>
      <c r="JJZ67" s="3"/>
      <c r="JKA67" s="3"/>
      <c r="JKB67" s="3"/>
      <c r="JKC67" s="3"/>
      <c r="JKD67" s="3"/>
      <c r="JKE67" s="3"/>
      <c r="JKF67" s="3"/>
      <c r="JKG67" s="3"/>
      <c r="JKH67" s="3"/>
      <c r="JKI67" s="3"/>
      <c r="JKJ67" s="3"/>
      <c r="JKK67" s="3"/>
      <c r="JKL67" s="3"/>
      <c r="JKM67" s="3"/>
      <c r="JKN67" s="3"/>
      <c r="JKO67" s="3"/>
      <c r="JKP67" s="3"/>
      <c r="JKQ67" s="3"/>
      <c r="JKR67" s="3"/>
      <c r="JKS67" s="3"/>
      <c r="JKT67" s="3"/>
      <c r="JKU67" s="3"/>
      <c r="JKV67" s="3"/>
      <c r="JKW67" s="3"/>
      <c r="JKX67" s="3"/>
      <c r="JKY67" s="3"/>
      <c r="JKZ67" s="3"/>
      <c r="JLA67" s="3"/>
      <c r="JLB67" s="3"/>
      <c r="JLC67" s="3"/>
      <c r="JLD67" s="3"/>
      <c r="JLE67" s="3"/>
      <c r="JLF67" s="3"/>
      <c r="JLG67" s="3"/>
      <c r="JLH67" s="3"/>
      <c r="JLI67" s="3"/>
      <c r="JLJ67" s="3"/>
      <c r="JLK67" s="3"/>
      <c r="JLL67" s="3"/>
      <c r="JLM67" s="3"/>
      <c r="JLN67" s="3"/>
      <c r="JLO67" s="3"/>
      <c r="JLP67" s="3"/>
      <c r="JLQ67" s="3"/>
      <c r="JLR67" s="3"/>
      <c r="JLS67" s="3"/>
      <c r="JLT67" s="3"/>
      <c r="JLU67" s="3"/>
      <c r="JLV67" s="3"/>
      <c r="JLW67" s="3"/>
      <c r="JLX67" s="3"/>
      <c r="JLY67" s="3"/>
      <c r="JLZ67" s="3"/>
      <c r="JMA67" s="3"/>
      <c r="JMB67" s="3"/>
      <c r="JMC67" s="3"/>
      <c r="JMD67" s="3"/>
      <c r="JME67" s="3"/>
      <c r="JMF67" s="3"/>
      <c r="JMG67" s="3"/>
      <c r="JMH67" s="3"/>
      <c r="JMI67" s="3"/>
      <c r="JMJ67" s="3"/>
      <c r="JMK67" s="3"/>
      <c r="JML67" s="3"/>
      <c r="JMM67" s="3"/>
      <c r="JMN67" s="3"/>
      <c r="JMO67" s="3"/>
      <c r="JMP67" s="3"/>
      <c r="JMQ67" s="3"/>
      <c r="JMR67" s="3"/>
      <c r="JMS67" s="3"/>
      <c r="JMT67" s="3"/>
      <c r="JMU67" s="3"/>
      <c r="JMV67" s="3"/>
      <c r="JMW67" s="3"/>
      <c r="JMX67" s="3"/>
      <c r="JMY67" s="3"/>
      <c r="JMZ67" s="3"/>
      <c r="JNA67" s="3"/>
      <c r="JNB67" s="3"/>
      <c r="JNC67" s="3"/>
      <c r="JND67" s="3"/>
      <c r="JNE67" s="3"/>
      <c r="JNF67" s="3"/>
      <c r="JNG67" s="3"/>
      <c r="JNH67" s="3"/>
      <c r="JNI67" s="3"/>
      <c r="JNJ67" s="3"/>
      <c r="JNK67" s="3"/>
      <c r="JNL67" s="3"/>
      <c r="JNM67" s="3"/>
      <c r="JNN67" s="3"/>
      <c r="JNO67" s="3"/>
      <c r="JNP67" s="3"/>
      <c r="JNQ67" s="3"/>
      <c r="JNR67" s="3"/>
      <c r="JNS67" s="3"/>
      <c r="JNT67" s="3"/>
      <c r="JNU67" s="3"/>
      <c r="JNV67" s="3"/>
      <c r="JNW67" s="3"/>
      <c r="JNX67" s="3"/>
      <c r="JNY67" s="3"/>
      <c r="JNZ67" s="3"/>
      <c r="JOA67" s="3"/>
      <c r="JOB67" s="3"/>
      <c r="JOC67" s="3"/>
      <c r="JOD67" s="3"/>
      <c r="JOE67" s="3"/>
      <c r="JOF67" s="3"/>
      <c r="JOG67" s="3"/>
      <c r="JOH67" s="3"/>
      <c r="JOI67" s="3"/>
      <c r="JOJ67" s="3"/>
      <c r="JOK67" s="3"/>
      <c r="JOL67" s="3"/>
      <c r="JOM67" s="3"/>
      <c r="JON67" s="3"/>
      <c r="JOO67" s="3"/>
      <c r="JOP67" s="3"/>
      <c r="JOQ67" s="3"/>
      <c r="JOR67" s="3"/>
      <c r="JOS67" s="3"/>
      <c r="JOT67" s="3"/>
      <c r="JOU67" s="3"/>
      <c r="JOV67" s="3"/>
      <c r="JOW67" s="3"/>
      <c r="JOX67" s="3"/>
      <c r="JOY67" s="3"/>
      <c r="JOZ67" s="3"/>
      <c r="JPA67" s="3"/>
      <c r="JPB67" s="3"/>
      <c r="JPC67" s="3"/>
      <c r="JPD67" s="3"/>
      <c r="JPE67" s="3"/>
      <c r="JPF67" s="3"/>
      <c r="JPG67" s="3"/>
      <c r="JPH67" s="3"/>
      <c r="JPI67" s="3"/>
      <c r="JPJ67" s="3"/>
      <c r="JPK67" s="3"/>
      <c r="JPL67" s="3"/>
      <c r="JPM67" s="3"/>
      <c r="JPN67" s="3"/>
      <c r="JPO67" s="3"/>
      <c r="JPP67" s="3"/>
      <c r="JPQ67" s="3"/>
      <c r="JPR67" s="3"/>
      <c r="JPS67" s="3"/>
      <c r="JPT67" s="3"/>
      <c r="JPU67" s="3"/>
      <c r="JPV67" s="3"/>
      <c r="JPW67" s="3"/>
      <c r="JPX67" s="3"/>
      <c r="JPY67" s="3"/>
      <c r="JPZ67" s="3"/>
      <c r="JQA67" s="3"/>
      <c r="JQB67" s="3"/>
      <c r="JQC67" s="3"/>
      <c r="JQD67" s="3"/>
      <c r="JQE67" s="3"/>
      <c r="JQF67" s="3"/>
      <c r="JQG67" s="3"/>
      <c r="JQH67" s="3"/>
      <c r="JQI67" s="3"/>
      <c r="JQJ67" s="3"/>
      <c r="JQK67" s="3"/>
      <c r="JQL67" s="3"/>
      <c r="JQM67" s="3"/>
      <c r="JQN67" s="3"/>
      <c r="JQO67" s="3"/>
      <c r="JQP67" s="3"/>
      <c r="JQQ67" s="3"/>
      <c r="JQR67" s="3"/>
      <c r="JQS67" s="3"/>
      <c r="JQT67" s="3"/>
      <c r="JQU67" s="3"/>
      <c r="JQV67" s="3"/>
      <c r="JQW67" s="3"/>
      <c r="JQX67" s="3"/>
      <c r="JQY67" s="3"/>
      <c r="JQZ67" s="3"/>
      <c r="JRA67" s="3"/>
      <c r="JRB67" s="3"/>
      <c r="JRC67" s="3"/>
      <c r="JRD67" s="3"/>
      <c r="JRE67" s="3"/>
      <c r="JRF67" s="3"/>
      <c r="JRG67" s="3"/>
      <c r="JRH67" s="3"/>
      <c r="JRI67" s="3"/>
      <c r="JRJ67" s="3"/>
      <c r="JRK67" s="3"/>
      <c r="JRL67" s="3"/>
      <c r="JRM67" s="3"/>
      <c r="JRN67" s="3"/>
      <c r="JRO67" s="3"/>
      <c r="JRP67" s="3"/>
      <c r="JRQ67" s="3"/>
      <c r="JRR67" s="3"/>
      <c r="JRS67" s="3"/>
      <c r="JRT67" s="3"/>
      <c r="JRU67" s="3"/>
      <c r="JRV67" s="3"/>
      <c r="JRW67" s="3"/>
      <c r="JRX67" s="3"/>
      <c r="JRY67" s="3"/>
      <c r="JRZ67" s="3"/>
      <c r="JSA67" s="3"/>
      <c r="JSB67" s="3"/>
      <c r="JSC67" s="3"/>
      <c r="JSD67" s="3"/>
      <c r="JSE67" s="3"/>
      <c r="JSF67" s="3"/>
      <c r="JSG67" s="3"/>
      <c r="JSH67" s="3"/>
      <c r="JSI67" s="3"/>
      <c r="JSJ67" s="3"/>
      <c r="JSK67" s="3"/>
      <c r="JSL67" s="3"/>
      <c r="JSM67" s="3"/>
      <c r="JSN67" s="3"/>
      <c r="JSO67" s="3"/>
      <c r="JSP67" s="3"/>
      <c r="JSQ67" s="3"/>
      <c r="JSR67" s="3"/>
      <c r="JSS67" s="3"/>
      <c r="JST67" s="3"/>
      <c r="JSU67" s="3"/>
      <c r="JSV67" s="3"/>
      <c r="JSW67" s="3"/>
      <c r="JSX67" s="3"/>
      <c r="JSY67" s="3"/>
      <c r="JSZ67" s="3"/>
      <c r="JTA67" s="3"/>
      <c r="JTB67" s="3"/>
      <c r="JTC67" s="3"/>
      <c r="JTD67" s="3"/>
      <c r="JTE67" s="3"/>
      <c r="JTF67" s="3"/>
      <c r="JTG67" s="3"/>
      <c r="JTH67" s="3"/>
      <c r="JTI67" s="3"/>
      <c r="JTJ67" s="3"/>
      <c r="JTK67" s="3"/>
      <c r="JTL67" s="3"/>
      <c r="JTM67" s="3"/>
      <c r="JTN67" s="3"/>
      <c r="JTO67" s="3"/>
      <c r="JTP67" s="3"/>
      <c r="JTQ67" s="3"/>
      <c r="JTR67" s="3"/>
      <c r="JTS67" s="3"/>
      <c r="JTT67" s="3"/>
      <c r="JTU67" s="3"/>
      <c r="JTV67" s="3"/>
      <c r="JTW67" s="3"/>
      <c r="JTX67" s="3"/>
      <c r="JTY67" s="3"/>
      <c r="JTZ67" s="3"/>
      <c r="JUA67" s="3"/>
      <c r="JUB67" s="3"/>
      <c r="JUC67" s="3"/>
      <c r="JUD67" s="3"/>
      <c r="JUE67" s="3"/>
      <c r="JUF67" s="3"/>
      <c r="JUG67" s="3"/>
      <c r="JUH67" s="3"/>
      <c r="JUI67" s="3"/>
      <c r="JUJ67" s="3"/>
      <c r="JUK67" s="3"/>
      <c r="JUL67" s="3"/>
      <c r="JUM67" s="3"/>
      <c r="JUN67" s="3"/>
      <c r="JUO67" s="3"/>
      <c r="JUP67" s="3"/>
      <c r="JUQ67" s="3"/>
      <c r="JUR67" s="3"/>
      <c r="JUS67" s="3"/>
      <c r="JUT67" s="3"/>
      <c r="JUU67" s="3"/>
      <c r="JUV67" s="3"/>
      <c r="JUW67" s="3"/>
      <c r="JUX67" s="3"/>
      <c r="JUY67" s="3"/>
      <c r="JUZ67" s="3"/>
      <c r="JVA67" s="3"/>
      <c r="JVB67" s="3"/>
      <c r="JVC67" s="3"/>
      <c r="JVD67" s="3"/>
      <c r="JVE67" s="3"/>
      <c r="JVF67" s="3"/>
      <c r="JVG67" s="3"/>
      <c r="JVH67" s="3"/>
      <c r="JVI67" s="3"/>
      <c r="JVJ67" s="3"/>
      <c r="JVK67" s="3"/>
      <c r="JVL67" s="3"/>
      <c r="JVM67" s="3"/>
      <c r="JVN67" s="3"/>
      <c r="JVO67" s="3"/>
      <c r="JVP67" s="3"/>
      <c r="JVQ67" s="3"/>
      <c r="JVR67" s="3"/>
      <c r="JVS67" s="3"/>
      <c r="JVT67" s="3"/>
      <c r="JVU67" s="3"/>
      <c r="JVV67" s="3"/>
      <c r="JVW67" s="3"/>
      <c r="JVX67" s="3"/>
      <c r="JVY67" s="3"/>
      <c r="JVZ67" s="3"/>
      <c r="JWA67" s="3"/>
      <c r="JWB67" s="3"/>
      <c r="JWC67" s="3"/>
      <c r="JWD67" s="3"/>
      <c r="JWE67" s="3"/>
      <c r="JWF67" s="3"/>
      <c r="JWG67" s="3"/>
      <c r="JWH67" s="3"/>
      <c r="JWI67" s="3"/>
      <c r="JWJ67" s="3"/>
      <c r="JWK67" s="3"/>
      <c r="JWL67" s="3"/>
      <c r="JWM67" s="3"/>
      <c r="JWN67" s="3"/>
      <c r="JWO67" s="3"/>
      <c r="JWP67" s="3"/>
      <c r="JWQ67" s="3"/>
      <c r="JWR67" s="3"/>
      <c r="JWS67" s="3"/>
      <c r="JWT67" s="3"/>
      <c r="JWU67" s="3"/>
      <c r="JWV67" s="3"/>
      <c r="JWW67" s="3"/>
      <c r="JWX67" s="3"/>
      <c r="JWY67" s="3"/>
      <c r="JWZ67" s="3"/>
      <c r="JXA67" s="3"/>
      <c r="JXB67" s="3"/>
      <c r="JXC67" s="3"/>
      <c r="JXD67" s="3"/>
      <c r="JXE67" s="3"/>
      <c r="JXF67" s="3"/>
      <c r="JXG67" s="3"/>
      <c r="JXH67" s="3"/>
      <c r="JXI67" s="3"/>
      <c r="JXJ67" s="3"/>
      <c r="JXK67" s="3"/>
      <c r="JXL67" s="3"/>
      <c r="JXM67" s="3"/>
      <c r="JXN67" s="3"/>
      <c r="JXO67" s="3"/>
      <c r="JXP67" s="3"/>
      <c r="JXQ67" s="3"/>
      <c r="JXR67" s="3"/>
      <c r="JXS67" s="3"/>
      <c r="JXT67" s="3"/>
      <c r="JXU67" s="3"/>
      <c r="JXV67" s="3"/>
      <c r="JXW67" s="3"/>
      <c r="JXX67" s="3"/>
      <c r="JXY67" s="3"/>
      <c r="JXZ67" s="3"/>
      <c r="JYA67" s="3"/>
      <c r="JYB67" s="3"/>
      <c r="JYC67" s="3"/>
      <c r="JYD67" s="3"/>
      <c r="JYE67" s="3"/>
      <c r="JYF67" s="3"/>
      <c r="JYG67" s="3"/>
      <c r="JYH67" s="3"/>
      <c r="JYI67" s="3"/>
      <c r="JYJ67" s="3"/>
      <c r="JYK67" s="3"/>
      <c r="JYL67" s="3"/>
      <c r="JYM67" s="3"/>
      <c r="JYN67" s="3"/>
      <c r="JYO67" s="3"/>
      <c r="JYP67" s="3"/>
      <c r="JYQ67" s="3"/>
      <c r="JYR67" s="3"/>
      <c r="JYS67" s="3"/>
      <c r="JYT67" s="3"/>
      <c r="JYU67" s="3"/>
      <c r="JYV67" s="3"/>
      <c r="JYW67" s="3"/>
      <c r="JYX67" s="3"/>
      <c r="JYY67" s="3"/>
      <c r="JYZ67" s="3"/>
      <c r="JZA67" s="3"/>
      <c r="JZB67" s="3"/>
      <c r="JZC67" s="3"/>
      <c r="JZD67" s="3"/>
      <c r="JZE67" s="3"/>
      <c r="JZF67" s="3"/>
      <c r="JZG67" s="3"/>
      <c r="JZH67" s="3"/>
      <c r="JZI67" s="3"/>
      <c r="JZJ67" s="3"/>
      <c r="JZK67" s="3"/>
      <c r="JZL67" s="3"/>
      <c r="JZM67" s="3"/>
      <c r="JZN67" s="3"/>
      <c r="JZO67" s="3"/>
      <c r="JZP67" s="3"/>
      <c r="JZQ67" s="3"/>
      <c r="JZR67" s="3"/>
      <c r="JZS67" s="3"/>
      <c r="JZT67" s="3"/>
      <c r="JZU67" s="3"/>
      <c r="JZV67" s="3"/>
      <c r="JZW67" s="3"/>
      <c r="JZX67" s="3"/>
      <c r="JZY67" s="3"/>
      <c r="JZZ67" s="3"/>
      <c r="KAA67" s="3"/>
      <c r="KAB67" s="3"/>
      <c r="KAC67" s="3"/>
      <c r="KAD67" s="3"/>
      <c r="KAE67" s="3"/>
      <c r="KAF67" s="3"/>
      <c r="KAG67" s="3"/>
      <c r="KAH67" s="3"/>
      <c r="KAI67" s="3"/>
      <c r="KAJ67" s="3"/>
      <c r="KAK67" s="3"/>
      <c r="KAL67" s="3"/>
      <c r="KAM67" s="3"/>
      <c r="KAN67" s="3"/>
      <c r="KAO67" s="3"/>
      <c r="KAP67" s="3"/>
      <c r="KAQ67" s="3"/>
      <c r="KAR67" s="3"/>
      <c r="KAS67" s="3"/>
      <c r="KAT67" s="3"/>
      <c r="KAU67" s="3"/>
      <c r="KAV67" s="3"/>
      <c r="KAW67" s="3"/>
      <c r="KAX67" s="3"/>
      <c r="KAY67" s="3"/>
      <c r="KAZ67" s="3"/>
      <c r="KBA67" s="3"/>
      <c r="KBB67" s="3"/>
      <c r="KBC67" s="3"/>
      <c r="KBD67" s="3"/>
      <c r="KBE67" s="3"/>
      <c r="KBF67" s="3"/>
      <c r="KBG67" s="3"/>
      <c r="KBH67" s="3"/>
      <c r="KBI67" s="3"/>
      <c r="KBJ67" s="3"/>
      <c r="KBK67" s="3"/>
      <c r="KBL67" s="3"/>
      <c r="KBM67" s="3"/>
      <c r="KBN67" s="3"/>
      <c r="KBO67" s="3"/>
      <c r="KBP67" s="3"/>
      <c r="KBQ67" s="3"/>
      <c r="KBR67" s="3"/>
      <c r="KBS67" s="3"/>
      <c r="KBT67" s="3"/>
      <c r="KBU67" s="3"/>
      <c r="KBV67" s="3"/>
      <c r="KBW67" s="3"/>
      <c r="KBX67" s="3"/>
      <c r="KBY67" s="3"/>
      <c r="KBZ67" s="3"/>
      <c r="KCA67" s="3"/>
      <c r="KCB67" s="3"/>
      <c r="KCC67" s="3"/>
      <c r="KCD67" s="3"/>
      <c r="KCE67" s="3"/>
      <c r="KCF67" s="3"/>
      <c r="KCG67" s="3"/>
      <c r="KCH67" s="3"/>
      <c r="KCI67" s="3"/>
      <c r="KCJ67" s="3"/>
      <c r="KCK67" s="3"/>
      <c r="KCL67" s="3"/>
      <c r="KCM67" s="3"/>
      <c r="KCN67" s="3"/>
      <c r="KCO67" s="3"/>
      <c r="KCP67" s="3"/>
      <c r="KCQ67" s="3"/>
      <c r="KCR67" s="3"/>
      <c r="KCS67" s="3"/>
      <c r="KCT67" s="3"/>
      <c r="KCU67" s="3"/>
      <c r="KCV67" s="3"/>
      <c r="KCW67" s="3"/>
      <c r="KCX67" s="3"/>
      <c r="KCY67" s="3"/>
      <c r="KCZ67" s="3"/>
      <c r="KDA67" s="3"/>
      <c r="KDB67" s="3"/>
      <c r="KDC67" s="3"/>
      <c r="KDD67" s="3"/>
      <c r="KDE67" s="3"/>
      <c r="KDF67" s="3"/>
      <c r="KDG67" s="3"/>
      <c r="KDH67" s="3"/>
      <c r="KDI67" s="3"/>
      <c r="KDJ67" s="3"/>
      <c r="KDK67" s="3"/>
      <c r="KDL67" s="3"/>
      <c r="KDM67" s="3"/>
      <c r="KDN67" s="3"/>
      <c r="KDO67" s="3"/>
      <c r="KDP67" s="3"/>
      <c r="KDQ67" s="3"/>
      <c r="KDR67" s="3"/>
      <c r="KDS67" s="3"/>
      <c r="KDT67" s="3"/>
      <c r="KDU67" s="3"/>
      <c r="KDV67" s="3"/>
      <c r="KDW67" s="3"/>
      <c r="KDX67" s="3"/>
      <c r="KDY67" s="3"/>
      <c r="KDZ67" s="3"/>
      <c r="KEA67" s="3"/>
      <c r="KEB67" s="3"/>
      <c r="KEC67" s="3"/>
      <c r="KED67" s="3"/>
      <c r="KEE67" s="3"/>
      <c r="KEF67" s="3"/>
      <c r="KEG67" s="3"/>
      <c r="KEH67" s="3"/>
      <c r="KEI67" s="3"/>
      <c r="KEJ67" s="3"/>
      <c r="KEK67" s="3"/>
      <c r="KEL67" s="3"/>
      <c r="KEM67" s="3"/>
      <c r="KEN67" s="3"/>
      <c r="KEO67" s="3"/>
      <c r="KEP67" s="3"/>
      <c r="KEQ67" s="3"/>
      <c r="KER67" s="3"/>
      <c r="KES67" s="3"/>
      <c r="KET67" s="3"/>
      <c r="KEU67" s="3"/>
      <c r="KEV67" s="3"/>
      <c r="KEW67" s="3"/>
      <c r="KEX67" s="3"/>
      <c r="KEY67" s="3"/>
      <c r="KEZ67" s="3"/>
      <c r="KFA67" s="3"/>
      <c r="KFB67" s="3"/>
      <c r="KFC67" s="3"/>
      <c r="KFD67" s="3"/>
      <c r="KFE67" s="3"/>
      <c r="KFF67" s="3"/>
      <c r="KFG67" s="3"/>
      <c r="KFH67" s="3"/>
      <c r="KFI67" s="3"/>
      <c r="KFJ67" s="3"/>
      <c r="KFK67" s="3"/>
      <c r="KFL67" s="3"/>
      <c r="KFM67" s="3"/>
      <c r="KFN67" s="3"/>
      <c r="KFO67" s="3"/>
      <c r="KFP67" s="3"/>
      <c r="KFQ67" s="3"/>
      <c r="KFR67" s="3"/>
      <c r="KFS67" s="3"/>
      <c r="KFT67" s="3"/>
      <c r="KFU67" s="3"/>
      <c r="KFV67" s="3"/>
      <c r="KFW67" s="3"/>
      <c r="KFX67" s="3"/>
      <c r="KFY67" s="3"/>
      <c r="KFZ67" s="3"/>
      <c r="KGA67" s="3"/>
      <c r="KGB67" s="3"/>
      <c r="KGC67" s="3"/>
      <c r="KGD67" s="3"/>
      <c r="KGE67" s="3"/>
      <c r="KGF67" s="3"/>
      <c r="KGG67" s="3"/>
      <c r="KGH67" s="3"/>
      <c r="KGI67" s="3"/>
      <c r="KGJ67" s="3"/>
      <c r="KGK67" s="3"/>
      <c r="KGL67" s="3"/>
      <c r="KGM67" s="3"/>
      <c r="KGN67" s="3"/>
      <c r="KGO67" s="3"/>
      <c r="KGP67" s="3"/>
      <c r="KGQ67" s="3"/>
      <c r="KGR67" s="3"/>
      <c r="KGS67" s="3"/>
      <c r="KGT67" s="3"/>
      <c r="KGU67" s="3"/>
      <c r="KGV67" s="3"/>
      <c r="KGW67" s="3"/>
      <c r="KGX67" s="3"/>
      <c r="KGY67" s="3"/>
      <c r="KGZ67" s="3"/>
      <c r="KHA67" s="3"/>
      <c r="KHB67" s="3"/>
      <c r="KHC67" s="3"/>
      <c r="KHD67" s="3"/>
      <c r="KHE67" s="3"/>
      <c r="KHF67" s="3"/>
      <c r="KHG67" s="3"/>
      <c r="KHH67" s="3"/>
      <c r="KHI67" s="3"/>
      <c r="KHJ67" s="3"/>
      <c r="KHK67" s="3"/>
      <c r="KHL67" s="3"/>
      <c r="KHM67" s="3"/>
      <c r="KHN67" s="3"/>
      <c r="KHO67" s="3"/>
      <c r="KHP67" s="3"/>
      <c r="KHQ67" s="3"/>
      <c r="KHR67" s="3"/>
      <c r="KHS67" s="3"/>
      <c r="KHT67" s="3"/>
      <c r="KHU67" s="3"/>
      <c r="KHV67" s="3"/>
      <c r="KHW67" s="3"/>
      <c r="KHX67" s="3"/>
      <c r="KHY67" s="3"/>
      <c r="KHZ67" s="3"/>
      <c r="KIA67" s="3"/>
      <c r="KIB67" s="3"/>
      <c r="KIC67" s="3"/>
      <c r="KID67" s="3"/>
      <c r="KIE67" s="3"/>
      <c r="KIF67" s="3"/>
      <c r="KIG67" s="3"/>
      <c r="KIH67" s="3"/>
      <c r="KII67" s="3"/>
      <c r="KIJ67" s="3"/>
      <c r="KIK67" s="3"/>
      <c r="KIL67" s="3"/>
      <c r="KIM67" s="3"/>
      <c r="KIN67" s="3"/>
      <c r="KIO67" s="3"/>
      <c r="KIP67" s="3"/>
      <c r="KIQ67" s="3"/>
      <c r="KIR67" s="3"/>
      <c r="KIS67" s="3"/>
      <c r="KIT67" s="3"/>
      <c r="KIU67" s="3"/>
      <c r="KIV67" s="3"/>
      <c r="KIW67" s="3"/>
      <c r="KIX67" s="3"/>
      <c r="KIY67" s="3"/>
      <c r="KIZ67" s="3"/>
      <c r="KJA67" s="3"/>
      <c r="KJB67" s="3"/>
      <c r="KJC67" s="3"/>
      <c r="KJD67" s="3"/>
      <c r="KJE67" s="3"/>
      <c r="KJF67" s="3"/>
      <c r="KJG67" s="3"/>
      <c r="KJH67" s="3"/>
      <c r="KJI67" s="3"/>
      <c r="KJJ67" s="3"/>
      <c r="KJK67" s="3"/>
      <c r="KJL67" s="3"/>
      <c r="KJM67" s="3"/>
      <c r="KJN67" s="3"/>
      <c r="KJO67" s="3"/>
      <c r="KJP67" s="3"/>
      <c r="KJQ67" s="3"/>
      <c r="KJR67" s="3"/>
      <c r="KJS67" s="3"/>
      <c r="KJT67" s="3"/>
      <c r="KJU67" s="3"/>
      <c r="KJV67" s="3"/>
      <c r="KJW67" s="3"/>
      <c r="KJX67" s="3"/>
      <c r="KJY67" s="3"/>
      <c r="KJZ67" s="3"/>
      <c r="KKA67" s="3"/>
      <c r="KKB67" s="3"/>
      <c r="KKC67" s="3"/>
      <c r="KKD67" s="3"/>
      <c r="KKE67" s="3"/>
      <c r="KKF67" s="3"/>
      <c r="KKG67" s="3"/>
      <c r="KKH67" s="3"/>
      <c r="KKI67" s="3"/>
      <c r="KKJ67" s="3"/>
      <c r="KKK67" s="3"/>
      <c r="KKL67" s="3"/>
      <c r="KKM67" s="3"/>
      <c r="KKN67" s="3"/>
      <c r="KKO67" s="3"/>
      <c r="KKP67" s="3"/>
      <c r="KKQ67" s="3"/>
      <c r="KKR67" s="3"/>
      <c r="KKS67" s="3"/>
      <c r="KKT67" s="3"/>
      <c r="KKU67" s="3"/>
      <c r="KKV67" s="3"/>
      <c r="KKW67" s="3"/>
      <c r="KKX67" s="3"/>
      <c r="KKY67" s="3"/>
      <c r="KKZ67" s="3"/>
      <c r="KLA67" s="3"/>
      <c r="KLB67" s="3"/>
      <c r="KLC67" s="3"/>
      <c r="KLD67" s="3"/>
      <c r="KLE67" s="3"/>
      <c r="KLF67" s="3"/>
      <c r="KLG67" s="3"/>
      <c r="KLH67" s="3"/>
      <c r="KLI67" s="3"/>
      <c r="KLJ67" s="3"/>
      <c r="KLK67" s="3"/>
      <c r="KLL67" s="3"/>
      <c r="KLM67" s="3"/>
      <c r="KLN67" s="3"/>
      <c r="KLO67" s="3"/>
      <c r="KLP67" s="3"/>
      <c r="KLQ67" s="3"/>
      <c r="KLR67" s="3"/>
      <c r="KLS67" s="3"/>
      <c r="KLT67" s="3"/>
      <c r="KLU67" s="3"/>
      <c r="KLV67" s="3"/>
      <c r="KLW67" s="3"/>
      <c r="KLX67" s="3"/>
      <c r="KLY67" s="3"/>
      <c r="KLZ67" s="3"/>
      <c r="KMA67" s="3"/>
      <c r="KMB67" s="3"/>
      <c r="KMC67" s="3"/>
      <c r="KMD67" s="3"/>
      <c r="KME67" s="3"/>
      <c r="KMF67" s="3"/>
      <c r="KMG67" s="3"/>
      <c r="KMH67" s="3"/>
      <c r="KMI67" s="3"/>
      <c r="KMJ67" s="3"/>
      <c r="KMK67" s="3"/>
      <c r="KML67" s="3"/>
      <c r="KMM67" s="3"/>
      <c r="KMN67" s="3"/>
      <c r="KMO67" s="3"/>
      <c r="KMP67" s="3"/>
      <c r="KMQ67" s="3"/>
      <c r="KMR67" s="3"/>
      <c r="KMS67" s="3"/>
      <c r="KMT67" s="3"/>
      <c r="KMU67" s="3"/>
      <c r="KMV67" s="3"/>
      <c r="KMW67" s="3"/>
      <c r="KMX67" s="3"/>
      <c r="KMY67" s="3"/>
      <c r="KMZ67" s="3"/>
      <c r="KNA67" s="3"/>
      <c r="KNB67" s="3"/>
      <c r="KNC67" s="3"/>
      <c r="KND67" s="3"/>
      <c r="KNE67" s="3"/>
      <c r="KNF67" s="3"/>
      <c r="KNG67" s="3"/>
      <c r="KNH67" s="3"/>
      <c r="KNI67" s="3"/>
      <c r="KNJ67" s="3"/>
      <c r="KNK67" s="3"/>
      <c r="KNL67" s="3"/>
      <c r="KNM67" s="3"/>
      <c r="KNN67" s="3"/>
      <c r="KNO67" s="3"/>
      <c r="KNP67" s="3"/>
      <c r="KNQ67" s="3"/>
      <c r="KNR67" s="3"/>
      <c r="KNS67" s="3"/>
      <c r="KNT67" s="3"/>
      <c r="KNU67" s="3"/>
      <c r="KNV67" s="3"/>
      <c r="KNW67" s="3"/>
      <c r="KNX67" s="3"/>
      <c r="KNY67" s="3"/>
      <c r="KNZ67" s="3"/>
      <c r="KOA67" s="3"/>
      <c r="KOB67" s="3"/>
      <c r="KOC67" s="3"/>
      <c r="KOD67" s="3"/>
      <c r="KOE67" s="3"/>
      <c r="KOF67" s="3"/>
      <c r="KOG67" s="3"/>
      <c r="KOH67" s="3"/>
      <c r="KOI67" s="3"/>
      <c r="KOJ67" s="3"/>
      <c r="KOK67" s="3"/>
      <c r="KOL67" s="3"/>
      <c r="KOM67" s="3"/>
      <c r="KON67" s="3"/>
      <c r="KOO67" s="3"/>
      <c r="KOP67" s="3"/>
      <c r="KOQ67" s="3"/>
      <c r="KOR67" s="3"/>
      <c r="KOS67" s="3"/>
      <c r="KOT67" s="3"/>
      <c r="KOU67" s="3"/>
      <c r="KOV67" s="3"/>
      <c r="KOW67" s="3"/>
      <c r="KOX67" s="3"/>
      <c r="KOY67" s="3"/>
      <c r="KOZ67" s="3"/>
      <c r="KPA67" s="3"/>
      <c r="KPB67" s="3"/>
      <c r="KPC67" s="3"/>
      <c r="KPD67" s="3"/>
      <c r="KPE67" s="3"/>
      <c r="KPF67" s="3"/>
      <c r="KPG67" s="3"/>
      <c r="KPH67" s="3"/>
      <c r="KPI67" s="3"/>
      <c r="KPJ67" s="3"/>
      <c r="KPK67" s="3"/>
      <c r="KPL67" s="3"/>
      <c r="KPM67" s="3"/>
      <c r="KPN67" s="3"/>
      <c r="KPO67" s="3"/>
      <c r="KPP67" s="3"/>
      <c r="KPQ67" s="3"/>
      <c r="KPR67" s="3"/>
      <c r="KPS67" s="3"/>
      <c r="KPT67" s="3"/>
      <c r="KPU67" s="3"/>
      <c r="KPV67" s="3"/>
      <c r="KPW67" s="3"/>
      <c r="KPX67" s="3"/>
      <c r="KPY67" s="3"/>
      <c r="KPZ67" s="3"/>
      <c r="KQA67" s="3"/>
      <c r="KQB67" s="3"/>
      <c r="KQC67" s="3"/>
      <c r="KQD67" s="3"/>
      <c r="KQE67" s="3"/>
      <c r="KQF67" s="3"/>
      <c r="KQG67" s="3"/>
      <c r="KQH67" s="3"/>
      <c r="KQI67" s="3"/>
      <c r="KQJ67" s="3"/>
      <c r="KQK67" s="3"/>
      <c r="KQL67" s="3"/>
      <c r="KQM67" s="3"/>
      <c r="KQN67" s="3"/>
      <c r="KQO67" s="3"/>
      <c r="KQP67" s="3"/>
      <c r="KQQ67" s="3"/>
      <c r="KQR67" s="3"/>
      <c r="KQS67" s="3"/>
      <c r="KQT67" s="3"/>
      <c r="KQU67" s="3"/>
      <c r="KQV67" s="3"/>
      <c r="KQW67" s="3"/>
      <c r="KQX67" s="3"/>
      <c r="KQY67" s="3"/>
      <c r="KQZ67" s="3"/>
      <c r="KRA67" s="3"/>
      <c r="KRB67" s="3"/>
      <c r="KRC67" s="3"/>
      <c r="KRD67" s="3"/>
      <c r="KRE67" s="3"/>
      <c r="KRF67" s="3"/>
      <c r="KRG67" s="3"/>
      <c r="KRH67" s="3"/>
      <c r="KRI67" s="3"/>
      <c r="KRJ67" s="3"/>
      <c r="KRK67" s="3"/>
      <c r="KRL67" s="3"/>
      <c r="KRM67" s="3"/>
      <c r="KRN67" s="3"/>
      <c r="KRO67" s="3"/>
      <c r="KRP67" s="3"/>
      <c r="KRQ67" s="3"/>
      <c r="KRR67" s="3"/>
      <c r="KRS67" s="3"/>
      <c r="KRT67" s="3"/>
      <c r="KRU67" s="3"/>
      <c r="KRV67" s="3"/>
      <c r="KRW67" s="3"/>
      <c r="KRX67" s="3"/>
      <c r="KRY67" s="3"/>
      <c r="KRZ67" s="3"/>
      <c r="KSA67" s="3"/>
      <c r="KSB67" s="3"/>
      <c r="KSC67" s="3"/>
      <c r="KSD67" s="3"/>
      <c r="KSE67" s="3"/>
      <c r="KSF67" s="3"/>
      <c r="KSG67" s="3"/>
      <c r="KSH67" s="3"/>
      <c r="KSI67" s="3"/>
      <c r="KSJ67" s="3"/>
      <c r="KSK67" s="3"/>
      <c r="KSL67" s="3"/>
      <c r="KSM67" s="3"/>
      <c r="KSN67" s="3"/>
      <c r="KSO67" s="3"/>
      <c r="KSP67" s="3"/>
      <c r="KSQ67" s="3"/>
      <c r="KSR67" s="3"/>
      <c r="KSS67" s="3"/>
      <c r="KST67" s="3"/>
      <c r="KSU67" s="3"/>
      <c r="KSV67" s="3"/>
      <c r="KSW67" s="3"/>
      <c r="KSX67" s="3"/>
      <c r="KSY67" s="3"/>
      <c r="KSZ67" s="3"/>
      <c r="KTA67" s="3"/>
      <c r="KTB67" s="3"/>
      <c r="KTC67" s="3"/>
      <c r="KTD67" s="3"/>
      <c r="KTE67" s="3"/>
      <c r="KTF67" s="3"/>
      <c r="KTG67" s="3"/>
      <c r="KTH67" s="3"/>
      <c r="KTI67" s="3"/>
      <c r="KTJ67" s="3"/>
      <c r="KTK67" s="3"/>
      <c r="KTL67" s="3"/>
      <c r="KTM67" s="3"/>
      <c r="KTN67" s="3"/>
      <c r="KTO67" s="3"/>
      <c r="KTP67" s="3"/>
      <c r="KTQ67" s="3"/>
      <c r="KTR67" s="3"/>
      <c r="KTS67" s="3"/>
      <c r="KTT67" s="3"/>
      <c r="KTU67" s="3"/>
      <c r="KTV67" s="3"/>
      <c r="KTW67" s="3"/>
      <c r="KTX67" s="3"/>
      <c r="KTY67" s="3"/>
      <c r="KTZ67" s="3"/>
      <c r="KUA67" s="3"/>
      <c r="KUB67" s="3"/>
      <c r="KUC67" s="3"/>
      <c r="KUD67" s="3"/>
      <c r="KUE67" s="3"/>
      <c r="KUF67" s="3"/>
      <c r="KUG67" s="3"/>
      <c r="KUH67" s="3"/>
      <c r="KUI67" s="3"/>
      <c r="KUJ67" s="3"/>
      <c r="KUK67" s="3"/>
      <c r="KUL67" s="3"/>
      <c r="KUM67" s="3"/>
      <c r="KUN67" s="3"/>
      <c r="KUO67" s="3"/>
      <c r="KUP67" s="3"/>
      <c r="KUQ67" s="3"/>
      <c r="KUR67" s="3"/>
      <c r="KUS67" s="3"/>
      <c r="KUT67" s="3"/>
      <c r="KUU67" s="3"/>
      <c r="KUV67" s="3"/>
      <c r="KUW67" s="3"/>
      <c r="KUX67" s="3"/>
      <c r="KUY67" s="3"/>
      <c r="KUZ67" s="3"/>
      <c r="KVA67" s="3"/>
      <c r="KVB67" s="3"/>
      <c r="KVC67" s="3"/>
      <c r="KVD67" s="3"/>
      <c r="KVE67" s="3"/>
      <c r="KVF67" s="3"/>
      <c r="KVG67" s="3"/>
      <c r="KVH67" s="3"/>
      <c r="KVI67" s="3"/>
      <c r="KVJ67" s="3"/>
      <c r="KVK67" s="3"/>
      <c r="KVL67" s="3"/>
      <c r="KVM67" s="3"/>
      <c r="KVN67" s="3"/>
      <c r="KVO67" s="3"/>
      <c r="KVP67" s="3"/>
      <c r="KVQ67" s="3"/>
      <c r="KVR67" s="3"/>
      <c r="KVS67" s="3"/>
      <c r="KVT67" s="3"/>
      <c r="KVU67" s="3"/>
      <c r="KVV67" s="3"/>
      <c r="KVW67" s="3"/>
      <c r="KVX67" s="3"/>
      <c r="KVY67" s="3"/>
      <c r="KVZ67" s="3"/>
      <c r="KWA67" s="3"/>
      <c r="KWB67" s="3"/>
      <c r="KWC67" s="3"/>
      <c r="KWD67" s="3"/>
      <c r="KWE67" s="3"/>
      <c r="KWF67" s="3"/>
      <c r="KWG67" s="3"/>
      <c r="KWH67" s="3"/>
      <c r="KWI67" s="3"/>
      <c r="KWJ67" s="3"/>
      <c r="KWK67" s="3"/>
      <c r="KWL67" s="3"/>
      <c r="KWM67" s="3"/>
      <c r="KWN67" s="3"/>
      <c r="KWO67" s="3"/>
      <c r="KWP67" s="3"/>
      <c r="KWQ67" s="3"/>
      <c r="KWR67" s="3"/>
      <c r="KWS67" s="3"/>
      <c r="KWT67" s="3"/>
      <c r="KWU67" s="3"/>
      <c r="KWV67" s="3"/>
      <c r="KWW67" s="3"/>
      <c r="KWX67" s="3"/>
      <c r="KWY67" s="3"/>
      <c r="KWZ67" s="3"/>
      <c r="KXA67" s="3"/>
      <c r="KXB67" s="3"/>
      <c r="KXC67" s="3"/>
      <c r="KXD67" s="3"/>
      <c r="KXE67" s="3"/>
      <c r="KXF67" s="3"/>
      <c r="KXG67" s="3"/>
      <c r="KXH67" s="3"/>
      <c r="KXI67" s="3"/>
      <c r="KXJ67" s="3"/>
      <c r="KXK67" s="3"/>
      <c r="KXL67" s="3"/>
      <c r="KXM67" s="3"/>
      <c r="KXN67" s="3"/>
      <c r="KXO67" s="3"/>
      <c r="KXP67" s="3"/>
      <c r="KXQ67" s="3"/>
      <c r="KXR67" s="3"/>
      <c r="KXS67" s="3"/>
      <c r="KXT67" s="3"/>
      <c r="KXU67" s="3"/>
      <c r="KXV67" s="3"/>
      <c r="KXW67" s="3"/>
      <c r="KXX67" s="3"/>
      <c r="KXY67" s="3"/>
      <c r="KXZ67" s="3"/>
      <c r="KYA67" s="3"/>
      <c r="KYB67" s="3"/>
      <c r="KYC67" s="3"/>
      <c r="KYD67" s="3"/>
      <c r="KYE67" s="3"/>
      <c r="KYF67" s="3"/>
      <c r="KYG67" s="3"/>
      <c r="KYH67" s="3"/>
      <c r="KYI67" s="3"/>
      <c r="KYJ67" s="3"/>
      <c r="KYK67" s="3"/>
      <c r="KYL67" s="3"/>
      <c r="KYM67" s="3"/>
      <c r="KYN67" s="3"/>
      <c r="KYO67" s="3"/>
      <c r="KYP67" s="3"/>
      <c r="KYQ67" s="3"/>
      <c r="KYR67" s="3"/>
      <c r="KYS67" s="3"/>
      <c r="KYT67" s="3"/>
      <c r="KYU67" s="3"/>
      <c r="KYV67" s="3"/>
      <c r="KYW67" s="3"/>
      <c r="KYX67" s="3"/>
      <c r="KYY67" s="3"/>
      <c r="KYZ67" s="3"/>
      <c r="KZA67" s="3"/>
      <c r="KZB67" s="3"/>
      <c r="KZC67" s="3"/>
      <c r="KZD67" s="3"/>
      <c r="KZE67" s="3"/>
      <c r="KZF67" s="3"/>
      <c r="KZG67" s="3"/>
      <c r="KZH67" s="3"/>
      <c r="KZI67" s="3"/>
      <c r="KZJ67" s="3"/>
      <c r="KZK67" s="3"/>
      <c r="KZL67" s="3"/>
      <c r="KZM67" s="3"/>
      <c r="KZN67" s="3"/>
      <c r="KZO67" s="3"/>
      <c r="KZP67" s="3"/>
      <c r="KZQ67" s="3"/>
      <c r="KZR67" s="3"/>
      <c r="KZS67" s="3"/>
      <c r="KZT67" s="3"/>
      <c r="KZU67" s="3"/>
      <c r="KZV67" s="3"/>
      <c r="KZW67" s="3"/>
      <c r="KZX67" s="3"/>
      <c r="KZY67" s="3"/>
      <c r="KZZ67" s="3"/>
      <c r="LAA67" s="3"/>
      <c r="LAB67" s="3"/>
      <c r="LAC67" s="3"/>
      <c r="LAD67" s="3"/>
      <c r="LAE67" s="3"/>
      <c r="LAF67" s="3"/>
      <c r="LAG67" s="3"/>
      <c r="LAH67" s="3"/>
      <c r="LAI67" s="3"/>
      <c r="LAJ67" s="3"/>
      <c r="LAK67" s="3"/>
      <c r="LAL67" s="3"/>
      <c r="LAM67" s="3"/>
      <c r="LAN67" s="3"/>
      <c r="LAO67" s="3"/>
      <c r="LAP67" s="3"/>
      <c r="LAQ67" s="3"/>
      <c r="LAR67" s="3"/>
      <c r="LAS67" s="3"/>
      <c r="LAT67" s="3"/>
      <c r="LAU67" s="3"/>
      <c r="LAV67" s="3"/>
      <c r="LAW67" s="3"/>
      <c r="LAX67" s="3"/>
      <c r="LAY67" s="3"/>
      <c r="LAZ67" s="3"/>
      <c r="LBA67" s="3"/>
      <c r="LBB67" s="3"/>
      <c r="LBC67" s="3"/>
      <c r="LBD67" s="3"/>
      <c r="LBE67" s="3"/>
      <c r="LBF67" s="3"/>
      <c r="LBG67" s="3"/>
      <c r="LBH67" s="3"/>
      <c r="LBI67" s="3"/>
      <c r="LBJ67" s="3"/>
      <c r="LBK67" s="3"/>
      <c r="LBL67" s="3"/>
      <c r="LBM67" s="3"/>
      <c r="LBN67" s="3"/>
      <c r="LBO67" s="3"/>
      <c r="LBP67" s="3"/>
      <c r="LBQ67" s="3"/>
      <c r="LBR67" s="3"/>
      <c r="LBS67" s="3"/>
      <c r="LBT67" s="3"/>
      <c r="LBU67" s="3"/>
      <c r="LBV67" s="3"/>
      <c r="LBW67" s="3"/>
      <c r="LBX67" s="3"/>
      <c r="LBY67" s="3"/>
      <c r="LBZ67" s="3"/>
      <c r="LCA67" s="3"/>
      <c r="LCB67" s="3"/>
      <c r="LCC67" s="3"/>
      <c r="LCD67" s="3"/>
      <c r="LCE67" s="3"/>
      <c r="LCF67" s="3"/>
      <c r="LCG67" s="3"/>
      <c r="LCH67" s="3"/>
      <c r="LCI67" s="3"/>
      <c r="LCJ67" s="3"/>
      <c r="LCK67" s="3"/>
      <c r="LCL67" s="3"/>
      <c r="LCM67" s="3"/>
      <c r="LCN67" s="3"/>
      <c r="LCO67" s="3"/>
      <c r="LCP67" s="3"/>
      <c r="LCQ67" s="3"/>
      <c r="LCR67" s="3"/>
      <c r="LCS67" s="3"/>
      <c r="LCT67" s="3"/>
      <c r="LCU67" s="3"/>
      <c r="LCV67" s="3"/>
      <c r="LCW67" s="3"/>
      <c r="LCX67" s="3"/>
      <c r="LCY67" s="3"/>
      <c r="LCZ67" s="3"/>
      <c r="LDA67" s="3"/>
      <c r="LDB67" s="3"/>
      <c r="LDC67" s="3"/>
      <c r="LDD67" s="3"/>
      <c r="LDE67" s="3"/>
      <c r="LDF67" s="3"/>
      <c r="LDG67" s="3"/>
      <c r="LDH67" s="3"/>
      <c r="LDI67" s="3"/>
      <c r="LDJ67" s="3"/>
      <c r="LDK67" s="3"/>
      <c r="LDL67" s="3"/>
      <c r="LDM67" s="3"/>
      <c r="LDN67" s="3"/>
      <c r="LDO67" s="3"/>
      <c r="LDP67" s="3"/>
      <c r="LDQ67" s="3"/>
      <c r="LDR67" s="3"/>
      <c r="LDS67" s="3"/>
      <c r="LDT67" s="3"/>
      <c r="LDU67" s="3"/>
      <c r="LDV67" s="3"/>
      <c r="LDW67" s="3"/>
      <c r="LDX67" s="3"/>
      <c r="LDY67" s="3"/>
      <c r="LDZ67" s="3"/>
      <c r="LEA67" s="3"/>
      <c r="LEB67" s="3"/>
      <c r="LEC67" s="3"/>
      <c r="LED67" s="3"/>
      <c r="LEE67" s="3"/>
      <c r="LEF67" s="3"/>
      <c r="LEG67" s="3"/>
      <c r="LEH67" s="3"/>
      <c r="LEI67" s="3"/>
      <c r="LEJ67" s="3"/>
      <c r="LEK67" s="3"/>
      <c r="LEL67" s="3"/>
      <c r="LEM67" s="3"/>
      <c r="LEN67" s="3"/>
      <c r="LEO67" s="3"/>
      <c r="LEP67" s="3"/>
      <c r="LEQ67" s="3"/>
      <c r="LER67" s="3"/>
      <c r="LES67" s="3"/>
      <c r="LET67" s="3"/>
      <c r="LEU67" s="3"/>
      <c r="LEV67" s="3"/>
      <c r="LEW67" s="3"/>
      <c r="LEX67" s="3"/>
      <c r="LEY67" s="3"/>
      <c r="LEZ67" s="3"/>
      <c r="LFA67" s="3"/>
      <c r="LFB67" s="3"/>
      <c r="LFC67" s="3"/>
      <c r="LFD67" s="3"/>
      <c r="LFE67" s="3"/>
      <c r="LFF67" s="3"/>
      <c r="LFG67" s="3"/>
      <c r="LFH67" s="3"/>
      <c r="LFI67" s="3"/>
      <c r="LFJ67" s="3"/>
      <c r="LFK67" s="3"/>
      <c r="LFL67" s="3"/>
      <c r="LFM67" s="3"/>
      <c r="LFN67" s="3"/>
      <c r="LFO67" s="3"/>
      <c r="LFP67" s="3"/>
      <c r="LFQ67" s="3"/>
      <c r="LFR67" s="3"/>
      <c r="LFS67" s="3"/>
      <c r="LFT67" s="3"/>
      <c r="LFU67" s="3"/>
      <c r="LFV67" s="3"/>
      <c r="LFW67" s="3"/>
      <c r="LFX67" s="3"/>
      <c r="LFY67" s="3"/>
      <c r="LFZ67" s="3"/>
      <c r="LGA67" s="3"/>
      <c r="LGB67" s="3"/>
      <c r="LGC67" s="3"/>
      <c r="LGD67" s="3"/>
      <c r="LGE67" s="3"/>
      <c r="LGF67" s="3"/>
      <c r="LGG67" s="3"/>
      <c r="LGH67" s="3"/>
      <c r="LGI67" s="3"/>
      <c r="LGJ67" s="3"/>
      <c r="LGK67" s="3"/>
      <c r="LGL67" s="3"/>
      <c r="LGM67" s="3"/>
      <c r="LGN67" s="3"/>
      <c r="LGO67" s="3"/>
      <c r="LGP67" s="3"/>
      <c r="LGQ67" s="3"/>
      <c r="LGR67" s="3"/>
      <c r="LGS67" s="3"/>
      <c r="LGT67" s="3"/>
      <c r="LGU67" s="3"/>
      <c r="LGV67" s="3"/>
      <c r="LGW67" s="3"/>
      <c r="LGX67" s="3"/>
      <c r="LGY67" s="3"/>
      <c r="LGZ67" s="3"/>
      <c r="LHA67" s="3"/>
      <c r="LHB67" s="3"/>
      <c r="LHC67" s="3"/>
      <c r="LHD67" s="3"/>
      <c r="LHE67" s="3"/>
      <c r="LHF67" s="3"/>
      <c r="LHG67" s="3"/>
      <c r="LHH67" s="3"/>
      <c r="LHI67" s="3"/>
      <c r="LHJ67" s="3"/>
      <c r="LHK67" s="3"/>
      <c r="LHL67" s="3"/>
      <c r="LHM67" s="3"/>
      <c r="LHN67" s="3"/>
      <c r="LHO67" s="3"/>
      <c r="LHP67" s="3"/>
      <c r="LHQ67" s="3"/>
      <c r="LHR67" s="3"/>
      <c r="LHS67" s="3"/>
      <c r="LHT67" s="3"/>
      <c r="LHU67" s="3"/>
      <c r="LHV67" s="3"/>
      <c r="LHW67" s="3"/>
      <c r="LHX67" s="3"/>
      <c r="LHY67" s="3"/>
      <c r="LHZ67" s="3"/>
      <c r="LIA67" s="3"/>
      <c r="LIB67" s="3"/>
      <c r="LIC67" s="3"/>
      <c r="LID67" s="3"/>
      <c r="LIE67" s="3"/>
      <c r="LIF67" s="3"/>
      <c r="LIG67" s="3"/>
      <c r="LIH67" s="3"/>
      <c r="LII67" s="3"/>
      <c r="LIJ67" s="3"/>
      <c r="LIK67" s="3"/>
      <c r="LIL67" s="3"/>
      <c r="LIM67" s="3"/>
      <c r="LIN67" s="3"/>
      <c r="LIO67" s="3"/>
      <c r="LIP67" s="3"/>
      <c r="LIQ67" s="3"/>
      <c r="LIR67" s="3"/>
      <c r="LIS67" s="3"/>
      <c r="LIT67" s="3"/>
      <c r="LIU67" s="3"/>
      <c r="LIV67" s="3"/>
      <c r="LIW67" s="3"/>
      <c r="LIX67" s="3"/>
      <c r="LIY67" s="3"/>
      <c r="LIZ67" s="3"/>
      <c r="LJA67" s="3"/>
      <c r="LJB67" s="3"/>
      <c r="LJC67" s="3"/>
      <c r="LJD67" s="3"/>
      <c r="LJE67" s="3"/>
      <c r="LJF67" s="3"/>
      <c r="LJG67" s="3"/>
      <c r="LJH67" s="3"/>
      <c r="LJI67" s="3"/>
      <c r="LJJ67" s="3"/>
      <c r="LJK67" s="3"/>
      <c r="LJL67" s="3"/>
      <c r="LJM67" s="3"/>
      <c r="LJN67" s="3"/>
      <c r="LJO67" s="3"/>
      <c r="LJP67" s="3"/>
      <c r="LJQ67" s="3"/>
      <c r="LJR67" s="3"/>
      <c r="LJS67" s="3"/>
      <c r="LJT67" s="3"/>
      <c r="LJU67" s="3"/>
      <c r="LJV67" s="3"/>
      <c r="LJW67" s="3"/>
      <c r="LJX67" s="3"/>
      <c r="LJY67" s="3"/>
      <c r="LJZ67" s="3"/>
      <c r="LKA67" s="3"/>
      <c r="LKB67" s="3"/>
      <c r="LKC67" s="3"/>
      <c r="LKD67" s="3"/>
      <c r="LKE67" s="3"/>
      <c r="LKF67" s="3"/>
      <c r="LKG67" s="3"/>
      <c r="LKH67" s="3"/>
      <c r="LKI67" s="3"/>
      <c r="LKJ67" s="3"/>
      <c r="LKK67" s="3"/>
      <c r="LKL67" s="3"/>
      <c r="LKM67" s="3"/>
      <c r="LKN67" s="3"/>
      <c r="LKO67" s="3"/>
      <c r="LKP67" s="3"/>
      <c r="LKQ67" s="3"/>
      <c r="LKR67" s="3"/>
      <c r="LKS67" s="3"/>
      <c r="LKT67" s="3"/>
      <c r="LKU67" s="3"/>
      <c r="LKV67" s="3"/>
      <c r="LKW67" s="3"/>
      <c r="LKX67" s="3"/>
      <c r="LKY67" s="3"/>
      <c r="LKZ67" s="3"/>
      <c r="LLA67" s="3"/>
      <c r="LLB67" s="3"/>
      <c r="LLC67" s="3"/>
      <c r="LLD67" s="3"/>
      <c r="LLE67" s="3"/>
      <c r="LLF67" s="3"/>
      <c r="LLG67" s="3"/>
      <c r="LLH67" s="3"/>
      <c r="LLI67" s="3"/>
      <c r="LLJ67" s="3"/>
      <c r="LLK67" s="3"/>
      <c r="LLL67" s="3"/>
      <c r="LLM67" s="3"/>
      <c r="LLN67" s="3"/>
      <c r="LLO67" s="3"/>
      <c r="LLP67" s="3"/>
      <c r="LLQ67" s="3"/>
      <c r="LLR67" s="3"/>
      <c r="LLS67" s="3"/>
      <c r="LLT67" s="3"/>
      <c r="LLU67" s="3"/>
      <c r="LLV67" s="3"/>
      <c r="LLW67" s="3"/>
      <c r="LLX67" s="3"/>
      <c r="LLY67" s="3"/>
      <c r="LLZ67" s="3"/>
      <c r="LMA67" s="3"/>
      <c r="LMB67" s="3"/>
      <c r="LMC67" s="3"/>
      <c r="LMD67" s="3"/>
      <c r="LME67" s="3"/>
      <c r="LMF67" s="3"/>
      <c r="LMG67" s="3"/>
      <c r="LMH67" s="3"/>
      <c r="LMI67" s="3"/>
      <c r="LMJ67" s="3"/>
      <c r="LMK67" s="3"/>
      <c r="LML67" s="3"/>
      <c r="LMM67" s="3"/>
      <c r="LMN67" s="3"/>
      <c r="LMO67" s="3"/>
      <c r="LMP67" s="3"/>
      <c r="LMQ67" s="3"/>
      <c r="LMR67" s="3"/>
      <c r="LMS67" s="3"/>
      <c r="LMT67" s="3"/>
      <c r="LMU67" s="3"/>
      <c r="LMV67" s="3"/>
      <c r="LMW67" s="3"/>
      <c r="LMX67" s="3"/>
      <c r="LMY67" s="3"/>
      <c r="LMZ67" s="3"/>
      <c r="LNA67" s="3"/>
      <c r="LNB67" s="3"/>
      <c r="LNC67" s="3"/>
      <c r="LND67" s="3"/>
      <c r="LNE67" s="3"/>
      <c r="LNF67" s="3"/>
      <c r="LNG67" s="3"/>
      <c r="LNH67" s="3"/>
      <c r="LNI67" s="3"/>
      <c r="LNJ67" s="3"/>
      <c r="LNK67" s="3"/>
      <c r="LNL67" s="3"/>
      <c r="LNM67" s="3"/>
      <c r="LNN67" s="3"/>
      <c r="LNO67" s="3"/>
      <c r="LNP67" s="3"/>
      <c r="LNQ67" s="3"/>
      <c r="LNR67" s="3"/>
      <c r="LNS67" s="3"/>
      <c r="LNT67" s="3"/>
      <c r="LNU67" s="3"/>
      <c r="LNV67" s="3"/>
      <c r="LNW67" s="3"/>
      <c r="LNX67" s="3"/>
      <c r="LNY67" s="3"/>
      <c r="LNZ67" s="3"/>
      <c r="LOA67" s="3"/>
      <c r="LOB67" s="3"/>
      <c r="LOC67" s="3"/>
      <c r="LOD67" s="3"/>
      <c r="LOE67" s="3"/>
      <c r="LOF67" s="3"/>
      <c r="LOG67" s="3"/>
      <c r="LOH67" s="3"/>
      <c r="LOI67" s="3"/>
      <c r="LOJ67" s="3"/>
      <c r="LOK67" s="3"/>
      <c r="LOL67" s="3"/>
      <c r="LOM67" s="3"/>
      <c r="LON67" s="3"/>
      <c r="LOO67" s="3"/>
      <c r="LOP67" s="3"/>
      <c r="LOQ67" s="3"/>
      <c r="LOR67" s="3"/>
      <c r="LOS67" s="3"/>
      <c r="LOT67" s="3"/>
      <c r="LOU67" s="3"/>
      <c r="LOV67" s="3"/>
      <c r="LOW67" s="3"/>
      <c r="LOX67" s="3"/>
      <c r="LOY67" s="3"/>
      <c r="LOZ67" s="3"/>
      <c r="LPA67" s="3"/>
      <c r="LPB67" s="3"/>
      <c r="LPC67" s="3"/>
      <c r="LPD67" s="3"/>
      <c r="LPE67" s="3"/>
      <c r="LPF67" s="3"/>
      <c r="LPG67" s="3"/>
      <c r="LPH67" s="3"/>
      <c r="LPI67" s="3"/>
      <c r="LPJ67" s="3"/>
      <c r="LPK67" s="3"/>
      <c r="LPL67" s="3"/>
      <c r="LPM67" s="3"/>
      <c r="LPN67" s="3"/>
      <c r="LPO67" s="3"/>
      <c r="LPP67" s="3"/>
      <c r="LPQ67" s="3"/>
      <c r="LPR67" s="3"/>
      <c r="LPS67" s="3"/>
      <c r="LPT67" s="3"/>
      <c r="LPU67" s="3"/>
      <c r="LPV67" s="3"/>
      <c r="LPW67" s="3"/>
      <c r="LPX67" s="3"/>
      <c r="LPY67" s="3"/>
      <c r="LPZ67" s="3"/>
      <c r="LQA67" s="3"/>
      <c r="LQB67" s="3"/>
      <c r="LQC67" s="3"/>
      <c r="LQD67" s="3"/>
      <c r="LQE67" s="3"/>
      <c r="LQF67" s="3"/>
      <c r="LQG67" s="3"/>
      <c r="LQH67" s="3"/>
      <c r="LQI67" s="3"/>
      <c r="LQJ67" s="3"/>
      <c r="LQK67" s="3"/>
      <c r="LQL67" s="3"/>
      <c r="LQM67" s="3"/>
      <c r="LQN67" s="3"/>
      <c r="LQO67" s="3"/>
      <c r="LQP67" s="3"/>
      <c r="LQQ67" s="3"/>
      <c r="LQR67" s="3"/>
      <c r="LQS67" s="3"/>
      <c r="LQT67" s="3"/>
      <c r="LQU67" s="3"/>
      <c r="LQV67" s="3"/>
      <c r="LQW67" s="3"/>
      <c r="LQX67" s="3"/>
      <c r="LQY67" s="3"/>
      <c r="LQZ67" s="3"/>
      <c r="LRA67" s="3"/>
      <c r="LRB67" s="3"/>
      <c r="LRC67" s="3"/>
      <c r="LRD67" s="3"/>
      <c r="LRE67" s="3"/>
      <c r="LRF67" s="3"/>
      <c r="LRG67" s="3"/>
      <c r="LRH67" s="3"/>
      <c r="LRI67" s="3"/>
      <c r="LRJ67" s="3"/>
      <c r="LRK67" s="3"/>
      <c r="LRL67" s="3"/>
      <c r="LRM67" s="3"/>
      <c r="LRN67" s="3"/>
      <c r="LRO67" s="3"/>
      <c r="LRP67" s="3"/>
      <c r="LRQ67" s="3"/>
      <c r="LRR67" s="3"/>
      <c r="LRS67" s="3"/>
      <c r="LRT67" s="3"/>
      <c r="LRU67" s="3"/>
      <c r="LRV67" s="3"/>
      <c r="LRW67" s="3"/>
      <c r="LRX67" s="3"/>
      <c r="LRY67" s="3"/>
      <c r="LRZ67" s="3"/>
      <c r="LSA67" s="3"/>
      <c r="LSB67" s="3"/>
      <c r="LSC67" s="3"/>
      <c r="LSD67" s="3"/>
      <c r="LSE67" s="3"/>
      <c r="LSF67" s="3"/>
      <c r="LSG67" s="3"/>
      <c r="LSH67" s="3"/>
      <c r="LSI67" s="3"/>
      <c r="LSJ67" s="3"/>
      <c r="LSK67" s="3"/>
      <c r="LSL67" s="3"/>
      <c r="LSM67" s="3"/>
      <c r="LSN67" s="3"/>
      <c r="LSO67" s="3"/>
      <c r="LSP67" s="3"/>
      <c r="LSQ67" s="3"/>
      <c r="LSR67" s="3"/>
      <c r="LSS67" s="3"/>
      <c r="LST67" s="3"/>
      <c r="LSU67" s="3"/>
      <c r="LSV67" s="3"/>
      <c r="LSW67" s="3"/>
      <c r="LSX67" s="3"/>
      <c r="LSY67" s="3"/>
      <c r="LSZ67" s="3"/>
      <c r="LTA67" s="3"/>
      <c r="LTB67" s="3"/>
      <c r="LTC67" s="3"/>
      <c r="LTD67" s="3"/>
      <c r="LTE67" s="3"/>
      <c r="LTF67" s="3"/>
      <c r="LTG67" s="3"/>
      <c r="LTH67" s="3"/>
      <c r="LTI67" s="3"/>
      <c r="LTJ67" s="3"/>
      <c r="LTK67" s="3"/>
      <c r="LTL67" s="3"/>
      <c r="LTM67" s="3"/>
      <c r="LTN67" s="3"/>
      <c r="LTO67" s="3"/>
      <c r="LTP67" s="3"/>
      <c r="LTQ67" s="3"/>
      <c r="LTR67" s="3"/>
      <c r="LTS67" s="3"/>
      <c r="LTT67" s="3"/>
      <c r="LTU67" s="3"/>
      <c r="LTV67" s="3"/>
      <c r="LTW67" s="3"/>
      <c r="LTX67" s="3"/>
      <c r="LTY67" s="3"/>
      <c r="LTZ67" s="3"/>
      <c r="LUA67" s="3"/>
      <c r="LUB67" s="3"/>
      <c r="LUC67" s="3"/>
      <c r="LUD67" s="3"/>
      <c r="LUE67" s="3"/>
      <c r="LUF67" s="3"/>
      <c r="LUG67" s="3"/>
      <c r="LUH67" s="3"/>
      <c r="LUI67" s="3"/>
      <c r="LUJ67" s="3"/>
      <c r="LUK67" s="3"/>
      <c r="LUL67" s="3"/>
      <c r="LUM67" s="3"/>
      <c r="LUN67" s="3"/>
      <c r="LUO67" s="3"/>
      <c r="LUP67" s="3"/>
      <c r="LUQ67" s="3"/>
      <c r="LUR67" s="3"/>
      <c r="LUS67" s="3"/>
      <c r="LUT67" s="3"/>
      <c r="LUU67" s="3"/>
      <c r="LUV67" s="3"/>
      <c r="LUW67" s="3"/>
      <c r="LUX67" s="3"/>
      <c r="LUY67" s="3"/>
      <c r="LUZ67" s="3"/>
      <c r="LVA67" s="3"/>
      <c r="LVB67" s="3"/>
      <c r="LVC67" s="3"/>
      <c r="LVD67" s="3"/>
      <c r="LVE67" s="3"/>
      <c r="LVF67" s="3"/>
      <c r="LVG67" s="3"/>
      <c r="LVH67" s="3"/>
      <c r="LVI67" s="3"/>
      <c r="LVJ67" s="3"/>
      <c r="LVK67" s="3"/>
      <c r="LVL67" s="3"/>
      <c r="LVM67" s="3"/>
      <c r="LVN67" s="3"/>
      <c r="LVO67" s="3"/>
      <c r="LVP67" s="3"/>
      <c r="LVQ67" s="3"/>
      <c r="LVR67" s="3"/>
      <c r="LVS67" s="3"/>
      <c r="LVT67" s="3"/>
      <c r="LVU67" s="3"/>
      <c r="LVV67" s="3"/>
      <c r="LVW67" s="3"/>
      <c r="LVX67" s="3"/>
      <c r="LVY67" s="3"/>
      <c r="LVZ67" s="3"/>
      <c r="LWA67" s="3"/>
      <c r="LWB67" s="3"/>
      <c r="LWC67" s="3"/>
      <c r="LWD67" s="3"/>
      <c r="LWE67" s="3"/>
      <c r="LWF67" s="3"/>
      <c r="LWG67" s="3"/>
      <c r="LWH67" s="3"/>
      <c r="LWI67" s="3"/>
      <c r="LWJ67" s="3"/>
      <c r="LWK67" s="3"/>
      <c r="LWL67" s="3"/>
      <c r="LWM67" s="3"/>
      <c r="LWN67" s="3"/>
      <c r="LWO67" s="3"/>
      <c r="LWP67" s="3"/>
      <c r="LWQ67" s="3"/>
      <c r="LWR67" s="3"/>
      <c r="LWS67" s="3"/>
      <c r="LWT67" s="3"/>
      <c r="LWU67" s="3"/>
      <c r="LWV67" s="3"/>
      <c r="LWW67" s="3"/>
      <c r="LWX67" s="3"/>
      <c r="LWY67" s="3"/>
      <c r="LWZ67" s="3"/>
      <c r="LXA67" s="3"/>
      <c r="LXB67" s="3"/>
      <c r="LXC67" s="3"/>
      <c r="LXD67" s="3"/>
      <c r="LXE67" s="3"/>
      <c r="LXF67" s="3"/>
      <c r="LXG67" s="3"/>
      <c r="LXH67" s="3"/>
      <c r="LXI67" s="3"/>
      <c r="LXJ67" s="3"/>
      <c r="LXK67" s="3"/>
      <c r="LXL67" s="3"/>
      <c r="LXM67" s="3"/>
      <c r="LXN67" s="3"/>
      <c r="LXO67" s="3"/>
      <c r="LXP67" s="3"/>
      <c r="LXQ67" s="3"/>
      <c r="LXR67" s="3"/>
      <c r="LXS67" s="3"/>
      <c r="LXT67" s="3"/>
      <c r="LXU67" s="3"/>
      <c r="LXV67" s="3"/>
      <c r="LXW67" s="3"/>
      <c r="LXX67" s="3"/>
      <c r="LXY67" s="3"/>
      <c r="LXZ67" s="3"/>
      <c r="LYA67" s="3"/>
      <c r="LYB67" s="3"/>
      <c r="LYC67" s="3"/>
      <c r="LYD67" s="3"/>
      <c r="LYE67" s="3"/>
      <c r="LYF67" s="3"/>
      <c r="LYG67" s="3"/>
      <c r="LYH67" s="3"/>
      <c r="LYI67" s="3"/>
      <c r="LYJ67" s="3"/>
      <c r="LYK67" s="3"/>
      <c r="LYL67" s="3"/>
      <c r="LYM67" s="3"/>
      <c r="LYN67" s="3"/>
      <c r="LYO67" s="3"/>
      <c r="LYP67" s="3"/>
      <c r="LYQ67" s="3"/>
      <c r="LYR67" s="3"/>
      <c r="LYS67" s="3"/>
      <c r="LYT67" s="3"/>
      <c r="LYU67" s="3"/>
      <c r="LYV67" s="3"/>
      <c r="LYW67" s="3"/>
      <c r="LYX67" s="3"/>
      <c r="LYY67" s="3"/>
      <c r="LYZ67" s="3"/>
      <c r="LZA67" s="3"/>
      <c r="LZB67" s="3"/>
      <c r="LZC67" s="3"/>
      <c r="LZD67" s="3"/>
      <c r="LZE67" s="3"/>
      <c r="LZF67" s="3"/>
      <c r="LZG67" s="3"/>
      <c r="LZH67" s="3"/>
      <c r="LZI67" s="3"/>
      <c r="LZJ67" s="3"/>
      <c r="LZK67" s="3"/>
      <c r="LZL67" s="3"/>
      <c r="LZM67" s="3"/>
      <c r="LZN67" s="3"/>
      <c r="LZO67" s="3"/>
      <c r="LZP67" s="3"/>
      <c r="LZQ67" s="3"/>
      <c r="LZR67" s="3"/>
      <c r="LZS67" s="3"/>
      <c r="LZT67" s="3"/>
      <c r="LZU67" s="3"/>
      <c r="LZV67" s="3"/>
      <c r="LZW67" s="3"/>
      <c r="LZX67" s="3"/>
      <c r="LZY67" s="3"/>
      <c r="LZZ67" s="3"/>
      <c r="MAA67" s="3"/>
      <c r="MAB67" s="3"/>
      <c r="MAC67" s="3"/>
      <c r="MAD67" s="3"/>
      <c r="MAE67" s="3"/>
      <c r="MAF67" s="3"/>
      <c r="MAG67" s="3"/>
      <c r="MAH67" s="3"/>
      <c r="MAI67" s="3"/>
      <c r="MAJ67" s="3"/>
      <c r="MAK67" s="3"/>
      <c r="MAL67" s="3"/>
      <c r="MAM67" s="3"/>
      <c r="MAN67" s="3"/>
      <c r="MAO67" s="3"/>
      <c r="MAP67" s="3"/>
      <c r="MAQ67" s="3"/>
      <c r="MAR67" s="3"/>
      <c r="MAS67" s="3"/>
      <c r="MAT67" s="3"/>
      <c r="MAU67" s="3"/>
      <c r="MAV67" s="3"/>
      <c r="MAW67" s="3"/>
      <c r="MAX67" s="3"/>
      <c r="MAY67" s="3"/>
      <c r="MAZ67" s="3"/>
      <c r="MBA67" s="3"/>
      <c r="MBB67" s="3"/>
      <c r="MBC67" s="3"/>
      <c r="MBD67" s="3"/>
      <c r="MBE67" s="3"/>
      <c r="MBF67" s="3"/>
      <c r="MBG67" s="3"/>
      <c r="MBH67" s="3"/>
      <c r="MBI67" s="3"/>
      <c r="MBJ67" s="3"/>
      <c r="MBK67" s="3"/>
      <c r="MBL67" s="3"/>
      <c r="MBM67" s="3"/>
      <c r="MBN67" s="3"/>
      <c r="MBO67" s="3"/>
      <c r="MBP67" s="3"/>
      <c r="MBQ67" s="3"/>
      <c r="MBR67" s="3"/>
      <c r="MBS67" s="3"/>
      <c r="MBT67" s="3"/>
      <c r="MBU67" s="3"/>
      <c r="MBV67" s="3"/>
      <c r="MBW67" s="3"/>
      <c r="MBX67" s="3"/>
      <c r="MBY67" s="3"/>
      <c r="MBZ67" s="3"/>
      <c r="MCA67" s="3"/>
      <c r="MCB67" s="3"/>
      <c r="MCC67" s="3"/>
      <c r="MCD67" s="3"/>
      <c r="MCE67" s="3"/>
      <c r="MCF67" s="3"/>
      <c r="MCG67" s="3"/>
      <c r="MCH67" s="3"/>
      <c r="MCI67" s="3"/>
      <c r="MCJ67" s="3"/>
      <c r="MCK67" s="3"/>
      <c r="MCL67" s="3"/>
      <c r="MCM67" s="3"/>
      <c r="MCN67" s="3"/>
      <c r="MCO67" s="3"/>
      <c r="MCP67" s="3"/>
      <c r="MCQ67" s="3"/>
      <c r="MCR67" s="3"/>
      <c r="MCS67" s="3"/>
      <c r="MCT67" s="3"/>
      <c r="MCU67" s="3"/>
      <c r="MCV67" s="3"/>
      <c r="MCW67" s="3"/>
      <c r="MCX67" s="3"/>
      <c r="MCY67" s="3"/>
      <c r="MCZ67" s="3"/>
      <c r="MDA67" s="3"/>
      <c r="MDB67" s="3"/>
      <c r="MDC67" s="3"/>
      <c r="MDD67" s="3"/>
      <c r="MDE67" s="3"/>
      <c r="MDF67" s="3"/>
      <c r="MDG67" s="3"/>
      <c r="MDH67" s="3"/>
      <c r="MDI67" s="3"/>
      <c r="MDJ67" s="3"/>
      <c r="MDK67" s="3"/>
      <c r="MDL67" s="3"/>
      <c r="MDM67" s="3"/>
      <c r="MDN67" s="3"/>
      <c r="MDO67" s="3"/>
      <c r="MDP67" s="3"/>
      <c r="MDQ67" s="3"/>
      <c r="MDR67" s="3"/>
      <c r="MDS67" s="3"/>
      <c r="MDT67" s="3"/>
      <c r="MDU67" s="3"/>
      <c r="MDV67" s="3"/>
      <c r="MDW67" s="3"/>
      <c r="MDX67" s="3"/>
      <c r="MDY67" s="3"/>
      <c r="MDZ67" s="3"/>
      <c r="MEA67" s="3"/>
      <c r="MEB67" s="3"/>
      <c r="MEC67" s="3"/>
      <c r="MED67" s="3"/>
      <c r="MEE67" s="3"/>
      <c r="MEF67" s="3"/>
      <c r="MEG67" s="3"/>
      <c r="MEH67" s="3"/>
      <c r="MEI67" s="3"/>
      <c r="MEJ67" s="3"/>
      <c r="MEK67" s="3"/>
      <c r="MEL67" s="3"/>
      <c r="MEM67" s="3"/>
      <c r="MEN67" s="3"/>
      <c r="MEO67" s="3"/>
      <c r="MEP67" s="3"/>
      <c r="MEQ67" s="3"/>
      <c r="MER67" s="3"/>
      <c r="MES67" s="3"/>
      <c r="MET67" s="3"/>
      <c r="MEU67" s="3"/>
      <c r="MEV67" s="3"/>
      <c r="MEW67" s="3"/>
      <c r="MEX67" s="3"/>
      <c r="MEY67" s="3"/>
      <c r="MEZ67" s="3"/>
      <c r="MFA67" s="3"/>
      <c r="MFB67" s="3"/>
      <c r="MFC67" s="3"/>
      <c r="MFD67" s="3"/>
      <c r="MFE67" s="3"/>
      <c r="MFF67" s="3"/>
      <c r="MFG67" s="3"/>
      <c r="MFH67" s="3"/>
      <c r="MFI67" s="3"/>
      <c r="MFJ67" s="3"/>
      <c r="MFK67" s="3"/>
      <c r="MFL67" s="3"/>
      <c r="MFM67" s="3"/>
      <c r="MFN67" s="3"/>
      <c r="MFO67" s="3"/>
      <c r="MFP67" s="3"/>
      <c r="MFQ67" s="3"/>
      <c r="MFR67" s="3"/>
      <c r="MFS67" s="3"/>
      <c r="MFT67" s="3"/>
      <c r="MFU67" s="3"/>
      <c r="MFV67" s="3"/>
      <c r="MFW67" s="3"/>
      <c r="MFX67" s="3"/>
      <c r="MFY67" s="3"/>
      <c r="MFZ67" s="3"/>
      <c r="MGA67" s="3"/>
      <c r="MGB67" s="3"/>
      <c r="MGC67" s="3"/>
      <c r="MGD67" s="3"/>
      <c r="MGE67" s="3"/>
      <c r="MGF67" s="3"/>
      <c r="MGG67" s="3"/>
      <c r="MGH67" s="3"/>
      <c r="MGI67" s="3"/>
      <c r="MGJ67" s="3"/>
      <c r="MGK67" s="3"/>
      <c r="MGL67" s="3"/>
      <c r="MGM67" s="3"/>
      <c r="MGN67" s="3"/>
      <c r="MGO67" s="3"/>
      <c r="MGP67" s="3"/>
      <c r="MGQ67" s="3"/>
      <c r="MGR67" s="3"/>
      <c r="MGS67" s="3"/>
      <c r="MGT67" s="3"/>
      <c r="MGU67" s="3"/>
      <c r="MGV67" s="3"/>
      <c r="MGW67" s="3"/>
      <c r="MGX67" s="3"/>
      <c r="MGY67" s="3"/>
      <c r="MGZ67" s="3"/>
      <c r="MHA67" s="3"/>
      <c r="MHB67" s="3"/>
      <c r="MHC67" s="3"/>
      <c r="MHD67" s="3"/>
      <c r="MHE67" s="3"/>
      <c r="MHF67" s="3"/>
      <c r="MHG67" s="3"/>
      <c r="MHH67" s="3"/>
      <c r="MHI67" s="3"/>
      <c r="MHJ67" s="3"/>
      <c r="MHK67" s="3"/>
      <c r="MHL67" s="3"/>
      <c r="MHM67" s="3"/>
      <c r="MHN67" s="3"/>
      <c r="MHO67" s="3"/>
      <c r="MHP67" s="3"/>
      <c r="MHQ67" s="3"/>
      <c r="MHR67" s="3"/>
      <c r="MHS67" s="3"/>
      <c r="MHT67" s="3"/>
      <c r="MHU67" s="3"/>
      <c r="MHV67" s="3"/>
      <c r="MHW67" s="3"/>
      <c r="MHX67" s="3"/>
      <c r="MHY67" s="3"/>
      <c r="MHZ67" s="3"/>
      <c r="MIA67" s="3"/>
      <c r="MIB67" s="3"/>
      <c r="MIC67" s="3"/>
      <c r="MID67" s="3"/>
      <c r="MIE67" s="3"/>
      <c r="MIF67" s="3"/>
      <c r="MIG67" s="3"/>
      <c r="MIH67" s="3"/>
      <c r="MII67" s="3"/>
      <c r="MIJ67" s="3"/>
      <c r="MIK67" s="3"/>
      <c r="MIL67" s="3"/>
      <c r="MIM67" s="3"/>
      <c r="MIN67" s="3"/>
      <c r="MIO67" s="3"/>
      <c r="MIP67" s="3"/>
      <c r="MIQ67" s="3"/>
      <c r="MIR67" s="3"/>
      <c r="MIS67" s="3"/>
      <c r="MIT67" s="3"/>
      <c r="MIU67" s="3"/>
      <c r="MIV67" s="3"/>
      <c r="MIW67" s="3"/>
      <c r="MIX67" s="3"/>
      <c r="MIY67" s="3"/>
      <c r="MIZ67" s="3"/>
      <c r="MJA67" s="3"/>
      <c r="MJB67" s="3"/>
      <c r="MJC67" s="3"/>
      <c r="MJD67" s="3"/>
      <c r="MJE67" s="3"/>
      <c r="MJF67" s="3"/>
      <c r="MJG67" s="3"/>
      <c r="MJH67" s="3"/>
      <c r="MJI67" s="3"/>
      <c r="MJJ67" s="3"/>
      <c r="MJK67" s="3"/>
      <c r="MJL67" s="3"/>
      <c r="MJM67" s="3"/>
      <c r="MJN67" s="3"/>
      <c r="MJO67" s="3"/>
      <c r="MJP67" s="3"/>
      <c r="MJQ67" s="3"/>
      <c r="MJR67" s="3"/>
      <c r="MJS67" s="3"/>
      <c r="MJT67" s="3"/>
      <c r="MJU67" s="3"/>
      <c r="MJV67" s="3"/>
      <c r="MJW67" s="3"/>
      <c r="MJX67" s="3"/>
      <c r="MJY67" s="3"/>
      <c r="MJZ67" s="3"/>
      <c r="MKA67" s="3"/>
      <c r="MKB67" s="3"/>
      <c r="MKC67" s="3"/>
      <c r="MKD67" s="3"/>
      <c r="MKE67" s="3"/>
      <c r="MKF67" s="3"/>
      <c r="MKG67" s="3"/>
      <c r="MKH67" s="3"/>
      <c r="MKI67" s="3"/>
      <c r="MKJ67" s="3"/>
      <c r="MKK67" s="3"/>
      <c r="MKL67" s="3"/>
      <c r="MKM67" s="3"/>
      <c r="MKN67" s="3"/>
      <c r="MKO67" s="3"/>
      <c r="MKP67" s="3"/>
      <c r="MKQ67" s="3"/>
      <c r="MKR67" s="3"/>
      <c r="MKS67" s="3"/>
      <c r="MKT67" s="3"/>
      <c r="MKU67" s="3"/>
      <c r="MKV67" s="3"/>
      <c r="MKW67" s="3"/>
      <c r="MKX67" s="3"/>
      <c r="MKY67" s="3"/>
      <c r="MKZ67" s="3"/>
      <c r="MLA67" s="3"/>
      <c r="MLB67" s="3"/>
      <c r="MLC67" s="3"/>
      <c r="MLD67" s="3"/>
      <c r="MLE67" s="3"/>
      <c r="MLF67" s="3"/>
      <c r="MLG67" s="3"/>
      <c r="MLH67" s="3"/>
      <c r="MLI67" s="3"/>
      <c r="MLJ67" s="3"/>
      <c r="MLK67" s="3"/>
      <c r="MLL67" s="3"/>
      <c r="MLM67" s="3"/>
      <c r="MLN67" s="3"/>
      <c r="MLO67" s="3"/>
      <c r="MLP67" s="3"/>
      <c r="MLQ67" s="3"/>
      <c r="MLR67" s="3"/>
      <c r="MLS67" s="3"/>
      <c r="MLT67" s="3"/>
      <c r="MLU67" s="3"/>
      <c r="MLV67" s="3"/>
      <c r="MLW67" s="3"/>
      <c r="MLX67" s="3"/>
      <c r="MLY67" s="3"/>
      <c r="MLZ67" s="3"/>
      <c r="MMA67" s="3"/>
      <c r="MMB67" s="3"/>
      <c r="MMC67" s="3"/>
      <c r="MMD67" s="3"/>
      <c r="MME67" s="3"/>
      <c r="MMF67" s="3"/>
      <c r="MMG67" s="3"/>
      <c r="MMH67" s="3"/>
      <c r="MMI67" s="3"/>
      <c r="MMJ67" s="3"/>
      <c r="MMK67" s="3"/>
      <c r="MML67" s="3"/>
      <c r="MMM67" s="3"/>
      <c r="MMN67" s="3"/>
      <c r="MMO67" s="3"/>
      <c r="MMP67" s="3"/>
      <c r="MMQ67" s="3"/>
      <c r="MMR67" s="3"/>
      <c r="MMS67" s="3"/>
      <c r="MMT67" s="3"/>
      <c r="MMU67" s="3"/>
      <c r="MMV67" s="3"/>
      <c r="MMW67" s="3"/>
      <c r="MMX67" s="3"/>
      <c r="MMY67" s="3"/>
      <c r="MMZ67" s="3"/>
      <c r="MNA67" s="3"/>
      <c r="MNB67" s="3"/>
      <c r="MNC67" s="3"/>
      <c r="MND67" s="3"/>
      <c r="MNE67" s="3"/>
      <c r="MNF67" s="3"/>
      <c r="MNG67" s="3"/>
      <c r="MNH67" s="3"/>
      <c r="MNI67" s="3"/>
      <c r="MNJ67" s="3"/>
      <c r="MNK67" s="3"/>
      <c r="MNL67" s="3"/>
      <c r="MNM67" s="3"/>
      <c r="MNN67" s="3"/>
      <c r="MNO67" s="3"/>
      <c r="MNP67" s="3"/>
      <c r="MNQ67" s="3"/>
      <c r="MNR67" s="3"/>
      <c r="MNS67" s="3"/>
      <c r="MNT67" s="3"/>
      <c r="MNU67" s="3"/>
      <c r="MNV67" s="3"/>
      <c r="MNW67" s="3"/>
      <c r="MNX67" s="3"/>
      <c r="MNY67" s="3"/>
      <c r="MNZ67" s="3"/>
      <c r="MOA67" s="3"/>
      <c r="MOB67" s="3"/>
      <c r="MOC67" s="3"/>
      <c r="MOD67" s="3"/>
      <c r="MOE67" s="3"/>
      <c r="MOF67" s="3"/>
      <c r="MOG67" s="3"/>
      <c r="MOH67" s="3"/>
      <c r="MOI67" s="3"/>
      <c r="MOJ67" s="3"/>
      <c r="MOK67" s="3"/>
      <c r="MOL67" s="3"/>
      <c r="MOM67" s="3"/>
      <c r="MON67" s="3"/>
      <c r="MOO67" s="3"/>
      <c r="MOP67" s="3"/>
      <c r="MOQ67" s="3"/>
      <c r="MOR67" s="3"/>
      <c r="MOS67" s="3"/>
      <c r="MOT67" s="3"/>
      <c r="MOU67" s="3"/>
      <c r="MOV67" s="3"/>
      <c r="MOW67" s="3"/>
      <c r="MOX67" s="3"/>
      <c r="MOY67" s="3"/>
      <c r="MOZ67" s="3"/>
      <c r="MPA67" s="3"/>
      <c r="MPB67" s="3"/>
      <c r="MPC67" s="3"/>
      <c r="MPD67" s="3"/>
      <c r="MPE67" s="3"/>
      <c r="MPF67" s="3"/>
      <c r="MPG67" s="3"/>
      <c r="MPH67" s="3"/>
      <c r="MPI67" s="3"/>
      <c r="MPJ67" s="3"/>
      <c r="MPK67" s="3"/>
      <c r="MPL67" s="3"/>
      <c r="MPM67" s="3"/>
      <c r="MPN67" s="3"/>
      <c r="MPO67" s="3"/>
      <c r="MPP67" s="3"/>
      <c r="MPQ67" s="3"/>
      <c r="MPR67" s="3"/>
      <c r="MPS67" s="3"/>
      <c r="MPT67" s="3"/>
      <c r="MPU67" s="3"/>
      <c r="MPV67" s="3"/>
      <c r="MPW67" s="3"/>
      <c r="MPX67" s="3"/>
      <c r="MPY67" s="3"/>
      <c r="MPZ67" s="3"/>
      <c r="MQA67" s="3"/>
      <c r="MQB67" s="3"/>
      <c r="MQC67" s="3"/>
      <c r="MQD67" s="3"/>
      <c r="MQE67" s="3"/>
      <c r="MQF67" s="3"/>
      <c r="MQG67" s="3"/>
      <c r="MQH67" s="3"/>
      <c r="MQI67" s="3"/>
      <c r="MQJ67" s="3"/>
      <c r="MQK67" s="3"/>
      <c r="MQL67" s="3"/>
      <c r="MQM67" s="3"/>
      <c r="MQN67" s="3"/>
      <c r="MQO67" s="3"/>
      <c r="MQP67" s="3"/>
      <c r="MQQ67" s="3"/>
      <c r="MQR67" s="3"/>
      <c r="MQS67" s="3"/>
      <c r="MQT67" s="3"/>
      <c r="MQU67" s="3"/>
      <c r="MQV67" s="3"/>
      <c r="MQW67" s="3"/>
      <c r="MQX67" s="3"/>
      <c r="MQY67" s="3"/>
      <c r="MQZ67" s="3"/>
      <c r="MRA67" s="3"/>
      <c r="MRB67" s="3"/>
      <c r="MRC67" s="3"/>
      <c r="MRD67" s="3"/>
      <c r="MRE67" s="3"/>
      <c r="MRF67" s="3"/>
      <c r="MRG67" s="3"/>
      <c r="MRH67" s="3"/>
      <c r="MRI67" s="3"/>
      <c r="MRJ67" s="3"/>
      <c r="MRK67" s="3"/>
      <c r="MRL67" s="3"/>
      <c r="MRM67" s="3"/>
      <c r="MRN67" s="3"/>
      <c r="MRO67" s="3"/>
      <c r="MRP67" s="3"/>
      <c r="MRQ67" s="3"/>
      <c r="MRR67" s="3"/>
      <c r="MRS67" s="3"/>
      <c r="MRT67" s="3"/>
      <c r="MRU67" s="3"/>
      <c r="MRV67" s="3"/>
      <c r="MRW67" s="3"/>
      <c r="MRX67" s="3"/>
      <c r="MRY67" s="3"/>
      <c r="MRZ67" s="3"/>
      <c r="MSA67" s="3"/>
      <c r="MSB67" s="3"/>
      <c r="MSC67" s="3"/>
      <c r="MSD67" s="3"/>
      <c r="MSE67" s="3"/>
      <c r="MSF67" s="3"/>
      <c r="MSG67" s="3"/>
      <c r="MSH67" s="3"/>
      <c r="MSI67" s="3"/>
      <c r="MSJ67" s="3"/>
      <c r="MSK67" s="3"/>
      <c r="MSL67" s="3"/>
      <c r="MSM67" s="3"/>
      <c r="MSN67" s="3"/>
      <c r="MSO67" s="3"/>
      <c r="MSP67" s="3"/>
      <c r="MSQ67" s="3"/>
      <c r="MSR67" s="3"/>
      <c r="MSS67" s="3"/>
      <c r="MST67" s="3"/>
      <c r="MSU67" s="3"/>
      <c r="MSV67" s="3"/>
      <c r="MSW67" s="3"/>
      <c r="MSX67" s="3"/>
      <c r="MSY67" s="3"/>
      <c r="MSZ67" s="3"/>
      <c r="MTA67" s="3"/>
      <c r="MTB67" s="3"/>
      <c r="MTC67" s="3"/>
      <c r="MTD67" s="3"/>
      <c r="MTE67" s="3"/>
      <c r="MTF67" s="3"/>
      <c r="MTG67" s="3"/>
      <c r="MTH67" s="3"/>
      <c r="MTI67" s="3"/>
      <c r="MTJ67" s="3"/>
      <c r="MTK67" s="3"/>
      <c r="MTL67" s="3"/>
      <c r="MTM67" s="3"/>
      <c r="MTN67" s="3"/>
      <c r="MTO67" s="3"/>
      <c r="MTP67" s="3"/>
      <c r="MTQ67" s="3"/>
      <c r="MTR67" s="3"/>
      <c r="MTS67" s="3"/>
      <c r="MTT67" s="3"/>
      <c r="MTU67" s="3"/>
      <c r="MTV67" s="3"/>
      <c r="MTW67" s="3"/>
      <c r="MTX67" s="3"/>
      <c r="MTY67" s="3"/>
      <c r="MTZ67" s="3"/>
      <c r="MUA67" s="3"/>
      <c r="MUB67" s="3"/>
      <c r="MUC67" s="3"/>
      <c r="MUD67" s="3"/>
      <c r="MUE67" s="3"/>
      <c r="MUF67" s="3"/>
      <c r="MUG67" s="3"/>
      <c r="MUH67" s="3"/>
      <c r="MUI67" s="3"/>
      <c r="MUJ67" s="3"/>
      <c r="MUK67" s="3"/>
      <c r="MUL67" s="3"/>
      <c r="MUM67" s="3"/>
      <c r="MUN67" s="3"/>
      <c r="MUO67" s="3"/>
      <c r="MUP67" s="3"/>
      <c r="MUQ67" s="3"/>
      <c r="MUR67" s="3"/>
      <c r="MUS67" s="3"/>
      <c r="MUT67" s="3"/>
      <c r="MUU67" s="3"/>
      <c r="MUV67" s="3"/>
      <c r="MUW67" s="3"/>
      <c r="MUX67" s="3"/>
      <c r="MUY67" s="3"/>
      <c r="MUZ67" s="3"/>
      <c r="MVA67" s="3"/>
      <c r="MVB67" s="3"/>
      <c r="MVC67" s="3"/>
      <c r="MVD67" s="3"/>
      <c r="MVE67" s="3"/>
      <c r="MVF67" s="3"/>
      <c r="MVG67" s="3"/>
      <c r="MVH67" s="3"/>
      <c r="MVI67" s="3"/>
      <c r="MVJ67" s="3"/>
      <c r="MVK67" s="3"/>
      <c r="MVL67" s="3"/>
      <c r="MVM67" s="3"/>
      <c r="MVN67" s="3"/>
      <c r="MVO67" s="3"/>
      <c r="MVP67" s="3"/>
      <c r="MVQ67" s="3"/>
      <c r="MVR67" s="3"/>
      <c r="MVS67" s="3"/>
      <c r="MVT67" s="3"/>
      <c r="MVU67" s="3"/>
      <c r="MVV67" s="3"/>
      <c r="MVW67" s="3"/>
      <c r="MVX67" s="3"/>
      <c r="MVY67" s="3"/>
      <c r="MVZ67" s="3"/>
      <c r="MWA67" s="3"/>
      <c r="MWB67" s="3"/>
      <c r="MWC67" s="3"/>
      <c r="MWD67" s="3"/>
      <c r="MWE67" s="3"/>
      <c r="MWF67" s="3"/>
      <c r="MWG67" s="3"/>
      <c r="MWH67" s="3"/>
      <c r="MWI67" s="3"/>
      <c r="MWJ67" s="3"/>
      <c r="MWK67" s="3"/>
      <c r="MWL67" s="3"/>
      <c r="MWM67" s="3"/>
      <c r="MWN67" s="3"/>
      <c r="MWO67" s="3"/>
      <c r="MWP67" s="3"/>
      <c r="MWQ67" s="3"/>
      <c r="MWR67" s="3"/>
      <c r="MWS67" s="3"/>
      <c r="MWT67" s="3"/>
      <c r="MWU67" s="3"/>
      <c r="MWV67" s="3"/>
      <c r="MWW67" s="3"/>
      <c r="MWX67" s="3"/>
      <c r="MWY67" s="3"/>
      <c r="MWZ67" s="3"/>
      <c r="MXA67" s="3"/>
      <c r="MXB67" s="3"/>
      <c r="MXC67" s="3"/>
      <c r="MXD67" s="3"/>
      <c r="MXE67" s="3"/>
      <c r="MXF67" s="3"/>
      <c r="MXG67" s="3"/>
      <c r="MXH67" s="3"/>
      <c r="MXI67" s="3"/>
      <c r="MXJ67" s="3"/>
      <c r="MXK67" s="3"/>
      <c r="MXL67" s="3"/>
      <c r="MXM67" s="3"/>
      <c r="MXN67" s="3"/>
      <c r="MXO67" s="3"/>
      <c r="MXP67" s="3"/>
      <c r="MXQ67" s="3"/>
      <c r="MXR67" s="3"/>
      <c r="MXS67" s="3"/>
      <c r="MXT67" s="3"/>
      <c r="MXU67" s="3"/>
      <c r="MXV67" s="3"/>
      <c r="MXW67" s="3"/>
      <c r="MXX67" s="3"/>
      <c r="MXY67" s="3"/>
      <c r="MXZ67" s="3"/>
      <c r="MYA67" s="3"/>
      <c r="MYB67" s="3"/>
      <c r="MYC67" s="3"/>
      <c r="MYD67" s="3"/>
      <c r="MYE67" s="3"/>
      <c r="MYF67" s="3"/>
      <c r="MYG67" s="3"/>
      <c r="MYH67" s="3"/>
      <c r="MYI67" s="3"/>
      <c r="MYJ67" s="3"/>
      <c r="MYK67" s="3"/>
      <c r="MYL67" s="3"/>
      <c r="MYM67" s="3"/>
      <c r="MYN67" s="3"/>
      <c r="MYO67" s="3"/>
      <c r="MYP67" s="3"/>
      <c r="MYQ67" s="3"/>
      <c r="MYR67" s="3"/>
      <c r="MYS67" s="3"/>
      <c r="MYT67" s="3"/>
      <c r="MYU67" s="3"/>
      <c r="MYV67" s="3"/>
      <c r="MYW67" s="3"/>
      <c r="MYX67" s="3"/>
      <c r="MYY67" s="3"/>
      <c r="MYZ67" s="3"/>
      <c r="MZA67" s="3"/>
      <c r="MZB67" s="3"/>
      <c r="MZC67" s="3"/>
      <c r="MZD67" s="3"/>
      <c r="MZE67" s="3"/>
      <c r="MZF67" s="3"/>
      <c r="MZG67" s="3"/>
      <c r="MZH67" s="3"/>
      <c r="MZI67" s="3"/>
      <c r="MZJ67" s="3"/>
      <c r="MZK67" s="3"/>
      <c r="MZL67" s="3"/>
      <c r="MZM67" s="3"/>
      <c r="MZN67" s="3"/>
      <c r="MZO67" s="3"/>
      <c r="MZP67" s="3"/>
      <c r="MZQ67" s="3"/>
      <c r="MZR67" s="3"/>
      <c r="MZS67" s="3"/>
      <c r="MZT67" s="3"/>
      <c r="MZU67" s="3"/>
      <c r="MZV67" s="3"/>
      <c r="MZW67" s="3"/>
      <c r="MZX67" s="3"/>
      <c r="MZY67" s="3"/>
      <c r="MZZ67" s="3"/>
      <c r="NAA67" s="3"/>
      <c r="NAB67" s="3"/>
      <c r="NAC67" s="3"/>
      <c r="NAD67" s="3"/>
      <c r="NAE67" s="3"/>
      <c r="NAF67" s="3"/>
      <c r="NAG67" s="3"/>
      <c r="NAH67" s="3"/>
      <c r="NAI67" s="3"/>
      <c r="NAJ67" s="3"/>
      <c r="NAK67" s="3"/>
      <c r="NAL67" s="3"/>
      <c r="NAM67" s="3"/>
      <c r="NAN67" s="3"/>
      <c r="NAO67" s="3"/>
      <c r="NAP67" s="3"/>
      <c r="NAQ67" s="3"/>
      <c r="NAR67" s="3"/>
      <c r="NAS67" s="3"/>
      <c r="NAT67" s="3"/>
      <c r="NAU67" s="3"/>
      <c r="NAV67" s="3"/>
      <c r="NAW67" s="3"/>
      <c r="NAX67" s="3"/>
      <c r="NAY67" s="3"/>
      <c r="NAZ67" s="3"/>
      <c r="NBA67" s="3"/>
      <c r="NBB67" s="3"/>
      <c r="NBC67" s="3"/>
      <c r="NBD67" s="3"/>
      <c r="NBE67" s="3"/>
      <c r="NBF67" s="3"/>
      <c r="NBG67" s="3"/>
      <c r="NBH67" s="3"/>
      <c r="NBI67" s="3"/>
      <c r="NBJ67" s="3"/>
      <c r="NBK67" s="3"/>
      <c r="NBL67" s="3"/>
      <c r="NBM67" s="3"/>
      <c r="NBN67" s="3"/>
      <c r="NBO67" s="3"/>
      <c r="NBP67" s="3"/>
      <c r="NBQ67" s="3"/>
      <c r="NBR67" s="3"/>
      <c r="NBS67" s="3"/>
      <c r="NBT67" s="3"/>
      <c r="NBU67" s="3"/>
      <c r="NBV67" s="3"/>
      <c r="NBW67" s="3"/>
      <c r="NBX67" s="3"/>
      <c r="NBY67" s="3"/>
      <c r="NBZ67" s="3"/>
      <c r="NCA67" s="3"/>
      <c r="NCB67" s="3"/>
      <c r="NCC67" s="3"/>
      <c r="NCD67" s="3"/>
      <c r="NCE67" s="3"/>
      <c r="NCF67" s="3"/>
      <c r="NCG67" s="3"/>
      <c r="NCH67" s="3"/>
      <c r="NCI67" s="3"/>
      <c r="NCJ67" s="3"/>
      <c r="NCK67" s="3"/>
      <c r="NCL67" s="3"/>
      <c r="NCM67" s="3"/>
      <c r="NCN67" s="3"/>
      <c r="NCO67" s="3"/>
      <c r="NCP67" s="3"/>
      <c r="NCQ67" s="3"/>
      <c r="NCR67" s="3"/>
      <c r="NCS67" s="3"/>
      <c r="NCT67" s="3"/>
      <c r="NCU67" s="3"/>
      <c r="NCV67" s="3"/>
      <c r="NCW67" s="3"/>
      <c r="NCX67" s="3"/>
      <c r="NCY67" s="3"/>
      <c r="NCZ67" s="3"/>
      <c r="NDA67" s="3"/>
      <c r="NDB67" s="3"/>
      <c r="NDC67" s="3"/>
      <c r="NDD67" s="3"/>
      <c r="NDE67" s="3"/>
      <c r="NDF67" s="3"/>
      <c r="NDG67" s="3"/>
      <c r="NDH67" s="3"/>
      <c r="NDI67" s="3"/>
      <c r="NDJ67" s="3"/>
      <c r="NDK67" s="3"/>
      <c r="NDL67" s="3"/>
      <c r="NDM67" s="3"/>
      <c r="NDN67" s="3"/>
      <c r="NDO67" s="3"/>
      <c r="NDP67" s="3"/>
      <c r="NDQ67" s="3"/>
      <c r="NDR67" s="3"/>
      <c r="NDS67" s="3"/>
      <c r="NDT67" s="3"/>
      <c r="NDU67" s="3"/>
      <c r="NDV67" s="3"/>
      <c r="NDW67" s="3"/>
      <c r="NDX67" s="3"/>
      <c r="NDY67" s="3"/>
      <c r="NDZ67" s="3"/>
      <c r="NEA67" s="3"/>
      <c r="NEB67" s="3"/>
      <c r="NEC67" s="3"/>
      <c r="NED67" s="3"/>
      <c r="NEE67" s="3"/>
      <c r="NEF67" s="3"/>
      <c r="NEG67" s="3"/>
      <c r="NEH67" s="3"/>
      <c r="NEI67" s="3"/>
      <c r="NEJ67" s="3"/>
      <c r="NEK67" s="3"/>
      <c r="NEL67" s="3"/>
      <c r="NEM67" s="3"/>
      <c r="NEN67" s="3"/>
      <c r="NEO67" s="3"/>
      <c r="NEP67" s="3"/>
      <c r="NEQ67" s="3"/>
      <c r="NER67" s="3"/>
      <c r="NES67" s="3"/>
      <c r="NET67" s="3"/>
      <c r="NEU67" s="3"/>
      <c r="NEV67" s="3"/>
      <c r="NEW67" s="3"/>
      <c r="NEX67" s="3"/>
      <c r="NEY67" s="3"/>
      <c r="NEZ67" s="3"/>
      <c r="NFA67" s="3"/>
      <c r="NFB67" s="3"/>
      <c r="NFC67" s="3"/>
      <c r="NFD67" s="3"/>
      <c r="NFE67" s="3"/>
      <c r="NFF67" s="3"/>
      <c r="NFG67" s="3"/>
      <c r="NFH67" s="3"/>
      <c r="NFI67" s="3"/>
      <c r="NFJ67" s="3"/>
      <c r="NFK67" s="3"/>
      <c r="NFL67" s="3"/>
      <c r="NFM67" s="3"/>
      <c r="NFN67" s="3"/>
      <c r="NFO67" s="3"/>
      <c r="NFP67" s="3"/>
      <c r="NFQ67" s="3"/>
      <c r="NFR67" s="3"/>
      <c r="NFS67" s="3"/>
      <c r="NFT67" s="3"/>
      <c r="NFU67" s="3"/>
      <c r="NFV67" s="3"/>
      <c r="NFW67" s="3"/>
      <c r="NFX67" s="3"/>
      <c r="NFY67" s="3"/>
      <c r="NFZ67" s="3"/>
      <c r="NGA67" s="3"/>
      <c r="NGB67" s="3"/>
      <c r="NGC67" s="3"/>
      <c r="NGD67" s="3"/>
      <c r="NGE67" s="3"/>
      <c r="NGF67" s="3"/>
      <c r="NGG67" s="3"/>
      <c r="NGH67" s="3"/>
      <c r="NGI67" s="3"/>
      <c r="NGJ67" s="3"/>
      <c r="NGK67" s="3"/>
      <c r="NGL67" s="3"/>
      <c r="NGM67" s="3"/>
      <c r="NGN67" s="3"/>
      <c r="NGO67" s="3"/>
      <c r="NGP67" s="3"/>
      <c r="NGQ67" s="3"/>
      <c r="NGR67" s="3"/>
      <c r="NGS67" s="3"/>
      <c r="NGT67" s="3"/>
      <c r="NGU67" s="3"/>
      <c r="NGV67" s="3"/>
      <c r="NGW67" s="3"/>
      <c r="NGX67" s="3"/>
      <c r="NGY67" s="3"/>
      <c r="NGZ67" s="3"/>
      <c r="NHA67" s="3"/>
      <c r="NHB67" s="3"/>
      <c r="NHC67" s="3"/>
      <c r="NHD67" s="3"/>
      <c r="NHE67" s="3"/>
      <c r="NHF67" s="3"/>
      <c r="NHG67" s="3"/>
      <c r="NHH67" s="3"/>
      <c r="NHI67" s="3"/>
      <c r="NHJ67" s="3"/>
      <c r="NHK67" s="3"/>
      <c r="NHL67" s="3"/>
      <c r="NHM67" s="3"/>
      <c r="NHN67" s="3"/>
      <c r="NHO67" s="3"/>
      <c r="NHP67" s="3"/>
      <c r="NHQ67" s="3"/>
      <c r="NHR67" s="3"/>
      <c r="NHS67" s="3"/>
      <c r="NHT67" s="3"/>
      <c r="NHU67" s="3"/>
      <c r="NHV67" s="3"/>
      <c r="NHW67" s="3"/>
      <c r="NHX67" s="3"/>
      <c r="NHY67" s="3"/>
      <c r="NHZ67" s="3"/>
      <c r="NIA67" s="3"/>
      <c r="NIB67" s="3"/>
      <c r="NIC67" s="3"/>
      <c r="NID67" s="3"/>
      <c r="NIE67" s="3"/>
      <c r="NIF67" s="3"/>
      <c r="NIG67" s="3"/>
      <c r="NIH67" s="3"/>
      <c r="NII67" s="3"/>
      <c r="NIJ67" s="3"/>
      <c r="NIK67" s="3"/>
      <c r="NIL67" s="3"/>
      <c r="NIM67" s="3"/>
      <c r="NIN67" s="3"/>
      <c r="NIO67" s="3"/>
      <c r="NIP67" s="3"/>
      <c r="NIQ67" s="3"/>
      <c r="NIR67" s="3"/>
      <c r="NIS67" s="3"/>
      <c r="NIT67" s="3"/>
      <c r="NIU67" s="3"/>
      <c r="NIV67" s="3"/>
      <c r="NIW67" s="3"/>
      <c r="NIX67" s="3"/>
      <c r="NIY67" s="3"/>
      <c r="NIZ67" s="3"/>
      <c r="NJA67" s="3"/>
      <c r="NJB67" s="3"/>
      <c r="NJC67" s="3"/>
      <c r="NJD67" s="3"/>
      <c r="NJE67" s="3"/>
      <c r="NJF67" s="3"/>
      <c r="NJG67" s="3"/>
      <c r="NJH67" s="3"/>
      <c r="NJI67" s="3"/>
      <c r="NJJ67" s="3"/>
      <c r="NJK67" s="3"/>
      <c r="NJL67" s="3"/>
      <c r="NJM67" s="3"/>
      <c r="NJN67" s="3"/>
      <c r="NJO67" s="3"/>
      <c r="NJP67" s="3"/>
      <c r="NJQ67" s="3"/>
      <c r="NJR67" s="3"/>
      <c r="NJS67" s="3"/>
      <c r="NJT67" s="3"/>
      <c r="NJU67" s="3"/>
      <c r="NJV67" s="3"/>
      <c r="NJW67" s="3"/>
      <c r="NJX67" s="3"/>
      <c r="NJY67" s="3"/>
      <c r="NJZ67" s="3"/>
      <c r="NKA67" s="3"/>
      <c r="NKB67" s="3"/>
      <c r="NKC67" s="3"/>
      <c r="NKD67" s="3"/>
      <c r="NKE67" s="3"/>
      <c r="NKF67" s="3"/>
      <c r="NKG67" s="3"/>
      <c r="NKH67" s="3"/>
      <c r="NKI67" s="3"/>
      <c r="NKJ67" s="3"/>
      <c r="NKK67" s="3"/>
      <c r="NKL67" s="3"/>
      <c r="NKM67" s="3"/>
      <c r="NKN67" s="3"/>
      <c r="NKO67" s="3"/>
      <c r="NKP67" s="3"/>
      <c r="NKQ67" s="3"/>
      <c r="NKR67" s="3"/>
      <c r="NKS67" s="3"/>
      <c r="NKT67" s="3"/>
      <c r="NKU67" s="3"/>
      <c r="NKV67" s="3"/>
      <c r="NKW67" s="3"/>
      <c r="NKX67" s="3"/>
      <c r="NKY67" s="3"/>
      <c r="NKZ67" s="3"/>
      <c r="NLA67" s="3"/>
      <c r="NLB67" s="3"/>
      <c r="NLC67" s="3"/>
      <c r="NLD67" s="3"/>
      <c r="NLE67" s="3"/>
      <c r="NLF67" s="3"/>
      <c r="NLG67" s="3"/>
      <c r="NLH67" s="3"/>
      <c r="NLI67" s="3"/>
      <c r="NLJ67" s="3"/>
      <c r="NLK67" s="3"/>
      <c r="NLL67" s="3"/>
      <c r="NLM67" s="3"/>
      <c r="NLN67" s="3"/>
      <c r="NLO67" s="3"/>
      <c r="NLP67" s="3"/>
      <c r="NLQ67" s="3"/>
      <c r="NLR67" s="3"/>
      <c r="NLS67" s="3"/>
      <c r="NLT67" s="3"/>
      <c r="NLU67" s="3"/>
      <c r="NLV67" s="3"/>
      <c r="NLW67" s="3"/>
      <c r="NLX67" s="3"/>
      <c r="NLY67" s="3"/>
      <c r="NLZ67" s="3"/>
      <c r="NMA67" s="3"/>
      <c r="NMB67" s="3"/>
      <c r="NMC67" s="3"/>
      <c r="NMD67" s="3"/>
      <c r="NME67" s="3"/>
      <c r="NMF67" s="3"/>
      <c r="NMG67" s="3"/>
      <c r="NMH67" s="3"/>
      <c r="NMI67" s="3"/>
      <c r="NMJ67" s="3"/>
      <c r="NMK67" s="3"/>
      <c r="NML67" s="3"/>
      <c r="NMM67" s="3"/>
      <c r="NMN67" s="3"/>
      <c r="NMO67" s="3"/>
      <c r="NMP67" s="3"/>
      <c r="NMQ67" s="3"/>
      <c r="NMR67" s="3"/>
      <c r="NMS67" s="3"/>
      <c r="NMT67" s="3"/>
      <c r="NMU67" s="3"/>
      <c r="NMV67" s="3"/>
      <c r="NMW67" s="3"/>
      <c r="NMX67" s="3"/>
      <c r="NMY67" s="3"/>
      <c r="NMZ67" s="3"/>
      <c r="NNA67" s="3"/>
      <c r="NNB67" s="3"/>
      <c r="NNC67" s="3"/>
      <c r="NND67" s="3"/>
      <c r="NNE67" s="3"/>
      <c r="NNF67" s="3"/>
      <c r="NNG67" s="3"/>
      <c r="NNH67" s="3"/>
      <c r="NNI67" s="3"/>
      <c r="NNJ67" s="3"/>
      <c r="NNK67" s="3"/>
      <c r="NNL67" s="3"/>
      <c r="NNM67" s="3"/>
      <c r="NNN67" s="3"/>
      <c r="NNO67" s="3"/>
      <c r="NNP67" s="3"/>
      <c r="NNQ67" s="3"/>
      <c r="NNR67" s="3"/>
      <c r="NNS67" s="3"/>
      <c r="NNT67" s="3"/>
      <c r="NNU67" s="3"/>
      <c r="NNV67" s="3"/>
      <c r="NNW67" s="3"/>
      <c r="NNX67" s="3"/>
      <c r="NNY67" s="3"/>
      <c r="NNZ67" s="3"/>
      <c r="NOA67" s="3"/>
      <c r="NOB67" s="3"/>
      <c r="NOC67" s="3"/>
      <c r="NOD67" s="3"/>
      <c r="NOE67" s="3"/>
      <c r="NOF67" s="3"/>
      <c r="NOG67" s="3"/>
      <c r="NOH67" s="3"/>
      <c r="NOI67" s="3"/>
      <c r="NOJ67" s="3"/>
      <c r="NOK67" s="3"/>
      <c r="NOL67" s="3"/>
      <c r="NOM67" s="3"/>
      <c r="NON67" s="3"/>
      <c r="NOO67" s="3"/>
      <c r="NOP67" s="3"/>
      <c r="NOQ67" s="3"/>
      <c r="NOR67" s="3"/>
      <c r="NOS67" s="3"/>
      <c r="NOT67" s="3"/>
      <c r="NOU67" s="3"/>
      <c r="NOV67" s="3"/>
      <c r="NOW67" s="3"/>
      <c r="NOX67" s="3"/>
      <c r="NOY67" s="3"/>
      <c r="NOZ67" s="3"/>
      <c r="NPA67" s="3"/>
      <c r="NPB67" s="3"/>
      <c r="NPC67" s="3"/>
      <c r="NPD67" s="3"/>
      <c r="NPE67" s="3"/>
      <c r="NPF67" s="3"/>
      <c r="NPG67" s="3"/>
      <c r="NPH67" s="3"/>
      <c r="NPI67" s="3"/>
      <c r="NPJ67" s="3"/>
      <c r="NPK67" s="3"/>
      <c r="NPL67" s="3"/>
      <c r="NPM67" s="3"/>
      <c r="NPN67" s="3"/>
      <c r="NPO67" s="3"/>
      <c r="NPP67" s="3"/>
      <c r="NPQ67" s="3"/>
      <c r="NPR67" s="3"/>
      <c r="NPS67" s="3"/>
      <c r="NPT67" s="3"/>
      <c r="NPU67" s="3"/>
      <c r="NPV67" s="3"/>
      <c r="NPW67" s="3"/>
      <c r="NPX67" s="3"/>
      <c r="NPY67" s="3"/>
      <c r="NPZ67" s="3"/>
      <c r="NQA67" s="3"/>
      <c r="NQB67" s="3"/>
      <c r="NQC67" s="3"/>
      <c r="NQD67" s="3"/>
      <c r="NQE67" s="3"/>
      <c r="NQF67" s="3"/>
      <c r="NQG67" s="3"/>
      <c r="NQH67" s="3"/>
      <c r="NQI67" s="3"/>
      <c r="NQJ67" s="3"/>
      <c r="NQK67" s="3"/>
      <c r="NQL67" s="3"/>
      <c r="NQM67" s="3"/>
      <c r="NQN67" s="3"/>
      <c r="NQO67" s="3"/>
      <c r="NQP67" s="3"/>
      <c r="NQQ67" s="3"/>
      <c r="NQR67" s="3"/>
      <c r="NQS67" s="3"/>
      <c r="NQT67" s="3"/>
      <c r="NQU67" s="3"/>
      <c r="NQV67" s="3"/>
      <c r="NQW67" s="3"/>
      <c r="NQX67" s="3"/>
      <c r="NQY67" s="3"/>
      <c r="NQZ67" s="3"/>
      <c r="NRA67" s="3"/>
      <c r="NRB67" s="3"/>
      <c r="NRC67" s="3"/>
      <c r="NRD67" s="3"/>
      <c r="NRE67" s="3"/>
      <c r="NRF67" s="3"/>
      <c r="NRG67" s="3"/>
      <c r="NRH67" s="3"/>
      <c r="NRI67" s="3"/>
      <c r="NRJ67" s="3"/>
      <c r="NRK67" s="3"/>
      <c r="NRL67" s="3"/>
      <c r="NRM67" s="3"/>
      <c r="NRN67" s="3"/>
      <c r="NRO67" s="3"/>
      <c r="NRP67" s="3"/>
      <c r="NRQ67" s="3"/>
      <c r="NRR67" s="3"/>
      <c r="NRS67" s="3"/>
      <c r="NRT67" s="3"/>
      <c r="NRU67" s="3"/>
      <c r="NRV67" s="3"/>
      <c r="NRW67" s="3"/>
      <c r="NRX67" s="3"/>
      <c r="NRY67" s="3"/>
      <c r="NRZ67" s="3"/>
      <c r="NSA67" s="3"/>
      <c r="NSB67" s="3"/>
      <c r="NSC67" s="3"/>
      <c r="NSD67" s="3"/>
      <c r="NSE67" s="3"/>
      <c r="NSF67" s="3"/>
      <c r="NSG67" s="3"/>
      <c r="NSH67" s="3"/>
      <c r="NSI67" s="3"/>
      <c r="NSJ67" s="3"/>
      <c r="NSK67" s="3"/>
      <c r="NSL67" s="3"/>
      <c r="NSM67" s="3"/>
      <c r="NSN67" s="3"/>
      <c r="NSO67" s="3"/>
      <c r="NSP67" s="3"/>
      <c r="NSQ67" s="3"/>
      <c r="NSR67" s="3"/>
      <c r="NSS67" s="3"/>
      <c r="NST67" s="3"/>
      <c r="NSU67" s="3"/>
      <c r="NSV67" s="3"/>
      <c r="NSW67" s="3"/>
      <c r="NSX67" s="3"/>
      <c r="NSY67" s="3"/>
      <c r="NSZ67" s="3"/>
      <c r="NTA67" s="3"/>
      <c r="NTB67" s="3"/>
      <c r="NTC67" s="3"/>
      <c r="NTD67" s="3"/>
      <c r="NTE67" s="3"/>
      <c r="NTF67" s="3"/>
      <c r="NTG67" s="3"/>
      <c r="NTH67" s="3"/>
      <c r="NTI67" s="3"/>
      <c r="NTJ67" s="3"/>
      <c r="NTK67" s="3"/>
      <c r="NTL67" s="3"/>
      <c r="NTM67" s="3"/>
      <c r="NTN67" s="3"/>
      <c r="NTO67" s="3"/>
      <c r="NTP67" s="3"/>
      <c r="NTQ67" s="3"/>
      <c r="NTR67" s="3"/>
      <c r="NTS67" s="3"/>
      <c r="NTT67" s="3"/>
      <c r="NTU67" s="3"/>
      <c r="NTV67" s="3"/>
      <c r="NTW67" s="3"/>
      <c r="NTX67" s="3"/>
      <c r="NTY67" s="3"/>
      <c r="NTZ67" s="3"/>
      <c r="NUA67" s="3"/>
      <c r="NUB67" s="3"/>
      <c r="NUC67" s="3"/>
      <c r="NUD67" s="3"/>
      <c r="NUE67" s="3"/>
      <c r="NUF67" s="3"/>
      <c r="NUG67" s="3"/>
      <c r="NUH67" s="3"/>
      <c r="NUI67" s="3"/>
      <c r="NUJ67" s="3"/>
      <c r="NUK67" s="3"/>
      <c r="NUL67" s="3"/>
      <c r="NUM67" s="3"/>
      <c r="NUN67" s="3"/>
      <c r="NUO67" s="3"/>
      <c r="NUP67" s="3"/>
      <c r="NUQ67" s="3"/>
      <c r="NUR67" s="3"/>
      <c r="NUS67" s="3"/>
      <c r="NUT67" s="3"/>
      <c r="NUU67" s="3"/>
      <c r="NUV67" s="3"/>
      <c r="NUW67" s="3"/>
      <c r="NUX67" s="3"/>
      <c r="NUY67" s="3"/>
      <c r="NUZ67" s="3"/>
      <c r="NVA67" s="3"/>
      <c r="NVB67" s="3"/>
      <c r="NVC67" s="3"/>
      <c r="NVD67" s="3"/>
      <c r="NVE67" s="3"/>
      <c r="NVF67" s="3"/>
      <c r="NVG67" s="3"/>
      <c r="NVH67" s="3"/>
      <c r="NVI67" s="3"/>
      <c r="NVJ67" s="3"/>
      <c r="NVK67" s="3"/>
      <c r="NVL67" s="3"/>
      <c r="NVM67" s="3"/>
      <c r="NVN67" s="3"/>
      <c r="NVO67" s="3"/>
      <c r="NVP67" s="3"/>
      <c r="NVQ67" s="3"/>
      <c r="NVR67" s="3"/>
      <c r="NVS67" s="3"/>
      <c r="NVT67" s="3"/>
      <c r="NVU67" s="3"/>
      <c r="NVV67" s="3"/>
      <c r="NVW67" s="3"/>
      <c r="NVX67" s="3"/>
      <c r="NVY67" s="3"/>
      <c r="NVZ67" s="3"/>
      <c r="NWA67" s="3"/>
      <c r="NWB67" s="3"/>
      <c r="NWC67" s="3"/>
      <c r="NWD67" s="3"/>
      <c r="NWE67" s="3"/>
      <c r="NWF67" s="3"/>
      <c r="NWG67" s="3"/>
      <c r="NWH67" s="3"/>
      <c r="NWI67" s="3"/>
      <c r="NWJ67" s="3"/>
      <c r="NWK67" s="3"/>
      <c r="NWL67" s="3"/>
      <c r="NWM67" s="3"/>
      <c r="NWN67" s="3"/>
      <c r="NWO67" s="3"/>
      <c r="NWP67" s="3"/>
      <c r="NWQ67" s="3"/>
      <c r="NWR67" s="3"/>
      <c r="NWS67" s="3"/>
      <c r="NWT67" s="3"/>
      <c r="NWU67" s="3"/>
      <c r="NWV67" s="3"/>
      <c r="NWW67" s="3"/>
      <c r="NWX67" s="3"/>
      <c r="NWY67" s="3"/>
      <c r="NWZ67" s="3"/>
      <c r="NXA67" s="3"/>
      <c r="NXB67" s="3"/>
      <c r="NXC67" s="3"/>
      <c r="NXD67" s="3"/>
      <c r="NXE67" s="3"/>
      <c r="NXF67" s="3"/>
      <c r="NXG67" s="3"/>
      <c r="NXH67" s="3"/>
      <c r="NXI67" s="3"/>
      <c r="NXJ67" s="3"/>
      <c r="NXK67" s="3"/>
      <c r="NXL67" s="3"/>
      <c r="NXM67" s="3"/>
      <c r="NXN67" s="3"/>
      <c r="NXO67" s="3"/>
      <c r="NXP67" s="3"/>
      <c r="NXQ67" s="3"/>
      <c r="NXR67" s="3"/>
      <c r="NXS67" s="3"/>
      <c r="NXT67" s="3"/>
      <c r="NXU67" s="3"/>
      <c r="NXV67" s="3"/>
      <c r="NXW67" s="3"/>
      <c r="NXX67" s="3"/>
      <c r="NXY67" s="3"/>
      <c r="NXZ67" s="3"/>
      <c r="NYA67" s="3"/>
      <c r="NYB67" s="3"/>
      <c r="NYC67" s="3"/>
      <c r="NYD67" s="3"/>
      <c r="NYE67" s="3"/>
      <c r="NYF67" s="3"/>
      <c r="NYG67" s="3"/>
      <c r="NYH67" s="3"/>
      <c r="NYI67" s="3"/>
      <c r="NYJ67" s="3"/>
      <c r="NYK67" s="3"/>
      <c r="NYL67" s="3"/>
      <c r="NYM67" s="3"/>
      <c r="NYN67" s="3"/>
      <c r="NYO67" s="3"/>
      <c r="NYP67" s="3"/>
      <c r="NYQ67" s="3"/>
      <c r="NYR67" s="3"/>
      <c r="NYS67" s="3"/>
      <c r="NYT67" s="3"/>
      <c r="NYU67" s="3"/>
      <c r="NYV67" s="3"/>
      <c r="NYW67" s="3"/>
      <c r="NYX67" s="3"/>
      <c r="NYY67" s="3"/>
      <c r="NYZ67" s="3"/>
      <c r="NZA67" s="3"/>
      <c r="NZB67" s="3"/>
      <c r="NZC67" s="3"/>
      <c r="NZD67" s="3"/>
      <c r="NZE67" s="3"/>
      <c r="NZF67" s="3"/>
      <c r="NZG67" s="3"/>
      <c r="NZH67" s="3"/>
      <c r="NZI67" s="3"/>
      <c r="NZJ67" s="3"/>
      <c r="NZK67" s="3"/>
      <c r="NZL67" s="3"/>
      <c r="NZM67" s="3"/>
      <c r="NZN67" s="3"/>
      <c r="NZO67" s="3"/>
      <c r="NZP67" s="3"/>
      <c r="NZQ67" s="3"/>
      <c r="NZR67" s="3"/>
      <c r="NZS67" s="3"/>
      <c r="NZT67" s="3"/>
      <c r="NZU67" s="3"/>
      <c r="NZV67" s="3"/>
      <c r="NZW67" s="3"/>
      <c r="NZX67" s="3"/>
      <c r="NZY67" s="3"/>
      <c r="NZZ67" s="3"/>
      <c r="OAA67" s="3"/>
      <c r="OAB67" s="3"/>
      <c r="OAC67" s="3"/>
      <c r="OAD67" s="3"/>
      <c r="OAE67" s="3"/>
      <c r="OAF67" s="3"/>
      <c r="OAG67" s="3"/>
      <c r="OAH67" s="3"/>
      <c r="OAI67" s="3"/>
      <c r="OAJ67" s="3"/>
      <c r="OAK67" s="3"/>
      <c r="OAL67" s="3"/>
      <c r="OAM67" s="3"/>
      <c r="OAN67" s="3"/>
      <c r="OAO67" s="3"/>
      <c r="OAP67" s="3"/>
      <c r="OAQ67" s="3"/>
      <c r="OAR67" s="3"/>
      <c r="OAS67" s="3"/>
      <c r="OAT67" s="3"/>
      <c r="OAU67" s="3"/>
      <c r="OAV67" s="3"/>
      <c r="OAW67" s="3"/>
      <c r="OAX67" s="3"/>
      <c r="OAY67" s="3"/>
      <c r="OAZ67" s="3"/>
      <c r="OBA67" s="3"/>
      <c r="OBB67" s="3"/>
      <c r="OBC67" s="3"/>
      <c r="OBD67" s="3"/>
      <c r="OBE67" s="3"/>
      <c r="OBF67" s="3"/>
      <c r="OBG67" s="3"/>
      <c r="OBH67" s="3"/>
      <c r="OBI67" s="3"/>
      <c r="OBJ67" s="3"/>
      <c r="OBK67" s="3"/>
      <c r="OBL67" s="3"/>
      <c r="OBM67" s="3"/>
      <c r="OBN67" s="3"/>
      <c r="OBO67" s="3"/>
      <c r="OBP67" s="3"/>
      <c r="OBQ67" s="3"/>
      <c r="OBR67" s="3"/>
      <c r="OBS67" s="3"/>
      <c r="OBT67" s="3"/>
      <c r="OBU67" s="3"/>
      <c r="OBV67" s="3"/>
      <c r="OBW67" s="3"/>
      <c r="OBX67" s="3"/>
      <c r="OBY67" s="3"/>
      <c r="OBZ67" s="3"/>
      <c r="OCA67" s="3"/>
      <c r="OCB67" s="3"/>
      <c r="OCC67" s="3"/>
      <c r="OCD67" s="3"/>
      <c r="OCE67" s="3"/>
      <c r="OCF67" s="3"/>
      <c r="OCG67" s="3"/>
      <c r="OCH67" s="3"/>
      <c r="OCI67" s="3"/>
      <c r="OCJ67" s="3"/>
      <c r="OCK67" s="3"/>
      <c r="OCL67" s="3"/>
      <c r="OCM67" s="3"/>
      <c r="OCN67" s="3"/>
      <c r="OCO67" s="3"/>
      <c r="OCP67" s="3"/>
      <c r="OCQ67" s="3"/>
      <c r="OCR67" s="3"/>
      <c r="OCS67" s="3"/>
      <c r="OCT67" s="3"/>
      <c r="OCU67" s="3"/>
      <c r="OCV67" s="3"/>
      <c r="OCW67" s="3"/>
      <c r="OCX67" s="3"/>
      <c r="OCY67" s="3"/>
      <c r="OCZ67" s="3"/>
      <c r="ODA67" s="3"/>
      <c r="ODB67" s="3"/>
      <c r="ODC67" s="3"/>
      <c r="ODD67" s="3"/>
      <c r="ODE67" s="3"/>
      <c r="ODF67" s="3"/>
      <c r="ODG67" s="3"/>
      <c r="ODH67" s="3"/>
      <c r="ODI67" s="3"/>
      <c r="ODJ67" s="3"/>
      <c r="ODK67" s="3"/>
      <c r="ODL67" s="3"/>
      <c r="ODM67" s="3"/>
      <c r="ODN67" s="3"/>
      <c r="ODO67" s="3"/>
      <c r="ODP67" s="3"/>
      <c r="ODQ67" s="3"/>
      <c r="ODR67" s="3"/>
      <c r="ODS67" s="3"/>
      <c r="ODT67" s="3"/>
      <c r="ODU67" s="3"/>
      <c r="ODV67" s="3"/>
      <c r="ODW67" s="3"/>
      <c r="ODX67" s="3"/>
      <c r="ODY67" s="3"/>
      <c r="ODZ67" s="3"/>
      <c r="OEA67" s="3"/>
      <c r="OEB67" s="3"/>
      <c r="OEC67" s="3"/>
      <c r="OED67" s="3"/>
      <c r="OEE67" s="3"/>
      <c r="OEF67" s="3"/>
      <c r="OEG67" s="3"/>
      <c r="OEH67" s="3"/>
      <c r="OEI67" s="3"/>
      <c r="OEJ67" s="3"/>
      <c r="OEK67" s="3"/>
      <c r="OEL67" s="3"/>
      <c r="OEM67" s="3"/>
      <c r="OEN67" s="3"/>
      <c r="OEO67" s="3"/>
      <c r="OEP67" s="3"/>
      <c r="OEQ67" s="3"/>
      <c r="OER67" s="3"/>
      <c r="OES67" s="3"/>
      <c r="OET67" s="3"/>
      <c r="OEU67" s="3"/>
      <c r="OEV67" s="3"/>
      <c r="OEW67" s="3"/>
      <c r="OEX67" s="3"/>
      <c r="OEY67" s="3"/>
      <c r="OEZ67" s="3"/>
      <c r="OFA67" s="3"/>
      <c r="OFB67" s="3"/>
      <c r="OFC67" s="3"/>
      <c r="OFD67" s="3"/>
      <c r="OFE67" s="3"/>
      <c r="OFF67" s="3"/>
      <c r="OFG67" s="3"/>
      <c r="OFH67" s="3"/>
      <c r="OFI67" s="3"/>
      <c r="OFJ67" s="3"/>
      <c r="OFK67" s="3"/>
      <c r="OFL67" s="3"/>
      <c r="OFM67" s="3"/>
      <c r="OFN67" s="3"/>
      <c r="OFO67" s="3"/>
      <c r="OFP67" s="3"/>
      <c r="OFQ67" s="3"/>
      <c r="OFR67" s="3"/>
      <c r="OFS67" s="3"/>
      <c r="OFT67" s="3"/>
      <c r="OFU67" s="3"/>
      <c r="OFV67" s="3"/>
      <c r="OFW67" s="3"/>
      <c r="OFX67" s="3"/>
      <c r="OFY67" s="3"/>
      <c r="OFZ67" s="3"/>
      <c r="OGA67" s="3"/>
      <c r="OGB67" s="3"/>
      <c r="OGC67" s="3"/>
      <c r="OGD67" s="3"/>
      <c r="OGE67" s="3"/>
      <c r="OGF67" s="3"/>
      <c r="OGG67" s="3"/>
      <c r="OGH67" s="3"/>
      <c r="OGI67" s="3"/>
      <c r="OGJ67" s="3"/>
      <c r="OGK67" s="3"/>
      <c r="OGL67" s="3"/>
      <c r="OGM67" s="3"/>
      <c r="OGN67" s="3"/>
      <c r="OGO67" s="3"/>
      <c r="OGP67" s="3"/>
      <c r="OGQ67" s="3"/>
      <c r="OGR67" s="3"/>
      <c r="OGS67" s="3"/>
      <c r="OGT67" s="3"/>
      <c r="OGU67" s="3"/>
      <c r="OGV67" s="3"/>
      <c r="OGW67" s="3"/>
      <c r="OGX67" s="3"/>
      <c r="OGY67" s="3"/>
      <c r="OGZ67" s="3"/>
      <c r="OHA67" s="3"/>
      <c r="OHB67" s="3"/>
      <c r="OHC67" s="3"/>
      <c r="OHD67" s="3"/>
      <c r="OHE67" s="3"/>
      <c r="OHF67" s="3"/>
      <c r="OHG67" s="3"/>
      <c r="OHH67" s="3"/>
      <c r="OHI67" s="3"/>
      <c r="OHJ67" s="3"/>
      <c r="OHK67" s="3"/>
      <c r="OHL67" s="3"/>
      <c r="OHM67" s="3"/>
      <c r="OHN67" s="3"/>
      <c r="OHO67" s="3"/>
      <c r="OHP67" s="3"/>
      <c r="OHQ67" s="3"/>
      <c r="OHR67" s="3"/>
      <c r="OHS67" s="3"/>
      <c r="OHT67" s="3"/>
      <c r="OHU67" s="3"/>
      <c r="OHV67" s="3"/>
      <c r="OHW67" s="3"/>
      <c r="OHX67" s="3"/>
      <c r="OHY67" s="3"/>
      <c r="OHZ67" s="3"/>
      <c r="OIA67" s="3"/>
      <c r="OIB67" s="3"/>
      <c r="OIC67" s="3"/>
      <c r="OID67" s="3"/>
      <c r="OIE67" s="3"/>
      <c r="OIF67" s="3"/>
      <c r="OIG67" s="3"/>
      <c r="OIH67" s="3"/>
      <c r="OII67" s="3"/>
      <c r="OIJ67" s="3"/>
      <c r="OIK67" s="3"/>
      <c r="OIL67" s="3"/>
      <c r="OIM67" s="3"/>
      <c r="OIN67" s="3"/>
      <c r="OIO67" s="3"/>
      <c r="OIP67" s="3"/>
      <c r="OIQ67" s="3"/>
      <c r="OIR67" s="3"/>
      <c r="OIS67" s="3"/>
      <c r="OIT67" s="3"/>
      <c r="OIU67" s="3"/>
      <c r="OIV67" s="3"/>
      <c r="OIW67" s="3"/>
      <c r="OIX67" s="3"/>
      <c r="OIY67" s="3"/>
      <c r="OIZ67" s="3"/>
      <c r="OJA67" s="3"/>
      <c r="OJB67" s="3"/>
      <c r="OJC67" s="3"/>
      <c r="OJD67" s="3"/>
      <c r="OJE67" s="3"/>
      <c r="OJF67" s="3"/>
      <c r="OJG67" s="3"/>
      <c r="OJH67" s="3"/>
      <c r="OJI67" s="3"/>
      <c r="OJJ67" s="3"/>
      <c r="OJK67" s="3"/>
      <c r="OJL67" s="3"/>
      <c r="OJM67" s="3"/>
      <c r="OJN67" s="3"/>
      <c r="OJO67" s="3"/>
      <c r="OJP67" s="3"/>
      <c r="OJQ67" s="3"/>
      <c r="OJR67" s="3"/>
      <c r="OJS67" s="3"/>
      <c r="OJT67" s="3"/>
      <c r="OJU67" s="3"/>
      <c r="OJV67" s="3"/>
      <c r="OJW67" s="3"/>
      <c r="OJX67" s="3"/>
      <c r="OJY67" s="3"/>
      <c r="OJZ67" s="3"/>
      <c r="OKA67" s="3"/>
      <c r="OKB67" s="3"/>
      <c r="OKC67" s="3"/>
      <c r="OKD67" s="3"/>
      <c r="OKE67" s="3"/>
      <c r="OKF67" s="3"/>
      <c r="OKG67" s="3"/>
      <c r="OKH67" s="3"/>
      <c r="OKI67" s="3"/>
      <c r="OKJ67" s="3"/>
      <c r="OKK67" s="3"/>
      <c r="OKL67" s="3"/>
      <c r="OKM67" s="3"/>
      <c r="OKN67" s="3"/>
      <c r="OKO67" s="3"/>
      <c r="OKP67" s="3"/>
      <c r="OKQ67" s="3"/>
      <c r="OKR67" s="3"/>
      <c r="OKS67" s="3"/>
      <c r="OKT67" s="3"/>
      <c r="OKU67" s="3"/>
      <c r="OKV67" s="3"/>
      <c r="OKW67" s="3"/>
      <c r="OKX67" s="3"/>
      <c r="OKY67" s="3"/>
      <c r="OKZ67" s="3"/>
      <c r="OLA67" s="3"/>
      <c r="OLB67" s="3"/>
      <c r="OLC67" s="3"/>
      <c r="OLD67" s="3"/>
      <c r="OLE67" s="3"/>
      <c r="OLF67" s="3"/>
      <c r="OLG67" s="3"/>
      <c r="OLH67" s="3"/>
      <c r="OLI67" s="3"/>
      <c r="OLJ67" s="3"/>
      <c r="OLK67" s="3"/>
      <c r="OLL67" s="3"/>
      <c r="OLM67" s="3"/>
      <c r="OLN67" s="3"/>
      <c r="OLO67" s="3"/>
      <c r="OLP67" s="3"/>
      <c r="OLQ67" s="3"/>
      <c r="OLR67" s="3"/>
      <c r="OLS67" s="3"/>
      <c r="OLT67" s="3"/>
      <c r="OLU67" s="3"/>
      <c r="OLV67" s="3"/>
      <c r="OLW67" s="3"/>
      <c r="OLX67" s="3"/>
      <c r="OLY67" s="3"/>
      <c r="OLZ67" s="3"/>
      <c r="OMA67" s="3"/>
      <c r="OMB67" s="3"/>
      <c r="OMC67" s="3"/>
      <c r="OMD67" s="3"/>
      <c r="OME67" s="3"/>
      <c r="OMF67" s="3"/>
      <c r="OMG67" s="3"/>
      <c r="OMH67" s="3"/>
      <c r="OMI67" s="3"/>
      <c r="OMJ67" s="3"/>
      <c r="OMK67" s="3"/>
      <c r="OML67" s="3"/>
      <c r="OMM67" s="3"/>
      <c r="OMN67" s="3"/>
      <c r="OMO67" s="3"/>
      <c r="OMP67" s="3"/>
      <c r="OMQ67" s="3"/>
      <c r="OMR67" s="3"/>
      <c r="OMS67" s="3"/>
      <c r="OMT67" s="3"/>
      <c r="OMU67" s="3"/>
      <c r="OMV67" s="3"/>
      <c r="OMW67" s="3"/>
      <c r="OMX67" s="3"/>
      <c r="OMY67" s="3"/>
      <c r="OMZ67" s="3"/>
      <c r="ONA67" s="3"/>
      <c r="ONB67" s="3"/>
      <c r="ONC67" s="3"/>
      <c r="OND67" s="3"/>
      <c r="ONE67" s="3"/>
      <c r="ONF67" s="3"/>
      <c r="ONG67" s="3"/>
      <c r="ONH67" s="3"/>
      <c r="ONI67" s="3"/>
      <c r="ONJ67" s="3"/>
      <c r="ONK67" s="3"/>
      <c r="ONL67" s="3"/>
      <c r="ONM67" s="3"/>
      <c r="ONN67" s="3"/>
      <c r="ONO67" s="3"/>
      <c r="ONP67" s="3"/>
      <c r="ONQ67" s="3"/>
      <c r="ONR67" s="3"/>
      <c r="ONS67" s="3"/>
      <c r="ONT67" s="3"/>
      <c r="ONU67" s="3"/>
      <c r="ONV67" s="3"/>
      <c r="ONW67" s="3"/>
      <c r="ONX67" s="3"/>
      <c r="ONY67" s="3"/>
      <c r="ONZ67" s="3"/>
      <c r="OOA67" s="3"/>
      <c r="OOB67" s="3"/>
      <c r="OOC67" s="3"/>
      <c r="OOD67" s="3"/>
      <c r="OOE67" s="3"/>
      <c r="OOF67" s="3"/>
      <c r="OOG67" s="3"/>
      <c r="OOH67" s="3"/>
      <c r="OOI67" s="3"/>
      <c r="OOJ67" s="3"/>
      <c r="OOK67" s="3"/>
      <c r="OOL67" s="3"/>
      <c r="OOM67" s="3"/>
      <c r="OON67" s="3"/>
      <c r="OOO67" s="3"/>
      <c r="OOP67" s="3"/>
      <c r="OOQ67" s="3"/>
      <c r="OOR67" s="3"/>
      <c r="OOS67" s="3"/>
      <c r="OOT67" s="3"/>
      <c r="OOU67" s="3"/>
      <c r="OOV67" s="3"/>
      <c r="OOW67" s="3"/>
      <c r="OOX67" s="3"/>
      <c r="OOY67" s="3"/>
      <c r="OOZ67" s="3"/>
      <c r="OPA67" s="3"/>
      <c r="OPB67" s="3"/>
      <c r="OPC67" s="3"/>
      <c r="OPD67" s="3"/>
      <c r="OPE67" s="3"/>
      <c r="OPF67" s="3"/>
      <c r="OPG67" s="3"/>
      <c r="OPH67" s="3"/>
      <c r="OPI67" s="3"/>
      <c r="OPJ67" s="3"/>
      <c r="OPK67" s="3"/>
      <c r="OPL67" s="3"/>
      <c r="OPM67" s="3"/>
      <c r="OPN67" s="3"/>
      <c r="OPO67" s="3"/>
      <c r="OPP67" s="3"/>
      <c r="OPQ67" s="3"/>
      <c r="OPR67" s="3"/>
      <c r="OPS67" s="3"/>
      <c r="OPT67" s="3"/>
      <c r="OPU67" s="3"/>
      <c r="OPV67" s="3"/>
      <c r="OPW67" s="3"/>
      <c r="OPX67" s="3"/>
      <c r="OPY67" s="3"/>
      <c r="OPZ67" s="3"/>
      <c r="OQA67" s="3"/>
      <c r="OQB67" s="3"/>
      <c r="OQC67" s="3"/>
      <c r="OQD67" s="3"/>
      <c r="OQE67" s="3"/>
      <c r="OQF67" s="3"/>
      <c r="OQG67" s="3"/>
      <c r="OQH67" s="3"/>
      <c r="OQI67" s="3"/>
      <c r="OQJ67" s="3"/>
      <c r="OQK67" s="3"/>
      <c r="OQL67" s="3"/>
      <c r="OQM67" s="3"/>
      <c r="OQN67" s="3"/>
      <c r="OQO67" s="3"/>
      <c r="OQP67" s="3"/>
      <c r="OQQ67" s="3"/>
      <c r="OQR67" s="3"/>
      <c r="OQS67" s="3"/>
      <c r="OQT67" s="3"/>
      <c r="OQU67" s="3"/>
      <c r="OQV67" s="3"/>
      <c r="OQW67" s="3"/>
      <c r="OQX67" s="3"/>
      <c r="OQY67" s="3"/>
      <c r="OQZ67" s="3"/>
      <c r="ORA67" s="3"/>
      <c r="ORB67" s="3"/>
      <c r="ORC67" s="3"/>
      <c r="ORD67" s="3"/>
      <c r="ORE67" s="3"/>
      <c r="ORF67" s="3"/>
      <c r="ORG67" s="3"/>
      <c r="ORH67" s="3"/>
      <c r="ORI67" s="3"/>
      <c r="ORJ67" s="3"/>
      <c r="ORK67" s="3"/>
      <c r="ORL67" s="3"/>
      <c r="ORM67" s="3"/>
      <c r="ORN67" s="3"/>
      <c r="ORO67" s="3"/>
      <c r="ORP67" s="3"/>
      <c r="ORQ67" s="3"/>
      <c r="ORR67" s="3"/>
      <c r="ORS67" s="3"/>
      <c r="ORT67" s="3"/>
      <c r="ORU67" s="3"/>
      <c r="ORV67" s="3"/>
      <c r="ORW67" s="3"/>
      <c r="ORX67" s="3"/>
      <c r="ORY67" s="3"/>
      <c r="ORZ67" s="3"/>
      <c r="OSA67" s="3"/>
      <c r="OSB67" s="3"/>
      <c r="OSC67" s="3"/>
      <c r="OSD67" s="3"/>
      <c r="OSE67" s="3"/>
      <c r="OSF67" s="3"/>
      <c r="OSG67" s="3"/>
      <c r="OSH67" s="3"/>
      <c r="OSI67" s="3"/>
      <c r="OSJ67" s="3"/>
      <c r="OSK67" s="3"/>
      <c r="OSL67" s="3"/>
      <c r="OSM67" s="3"/>
      <c r="OSN67" s="3"/>
      <c r="OSO67" s="3"/>
      <c r="OSP67" s="3"/>
      <c r="OSQ67" s="3"/>
      <c r="OSR67" s="3"/>
      <c r="OSS67" s="3"/>
      <c r="OST67" s="3"/>
      <c r="OSU67" s="3"/>
      <c r="OSV67" s="3"/>
      <c r="OSW67" s="3"/>
      <c r="OSX67" s="3"/>
      <c r="OSY67" s="3"/>
      <c r="OSZ67" s="3"/>
      <c r="OTA67" s="3"/>
      <c r="OTB67" s="3"/>
      <c r="OTC67" s="3"/>
      <c r="OTD67" s="3"/>
      <c r="OTE67" s="3"/>
      <c r="OTF67" s="3"/>
      <c r="OTG67" s="3"/>
      <c r="OTH67" s="3"/>
      <c r="OTI67" s="3"/>
      <c r="OTJ67" s="3"/>
      <c r="OTK67" s="3"/>
      <c r="OTL67" s="3"/>
      <c r="OTM67" s="3"/>
      <c r="OTN67" s="3"/>
      <c r="OTO67" s="3"/>
      <c r="OTP67" s="3"/>
      <c r="OTQ67" s="3"/>
      <c r="OTR67" s="3"/>
      <c r="OTS67" s="3"/>
      <c r="OTT67" s="3"/>
      <c r="OTU67" s="3"/>
      <c r="OTV67" s="3"/>
      <c r="OTW67" s="3"/>
      <c r="OTX67" s="3"/>
      <c r="OTY67" s="3"/>
      <c r="OTZ67" s="3"/>
      <c r="OUA67" s="3"/>
      <c r="OUB67" s="3"/>
      <c r="OUC67" s="3"/>
      <c r="OUD67" s="3"/>
      <c r="OUE67" s="3"/>
      <c r="OUF67" s="3"/>
      <c r="OUG67" s="3"/>
      <c r="OUH67" s="3"/>
      <c r="OUI67" s="3"/>
      <c r="OUJ67" s="3"/>
      <c r="OUK67" s="3"/>
      <c r="OUL67" s="3"/>
      <c r="OUM67" s="3"/>
      <c r="OUN67" s="3"/>
      <c r="OUO67" s="3"/>
      <c r="OUP67" s="3"/>
      <c r="OUQ67" s="3"/>
      <c r="OUR67" s="3"/>
      <c r="OUS67" s="3"/>
      <c r="OUT67" s="3"/>
      <c r="OUU67" s="3"/>
      <c r="OUV67" s="3"/>
      <c r="OUW67" s="3"/>
      <c r="OUX67" s="3"/>
      <c r="OUY67" s="3"/>
      <c r="OUZ67" s="3"/>
      <c r="OVA67" s="3"/>
      <c r="OVB67" s="3"/>
      <c r="OVC67" s="3"/>
      <c r="OVD67" s="3"/>
      <c r="OVE67" s="3"/>
      <c r="OVF67" s="3"/>
      <c r="OVG67" s="3"/>
      <c r="OVH67" s="3"/>
      <c r="OVI67" s="3"/>
      <c r="OVJ67" s="3"/>
      <c r="OVK67" s="3"/>
      <c r="OVL67" s="3"/>
      <c r="OVM67" s="3"/>
      <c r="OVN67" s="3"/>
      <c r="OVO67" s="3"/>
      <c r="OVP67" s="3"/>
      <c r="OVQ67" s="3"/>
      <c r="OVR67" s="3"/>
      <c r="OVS67" s="3"/>
      <c r="OVT67" s="3"/>
      <c r="OVU67" s="3"/>
      <c r="OVV67" s="3"/>
      <c r="OVW67" s="3"/>
      <c r="OVX67" s="3"/>
      <c r="OVY67" s="3"/>
      <c r="OVZ67" s="3"/>
      <c r="OWA67" s="3"/>
      <c r="OWB67" s="3"/>
      <c r="OWC67" s="3"/>
      <c r="OWD67" s="3"/>
      <c r="OWE67" s="3"/>
      <c r="OWF67" s="3"/>
      <c r="OWG67" s="3"/>
      <c r="OWH67" s="3"/>
      <c r="OWI67" s="3"/>
      <c r="OWJ67" s="3"/>
      <c r="OWK67" s="3"/>
      <c r="OWL67" s="3"/>
      <c r="OWM67" s="3"/>
      <c r="OWN67" s="3"/>
      <c r="OWO67" s="3"/>
      <c r="OWP67" s="3"/>
      <c r="OWQ67" s="3"/>
      <c r="OWR67" s="3"/>
      <c r="OWS67" s="3"/>
      <c r="OWT67" s="3"/>
      <c r="OWU67" s="3"/>
      <c r="OWV67" s="3"/>
      <c r="OWW67" s="3"/>
      <c r="OWX67" s="3"/>
      <c r="OWY67" s="3"/>
      <c r="OWZ67" s="3"/>
      <c r="OXA67" s="3"/>
      <c r="OXB67" s="3"/>
      <c r="OXC67" s="3"/>
      <c r="OXD67" s="3"/>
      <c r="OXE67" s="3"/>
      <c r="OXF67" s="3"/>
      <c r="OXG67" s="3"/>
      <c r="OXH67" s="3"/>
      <c r="OXI67" s="3"/>
      <c r="OXJ67" s="3"/>
      <c r="OXK67" s="3"/>
      <c r="OXL67" s="3"/>
      <c r="OXM67" s="3"/>
      <c r="OXN67" s="3"/>
      <c r="OXO67" s="3"/>
      <c r="OXP67" s="3"/>
      <c r="OXQ67" s="3"/>
      <c r="OXR67" s="3"/>
      <c r="OXS67" s="3"/>
      <c r="OXT67" s="3"/>
      <c r="OXU67" s="3"/>
      <c r="OXV67" s="3"/>
      <c r="OXW67" s="3"/>
      <c r="OXX67" s="3"/>
      <c r="OXY67" s="3"/>
      <c r="OXZ67" s="3"/>
      <c r="OYA67" s="3"/>
      <c r="OYB67" s="3"/>
      <c r="OYC67" s="3"/>
      <c r="OYD67" s="3"/>
      <c r="OYE67" s="3"/>
      <c r="OYF67" s="3"/>
      <c r="OYG67" s="3"/>
      <c r="OYH67" s="3"/>
      <c r="OYI67" s="3"/>
      <c r="OYJ67" s="3"/>
      <c r="OYK67" s="3"/>
      <c r="OYL67" s="3"/>
      <c r="OYM67" s="3"/>
      <c r="OYN67" s="3"/>
      <c r="OYO67" s="3"/>
      <c r="OYP67" s="3"/>
      <c r="OYQ67" s="3"/>
      <c r="OYR67" s="3"/>
      <c r="OYS67" s="3"/>
      <c r="OYT67" s="3"/>
      <c r="OYU67" s="3"/>
      <c r="OYV67" s="3"/>
      <c r="OYW67" s="3"/>
      <c r="OYX67" s="3"/>
      <c r="OYY67" s="3"/>
      <c r="OYZ67" s="3"/>
      <c r="OZA67" s="3"/>
      <c r="OZB67" s="3"/>
      <c r="OZC67" s="3"/>
      <c r="OZD67" s="3"/>
      <c r="OZE67" s="3"/>
      <c r="OZF67" s="3"/>
      <c r="OZG67" s="3"/>
      <c r="OZH67" s="3"/>
      <c r="OZI67" s="3"/>
      <c r="OZJ67" s="3"/>
      <c r="OZK67" s="3"/>
      <c r="OZL67" s="3"/>
      <c r="OZM67" s="3"/>
      <c r="OZN67" s="3"/>
      <c r="OZO67" s="3"/>
      <c r="OZP67" s="3"/>
      <c r="OZQ67" s="3"/>
      <c r="OZR67" s="3"/>
      <c r="OZS67" s="3"/>
      <c r="OZT67" s="3"/>
      <c r="OZU67" s="3"/>
      <c r="OZV67" s="3"/>
      <c r="OZW67" s="3"/>
      <c r="OZX67" s="3"/>
      <c r="OZY67" s="3"/>
      <c r="OZZ67" s="3"/>
      <c r="PAA67" s="3"/>
      <c r="PAB67" s="3"/>
      <c r="PAC67" s="3"/>
      <c r="PAD67" s="3"/>
      <c r="PAE67" s="3"/>
      <c r="PAF67" s="3"/>
      <c r="PAG67" s="3"/>
      <c r="PAH67" s="3"/>
      <c r="PAI67" s="3"/>
      <c r="PAJ67" s="3"/>
      <c r="PAK67" s="3"/>
      <c r="PAL67" s="3"/>
      <c r="PAM67" s="3"/>
      <c r="PAN67" s="3"/>
      <c r="PAO67" s="3"/>
      <c r="PAP67" s="3"/>
      <c r="PAQ67" s="3"/>
      <c r="PAR67" s="3"/>
      <c r="PAS67" s="3"/>
      <c r="PAT67" s="3"/>
      <c r="PAU67" s="3"/>
      <c r="PAV67" s="3"/>
      <c r="PAW67" s="3"/>
      <c r="PAX67" s="3"/>
      <c r="PAY67" s="3"/>
      <c r="PAZ67" s="3"/>
      <c r="PBA67" s="3"/>
      <c r="PBB67" s="3"/>
      <c r="PBC67" s="3"/>
      <c r="PBD67" s="3"/>
      <c r="PBE67" s="3"/>
      <c r="PBF67" s="3"/>
      <c r="PBG67" s="3"/>
      <c r="PBH67" s="3"/>
      <c r="PBI67" s="3"/>
      <c r="PBJ67" s="3"/>
      <c r="PBK67" s="3"/>
      <c r="PBL67" s="3"/>
      <c r="PBM67" s="3"/>
      <c r="PBN67" s="3"/>
      <c r="PBO67" s="3"/>
      <c r="PBP67" s="3"/>
      <c r="PBQ67" s="3"/>
      <c r="PBR67" s="3"/>
      <c r="PBS67" s="3"/>
      <c r="PBT67" s="3"/>
      <c r="PBU67" s="3"/>
      <c r="PBV67" s="3"/>
      <c r="PBW67" s="3"/>
      <c r="PBX67" s="3"/>
      <c r="PBY67" s="3"/>
      <c r="PBZ67" s="3"/>
      <c r="PCA67" s="3"/>
      <c r="PCB67" s="3"/>
      <c r="PCC67" s="3"/>
      <c r="PCD67" s="3"/>
      <c r="PCE67" s="3"/>
      <c r="PCF67" s="3"/>
      <c r="PCG67" s="3"/>
      <c r="PCH67" s="3"/>
      <c r="PCI67" s="3"/>
      <c r="PCJ67" s="3"/>
      <c r="PCK67" s="3"/>
      <c r="PCL67" s="3"/>
      <c r="PCM67" s="3"/>
      <c r="PCN67" s="3"/>
      <c r="PCO67" s="3"/>
      <c r="PCP67" s="3"/>
      <c r="PCQ67" s="3"/>
      <c r="PCR67" s="3"/>
      <c r="PCS67" s="3"/>
      <c r="PCT67" s="3"/>
      <c r="PCU67" s="3"/>
      <c r="PCV67" s="3"/>
      <c r="PCW67" s="3"/>
      <c r="PCX67" s="3"/>
      <c r="PCY67" s="3"/>
      <c r="PCZ67" s="3"/>
      <c r="PDA67" s="3"/>
      <c r="PDB67" s="3"/>
      <c r="PDC67" s="3"/>
      <c r="PDD67" s="3"/>
      <c r="PDE67" s="3"/>
      <c r="PDF67" s="3"/>
      <c r="PDG67" s="3"/>
      <c r="PDH67" s="3"/>
      <c r="PDI67" s="3"/>
      <c r="PDJ67" s="3"/>
      <c r="PDK67" s="3"/>
      <c r="PDL67" s="3"/>
      <c r="PDM67" s="3"/>
      <c r="PDN67" s="3"/>
      <c r="PDO67" s="3"/>
      <c r="PDP67" s="3"/>
      <c r="PDQ67" s="3"/>
      <c r="PDR67" s="3"/>
      <c r="PDS67" s="3"/>
      <c r="PDT67" s="3"/>
      <c r="PDU67" s="3"/>
      <c r="PDV67" s="3"/>
      <c r="PDW67" s="3"/>
      <c r="PDX67" s="3"/>
      <c r="PDY67" s="3"/>
      <c r="PDZ67" s="3"/>
      <c r="PEA67" s="3"/>
      <c r="PEB67" s="3"/>
      <c r="PEC67" s="3"/>
      <c r="PED67" s="3"/>
      <c r="PEE67" s="3"/>
      <c r="PEF67" s="3"/>
      <c r="PEG67" s="3"/>
      <c r="PEH67" s="3"/>
      <c r="PEI67" s="3"/>
      <c r="PEJ67" s="3"/>
      <c r="PEK67" s="3"/>
      <c r="PEL67" s="3"/>
      <c r="PEM67" s="3"/>
      <c r="PEN67" s="3"/>
      <c r="PEO67" s="3"/>
      <c r="PEP67" s="3"/>
      <c r="PEQ67" s="3"/>
      <c r="PER67" s="3"/>
      <c r="PES67" s="3"/>
      <c r="PET67" s="3"/>
      <c r="PEU67" s="3"/>
      <c r="PEV67" s="3"/>
      <c r="PEW67" s="3"/>
      <c r="PEX67" s="3"/>
      <c r="PEY67" s="3"/>
      <c r="PEZ67" s="3"/>
      <c r="PFA67" s="3"/>
      <c r="PFB67" s="3"/>
      <c r="PFC67" s="3"/>
      <c r="PFD67" s="3"/>
      <c r="PFE67" s="3"/>
      <c r="PFF67" s="3"/>
      <c r="PFG67" s="3"/>
      <c r="PFH67" s="3"/>
      <c r="PFI67" s="3"/>
      <c r="PFJ67" s="3"/>
      <c r="PFK67" s="3"/>
      <c r="PFL67" s="3"/>
      <c r="PFM67" s="3"/>
      <c r="PFN67" s="3"/>
      <c r="PFO67" s="3"/>
      <c r="PFP67" s="3"/>
      <c r="PFQ67" s="3"/>
      <c r="PFR67" s="3"/>
      <c r="PFS67" s="3"/>
      <c r="PFT67" s="3"/>
      <c r="PFU67" s="3"/>
      <c r="PFV67" s="3"/>
      <c r="PFW67" s="3"/>
      <c r="PFX67" s="3"/>
      <c r="PFY67" s="3"/>
      <c r="PFZ67" s="3"/>
      <c r="PGA67" s="3"/>
      <c r="PGB67" s="3"/>
      <c r="PGC67" s="3"/>
      <c r="PGD67" s="3"/>
      <c r="PGE67" s="3"/>
      <c r="PGF67" s="3"/>
      <c r="PGG67" s="3"/>
      <c r="PGH67" s="3"/>
      <c r="PGI67" s="3"/>
      <c r="PGJ67" s="3"/>
      <c r="PGK67" s="3"/>
      <c r="PGL67" s="3"/>
      <c r="PGM67" s="3"/>
      <c r="PGN67" s="3"/>
      <c r="PGO67" s="3"/>
      <c r="PGP67" s="3"/>
      <c r="PGQ67" s="3"/>
      <c r="PGR67" s="3"/>
      <c r="PGS67" s="3"/>
      <c r="PGT67" s="3"/>
      <c r="PGU67" s="3"/>
      <c r="PGV67" s="3"/>
      <c r="PGW67" s="3"/>
      <c r="PGX67" s="3"/>
      <c r="PGY67" s="3"/>
      <c r="PGZ67" s="3"/>
      <c r="PHA67" s="3"/>
      <c r="PHB67" s="3"/>
      <c r="PHC67" s="3"/>
      <c r="PHD67" s="3"/>
      <c r="PHE67" s="3"/>
      <c r="PHF67" s="3"/>
      <c r="PHG67" s="3"/>
      <c r="PHH67" s="3"/>
      <c r="PHI67" s="3"/>
      <c r="PHJ67" s="3"/>
      <c r="PHK67" s="3"/>
      <c r="PHL67" s="3"/>
      <c r="PHM67" s="3"/>
      <c r="PHN67" s="3"/>
      <c r="PHO67" s="3"/>
      <c r="PHP67" s="3"/>
      <c r="PHQ67" s="3"/>
      <c r="PHR67" s="3"/>
      <c r="PHS67" s="3"/>
      <c r="PHT67" s="3"/>
      <c r="PHU67" s="3"/>
      <c r="PHV67" s="3"/>
      <c r="PHW67" s="3"/>
      <c r="PHX67" s="3"/>
      <c r="PHY67" s="3"/>
      <c r="PHZ67" s="3"/>
      <c r="PIA67" s="3"/>
      <c r="PIB67" s="3"/>
      <c r="PIC67" s="3"/>
      <c r="PID67" s="3"/>
      <c r="PIE67" s="3"/>
      <c r="PIF67" s="3"/>
      <c r="PIG67" s="3"/>
      <c r="PIH67" s="3"/>
      <c r="PII67" s="3"/>
      <c r="PIJ67" s="3"/>
      <c r="PIK67" s="3"/>
      <c r="PIL67" s="3"/>
      <c r="PIM67" s="3"/>
      <c r="PIN67" s="3"/>
      <c r="PIO67" s="3"/>
      <c r="PIP67" s="3"/>
      <c r="PIQ67" s="3"/>
      <c r="PIR67" s="3"/>
      <c r="PIS67" s="3"/>
      <c r="PIT67" s="3"/>
      <c r="PIU67" s="3"/>
      <c r="PIV67" s="3"/>
      <c r="PIW67" s="3"/>
      <c r="PIX67" s="3"/>
      <c r="PIY67" s="3"/>
      <c r="PIZ67" s="3"/>
      <c r="PJA67" s="3"/>
      <c r="PJB67" s="3"/>
      <c r="PJC67" s="3"/>
      <c r="PJD67" s="3"/>
      <c r="PJE67" s="3"/>
      <c r="PJF67" s="3"/>
      <c r="PJG67" s="3"/>
      <c r="PJH67" s="3"/>
      <c r="PJI67" s="3"/>
      <c r="PJJ67" s="3"/>
      <c r="PJK67" s="3"/>
      <c r="PJL67" s="3"/>
      <c r="PJM67" s="3"/>
      <c r="PJN67" s="3"/>
      <c r="PJO67" s="3"/>
      <c r="PJP67" s="3"/>
      <c r="PJQ67" s="3"/>
      <c r="PJR67" s="3"/>
      <c r="PJS67" s="3"/>
      <c r="PJT67" s="3"/>
      <c r="PJU67" s="3"/>
      <c r="PJV67" s="3"/>
      <c r="PJW67" s="3"/>
      <c r="PJX67" s="3"/>
      <c r="PJY67" s="3"/>
      <c r="PJZ67" s="3"/>
      <c r="PKA67" s="3"/>
      <c r="PKB67" s="3"/>
      <c r="PKC67" s="3"/>
      <c r="PKD67" s="3"/>
      <c r="PKE67" s="3"/>
      <c r="PKF67" s="3"/>
      <c r="PKG67" s="3"/>
      <c r="PKH67" s="3"/>
      <c r="PKI67" s="3"/>
      <c r="PKJ67" s="3"/>
      <c r="PKK67" s="3"/>
      <c r="PKL67" s="3"/>
      <c r="PKM67" s="3"/>
      <c r="PKN67" s="3"/>
      <c r="PKO67" s="3"/>
      <c r="PKP67" s="3"/>
      <c r="PKQ67" s="3"/>
      <c r="PKR67" s="3"/>
      <c r="PKS67" s="3"/>
      <c r="PKT67" s="3"/>
      <c r="PKU67" s="3"/>
      <c r="PKV67" s="3"/>
      <c r="PKW67" s="3"/>
      <c r="PKX67" s="3"/>
      <c r="PKY67" s="3"/>
      <c r="PKZ67" s="3"/>
      <c r="PLA67" s="3"/>
      <c r="PLB67" s="3"/>
      <c r="PLC67" s="3"/>
      <c r="PLD67" s="3"/>
      <c r="PLE67" s="3"/>
      <c r="PLF67" s="3"/>
      <c r="PLG67" s="3"/>
      <c r="PLH67" s="3"/>
      <c r="PLI67" s="3"/>
      <c r="PLJ67" s="3"/>
      <c r="PLK67" s="3"/>
      <c r="PLL67" s="3"/>
      <c r="PLM67" s="3"/>
      <c r="PLN67" s="3"/>
      <c r="PLO67" s="3"/>
      <c r="PLP67" s="3"/>
      <c r="PLQ67" s="3"/>
      <c r="PLR67" s="3"/>
      <c r="PLS67" s="3"/>
      <c r="PLT67" s="3"/>
      <c r="PLU67" s="3"/>
      <c r="PLV67" s="3"/>
      <c r="PLW67" s="3"/>
      <c r="PLX67" s="3"/>
      <c r="PLY67" s="3"/>
      <c r="PLZ67" s="3"/>
      <c r="PMA67" s="3"/>
      <c r="PMB67" s="3"/>
      <c r="PMC67" s="3"/>
      <c r="PMD67" s="3"/>
      <c r="PME67" s="3"/>
      <c r="PMF67" s="3"/>
      <c r="PMG67" s="3"/>
      <c r="PMH67" s="3"/>
      <c r="PMI67" s="3"/>
      <c r="PMJ67" s="3"/>
      <c r="PMK67" s="3"/>
      <c r="PML67" s="3"/>
      <c r="PMM67" s="3"/>
      <c r="PMN67" s="3"/>
      <c r="PMO67" s="3"/>
      <c r="PMP67" s="3"/>
      <c r="PMQ67" s="3"/>
      <c r="PMR67" s="3"/>
      <c r="PMS67" s="3"/>
      <c r="PMT67" s="3"/>
      <c r="PMU67" s="3"/>
      <c r="PMV67" s="3"/>
      <c r="PMW67" s="3"/>
      <c r="PMX67" s="3"/>
      <c r="PMY67" s="3"/>
      <c r="PMZ67" s="3"/>
      <c r="PNA67" s="3"/>
      <c r="PNB67" s="3"/>
      <c r="PNC67" s="3"/>
      <c r="PND67" s="3"/>
      <c r="PNE67" s="3"/>
      <c r="PNF67" s="3"/>
      <c r="PNG67" s="3"/>
      <c r="PNH67" s="3"/>
      <c r="PNI67" s="3"/>
      <c r="PNJ67" s="3"/>
      <c r="PNK67" s="3"/>
      <c r="PNL67" s="3"/>
      <c r="PNM67" s="3"/>
      <c r="PNN67" s="3"/>
      <c r="PNO67" s="3"/>
      <c r="PNP67" s="3"/>
      <c r="PNQ67" s="3"/>
      <c r="PNR67" s="3"/>
      <c r="PNS67" s="3"/>
      <c r="PNT67" s="3"/>
      <c r="PNU67" s="3"/>
      <c r="PNV67" s="3"/>
      <c r="PNW67" s="3"/>
      <c r="PNX67" s="3"/>
      <c r="PNY67" s="3"/>
      <c r="PNZ67" s="3"/>
      <c r="POA67" s="3"/>
      <c r="POB67" s="3"/>
      <c r="POC67" s="3"/>
      <c r="POD67" s="3"/>
      <c r="POE67" s="3"/>
      <c r="POF67" s="3"/>
      <c r="POG67" s="3"/>
      <c r="POH67" s="3"/>
      <c r="POI67" s="3"/>
      <c r="POJ67" s="3"/>
      <c r="POK67" s="3"/>
      <c r="POL67" s="3"/>
      <c r="POM67" s="3"/>
      <c r="PON67" s="3"/>
      <c r="POO67" s="3"/>
      <c r="POP67" s="3"/>
      <c r="POQ67" s="3"/>
      <c r="POR67" s="3"/>
      <c r="POS67" s="3"/>
      <c r="POT67" s="3"/>
      <c r="POU67" s="3"/>
      <c r="POV67" s="3"/>
      <c r="POW67" s="3"/>
      <c r="POX67" s="3"/>
      <c r="POY67" s="3"/>
      <c r="POZ67" s="3"/>
      <c r="PPA67" s="3"/>
      <c r="PPB67" s="3"/>
      <c r="PPC67" s="3"/>
      <c r="PPD67" s="3"/>
      <c r="PPE67" s="3"/>
      <c r="PPF67" s="3"/>
      <c r="PPG67" s="3"/>
      <c r="PPH67" s="3"/>
      <c r="PPI67" s="3"/>
      <c r="PPJ67" s="3"/>
      <c r="PPK67" s="3"/>
      <c r="PPL67" s="3"/>
      <c r="PPM67" s="3"/>
      <c r="PPN67" s="3"/>
      <c r="PPO67" s="3"/>
      <c r="PPP67" s="3"/>
      <c r="PPQ67" s="3"/>
      <c r="PPR67" s="3"/>
      <c r="PPS67" s="3"/>
      <c r="PPT67" s="3"/>
      <c r="PPU67" s="3"/>
      <c r="PPV67" s="3"/>
      <c r="PPW67" s="3"/>
      <c r="PPX67" s="3"/>
      <c r="PPY67" s="3"/>
      <c r="PPZ67" s="3"/>
      <c r="PQA67" s="3"/>
      <c r="PQB67" s="3"/>
      <c r="PQC67" s="3"/>
      <c r="PQD67" s="3"/>
      <c r="PQE67" s="3"/>
      <c r="PQF67" s="3"/>
      <c r="PQG67" s="3"/>
      <c r="PQH67" s="3"/>
      <c r="PQI67" s="3"/>
      <c r="PQJ67" s="3"/>
      <c r="PQK67" s="3"/>
      <c r="PQL67" s="3"/>
      <c r="PQM67" s="3"/>
      <c r="PQN67" s="3"/>
      <c r="PQO67" s="3"/>
      <c r="PQP67" s="3"/>
      <c r="PQQ67" s="3"/>
      <c r="PQR67" s="3"/>
      <c r="PQS67" s="3"/>
      <c r="PQT67" s="3"/>
      <c r="PQU67" s="3"/>
      <c r="PQV67" s="3"/>
      <c r="PQW67" s="3"/>
      <c r="PQX67" s="3"/>
      <c r="PQY67" s="3"/>
      <c r="PQZ67" s="3"/>
      <c r="PRA67" s="3"/>
      <c r="PRB67" s="3"/>
      <c r="PRC67" s="3"/>
      <c r="PRD67" s="3"/>
      <c r="PRE67" s="3"/>
      <c r="PRF67" s="3"/>
      <c r="PRG67" s="3"/>
      <c r="PRH67" s="3"/>
      <c r="PRI67" s="3"/>
      <c r="PRJ67" s="3"/>
      <c r="PRK67" s="3"/>
      <c r="PRL67" s="3"/>
      <c r="PRM67" s="3"/>
      <c r="PRN67" s="3"/>
      <c r="PRO67" s="3"/>
      <c r="PRP67" s="3"/>
      <c r="PRQ67" s="3"/>
      <c r="PRR67" s="3"/>
      <c r="PRS67" s="3"/>
      <c r="PRT67" s="3"/>
      <c r="PRU67" s="3"/>
      <c r="PRV67" s="3"/>
      <c r="PRW67" s="3"/>
      <c r="PRX67" s="3"/>
      <c r="PRY67" s="3"/>
      <c r="PRZ67" s="3"/>
      <c r="PSA67" s="3"/>
      <c r="PSB67" s="3"/>
      <c r="PSC67" s="3"/>
      <c r="PSD67" s="3"/>
      <c r="PSE67" s="3"/>
      <c r="PSF67" s="3"/>
      <c r="PSG67" s="3"/>
      <c r="PSH67" s="3"/>
      <c r="PSI67" s="3"/>
      <c r="PSJ67" s="3"/>
      <c r="PSK67" s="3"/>
      <c r="PSL67" s="3"/>
      <c r="PSM67" s="3"/>
      <c r="PSN67" s="3"/>
      <c r="PSO67" s="3"/>
      <c r="PSP67" s="3"/>
      <c r="PSQ67" s="3"/>
      <c r="PSR67" s="3"/>
      <c r="PSS67" s="3"/>
      <c r="PST67" s="3"/>
      <c r="PSU67" s="3"/>
      <c r="PSV67" s="3"/>
      <c r="PSW67" s="3"/>
      <c r="PSX67" s="3"/>
      <c r="PSY67" s="3"/>
      <c r="PSZ67" s="3"/>
      <c r="PTA67" s="3"/>
      <c r="PTB67" s="3"/>
      <c r="PTC67" s="3"/>
      <c r="PTD67" s="3"/>
      <c r="PTE67" s="3"/>
      <c r="PTF67" s="3"/>
      <c r="PTG67" s="3"/>
      <c r="PTH67" s="3"/>
      <c r="PTI67" s="3"/>
      <c r="PTJ67" s="3"/>
      <c r="PTK67" s="3"/>
      <c r="PTL67" s="3"/>
      <c r="PTM67" s="3"/>
      <c r="PTN67" s="3"/>
      <c r="PTO67" s="3"/>
      <c r="PTP67" s="3"/>
      <c r="PTQ67" s="3"/>
      <c r="PTR67" s="3"/>
      <c r="PTS67" s="3"/>
      <c r="PTT67" s="3"/>
      <c r="PTU67" s="3"/>
      <c r="PTV67" s="3"/>
      <c r="PTW67" s="3"/>
      <c r="PTX67" s="3"/>
      <c r="PTY67" s="3"/>
      <c r="PTZ67" s="3"/>
      <c r="PUA67" s="3"/>
      <c r="PUB67" s="3"/>
      <c r="PUC67" s="3"/>
      <c r="PUD67" s="3"/>
      <c r="PUE67" s="3"/>
      <c r="PUF67" s="3"/>
      <c r="PUG67" s="3"/>
      <c r="PUH67" s="3"/>
      <c r="PUI67" s="3"/>
      <c r="PUJ67" s="3"/>
      <c r="PUK67" s="3"/>
      <c r="PUL67" s="3"/>
      <c r="PUM67" s="3"/>
      <c r="PUN67" s="3"/>
      <c r="PUO67" s="3"/>
      <c r="PUP67" s="3"/>
      <c r="PUQ67" s="3"/>
      <c r="PUR67" s="3"/>
      <c r="PUS67" s="3"/>
      <c r="PUT67" s="3"/>
      <c r="PUU67" s="3"/>
      <c r="PUV67" s="3"/>
      <c r="PUW67" s="3"/>
      <c r="PUX67" s="3"/>
      <c r="PUY67" s="3"/>
      <c r="PUZ67" s="3"/>
      <c r="PVA67" s="3"/>
      <c r="PVB67" s="3"/>
      <c r="PVC67" s="3"/>
      <c r="PVD67" s="3"/>
      <c r="PVE67" s="3"/>
      <c r="PVF67" s="3"/>
      <c r="PVG67" s="3"/>
      <c r="PVH67" s="3"/>
      <c r="PVI67" s="3"/>
      <c r="PVJ67" s="3"/>
      <c r="PVK67" s="3"/>
      <c r="PVL67" s="3"/>
      <c r="PVM67" s="3"/>
      <c r="PVN67" s="3"/>
      <c r="PVO67" s="3"/>
      <c r="PVP67" s="3"/>
      <c r="PVQ67" s="3"/>
      <c r="PVR67" s="3"/>
      <c r="PVS67" s="3"/>
      <c r="PVT67" s="3"/>
      <c r="PVU67" s="3"/>
      <c r="PVV67" s="3"/>
      <c r="PVW67" s="3"/>
      <c r="PVX67" s="3"/>
      <c r="PVY67" s="3"/>
      <c r="PVZ67" s="3"/>
      <c r="PWA67" s="3"/>
      <c r="PWB67" s="3"/>
      <c r="PWC67" s="3"/>
      <c r="PWD67" s="3"/>
      <c r="PWE67" s="3"/>
      <c r="PWF67" s="3"/>
      <c r="PWG67" s="3"/>
      <c r="PWH67" s="3"/>
      <c r="PWI67" s="3"/>
      <c r="PWJ67" s="3"/>
      <c r="PWK67" s="3"/>
      <c r="PWL67" s="3"/>
      <c r="PWM67" s="3"/>
      <c r="PWN67" s="3"/>
      <c r="PWO67" s="3"/>
      <c r="PWP67" s="3"/>
      <c r="PWQ67" s="3"/>
      <c r="PWR67" s="3"/>
      <c r="PWS67" s="3"/>
      <c r="PWT67" s="3"/>
      <c r="PWU67" s="3"/>
      <c r="PWV67" s="3"/>
      <c r="PWW67" s="3"/>
      <c r="PWX67" s="3"/>
      <c r="PWY67" s="3"/>
      <c r="PWZ67" s="3"/>
      <c r="PXA67" s="3"/>
      <c r="PXB67" s="3"/>
      <c r="PXC67" s="3"/>
      <c r="PXD67" s="3"/>
      <c r="PXE67" s="3"/>
      <c r="PXF67" s="3"/>
      <c r="PXG67" s="3"/>
      <c r="PXH67" s="3"/>
      <c r="PXI67" s="3"/>
      <c r="PXJ67" s="3"/>
      <c r="PXK67" s="3"/>
      <c r="PXL67" s="3"/>
      <c r="PXM67" s="3"/>
      <c r="PXN67" s="3"/>
      <c r="PXO67" s="3"/>
      <c r="PXP67" s="3"/>
      <c r="PXQ67" s="3"/>
      <c r="PXR67" s="3"/>
      <c r="PXS67" s="3"/>
      <c r="PXT67" s="3"/>
      <c r="PXU67" s="3"/>
      <c r="PXV67" s="3"/>
      <c r="PXW67" s="3"/>
      <c r="PXX67" s="3"/>
      <c r="PXY67" s="3"/>
      <c r="PXZ67" s="3"/>
      <c r="PYA67" s="3"/>
      <c r="PYB67" s="3"/>
      <c r="PYC67" s="3"/>
      <c r="PYD67" s="3"/>
      <c r="PYE67" s="3"/>
      <c r="PYF67" s="3"/>
      <c r="PYG67" s="3"/>
      <c r="PYH67" s="3"/>
      <c r="PYI67" s="3"/>
      <c r="PYJ67" s="3"/>
      <c r="PYK67" s="3"/>
      <c r="PYL67" s="3"/>
      <c r="PYM67" s="3"/>
      <c r="PYN67" s="3"/>
      <c r="PYO67" s="3"/>
      <c r="PYP67" s="3"/>
      <c r="PYQ67" s="3"/>
      <c r="PYR67" s="3"/>
      <c r="PYS67" s="3"/>
      <c r="PYT67" s="3"/>
      <c r="PYU67" s="3"/>
      <c r="PYV67" s="3"/>
      <c r="PYW67" s="3"/>
      <c r="PYX67" s="3"/>
      <c r="PYY67" s="3"/>
      <c r="PYZ67" s="3"/>
      <c r="PZA67" s="3"/>
      <c r="PZB67" s="3"/>
      <c r="PZC67" s="3"/>
      <c r="PZD67" s="3"/>
      <c r="PZE67" s="3"/>
      <c r="PZF67" s="3"/>
      <c r="PZG67" s="3"/>
      <c r="PZH67" s="3"/>
      <c r="PZI67" s="3"/>
      <c r="PZJ67" s="3"/>
      <c r="PZK67" s="3"/>
      <c r="PZL67" s="3"/>
      <c r="PZM67" s="3"/>
      <c r="PZN67" s="3"/>
      <c r="PZO67" s="3"/>
      <c r="PZP67" s="3"/>
      <c r="PZQ67" s="3"/>
      <c r="PZR67" s="3"/>
      <c r="PZS67" s="3"/>
      <c r="PZT67" s="3"/>
      <c r="PZU67" s="3"/>
      <c r="PZV67" s="3"/>
      <c r="PZW67" s="3"/>
      <c r="PZX67" s="3"/>
      <c r="PZY67" s="3"/>
      <c r="PZZ67" s="3"/>
      <c r="QAA67" s="3"/>
      <c r="QAB67" s="3"/>
      <c r="QAC67" s="3"/>
      <c r="QAD67" s="3"/>
      <c r="QAE67" s="3"/>
      <c r="QAF67" s="3"/>
      <c r="QAG67" s="3"/>
      <c r="QAH67" s="3"/>
      <c r="QAI67" s="3"/>
      <c r="QAJ67" s="3"/>
      <c r="QAK67" s="3"/>
      <c r="QAL67" s="3"/>
      <c r="QAM67" s="3"/>
      <c r="QAN67" s="3"/>
      <c r="QAO67" s="3"/>
      <c r="QAP67" s="3"/>
      <c r="QAQ67" s="3"/>
      <c r="QAR67" s="3"/>
      <c r="QAS67" s="3"/>
      <c r="QAT67" s="3"/>
      <c r="QAU67" s="3"/>
      <c r="QAV67" s="3"/>
      <c r="QAW67" s="3"/>
      <c r="QAX67" s="3"/>
      <c r="QAY67" s="3"/>
      <c r="QAZ67" s="3"/>
      <c r="QBA67" s="3"/>
      <c r="QBB67" s="3"/>
      <c r="QBC67" s="3"/>
      <c r="QBD67" s="3"/>
      <c r="QBE67" s="3"/>
      <c r="QBF67" s="3"/>
      <c r="QBG67" s="3"/>
      <c r="QBH67" s="3"/>
      <c r="QBI67" s="3"/>
      <c r="QBJ67" s="3"/>
      <c r="QBK67" s="3"/>
      <c r="QBL67" s="3"/>
      <c r="QBM67" s="3"/>
      <c r="QBN67" s="3"/>
      <c r="QBO67" s="3"/>
      <c r="QBP67" s="3"/>
      <c r="QBQ67" s="3"/>
      <c r="QBR67" s="3"/>
      <c r="QBS67" s="3"/>
      <c r="QBT67" s="3"/>
      <c r="QBU67" s="3"/>
      <c r="QBV67" s="3"/>
      <c r="QBW67" s="3"/>
      <c r="QBX67" s="3"/>
      <c r="QBY67" s="3"/>
      <c r="QBZ67" s="3"/>
      <c r="QCA67" s="3"/>
      <c r="QCB67" s="3"/>
      <c r="QCC67" s="3"/>
      <c r="QCD67" s="3"/>
      <c r="QCE67" s="3"/>
      <c r="QCF67" s="3"/>
      <c r="QCG67" s="3"/>
      <c r="QCH67" s="3"/>
      <c r="QCI67" s="3"/>
      <c r="QCJ67" s="3"/>
      <c r="QCK67" s="3"/>
      <c r="QCL67" s="3"/>
      <c r="QCM67" s="3"/>
      <c r="QCN67" s="3"/>
      <c r="QCO67" s="3"/>
      <c r="QCP67" s="3"/>
      <c r="QCQ67" s="3"/>
      <c r="QCR67" s="3"/>
      <c r="QCS67" s="3"/>
      <c r="QCT67" s="3"/>
      <c r="QCU67" s="3"/>
      <c r="QCV67" s="3"/>
      <c r="QCW67" s="3"/>
      <c r="QCX67" s="3"/>
      <c r="QCY67" s="3"/>
      <c r="QCZ67" s="3"/>
      <c r="QDA67" s="3"/>
      <c r="QDB67" s="3"/>
      <c r="QDC67" s="3"/>
      <c r="QDD67" s="3"/>
      <c r="QDE67" s="3"/>
      <c r="QDF67" s="3"/>
      <c r="QDG67" s="3"/>
      <c r="QDH67" s="3"/>
      <c r="QDI67" s="3"/>
      <c r="QDJ67" s="3"/>
      <c r="QDK67" s="3"/>
      <c r="QDL67" s="3"/>
      <c r="QDM67" s="3"/>
      <c r="QDN67" s="3"/>
      <c r="QDO67" s="3"/>
      <c r="QDP67" s="3"/>
      <c r="QDQ67" s="3"/>
      <c r="QDR67" s="3"/>
      <c r="QDS67" s="3"/>
      <c r="QDT67" s="3"/>
      <c r="QDU67" s="3"/>
      <c r="QDV67" s="3"/>
      <c r="QDW67" s="3"/>
      <c r="QDX67" s="3"/>
      <c r="QDY67" s="3"/>
      <c r="QDZ67" s="3"/>
      <c r="QEA67" s="3"/>
      <c r="QEB67" s="3"/>
      <c r="QEC67" s="3"/>
      <c r="QED67" s="3"/>
      <c r="QEE67" s="3"/>
      <c r="QEF67" s="3"/>
      <c r="QEG67" s="3"/>
      <c r="QEH67" s="3"/>
      <c r="QEI67" s="3"/>
      <c r="QEJ67" s="3"/>
      <c r="QEK67" s="3"/>
      <c r="QEL67" s="3"/>
      <c r="QEM67" s="3"/>
      <c r="QEN67" s="3"/>
      <c r="QEO67" s="3"/>
      <c r="QEP67" s="3"/>
      <c r="QEQ67" s="3"/>
      <c r="QER67" s="3"/>
      <c r="QES67" s="3"/>
      <c r="QET67" s="3"/>
      <c r="QEU67" s="3"/>
      <c r="QEV67" s="3"/>
      <c r="QEW67" s="3"/>
      <c r="QEX67" s="3"/>
      <c r="QEY67" s="3"/>
      <c r="QEZ67" s="3"/>
      <c r="QFA67" s="3"/>
      <c r="QFB67" s="3"/>
      <c r="QFC67" s="3"/>
      <c r="QFD67" s="3"/>
      <c r="QFE67" s="3"/>
      <c r="QFF67" s="3"/>
      <c r="QFG67" s="3"/>
      <c r="QFH67" s="3"/>
      <c r="QFI67" s="3"/>
      <c r="QFJ67" s="3"/>
      <c r="QFK67" s="3"/>
      <c r="QFL67" s="3"/>
      <c r="QFM67" s="3"/>
      <c r="QFN67" s="3"/>
      <c r="QFO67" s="3"/>
      <c r="QFP67" s="3"/>
      <c r="QFQ67" s="3"/>
      <c r="QFR67" s="3"/>
      <c r="QFS67" s="3"/>
      <c r="QFT67" s="3"/>
      <c r="QFU67" s="3"/>
      <c r="QFV67" s="3"/>
      <c r="QFW67" s="3"/>
      <c r="QFX67" s="3"/>
      <c r="QFY67" s="3"/>
      <c r="QFZ67" s="3"/>
      <c r="QGA67" s="3"/>
      <c r="QGB67" s="3"/>
      <c r="QGC67" s="3"/>
      <c r="QGD67" s="3"/>
      <c r="QGE67" s="3"/>
      <c r="QGF67" s="3"/>
      <c r="QGG67" s="3"/>
      <c r="QGH67" s="3"/>
      <c r="QGI67" s="3"/>
      <c r="QGJ67" s="3"/>
      <c r="QGK67" s="3"/>
      <c r="QGL67" s="3"/>
      <c r="QGM67" s="3"/>
      <c r="QGN67" s="3"/>
      <c r="QGO67" s="3"/>
      <c r="QGP67" s="3"/>
      <c r="QGQ67" s="3"/>
      <c r="QGR67" s="3"/>
      <c r="QGS67" s="3"/>
      <c r="QGT67" s="3"/>
      <c r="QGU67" s="3"/>
      <c r="QGV67" s="3"/>
      <c r="QGW67" s="3"/>
      <c r="QGX67" s="3"/>
      <c r="QGY67" s="3"/>
      <c r="QGZ67" s="3"/>
      <c r="QHA67" s="3"/>
      <c r="QHB67" s="3"/>
      <c r="QHC67" s="3"/>
      <c r="QHD67" s="3"/>
      <c r="QHE67" s="3"/>
      <c r="QHF67" s="3"/>
      <c r="QHG67" s="3"/>
      <c r="QHH67" s="3"/>
      <c r="QHI67" s="3"/>
      <c r="QHJ67" s="3"/>
      <c r="QHK67" s="3"/>
      <c r="QHL67" s="3"/>
      <c r="QHM67" s="3"/>
      <c r="QHN67" s="3"/>
      <c r="QHO67" s="3"/>
      <c r="QHP67" s="3"/>
      <c r="QHQ67" s="3"/>
      <c r="QHR67" s="3"/>
      <c r="QHS67" s="3"/>
      <c r="QHT67" s="3"/>
      <c r="QHU67" s="3"/>
      <c r="QHV67" s="3"/>
      <c r="QHW67" s="3"/>
      <c r="QHX67" s="3"/>
      <c r="QHY67" s="3"/>
      <c r="QHZ67" s="3"/>
      <c r="QIA67" s="3"/>
      <c r="QIB67" s="3"/>
      <c r="QIC67" s="3"/>
      <c r="QID67" s="3"/>
      <c r="QIE67" s="3"/>
      <c r="QIF67" s="3"/>
      <c r="QIG67" s="3"/>
      <c r="QIH67" s="3"/>
      <c r="QII67" s="3"/>
      <c r="QIJ67" s="3"/>
      <c r="QIK67" s="3"/>
      <c r="QIL67" s="3"/>
      <c r="QIM67" s="3"/>
      <c r="QIN67" s="3"/>
      <c r="QIO67" s="3"/>
      <c r="QIP67" s="3"/>
      <c r="QIQ67" s="3"/>
      <c r="QIR67" s="3"/>
      <c r="QIS67" s="3"/>
      <c r="QIT67" s="3"/>
      <c r="QIU67" s="3"/>
      <c r="QIV67" s="3"/>
      <c r="QIW67" s="3"/>
      <c r="QIX67" s="3"/>
      <c r="QIY67" s="3"/>
      <c r="QIZ67" s="3"/>
      <c r="QJA67" s="3"/>
      <c r="QJB67" s="3"/>
      <c r="QJC67" s="3"/>
      <c r="QJD67" s="3"/>
      <c r="QJE67" s="3"/>
      <c r="QJF67" s="3"/>
      <c r="QJG67" s="3"/>
      <c r="QJH67" s="3"/>
      <c r="QJI67" s="3"/>
      <c r="QJJ67" s="3"/>
      <c r="QJK67" s="3"/>
      <c r="QJL67" s="3"/>
      <c r="QJM67" s="3"/>
      <c r="QJN67" s="3"/>
      <c r="QJO67" s="3"/>
      <c r="QJP67" s="3"/>
      <c r="QJQ67" s="3"/>
      <c r="QJR67" s="3"/>
      <c r="QJS67" s="3"/>
      <c r="QJT67" s="3"/>
      <c r="QJU67" s="3"/>
      <c r="QJV67" s="3"/>
      <c r="QJW67" s="3"/>
      <c r="QJX67" s="3"/>
      <c r="QJY67" s="3"/>
      <c r="QJZ67" s="3"/>
      <c r="QKA67" s="3"/>
      <c r="QKB67" s="3"/>
      <c r="QKC67" s="3"/>
      <c r="QKD67" s="3"/>
      <c r="QKE67" s="3"/>
      <c r="QKF67" s="3"/>
      <c r="QKG67" s="3"/>
      <c r="QKH67" s="3"/>
      <c r="QKI67" s="3"/>
      <c r="QKJ67" s="3"/>
      <c r="QKK67" s="3"/>
      <c r="QKL67" s="3"/>
      <c r="QKM67" s="3"/>
      <c r="QKN67" s="3"/>
      <c r="QKO67" s="3"/>
      <c r="QKP67" s="3"/>
      <c r="QKQ67" s="3"/>
      <c r="QKR67" s="3"/>
      <c r="QKS67" s="3"/>
      <c r="QKT67" s="3"/>
      <c r="QKU67" s="3"/>
      <c r="QKV67" s="3"/>
      <c r="QKW67" s="3"/>
      <c r="QKX67" s="3"/>
      <c r="QKY67" s="3"/>
      <c r="QKZ67" s="3"/>
      <c r="QLA67" s="3"/>
      <c r="QLB67" s="3"/>
      <c r="QLC67" s="3"/>
      <c r="QLD67" s="3"/>
      <c r="QLE67" s="3"/>
      <c r="QLF67" s="3"/>
      <c r="QLG67" s="3"/>
      <c r="QLH67" s="3"/>
      <c r="QLI67" s="3"/>
      <c r="QLJ67" s="3"/>
      <c r="QLK67" s="3"/>
      <c r="QLL67" s="3"/>
      <c r="QLM67" s="3"/>
      <c r="QLN67" s="3"/>
      <c r="QLO67" s="3"/>
      <c r="QLP67" s="3"/>
      <c r="QLQ67" s="3"/>
      <c r="QLR67" s="3"/>
      <c r="QLS67" s="3"/>
      <c r="QLT67" s="3"/>
      <c r="QLU67" s="3"/>
      <c r="QLV67" s="3"/>
      <c r="QLW67" s="3"/>
      <c r="QLX67" s="3"/>
      <c r="QLY67" s="3"/>
      <c r="QLZ67" s="3"/>
      <c r="QMA67" s="3"/>
      <c r="QMB67" s="3"/>
      <c r="QMC67" s="3"/>
      <c r="QMD67" s="3"/>
      <c r="QME67" s="3"/>
      <c r="QMF67" s="3"/>
      <c r="QMG67" s="3"/>
      <c r="QMH67" s="3"/>
      <c r="QMI67" s="3"/>
      <c r="QMJ67" s="3"/>
      <c r="QMK67" s="3"/>
      <c r="QML67" s="3"/>
      <c r="QMM67" s="3"/>
      <c r="QMN67" s="3"/>
      <c r="QMO67" s="3"/>
      <c r="QMP67" s="3"/>
      <c r="QMQ67" s="3"/>
      <c r="QMR67" s="3"/>
      <c r="QMS67" s="3"/>
      <c r="QMT67" s="3"/>
      <c r="QMU67" s="3"/>
      <c r="QMV67" s="3"/>
      <c r="QMW67" s="3"/>
      <c r="QMX67" s="3"/>
      <c r="QMY67" s="3"/>
      <c r="QMZ67" s="3"/>
      <c r="QNA67" s="3"/>
      <c r="QNB67" s="3"/>
      <c r="QNC67" s="3"/>
      <c r="QND67" s="3"/>
      <c r="QNE67" s="3"/>
      <c r="QNF67" s="3"/>
      <c r="QNG67" s="3"/>
      <c r="QNH67" s="3"/>
      <c r="QNI67" s="3"/>
      <c r="QNJ67" s="3"/>
      <c r="QNK67" s="3"/>
      <c r="QNL67" s="3"/>
      <c r="QNM67" s="3"/>
      <c r="QNN67" s="3"/>
      <c r="QNO67" s="3"/>
      <c r="QNP67" s="3"/>
      <c r="QNQ67" s="3"/>
      <c r="QNR67" s="3"/>
      <c r="QNS67" s="3"/>
      <c r="QNT67" s="3"/>
      <c r="QNU67" s="3"/>
      <c r="QNV67" s="3"/>
      <c r="QNW67" s="3"/>
      <c r="QNX67" s="3"/>
      <c r="QNY67" s="3"/>
      <c r="QNZ67" s="3"/>
      <c r="QOA67" s="3"/>
      <c r="QOB67" s="3"/>
      <c r="QOC67" s="3"/>
      <c r="QOD67" s="3"/>
      <c r="QOE67" s="3"/>
      <c r="QOF67" s="3"/>
      <c r="QOG67" s="3"/>
      <c r="QOH67" s="3"/>
      <c r="QOI67" s="3"/>
      <c r="QOJ67" s="3"/>
      <c r="QOK67" s="3"/>
      <c r="QOL67" s="3"/>
      <c r="QOM67" s="3"/>
      <c r="QON67" s="3"/>
      <c r="QOO67" s="3"/>
      <c r="QOP67" s="3"/>
      <c r="QOQ67" s="3"/>
      <c r="QOR67" s="3"/>
      <c r="QOS67" s="3"/>
      <c r="QOT67" s="3"/>
      <c r="QOU67" s="3"/>
      <c r="QOV67" s="3"/>
      <c r="QOW67" s="3"/>
      <c r="QOX67" s="3"/>
      <c r="QOY67" s="3"/>
      <c r="QOZ67" s="3"/>
      <c r="QPA67" s="3"/>
      <c r="QPB67" s="3"/>
      <c r="QPC67" s="3"/>
      <c r="QPD67" s="3"/>
      <c r="QPE67" s="3"/>
      <c r="QPF67" s="3"/>
      <c r="QPG67" s="3"/>
      <c r="QPH67" s="3"/>
      <c r="QPI67" s="3"/>
      <c r="QPJ67" s="3"/>
      <c r="QPK67" s="3"/>
      <c r="QPL67" s="3"/>
      <c r="QPM67" s="3"/>
      <c r="QPN67" s="3"/>
      <c r="QPO67" s="3"/>
      <c r="QPP67" s="3"/>
      <c r="QPQ67" s="3"/>
      <c r="QPR67" s="3"/>
      <c r="QPS67" s="3"/>
      <c r="QPT67" s="3"/>
      <c r="QPU67" s="3"/>
      <c r="QPV67" s="3"/>
      <c r="QPW67" s="3"/>
      <c r="QPX67" s="3"/>
      <c r="QPY67" s="3"/>
      <c r="QPZ67" s="3"/>
      <c r="QQA67" s="3"/>
      <c r="QQB67" s="3"/>
      <c r="QQC67" s="3"/>
      <c r="QQD67" s="3"/>
      <c r="QQE67" s="3"/>
      <c r="QQF67" s="3"/>
      <c r="QQG67" s="3"/>
      <c r="QQH67" s="3"/>
      <c r="QQI67" s="3"/>
      <c r="QQJ67" s="3"/>
      <c r="QQK67" s="3"/>
      <c r="QQL67" s="3"/>
      <c r="QQM67" s="3"/>
      <c r="QQN67" s="3"/>
      <c r="QQO67" s="3"/>
      <c r="QQP67" s="3"/>
      <c r="QQQ67" s="3"/>
      <c r="QQR67" s="3"/>
      <c r="QQS67" s="3"/>
      <c r="QQT67" s="3"/>
      <c r="QQU67" s="3"/>
      <c r="QQV67" s="3"/>
      <c r="QQW67" s="3"/>
      <c r="QQX67" s="3"/>
      <c r="QQY67" s="3"/>
      <c r="QQZ67" s="3"/>
      <c r="QRA67" s="3"/>
      <c r="QRB67" s="3"/>
      <c r="QRC67" s="3"/>
      <c r="QRD67" s="3"/>
      <c r="QRE67" s="3"/>
      <c r="QRF67" s="3"/>
      <c r="QRG67" s="3"/>
      <c r="QRH67" s="3"/>
      <c r="QRI67" s="3"/>
      <c r="QRJ67" s="3"/>
      <c r="QRK67" s="3"/>
      <c r="QRL67" s="3"/>
      <c r="QRM67" s="3"/>
      <c r="QRN67" s="3"/>
      <c r="QRO67" s="3"/>
      <c r="QRP67" s="3"/>
      <c r="QRQ67" s="3"/>
      <c r="QRR67" s="3"/>
      <c r="QRS67" s="3"/>
      <c r="QRT67" s="3"/>
      <c r="QRU67" s="3"/>
      <c r="QRV67" s="3"/>
      <c r="QRW67" s="3"/>
      <c r="QRX67" s="3"/>
      <c r="QRY67" s="3"/>
      <c r="QRZ67" s="3"/>
      <c r="QSA67" s="3"/>
      <c r="QSB67" s="3"/>
      <c r="QSC67" s="3"/>
      <c r="QSD67" s="3"/>
      <c r="QSE67" s="3"/>
      <c r="QSF67" s="3"/>
      <c r="QSG67" s="3"/>
      <c r="QSH67" s="3"/>
      <c r="QSI67" s="3"/>
      <c r="QSJ67" s="3"/>
      <c r="QSK67" s="3"/>
      <c r="QSL67" s="3"/>
      <c r="QSM67" s="3"/>
      <c r="QSN67" s="3"/>
      <c r="QSO67" s="3"/>
      <c r="QSP67" s="3"/>
      <c r="QSQ67" s="3"/>
      <c r="QSR67" s="3"/>
      <c r="QSS67" s="3"/>
      <c r="QST67" s="3"/>
      <c r="QSU67" s="3"/>
      <c r="QSV67" s="3"/>
      <c r="QSW67" s="3"/>
      <c r="QSX67" s="3"/>
      <c r="QSY67" s="3"/>
      <c r="QSZ67" s="3"/>
      <c r="QTA67" s="3"/>
      <c r="QTB67" s="3"/>
      <c r="QTC67" s="3"/>
      <c r="QTD67" s="3"/>
      <c r="QTE67" s="3"/>
      <c r="QTF67" s="3"/>
      <c r="QTG67" s="3"/>
      <c r="QTH67" s="3"/>
      <c r="QTI67" s="3"/>
      <c r="QTJ67" s="3"/>
      <c r="QTK67" s="3"/>
      <c r="QTL67" s="3"/>
      <c r="QTM67" s="3"/>
      <c r="QTN67" s="3"/>
      <c r="QTO67" s="3"/>
      <c r="QTP67" s="3"/>
      <c r="QTQ67" s="3"/>
      <c r="QTR67" s="3"/>
      <c r="QTS67" s="3"/>
      <c r="QTT67" s="3"/>
      <c r="QTU67" s="3"/>
      <c r="QTV67" s="3"/>
      <c r="QTW67" s="3"/>
      <c r="QTX67" s="3"/>
      <c r="QTY67" s="3"/>
      <c r="QTZ67" s="3"/>
      <c r="QUA67" s="3"/>
      <c r="QUB67" s="3"/>
      <c r="QUC67" s="3"/>
      <c r="QUD67" s="3"/>
      <c r="QUE67" s="3"/>
      <c r="QUF67" s="3"/>
      <c r="QUG67" s="3"/>
      <c r="QUH67" s="3"/>
      <c r="QUI67" s="3"/>
      <c r="QUJ67" s="3"/>
      <c r="QUK67" s="3"/>
      <c r="QUL67" s="3"/>
      <c r="QUM67" s="3"/>
      <c r="QUN67" s="3"/>
      <c r="QUO67" s="3"/>
      <c r="QUP67" s="3"/>
      <c r="QUQ67" s="3"/>
      <c r="QUR67" s="3"/>
      <c r="QUS67" s="3"/>
      <c r="QUT67" s="3"/>
      <c r="QUU67" s="3"/>
      <c r="QUV67" s="3"/>
      <c r="QUW67" s="3"/>
      <c r="QUX67" s="3"/>
      <c r="QUY67" s="3"/>
      <c r="QUZ67" s="3"/>
      <c r="QVA67" s="3"/>
      <c r="QVB67" s="3"/>
      <c r="QVC67" s="3"/>
      <c r="QVD67" s="3"/>
      <c r="QVE67" s="3"/>
      <c r="QVF67" s="3"/>
      <c r="QVG67" s="3"/>
      <c r="QVH67" s="3"/>
      <c r="QVI67" s="3"/>
      <c r="QVJ67" s="3"/>
      <c r="QVK67" s="3"/>
      <c r="QVL67" s="3"/>
      <c r="QVM67" s="3"/>
      <c r="QVN67" s="3"/>
      <c r="QVO67" s="3"/>
      <c r="QVP67" s="3"/>
      <c r="QVQ67" s="3"/>
      <c r="QVR67" s="3"/>
      <c r="QVS67" s="3"/>
      <c r="QVT67" s="3"/>
      <c r="QVU67" s="3"/>
      <c r="QVV67" s="3"/>
      <c r="QVW67" s="3"/>
      <c r="QVX67" s="3"/>
      <c r="QVY67" s="3"/>
      <c r="QVZ67" s="3"/>
      <c r="QWA67" s="3"/>
      <c r="QWB67" s="3"/>
      <c r="QWC67" s="3"/>
      <c r="QWD67" s="3"/>
      <c r="QWE67" s="3"/>
      <c r="QWF67" s="3"/>
      <c r="QWG67" s="3"/>
      <c r="QWH67" s="3"/>
      <c r="QWI67" s="3"/>
      <c r="QWJ67" s="3"/>
      <c r="QWK67" s="3"/>
      <c r="QWL67" s="3"/>
      <c r="QWM67" s="3"/>
      <c r="QWN67" s="3"/>
      <c r="QWO67" s="3"/>
      <c r="QWP67" s="3"/>
      <c r="QWQ67" s="3"/>
      <c r="QWR67" s="3"/>
      <c r="QWS67" s="3"/>
      <c r="QWT67" s="3"/>
      <c r="QWU67" s="3"/>
      <c r="QWV67" s="3"/>
      <c r="QWW67" s="3"/>
      <c r="QWX67" s="3"/>
      <c r="QWY67" s="3"/>
      <c r="QWZ67" s="3"/>
      <c r="QXA67" s="3"/>
      <c r="QXB67" s="3"/>
      <c r="QXC67" s="3"/>
      <c r="QXD67" s="3"/>
      <c r="QXE67" s="3"/>
      <c r="QXF67" s="3"/>
      <c r="QXG67" s="3"/>
      <c r="QXH67" s="3"/>
      <c r="QXI67" s="3"/>
      <c r="QXJ67" s="3"/>
      <c r="QXK67" s="3"/>
      <c r="QXL67" s="3"/>
      <c r="QXM67" s="3"/>
      <c r="QXN67" s="3"/>
      <c r="QXO67" s="3"/>
      <c r="QXP67" s="3"/>
      <c r="QXQ67" s="3"/>
      <c r="QXR67" s="3"/>
      <c r="QXS67" s="3"/>
      <c r="QXT67" s="3"/>
      <c r="QXU67" s="3"/>
      <c r="QXV67" s="3"/>
      <c r="QXW67" s="3"/>
      <c r="QXX67" s="3"/>
      <c r="QXY67" s="3"/>
      <c r="QXZ67" s="3"/>
      <c r="QYA67" s="3"/>
      <c r="QYB67" s="3"/>
      <c r="QYC67" s="3"/>
      <c r="QYD67" s="3"/>
      <c r="QYE67" s="3"/>
      <c r="QYF67" s="3"/>
      <c r="QYG67" s="3"/>
      <c r="QYH67" s="3"/>
      <c r="QYI67" s="3"/>
      <c r="QYJ67" s="3"/>
      <c r="QYK67" s="3"/>
      <c r="QYL67" s="3"/>
      <c r="QYM67" s="3"/>
      <c r="QYN67" s="3"/>
      <c r="QYO67" s="3"/>
      <c r="QYP67" s="3"/>
      <c r="QYQ67" s="3"/>
      <c r="QYR67" s="3"/>
      <c r="QYS67" s="3"/>
      <c r="QYT67" s="3"/>
      <c r="QYU67" s="3"/>
      <c r="QYV67" s="3"/>
      <c r="QYW67" s="3"/>
      <c r="QYX67" s="3"/>
      <c r="QYY67" s="3"/>
      <c r="QYZ67" s="3"/>
      <c r="QZA67" s="3"/>
      <c r="QZB67" s="3"/>
      <c r="QZC67" s="3"/>
      <c r="QZD67" s="3"/>
      <c r="QZE67" s="3"/>
      <c r="QZF67" s="3"/>
      <c r="QZG67" s="3"/>
      <c r="QZH67" s="3"/>
      <c r="QZI67" s="3"/>
      <c r="QZJ67" s="3"/>
      <c r="QZK67" s="3"/>
      <c r="QZL67" s="3"/>
      <c r="QZM67" s="3"/>
      <c r="QZN67" s="3"/>
      <c r="QZO67" s="3"/>
      <c r="QZP67" s="3"/>
      <c r="QZQ67" s="3"/>
      <c r="QZR67" s="3"/>
      <c r="QZS67" s="3"/>
      <c r="QZT67" s="3"/>
      <c r="QZU67" s="3"/>
      <c r="QZV67" s="3"/>
      <c r="QZW67" s="3"/>
      <c r="QZX67" s="3"/>
      <c r="QZY67" s="3"/>
      <c r="QZZ67" s="3"/>
      <c r="RAA67" s="3"/>
      <c r="RAB67" s="3"/>
      <c r="RAC67" s="3"/>
      <c r="RAD67" s="3"/>
      <c r="RAE67" s="3"/>
      <c r="RAF67" s="3"/>
      <c r="RAG67" s="3"/>
      <c r="RAH67" s="3"/>
      <c r="RAI67" s="3"/>
      <c r="RAJ67" s="3"/>
      <c r="RAK67" s="3"/>
      <c r="RAL67" s="3"/>
      <c r="RAM67" s="3"/>
      <c r="RAN67" s="3"/>
      <c r="RAO67" s="3"/>
      <c r="RAP67" s="3"/>
      <c r="RAQ67" s="3"/>
      <c r="RAR67" s="3"/>
      <c r="RAS67" s="3"/>
      <c r="RAT67" s="3"/>
      <c r="RAU67" s="3"/>
      <c r="RAV67" s="3"/>
      <c r="RAW67" s="3"/>
      <c r="RAX67" s="3"/>
      <c r="RAY67" s="3"/>
      <c r="RAZ67" s="3"/>
      <c r="RBA67" s="3"/>
      <c r="RBB67" s="3"/>
      <c r="RBC67" s="3"/>
      <c r="RBD67" s="3"/>
      <c r="RBE67" s="3"/>
      <c r="RBF67" s="3"/>
      <c r="RBG67" s="3"/>
      <c r="RBH67" s="3"/>
      <c r="RBI67" s="3"/>
      <c r="RBJ67" s="3"/>
      <c r="RBK67" s="3"/>
      <c r="RBL67" s="3"/>
      <c r="RBM67" s="3"/>
      <c r="RBN67" s="3"/>
      <c r="RBO67" s="3"/>
      <c r="RBP67" s="3"/>
      <c r="RBQ67" s="3"/>
      <c r="RBR67" s="3"/>
      <c r="RBS67" s="3"/>
      <c r="RBT67" s="3"/>
      <c r="RBU67" s="3"/>
      <c r="RBV67" s="3"/>
      <c r="RBW67" s="3"/>
      <c r="RBX67" s="3"/>
      <c r="RBY67" s="3"/>
      <c r="RBZ67" s="3"/>
      <c r="RCA67" s="3"/>
      <c r="RCB67" s="3"/>
      <c r="RCC67" s="3"/>
      <c r="RCD67" s="3"/>
      <c r="RCE67" s="3"/>
      <c r="RCF67" s="3"/>
      <c r="RCG67" s="3"/>
      <c r="RCH67" s="3"/>
      <c r="RCI67" s="3"/>
      <c r="RCJ67" s="3"/>
      <c r="RCK67" s="3"/>
      <c r="RCL67" s="3"/>
      <c r="RCM67" s="3"/>
      <c r="RCN67" s="3"/>
      <c r="RCO67" s="3"/>
      <c r="RCP67" s="3"/>
      <c r="RCQ67" s="3"/>
      <c r="RCR67" s="3"/>
      <c r="RCS67" s="3"/>
      <c r="RCT67" s="3"/>
      <c r="RCU67" s="3"/>
      <c r="RCV67" s="3"/>
      <c r="RCW67" s="3"/>
      <c r="RCX67" s="3"/>
      <c r="RCY67" s="3"/>
      <c r="RCZ67" s="3"/>
      <c r="RDA67" s="3"/>
      <c r="RDB67" s="3"/>
      <c r="RDC67" s="3"/>
      <c r="RDD67" s="3"/>
      <c r="RDE67" s="3"/>
      <c r="RDF67" s="3"/>
      <c r="RDG67" s="3"/>
      <c r="RDH67" s="3"/>
      <c r="RDI67" s="3"/>
      <c r="RDJ67" s="3"/>
      <c r="RDK67" s="3"/>
      <c r="RDL67" s="3"/>
      <c r="RDM67" s="3"/>
      <c r="RDN67" s="3"/>
      <c r="RDO67" s="3"/>
      <c r="RDP67" s="3"/>
      <c r="RDQ67" s="3"/>
      <c r="RDR67" s="3"/>
      <c r="RDS67" s="3"/>
      <c r="RDT67" s="3"/>
      <c r="RDU67" s="3"/>
      <c r="RDV67" s="3"/>
      <c r="RDW67" s="3"/>
      <c r="RDX67" s="3"/>
      <c r="RDY67" s="3"/>
      <c r="RDZ67" s="3"/>
      <c r="REA67" s="3"/>
      <c r="REB67" s="3"/>
      <c r="REC67" s="3"/>
      <c r="RED67" s="3"/>
      <c r="REE67" s="3"/>
      <c r="REF67" s="3"/>
      <c r="REG67" s="3"/>
      <c r="REH67" s="3"/>
      <c r="REI67" s="3"/>
      <c r="REJ67" s="3"/>
      <c r="REK67" s="3"/>
      <c r="REL67" s="3"/>
      <c r="REM67" s="3"/>
      <c r="REN67" s="3"/>
      <c r="REO67" s="3"/>
      <c r="REP67" s="3"/>
      <c r="REQ67" s="3"/>
      <c r="RER67" s="3"/>
      <c r="RES67" s="3"/>
      <c r="RET67" s="3"/>
      <c r="REU67" s="3"/>
      <c r="REV67" s="3"/>
      <c r="REW67" s="3"/>
      <c r="REX67" s="3"/>
      <c r="REY67" s="3"/>
      <c r="REZ67" s="3"/>
      <c r="RFA67" s="3"/>
      <c r="RFB67" s="3"/>
      <c r="RFC67" s="3"/>
      <c r="RFD67" s="3"/>
      <c r="RFE67" s="3"/>
      <c r="RFF67" s="3"/>
      <c r="RFG67" s="3"/>
      <c r="RFH67" s="3"/>
      <c r="RFI67" s="3"/>
      <c r="RFJ67" s="3"/>
      <c r="RFK67" s="3"/>
      <c r="RFL67" s="3"/>
      <c r="RFM67" s="3"/>
      <c r="RFN67" s="3"/>
      <c r="RFO67" s="3"/>
      <c r="RFP67" s="3"/>
      <c r="RFQ67" s="3"/>
      <c r="RFR67" s="3"/>
      <c r="RFS67" s="3"/>
      <c r="RFT67" s="3"/>
      <c r="RFU67" s="3"/>
      <c r="RFV67" s="3"/>
      <c r="RFW67" s="3"/>
      <c r="RFX67" s="3"/>
      <c r="RFY67" s="3"/>
      <c r="RFZ67" s="3"/>
      <c r="RGA67" s="3"/>
      <c r="RGB67" s="3"/>
      <c r="RGC67" s="3"/>
      <c r="RGD67" s="3"/>
      <c r="RGE67" s="3"/>
      <c r="RGF67" s="3"/>
      <c r="RGG67" s="3"/>
      <c r="RGH67" s="3"/>
      <c r="RGI67" s="3"/>
      <c r="RGJ67" s="3"/>
      <c r="RGK67" s="3"/>
      <c r="RGL67" s="3"/>
      <c r="RGM67" s="3"/>
      <c r="RGN67" s="3"/>
      <c r="RGO67" s="3"/>
      <c r="RGP67" s="3"/>
      <c r="RGQ67" s="3"/>
      <c r="RGR67" s="3"/>
      <c r="RGS67" s="3"/>
      <c r="RGT67" s="3"/>
      <c r="RGU67" s="3"/>
      <c r="RGV67" s="3"/>
      <c r="RGW67" s="3"/>
      <c r="RGX67" s="3"/>
      <c r="RGY67" s="3"/>
      <c r="RGZ67" s="3"/>
      <c r="RHA67" s="3"/>
      <c r="RHB67" s="3"/>
      <c r="RHC67" s="3"/>
      <c r="RHD67" s="3"/>
      <c r="RHE67" s="3"/>
      <c r="RHF67" s="3"/>
      <c r="RHG67" s="3"/>
      <c r="RHH67" s="3"/>
      <c r="RHI67" s="3"/>
      <c r="RHJ67" s="3"/>
      <c r="RHK67" s="3"/>
      <c r="RHL67" s="3"/>
      <c r="RHM67" s="3"/>
      <c r="RHN67" s="3"/>
      <c r="RHO67" s="3"/>
      <c r="RHP67" s="3"/>
      <c r="RHQ67" s="3"/>
      <c r="RHR67" s="3"/>
      <c r="RHS67" s="3"/>
      <c r="RHT67" s="3"/>
      <c r="RHU67" s="3"/>
      <c r="RHV67" s="3"/>
      <c r="RHW67" s="3"/>
      <c r="RHX67" s="3"/>
      <c r="RHY67" s="3"/>
      <c r="RHZ67" s="3"/>
      <c r="RIA67" s="3"/>
      <c r="RIB67" s="3"/>
      <c r="RIC67" s="3"/>
      <c r="RID67" s="3"/>
      <c r="RIE67" s="3"/>
      <c r="RIF67" s="3"/>
      <c r="RIG67" s="3"/>
      <c r="RIH67" s="3"/>
      <c r="RII67" s="3"/>
      <c r="RIJ67" s="3"/>
      <c r="RIK67" s="3"/>
      <c r="RIL67" s="3"/>
      <c r="RIM67" s="3"/>
      <c r="RIN67" s="3"/>
      <c r="RIO67" s="3"/>
      <c r="RIP67" s="3"/>
      <c r="RIQ67" s="3"/>
      <c r="RIR67" s="3"/>
      <c r="RIS67" s="3"/>
      <c r="RIT67" s="3"/>
      <c r="RIU67" s="3"/>
      <c r="RIV67" s="3"/>
      <c r="RIW67" s="3"/>
      <c r="RIX67" s="3"/>
      <c r="RIY67" s="3"/>
      <c r="RIZ67" s="3"/>
      <c r="RJA67" s="3"/>
      <c r="RJB67" s="3"/>
      <c r="RJC67" s="3"/>
      <c r="RJD67" s="3"/>
      <c r="RJE67" s="3"/>
      <c r="RJF67" s="3"/>
      <c r="RJG67" s="3"/>
      <c r="RJH67" s="3"/>
      <c r="RJI67" s="3"/>
      <c r="RJJ67" s="3"/>
      <c r="RJK67" s="3"/>
      <c r="RJL67" s="3"/>
      <c r="RJM67" s="3"/>
      <c r="RJN67" s="3"/>
      <c r="RJO67" s="3"/>
      <c r="RJP67" s="3"/>
      <c r="RJQ67" s="3"/>
      <c r="RJR67" s="3"/>
      <c r="RJS67" s="3"/>
      <c r="RJT67" s="3"/>
      <c r="RJU67" s="3"/>
      <c r="RJV67" s="3"/>
      <c r="RJW67" s="3"/>
      <c r="RJX67" s="3"/>
      <c r="RJY67" s="3"/>
      <c r="RJZ67" s="3"/>
      <c r="RKA67" s="3"/>
      <c r="RKB67" s="3"/>
      <c r="RKC67" s="3"/>
      <c r="RKD67" s="3"/>
      <c r="RKE67" s="3"/>
      <c r="RKF67" s="3"/>
      <c r="RKG67" s="3"/>
      <c r="RKH67" s="3"/>
      <c r="RKI67" s="3"/>
      <c r="RKJ67" s="3"/>
      <c r="RKK67" s="3"/>
      <c r="RKL67" s="3"/>
      <c r="RKM67" s="3"/>
      <c r="RKN67" s="3"/>
      <c r="RKO67" s="3"/>
      <c r="RKP67" s="3"/>
      <c r="RKQ67" s="3"/>
      <c r="RKR67" s="3"/>
      <c r="RKS67" s="3"/>
      <c r="RKT67" s="3"/>
      <c r="RKU67" s="3"/>
      <c r="RKV67" s="3"/>
      <c r="RKW67" s="3"/>
      <c r="RKX67" s="3"/>
      <c r="RKY67" s="3"/>
      <c r="RKZ67" s="3"/>
      <c r="RLA67" s="3"/>
      <c r="RLB67" s="3"/>
      <c r="RLC67" s="3"/>
      <c r="RLD67" s="3"/>
      <c r="RLE67" s="3"/>
      <c r="RLF67" s="3"/>
      <c r="RLG67" s="3"/>
      <c r="RLH67" s="3"/>
      <c r="RLI67" s="3"/>
      <c r="RLJ67" s="3"/>
      <c r="RLK67" s="3"/>
      <c r="RLL67" s="3"/>
      <c r="RLM67" s="3"/>
      <c r="RLN67" s="3"/>
      <c r="RLO67" s="3"/>
      <c r="RLP67" s="3"/>
      <c r="RLQ67" s="3"/>
      <c r="RLR67" s="3"/>
      <c r="RLS67" s="3"/>
      <c r="RLT67" s="3"/>
      <c r="RLU67" s="3"/>
      <c r="RLV67" s="3"/>
      <c r="RLW67" s="3"/>
      <c r="RLX67" s="3"/>
      <c r="RLY67" s="3"/>
      <c r="RLZ67" s="3"/>
      <c r="RMA67" s="3"/>
      <c r="RMB67" s="3"/>
      <c r="RMC67" s="3"/>
      <c r="RMD67" s="3"/>
      <c r="RME67" s="3"/>
      <c r="RMF67" s="3"/>
      <c r="RMG67" s="3"/>
      <c r="RMH67" s="3"/>
      <c r="RMI67" s="3"/>
      <c r="RMJ67" s="3"/>
      <c r="RMK67" s="3"/>
      <c r="RML67" s="3"/>
      <c r="RMM67" s="3"/>
      <c r="RMN67" s="3"/>
      <c r="RMO67" s="3"/>
      <c r="RMP67" s="3"/>
      <c r="RMQ67" s="3"/>
      <c r="RMR67" s="3"/>
      <c r="RMS67" s="3"/>
      <c r="RMT67" s="3"/>
      <c r="RMU67" s="3"/>
      <c r="RMV67" s="3"/>
      <c r="RMW67" s="3"/>
      <c r="RMX67" s="3"/>
      <c r="RMY67" s="3"/>
      <c r="RMZ67" s="3"/>
      <c r="RNA67" s="3"/>
      <c r="RNB67" s="3"/>
      <c r="RNC67" s="3"/>
      <c r="RND67" s="3"/>
      <c r="RNE67" s="3"/>
      <c r="RNF67" s="3"/>
      <c r="RNG67" s="3"/>
      <c r="RNH67" s="3"/>
      <c r="RNI67" s="3"/>
      <c r="RNJ67" s="3"/>
      <c r="RNK67" s="3"/>
      <c r="RNL67" s="3"/>
      <c r="RNM67" s="3"/>
      <c r="RNN67" s="3"/>
      <c r="RNO67" s="3"/>
      <c r="RNP67" s="3"/>
      <c r="RNQ67" s="3"/>
      <c r="RNR67" s="3"/>
      <c r="RNS67" s="3"/>
      <c r="RNT67" s="3"/>
      <c r="RNU67" s="3"/>
      <c r="RNV67" s="3"/>
      <c r="RNW67" s="3"/>
      <c r="RNX67" s="3"/>
      <c r="RNY67" s="3"/>
      <c r="RNZ67" s="3"/>
      <c r="ROA67" s="3"/>
      <c r="ROB67" s="3"/>
      <c r="ROC67" s="3"/>
      <c r="ROD67" s="3"/>
      <c r="ROE67" s="3"/>
      <c r="ROF67" s="3"/>
      <c r="ROG67" s="3"/>
      <c r="ROH67" s="3"/>
      <c r="ROI67" s="3"/>
      <c r="ROJ67" s="3"/>
      <c r="ROK67" s="3"/>
      <c r="ROL67" s="3"/>
      <c r="ROM67" s="3"/>
      <c r="RON67" s="3"/>
      <c r="ROO67" s="3"/>
      <c r="ROP67" s="3"/>
      <c r="ROQ67" s="3"/>
      <c r="ROR67" s="3"/>
      <c r="ROS67" s="3"/>
      <c r="ROT67" s="3"/>
      <c r="ROU67" s="3"/>
      <c r="ROV67" s="3"/>
      <c r="ROW67" s="3"/>
      <c r="ROX67" s="3"/>
      <c r="ROY67" s="3"/>
      <c r="ROZ67" s="3"/>
      <c r="RPA67" s="3"/>
      <c r="RPB67" s="3"/>
      <c r="RPC67" s="3"/>
      <c r="RPD67" s="3"/>
      <c r="RPE67" s="3"/>
      <c r="RPF67" s="3"/>
      <c r="RPG67" s="3"/>
      <c r="RPH67" s="3"/>
      <c r="RPI67" s="3"/>
      <c r="RPJ67" s="3"/>
      <c r="RPK67" s="3"/>
      <c r="RPL67" s="3"/>
      <c r="RPM67" s="3"/>
      <c r="RPN67" s="3"/>
      <c r="RPO67" s="3"/>
      <c r="RPP67" s="3"/>
      <c r="RPQ67" s="3"/>
      <c r="RPR67" s="3"/>
      <c r="RPS67" s="3"/>
      <c r="RPT67" s="3"/>
      <c r="RPU67" s="3"/>
      <c r="RPV67" s="3"/>
      <c r="RPW67" s="3"/>
      <c r="RPX67" s="3"/>
      <c r="RPY67" s="3"/>
      <c r="RPZ67" s="3"/>
      <c r="RQA67" s="3"/>
      <c r="RQB67" s="3"/>
      <c r="RQC67" s="3"/>
      <c r="RQD67" s="3"/>
      <c r="RQE67" s="3"/>
      <c r="RQF67" s="3"/>
      <c r="RQG67" s="3"/>
      <c r="RQH67" s="3"/>
      <c r="RQI67" s="3"/>
      <c r="RQJ67" s="3"/>
      <c r="RQK67" s="3"/>
      <c r="RQL67" s="3"/>
      <c r="RQM67" s="3"/>
      <c r="RQN67" s="3"/>
      <c r="RQO67" s="3"/>
      <c r="RQP67" s="3"/>
      <c r="RQQ67" s="3"/>
      <c r="RQR67" s="3"/>
      <c r="RQS67" s="3"/>
      <c r="RQT67" s="3"/>
      <c r="RQU67" s="3"/>
      <c r="RQV67" s="3"/>
      <c r="RQW67" s="3"/>
      <c r="RQX67" s="3"/>
      <c r="RQY67" s="3"/>
      <c r="RQZ67" s="3"/>
      <c r="RRA67" s="3"/>
      <c r="RRB67" s="3"/>
      <c r="RRC67" s="3"/>
      <c r="RRD67" s="3"/>
      <c r="RRE67" s="3"/>
      <c r="RRF67" s="3"/>
      <c r="RRG67" s="3"/>
      <c r="RRH67" s="3"/>
      <c r="RRI67" s="3"/>
      <c r="RRJ67" s="3"/>
      <c r="RRK67" s="3"/>
      <c r="RRL67" s="3"/>
      <c r="RRM67" s="3"/>
      <c r="RRN67" s="3"/>
      <c r="RRO67" s="3"/>
      <c r="RRP67" s="3"/>
      <c r="RRQ67" s="3"/>
      <c r="RRR67" s="3"/>
      <c r="RRS67" s="3"/>
      <c r="RRT67" s="3"/>
      <c r="RRU67" s="3"/>
      <c r="RRV67" s="3"/>
      <c r="RRW67" s="3"/>
      <c r="RRX67" s="3"/>
      <c r="RRY67" s="3"/>
      <c r="RRZ67" s="3"/>
      <c r="RSA67" s="3"/>
      <c r="RSB67" s="3"/>
      <c r="RSC67" s="3"/>
      <c r="RSD67" s="3"/>
      <c r="RSE67" s="3"/>
      <c r="RSF67" s="3"/>
      <c r="RSG67" s="3"/>
      <c r="RSH67" s="3"/>
      <c r="RSI67" s="3"/>
      <c r="RSJ67" s="3"/>
      <c r="RSK67" s="3"/>
      <c r="RSL67" s="3"/>
      <c r="RSM67" s="3"/>
      <c r="RSN67" s="3"/>
      <c r="RSO67" s="3"/>
      <c r="RSP67" s="3"/>
      <c r="RSQ67" s="3"/>
      <c r="RSR67" s="3"/>
      <c r="RSS67" s="3"/>
      <c r="RST67" s="3"/>
      <c r="RSU67" s="3"/>
      <c r="RSV67" s="3"/>
      <c r="RSW67" s="3"/>
      <c r="RSX67" s="3"/>
      <c r="RSY67" s="3"/>
      <c r="RSZ67" s="3"/>
      <c r="RTA67" s="3"/>
      <c r="RTB67" s="3"/>
      <c r="RTC67" s="3"/>
      <c r="RTD67" s="3"/>
      <c r="RTE67" s="3"/>
      <c r="RTF67" s="3"/>
      <c r="RTG67" s="3"/>
      <c r="RTH67" s="3"/>
      <c r="RTI67" s="3"/>
      <c r="RTJ67" s="3"/>
      <c r="RTK67" s="3"/>
      <c r="RTL67" s="3"/>
      <c r="RTM67" s="3"/>
      <c r="RTN67" s="3"/>
      <c r="RTO67" s="3"/>
      <c r="RTP67" s="3"/>
      <c r="RTQ67" s="3"/>
      <c r="RTR67" s="3"/>
      <c r="RTS67" s="3"/>
      <c r="RTT67" s="3"/>
      <c r="RTU67" s="3"/>
      <c r="RTV67" s="3"/>
      <c r="RTW67" s="3"/>
      <c r="RTX67" s="3"/>
      <c r="RTY67" s="3"/>
      <c r="RTZ67" s="3"/>
      <c r="RUA67" s="3"/>
      <c r="RUB67" s="3"/>
      <c r="RUC67" s="3"/>
      <c r="RUD67" s="3"/>
      <c r="RUE67" s="3"/>
      <c r="RUF67" s="3"/>
      <c r="RUG67" s="3"/>
      <c r="RUH67" s="3"/>
      <c r="RUI67" s="3"/>
      <c r="RUJ67" s="3"/>
      <c r="RUK67" s="3"/>
      <c r="RUL67" s="3"/>
      <c r="RUM67" s="3"/>
      <c r="RUN67" s="3"/>
      <c r="RUO67" s="3"/>
      <c r="RUP67" s="3"/>
      <c r="RUQ67" s="3"/>
      <c r="RUR67" s="3"/>
      <c r="RUS67" s="3"/>
      <c r="RUT67" s="3"/>
      <c r="RUU67" s="3"/>
      <c r="RUV67" s="3"/>
      <c r="RUW67" s="3"/>
      <c r="RUX67" s="3"/>
      <c r="RUY67" s="3"/>
      <c r="RUZ67" s="3"/>
      <c r="RVA67" s="3"/>
      <c r="RVB67" s="3"/>
      <c r="RVC67" s="3"/>
      <c r="RVD67" s="3"/>
      <c r="RVE67" s="3"/>
      <c r="RVF67" s="3"/>
      <c r="RVG67" s="3"/>
      <c r="RVH67" s="3"/>
      <c r="RVI67" s="3"/>
      <c r="RVJ67" s="3"/>
      <c r="RVK67" s="3"/>
      <c r="RVL67" s="3"/>
      <c r="RVM67" s="3"/>
      <c r="RVN67" s="3"/>
      <c r="RVO67" s="3"/>
      <c r="RVP67" s="3"/>
      <c r="RVQ67" s="3"/>
      <c r="RVR67" s="3"/>
      <c r="RVS67" s="3"/>
      <c r="RVT67" s="3"/>
      <c r="RVU67" s="3"/>
      <c r="RVV67" s="3"/>
      <c r="RVW67" s="3"/>
      <c r="RVX67" s="3"/>
      <c r="RVY67" s="3"/>
      <c r="RVZ67" s="3"/>
      <c r="RWA67" s="3"/>
      <c r="RWB67" s="3"/>
      <c r="RWC67" s="3"/>
      <c r="RWD67" s="3"/>
      <c r="RWE67" s="3"/>
      <c r="RWF67" s="3"/>
      <c r="RWG67" s="3"/>
      <c r="RWH67" s="3"/>
      <c r="RWI67" s="3"/>
      <c r="RWJ67" s="3"/>
      <c r="RWK67" s="3"/>
      <c r="RWL67" s="3"/>
      <c r="RWM67" s="3"/>
      <c r="RWN67" s="3"/>
      <c r="RWO67" s="3"/>
      <c r="RWP67" s="3"/>
      <c r="RWQ67" s="3"/>
      <c r="RWR67" s="3"/>
      <c r="RWS67" s="3"/>
      <c r="RWT67" s="3"/>
      <c r="RWU67" s="3"/>
      <c r="RWV67" s="3"/>
      <c r="RWW67" s="3"/>
      <c r="RWX67" s="3"/>
      <c r="RWY67" s="3"/>
      <c r="RWZ67" s="3"/>
      <c r="RXA67" s="3"/>
      <c r="RXB67" s="3"/>
      <c r="RXC67" s="3"/>
      <c r="RXD67" s="3"/>
      <c r="RXE67" s="3"/>
      <c r="RXF67" s="3"/>
      <c r="RXG67" s="3"/>
      <c r="RXH67" s="3"/>
      <c r="RXI67" s="3"/>
      <c r="RXJ67" s="3"/>
      <c r="RXK67" s="3"/>
      <c r="RXL67" s="3"/>
      <c r="RXM67" s="3"/>
      <c r="RXN67" s="3"/>
      <c r="RXO67" s="3"/>
      <c r="RXP67" s="3"/>
      <c r="RXQ67" s="3"/>
      <c r="RXR67" s="3"/>
      <c r="RXS67" s="3"/>
      <c r="RXT67" s="3"/>
      <c r="RXU67" s="3"/>
      <c r="RXV67" s="3"/>
      <c r="RXW67" s="3"/>
      <c r="RXX67" s="3"/>
      <c r="RXY67" s="3"/>
      <c r="RXZ67" s="3"/>
      <c r="RYA67" s="3"/>
      <c r="RYB67" s="3"/>
      <c r="RYC67" s="3"/>
      <c r="RYD67" s="3"/>
      <c r="RYE67" s="3"/>
      <c r="RYF67" s="3"/>
      <c r="RYG67" s="3"/>
      <c r="RYH67" s="3"/>
      <c r="RYI67" s="3"/>
      <c r="RYJ67" s="3"/>
      <c r="RYK67" s="3"/>
      <c r="RYL67" s="3"/>
      <c r="RYM67" s="3"/>
      <c r="RYN67" s="3"/>
      <c r="RYO67" s="3"/>
      <c r="RYP67" s="3"/>
      <c r="RYQ67" s="3"/>
      <c r="RYR67" s="3"/>
      <c r="RYS67" s="3"/>
      <c r="RYT67" s="3"/>
      <c r="RYU67" s="3"/>
      <c r="RYV67" s="3"/>
      <c r="RYW67" s="3"/>
      <c r="RYX67" s="3"/>
      <c r="RYY67" s="3"/>
      <c r="RYZ67" s="3"/>
      <c r="RZA67" s="3"/>
      <c r="RZB67" s="3"/>
      <c r="RZC67" s="3"/>
      <c r="RZD67" s="3"/>
      <c r="RZE67" s="3"/>
      <c r="RZF67" s="3"/>
      <c r="RZG67" s="3"/>
      <c r="RZH67" s="3"/>
      <c r="RZI67" s="3"/>
      <c r="RZJ67" s="3"/>
      <c r="RZK67" s="3"/>
      <c r="RZL67" s="3"/>
      <c r="RZM67" s="3"/>
      <c r="RZN67" s="3"/>
      <c r="RZO67" s="3"/>
      <c r="RZP67" s="3"/>
      <c r="RZQ67" s="3"/>
      <c r="RZR67" s="3"/>
      <c r="RZS67" s="3"/>
      <c r="RZT67" s="3"/>
      <c r="RZU67" s="3"/>
      <c r="RZV67" s="3"/>
      <c r="RZW67" s="3"/>
      <c r="RZX67" s="3"/>
      <c r="RZY67" s="3"/>
      <c r="RZZ67" s="3"/>
      <c r="SAA67" s="3"/>
      <c r="SAB67" s="3"/>
      <c r="SAC67" s="3"/>
      <c r="SAD67" s="3"/>
      <c r="SAE67" s="3"/>
      <c r="SAF67" s="3"/>
      <c r="SAG67" s="3"/>
      <c r="SAH67" s="3"/>
      <c r="SAI67" s="3"/>
      <c r="SAJ67" s="3"/>
      <c r="SAK67" s="3"/>
      <c r="SAL67" s="3"/>
      <c r="SAM67" s="3"/>
      <c r="SAN67" s="3"/>
      <c r="SAO67" s="3"/>
      <c r="SAP67" s="3"/>
      <c r="SAQ67" s="3"/>
      <c r="SAR67" s="3"/>
      <c r="SAS67" s="3"/>
      <c r="SAT67" s="3"/>
      <c r="SAU67" s="3"/>
      <c r="SAV67" s="3"/>
      <c r="SAW67" s="3"/>
      <c r="SAX67" s="3"/>
      <c r="SAY67" s="3"/>
      <c r="SAZ67" s="3"/>
      <c r="SBA67" s="3"/>
      <c r="SBB67" s="3"/>
      <c r="SBC67" s="3"/>
      <c r="SBD67" s="3"/>
      <c r="SBE67" s="3"/>
      <c r="SBF67" s="3"/>
      <c r="SBG67" s="3"/>
      <c r="SBH67" s="3"/>
      <c r="SBI67" s="3"/>
      <c r="SBJ67" s="3"/>
      <c r="SBK67" s="3"/>
      <c r="SBL67" s="3"/>
      <c r="SBM67" s="3"/>
      <c r="SBN67" s="3"/>
      <c r="SBO67" s="3"/>
      <c r="SBP67" s="3"/>
      <c r="SBQ67" s="3"/>
      <c r="SBR67" s="3"/>
      <c r="SBS67" s="3"/>
      <c r="SBT67" s="3"/>
      <c r="SBU67" s="3"/>
      <c r="SBV67" s="3"/>
      <c r="SBW67" s="3"/>
      <c r="SBX67" s="3"/>
      <c r="SBY67" s="3"/>
      <c r="SBZ67" s="3"/>
      <c r="SCA67" s="3"/>
      <c r="SCB67" s="3"/>
      <c r="SCC67" s="3"/>
      <c r="SCD67" s="3"/>
      <c r="SCE67" s="3"/>
      <c r="SCF67" s="3"/>
      <c r="SCG67" s="3"/>
      <c r="SCH67" s="3"/>
      <c r="SCI67" s="3"/>
      <c r="SCJ67" s="3"/>
      <c r="SCK67" s="3"/>
      <c r="SCL67" s="3"/>
      <c r="SCM67" s="3"/>
      <c r="SCN67" s="3"/>
      <c r="SCO67" s="3"/>
      <c r="SCP67" s="3"/>
      <c r="SCQ67" s="3"/>
      <c r="SCR67" s="3"/>
      <c r="SCS67" s="3"/>
      <c r="SCT67" s="3"/>
      <c r="SCU67" s="3"/>
      <c r="SCV67" s="3"/>
      <c r="SCW67" s="3"/>
      <c r="SCX67" s="3"/>
      <c r="SCY67" s="3"/>
      <c r="SCZ67" s="3"/>
      <c r="SDA67" s="3"/>
      <c r="SDB67" s="3"/>
      <c r="SDC67" s="3"/>
      <c r="SDD67" s="3"/>
      <c r="SDE67" s="3"/>
      <c r="SDF67" s="3"/>
      <c r="SDG67" s="3"/>
      <c r="SDH67" s="3"/>
      <c r="SDI67" s="3"/>
      <c r="SDJ67" s="3"/>
      <c r="SDK67" s="3"/>
      <c r="SDL67" s="3"/>
      <c r="SDM67" s="3"/>
      <c r="SDN67" s="3"/>
      <c r="SDO67" s="3"/>
      <c r="SDP67" s="3"/>
      <c r="SDQ67" s="3"/>
      <c r="SDR67" s="3"/>
      <c r="SDS67" s="3"/>
      <c r="SDT67" s="3"/>
      <c r="SDU67" s="3"/>
      <c r="SDV67" s="3"/>
      <c r="SDW67" s="3"/>
      <c r="SDX67" s="3"/>
      <c r="SDY67" s="3"/>
      <c r="SDZ67" s="3"/>
      <c r="SEA67" s="3"/>
      <c r="SEB67" s="3"/>
      <c r="SEC67" s="3"/>
      <c r="SED67" s="3"/>
      <c r="SEE67" s="3"/>
      <c r="SEF67" s="3"/>
      <c r="SEG67" s="3"/>
      <c r="SEH67" s="3"/>
      <c r="SEI67" s="3"/>
      <c r="SEJ67" s="3"/>
      <c r="SEK67" s="3"/>
      <c r="SEL67" s="3"/>
      <c r="SEM67" s="3"/>
      <c r="SEN67" s="3"/>
      <c r="SEO67" s="3"/>
      <c r="SEP67" s="3"/>
      <c r="SEQ67" s="3"/>
      <c r="SER67" s="3"/>
      <c r="SES67" s="3"/>
      <c r="SET67" s="3"/>
      <c r="SEU67" s="3"/>
      <c r="SEV67" s="3"/>
      <c r="SEW67" s="3"/>
      <c r="SEX67" s="3"/>
      <c r="SEY67" s="3"/>
      <c r="SEZ67" s="3"/>
      <c r="SFA67" s="3"/>
      <c r="SFB67" s="3"/>
      <c r="SFC67" s="3"/>
      <c r="SFD67" s="3"/>
      <c r="SFE67" s="3"/>
      <c r="SFF67" s="3"/>
      <c r="SFG67" s="3"/>
      <c r="SFH67" s="3"/>
      <c r="SFI67" s="3"/>
      <c r="SFJ67" s="3"/>
      <c r="SFK67" s="3"/>
      <c r="SFL67" s="3"/>
      <c r="SFM67" s="3"/>
      <c r="SFN67" s="3"/>
      <c r="SFO67" s="3"/>
      <c r="SFP67" s="3"/>
      <c r="SFQ67" s="3"/>
      <c r="SFR67" s="3"/>
      <c r="SFS67" s="3"/>
      <c r="SFT67" s="3"/>
      <c r="SFU67" s="3"/>
      <c r="SFV67" s="3"/>
      <c r="SFW67" s="3"/>
      <c r="SFX67" s="3"/>
      <c r="SFY67" s="3"/>
      <c r="SFZ67" s="3"/>
      <c r="SGA67" s="3"/>
      <c r="SGB67" s="3"/>
      <c r="SGC67" s="3"/>
      <c r="SGD67" s="3"/>
      <c r="SGE67" s="3"/>
      <c r="SGF67" s="3"/>
      <c r="SGG67" s="3"/>
      <c r="SGH67" s="3"/>
      <c r="SGI67" s="3"/>
      <c r="SGJ67" s="3"/>
      <c r="SGK67" s="3"/>
      <c r="SGL67" s="3"/>
      <c r="SGM67" s="3"/>
      <c r="SGN67" s="3"/>
      <c r="SGO67" s="3"/>
      <c r="SGP67" s="3"/>
      <c r="SGQ67" s="3"/>
      <c r="SGR67" s="3"/>
      <c r="SGS67" s="3"/>
      <c r="SGT67" s="3"/>
      <c r="SGU67" s="3"/>
      <c r="SGV67" s="3"/>
      <c r="SGW67" s="3"/>
      <c r="SGX67" s="3"/>
      <c r="SGY67" s="3"/>
      <c r="SGZ67" s="3"/>
      <c r="SHA67" s="3"/>
      <c r="SHB67" s="3"/>
      <c r="SHC67" s="3"/>
      <c r="SHD67" s="3"/>
      <c r="SHE67" s="3"/>
      <c r="SHF67" s="3"/>
      <c r="SHG67" s="3"/>
      <c r="SHH67" s="3"/>
      <c r="SHI67" s="3"/>
      <c r="SHJ67" s="3"/>
      <c r="SHK67" s="3"/>
      <c r="SHL67" s="3"/>
      <c r="SHM67" s="3"/>
      <c r="SHN67" s="3"/>
      <c r="SHO67" s="3"/>
      <c r="SHP67" s="3"/>
      <c r="SHQ67" s="3"/>
      <c r="SHR67" s="3"/>
      <c r="SHS67" s="3"/>
      <c r="SHT67" s="3"/>
      <c r="SHU67" s="3"/>
      <c r="SHV67" s="3"/>
      <c r="SHW67" s="3"/>
      <c r="SHX67" s="3"/>
      <c r="SHY67" s="3"/>
      <c r="SHZ67" s="3"/>
      <c r="SIA67" s="3"/>
      <c r="SIB67" s="3"/>
      <c r="SIC67" s="3"/>
      <c r="SID67" s="3"/>
      <c r="SIE67" s="3"/>
      <c r="SIF67" s="3"/>
      <c r="SIG67" s="3"/>
      <c r="SIH67" s="3"/>
      <c r="SII67" s="3"/>
      <c r="SIJ67" s="3"/>
      <c r="SIK67" s="3"/>
      <c r="SIL67" s="3"/>
      <c r="SIM67" s="3"/>
      <c r="SIN67" s="3"/>
      <c r="SIO67" s="3"/>
      <c r="SIP67" s="3"/>
      <c r="SIQ67" s="3"/>
      <c r="SIR67" s="3"/>
      <c r="SIS67" s="3"/>
      <c r="SIT67" s="3"/>
      <c r="SIU67" s="3"/>
      <c r="SIV67" s="3"/>
      <c r="SIW67" s="3"/>
      <c r="SIX67" s="3"/>
      <c r="SIY67" s="3"/>
      <c r="SIZ67" s="3"/>
      <c r="SJA67" s="3"/>
      <c r="SJB67" s="3"/>
      <c r="SJC67" s="3"/>
      <c r="SJD67" s="3"/>
      <c r="SJE67" s="3"/>
      <c r="SJF67" s="3"/>
      <c r="SJG67" s="3"/>
      <c r="SJH67" s="3"/>
      <c r="SJI67" s="3"/>
      <c r="SJJ67" s="3"/>
      <c r="SJK67" s="3"/>
      <c r="SJL67" s="3"/>
      <c r="SJM67" s="3"/>
      <c r="SJN67" s="3"/>
      <c r="SJO67" s="3"/>
      <c r="SJP67" s="3"/>
      <c r="SJQ67" s="3"/>
      <c r="SJR67" s="3"/>
      <c r="SJS67" s="3"/>
      <c r="SJT67" s="3"/>
      <c r="SJU67" s="3"/>
      <c r="SJV67" s="3"/>
      <c r="SJW67" s="3"/>
      <c r="SJX67" s="3"/>
      <c r="SJY67" s="3"/>
      <c r="SJZ67" s="3"/>
      <c r="SKA67" s="3"/>
      <c r="SKB67" s="3"/>
      <c r="SKC67" s="3"/>
      <c r="SKD67" s="3"/>
      <c r="SKE67" s="3"/>
      <c r="SKF67" s="3"/>
      <c r="SKG67" s="3"/>
      <c r="SKH67" s="3"/>
      <c r="SKI67" s="3"/>
      <c r="SKJ67" s="3"/>
      <c r="SKK67" s="3"/>
      <c r="SKL67" s="3"/>
      <c r="SKM67" s="3"/>
      <c r="SKN67" s="3"/>
      <c r="SKO67" s="3"/>
      <c r="SKP67" s="3"/>
      <c r="SKQ67" s="3"/>
      <c r="SKR67" s="3"/>
      <c r="SKS67" s="3"/>
      <c r="SKT67" s="3"/>
      <c r="SKU67" s="3"/>
      <c r="SKV67" s="3"/>
      <c r="SKW67" s="3"/>
      <c r="SKX67" s="3"/>
      <c r="SKY67" s="3"/>
      <c r="SKZ67" s="3"/>
      <c r="SLA67" s="3"/>
      <c r="SLB67" s="3"/>
      <c r="SLC67" s="3"/>
      <c r="SLD67" s="3"/>
      <c r="SLE67" s="3"/>
      <c r="SLF67" s="3"/>
      <c r="SLG67" s="3"/>
      <c r="SLH67" s="3"/>
      <c r="SLI67" s="3"/>
      <c r="SLJ67" s="3"/>
      <c r="SLK67" s="3"/>
      <c r="SLL67" s="3"/>
      <c r="SLM67" s="3"/>
      <c r="SLN67" s="3"/>
      <c r="SLO67" s="3"/>
      <c r="SLP67" s="3"/>
      <c r="SLQ67" s="3"/>
      <c r="SLR67" s="3"/>
      <c r="SLS67" s="3"/>
      <c r="SLT67" s="3"/>
      <c r="SLU67" s="3"/>
      <c r="SLV67" s="3"/>
      <c r="SLW67" s="3"/>
      <c r="SLX67" s="3"/>
      <c r="SLY67" s="3"/>
      <c r="SLZ67" s="3"/>
      <c r="SMA67" s="3"/>
      <c r="SMB67" s="3"/>
      <c r="SMC67" s="3"/>
      <c r="SMD67" s="3"/>
      <c r="SME67" s="3"/>
      <c r="SMF67" s="3"/>
      <c r="SMG67" s="3"/>
      <c r="SMH67" s="3"/>
      <c r="SMI67" s="3"/>
      <c r="SMJ67" s="3"/>
      <c r="SMK67" s="3"/>
      <c r="SML67" s="3"/>
      <c r="SMM67" s="3"/>
      <c r="SMN67" s="3"/>
      <c r="SMO67" s="3"/>
      <c r="SMP67" s="3"/>
      <c r="SMQ67" s="3"/>
      <c r="SMR67" s="3"/>
      <c r="SMS67" s="3"/>
      <c r="SMT67" s="3"/>
      <c r="SMU67" s="3"/>
      <c r="SMV67" s="3"/>
      <c r="SMW67" s="3"/>
      <c r="SMX67" s="3"/>
      <c r="SMY67" s="3"/>
      <c r="SMZ67" s="3"/>
      <c r="SNA67" s="3"/>
      <c r="SNB67" s="3"/>
      <c r="SNC67" s="3"/>
      <c r="SND67" s="3"/>
      <c r="SNE67" s="3"/>
      <c r="SNF67" s="3"/>
      <c r="SNG67" s="3"/>
      <c r="SNH67" s="3"/>
      <c r="SNI67" s="3"/>
      <c r="SNJ67" s="3"/>
      <c r="SNK67" s="3"/>
      <c r="SNL67" s="3"/>
      <c r="SNM67" s="3"/>
      <c r="SNN67" s="3"/>
      <c r="SNO67" s="3"/>
      <c r="SNP67" s="3"/>
      <c r="SNQ67" s="3"/>
      <c r="SNR67" s="3"/>
      <c r="SNS67" s="3"/>
      <c r="SNT67" s="3"/>
      <c r="SNU67" s="3"/>
      <c r="SNV67" s="3"/>
      <c r="SNW67" s="3"/>
      <c r="SNX67" s="3"/>
      <c r="SNY67" s="3"/>
      <c r="SNZ67" s="3"/>
      <c r="SOA67" s="3"/>
      <c r="SOB67" s="3"/>
      <c r="SOC67" s="3"/>
      <c r="SOD67" s="3"/>
      <c r="SOE67" s="3"/>
      <c r="SOF67" s="3"/>
      <c r="SOG67" s="3"/>
      <c r="SOH67" s="3"/>
      <c r="SOI67" s="3"/>
      <c r="SOJ67" s="3"/>
      <c r="SOK67" s="3"/>
      <c r="SOL67" s="3"/>
      <c r="SOM67" s="3"/>
      <c r="SON67" s="3"/>
      <c r="SOO67" s="3"/>
      <c r="SOP67" s="3"/>
      <c r="SOQ67" s="3"/>
      <c r="SOR67" s="3"/>
      <c r="SOS67" s="3"/>
      <c r="SOT67" s="3"/>
      <c r="SOU67" s="3"/>
      <c r="SOV67" s="3"/>
      <c r="SOW67" s="3"/>
      <c r="SOX67" s="3"/>
      <c r="SOY67" s="3"/>
      <c r="SOZ67" s="3"/>
      <c r="SPA67" s="3"/>
      <c r="SPB67" s="3"/>
      <c r="SPC67" s="3"/>
      <c r="SPD67" s="3"/>
      <c r="SPE67" s="3"/>
      <c r="SPF67" s="3"/>
      <c r="SPG67" s="3"/>
      <c r="SPH67" s="3"/>
      <c r="SPI67" s="3"/>
      <c r="SPJ67" s="3"/>
      <c r="SPK67" s="3"/>
      <c r="SPL67" s="3"/>
      <c r="SPM67" s="3"/>
      <c r="SPN67" s="3"/>
      <c r="SPO67" s="3"/>
      <c r="SPP67" s="3"/>
      <c r="SPQ67" s="3"/>
      <c r="SPR67" s="3"/>
      <c r="SPS67" s="3"/>
      <c r="SPT67" s="3"/>
      <c r="SPU67" s="3"/>
      <c r="SPV67" s="3"/>
      <c r="SPW67" s="3"/>
      <c r="SPX67" s="3"/>
      <c r="SPY67" s="3"/>
      <c r="SPZ67" s="3"/>
      <c r="SQA67" s="3"/>
      <c r="SQB67" s="3"/>
      <c r="SQC67" s="3"/>
      <c r="SQD67" s="3"/>
      <c r="SQE67" s="3"/>
      <c r="SQF67" s="3"/>
      <c r="SQG67" s="3"/>
      <c r="SQH67" s="3"/>
      <c r="SQI67" s="3"/>
      <c r="SQJ67" s="3"/>
      <c r="SQK67" s="3"/>
      <c r="SQL67" s="3"/>
      <c r="SQM67" s="3"/>
      <c r="SQN67" s="3"/>
      <c r="SQO67" s="3"/>
      <c r="SQP67" s="3"/>
      <c r="SQQ67" s="3"/>
      <c r="SQR67" s="3"/>
      <c r="SQS67" s="3"/>
      <c r="SQT67" s="3"/>
      <c r="SQU67" s="3"/>
      <c r="SQV67" s="3"/>
      <c r="SQW67" s="3"/>
      <c r="SQX67" s="3"/>
      <c r="SQY67" s="3"/>
      <c r="SQZ67" s="3"/>
      <c r="SRA67" s="3"/>
      <c r="SRB67" s="3"/>
      <c r="SRC67" s="3"/>
      <c r="SRD67" s="3"/>
      <c r="SRE67" s="3"/>
      <c r="SRF67" s="3"/>
      <c r="SRG67" s="3"/>
      <c r="SRH67" s="3"/>
      <c r="SRI67" s="3"/>
      <c r="SRJ67" s="3"/>
      <c r="SRK67" s="3"/>
      <c r="SRL67" s="3"/>
      <c r="SRM67" s="3"/>
      <c r="SRN67" s="3"/>
      <c r="SRO67" s="3"/>
      <c r="SRP67" s="3"/>
      <c r="SRQ67" s="3"/>
      <c r="SRR67" s="3"/>
      <c r="SRS67" s="3"/>
      <c r="SRT67" s="3"/>
      <c r="SRU67" s="3"/>
      <c r="SRV67" s="3"/>
      <c r="SRW67" s="3"/>
      <c r="SRX67" s="3"/>
      <c r="SRY67" s="3"/>
      <c r="SRZ67" s="3"/>
      <c r="SSA67" s="3"/>
      <c r="SSB67" s="3"/>
      <c r="SSC67" s="3"/>
      <c r="SSD67" s="3"/>
      <c r="SSE67" s="3"/>
      <c r="SSF67" s="3"/>
      <c r="SSG67" s="3"/>
      <c r="SSH67" s="3"/>
      <c r="SSI67" s="3"/>
      <c r="SSJ67" s="3"/>
      <c r="SSK67" s="3"/>
      <c r="SSL67" s="3"/>
      <c r="SSM67" s="3"/>
      <c r="SSN67" s="3"/>
      <c r="SSO67" s="3"/>
      <c r="SSP67" s="3"/>
      <c r="SSQ67" s="3"/>
      <c r="SSR67" s="3"/>
      <c r="SSS67" s="3"/>
      <c r="SST67" s="3"/>
      <c r="SSU67" s="3"/>
      <c r="SSV67" s="3"/>
      <c r="SSW67" s="3"/>
      <c r="SSX67" s="3"/>
      <c r="SSY67" s="3"/>
      <c r="SSZ67" s="3"/>
      <c r="STA67" s="3"/>
      <c r="STB67" s="3"/>
      <c r="STC67" s="3"/>
      <c r="STD67" s="3"/>
      <c r="STE67" s="3"/>
      <c r="STF67" s="3"/>
      <c r="STG67" s="3"/>
      <c r="STH67" s="3"/>
      <c r="STI67" s="3"/>
      <c r="STJ67" s="3"/>
      <c r="STK67" s="3"/>
      <c r="STL67" s="3"/>
      <c r="STM67" s="3"/>
      <c r="STN67" s="3"/>
      <c r="STO67" s="3"/>
      <c r="STP67" s="3"/>
      <c r="STQ67" s="3"/>
      <c r="STR67" s="3"/>
      <c r="STS67" s="3"/>
      <c r="STT67" s="3"/>
      <c r="STU67" s="3"/>
      <c r="STV67" s="3"/>
      <c r="STW67" s="3"/>
      <c r="STX67" s="3"/>
      <c r="STY67" s="3"/>
      <c r="STZ67" s="3"/>
      <c r="SUA67" s="3"/>
      <c r="SUB67" s="3"/>
      <c r="SUC67" s="3"/>
      <c r="SUD67" s="3"/>
      <c r="SUE67" s="3"/>
      <c r="SUF67" s="3"/>
      <c r="SUG67" s="3"/>
      <c r="SUH67" s="3"/>
      <c r="SUI67" s="3"/>
      <c r="SUJ67" s="3"/>
      <c r="SUK67" s="3"/>
      <c r="SUL67" s="3"/>
      <c r="SUM67" s="3"/>
      <c r="SUN67" s="3"/>
      <c r="SUO67" s="3"/>
      <c r="SUP67" s="3"/>
      <c r="SUQ67" s="3"/>
      <c r="SUR67" s="3"/>
      <c r="SUS67" s="3"/>
      <c r="SUT67" s="3"/>
      <c r="SUU67" s="3"/>
      <c r="SUV67" s="3"/>
      <c r="SUW67" s="3"/>
      <c r="SUX67" s="3"/>
      <c r="SUY67" s="3"/>
      <c r="SUZ67" s="3"/>
      <c r="SVA67" s="3"/>
      <c r="SVB67" s="3"/>
      <c r="SVC67" s="3"/>
      <c r="SVD67" s="3"/>
      <c r="SVE67" s="3"/>
      <c r="SVF67" s="3"/>
      <c r="SVG67" s="3"/>
      <c r="SVH67" s="3"/>
      <c r="SVI67" s="3"/>
      <c r="SVJ67" s="3"/>
      <c r="SVK67" s="3"/>
      <c r="SVL67" s="3"/>
      <c r="SVM67" s="3"/>
      <c r="SVN67" s="3"/>
      <c r="SVO67" s="3"/>
      <c r="SVP67" s="3"/>
      <c r="SVQ67" s="3"/>
      <c r="SVR67" s="3"/>
      <c r="SVS67" s="3"/>
      <c r="SVT67" s="3"/>
      <c r="SVU67" s="3"/>
      <c r="SVV67" s="3"/>
      <c r="SVW67" s="3"/>
      <c r="SVX67" s="3"/>
      <c r="SVY67" s="3"/>
      <c r="SVZ67" s="3"/>
      <c r="SWA67" s="3"/>
      <c r="SWB67" s="3"/>
      <c r="SWC67" s="3"/>
      <c r="SWD67" s="3"/>
      <c r="SWE67" s="3"/>
      <c r="SWF67" s="3"/>
      <c r="SWG67" s="3"/>
      <c r="SWH67" s="3"/>
      <c r="SWI67" s="3"/>
      <c r="SWJ67" s="3"/>
      <c r="SWK67" s="3"/>
      <c r="SWL67" s="3"/>
      <c r="SWM67" s="3"/>
      <c r="SWN67" s="3"/>
      <c r="SWO67" s="3"/>
      <c r="SWP67" s="3"/>
      <c r="SWQ67" s="3"/>
      <c r="SWR67" s="3"/>
      <c r="SWS67" s="3"/>
      <c r="SWT67" s="3"/>
      <c r="SWU67" s="3"/>
      <c r="SWV67" s="3"/>
      <c r="SWW67" s="3"/>
      <c r="SWX67" s="3"/>
      <c r="SWY67" s="3"/>
      <c r="SWZ67" s="3"/>
      <c r="SXA67" s="3"/>
      <c r="SXB67" s="3"/>
      <c r="SXC67" s="3"/>
      <c r="SXD67" s="3"/>
      <c r="SXE67" s="3"/>
      <c r="SXF67" s="3"/>
      <c r="SXG67" s="3"/>
      <c r="SXH67" s="3"/>
      <c r="SXI67" s="3"/>
      <c r="SXJ67" s="3"/>
      <c r="SXK67" s="3"/>
      <c r="SXL67" s="3"/>
      <c r="SXM67" s="3"/>
      <c r="SXN67" s="3"/>
      <c r="SXO67" s="3"/>
      <c r="SXP67" s="3"/>
      <c r="SXQ67" s="3"/>
      <c r="SXR67" s="3"/>
      <c r="SXS67" s="3"/>
      <c r="SXT67" s="3"/>
      <c r="SXU67" s="3"/>
      <c r="SXV67" s="3"/>
      <c r="SXW67" s="3"/>
      <c r="SXX67" s="3"/>
      <c r="SXY67" s="3"/>
      <c r="SXZ67" s="3"/>
      <c r="SYA67" s="3"/>
      <c r="SYB67" s="3"/>
      <c r="SYC67" s="3"/>
      <c r="SYD67" s="3"/>
      <c r="SYE67" s="3"/>
      <c r="SYF67" s="3"/>
      <c r="SYG67" s="3"/>
      <c r="SYH67" s="3"/>
      <c r="SYI67" s="3"/>
      <c r="SYJ67" s="3"/>
      <c r="SYK67" s="3"/>
      <c r="SYL67" s="3"/>
      <c r="SYM67" s="3"/>
      <c r="SYN67" s="3"/>
      <c r="SYO67" s="3"/>
      <c r="SYP67" s="3"/>
      <c r="SYQ67" s="3"/>
      <c r="SYR67" s="3"/>
      <c r="SYS67" s="3"/>
      <c r="SYT67" s="3"/>
      <c r="SYU67" s="3"/>
      <c r="SYV67" s="3"/>
      <c r="SYW67" s="3"/>
      <c r="SYX67" s="3"/>
      <c r="SYY67" s="3"/>
      <c r="SYZ67" s="3"/>
      <c r="SZA67" s="3"/>
      <c r="SZB67" s="3"/>
      <c r="SZC67" s="3"/>
      <c r="SZD67" s="3"/>
      <c r="SZE67" s="3"/>
      <c r="SZF67" s="3"/>
      <c r="SZG67" s="3"/>
      <c r="SZH67" s="3"/>
      <c r="SZI67" s="3"/>
      <c r="SZJ67" s="3"/>
      <c r="SZK67" s="3"/>
      <c r="SZL67" s="3"/>
      <c r="SZM67" s="3"/>
      <c r="SZN67" s="3"/>
      <c r="SZO67" s="3"/>
      <c r="SZP67" s="3"/>
      <c r="SZQ67" s="3"/>
      <c r="SZR67" s="3"/>
      <c r="SZS67" s="3"/>
      <c r="SZT67" s="3"/>
      <c r="SZU67" s="3"/>
      <c r="SZV67" s="3"/>
      <c r="SZW67" s="3"/>
      <c r="SZX67" s="3"/>
      <c r="SZY67" s="3"/>
      <c r="SZZ67" s="3"/>
      <c r="TAA67" s="3"/>
      <c r="TAB67" s="3"/>
      <c r="TAC67" s="3"/>
      <c r="TAD67" s="3"/>
      <c r="TAE67" s="3"/>
      <c r="TAF67" s="3"/>
      <c r="TAG67" s="3"/>
      <c r="TAH67" s="3"/>
      <c r="TAI67" s="3"/>
      <c r="TAJ67" s="3"/>
      <c r="TAK67" s="3"/>
      <c r="TAL67" s="3"/>
      <c r="TAM67" s="3"/>
      <c r="TAN67" s="3"/>
      <c r="TAO67" s="3"/>
      <c r="TAP67" s="3"/>
      <c r="TAQ67" s="3"/>
      <c r="TAR67" s="3"/>
      <c r="TAS67" s="3"/>
      <c r="TAT67" s="3"/>
      <c r="TAU67" s="3"/>
      <c r="TAV67" s="3"/>
      <c r="TAW67" s="3"/>
      <c r="TAX67" s="3"/>
      <c r="TAY67" s="3"/>
      <c r="TAZ67" s="3"/>
      <c r="TBA67" s="3"/>
      <c r="TBB67" s="3"/>
      <c r="TBC67" s="3"/>
      <c r="TBD67" s="3"/>
      <c r="TBE67" s="3"/>
      <c r="TBF67" s="3"/>
      <c r="TBG67" s="3"/>
      <c r="TBH67" s="3"/>
      <c r="TBI67" s="3"/>
      <c r="TBJ67" s="3"/>
      <c r="TBK67" s="3"/>
      <c r="TBL67" s="3"/>
      <c r="TBM67" s="3"/>
      <c r="TBN67" s="3"/>
      <c r="TBO67" s="3"/>
      <c r="TBP67" s="3"/>
      <c r="TBQ67" s="3"/>
      <c r="TBR67" s="3"/>
      <c r="TBS67" s="3"/>
      <c r="TBT67" s="3"/>
      <c r="TBU67" s="3"/>
      <c r="TBV67" s="3"/>
      <c r="TBW67" s="3"/>
      <c r="TBX67" s="3"/>
      <c r="TBY67" s="3"/>
      <c r="TBZ67" s="3"/>
      <c r="TCA67" s="3"/>
      <c r="TCB67" s="3"/>
      <c r="TCC67" s="3"/>
      <c r="TCD67" s="3"/>
      <c r="TCE67" s="3"/>
      <c r="TCF67" s="3"/>
      <c r="TCG67" s="3"/>
      <c r="TCH67" s="3"/>
      <c r="TCI67" s="3"/>
      <c r="TCJ67" s="3"/>
      <c r="TCK67" s="3"/>
      <c r="TCL67" s="3"/>
      <c r="TCM67" s="3"/>
      <c r="TCN67" s="3"/>
      <c r="TCO67" s="3"/>
      <c r="TCP67" s="3"/>
      <c r="TCQ67" s="3"/>
      <c r="TCR67" s="3"/>
      <c r="TCS67" s="3"/>
      <c r="TCT67" s="3"/>
      <c r="TCU67" s="3"/>
      <c r="TCV67" s="3"/>
      <c r="TCW67" s="3"/>
      <c r="TCX67" s="3"/>
      <c r="TCY67" s="3"/>
      <c r="TCZ67" s="3"/>
      <c r="TDA67" s="3"/>
      <c r="TDB67" s="3"/>
      <c r="TDC67" s="3"/>
      <c r="TDD67" s="3"/>
      <c r="TDE67" s="3"/>
      <c r="TDF67" s="3"/>
      <c r="TDG67" s="3"/>
      <c r="TDH67" s="3"/>
      <c r="TDI67" s="3"/>
      <c r="TDJ67" s="3"/>
      <c r="TDK67" s="3"/>
      <c r="TDL67" s="3"/>
      <c r="TDM67" s="3"/>
      <c r="TDN67" s="3"/>
      <c r="TDO67" s="3"/>
      <c r="TDP67" s="3"/>
      <c r="TDQ67" s="3"/>
      <c r="TDR67" s="3"/>
      <c r="TDS67" s="3"/>
      <c r="TDT67" s="3"/>
      <c r="TDU67" s="3"/>
      <c r="TDV67" s="3"/>
      <c r="TDW67" s="3"/>
      <c r="TDX67" s="3"/>
      <c r="TDY67" s="3"/>
      <c r="TDZ67" s="3"/>
      <c r="TEA67" s="3"/>
      <c r="TEB67" s="3"/>
      <c r="TEC67" s="3"/>
      <c r="TED67" s="3"/>
      <c r="TEE67" s="3"/>
      <c r="TEF67" s="3"/>
      <c r="TEG67" s="3"/>
      <c r="TEH67" s="3"/>
      <c r="TEI67" s="3"/>
      <c r="TEJ67" s="3"/>
      <c r="TEK67" s="3"/>
      <c r="TEL67" s="3"/>
      <c r="TEM67" s="3"/>
      <c r="TEN67" s="3"/>
      <c r="TEO67" s="3"/>
      <c r="TEP67" s="3"/>
      <c r="TEQ67" s="3"/>
      <c r="TER67" s="3"/>
      <c r="TES67" s="3"/>
      <c r="TET67" s="3"/>
      <c r="TEU67" s="3"/>
      <c r="TEV67" s="3"/>
      <c r="TEW67" s="3"/>
      <c r="TEX67" s="3"/>
      <c r="TEY67" s="3"/>
      <c r="TEZ67" s="3"/>
      <c r="TFA67" s="3"/>
      <c r="TFB67" s="3"/>
      <c r="TFC67" s="3"/>
      <c r="TFD67" s="3"/>
      <c r="TFE67" s="3"/>
      <c r="TFF67" s="3"/>
      <c r="TFG67" s="3"/>
      <c r="TFH67" s="3"/>
      <c r="TFI67" s="3"/>
      <c r="TFJ67" s="3"/>
      <c r="TFK67" s="3"/>
      <c r="TFL67" s="3"/>
      <c r="TFM67" s="3"/>
      <c r="TFN67" s="3"/>
      <c r="TFO67" s="3"/>
      <c r="TFP67" s="3"/>
      <c r="TFQ67" s="3"/>
      <c r="TFR67" s="3"/>
      <c r="TFS67" s="3"/>
      <c r="TFT67" s="3"/>
      <c r="TFU67" s="3"/>
      <c r="TFV67" s="3"/>
      <c r="TFW67" s="3"/>
      <c r="TFX67" s="3"/>
      <c r="TFY67" s="3"/>
      <c r="TFZ67" s="3"/>
      <c r="TGA67" s="3"/>
      <c r="TGB67" s="3"/>
      <c r="TGC67" s="3"/>
      <c r="TGD67" s="3"/>
      <c r="TGE67" s="3"/>
      <c r="TGF67" s="3"/>
      <c r="TGG67" s="3"/>
      <c r="TGH67" s="3"/>
      <c r="TGI67" s="3"/>
      <c r="TGJ67" s="3"/>
      <c r="TGK67" s="3"/>
      <c r="TGL67" s="3"/>
      <c r="TGM67" s="3"/>
      <c r="TGN67" s="3"/>
      <c r="TGO67" s="3"/>
      <c r="TGP67" s="3"/>
      <c r="TGQ67" s="3"/>
      <c r="TGR67" s="3"/>
      <c r="TGS67" s="3"/>
      <c r="TGT67" s="3"/>
      <c r="TGU67" s="3"/>
      <c r="TGV67" s="3"/>
      <c r="TGW67" s="3"/>
      <c r="TGX67" s="3"/>
      <c r="TGY67" s="3"/>
      <c r="TGZ67" s="3"/>
      <c r="THA67" s="3"/>
      <c r="THB67" s="3"/>
      <c r="THC67" s="3"/>
      <c r="THD67" s="3"/>
      <c r="THE67" s="3"/>
      <c r="THF67" s="3"/>
      <c r="THG67" s="3"/>
      <c r="THH67" s="3"/>
      <c r="THI67" s="3"/>
      <c r="THJ67" s="3"/>
      <c r="THK67" s="3"/>
      <c r="THL67" s="3"/>
      <c r="THM67" s="3"/>
      <c r="THN67" s="3"/>
      <c r="THO67" s="3"/>
      <c r="THP67" s="3"/>
      <c r="THQ67" s="3"/>
      <c r="THR67" s="3"/>
      <c r="THS67" s="3"/>
      <c r="THT67" s="3"/>
      <c r="THU67" s="3"/>
      <c r="THV67" s="3"/>
      <c r="THW67" s="3"/>
      <c r="THX67" s="3"/>
      <c r="THY67" s="3"/>
      <c r="THZ67" s="3"/>
      <c r="TIA67" s="3"/>
      <c r="TIB67" s="3"/>
      <c r="TIC67" s="3"/>
      <c r="TID67" s="3"/>
      <c r="TIE67" s="3"/>
      <c r="TIF67" s="3"/>
      <c r="TIG67" s="3"/>
      <c r="TIH67" s="3"/>
      <c r="TII67" s="3"/>
      <c r="TIJ67" s="3"/>
      <c r="TIK67" s="3"/>
      <c r="TIL67" s="3"/>
      <c r="TIM67" s="3"/>
      <c r="TIN67" s="3"/>
      <c r="TIO67" s="3"/>
      <c r="TIP67" s="3"/>
      <c r="TIQ67" s="3"/>
      <c r="TIR67" s="3"/>
      <c r="TIS67" s="3"/>
      <c r="TIT67" s="3"/>
      <c r="TIU67" s="3"/>
      <c r="TIV67" s="3"/>
      <c r="TIW67" s="3"/>
      <c r="TIX67" s="3"/>
      <c r="TIY67" s="3"/>
      <c r="TIZ67" s="3"/>
      <c r="TJA67" s="3"/>
      <c r="TJB67" s="3"/>
      <c r="TJC67" s="3"/>
      <c r="TJD67" s="3"/>
      <c r="TJE67" s="3"/>
      <c r="TJF67" s="3"/>
      <c r="TJG67" s="3"/>
      <c r="TJH67" s="3"/>
      <c r="TJI67" s="3"/>
      <c r="TJJ67" s="3"/>
      <c r="TJK67" s="3"/>
      <c r="TJL67" s="3"/>
      <c r="TJM67" s="3"/>
      <c r="TJN67" s="3"/>
      <c r="TJO67" s="3"/>
      <c r="TJP67" s="3"/>
      <c r="TJQ67" s="3"/>
      <c r="TJR67" s="3"/>
      <c r="TJS67" s="3"/>
      <c r="TJT67" s="3"/>
      <c r="TJU67" s="3"/>
      <c r="TJV67" s="3"/>
      <c r="TJW67" s="3"/>
      <c r="TJX67" s="3"/>
      <c r="TJY67" s="3"/>
      <c r="TJZ67" s="3"/>
      <c r="TKA67" s="3"/>
      <c r="TKB67" s="3"/>
      <c r="TKC67" s="3"/>
      <c r="TKD67" s="3"/>
      <c r="TKE67" s="3"/>
      <c r="TKF67" s="3"/>
      <c r="TKG67" s="3"/>
      <c r="TKH67" s="3"/>
      <c r="TKI67" s="3"/>
      <c r="TKJ67" s="3"/>
      <c r="TKK67" s="3"/>
      <c r="TKL67" s="3"/>
      <c r="TKM67" s="3"/>
      <c r="TKN67" s="3"/>
      <c r="TKO67" s="3"/>
      <c r="TKP67" s="3"/>
      <c r="TKQ67" s="3"/>
      <c r="TKR67" s="3"/>
      <c r="TKS67" s="3"/>
      <c r="TKT67" s="3"/>
      <c r="TKU67" s="3"/>
      <c r="TKV67" s="3"/>
      <c r="TKW67" s="3"/>
      <c r="TKX67" s="3"/>
      <c r="TKY67" s="3"/>
      <c r="TKZ67" s="3"/>
      <c r="TLA67" s="3"/>
      <c r="TLB67" s="3"/>
      <c r="TLC67" s="3"/>
      <c r="TLD67" s="3"/>
      <c r="TLE67" s="3"/>
      <c r="TLF67" s="3"/>
      <c r="TLG67" s="3"/>
      <c r="TLH67" s="3"/>
      <c r="TLI67" s="3"/>
      <c r="TLJ67" s="3"/>
      <c r="TLK67" s="3"/>
      <c r="TLL67" s="3"/>
      <c r="TLM67" s="3"/>
      <c r="TLN67" s="3"/>
      <c r="TLO67" s="3"/>
      <c r="TLP67" s="3"/>
      <c r="TLQ67" s="3"/>
      <c r="TLR67" s="3"/>
      <c r="TLS67" s="3"/>
      <c r="TLT67" s="3"/>
      <c r="TLU67" s="3"/>
      <c r="TLV67" s="3"/>
      <c r="TLW67" s="3"/>
      <c r="TLX67" s="3"/>
      <c r="TLY67" s="3"/>
      <c r="TLZ67" s="3"/>
      <c r="TMA67" s="3"/>
      <c r="TMB67" s="3"/>
      <c r="TMC67" s="3"/>
      <c r="TMD67" s="3"/>
      <c r="TME67" s="3"/>
      <c r="TMF67" s="3"/>
      <c r="TMG67" s="3"/>
      <c r="TMH67" s="3"/>
      <c r="TMI67" s="3"/>
      <c r="TMJ67" s="3"/>
      <c r="TMK67" s="3"/>
      <c r="TML67" s="3"/>
      <c r="TMM67" s="3"/>
      <c r="TMN67" s="3"/>
      <c r="TMO67" s="3"/>
      <c r="TMP67" s="3"/>
      <c r="TMQ67" s="3"/>
      <c r="TMR67" s="3"/>
      <c r="TMS67" s="3"/>
      <c r="TMT67" s="3"/>
      <c r="TMU67" s="3"/>
      <c r="TMV67" s="3"/>
      <c r="TMW67" s="3"/>
      <c r="TMX67" s="3"/>
      <c r="TMY67" s="3"/>
      <c r="TMZ67" s="3"/>
      <c r="TNA67" s="3"/>
      <c r="TNB67" s="3"/>
      <c r="TNC67" s="3"/>
      <c r="TND67" s="3"/>
      <c r="TNE67" s="3"/>
      <c r="TNF67" s="3"/>
      <c r="TNG67" s="3"/>
      <c r="TNH67" s="3"/>
      <c r="TNI67" s="3"/>
      <c r="TNJ67" s="3"/>
      <c r="TNK67" s="3"/>
      <c r="TNL67" s="3"/>
      <c r="TNM67" s="3"/>
      <c r="TNN67" s="3"/>
      <c r="TNO67" s="3"/>
      <c r="TNP67" s="3"/>
      <c r="TNQ67" s="3"/>
      <c r="TNR67" s="3"/>
      <c r="TNS67" s="3"/>
      <c r="TNT67" s="3"/>
      <c r="TNU67" s="3"/>
      <c r="TNV67" s="3"/>
      <c r="TNW67" s="3"/>
      <c r="TNX67" s="3"/>
      <c r="TNY67" s="3"/>
      <c r="TNZ67" s="3"/>
      <c r="TOA67" s="3"/>
      <c r="TOB67" s="3"/>
      <c r="TOC67" s="3"/>
      <c r="TOD67" s="3"/>
      <c r="TOE67" s="3"/>
      <c r="TOF67" s="3"/>
      <c r="TOG67" s="3"/>
      <c r="TOH67" s="3"/>
      <c r="TOI67" s="3"/>
      <c r="TOJ67" s="3"/>
      <c r="TOK67" s="3"/>
      <c r="TOL67" s="3"/>
      <c r="TOM67" s="3"/>
      <c r="TON67" s="3"/>
      <c r="TOO67" s="3"/>
      <c r="TOP67" s="3"/>
      <c r="TOQ67" s="3"/>
      <c r="TOR67" s="3"/>
      <c r="TOS67" s="3"/>
      <c r="TOT67" s="3"/>
      <c r="TOU67" s="3"/>
      <c r="TOV67" s="3"/>
      <c r="TOW67" s="3"/>
      <c r="TOX67" s="3"/>
      <c r="TOY67" s="3"/>
      <c r="TOZ67" s="3"/>
      <c r="TPA67" s="3"/>
      <c r="TPB67" s="3"/>
      <c r="TPC67" s="3"/>
      <c r="TPD67" s="3"/>
      <c r="TPE67" s="3"/>
      <c r="TPF67" s="3"/>
      <c r="TPG67" s="3"/>
      <c r="TPH67" s="3"/>
      <c r="TPI67" s="3"/>
      <c r="TPJ67" s="3"/>
      <c r="TPK67" s="3"/>
      <c r="TPL67" s="3"/>
      <c r="TPM67" s="3"/>
      <c r="TPN67" s="3"/>
      <c r="TPO67" s="3"/>
      <c r="TPP67" s="3"/>
      <c r="TPQ67" s="3"/>
      <c r="TPR67" s="3"/>
      <c r="TPS67" s="3"/>
      <c r="TPT67" s="3"/>
      <c r="TPU67" s="3"/>
      <c r="TPV67" s="3"/>
      <c r="TPW67" s="3"/>
      <c r="TPX67" s="3"/>
      <c r="TPY67" s="3"/>
      <c r="TPZ67" s="3"/>
      <c r="TQA67" s="3"/>
      <c r="TQB67" s="3"/>
      <c r="TQC67" s="3"/>
      <c r="TQD67" s="3"/>
      <c r="TQE67" s="3"/>
      <c r="TQF67" s="3"/>
      <c r="TQG67" s="3"/>
      <c r="TQH67" s="3"/>
      <c r="TQI67" s="3"/>
      <c r="TQJ67" s="3"/>
      <c r="TQK67" s="3"/>
      <c r="TQL67" s="3"/>
      <c r="TQM67" s="3"/>
      <c r="TQN67" s="3"/>
      <c r="TQO67" s="3"/>
      <c r="TQP67" s="3"/>
      <c r="TQQ67" s="3"/>
      <c r="TQR67" s="3"/>
      <c r="TQS67" s="3"/>
      <c r="TQT67" s="3"/>
      <c r="TQU67" s="3"/>
      <c r="TQV67" s="3"/>
      <c r="TQW67" s="3"/>
      <c r="TQX67" s="3"/>
      <c r="TQY67" s="3"/>
      <c r="TQZ67" s="3"/>
      <c r="TRA67" s="3"/>
      <c r="TRB67" s="3"/>
      <c r="TRC67" s="3"/>
      <c r="TRD67" s="3"/>
      <c r="TRE67" s="3"/>
      <c r="TRF67" s="3"/>
      <c r="TRG67" s="3"/>
      <c r="TRH67" s="3"/>
      <c r="TRI67" s="3"/>
      <c r="TRJ67" s="3"/>
      <c r="TRK67" s="3"/>
      <c r="TRL67" s="3"/>
      <c r="TRM67" s="3"/>
      <c r="TRN67" s="3"/>
      <c r="TRO67" s="3"/>
      <c r="TRP67" s="3"/>
      <c r="TRQ67" s="3"/>
      <c r="TRR67" s="3"/>
      <c r="TRS67" s="3"/>
      <c r="TRT67" s="3"/>
      <c r="TRU67" s="3"/>
      <c r="TRV67" s="3"/>
      <c r="TRW67" s="3"/>
      <c r="TRX67" s="3"/>
      <c r="TRY67" s="3"/>
      <c r="TRZ67" s="3"/>
      <c r="TSA67" s="3"/>
      <c r="TSB67" s="3"/>
      <c r="TSC67" s="3"/>
      <c r="TSD67" s="3"/>
      <c r="TSE67" s="3"/>
      <c r="TSF67" s="3"/>
      <c r="TSG67" s="3"/>
      <c r="TSH67" s="3"/>
      <c r="TSI67" s="3"/>
      <c r="TSJ67" s="3"/>
      <c r="TSK67" s="3"/>
      <c r="TSL67" s="3"/>
      <c r="TSM67" s="3"/>
      <c r="TSN67" s="3"/>
      <c r="TSO67" s="3"/>
      <c r="TSP67" s="3"/>
      <c r="TSQ67" s="3"/>
      <c r="TSR67" s="3"/>
      <c r="TSS67" s="3"/>
      <c r="TST67" s="3"/>
      <c r="TSU67" s="3"/>
      <c r="TSV67" s="3"/>
      <c r="TSW67" s="3"/>
      <c r="TSX67" s="3"/>
      <c r="TSY67" s="3"/>
      <c r="TSZ67" s="3"/>
      <c r="TTA67" s="3"/>
      <c r="TTB67" s="3"/>
      <c r="TTC67" s="3"/>
      <c r="TTD67" s="3"/>
      <c r="TTE67" s="3"/>
      <c r="TTF67" s="3"/>
      <c r="TTG67" s="3"/>
      <c r="TTH67" s="3"/>
      <c r="TTI67" s="3"/>
      <c r="TTJ67" s="3"/>
      <c r="TTK67" s="3"/>
      <c r="TTL67" s="3"/>
      <c r="TTM67" s="3"/>
      <c r="TTN67" s="3"/>
      <c r="TTO67" s="3"/>
      <c r="TTP67" s="3"/>
      <c r="TTQ67" s="3"/>
      <c r="TTR67" s="3"/>
      <c r="TTS67" s="3"/>
      <c r="TTT67" s="3"/>
      <c r="TTU67" s="3"/>
      <c r="TTV67" s="3"/>
      <c r="TTW67" s="3"/>
      <c r="TTX67" s="3"/>
      <c r="TTY67" s="3"/>
      <c r="TTZ67" s="3"/>
      <c r="TUA67" s="3"/>
      <c r="TUB67" s="3"/>
      <c r="TUC67" s="3"/>
      <c r="TUD67" s="3"/>
      <c r="TUE67" s="3"/>
      <c r="TUF67" s="3"/>
      <c r="TUG67" s="3"/>
      <c r="TUH67" s="3"/>
      <c r="TUI67" s="3"/>
      <c r="TUJ67" s="3"/>
      <c r="TUK67" s="3"/>
      <c r="TUL67" s="3"/>
      <c r="TUM67" s="3"/>
      <c r="TUN67" s="3"/>
      <c r="TUO67" s="3"/>
      <c r="TUP67" s="3"/>
      <c r="TUQ67" s="3"/>
      <c r="TUR67" s="3"/>
      <c r="TUS67" s="3"/>
      <c r="TUT67" s="3"/>
      <c r="TUU67" s="3"/>
      <c r="TUV67" s="3"/>
      <c r="TUW67" s="3"/>
      <c r="TUX67" s="3"/>
      <c r="TUY67" s="3"/>
      <c r="TUZ67" s="3"/>
      <c r="TVA67" s="3"/>
      <c r="TVB67" s="3"/>
      <c r="TVC67" s="3"/>
      <c r="TVD67" s="3"/>
      <c r="TVE67" s="3"/>
      <c r="TVF67" s="3"/>
      <c r="TVG67" s="3"/>
      <c r="TVH67" s="3"/>
      <c r="TVI67" s="3"/>
      <c r="TVJ67" s="3"/>
      <c r="TVK67" s="3"/>
      <c r="TVL67" s="3"/>
      <c r="TVM67" s="3"/>
      <c r="TVN67" s="3"/>
      <c r="TVO67" s="3"/>
      <c r="TVP67" s="3"/>
      <c r="TVQ67" s="3"/>
      <c r="TVR67" s="3"/>
      <c r="TVS67" s="3"/>
      <c r="TVT67" s="3"/>
      <c r="TVU67" s="3"/>
      <c r="TVV67" s="3"/>
      <c r="TVW67" s="3"/>
      <c r="TVX67" s="3"/>
      <c r="TVY67" s="3"/>
      <c r="TVZ67" s="3"/>
      <c r="TWA67" s="3"/>
      <c r="TWB67" s="3"/>
      <c r="TWC67" s="3"/>
      <c r="TWD67" s="3"/>
      <c r="TWE67" s="3"/>
      <c r="TWF67" s="3"/>
      <c r="TWG67" s="3"/>
      <c r="TWH67" s="3"/>
      <c r="TWI67" s="3"/>
      <c r="TWJ67" s="3"/>
      <c r="TWK67" s="3"/>
      <c r="TWL67" s="3"/>
      <c r="TWM67" s="3"/>
      <c r="TWN67" s="3"/>
      <c r="TWO67" s="3"/>
      <c r="TWP67" s="3"/>
      <c r="TWQ67" s="3"/>
      <c r="TWR67" s="3"/>
      <c r="TWS67" s="3"/>
      <c r="TWT67" s="3"/>
      <c r="TWU67" s="3"/>
      <c r="TWV67" s="3"/>
      <c r="TWW67" s="3"/>
      <c r="TWX67" s="3"/>
      <c r="TWY67" s="3"/>
      <c r="TWZ67" s="3"/>
      <c r="TXA67" s="3"/>
      <c r="TXB67" s="3"/>
      <c r="TXC67" s="3"/>
      <c r="TXD67" s="3"/>
      <c r="TXE67" s="3"/>
      <c r="TXF67" s="3"/>
      <c r="TXG67" s="3"/>
      <c r="TXH67" s="3"/>
      <c r="TXI67" s="3"/>
      <c r="TXJ67" s="3"/>
      <c r="TXK67" s="3"/>
      <c r="TXL67" s="3"/>
      <c r="TXM67" s="3"/>
      <c r="TXN67" s="3"/>
      <c r="TXO67" s="3"/>
      <c r="TXP67" s="3"/>
      <c r="TXQ67" s="3"/>
      <c r="TXR67" s="3"/>
      <c r="TXS67" s="3"/>
      <c r="TXT67" s="3"/>
      <c r="TXU67" s="3"/>
      <c r="TXV67" s="3"/>
      <c r="TXW67" s="3"/>
      <c r="TXX67" s="3"/>
      <c r="TXY67" s="3"/>
      <c r="TXZ67" s="3"/>
      <c r="TYA67" s="3"/>
      <c r="TYB67" s="3"/>
      <c r="TYC67" s="3"/>
      <c r="TYD67" s="3"/>
      <c r="TYE67" s="3"/>
      <c r="TYF67" s="3"/>
      <c r="TYG67" s="3"/>
      <c r="TYH67" s="3"/>
      <c r="TYI67" s="3"/>
      <c r="TYJ67" s="3"/>
      <c r="TYK67" s="3"/>
      <c r="TYL67" s="3"/>
      <c r="TYM67" s="3"/>
      <c r="TYN67" s="3"/>
      <c r="TYO67" s="3"/>
      <c r="TYP67" s="3"/>
      <c r="TYQ67" s="3"/>
      <c r="TYR67" s="3"/>
      <c r="TYS67" s="3"/>
      <c r="TYT67" s="3"/>
      <c r="TYU67" s="3"/>
      <c r="TYV67" s="3"/>
      <c r="TYW67" s="3"/>
      <c r="TYX67" s="3"/>
      <c r="TYY67" s="3"/>
      <c r="TYZ67" s="3"/>
      <c r="TZA67" s="3"/>
      <c r="TZB67" s="3"/>
      <c r="TZC67" s="3"/>
      <c r="TZD67" s="3"/>
      <c r="TZE67" s="3"/>
      <c r="TZF67" s="3"/>
      <c r="TZG67" s="3"/>
      <c r="TZH67" s="3"/>
      <c r="TZI67" s="3"/>
      <c r="TZJ67" s="3"/>
      <c r="TZK67" s="3"/>
      <c r="TZL67" s="3"/>
      <c r="TZM67" s="3"/>
      <c r="TZN67" s="3"/>
      <c r="TZO67" s="3"/>
      <c r="TZP67" s="3"/>
      <c r="TZQ67" s="3"/>
      <c r="TZR67" s="3"/>
      <c r="TZS67" s="3"/>
      <c r="TZT67" s="3"/>
      <c r="TZU67" s="3"/>
      <c r="TZV67" s="3"/>
      <c r="TZW67" s="3"/>
      <c r="TZX67" s="3"/>
      <c r="TZY67" s="3"/>
      <c r="TZZ67" s="3"/>
      <c r="UAA67" s="3"/>
      <c r="UAB67" s="3"/>
      <c r="UAC67" s="3"/>
      <c r="UAD67" s="3"/>
      <c r="UAE67" s="3"/>
      <c r="UAF67" s="3"/>
      <c r="UAG67" s="3"/>
      <c r="UAH67" s="3"/>
      <c r="UAI67" s="3"/>
      <c r="UAJ67" s="3"/>
      <c r="UAK67" s="3"/>
      <c r="UAL67" s="3"/>
      <c r="UAM67" s="3"/>
      <c r="UAN67" s="3"/>
      <c r="UAO67" s="3"/>
      <c r="UAP67" s="3"/>
      <c r="UAQ67" s="3"/>
      <c r="UAR67" s="3"/>
      <c r="UAS67" s="3"/>
      <c r="UAT67" s="3"/>
      <c r="UAU67" s="3"/>
      <c r="UAV67" s="3"/>
      <c r="UAW67" s="3"/>
      <c r="UAX67" s="3"/>
      <c r="UAY67" s="3"/>
      <c r="UAZ67" s="3"/>
      <c r="UBA67" s="3"/>
      <c r="UBB67" s="3"/>
      <c r="UBC67" s="3"/>
      <c r="UBD67" s="3"/>
      <c r="UBE67" s="3"/>
      <c r="UBF67" s="3"/>
      <c r="UBG67" s="3"/>
      <c r="UBH67" s="3"/>
      <c r="UBI67" s="3"/>
      <c r="UBJ67" s="3"/>
      <c r="UBK67" s="3"/>
      <c r="UBL67" s="3"/>
      <c r="UBM67" s="3"/>
      <c r="UBN67" s="3"/>
      <c r="UBO67" s="3"/>
      <c r="UBP67" s="3"/>
      <c r="UBQ67" s="3"/>
      <c r="UBR67" s="3"/>
      <c r="UBS67" s="3"/>
      <c r="UBT67" s="3"/>
      <c r="UBU67" s="3"/>
      <c r="UBV67" s="3"/>
      <c r="UBW67" s="3"/>
      <c r="UBX67" s="3"/>
      <c r="UBY67" s="3"/>
      <c r="UBZ67" s="3"/>
      <c r="UCA67" s="3"/>
      <c r="UCB67" s="3"/>
      <c r="UCC67" s="3"/>
      <c r="UCD67" s="3"/>
      <c r="UCE67" s="3"/>
      <c r="UCF67" s="3"/>
      <c r="UCG67" s="3"/>
      <c r="UCH67" s="3"/>
      <c r="UCI67" s="3"/>
      <c r="UCJ67" s="3"/>
      <c r="UCK67" s="3"/>
      <c r="UCL67" s="3"/>
      <c r="UCM67" s="3"/>
      <c r="UCN67" s="3"/>
      <c r="UCO67" s="3"/>
      <c r="UCP67" s="3"/>
      <c r="UCQ67" s="3"/>
      <c r="UCR67" s="3"/>
      <c r="UCS67" s="3"/>
      <c r="UCT67" s="3"/>
      <c r="UCU67" s="3"/>
      <c r="UCV67" s="3"/>
      <c r="UCW67" s="3"/>
      <c r="UCX67" s="3"/>
      <c r="UCY67" s="3"/>
      <c r="UCZ67" s="3"/>
      <c r="UDA67" s="3"/>
      <c r="UDB67" s="3"/>
      <c r="UDC67" s="3"/>
      <c r="UDD67" s="3"/>
      <c r="UDE67" s="3"/>
      <c r="UDF67" s="3"/>
      <c r="UDG67" s="3"/>
      <c r="UDH67" s="3"/>
      <c r="UDI67" s="3"/>
      <c r="UDJ67" s="3"/>
      <c r="UDK67" s="3"/>
      <c r="UDL67" s="3"/>
      <c r="UDM67" s="3"/>
      <c r="UDN67" s="3"/>
      <c r="UDO67" s="3"/>
      <c r="UDP67" s="3"/>
      <c r="UDQ67" s="3"/>
      <c r="UDR67" s="3"/>
      <c r="UDS67" s="3"/>
      <c r="UDT67" s="3"/>
      <c r="UDU67" s="3"/>
      <c r="UDV67" s="3"/>
      <c r="UDW67" s="3"/>
      <c r="UDX67" s="3"/>
      <c r="UDY67" s="3"/>
      <c r="UDZ67" s="3"/>
      <c r="UEA67" s="3"/>
      <c r="UEB67" s="3"/>
      <c r="UEC67" s="3"/>
      <c r="UED67" s="3"/>
      <c r="UEE67" s="3"/>
      <c r="UEF67" s="3"/>
      <c r="UEG67" s="3"/>
      <c r="UEH67" s="3"/>
      <c r="UEI67" s="3"/>
      <c r="UEJ67" s="3"/>
      <c r="UEK67" s="3"/>
      <c r="UEL67" s="3"/>
      <c r="UEM67" s="3"/>
      <c r="UEN67" s="3"/>
      <c r="UEO67" s="3"/>
      <c r="UEP67" s="3"/>
      <c r="UEQ67" s="3"/>
      <c r="UER67" s="3"/>
      <c r="UES67" s="3"/>
      <c r="UET67" s="3"/>
      <c r="UEU67" s="3"/>
      <c r="UEV67" s="3"/>
      <c r="UEW67" s="3"/>
      <c r="UEX67" s="3"/>
      <c r="UEY67" s="3"/>
      <c r="UEZ67" s="3"/>
      <c r="UFA67" s="3"/>
      <c r="UFB67" s="3"/>
      <c r="UFC67" s="3"/>
      <c r="UFD67" s="3"/>
      <c r="UFE67" s="3"/>
      <c r="UFF67" s="3"/>
      <c r="UFG67" s="3"/>
      <c r="UFH67" s="3"/>
      <c r="UFI67" s="3"/>
      <c r="UFJ67" s="3"/>
      <c r="UFK67" s="3"/>
      <c r="UFL67" s="3"/>
      <c r="UFM67" s="3"/>
      <c r="UFN67" s="3"/>
      <c r="UFO67" s="3"/>
      <c r="UFP67" s="3"/>
      <c r="UFQ67" s="3"/>
      <c r="UFR67" s="3"/>
      <c r="UFS67" s="3"/>
      <c r="UFT67" s="3"/>
      <c r="UFU67" s="3"/>
      <c r="UFV67" s="3"/>
      <c r="UFW67" s="3"/>
      <c r="UFX67" s="3"/>
      <c r="UFY67" s="3"/>
      <c r="UFZ67" s="3"/>
      <c r="UGA67" s="3"/>
      <c r="UGB67" s="3"/>
      <c r="UGC67" s="3"/>
      <c r="UGD67" s="3"/>
      <c r="UGE67" s="3"/>
      <c r="UGF67" s="3"/>
      <c r="UGG67" s="3"/>
      <c r="UGH67" s="3"/>
      <c r="UGI67" s="3"/>
      <c r="UGJ67" s="3"/>
      <c r="UGK67" s="3"/>
      <c r="UGL67" s="3"/>
      <c r="UGM67" s="3"/>
      <c r="UGN67" s="3"/>
      <c r="UGO67" s="3"/>
      <c r="UGP67" s="3"/>
      <c r="UGQ67" s="3"/>
      <c r="UGR67" s="3"/>
      <c r="UGS67" s="3"/>
      <c r="UGT67" s="3"/>
      <c r="UGU67" s="3"/>
      <c r="UGV67" s="3"/>
      <c r="UGW67" s="3"/>
      <c r="UGX67" s="3"/>
      <c r="UGY67" s="3"/>
      <c r="UGZ67" s="3"/>
      <c r="UHA67" s="3"/>
      <c r="UHB67" s="3"/>
      <c r="UHC67" s="3"/>
      <c r="UHD67" s="3"/>
      <c r="UHE67" s="3"/>
      <c r="UHF67" s="3"/>
      <c r="UHG67" s="3"/>
      <c r="UHH67" s="3"/>
      <c r="UHI67" s="3"/>
      <c r="UHJ67" s="3"/>
      <c r="UHK67" s="3"/>
      <c r="UHL67" s="3"/>
      <c r="UHM67" s="3"/>
      <c r="UHN67" s="3"/>
      <c r="UHO67" s="3"/>
      <c r="UHP67" s="3"/>
      <c r="UHQ67" s="3"/>
      <c r="UHR67" s="3"/>
      <c r="UHS67" s="3"/>
      <c r="UHT67" s="3"/>
      <c r="UHU67" s="3"/>
      <c r="UHV67" s="3"/>
      <c r="UHW67" s="3"/>
      <c r="UHX67" s="3"/>
      <c r="UHY67" s="3"/>
      <c r="UHZ67" s="3"/>
      <c r="UIA67" s="3"/>
      <c r="UIB67" s="3"/>
      <c r="UIC67" s="3"/>
      <c r="UID67" s="3"/>
      <c r="UIE67" s="3"/>
      <c r="UIF67" s="3"/>
      <c r="UIG67" s="3"/>
      <c r="UIH67" s="3"/>
      <c r="UII67" s="3"/>
      <c r="UIJ67" s="3"/>
      <c r="UIK67" s="3"/>
      <c r="UIL67" s="3"/>
      <c r="UIM67" s="3"/>
      <c r="UIN67" s="3"/>
      <c r="UIO67" s="3"/>
      <c r="UIP67" s="3"/>
      <c r="UIQ67" s="3"/>
      <c r="UIR67" s="3"/>
      <c r="UIS67" s="3"/>
      <c r="UIT67" s="3"/>
      <c r="UIU67" s="3"/>
      <c r="UIV67" s="3"/>
      <c r="UIW67" s="3"/>
      <c r="UIX67" s="3"/>
      <c r="UIY67" s="3"/>
      <c r="UIZ67" s="3"/>
      <c r="UJA67" s="3"/>
      <c r="UJB67" s="3"/>
      <c r="UJC67" s="3"/>
      <c r="UJD67" s="3"/>
      <c r="UJE67" s="3"/>
      <c r="UJF67" s="3"/>
      <c r="UJG67" s="3"/>
      <c r="UJH67" s="3"/>
      <c r="UJI67" s="3"/>
      <c r="UJJ67" s="3"/>
      <c r="UJK67" s="3"/>
      <c r="UJL67" s="3"/>
      <c r="UJM67" s="3"/>
      <c r="UJN67" s="3"/>
      <c r="UJO67" s="3"/>
      <c r="UJP67" s="3"/>
      <c r="UJQ67" s="3"/>
      <c r="UJR67" s="3"/>
      <c r="UJS67" s="3"/>
      <c r="UJT67" s="3"/>
      <c r="UJU67" s="3"/>
      <c r="UJV67" s="3"/>
      <c r="UJW67" s="3"/>
      <c r="UJX67" s="3"/>
      <c r="UJY67" s="3"/>
      <c r="UJZ67" s="3"/>
      <c r="UKA67" s="3"/>
      <c r="UKB67" s="3"/>
      <c r="UKC67" s="3"/>
      <c r="UKD67" s="3"/>
      <c r="UKE67" s="3"/>
      <c r="UKF67" s="3"/>
      <c r="UKG67" s="3"/>
      <c r="UKH67" s="3"/>
      <c r="UKI67" s="3"/>
      <c r="UKJ67" s="3"/>
      <c r="UKK67" s="3"/>
      <c r="UKL67" s="3"/>
      <c r="UKM67" s="3"/>
      <c r="UKN67" s="3"/>
      <c r="UKO67" s="3"/>
      <c r="UKP67" s="3"/>
      <c r="UKQ67" s="3"/>
      <c r="UKR67" s="3"/>
      <c r="UKS67" s="3"/>
      <c r="UKT67" s="3"/>
      <c r="UKU67" s="3"/>
      <c r="UKV67" s="3"/>
      <c r="UKW67" s="3"/>
      <c r="UKX67" s="3"/>
      <c r="UKY67" s="3"/>
      <c r="UKZ67" s="3"/>
      <c r="ULA67" s="3"/>
      <c r="ULB67" s="3"/>
      <c r="ULC67" s="3"/>
      <c r="ULD67" s="3"/>
      <c r="ULE67" s="3"/>
      <c r="ULF67" s="3"/>
      <c r="ULG67" s="3"/>
      <c r="ULH67" s="3"/>
      <c r="ULI67" s="3"/>
      <c r="ULJ67" s="3"/>
      <c r="ULK67" s="3"/>
      <c r="ULL67" s="3"/>
      <c r="ULM67" s="3"/>
      <c r="ULN67" s="3"/>
      <c r="ULO67" s="3"/>
      <c r="ULP67" s="3"/>
      <c r="ULQ67" s="3"/>
      <c r="ULR67" s="3"/>
      <c r="ULS67" s="3"/>
      <c r="ULT67" s="3"/>
      <c r="ULU67" s="3"/>
      <c r="ULV67" s="3"/>
      <c r="ULW67" s="3"/>
      <c r="ULX67" s="3"/>
      <c r="ULY67" s="3"/>
      <c r="ULZ67" s="3"/>
      <c r="UMA67" s="3"/>
      <c r="UMB67" s="3"/>
      <c r="UMC67" s="3"/>
      <c r="UMD67" s="3"/>
      <c r="UME67" s="3"/>
      <c r="UMF67" s="3"/>
      <c r="UMG67" s="3"/>
      <c r="UMH67" s="3"/>
      <c r="UMI67" s="3"/>
      <c r="UMJ67" s="3"/>
      <c r="UMK67" s="3"/>
      <c r="UML67" s="3"/>
      <c r="UMM67" s="3"/>
      <c r="UMN67" s="3"/>
      <c r="UMO67" s="3"/>
      <c r="UMP67" s="3"/>
      <c r="UMQ67" s="3"/>
      <c r="UMR67" s="3"/>
      <c r="UMS67" s="3"/>
      <c r="UMT67" s="3"/>
      <c r="UMU67" s="3"/>
      <c r="UMV67" s="3"/>
      <c r="UMW67" s="3"/>
      <c r="UMX67" s="3"/>
      <c r="UMY67" s="3"/>
      <c r="UMZ67" s="3"/>
      <c r="UNA67" s="3"/>
      <c r="UNB67" s="3"/>
      <c r="UNC67" s="3"/>
      <c r="UND67" s="3"/>
      <c r="UNE67" s="3"/>
      <c r="UNF67" s="3"/>
      <c r="UNG67" s="3"/>
      <c r="UNH67" s="3"/>
      <c r="UNI67" s="3"/>
      <c r="UNJ67" s="3"/>
      <c r="UNK67" s="3"/>
      <c r="UNL67" s="3"/>
      <c r="UNM67" s="3"/>
      <c r="UNN67" s="3"/>
      <c r="UNO67" s="3"/>
      <c r="UNP67" s="3"/>
      <c r="UNQ67" s="3"/>
      <c r="UNR67" s="3"/>
      <c r="UNS67" s="3"/>
      <c r="UNT67" s="3"/>
      <c r="UNU67" s="3"/>
      <c r="UNV67" s="3"/>
      <c r="UNW67" s="3"/>
      <c r="UNX67" s="3"/>
      <c r="UNY67" s="3"/>
      <c r="UNZ67" s="3"/>
      <c r="UOA67" s="3"/>
      <c r="UOB67" s="3"/>
      <c r="UOC67" s="3"/>
      <c r="UOD67" s="3"/>
      <c r="UOE67" s="3"/>
      <c r="UOF67" s="3"/>
      <c r="UOG67" s="3"/>
      <c r="UOH67" s="3"/>
      <c r="UOI67" s="3"/>
      <c r="UOJ67" s="3"/>
      <c r="UOK67" s="3"/>
      <c r="UOL67" s="3"/>
      <c r="UOM67" s="3"/>
      <c r="UON67" s="3"/>
      <c r="UOO67" s="3"/>
      <c r="UOP67" s="3"/>
      <c r="UOQ67" s="3"/>
      <c r="UOR67" s="3"/>
      <c r="UOS67" s="3"/>
      <c r="UOT67" s="3"/>
      <c r="UOU67" s="3"/>
      <c r="UOV67" s="3"/>
      <c r="UOW67" s="3"/>
      <c r="UOX67" s="3"/>
      <c r="UOY67" s="3"/>
      <c r="UOZ67" s="3"/>
      <c r="UPA67" s="3"/>
      <c r="UPB67" s="3"/>
      <c r="UPC67" s="3"/>
      <c r="UPD67" s="3"/>
      <c r="UPE67" s="3"/>
      <c r="UPF67" s="3"/>
      <c r="UPG67" s="3"/>
      <c r="UPH67" s="3"/>
      <c r="UPI67" s="3"/>
      <c r="UPJ67" s="3"/>
      <c r="UPK67" s="3"/>
      <c r="UPL67" s="3"/>
      <c r="UPM67" s="3"/>
      <c r="UPN67" s="3"/>
      <c r="UPO67" s="3"/>
      <c r="UPP67" s="3"/>
      <c r="UPQ67" s="3"/>
      <c r="UPR67" s="3"/>
      <c r="UPS67" s="3"/>
      <c r="UPT67" s="3"/>
      <c r="UPU67" s="3"/>
      <c r="UPV67" s="3"/>
      <c r="UPW67" s="3"/>
      <c r="UPX67" s="3"/>
      <c r="UPY67" s="3"/>
      <c r="UPZ67" s="3"/>
      <c r="UQA67" s="3"/>
      <c r="UQB67" s="3"/>
      <c r="UQC67" s="3"/>
      <c r="UQD67" s="3"/>
      <c r="UQE67" s="3"/>
      <c r="UQF67" s="3"/>
      <c r="UQG67" s="3"/>
      <c r="UQH67" s="3"/>
      <c r="UQI67" s="3"/>
      <c r="UQJ67" s="3"/>
      <c r="UQK67" s="3"/>
      <c r="UQL67" s="3"/>
      <c r="UQM67" s="3"/>
      <c r="UQN67" s="3"/>
      <c r="UQO67" s="3"/>
      <c r="UQP67" s="3"/>
      <c r="UQQ67" s="3"/>
      <c r="UQR67" s="3"/>
      <c r="UQS67" s="3"/>
      <c r="UQT67" s="3"/>
      <c r="UQU67" s="3"/>
      <c r="UQV67" s="3"/>
      <c r="UQW67" s="3"/>
      <c r="UQX67" s="3"/>
      <c r="UQY67" s="3"/>
      <c r="UQZ67" s="3"/>
      <c r="URA67" s="3"/>
      <c r="URB67" s="3"/>
      <c r="URC67" s="3"/>
      <c r="URD67" s="3"/>
      <c r="URE67" s="3"/>
      <c r="URF67" s="3"/>
      <c r="URG67" s="3"/>
      <c r="URH67" s="3"/>
      <c r="URI67" s="3"/>
      <c r="URJ67" s="3"/>
      <c r="URK67" s="3"/>
      <c r="URL67" s="3"/>
      <c r="URM67" s="3"/>
      <c r="URN67" s="3"/>
      <c r="URO67" s="3"/>
      <c r="URP67" s="3"/>
      <c r="URQ67" s="3"/>
      <c r="URR67" s="3"/>
      <c r="URS67" s="3"/>
      <c r="URT67" s="3"/>
      <c r="URU67" s="3"/>
      <c r="URV67" s="3"/>
      <c r="URW67" s="3"/>
      <c r="URX67" s="3"/>
      <c r="URY67" s="3"/>
      <c r="URZ67" s="3"/>
      <c r="USA67" s="3"/>
      <c r="USB67" s="3"/>
      <c r="USC67" s="3"/>
      <c r="USD67" s="3"/>
      <c r="USE67" s="3"/>
      <c r="USF67" s="3"/>
      <c r="USG67" s="3"/>
      <c r="USH67" s="3"/>
      <c r="USI67" s="3"/>
      <c r="USJ67" s="3"/>
      <c r="USK67" s="3"/>
      <c r="USL67" s="3"/>
      <c r="USM67" s="3"/>
      <c r="USN67" s="3"/>
      <c r="USO67" s="3"/>
      <c r="USP67" s="3"/>
      <c r="USQ67" s="3"/>
      <c r="USR67" s="3"/>
      <c r="USS67" s="3"/>
      <c r="UST67" s="3"/>
      <c r="USU67" s="3"/>
      <c r="USV67" s="3"/>
      <c r="USW67" s="3"/>
      <c r="USX67" s="3"/>
      <c r="USY67" s="3"/>
      <c r="USZ67" s="3"/>
      <c r="UTA67" s="3"/>
      <c r="UTB67" s="3"/>
      <c r="UTC67" s="3"/>
      <c r="UTD67" s="3"/>
      <c r="UTE67" s="3"/>
      <c r="UTF67" s="3"/>
      <c r="UTG67" s="3"/>
      <c r="UTH67" s="3"/>
      <c r="UTI67" s="3"/>
      <c r="UTJ67" s="3"/>
      <c r="UTK67" s="3"/>
      <c r="UTL67" s="3"/>
      <c r="UTM67" s="3"/>
      <c r="UTN67" s="3"/>
      <c r="UTO67" s="3"/>
      <c r="UTP67" s="3"/>
      <c r="UTQ67" s="3"/>
      <c r="UTR67" s="3"/>
      <c r="UTS67" s="3"/>
      <c r="UTT67" s="3"/>
      <c r="UTU67" s="3"/>
      <c r="UTV67" s="3"/>
      <c r="UTW67" s="3"/>
      <c r="UTX67" s="3"/>
      <c r="UTY67" s="3"/>
      <c r="UTZ67" s="3"/>
      <c r="UUA67" s="3"/>
      <c r="UUB67" s="3"/>
      <c r="UUC67" s="3"/>
      <c r="UUD67" s="3"/>
      <c r="UUE67" s="3"/>
      <c r="UUF67" s="3"/>
      <c r="UUG67" s="3"/>
      <c r="UUH67" s="3"/>
      <c r="UUI67" s="3"/>
      <c r="UUJ67" s="3"/>
      <c r="UUK67" s="3"/>
      <c r="UUL67" s="3"/>
      <c r="UUM67" s="3"/>
      <c r="UUN67" s="3"/>
      <c r="UUO67" s="3"/>
      <c r="UUP67" s="3"/>
      <c r="UUQ67" s="3"/>
      <c r="UUR67" s="3"/>
      <c r="UUS67" s="3"/>
      <c r="UUT67" s="3"/>
      <c r="UUU67" s="3"/>
      <c r="UUV67" s="3"/>
      <c r="UUW67" s="3"/>
      <c r="UUX67" s="3"/>
      <c r="UUY67" s="3"/>
      <c r="UUZ67" s="3"/>
      <c r="UVA67" s="3"/>
      <c r="UVB67" s="3"/>
      <c r="UVC67" s="3"/>
      <c r="UVD67" s="3"/>
      <c r="UVE67" s="3"/>
      <c r="UVF67" s="3"/>
      <c r="UVG67" s="3"/>
      <c r="UVH67" s="3"/>
      <c r="UVI67" s="3"/>
      <c r="UVJ67" s="3"/>
      <c r="UVK67" s="3"/>
      <c r="UVL67" s="3"/>
      <c r="UVM67" s="3"/>
      <c r="UVN67" s="3"/>
      <c r="UVO67" s="3"/>
      <c r="UVP67" s="3"/>
      <c r="UVQ67" s="3"/>
      <c r="UVR67" s="3"/>
      <c r="UVS67" s="3"/>
      <c r="UVT67" s="3"/>
      <c r="UVU67" s="3"/>
      <c r="UVV67" s="3"/>
      <c r="UVW67" s="3"/>
      <c r="UVX67" s="3"/>
      <c r="UVY67" s="3"/>
      <c r="UVZ67" s="3"/>
      <c r="UWA67" s="3"/>
      <c r="UWB67" s="3"/>
      <c r="UWC67" s="3"/>
      <c r="UWD67" s="3"/>
      <c r="UWE67" s="3"/>
      <c r="UWF67" s="3"/>
      <c r="UWG67" s="3"/>
      <c r="UWH67" s="3"/>
      <c r="UWI67" s="3"/>
      <c r="UWJ67" s="3"/>
      <c r="UWK67" s="3"/>
      <c r="UWL67" s="3"/>
      <c r="UWM67" s="3"/>
      <c r="UWN67" s="3"/>
      <c r="UWO67" s="3"/>
      <c r="UWP67" s="3"/>
      <c r="UWQ67" s="3"/>
      <c r="UWR67" s="3"/>
      <c r="UWS67" s="3"/>
      <c r="UWT67" s="3"/>
      <c r="UWU67" s="3"/>
      <c r="UWV67" s="3"/>
      <c r="UWW67" s="3"/>
      <c r="UWX67" s="3"/>
      <c r="UWY67" s="3"/>
      <c r="UWZ67" s="3"/>
      <c r="UXA67" s="3"/>
      <c r="UXB67" s="3"/>
      <c r="UXC67" s="3"/>
      <c r="UXD67" s="3"/>
      <c r="UXE67" s="3"/>
      <c r="UXF67" s="3"/>
      <c r="UXG67" s="3"/>
      <c r="UXH67" s="3"/>
      <c r="UXI67" s="3"/>
      <c r="UXJ67" s="3"/>
      <c r="UXK67" s="3"/>
      <c r="UXL67" s="3"/>
      <c r="UXM67" s="3"/>
      <c r="UXN67" s="3"/>
      <c r="UXO67" s="3"/>
      <c r="UXP67" s="3"/>
      <c r="UXQ67" s="3"/>
      <c r="UXR67" s="3"/>
      <c r="UXS67" s="3"/>
      <c r="UXT67" s="3"/>
      <c r="UXU67" s="3"/>
      <c r="UXV67" s="3"/>
      <c r="UXW67" s="3"/>
      <c r="UXX67" s="3"/>
      <c r="UXY67" s="3"/>
      <c r="UXZ67" s="3"/>
      <c r="UYA67" s="3"/>
      <c r="UYB67" s="3"/>
      <c r="UYC67" s="3"/>
      <c r="UYD67" s="3"/>
      <c r="UYE67" s="3"/>
      <c r="UYF67" s="3"/>
      <c r="UYG67" s="3"/>
      <c r="UYH67" s="3"/>
      <c r="UYI67" s="3"/>
      <c r="UYJ67" s="3"/>
      <c r="UYK67" s="3"/>
      <c r="UYL67" s="3"/>
      <c r="UYM67" s="3"/>
      <c r="UYN67" s="3"/>
      <c r="UYO67" s="3"/>
      <c r="UYP67" s="3"/>
      <c r="UYQ67" s="3"/>
      <c r="UYR67" s="3"/>
      <c r="UYS67" s="3"/>
      <c r="UYT67" s="3"/>
      <c r="UYU67" s="3"/>
      <c r="UYV67" s="3"/>
      <c r="UYW67" s="3"/>
      <c r="UYX67" s="3"/>
      <c r="UYY67" s="3"/>
      <c r="UYZ67" s="3"/>
      <c r="UZA67" s="3"/>
      <c r="UZB67" s="3"/>
      <c r="UZC67" s="3"/>
      <c r="UZD67" s="3"/>
      <c r="UZE67" s="3"/>
      <c r="UZF67" s="3"/>
      <c r="UZG67" s="3"/>
      <c r="UZH67" s="3"/>
      <c r="UZI67" s="3"/>
      <c r="UZJ67" s="3"/>
      <c r="UZK67" s="3"/>
      <c r="UZL67" s="3"/>
      <c r="UZM67" s="3"/>
      <c r="UZN67" s="3"/>
      <c r="UZO67" s="3"/>
      <c r="UZP67" s="3"/>
      <c r="UZQ67" s="3"/>
      <c r="UZR67" s="3"/>
      <c r="UZS67" s="3"/>
      <c r="UZT67" s="3"/>
      <c r="UZU67" s="3"/>
      <c r="UZV67" s="3"/>
      <c r="UZW67" s="3"/>
      <c r="UZX67" s="3"/>
      <c r="UZY67" s="3"/>
      <c r="UZZ67" s="3"/>
      <c r="VAA67" s="3"/>
      <c r="VAB67" s="3"/>
      <c r="VAC67" s="3"/>
      <c r="VAD67" s="3"/>
      <c r="VAE67" s="3"/>
      <c r="VAF67" s="3"/>
      <c r="VAG67" s="3"/>
      <c r="VAH67" s="3"/>
      <c r="VAI67" s="3"/>
      <c r="VAJ67" s="3"/>
      <c r="VAK67" s="3"/>
      <c r="VAL67" s="3"/>
      <c r="VAM67" s="3"/>
      <c r="VAN67" s="3"/>
      <c r="VAO67" s="3"/>
      <c r="VAP67" s="3"/>
      <c r="VAQ67" s="3"/>
      <c r="VAR67" s="3"/>
      <c r="VAS67" s="3"/>
      <c r="VAT67" s="3"/>
      <c r="VAU67" s="3"/>
      <c r="VAV67" s="3"/>
      <c r="VAW67" s="3"/>
      <c r="VAX67" s="3"/>
      <c r="VAY67" s="3"/>
      <c r="VAZ67" s="3"/>
      <c r="VBA67" s="3"/>
      <c r="VBB67" s="3"/>
      <c r="VBC67" s="3"/>
      <c r="VBD67" s="3"/>
      <c r="VBE67" s="3"/>
      <c r="VBF67" s="3"/>
      <c r="VBG67" s="3"/>
      <c r="VBH67" s="3"/>
      <c r="VBI67" s="3"/>
      <c r="VBJ67" s="3"/>
      <c r="VBK67" s="3"/>
      <c r="VBL67" s="3"/>
      <c r="VBM67" s="3"/>
      <c r="VBN67" s="3"/>
      <c r="VBO67" s="3"/>
      <c r="VBP67" s="3"/>
      <c r="VBQ67" s="3"/>
      <c r="VBR67" s="3"/>
      <c r="VBS67" s="3"/>
      <c r="VBT67" s="3"/>
      <c r="VBU67" s="3"/>
      <c r="VBV67" s="3"/>
      <c r="VBW67" s="3"/>
      <c r="VBX67" s="3"/>
      <c r="VBY67" s="3"/>
      <c r="VBZ67" s="3"/>
      <c r="VCA67" s="3"/>
      <c r="VCB67" s="3"/>
      <c r="VCC67" s="3"/>
      <c r="VCD67" s="3"/>
      <c r="VCE67" s="3"/>
      <c r="VCF67" s="3"/>
      <c r="VCG67" s="3"/>
      <c r="VCH67" s="3"/>
      <c r="VCI67" s="3"/>
      <c r="VCJ67" s="3"/>
      <c r="VCK67" s="3"/>
      <c r="VCL67" s="3"/>
      <c r="VCM67" s="3"/>
      <c r="VCN67" s="3"/>
      <c r="VCO67" s="3"/>
      <c r="VCP67" s="3"/>
      <c r="VCQ67" s="3"/>
      <c r="VCR67" s="3"/>
      <c r="VCS67" s="3"/>
      <c r="VCT67" s="3"/>
      <c r="VCU67" s="3"/>
      <c r="VCV67" s="3"/>
      <c r="VCW67" s="3"/>
      <c r="VCX67" s="3"/>
      <c r="VCY67" s="3"/>
      <c r="VCZ67" s="3"/>
      <c r="VDA67" s="3"/>
      <c r="VDB67" s="3"/>
      <c r="VDC67" s="3"/>
      <c r="VDD67" s="3"/>
      <c r="VDE67" s="3"/>
      <c r="VDF67" s="3"/>
      <c r="VDG67" s="3"/>
      <c r="VDH67" s="3"/>
      <c r="VDI67" s="3"/>
      <c r="VDJ67" s="3"/>
      <c r="VDK67" s="3"/>
      <c r="VDL67" s="3"/>
      <c r="VDM67" s="3"/>
      <c r="VDN67" s="3"/>
      <c r="VDO67" s="3"/>
      <c r="VDP67" s="3"/>
      <c r="VDQ67" s="3"/>
      <c r="VDR67" s="3"/>
      <c r="VDS67" s="3"/>
      <c r="VDT67" s="3"/>
      <c r="VDU67" s="3"/>
      <c r="VDV67" s="3"/>
      <c r="VDW67" s="3"/>
      <c r="VDX67" s="3"/>
      <c r="VDY67" s="3"/>
      <c r="VDZ67" s="3"/>
      <c r="VEA67" s="3"/>
      <c r="VEB67" s="3"/>
      <c r="VEC67" s="3"/>
      <c r="VED67" s="3"/>
      <c r="VEE67" s="3"/>
      <c r="VEF67" s="3"/>
      <c r="VEG67" s="3"/>
      <c r="VEH67" s="3"/>
      <c r="VEI67" s="3"/>
      <c r="VEJ67" s="3"/>
      <c r="VEK67" s="3"/>
      <c r="VEL67" s="3"/>
      <c r="VEM67" s="3"/>
      <c r="VEN67" s="3"/>
      <c r="VEO67" s="3"/>
      <c r="VEP67" s="3"/>
      <c r="VEQ67" s="3"/>
      <c r="VER67" s="3"/>
      <c r="VES67" s="3"/>
      <c r="VET67" s="3"/>
      <c r="VEU67" s="3"/>
      <c r="VEV67" s="3"/>
      <c r="VEW67" s="3"/>
      <c r="VEX67" s="3"/>
      <c r="VEY67" s="3"/>
      <c r="VEZ67" s="3"/>
      <c r="VFA67" s="3"/>
      <c r="VFB67" s="3"/>
      <c r="VFC67" s="3"/>
      <c r="VFD67" s="3"/>
      <c r="VFE67" s="3"/>
      <c r="VFF67" s="3"/>
      <c r="VFG67" s="3"/>
      <c r="VFH67" s="3"/>
      <c r="VFI67" s="3"/>
      <c r="VFJ67" s="3"/>
      <c r="VFK67" s="3"/>
      <c r="VFL67" s="3"/>
      <c r="VFM67" s="3"/>
      <c r="VFN67" s="3"/>
      <c r="VFO67" s="3"/>
      <c r="VFP67" s="3"/>
      <c r="VFQ67" s="3"/>
      <c r="VFR67" s="3"/>
      <c r="VFS67" s="3"/>
      <c r="VFT67" s="3"/>
      <c r="VFU67" s="3"/>
      <c r="VFV67" s="3"/>
      <c r="VFW67" s="3"/>
      <c r="VFX67" s="3"/>
      <c r="VFY67" s="3"/>
      <c r="VFZ67" s="3"/>
      <c r="VGA67" s="3"/>
      <c r="VGB67" s="3"/>
      <c r="VGC67" s="3"/>
      <c r="VGD67" s="3"/>
      <c r="VGE67" s="3"/>
      <c r="VGF67" s="3"/>
      <c r="VGG67" s="3"/>
      <c r="VGH67" s="3"/>
      <c r="VGI67" s="3"/>
      <c r="VGJ67" s="3"/>
      <c r="VGK67" s="3"/>
      <c r="VGL67" s="3"/>
      <c r="VGM67" s="3"/>
      <c r="VGN67" s="3"/>
      <c r="VGO67" s="3"/>
      <c r="VGP67" s="3"/>
      <c r="VGQ67" s="3"/>
      <c r="VGR67" s="3"/>
      <c r="VGS67" s="3"/>
      <c r="VGT67" s="3"/>
      <c r="VGU67" s="3"/>
      <c r="VGV67" s="3"/>
      <c r="VGW67" s="3"/>
      <c r="VGX67" s="3"/>
      <c r="VGY67" s="3"/>
      <c r="VGZ67" s="3"/>
      <c r="VHA67" s="3"/>
      <c r="VHB67" s="3"/>
      <c r="VHC67" s="3"/>
      <c r="VHD67" s="3"/>
      <c r="VHE67" s="3"/>
      <c r="VHF67" s="3"/>
      <c r="VHG67" s="3"/>
      <c r="VHH67" s="3"/>
      <c r="VHI67" s="3"/>
      <c r="VHJ67" s="3"/>
      <c r="VHK67" s="3"/>
      <c r="VHL67" s="3"/>
      <c r="VHM67" s="3"/>
      <c r="VHN67" s="3"/>
      <c r="VHO67" s="3"/>
      <c r="VHP67" s="3"/>
      <c r="VHQ67" s="3"/>
      <c r="VHR67" s="3"/>
      <c r="VHS67" s="3"/>
      <c r="VHT67" s="3"/>
      <c r="VHU67" s="3"/>
      <c r="VHV67" s="3"/>
      <c r="VHW67" s="3"/>
      <c r="VHX67" s="3"/>
      <c r="VHY67" s="3"/>
      <c r="VHZ67" s="3"/>
      <c r="VIA67" s="3"/>
      <c r="VIB67" s="3"/>
      <c r="VIC67" s="3"/>
      <c r="VID67" s="3"/>
      <c r="VIE67" s="3"/>
      <c r="VIF67" s="3"/>
      <c r="VIG67" s="3"/>
      <c r="VIH67" s="3"/>
      <c r="VII67" s="3"/>
      <c r="VIJ67" s="3"/>
      <c r="VIK67" s="3"/>
      <c r="VIL67" s="3"/>
      <c r="VIM67" s="3"/>
      <c r="VIN67" s="3"/>
      <c r="VIO67" s="3"/>
      <c r="VIP67" s="3"/>
      <c r="VIQ67" s="3"/>
      <c r="VIR67" s="3"/>
      <c r="VIS67" s="3"/>
      <c r="VIT67" s="3"/>
      <c r="VIU67" s="3"/>
      <c r="VIV67" s="3"/>
      <c r="VIW67" s="3"/>
      <c r="VIX67" s="3"/>
      <c r="VIY67" s="3"/>
      <c r="VIZ67" s="3"/>
      <c r="VJA67" s="3"/>
      <c r="VJB67" s="3"/>
      <c r="VJC67" s="3"/>
      <c r="VJD67" s="3"/>
      <c r="VJE67" s="3"/>
      <c r="VJF67" s="3"/>
      <c r="VJG67" s="3"/>
      <c r="VJH67" s="3"/>
      <c r="VJI67" s="3"/>
      <c r="VJJ67" s="3"/>
      <c r="VJK67" s="3"/>
      <c r="VJL67" s="3"/>
      <c r="VJM67" s="3"/>
      <c r="VJN67" s="3"/>
      <c r="VJO67" s="3"/>
      <c r="VJP67" s="3"/>
      <c r="VJQ67" s="3"/>
      <c r="VJR67" s="3"/>
      <c r="VJS67" s="3"/>
      <c r="VJT67" s="3"/>
      <c r="VJU67" s="3"/>
      <c r="VJV67" s="3"/>
      <c r="VJW67" s="3"/>
      <c r="VJX67" s="3"/>
      <c r="VJY67" s="3"/>
      <c r="VJZ67" s="3"/>
      <c r="VKA67" s="3"/>
      <c r="VKB67" s="3"/>
      <c r="VKC67" s="3"/>
      <c r="VKD67" s="3"/>
      <c r="VKE67" s="3"/>
      <c r="VKF67" s="3"/>
      <c r="VKG67" s="3"/>
      <c r="VKH67" s="3"/>
      <c r="VKI67" s="3"/>
      <c r="VKJ67" s="3"/>
      <c r="VKK67" s="3"/>
      <c r="VKL67" s="3"/>
      <c r="VKM67" s="3"/>
      <c r="VKN67" s="3"/>
      <c r="VKO67" s="3"/>
      <c r="VKP67" s="3"/>
      <c r="VKQ67" s="3"/>
      <c r="VKR67" s="3"/>
      <c r="VKS67" s="3"/>
      <c r="VKT67" s="3"/>
      <c r="VKU67" s="3"/>
      <c r="VKV67" s="3"/>
      <c r="VKW67" s="3"/>
      <c r="VKX67" s="3"/>
      <c r="VKY67" s="3"/>
      <c r="VKZ67" s="3"/>
      <c r="VLA67" s="3"/>
      <c r="VLB67" s="3"/>
      <c r="VLC67" s="3"/>
      <c r="VLD67" s="3"/>
      <c r="VLE67" s="3"/>
      <c r="VLF67" s="3"/>
      <c r="VLG67" s="3"/>
      <c r="VLH67" s="3"/>
      <c r="VLI67" s="3"/>
      <c r="VLJ67" s="3"/>
      <c r="VLK67" s="3"/>
      <c r="VLL67" s="3"/>
      <c r="VLM67" s="3"/>
      <c r="VLN67" s="3"/>
      <c r="VLO67" s="3"/>
      <c r="VLP67" s="3"/>
      <c r="VLQ67" s="3"/>
      <c r="VLR67" s="3"/>
      <c r="VLS67" s="3"/>
      <c r="VLT67" s="3"/>
      <c r="VLU67" s="3"/>
      <c r="VLV67" s="3"/>
      <c r="VLW67" s="3"/>
      <c r="VLX67" s="3"/>
      <c r="VLY67" s="3"/>
      <c r="VLZ67" s="3"/>
      <c r="VMA67" s="3"/>
      <c r="VMB67" s="3"/>
      <c r="VMC67" s="3"/>
      <c r="VMD67" s="3"/>
      <c r="VME67" s="3"/>
      <c r="VMF67" s="3"/>
      <c r="VMG67" s="3"/>
      <c r="VMH67" s="3"/>
      <c r="VMI67" s="3"/>
      <c r="VMJ67" s="3"/>
      <c r="VMK67" s="3"/>
      <c r="VML67" s="3"/>
      <c r="VMM67" s="3"/>
      <c r="VMN67" s="3"/>
      <c r="VMO67" s="3"/>
      <c r="VMP67" s="3"/>
      <c r="VMQ67" s="3"/>
      <c r="VMR67" s="3"/>
      <c r="VMS67" s="3"/>
      <c r="VMT67" s="3"/>
      <c r="VMU67" s="3"/>
      <c r="VMV67" s="3"/>
      <c r="VMW67" s="3"/>
      <c r="VMX67" s="3"/>
      <c r="VMY67" s="3"/>
      <c r="VMZ67" s="3"/>
      <c r="VNA67" s="3"/>
      <c r="VNB67" s="3"/>
      <c r="VNC67" s="3"/>
      <c r="VND67" s="3"/>
      <c r="VNE67" s="3"/>
      <c r="VNF67" s="3"/>
      <c r="VNG67" s="3"/>
      <c r="VNH67" s="3"/>
      <c r="VNI67" s="3"/>
      <c r="VNJ67" s="3"/>
      <c r="VNK67" s="3"/>
      <c r="VNL67" s="3"/>
      <c r="VNM67" s="3"/>
      <c r="VNN67" s="3"/>
      <c r="VNO67" s="3"/>
      <c r="VNP67" s="3"/>
      <c r="VNQ67" s="3"/>
      <c r="VNR67" s="3"/>
      <c r="VNS67" s="3"/>
      <c r="VNT67" s="3"/>
      <c r="VNU67" s="3"/>
      <c r="VNV67" s="3"/>
      <c r="VNW67" s="3"/>
      <c r="VNX67" s="3"/>
      <c r="VNY67" s="3"/>
      <c r="VNZ67" s="3"/>
      <c r="VOA67" s="3"/>
      <c r="VOB67" s="3"/>
      <c r="VOC67" s="3"/>
      <c r="VOD67" s="3"/>
      <c r="VOE67" s="3"/>
      <c r="VOF67" s="3"/>
      <c r="VOG67" s="3"/>
      <c r="VOH67" s="3"/>
      <c r="VOI67" s="3"/>
      <c r="VOJ67" s="3"/>
      <c r="VOK67" s="3"/>
      <c r="VOL67" s="3"/>
      <c r="VOM67" s="3"/>
      <c r="VON67" s="3"/>
      <c r="VOO67" s="3"/>
      <c r="VOP67" s="3"/>
      <c r="VOQ67" s="3"/>
      <c r="VOR67" s="3"/>
      <c r="VOS67" s="3"/>
      <c r="VOT67" s="3"/>
      <c r="VOU67" s="3"/>
      <c r="VOV67" s="3"/>
      <c r="VOW67" s="3"/>
      <c r="VOX67" s="3"/>
      <c r="VOY67" s="3"/>
      <c r="VOZ67" s="3"/>
      <c r="VPA67" s="3"/>
      <c r="VPB67" s="3"/>
      <c r="VPC67" s="3"/>
      <c r="VPD67" s="3"/>
      <c r="VPE67" s="3"/>
      <c r="VPF67" s="3"/>
      <c r="VPG67" s="3"/>
      <c r="VPH67" s="3"/>
      <c r="VPI67" s="3"/>
      <c r="VPJ67" s="3"/>
      <c r="VPK67" s="3"/>
      <c r="VPL67" s="3"/>
      <c r="VPM67" s="3"/>
      <c r="VPN67" s="3"/>
      <c r="VPO67" s="3"/>
      <c r="VPP67" s="3"/>
      <c r="VPQ67" s="3"/>
      <c r="VPR67" s="3"/>
      <c r="VPS67" s="3"/>
      <c r="VPT67" s="3"/>
      <c r="VPU67" s="3"/>
      <c r="VPV67" s="3"/>
      <c r="VPW67" s="3"/>
      <c r="VPX67" s="3"/>
      <c r="VPY67" s="3"/>
      <c r="VPZ67" s="3"/>
      <c r="VQA67" s="3"/>
      <c r="VQB67" s="3"/>
      <c r="VQC67" s="3"/>
      <c r="VQD67" s="3"/>
      <c r="VQE67" s="3"/>
      <c r="VQF67" s="3"/>
      <c r="VQG67" s="3"/>
      <c r="VQH67" s="3"/>
      <c r="VQI67" s="3"/>
      <c r="VQJ67" s="3"/>
      <c r="VQK67" s="3"/>
      <c r="VQL67" s="3"/>
      <c r="VQM67" s="3"/>
      <c r="VQN67" s="3"/>
      <c r="VQO67" s="3"/>
      <c r="VQP67" s="3"/>
      <c r="VQQ67" s="3"/>
      <c r="VQR67" s="3"/>
      <c r="VQS67" s="3"/>
      <c r="VQT67" s="3"/>
      <c r="VQU67" s="3"/>
      <c r="VQV67" s="3"/>
      <c r="VQW67" s="3"/>
      <c r="VQX67" s="3"/>
      <c r="VQY67" s="3"/>
      <c r="VQZ67" s="3"/>
      <c r="VRA67" s="3"/>
      <c r="VRB67" s="3"/>
      <c r="VRC67" s="3"/>
      <c r="VRD67" s="3"/>
      <c r="VRE67" s="3"/>
      <c r="VRF67" s="3"/>
      <c r="VRG67" s="3"/>
      <c r="VRH67" s="3"/>
      <c r="VRI67" s="3"/>
      <c r="VRJ67" s="3"/>
      <c r="VRK67" s="3"/>
      <c r="VRL67" s="3"/>
      <c r="VRM67" s="3"/>
      <c r="VRN67" s="3"/>
      <c r="VRO67" s="3"/>
      <c r="VRP67" s="3"/>
      <c r="VRQ67" s="3"/>
      <c r="VRR67" s="3"/>
      <c r="VRS67" s="3"/>
      <c r="VRT67" s="3"/>
      <c r="VRU67" s="3"/>
      <c r="VRV67" s="3"/>
      <c r="VRW67" s="3"/>
      <c r="VRX67" s="3"/>
      <c r="VRY67" s="3"/>
      <c r="VRZ67" s="3"/>
      <c r="VSA67" s="3"/>
      <c r="VSB67" s="3"/>
      <c r="VSC67" s="3"/>
      <c r="VSD67" s="3"/>
      <c r="VSE67" s="3"/>
      <c r="VSF67" s="3"/>
      <c r="VSG67" s="3"/>
      <c r="VSH67" s="3"/>
      <c r="VSI67" s="3"/>
      <c r="VSJ67" s="3"/>
      <c r="VSK67" s="3"/>
      <c r="VSL67" s="3"/>
      <c r="VSM67" s="3"/>
      <c r="VSN67" s="3"/>
      <c r="VSO67" s="3"/>
      <c r="VSP67" s="3"/>
      <c r="VSQ67" s="3"/>
      <c r="VSR67" s="3"/>
      <c r="VSS67" s="3"/>
      <c r="VST67" s="3"/>
      <c r="VSU67" s="3"/>
      <c r="VSV67" s="3"/>
      <c r="VSW67" s="3"/>
      <c r="VSX67" s="3"/>
      <c r="VSY67" s="3"/>
      <c r="VSZ67" s="3"/>
      <c r="VTA67" s="3"/>
      <c r="VTB67" s="3"/>
      <c r="VTC67" s="3"/>
      <c r="VTD67" s="3"/>
      <c r="VTE67" s="3"/>
      <c r="VTF67" s="3"/>
      <c r="VTG67" s="3"/>
      <c r="VTH67" s="3"/>
      <c r="VTI67" s="3"/>
      <c r="VTJ67" s="3"/>
      <c r="VTK67" s="3"/>
      <c r="VTL67" s="3"/>
      <c r="VTM67" s="3"/>
      <c r="VTN67" s="3"/>
      <c r="VTO67" s="3"/>
      <c r="VTP67" s="3"/>
      <c r="VTQ67" s="3"/>
      <c r="VTR67" s="3"/>
      <c r="VTS67" s="3"/>
      <c r="VTT67" s="3"/>
      <c r="VTU67" s="3"/>
      <c r="VTV67" s="3"/>
      <c r="VTW67" s="3"/>
      <c r="VTX67" s="3"/>
      <c r="VTY67" s="3"/>
      <c r="VTZ67" s="3"/>
      <c r="VUA67" s="3"/>
      <c r="VUB67" s="3"/>
      <c r="VUC67" s="3"/>
      <c r="VUD67" s="3"/>
      <c r="VUE67" s="3"/>
      <c r="VUF67" s="3"/>
      <c r="VUG67" s="3"/>
      <c r="VUH67" s="3"/>
      <c r="VUI67" s="3"/>
      <c r="VUJ67" s="3"/>
      <c r="VUK67" s="3"/>
      <c r="VUL67" s="3"/>
      <c r="VUM67" s="3"/>
      <c r="VUN67" s="3"/>
      <c r="VUO67" s="3"/>
      <c r="VUP67" s="3"/>
      <c r="VUQ67" s="3"/>
      <c r="VUR67" s="3"/>
      <c r="VUS67" s="3"/>
      <c r="VUT67" s="3"/>
      <c r="VUU67" s="3"/>
      <c r="VUV67" s="3"/>
      <c r="VUW67" s="3"/>
      <c r="VUX67" s="3"/>
      <c r="VUY67" s="3"/>
      <c r="VUZ67" s="3"/>
      <c r="VVA67" s="3"/>
      <c r="VVB67" s="3"/>
      <c r="VVC67" s="3"/>
      <c r="VVD67" s="3"/>
      <c r="VVE67" s="3"/>
      <c r="VVF67" s="3"/>
      <c r="VVG67" s="3"/>
      <c r="VVH67" s="3"/>
      <c r="VVI67" s="3"/>
      <c r="VVJ67" s="3"/>
      <c r="VVK67" s="3"/>
      <c r="VVL67" s="3"/>
      <c r="VVM67" s="3"/>
      <c r="VVN67" s="3"/>
      <c r="VVO67" s="3"/>
      <c r="VVP67" s="3"/>
      <c r="VVQ67" s="3"/>
      <c r="VVR67" s="3"/>
      <c r="VVS67" s="3"/>
      <c r="VVT67" s="3"/>
      <c r="VVU67" s="3"/>
      <c r="VVV67" s="3"/>
      <c r="VVW67" s="3"/>
      <c r="VVX67" s="3"/>
      <c r="VVY67" s="3"/>
      <c r="VVZ67" s="3"/>
      <c r="VWA67" s="3"/>
      <c r="VWB67" s="3"/>
      <c r="VWC67" s="3"/>
      <c r="VWD67" s="3"/>
      <c r="VWE67" s="3"/>
      <c r="VWF67" s="3"/>
      <c r="VWG67" s="3"/>
      <c r="VWH67" s="3"/>
      <c r="VWI67" s="3"/>
      <c r="VWJ67" s="3"/>
      <c r="VWK67" s="3"/>
      <c r="VWL67" s="3"/>
      <c r="VWM67" s="3"/>
      <c r="VWN67" s="3"/>
      <c r="VWO67" s="3"/>
      <c r="VWP67" s="3"/>
      <c r="VWQ67" s="3"/>
      <c r="VWR67" s="3"/>
      <c r="VWS67" s="3"/>
      <c r="VWT67" s="3"/>
      <c r="VWU67" s="3"/>
      <c r="VWV67" s="3"/>
      <c r="VWW67" s="3"/>
      <c r="VWX67" s="3"/>
      <c r="VWY67" s="3"/>
      <c r="VWZ67" s="3"/>
      <c r="VXA67" s="3"/>
      <c r="VXB67" s="3"/>
      <c r="VXC67" s="3"/>
      <c r="VXD67" s="3"/>
      <c r="VXE67" s="3"/>
      <c r="VXF67" s="3"/>
      <c r="VXG67" s="3"/>
      <c r="VXH67" s="3"/>
      <c r="VXI67" s="3"/>
      <c r="VXJ67" s="3"/>
      <c r="VXK67" s="3"/>
      <c r="VXL67" s="3"/>
      <c r="VXM67" s="3"/>
      <c r="VXN67" s="3"/>
      <c r="VXO67" s="3"/>
      <c r="VXP67" s="3"/>
      <c r="VXQ67" s="3"/>
      <c r="VXR67" s="3"/>
      <c r="VXS67" s="3"/>
      <c r="VXT67" s="3"/>
      <c r="VXU67" s="3"/>
      <c r="VXV67" s="3"/>
      <c r="VXW67" s="3"/>
      <c r="VXX67" s="3"/>
      <c r="VXY67" s="3"/>
      <c r="VXZ67" s="3"/>
      <c r="VYA67" s="3"/>
      <c r="VYB67" s="3"/>
      <c r="VYC67" s="3"/>
      <c r="VYD67" s="3"/>
      <c r="VYE67" s="3"/>
      <c r="VYF67" s="3"/>
      <c r="VYG67" s="3"/>
      <c r="VYH67" s="3"/>
      <c r="VYI67" s="3"/>
      <c r="VYJ67" s="3"/>
      <c r="VYK67" s="3"/>
      <c r="VYL67" s="3"/>
      <c r="VYM67" s="3"/>
      <c r="VYN67" s="3"/>
      <c r="VYO67" s="3"/>
      <c r="VYP67" s="3"/>
      <c r="VYQ67" s="3"/>
      <c r="VYR67" s="3"/>
      <c r="VYS67" s="3"/>
      <c r="VYT67" s="3"/>
      <c r="VYU67" s="3"/>
      <c r="VYV67" s="3"/>
      <c r="VYW67" s="3"/>
      <c r="VYX67" s="3"/>
      <c r="VYY67" s="3"/>
      <c r="VYZ67" s="3"/>
      <c r="VZA67" s="3"/>
      <c r="VZB67" s="3"/>
      <c r="VZC67" s="3"/>
      <c r="VZD67" s="3"/>
      <c r="VZE67" s="3"/>
      <c r="VZF67" s="3"/>
      <c r="VZG67" s="3"/>
      <c r="VZH67" s="3"/>
      <c r="VZI67" s="3"/>
      <c r="VZJ67" s="3"/>
      <c r="VZK67" s="3"/>
      <c r="VZL67" s="3"/>
      <c r="VZM67" s="3"/>
      <c r="VZN67" s="3"/>
      <c r="VZO67" s="3"/>
      <c r="VZP67" s="3"/>
      <c r="VZQ67" s="3"/>
      <c r="VZR67" s="3"/>
      <c r="VZS67" s="3"/>
      <c r="VZT67" s="3"/>
      <c r="VZU67" s="3"/>
      <c r="VZV67" s="3"/>
      <c r="VZW67" s="3"/>
      <c r="VZX67" s="3"/>
      <c r="VZY67" s="3"/>
      <c r="VZZ67" s="3"/>
      <c r="WAA67" s="3"/>
      <c r="WAB67" s="3"/>
      <c r="WAC67" s="3"/>
      <c r="WAD67" s="3"/>
      <c r="WAE67" s="3"/>
      <c r="WAF67" s="3"/>
      <c r="WAG67" s="3"/>
      <c r="WAH67" s="3"/>
      <c r="WAI67" s="3"/>
      <c r="WAJ67" s="3"/>
      <c r="WAK67" s="3"/>
      <c r="WAL67" s="3"/>
      <c r="WAM67" s="3"/>
      <c r="WAN67" s="3"/>
      <c r="WAO67" s="3"/>
      <c r="WAP67" s="3"/>
      <c r="WAQ67" s="3"/>
      <c r="WAR67" s="3"/>
      <c r="WAS67" s="3"/>
      <c r="WAT67" s="3"/>
      <c r="WAU67" s="3"/>
      <c r="WAV67" s="3"/>
      <c r="WAW67" s="3"/>
      <c r="WAX67" s="3"/>
      <c r="WAY67" s="3"/>
      <c r="WAZ67" s="3"/>
      <c r="WBA67" s="3"/>
      <c r="WBB67" s="3"/>
      <c r="WBC67" s="3"/>
      <c r="WBD67" s="3"/>
      <c r="WBE67" s="3"/>
      <c r="WBF67" s="3"/>
      <c r="WBG67" s="3"/>
      <c r="WBH67" s="3"/>
      <c r="WBI67" s="3"/>
      <c r="WBJ67" s="3"/>
      <c r="WBK67" s="3"/>
      <c r="WBL67" s="3"/>
      <c r="WBM67" s="3"/>
      <c r="WBN67" s="3"/>
      <c r="WBO67" s="3"/>
      <c r="WBP67" s="3"/>
      <c r="WBQ67" s="3"/>
      <c r="WBR67" s="3"/>
      <c r="WBS67" s="3"/>
      <c r="WBT67" s="3"/>
      <c r="WBU67" s="3"/>
      <c r="WBV67" s="3"/>
      <c r="WBW67" s="3"/>
      <c r="WBX67" s="3"/>
      <c r="WBY67" s="3"/>
      <c r="WBZ67" s="3"/>
      <c r="WCA67" s="3"/>
      <c r="WCB67" s="3"/>
      <c r="WCC67" s="3"/>
      <c r="WCD67" s="3"/>
      <c r="WCE67" s="3"/>
      <c r="WCF67" s="3"/>
      <c r="WCG67" s="3"/>
      <c r="WCH67" s="3"/>
      <c r="WCI67" s="3"/>
      <c r="WCJ67" s="3"/>
      <c r="WCK67" s="3"/>
      <c r="WCL67" s="3"/>
      <c r="WCM67" s="3"/>
      <c r="WCN67" s="3"/>
      <c r="WCO67" s="3"/>
      <c r="WCP67" s="3"/>
      <c r="WCQ67" s="3"/>
      <c r="WCR67" s="3"/>
      <c r="WCS67" s="3"/>
      <c r="WCT67" s="3"/>
      <c r="WCU67" s="3"/>
      <c r="WCV67" s="3"/>
      <c r="WCW67" s="3"/>
      <c r="WCX67" s="3"/>
      <c r="WCY67" s="3"/>
      <c r="WCZ67" s="3"/>
      <c r="WDA67" s="3"/>
      <c r="WDB67" s="3"/>
      <c r="WDC67" s="3"/>
      <c r="WDD67" s="3"/>
      <c r="WDE67" s="3"/>
      <c r="WDF67" s="3"/>
      <c r="WDG67" s="3"/>
      <c r="WDH67" s="3"/>
      <c r="WDI67" s="3"/>
      <c r="WDJ67" s="3"/>
      <c r="WDK67" s="3"/>
      <c r="WDL67" s="3"/>
      <c r="WDM67" s="3"/>
      <c r="WDN67" s="3"/>
      <c r="WDO67" s="3"/>
      <c r="WDP67" s="3"/>
      <c r="WDQ67" s="3"/>
      <c r="WDR67" s="3"/>
      <c r="WDS67" s="3"/>
      <c r="WDT67" s="3"/>
      <c r="WDU67" s="3"/>
      <c r="WDV67" s="3"/>
      <c r="WDW67" s="3"/>
      <c r="WDX67" s="3"/>
      <c r="WDY67" s="3"/>
      <c r="WDZ67" s="3"/>
      <c r="WEA67" s="3"/>
      <c r="WEB67" s="3"/>
      <c r="WEC67" s="3"/>
      <c r="WED67" s="3"/>
      <c r="WEE67" s="3"/>
      <c r="WEF67" s="3"/>
      <c r="WEG67" s="3"/>
      <c r="WEH67" s="3"/>
      <c r="WEI67" s="3"/>
      <c r="WEJ67" s="3"/>
      <c r="WEK67" s="3"/>
      <c r="WEL67" s="3"/>
      <c r="WEM67" s="3"/>
      <c r="WEN67" s="3"/>
      <c r="WEO67" s="3"/>
      <c r="WEP67" s="3"/>
      <c r="WEQ67" s="3"/>
      <c r="WER67" s="3"/>
      <c r="WES67" s="3"/>
      <c r="WET67" s="3"/>
      <c r="WEU67" s="3"/>
      <c r="WEV67" s="3"/>
      <c r="WEW67" s="3"/>
      <c r="WEX67" s="3"/>
      <c r="WEY67" s="3"/>
      <c r="WEZ67" s="3"/>
      <c r="WFA67" s="3"/>
      <c r="WFB67" s="3"/>
      <c r="WFC67" s="3"/>
      <c r="WFD67" s="3"/>
      <c r="WFE67" s="3"/>
      <c r="WFF67" s="3"/>
      <c r="WFG67" s="3"/>
      <c r="WFH67" s="3"/>
      <c r="WFI67" s="3"/>
      <c r="WFJ67" s="3"/>
      <c r="WFK67" s="3"/>
      <c r="WFL67" s="3"/>
      <c r="WFM67" s="3"/>
      <c r="WFN67" s="3"/>
      <c r="WFO67" s="3"/>
      <c r="WFP67" s="3"/>
      <c r="WFQ67" s="3"/>
      <c r="WFR67" s="3"/>
      <c r="WFS67" s="3"/>
      <c r="WFT67" s="3"/>
      <c r="WFU67" s="3"/>
      <c r="WFV67" s="3"/>
      <c r="WFW67" s="3"/>
      <c r="WFX67" s="3"/>
      <c r="WFY67" s="3"/>
      <c r="WFZ67" s="3"/>
      <c r="WGA67" s="3"/>
      <c r="WGB67" s="3"/>
      <c r="WGC67" s="3"/>
      <c r="WGD67" s="3"/>
      <c r="WGE67" s="3"/>
      <c r="WGF67" s="3"/>
      <c r="WGG67" s="3"/>
      <c r="WGH67" s="3"/>
      <c r="WGI67" s="3"/>
      <c r="WGJ67" s="3"/>
      <c r="WGK67" s="3"/>
      <c r="WGL67" s="3"/>
      <c r="WGM67" s="3"/>
      <c r="WGN67" s="3"/>
      <c r="WGO67" s="3"/>
      <c r="WGP67" s="3"/>
      <c r="WGQ67" s="3"/>
      <c r="WGR67" s="3"/>
      <c r="WGS67" s="3"/>
      <c r="WGT67" s="3"/>
      <c r="WGU67" s="3"/>
      <c r="WGV67" s="3"/>
      <c r="WGW67" s="3"/>
      <c r="WGX67" s="3"/>
      <c r="WGY67" s="3"/>
      <c r="WGZ67" s="3"/>
      <c r="WHA67" s="3"/>
      <c r="WHB67" s="3"/>
      <c r="WHC67" s="3"/>
      <c r="WHD67" s="3"/>
      <c r="WHE67" s="3"/>
      <c r="WHF67" s="3"/>
      <c r="WHG67" s="3"/>
      <c r="WHH67" s="3"/>
      <c r="WHI67" s="3"/>
      <c r="WHJ67" s="3"/>
      <c r="WHK67" s="3"/>
      <c r="WHL67" s="3"/>
      <c r="WHM67" s="3"/>
      <c r="WHN67" s="3"/>
      <c r="WHO67" s="3"/>
      <c r="WHP67" s="3"/>
      <c r="WHQ67" s="3"/>
      <c r="WHR67" s="3"/>
      <c r="WHS67" s="3"/>
      <c r="WHT67" s="3"/>
      <c r="WHU67" s="3"/>
      <c r="WHV67" s="3"/>
      <c r="WHW67" s="3"/>
      <c r="WHX67" s="3"/>
      <c r="WHY67" s="3"/>
      <c r="WHZ67" s="3"/>
      <c r="WIA67" s="3"/>
      <c r="WIB67" s="3"/>
      <c r="WIC67" s="3"/>
      <c r="WID67" s="3"/>
      <c r="WIE67" s="3"/>
      <c r="WIF67" s="3"/>
      <c r="WIG67" s="3"/>
      <c r="WIH67" s="3"/>
      <c r="WII67" s="3"/>
      <c r="WIJ67" s="3"/>
      <c r="WIK67" s="3"/>
      <c r="WIL67" s="3"/>
      <c r="WIM67" s="3"/>
      <c r="WIN67" s="3"/>
      <c r="WIO67" s="3"/>
      <c r="WIP67" s="3"/>
      <c r="WIQ67" s="3"/>
      <c r="WIR67" s="3"/>
      <c r="WIS67" s="3"/>
      <c r="WIT67" s="3"/>
      <c r="WIU67" s="3"/>
      <c r="WIV67" s="3"/>
      <c r="WIW67" s="3"/>
      <c r="WIX67" s="3"/>
      <c r="WIY67" s="3"/>
      <c r="WIZ67" s="3"/>
      <c r="WJA67" s="3"/>
      <c r="WJB67" s="3"/>
      <c r="WJC67" s="3"/>
      <c r="WJD67" s="3"/>
      <c r="WJE67" s="3"/>
      <c r="WJF67" s="3"/>
      <c r="WJG67" s="3"/>
      <c r="WJH67" s="3"/>
      <c r="WJI67" s="3"/>
      <c r="WJJ67" s="3"/>
      <c r="WJK67" s="3"/>
      <c r="WJL67" s="3"/>
      <c r="WJM67" s="3"/>
      <c r="WJN67" s="3"/>
      <c r="WJO67" s="3"/>
      <c r="WJP67" s="3"/>
      <c r="WJQ67" s="3"/>
      <c r="WJR67" s="3"/>
      <c r="WJS67" s="3"/>
      <c r="WJT67" s="3"/>
      <c r="WJU67" s="3"/>
      <c r="WJV67" s="3"/>
      <c r="WJW67" s="3"/>
      <c r="WJX67" s="3"/>
      <c r="WJY67" s="3"/>
      <c r="WJZ67" s="3"/>
      <c r="WKA67" s="3"/>
      <c r="WKB67" s="3"/>
      <c r="WKC67" s="3"/>
      <c r="WKD67" s="3"/>
      <c r="WKE67" s="3"/>
      <c r="WKF67" s="3"/>
      <c r="WKG67" s="3"/>
      <c r="WKH67" s="3"/>
      <c r="WKI67" s="3"/>
      <c r="WKJ67" s="3"/>
      <c r="WKK67" s="3"/>
      <c r="WKL67" s="3"/>
      <c r="WKM67" s="3"/>
      <c r="WKN67" s="3"/>
      <c r="WKO67" s="3"/>
      <c r="WKP67" s="3"/>
      <c r="WKQ67" s="3"/>
      <c r="WKR67" s="3"/>
      <c r="WKS67" s="3"/>
      <c r="WKT67" s="3"/>
      <c r="WKU67" s="3"/>
      <c r="WKV67" s="3"/>
      <c r="WKW67" s="3"/>
      <c r="WKX67" s="3"/>
      <c r="WKY67" s="3"/>
      <c r="WKZ67" s="3"/>
      <c r="WLA67" s="3"/>
      <c r="WLB67" s="3"/>
      <c r="WLC67" s="3"/>
      <c r="WLD67" s="3"/>
      <c r="WLE67" s="3"/>
      <c r="WLF67" s="3"/>
      <c r="WLG67" s="3"/>
      <c r="WLH67" s="3"/>
      <c r="WLI67" s="3"/>
      <c r="WLJ67" s="3"/>
      <c r="WLK67" s="3"/>
      <c r="WLL67" s="3"/>
      <c r="WLM67" s="3"/>
      <c r="WLN67" s="3"/>
      <c r="WLO67" s="3"/>
      <c r="WLP67" s="3"/>
      <c r="WLQ67" s="3"/>
      <c r="WLR67" s="3"/>
      <c r="WLS67" s="3"/>
      <c r="WLT67" s="3"/>
      <c r="WLU67" s="3"/>
      <c r="WLV67" s="3"/>
      <c r="WLW67" s="3"/>
      <c r="WLX67" s="3"/>
      <c r="WLY67" s="3"/>
      <c r="WLZ67" s="3"/>
      <c r="WMA67" s="3"/>
      <c r="WMB67" s="3"/>
      <c r="WMC67" s="3"/>
      <c r="WMD67" s="3"/>
      <c r="WME67" s="3"/>
      <c r="WMF67" s="3"/>
      <c r="WMG67" s="3"/>
      <c r="WMH67" s="3"/>
      <c r="WMI67" s="3"/>
      <c r="WMJ67" s="3"/>
      <c r="WMK67" s="3"/>
      <c r="WML67" s="3"/>
      <c r="WMM67" s="3"/>
      <c r="WMN67" s="3"/>
      <c r="WMO67" s="3"/>
      <c r="WMP67" s="3"/>
      <c r="WMQ67" s="3"/>
      <c r="WMR67" s="3"/>
      <c r="WMS67" s="3"/>
      <c r="WMT67" s="3"/>
      <c r="WMU67" s="3"/>
      <c r="WMV67" s="3"/>
      <c r="WMW67" s="3"/>
      <c r="WMX67" s="3"/>
      <c r="WMY67" s="3"/>
      <c r="WMZ67" s="3"/>
      <c r="WNA67" s="3"/>
      <c r="WNB67" s="3"/>
      <c r="WNC67" s="3"/>
      <c r="WND67" s="3"/>
      <c r="WNE67" s="3"/>
      <c r="WNF67" s="3"/>
      <c r="WNG67" s="3"/>
      <c r="WNH67" s="3"/>
      <c r="WNI67" s="3"/>
      <c r="WNJ67" s="3"/>
      <c r="WNK67" s="3"/>
      <c r="WNL67" s="3"/>
      <c r="WNM67" s="3"/>
      <c r="WNN67" s="3"/>
      <c r="WNO67" s="3"/>
      <c r="WNP67" s="3"/>
      <c r="WNQ67" s="3"/>
      <c r="WNR67" s="3"/>
      <c r="WNS67" s="3"/>
      <c r="WNT67" s="3"/>
      <c r="WNU67" s="3"/>
      <c r="WNV67" s="3"/>
      <c r="WNW67" s="3"/>
      <c r="WNX67" s="3"/>
      <c r="WNY67" s="3"/>
      <c r="WNZ67" s="3"/>
      <c r="WOA67" s="3"/>
      <c r="WOB67" s="3"/>
      <c r="WOC67" s="3"/>
      <c r="WOD67" s="3"/>
      <c r="WOE67" s="3"/>
      <c r="WOF67" s="3"/>
      <c r="WOG67" s="3"/>
      <c r="WOH67" s="3"/>
      <c r="WOI67" s="3"/>
      <c r="WOJ67" s="3"/>
      <c r="WOK67" s="3"/>
      <c r="WOL67" s="3"/>
      <c r="WOM67" s="3"/>
      <c r="WON67" s="3"/>
      <c r="WOO67" s="3"/>
      <c r="WOP67" s="3"/>
      <c r="WOQ67" s="3"/>
      <c r="WOR67" s="3"/>
      <c r="WOS67" s="3"/>
      <c r="WOT67" s="3"/>
      <c r="WOU67" s="3"/>
      <c r="WOV67" s="3"/>
      <c r="WOW67" s="3"/>
      <c r="WOX67" s="3"/>
      <c r="WOY67" s="3"/>
      <c r="WOZ67" s="3"/>
      <c r="WPA67" s="3"/>
      <c r="WPB67" s="3"/>
      <c r="WPC67" s="3"/>
      <c r="WPD67" s="3"/>
      <c r="WPE67" s="3"/>
      <c r="WPF67" s="3"/>
      <c r="WPG67" s="3"/>
      <c r="WPH67" s="3"/>
      <c r="WPI67" s="3"/>
      <c r="WPJ67" s="3"/>
      <c r="WPK67" s="3"/>
      <c r="WPL67" s="3"/>
      <c r="WPM67" s="3"/>
      <c r="WPN67" s="3"/>
      <c r="WPO67" s="3"/>
      <c r="WPP67" s="3"/>
      <c r="WPQ67" s="3"/>
      <c r="WPR67" s="3"/>
      <c r="WPS67" s="3"/>
      <c r="WPT67" s="3"/>
      <c r="WPU67" s="3"/>
      <c r="WPV67" s="3"/>
      <c r="WPW67" s="3"/>
      <c r="WPX67" s="3"/>
      <c r="WPY67" s="3"/>
      <c r="WPZ67" s="3"/>
      <c r="WQA67" s="3"/>
      <c r="WQB67" s="3"/>
      <c r="WQC67" s="3"/>
      <c r="WQD67" s="3"/>
      <c r="WQE67" s="3"/>
      <c r="WQF67" s="3"/>
      <c r="WQG67" s="3"/>
      <c r="WQH67" s="3"/>
      <c r="WQI67" s="3"/>
      <c r="WQJ67" s="3"/>
      <c r="WQK67" s="3"/>
      <c r="WQL67" s="3"/>
      <c r="WQM67" s="3"/>
      <c r="WQN67" s="3"/>
      <c r="WQO67" s="3"/>
      <c r="WQP67" s="3"/>
      <c r="WQQ67" s="3"/>
      <c r="WQR67" s="3"/>
      <c r="WQS67" s="3"/>
      <c r="WQT67" s="3"/>
      <c r="WQU67" s="3"/>
      <c r="WQV67" s="3"/>
      <c r="WQW67" s="3"/>
      <c r="WQX67" s="3"/>
      <c r="WQY67" s="3"/>
      <c r="WQZ67" s="3"/>
      <c r="WRA67" s="3"/>
      <c r="WRB67" s="3"/>
      <c r="WRC67" s="3"/>
      <c r="WRD67" s="3"/>
      <c r="WRE67" s="3"/>
      <c r="WRF67" s="3"/>
      <c r="WRG67" s="3"/>
      <c r="WRH67" s="3"/>
      <c r="WRI67" s="3"/>
      <c r="WRJ67" s="3"/>
      <c r="WRK67" s="3"/>
      <c r="WRL67" s="3"/>
      <c r="WRM67" s="3"/>
      <c r="WRN67" s="3"/>
      <c r="WRO67" s="3"/>
      <c r="WRP67" s="3"/>
      <c r="WRQ67" s="3"/>
      <c r="WRR67" s="3"/>
      <c r="WRS67" s="3"/>
      <c r="WRT67" s="3"/>
      <c r="WRU67" s="3"/>
      <c r="WRV67" s="3"/>
      <c r="WRW67" s="3"/>
      <c r="WRX67" s="3"/>
      <c r="WRY67" s="3"/>
      <c r="WRZ67" s="3"/>
      <c r="WSA67" s="3"/>
      <c r="WSB67" s="3"/>
      <c r="WSC67" s="3"/>
      <c r="WSD67" s="3"/>
      <c r="WSE67" s="3"/>
      <c r="WSF67" s="3"/>
      <c r="WSG67" s="3"/>
      <c r="WSH67" s="3"/>
      <c r="WSI67" s="3"/>
      <c r="WSJ67" s="3"/>
      <c r="WSK67" s="3"/>
      <c r="WSL67" s="3"/>
      <c r="WSM67" s="3"/>
      <c r="WSN67" s="3"/>
      <c r="WSO67" s="3"/>
    </row>
    <row r="68" spans="1:16057" s="1" customFormat="1" ht="14.25"/>
    <row r="69" spans="1:16057" s="7" customFormat="1" ht="14.25"/>
    <row r="70" spans="1:16057" s="7" customFormat="1" ht="14.25"/>
    <row r="71" spans="1:16057" s="1" customFormat="1" ht="14.25"/>
    <row r="72" spans="1:16057" s="1" customFormat="1" ht="14.25"/>
    <row r="73" spans="1:16057" s="1" customFormat="1" ht="14.25"/>
    <row r="74" spans="1:16057" s="1" customFormat="1" ht="14.25"/>
    <row r="75" spans="1:16057" s="1" customFormat="1" ht="14.25"/>
    <row r="77" spans="1:16057" s="1" customFormat="1" ht="14.25"/>
    <row r="78" spans="1:16057" s="1" customFormat="1" ht="14.25"/>
    <row r="79" spans="1:16057" s="1" customFormat="1" ht="14.25"/>
    <row r="80" spans="1:16057" s="1" customFormat="1" ht="14.25"/>
    <row r="81" s="1" customFormat="1" ht="14.25"/>
    <row r="82" s="1" customFormat="1" ht="14.25"/>
    <row r="84" s="1" customFormat="1" ht="14.25"/>
    <row r="85" s="1" customFormat="1" ht="14.25"/>
    <row r="86" s="1" customFormat="1" ht="14.25"/>
    <row r="87" s="1" customFormat="1" ht="14.25"/>
    <row r="88" s="1" customFormat="1" ht="14.25"/>
    <row r="89" s="1" customFormat="1" ht="14.25"/>
    <row r="90" s="1" customFormat="1" ht="14.25"/>
    <row r="95" s="1" customFormat="1" ht="14.25"/>
    <row r="96" s="5" customFormat="1" ht="14.25"/>
    <row r="100" s="8" customFormat="1"/>
    <row r="101" s="8" customFormat="1"/>
    <row r="102" s="8" customFormat="1"/>
    <row r="103" s="8" customFormat="1"/>
    <row r="107" s="8" customFormat="1"/>
    <row r="109" s="9" customFormat="1" ht="14.25"/>
    <row r="110" s="9" customFormat="1" ht="14.25"/>
    <row r="111" s="9" customFormat="1" ht="14.25"/>
    <row r="112" s="9" customFormat="1" ht="14.25"/>
    <row r="113" s="9" customFormat="1" ht="14.25"/>
    <row r="114" s="9" customFormat="1" ht="14.25"/>
    <row r="115" s="9" customFormat="1" ht="14.25"/>
    <row r="124" hidden="1"/>
    <row r="126" s="8" customFormat="1"/>
    <row r="131" hidden="1"/>
    <row r="133" s="8" customFormat="1"/>
    <row r="135" hidden="1"/>
    <row r="136" hidden="1"/>
    <row r="137" hidden="1"/>
    <row r="138" hidden="1"/>
    <row r="139" hidden="1"/>
    <row r="140" hidden="1"/>
  </sheetData>
  <mergeCells count="12">
    <mergeCell ref="B7:D7"/>
    <mergeCell ref="E7:F7"/>
    <mergeCell ref="G7:H7"/>
    <mergeCell ref="B13:D13"/>
    <mergeCell ref="B25:D25"/>
    <mergeCell ref="E25:F25"/>
    <mergeCell ref="G25:H25"/>
    <mergeCell ref="B31:D31"/>
    <mergeCell ref="E9:E12"/>
    <mergeCell ref="E27:E30"/>
    <mergeCell ref="F9:F12"/>
    <mergeCell ref="F27:F3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Oktober</vt:lpstr>
      <vt:lpstr>Sheet1</vt:lpstr>
      <vt:lpstr>Trace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2020-09-29T04:26:00Z</cp:lastPrinted>
  <dcterms:created xsi:type="dcterms:W3CDTF">2019-05-08T06:22:00Z</dcterms:created>
  <dcterms:modified xsi:type="dcterms:W3CDTF">2021-11-11T07:45:53Z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