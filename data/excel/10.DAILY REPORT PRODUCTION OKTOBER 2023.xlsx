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 PEKERJAAN\LAPORAN PRODUKSI\Production Report 2023\"/>
    </mc:Choice>
  </mc:AlternateContent>
  <xr:revisionPtr revIDLastSave="0" documentId="13_ncr:1_{3DF70509-1D92-44FD-96FC-83A80173318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Oktober - 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55" i="1" l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AL254" i="1"/>
  <c r="AL253" i="1"/>
  <c r="AL252" i="1"/>
  <c r="AL251" i="1"/>
  <c r="AL250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AL247" i="1"/>
  <c r="AL246" i="1"/>
  <c r="AL245" i="1"/>
  <c r="AL244" i="1"/>
  <c r="AL243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AL240" i="1"/>
  <c r="AL237" i="1"/>
  <c r="D237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AL235" i="1"/>
  <c r="D235" i="1"/>
  <c r="D236" i="1" s="1"/>
  <c r="AL234" i="1"/>
  <c r="AL233" i="1"/>
  <c r="AL231" i="1"/>
  <c r="AJ228" i="1"/>
  <c r="AJ229" i="1" s="1"/>
  <c r="AI228" i="1"/>
  <c r="AI229" i="1" s="1"/>
  <c r="AH228" i="1"/>
  <c r="AH229" i="1" s="1"/>
  <c r="AG228" i="1"/>
  <c r="AG229" i="1" s="1"/>
  <c r="AF228" i="1"/>
  <c r="AF229" i="1" s="1"/>
  <c r="AE228" i="1"/>
  <c r="AE229" i="1" s="1"/>
  <c r="AD228" i="1"/>
  <c r="AD229" i="1" s="1"/>
  <c r="AC228" i="1"/>
  <c r="AC229" i="1" s="1"/>
  <c r="AB228" i="1"/>
  <c r="AB229" i="1" s="1"/>
  <c r="AA228" i="1"/>
  <c r="AA229" i="1" s="1"/>
  <c r="Z228" i="1"/>
  <c r="Z229" i="1" s="1"/>
  <c r="Y228" i="1"/>
  <c r="Y229" i="1" s="1"/>
  <c r="X228" i="1"/>
  <c r="X229" i="1" s="1"/>
  <c r="W228" i="1"/>
  <c r="W229" i="1" s="1"/>
  <c r="V228" i="1"/>
  <c r="V229" i="1" s="1"/>
  <c r="U228" i="1"/>
  <c r="U229" i="1" s="1"/>
  <c r="T228" i="1"/>
  <c r="T229" i="1" s="1"/>
  <c r="S228" i="1"/>
  <c r="S229" i="1" s="1"/>
  <c r="R228" i="1"/>
  <c r="R229" i="1" s="1"/>
  <c r="Q228" i="1"/>
  <c r="Q229" i="1" s="1"/>
  <c r="P228" i="1"/>
  <c r="P229" i="1" s="1"/>
  <c r="O228" i="1"/>
  <c r="O229" i="1" s="1"/>
  <c r="N228" i="1"/>
  <c r="N229" i="1" s="1"/>
  <c r="M228" i="1"/>
  <c r="M229" i="1" s="1"/>
  <c r="L228" i="1"/>
  <c r="L229" i="1" s="1"/>
  <c r="K228" i="1"/>
  <c r="K229" i="1" s="1"/>
  <c r="J228" i="1"/>
  <c r="J229" i="1" s="1"/>
  <c r="I228" i="1"/>
  <c r="I229" i="1" s="1"/>
  <c r="H228" i="1"/>
  <c r="H229" i="1" s="1"/>
  <c r="G228" i="1"/>
  <c r="G229" i="1" s="1"/>
  <c r="F228" i="1"/>
  <c r="F229" i="1" s="1"/>
  <c r="AL227" i="1"/>
  <c r="AL226" i="1"/>
  <c r="AL224" i="1"/>
  <c r="D224" i="1"/>
  <c r="D228" i="1" s="1"/>
  <c r="D229" i="1" s="1"/>
  <c r="AJ222" i="1"/>
  <c r="AJ221" i="1" s="1"/>
  <c r="AI222" i="1"/>
  <c r="AH222" i="1"/>
  <c r="AG222" i="1"/>
  <c r="AF222" i="1"/>
  <c r="AF221" i="1" s="1"/>
  <c r="AE222" i="1"/>
  <c r="AE221" i="1" s="1"/>
  <c r="AD222" i="1"/>
  <c r="AC222" i="1"/>
  <c r="AB222" i="1"/>
  <c r="AB221" i="1" s="1"/>
  <c r="AA222" i="1"/>
  <c r="AA221" i="1" s="1"/>
  <c r="Z222" i="1"/>
  <c r="Y222" i="1"/>
  <c r="X222" i="1"/>
  <c r="X221" i="1" s="1"/>
  <c r="W222" i="1"/>
  <c r="V222" i="1"/>
  <c r="U222" i="1"/>
  <c r="T222" i="1"/>
  <c r="T221" i="1" s="1"/>
  <c r="S222" i="1"/>
  <c r="R222" i="1"/>
  <c r="Q222" i="1"/>
  <c r="P222" i="1"/>
  <c r="P221" i="1" s="1"/>
  <c r="O222" i="1"/>
  <c r="O221" i="1" s="1"/>
  <c r="N222" i="1"/>
  <c r="M222" i="1"/>
  <c r="L222" i="1"/>
  <c r="L221" i="1" s="1"/>
  <c r="K222" i="1"/>
  <c r="K221" i="1" s="1"/>
  <c r="J222" i="1"/>
  <c r="I222" i="1"/>
  <c r="H222" i="1"/>
  <c r="H221" i="1" s="1"/>
  <c r="G222" i="1"/>
  <c r="F222" i="1"/>
  <c r="D222" i="1"/>
  <c r="AI221" i="1"/>
  <c r="AH221" i="1"/>
  <c r="AG221" i="1"/>
  <c r="AD221" i="1"/>
  <c r="AC221" i="1"/>
  <c r="Z221" i="1"/>
  <c r="Y221" i="1"/>
  <c r="W221" i="1"/>
  <c r="V221" i="1"/>
  <c r="U221" i="1"/>
  <c r="S221" i="1"/>
  <c r="R221" i="1"/>
  <c r="Q221" i="1"/>
  <c r="N221" i="1"/>
  <c r="M221" i="1"/>
  <c r="J221" i="1"/>
  <c r="I221" i="1"/>
  <c r="G221" i="1"/>
  <c r="F221" i="1"/>
  <c r="AL220" i="1"/>
  <c r="AL218" i="1"/>
  <c r="D218" i="1"/>
  <c r="AL217" i="1"/>
  <c r="AJ215" i="1"/>
  <c r="AI215" i="1"/>
  <c r="AH215" i="1"/>
  <c r="AG215" i="1"/>
  <c r="AF215" i="1"/>
  <c r="AE215" i="1"/>
  <c r="AD215" i="1"/>
  <c r="AB215" i="1"/>
  <c r="AA215" i="1"/>
  <c r="Z215" i="1"/>
  <c r="Y215" i="1"/>
  <c r="X215" i="1"/>
  <c r="W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H215" i="1"/>
  <c r="G215" i="1"/>
  <c r="AJ213" i="1"/>
  <c r="AJ214" i="1" s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AJ211" i="1"/>
  <c r="AI211" i="1"/>
  <c r="AH211" i="1"/>
  <c r="AG211" i="1"/>
  <c r="AG214" i="1" s="1"/>
  <c r="AF211" i="1"/>
  <c r="AE211" i="1"/>
  <c r="AD211" i="1"/>
  <c r="AC211" i="1"/>
  <c r="AC214" i="1" s="1"/>
  <c r="AB211" i="1"/>
  <c r="AB214" i="1" s="1"/>
  <c r="AA211" i="1"/>
  <c r="Z211" i="1"/>
  <c r="Y211" i="1"/>
  <c r="Y214" i="1" s="1"/>
  <c r="X211" i="1"/>
  <c r="W211" i="1"/>
  <c r="V211" i="1"/>
  <c r="U211" i="1"/>
  <c r="T211" i="1"/>
  <c r="S211" i="1"/>
  <c r="S214" i="1" s="1"/>
  <c r="R211" i="1"/>
  <c r="Q211" i="1"/>
  <c r="Q214" i="1" s="1"/>
  <c r="P211" i="1"/>
  <c r="O211" i="1"/>
  <c r="O214" i="1" s="1"/>
  <c r="N211" i="1"/>
  <c r="M211" i="1"/>
  <c r="M214" i="1" s="1"/>
  <c r="L211" i="1"/>
  <c r="L214" i="1" s="1"/>
  <c r="K211" i="1"/>
  <c r="K214" i="1" s="1"/>
  <c r="J211" i="1"/>
  <c r="I211" i="1"/>
  <c r="I214" i="1" s="1"/>
  <c r="H211" i="1"/>
  <c r="G211" i="1"/>
  <c r="G214" i="1" s="1"/>
  <c r="F211" i="1"/>
  <c r="M209" i="1"/>
  <c r="L209" i="1"/>
  <c r="K209" i="1"/>
  <c r="I209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AJ203" i="1"/>
  <c r="AJ210" i="1" s="1"/>
  <c r="AI203" i="1"/>
  <c r="AI210" i="1" s="1"/>
  <c r="AH203" i="1"/>
  <c r="AH210" i="1" s="1"/>
  <c r="AG203" i="1"/>
  <c r="AG210" i="1" s="1"/>
  <c r="AF203" i="1"/>
  <c r="AF210" i="1" s="1"/>
  <c r="AE203" i="1"/>
  <c r="AE210" i="1" s="1"/>
  <c r="AD203" i="1"/>
  <c r="AD210" i="1" s="1"/>
  <c r="AC203" i="1"/>
  <c r="AC210" i="1" s="1"/>
  <c r="AB203" i="1"/>
  <c r="AB210" i="1" s="1"/>
  <c r="AA203" i="1"/>
  <c r="AA210" i="1" s="1"/>
  <c r="Z203" i="1"/>
  <c r="Z210" i="1" s="1"/>
  <c r="Y203" i="1"/>
  <c r="Y210" i="1" s="1"/>
  <c r="X203" i="1"/>
  <c r="X210" i="1" s="1"/>
  <c r="W203" i="1"/>
  <c r="W210" i="1" s="1"/>
  <c r="V203" i="1"/>
  <c r="V210" i="1" s="1"/>
  <c r="U203" i="1"/>
  <c r="U210" i="1" s="1"/>
  <c r="T203" i="1"/>
  <c r="T210" i="1" s="1"/>
  <c r="S203" i="1"/>
  <c r="S210" i="1" s="1"/>
  <c r="R203" i="1"/>
  <c r="R210" i="1" s="1"/>
  <c r="Q203" i="1"/>
  <c r="Q210" i="1" s="1"/>
  <c r="P203" i="1"/>
  <c r="P210" i="1" s="1"/>
  <c r="O203" i="1"/>
  <c r="O210" i="1" s="1"/>
  <c r="N203" i="1"/>
  <c r="N210" i="1" s="1"/>
  <c r="M203" i="1"/>
  <c r="M210" i="1" s="1"/>
  <c r="L203" i="1"/>
  <c r="L210" i="1" s="1"/>
  <c r="K203" i="1"/>
  <c r="K210" i="1" s="1"/>
  <c r="J203" i="1"/>
  <c r="J210" i="1" s="1"/>
  <c r="I203" i="1"/>
  <c r="I210" i="1" s="1"/>
  <c r="H203" i="1"/>
  <c r="AL203" i="1" s="1"/>
  <c r="G203" i="1"/>
  <c r="G210" i="1" s="1"/>
  <c r="F203" i="1"/>
  <c r="F210" i="1" s="1"/>
  <c r="AJ202" i="1"/>
  <c r="AJ209" i="1" s="1"/>
  <c r="AI202" i="1"/>
  <c r="AI209" i="1" s="1"/>
  <c r="AH202" i="1"/>
  <c r="AH209" i="1" s="1"/>
  <c r="AG202" i="1"/>
  <c r="AG209" i="1" s="1"/>
  <c r="AF202" i="1"/>
  <c r="AF209" i="1" s="1"/>
  <c r="AE202" i="1"/>
  <c r="AE209" i="1" s="1"/>
  <c r="AD202" i="1"/>
  <c r="AD209" i="1" s="1"/>
  <c r="AC202" i="1"/>
  <c r="AC209" i="1" s="1"/>
  <c r="AB202" i="1"/>
  <c r="AB209" i="1" s="1"/>
  <c r="AA202" i="1"/>
  <c r="AA209" i="1" s="1"/>
  <c r="Z202" i="1"/>
  <c r="Z209" i="1" s="1"/>
  <c r="Y202" i="1"/>
  <c r="Y209" i="1" s="1"/>
  <c r="X202" i="1"/>
  <c r="X209" i="1" s="1"/>
  <c r="W202" i="1"/>
  <c r="W209" i="1" s="1"/>
  <c r="V202" i="1"/>
  <c r="V209" i="1" s="1"/>
  <c r="U202" i="1"/>
  <c r="U209" i="1" s="1"/>
  <c r="T202" i="1"/>
  <c r="T209" i="1" s="1"/>
  <c r="S202" i="1"/>
  <c r="S209" i="1" s="1"/>
  <c r="R202" i="1"/>
  <c r="R209" i="1" s="1"/>
  <c r="Q202" i="1"/>
  <c r="Q209" i="1" s="1"/>
  <c r="P202" i="1"/>
  <c r="P209" i="1" s="1"/>
  <c r="O202" i="1"/>
  <c r="O209" i="1" s="1"/>
  <c r="N202" i="1"/>
  <c r="N209" i="1" s="1"/>
  <c r="J202" i="1"/>
  <c r="J209" i="1" s="1"/>
  <c r="H202" i="1"/>
  <c r="G202" i="1"/>
  <c r="G209" i="1" s="1"/>
  <c r="F202" i="1"/>
  <c r="F209" i="1" s="1"/>
  <c r="AL200" i="1"/>
  <c r="AL199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F194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AL191" i="1"/>
  <c r="AL190" i="1"/>
  <c r="AL193" i="1" s="1"/>
  <c r="AL188" i="1"/>
  <c r="AG187" i="1"/>
  <c r="AC187" i="1"/>
  <c r="Y187" i="1"/>
  <c r="U187" i="1"/>
  <c r="Q187" i="1"/>
  <c r="M187" i="1"/>
  <c r="I187" i="1"/>
  <c r="AJ186" i="1"/>
  <c r="AJ187" i="1" s="1"/>
  <c r="AI186" i="1"/>
  <c r="AI187" i="1" s="1"/>
  <c r="AH186" i="1"/>
  <c r="AH187" i="1" s="1"/>
  <c r="AG186" i="1"/>
  <c r="AF186" i="1"/>
  <c r="AF187" i="1" s="1"/>
  <c r="AE186" i="1"/>
  <c r="AE187" i="1" s="1"/>
  <c r="AD186" i="1"/>
  <c r="AD187" i="1" s="1"/>
  <c r="AC186" i="1"/>
  <c r="AB186" i="1"/>
  <c r="AB187" i="1" s="1"/>
  <c r="AA186" i="1"/>
  <c r="AA187" i="1" s="1"/>
  <c r="Z186" i="1"/>
  <c r="Z187" i="1" s="1"/>
  <c r="Y186" i="1"/>
  <c r="X186" i="1"/>
  <c r="X187" i="1" s="1"/>
  <c r="W186" i="1"/>
  <c r="W187" i="1" s="1"/>
  <c r="V186" i="1"/>
  <c r="V187" i="1" s="1"/>
  <c r="U186" i="1"/>
  <c r="T186" i="1"/>
  <c r="T187" i="1" s="1"/>
  <c r="S186" i="1"/>
  <c r="S187" i="1" s="1"/>
  <c r="R186" i="1"/>
  <c r="R187" i="1" s="1"/>
  <c r="Q186" i="1"/>
  <c r="P186" i="1"/>
  <c r="P187" i="1" s="1"/>
  <c r="O186" i="1"/>
  <c r="O187" i="1" s="1"/>
  <c r="N186" i="1"/>
  <c r="N187" i="1" s="1"/>
  <c r="M186" i="1"/>
  <c r="L186" i="1"/>
  <c r="L187" i="1" s="1"/>
  <c r="K186" i="1"/>
  <c r="K187" i="1" s="1"/>
  <c r="J186" i="1"/>
  <c r="J187" i="1" s="1"/>
  <c r="I186" i="1"/>
  <c r="H186" i="1"/>
  <c r="H187" i="1" s="1"/>
  <c r="G186" i="1"/>
  <c r="G187" i="1" s="1"/>
  <c r="F186" i="1"/>
  <c r="F187" i="1" s="1"/>
  <c r="AL185" i="1"/>
  <c r="AL184" i="1"/>
  <c r="AF182" i="1"/>
  <c r="X182" i="1"/>
  <c r="P182" i="1"/>
  <c r="H182" i="1"/>
  <c r="AF181" i="1"/>
  <c r="X181" i="1"/>
  <c r="P181" i="1"/>
  <c r="H181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F176" i="1"/>
  <c r="AL169" i="1"/>
  <c r="AL178" i="1" s="1"/>
  <c r="AL168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F173" i="1" s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AJ162" i="1"/>
  <c r="AJ182" i="1" s="1"/>
  <c r="AI162" i="1"/>
  <c r="AI182" i="1" s="1"/>
  <c r="AH162" i="1"/>
  <c r="AH182" i="1" s="1"/>
  <c r="AG162" i="1"/>
  <c r="AG182" i="1" s="1"/>
  <c r="AF162" i="1"/>
  <c r="AE162" i="1"/>
  <c r="AE182" i="1" s="1"/>
  <c r="AD162" i="1"/>
  <c r="AD182" i="1" s="1"/>
  <c r="AC162" i="1"/>
  <c r="AC182" i="1" s="1"/>
  <c r="AB162" i="1"/>
  <c r="AB182" i="1" s="1"/>
  <c r="AA162" i="1"/>
  <c r="AA182" i="1" s="1"/>
  <c r="Z162" i="1"/>
  <c r="Z182" i="1" s="1"/>
  <c r="Y162" i="1"/>
  <c r="Y182" i="1" s="1"/>
  <c r="X162" i="1"/>
  <c r="W162" i="1"/>
  <c r="W182" i="1" s="1"/>
  <c r="V162" i="1"/>
  <c r="V182" i="1" s="1"/>
  <c r="U162" i="1"/>
  <c r="U182" i="1" s="1"/>
  <c r="T162" i="1"/>
  <c r="T182" i="1" s="1"/>
  <c r="S162" i="1"/>
  <c r="S182" i="1" s="1"/>
  <c r="R162" i="1"/>
  <c r="R182" i="1" s="1"/>
  <c r="Q162" i="1"/>
  <c r="Q182" i="1" s="1"/>
  <c r="P162" i="1"/>
  <c r="O162" i="1"/>
  <c r="O182" i="1" s="1"/>
  <c r="N162" i="1"/>
  <c r="N182" i="1" s="1"/>
  <c r="M162" i="1"/>
  <c r="M182" i="1" s="1"/>
  <c r="L162" i="1"/>
  <c r="L182" i="1" s="1"/>
  <c r="K162" i="1"/>
  <c r="K182" i="1" s="1"/>
  <c r="J162" i="1"/>
  <c r="J182" i="1" s="1"/>
  <c r="I162" i="1"/>
  <c r="I182" i="1" s="1"/>
  <c r="H162" i="1"/>
  <c r="G162" i="1"/>
  <c r="G182" i="1" s="1"/>
  <c r="F162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AJ160" i="1"/>
  <c r="AJ181" i="1" s="1"/>
  <c r="AI160" i="1"/>
  <c r="AI181" i="1" s="1"/>
  <c r="AH160" i="1"/>
  <c r="AH181" i="1" s="1"/>
  <c r="AG160" i="1"/>
  <c r="AG181" i="1" s="1"/>
  <c r="AF160" i="1"/>
  <c r="AE160" i="1"/>
  <c r="AE181" i="1" s="1"/>
  <c r="AD160" i="1"/>
  <c r="AD181" i="1" s="1"/>
  <c r="AC160" i="1"/>
  <c r="AC181" i="1" s="1"/>
  <c r="AB160" i="1"/>
  <c r="AB181" i="1" s="1"/>
  <c r="AA160" i="1"/>
  <c r="AA181" i="1" s="1"/>
  <c r="Z160" i="1"/>
  <c r="Z181" i="1" s="1"/>
  <c r="Y160" i="1"/>
  <c r="Y181" i="1" s="1"/>
  <c r="X160" i="1"/>
  <c r="W160" i="1"/>
  <c r="W181" i="1" s="1"/>
  <c r="V160" i="1"/>
  <c r="V181" i="1" s="1"/>
  <c r="U160" i="1"/>
  <c r="U181" i="1" s="1"/>
  <c r="T160" i="1"/>
  <c r="T181" i="1" s="1"/>
  <c r="S160" i="1"/>
  <c r="S181" i="1" s="1"/>
  <c r="R160" i="1"/>
  <c r="R181" i="1" s="1"/>
  <c r="Q160" i="1"/>
  <c r="Q181" i="1" s="1"/>
  <c r="P160" i="1"/>
  <c r="O160" i="1"/>
  <c r="O181" i="1" s="1"/>
  <c r="N160" i="1"/>
  <c r="N181" i="1" s="1"/>
  <c r="M160" i="1"/>
  <c r="M181" i="1" s="1"/>
  <c r="L160" i="1"/>
  <c r="L181" i="1" s="1"/>
  <c r="K160" i="1"/>
  <c r="K181" i="1" s="1"/>
  <c r="J160" i="1"/>
  <c r="J181" i="1" s="1"/>
  <c r="I160" i="1"/>
  <c r="I181" i="1" s="1"/>
  <c r="H160" i="1"/>
  <c r="G160" i="1"/>
  <c r="G181" i="1" s="1"/>
  <c r="F160" i="1"/>
  <c r="O159" i="1"/>
  <c r="N159" i="1"/>
  <c r="M159" i="1"/>
  <c r="L159" i="1"/>
  <c r="K159" i="1"/>
  <c r="J159" i="1"/>
  <c r="I159" i="1"/>
  <c r="H159" i="1"/>
  <c r="G159" i="1"/>
  <c r="F159" i="1"/>
  <c r="AL157" i="1"/>
  <c r="AL162" i="1" s="1"/>
  <c r="AL156" i="1"/>
  <c r="AL161" i="1" s="1"/>
  <c r="AL155" i="1"/>
  <c r="AL160" i="1" s="1"/>
  <c r="AL154" i="1"/>
  <c r="AF152" i="1"/>
  <c r="X152" i="1"/>
  <c r="T152" i="1"/>
  <c r="M152" i="1"/>
  <c r="H152" i="1"/>
  <c r="AJ151" i="1"/>
  <c r="AJ152" i="1" s="1"/>
  <c r="AI151" i="1"/>
  <c r="AI152" i="1" s="1"/>
  <c r="AH151" i="1"/>
  <c r="AH152" i="1" s="1"/>
  <c r="AG151" i="1"/>
  <c r="AG152" i="1" s="1"/>
  <c r="AF151" i="1"/>
  <c r="AE151" i="1"/>
  <c r="AE152" i="1" s="1"/>
  <c r="AD151" i="1"/>
  <c r="AD152" i="1" s="1"/>
  <c r="AC151" i="1"/>
  <c r="AC152" i="1" s="1"/>
  <c r="AB151" i="1"/>
  <c r="AB152" i="1" s="1"/>
  <c r="AA151" i="1"/>
  <c r="AA152" i="1" s="1"/>
  <c r="Z151" i="1"/>
  <c r="Z152" i="1" s="1"/>
  <c r="Y151" i="1"/>
  <c r="Y152" i="1" s="1"/>
  <c r="X151" i="1"/>
  <c r="W151" i="1"/>
  <c r="W152" i="1" s="1"/>
  <c r="V151" i="1"/>
  <c r="V152" i="1" s="1"/>
  <c r="U151" i="1"/>
  <c r="U152" i="1" s="1"/>
  <c r="T151" i="1"/>
  <c r="S151" i="1"/>
  <c r="R151" i="1"/>
  <c r="Q151" i="1"/>
  <c r="Q152" i="1" s="1"/>
  <c r="P151" i="1"/>
  <c r="P152" i="1" s="1"/>
  <c r="O151" i="1"/>
  <c r="O152" i="1" s="1"/>
  <c r="N151" i="1"/>
  <c r="N152" i="1" s="1"/>
  <c r="M151" i="1"/>
  <c r="L151" i="1"/>
  <c r="L152" i="1" s="1"/>
  <c r="K151" i="1"/>
  <c r="K152" i="1" s="1"/>
  <c r="J151" i="1"/>
  <c r="J152" i="1" s="1"/>
  <c r="I151" i="1"/>
  <c r="I152" i="1" s="1"/>
  <c r="H151" i="1"/>
  <c r="G151" i="1"/>
  <c r="G152" i="1" s="1"/>
  <c r="F151" i="1"/>
  <c r="F152" i="1" s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AL145" i="1" s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AJ141" i="1"/>
  <c r="AI141" i="1"/>
  <c r="AH141" i="1"/>
  <c r="AH148" i="1" s="1"/>
  <c r="AG141" i="1"/>
  <c r="AF141" i="1"/>
  <c r="AF148" i="1" s="1"/>
  <c r="AE141" i="1"/>
  <c r="AE148" i="1" s="1"/>
  <c r="AD141" i="1"/>
  <c r="AD148" i="1" s="1"/>
  <c r="AC141" i="1"/>
  <c r="AB141" i="1"/>
  <c r="AB148" i="1" s="1"/>
  <c r="AA141" i="1"/>
  <c r="Z141" i="1"/>
  <c r="Z148" i="1" s="1"/>
  <c r="Y141" i="1"/>
  <c r="X141" i="1"/>
  <c r="X148" i="1" s="1"/>
  <c r="W141" i="1"/>
  <c r="W148" i="1" s="1"/>
  <c r="V141" i="1"/>
  <c r="V148" i="1" s="1"/>
  <c r="U141" i="1"/>
  <c r="T141" i="1"/>
  <c r="T148" i="1" s="1"/>
  <c r="S141" i="1"/>
  <c r="R141" i="1"/>
  <c r="R148" i="1" s="1"/>
  <c r="Q141" i="1"/>
  <c r="P141" i="1"/>
  <c r="P148" i="1" s="1"/>
  <c r="O141" i="1"/>
  <c r="O148" i="1" s="1"/>
  <c r="N141" i="1"/>
  <c r="N148" i="1" s="1"/>
  <c r="M141" i="1"/>
  <c r="L141" i="1"/>
  <c r="L148" i="1" s="1"/>
  <c r="K141" i="1"/>
  <c r="J141" i="1"/>
  <c r="J148" i="1" s="1"/>
  <c r="I141" i="1"/>
  <c r="H141" i="1"/>
  <c r="H148" i="1" s="1"/>
  <c r="G141" i="1"/>
  <c r="G148" i="1" s="1"/>
  <c r="F141" i="1"/>
  <c r="F148" i="1" s="1"/>
  <c r="C141" i="1"/>
  <c r="AJ140" i="1"/>
  <c r="AJ147" i="1" s="1"/>
  <c r="AI140" i="1"/>
  <c r="AH140" i="1"/>
  <c r="AG140" i="1"/>
  <c r="AG147" i="1" s="1"/>
  <c r="AF140" i="1"/>
  <c r="AF147" i="1" s="1"/>
  <c r="AE140" i="1"/>
  <c r="AD140" i="1"/>
  <c r="AC140" i="1"/>
  <c r="AC147" i="1" s="1"/>
  <c r="AB140" i="1"/>
  <c r="AB147" i="1" s="1"/>
  <c r="AA140" i="1"/>
  <c r="Z140" i="1"/>
  <c r="Y140" i="1"/>
  <c r="Y147" i="1" s="1"/>
  <c r="X140" i="1"/>
  <c r="X147" i="1" s="1"/>
  <c r="W140" i="1"/>
  <c r="V140" i="1"/>
  <c r="U140" i="1"/>
  <c r="U147" i="1" s="1"/>
  <c r="T140" i="1"/>
  <c r="T147" i="1" s="1"/>
  <c r="S140" i="1"/>
  <c r="R140" i="1"/>
  <c r="Q140" i="1"/>
  <c r="Q147" i="1" s="1"/>
  <c r="P140" i="1"/>
  <c r="P147" i="1" s="1"/>
  <c r="O140" i="1"/>
  <c r="N140" i="1"/>
  <c r="M140" i="1"/>
  <c r="M147" i="1" s="1"/>
  <c r="L140" i="1"/>
  <c r="L147" i="1" s="1"/>
  <c r="K140" i="1"/>
  <c r="J140" i="1"/>
  <c r="I140" i="1"/>
  <c r="I147" i="1" s="1"/>
  <c r="H140" i="1"/>
  <c r="H147" i="1" s="1"/>
  <c r="G140" i="1"/>
  <c r="F140" i="1"/>
  <c r="C140" i="1"/>
  <c r="AL138" i="1"/>
  <c r="AL137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H133" i="1"/>
  <c r="G133" i="1"/>
  <c r="AL132" i="1"/>
  <c r="AJ132" i="1"/>
  <c r="AI132" i="1"/>
  <c r="AI148" i="1" s="1"/>
  <c r="AH132" i="1"/>
  <c r="AG132" i="1"/>
  <c r="AF132" i="1"/>
  <c r="AE132" i="1"/>
  <c r="AD132" i="1"/>
  <c r="AC132" i="1"/>
  <c r="AB132" i="1"/>
  <c r="AA132" i="1"/>
  <c r="AA148" i="1" s="1"/>
  <c r="Z132" i="1"/>
  <c r="Y132" i="1"/>
  <c r="X132" i="1"/>
  <c r="W132" i="1"/>
  <c r="V132" i="1"/>
  <c r="U132" i="1"/>
  <c r="T132" i="1"/>
  <c r="S132" i="1"/>
  <c r="S148" i="1" s="1"/>
  <c r="R132" i="1"/>
  <c r="Q132" i="1"/>
  <c r="P132" i="1"/>
  <c r="O132" i="1"/>
  <c r="N132" i="1"/>
  <c r="M132" i="1"/>
  <c r="L132" i="1"/>
  <c r="K132" i="1"/>
  <c r="K148" i="1" s="1"/>
  <c r="J132" i="1"/>
  <c r="I132" i="1"/>
  <c r="H132" i="1"/>
  <c r="G132" i="1"/>
  <c r="F132" i="1"/>
  <c r="AJ131" i="1"/>
  <c r="AI131" i="1"/>
  <c r="AI147" i="1" s="1"/>
  <c r="AH131" i="1"/>
  <c r="AG131" i="1"/>
  <c r="AF131" i="1"/>
  <c r="AE131" i="1"/>
  <c r="AE147" i="1" s="1"/>
  <c r="AD131" i="1"/>
  <c r="AC131" i="1"/>
  <c r="AB131" i="1"/>
  <c r="AA131" i="1"/>
  <c r="AA147" i="1" s="1"/>
  <c r="Z131" i="1"/>
  <c r="Y131" i="1"/>
  <c r="X131" i="1"/>
  <c r="W131" i="1"/>
  <c r="W147" i="1" s="1"/>
  <c r="V131" i="1"/>
  <c r="U131" i="1"/>
  <c r="T131" i="1"/>
  <c r="S131" i="1"/>
  <c r="S147" i="1" s="1"/>
  <c r="R131" i="1"/>
  <c r="Q131" i="1"/>
  <c r="P131" i="1"/>
  <c r="O131" i="1"/>
  <c r="O147" i="1" s="1"/>
  <c r="N131" i="1"/>
  <c r="M131" i="1"/>
  <c r="L131" i="1"/>
  <c r="K131" i="1"/>
  <c r="K147" i="1" s="1"/>
  <c r="J131" i="1"/>
  <c r="I131" i="1"/>
  <c r="H131" i="1"/>
  <c r="G131" i="1"/>
  <c r="G147" i="1" s="1"/>
  <c r="F131" i="1"/>
  <c r="AL129" i="1"/>
  <c r="AL128" i="1"/>
  <c r="X126" i="1"/>
  <c r="H126" i="1"/>
  <c r="AJ125" i="1"/>
  <c r="AJ126" i="1" s="1"/>
  <c r="AI125" i="1"/>
  <c r="AI126" i="1" s="1"/>
  <c r="AH125" i="1"/>
  <c r="AH126" i="1" s="1"/>
  <c r="AG125" i="1"/>
  <c r="AG126" i="1" s="1"/>
  <c r="AF125" i="1"/>
  <c r="AF126" i="1" s="1"/>
  <c r="AE125" i="1"/>
  <c r="AE126" i="1" s="1"/>
  <c r="AD125" i="1"/>
  <c r="AD126" i="1" s="1"/>
  <c r="AC125" i="1"/>
  <c r="AC126" i="1" s="1"/>
  <c r="AB125" i="1"/>
  <c r="AB126" i="1" s="1"/>
  <c r="AA125" i="1"/>
  <c r="AA126" i="1" s="1"/>
  <c r="Z125" i="1"/>
  <c r="Z126" i="1" s="1"/>
  <c r="Y125" i="1"/>
  <c r="Y126" i="1" s="1"/>
  <c r="X125" i="1"/>
  <c r="W125" i="1"/>
  <c r="W126" i="1" s="1"/>
  <c r="V125" i="1"/>
  <c r="U125" i="1"/>
  <c r="U126" i="1" s="1"/>
  <c r="T125" i="1"/>
  <c r="T126" i="1" s="1"/>
  <c r="S125" i="1"/>
  <c r="S126" i="1" s="1"/>
  <c r="R125" i="1"/>
  <c r="R126" i="1" s="1"/>
  <c r="Q125" i="1"/>
  <c r="Q126" i="1" s="1"/>
  <c r="P125" i="1"/>
  <c r="P126" i="1" s="1"/>
  <c r="O125" i="1"/>
  <c r="O126" i="1" s="1"/>
  <c r="N125" i="1"/>
  <c r="N126" i="1" s="1"/>
  <c r="M125" i="1"/>
  <c r="M126" i="1" s="1"/>
  <c r="L125" i="1"/>
  <c r="L126" i="1" s="1"/>
  <c r="K125" i="1"/>
  <c r="K126" i="1" s="1"/>
  <c r="J125" i="1"/>
  <c r="J126" i="1" s="1"/>
  <c r="I125" i="1"/>
  <c r="H125" i="1"/>
  <c r="G125" i="1"/>
  <c r="G126" i="1" s="1"/>
  <c r="F125" i="1"/>
  <c r="V124" i="1"/>
  <c r="I124" i="1"/>
  <c r="I215" i="1" s="1"/>
  <c r="F124" i="1"/>
  <c r="F215" i="1" s="1"/>
  <c r="U123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AJ114" i="1"/>
  <c r="AJ121" i="1" s="1"/>
  <c r="AI114" i="1"/>
  <c r="AH114" i="1"/>
  <c r="AG114" i="1"/>
  <c r="AF114" i="1"/>
  <c r="AF121" i="1" s="1"/>
  <c r="AE114" i="1"/>
  <c r="AD114" i="1"/>
  <c r="AC114" i="1"/>
  <c r="AB114" i="1"/>
  <c r="AB121" i="1" s="1"/>
  <c r="AA114" i="1"/>
  <c r="Z114" i="1"/>
  <c r="Y114" i="1"/>
  <c r="X114" i="1"/>
  <c r="X121" i="1" s="1"/>
  <c r="W114" i="1"/>
  <c r="V114" i="1"/>
  <c r="U114" i="1"/>
  <c r="T114" i="1"/>
  <c r="T121" i="1" s="1"/>
  <c r="S114" i="1"/>
  <c r="R114" i="1"/>
  <c r="Q114" i="1"/>
  <c r="P114" i="1"/>
  <c r="P121" i="1" s="1"/>
  <c r="O114" i="1"/>
  <c r="N114" i="1"/>
  <c r="M114" i="1"/>
  <c r="L114" i="1"/>
  <c r="L121" i="1" s="1"/>
  <c r="K114" i="1"/>
  <c r="J114" i="1"/>
  <c r="I114" i="1"/>
  <c r="H114" i="1"/>
  <c r="H121" i="1" s="1"/>
  <c r="G114" i="1"/>
  <c r="F114" i="1"/>
  <c r="AJ113" i="1"/>
  <c r="AJ120" i="1" s="1"/>
  <c r="AI113" i="1"/>
  <c r="AI120" i="1" s="1"/>
  <c r="AH113" i="1"/>
  <c r="AG113" i="1"/>
  <c r="AF113" i="1"/>
  <c r="AF120" i="1" s="1"/>
  <c r="AE113" i="1"/>
  <c r="AE120" i="1" s="1"/>
  <c r="AD113" i="1"/>
  <c r="AC113" i="1"/>
  <c r="AB113" i="1"/>
  <c r="AB120" i="1" s="1"/>
  <c r="AA113" i="1"/>
  <c r="AA120" i="1" s="1"/>
  <c r="Z113" i="1"/>
  <c r="Y113" i="1"/>
  <c r="X113" i="1"/>
  <c r="X120" i="1" s="1"/>
  <c r="W113" i="1"/>
  <c r="W120" i="1" s="1"/>
  <c r="V113" i="1"/>
  <c r="U113" i="1"/>
  <c r="T113" i="1"/>
  <c r="T120" i="1" s="1"/>
  <c r="S113" i="1"/>
  <c r="S120" i="1" s="1"/>
  <c r="R113" i="1"/>
  <c r="Q113" i="1"/>
  <c r="P113" i="1"/>
  <c r="P120" i="1" s="1"/>
  <c r="O113" i="1"/>
  <c r="O120" i="1" s="1"/>
  <c r="N113" i="1"/>
  <c r="M113" i="1"/>
  <c r="L113" i="1"/>
  <c r="L120" i="1" s="1"/>
  <c r="K113" i="1"/>
  <c r="K120" i="1" s="1"/>
  <c r="J113" i="1"/>
  <c r="I113" i="1"/>
  <c r="H113" i="1"/>
  <c r="H120" i="1" s="1"/>
  <c r="G113" i="1"/>
  <c r="G120" i="1" s="1"/>
  <c r="F113" i="1"/>
  <c r="AL111" i="1"/>
  <c r="AL110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AJ106" i="1"/>
  <c r="AI106" i="1"/>
  <c r="AH106" i="1"/>
  <c r="AG106" i="1"/>
  <c r="AF106" i="1"/>
  <c r="AE106" i="1"/>
  <c r="AD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R121" i="1" s="1"/>
  <c r="Q105" i="1"/>
  <c r="P105" i="1"/>
  <c r="O105" i="1"/>
  <c r="N105" i="1"/>
  <c r="M105" i="1"/>
  <c r="L105" i="1"/>
  <c r="K105" i="1"/>
  <c r="J105" i="1"/>
  <c r="I105" i="1"/>
  <c r="H105" i="1"/>
  <c r="G105" i="1"/>
  <c r="F105" i="1"/>
  <c r="AL104" i="1"/>
  <c r="AJ104" i="1"/>
  <c r="AI104" i="1"/>
  <c r="AH104" i="1"/>
  <c r="AH120" i="1" s="1"/>
  <c r="AG104" i="1"/>
  <c r="AF104" i="1"/>
  <c r="AE104" i="1"/>
  <c r="AD104" i="1"/>
  <c r="AD120" i="1" s="1"/>
  <c r="AC104" i="1"/>
  <c r="AB104" i="1"/>
  <c r="AA104" i="1"/>
  <c r="Z104" i="1"/>
  <c r="Z120" i="1" s="1"/>
  <c r="Y104" i="1"/>
  <c r="X104" i="1"/>
  <c r="W104" i="1"/>
  <c r="V104" i="1"/>
  <c r="U104" i="1"/>
  <c r="T104" i="1"/>
  <c r="S104" i="1"/>
  <c r="R104" i="1"/>
  <c r="R120" i="1" s="1"/>
  <c r="Q104" i="1"/>
  <c r="P104" i="1"/>
  <c r="O104" i="1"/>
  <c r="N104" i="1"/>
  <c r="N120" i="1" s="1"/>
  <c r="M104" i="1"/>
  <c r="L104" i="1"/>
  <c r="K104" i="1"/>
  <c r="J104" i="1"/>
  <c r="J120" i="1" s="1"/>
  <c r="I104" i="1"/>
  <c r="H104" i="1"/>
  <c r="G104" i="1"/>
  <c r="F104" i="1"/>
  <c r="AL102" i="1"/>
  <c r="AL105" i="1" s="1"/>
  <c r="AL101" i="1"/>
  <c r="AL99" i="1"/>
  <c r="AG98" i="1"/>
  <c r="Y98" i="1"/>
  <c r="U98" i="1"/>
  <c r="Q98" i="1"/>
  <c r="M98" i="1"/>
  <c r="L98" i="1"/>
  <c r="AJ97" i="1"/>
  <c r="AJ98" i="1" s="1"/>
  <c r="AI97" i="1"/>
  <c r="AI98" i="1" s="1"/>
  <c r="AH97" i="1"/>
  <c r="AH98" i="1" s="1"/>
  <c r="AG97" i="1"/>
  <c r="AF97" i="1"/>
  <c r="AF98" i="1" s="1"/>
  <c r="AE97" i="1"/>
  <c r="AE98" i="1" s="1"/>
  <c r="AD97" i="1"/>
  <c r="AD98" i="1" s="1"/>
  <c r="AC97" i="1"/>
  <c r="AB97" i="1"/>
  <c r="AB98" i="1" s="1"/>
  <c r="AA97" i="1"/>
  <c r="AA98" i="1" s="1"/>
  <c r="Z97" i="1"/>
  <c r="Z98" i="1" s="1"/>
  <c r="Y97" i="1"/>
  <c r="X97" i="1"/>
  <c r="X98" i="1" s="1"/>
  <c r="W97" i="1"/>
  <c r="W98" i="1" s="1"/>
  <c r="V97" i="1"/>
  <c r="V98" i="1" s="1"/>
  <c r="U97" i="1"/>
  <c r="T97" i="1"/>
  <c r="T98" i="1" s="1"/>
  <c r="S97" i="1"/>
  <c r="S98" i="1" s="1"/>
  <c r="R97" i="1"/>
  <c r="R98" i="1" s="1"/>
  <c r="Q97" i="1"/>
  <c r="P97" i="1"/>
  <c r="P98" i="1" s="1"/>
  <c r="O97" i="1"/>
  <c r="O98" i="1" s="1"/>
  <c r="N97" i="1"/>
  <c r="N98" i="1" s="1"/>
  <c r="M97" i="1"/>
  <c r="L97" i="1"/>
  <c r="K97" i="1"/>
  <c r="K98" i="1" s="1"/>
  <c r="J97" i="1"/>
  <c r="J98" i="1" s="1"/>
  <c r="I97" i="1"/>
  <c r="I98" i="1" s="1"/>
  <c r="H97" i="1"/>
  <c r="H98" i="1" s="1"/>
  <c r="G97" i="1"/>
  <c r="G98" i="1" s="1"/>
  <c r="F97" i="1"/>
  <c r="F98" i="1" s="1"/>
  <c r="AC96" i="1"/>
  <c r="AC98" i="1" s="1"/>
  <c r="R94" i="1"/>
  <c r="AB93" i="1"/>
  <c r="L93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AJ87" i="1"/>
  <c r="AI87" i="1"/>
  <c r="AH87" i="1"/>
  <c r="AH94" i="1" s="1"/>
  <c r="AG87" i="1"/>
  <c r="AF87" i="1"/>
  <c r="AE87" i="1"/>
  <c r="AD87" i="1"/>
  <c r="AC87" i="1"/>
  <c r="AB87" i="1"/>
  <c r="AA87" i="1"/>
  <c r="Z87" i="1"/>
  <c r="Z94" i="1" s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J94" i="1" s="1"/>
  <c r="I87" i="1"/>
  <c r="H87" i="1"/>
  <c r="H94" i="1" s="1"/>
  <c r="G87" i="1"/>
  <c r="F87" i="1"/>
  <c r="AJ86" i="1"/>
  <c r="AJ93" i="1" s="1"/>
  <c r="AI86" i="1"/>
  <c r="AH86" i="1"/>
  <c r="AG86" i="1"/>
  <c r="AF86" i="1"/>
  <c r="AF93" i="1" s="1"/>
  <c r="AE86" i="1"/>
  <c r="AD86" i="1"/>
  <c r="AC86" i="1"/>
  <c r="AB86" i="1"/>
  <c r="AA86" i="1"/>
  <c r="Z86" i="1"/>
  <c r="Y86" i="1"/>
  <c r="X86" i="1"/>
  <c r="X93" i="1" s="1"/>
  <c r="W86" i="1"/>
  <c r="V86" i="1"/>
  <c r="U86" i="1"/>
  <c r="T86" i="1"/>
  <c r="T93" i="1" s="1"/>
  <c r="S86" i="1"/>
  <c r="R86" i="1"/>
  <c r="Q86" i="1"/>
  <c r="P86" i="1"/>
  <c r="P93" i="1" s="1"/>
  <c r="O86" i="1"/>
  <c r="N86" i="1"/>
  <c r="M86" i="1"/>
  <c r="K86" i="1"/>
  <c r="J86" i="1"/>
  <c r="I86" i="1"/>
  <c r="H86" i="1"/>
  <c r="H93" i="1" s="1"/>
  <c r="G86" i="1"/>
  <c r="F86" i="1"/>
  <c r="AL84" i="1"/>
  <c r="AL83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G78" i="1"/>
  <c r="F78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K93" i="1" s="1"/>
  <c r="J77" i="1"/>
  <c r="I77" i="1"/>
  <c r="H77" i="1"/>
  <c r="G77" i="1"/>
  <c r="G93" i="1" s="1"/>
  <c r="F77" i="1"/>
  <c r="AL75" i="1"/>
  <c r="AL78" i="1" s="1"/>
  <c r="AL74" i="1"/>
  <c r="AL77" i="1" s="1"/>
  <c r="AL72" i="1"/>
  <c r="AF71" i="1"/>
  <c r="AB71" i="1"/>
  <c r="X71" i="1"/>
  <c r="P71" i="1"/>
  <c r="L71" i="1"/>
  <c r="H71" i="1"/>
  <c r="AJ70" i="1"/>
  <c r="AJ71" i="1" s="1"/>
  <c r="AI70" i="1"/>
  <c r="AI71" i="1" s="1"/>
  <c r="AH70" i="1"/>
  <c r="AH71" i="1" s="1"/>
  <c r="AG70" i="1"/>
  <c r="AG71" i="1" s="1"/>
  <c r="AF70" i="1"/>
  <c r="AE70" i="1"/>
  <c r="AE71" i="1" s="1"/>
  <c r="AD70" i="1"/>
  <c r="AD71" i="1" s="1"/>
  <c r="AC70" i="1"/>
  <c r="AC71" i="1" s="1"/>
  <c r="AB70" i="1"/>
  <c r="AA70" i="1"/>
  <c r="AA71" i="1" s="1"/>
  <c r="Z70" i="1"/>
  <c r="Z71" i="1" s="1"/>
  <c r="Y70" i="1"/>
  <c r="Y71" i="1" s="1"/>
  <c r="X70" i="1"/>
  <c r="W70" i="1"/>
  <c r="W71" i="1" s="1"/>
  <c r="V70" i="1"/>
  <c r="V71" i="1" s="1"/>
  <c r="U70" i="1"/>
  <c r="U71" i="1" s="1"/>
  <c r="T70" i="1"/>
  <c r="T71" i="1" s="1"/>
  <c r="S70" i="1"/>
  <c r="S71" i="1" s="1"/>
  <c r="R70" i="1"/>
  <c r="R71" i="1" s="1"/>
  <c r="Q70" i="1"/>
  <c r="Q71" i="1" s="1"/>
  <c r="P70" i="1"/>
  <c r="O70" i="1"/>
  <c r="O71" i="1" s="1"/>
  <c r="N70" i="1"/>
  <c r="N71" i="1" s="1"/>
  <c r="M70" i="1"/>
  <c r="M71" i="1" s="1"/>
  <c r="L70" i="1"/>
  <c r="K70" i="1"/>
  <c r="K71" i="1" s="1"/>
  <c r="J70" i="1"/>
  <c r="J71" i="1" s="1"/>
  <c r="I70" i="1"/>
  <c r="I71" i="1" s="1"/>
  <c r="H70" i="1"/>
  <c r="G70" i="1"/>
  <c r="G71" i="1" s="1"/>
  <c r="F70" i="1"/>
  <c r="F71" i="1" s="1"/>
  <c r="AL69" i="1"/>
  <c r="AL68" i="1"/>
  <c r="AG66" i="1"/>
  <c r="AF66" i="1"/>
  <c r="AE66" i="1"/>
  <c r="AA66" i="1"/>
  <c r="Z66" i="1"/>
  <c r="U66" i="1"/>
  <c r="S66" i="1"/>
  <c r="R66" i="1"/>
  <c r="Q66" i="1"/>
  <c r="P66" i="1"/>
  <c r="O66" i="1"/>
  <c r="N66" i="1"/>
  <c r="M66" i="1"/>
  <c r="L66" i="1"/>
  <c r="K66" i="1"/>
  <c r="J66" i="1"/>
  <c r="G66" i="1"/>
  <c r="AL65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AL62" i="1"/>
  <c r="Y60" i="1"/>
  <c r="X60" i="1"/>
  <c r="U60" i="1"/>
  <c r="AL60" i="1" s="1"/>
  <c r="AJ58" i="1"/>
  <c r="AJ66" i="1" s="1"/>
  <c r="AI58" i="1"/>
  <c r="AI66" i="1" s="1"/>
  <c r="AH58" i="1"/>
  <c r="AH66" i="1" s="1"/>
  <c r="AD58" i="1"/>
  <c r="AC58" i="1"/>
  <c r="AB58" i="1"/>
  <c r="AB66" i="1" s="1"/>
  <c r="Y58" i="1"/>
  <c r="Y66" i="1" s="1"/>
  <c r="X58" i="1"/>
  <c r="W58" i="1"/>
  <c r="V58" i="1"/>
  <c r="U58" i="1"/>
  <c r="T58" i="1"/>
  <c r="T66" i="1" s="1"/>
  <c r="I58" i="1"/>
  <c r="I66" i="1" s="1"/>
  <c r="H58" i="1"/>
  <c r="H66" i="1" s="1"/>
  <c r="F58" i="1"/>
  <c r="F66" i="1" s="1"/>
  <c r="U56" i="1"/>
  <c r="M55" i="1"/>
  <c r="Q54" i="1"/>
  <c r="P54" i="1"/>
  <c r="Q53" i="1"/>
  <c r="P53" i="1"/>
  <c r="AJ52" i="1"/>
  <c r="AI52" i="1"/>
  <c r="AH52" i="1"/>
  <c r="AG52" i="1"/>
  <c r="AF52" i="1"/>
  <c r="AE52" i="1"/>
  <c r="AD52" i="1"/>
  <c r="AC52" i="1"/>
  <c r="AB52" i="1"/>
  <c r="AA52" i="1"/>
  <c r="Z52" i="1"/>
  <c r="AJ51" i="1"/>
  <c r="AI51" i="1"/>
  <c r="AH51" i="1"/>
  <c r="AG51" i="1"/>
  <c r="AF51" i="1"/>
  <c r="AE51" i="1"/>
  <c r="AD51" i="1"/>
  <c r="AC51" i="1"/>
  <c r="AB51" i="1"/>
  <c r="AA51" i="1"/>
  <c r="Z51" i="1"/>
  <c r="R51" i="1"/>
  <c r="AI50" i="1"/>
  <c r="V50" i="1"/>
  <c r="F50" i="1"/>
  <c r="AI49" i="1"/>
  <c r="Z49" i="1"/>
  <c r="J49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Y38" i="1" s="1"/>
  <c r="X45" i="1"/>
  <c r="W45" i="1"/>
  <c r="V45" i="1"/>
  <c r="U45" i="1"/>
  <c r="U38" i="1" s="1"/>
  <c r="T45" i="1"/>
  <c r="S45" i="1"/>
  <c r="R45" i="1"/>
  <c r="Q45" i="1"/>
  <c r="P45" i="1"/>
  <c r="O45" i="1"/>
  <c r="N45" i="1"/>
  <c r="M45" i="1"/>
  <c r="L45" i="1"/>
  <c r="K45" i="1"/>
  <c r="J45" i="1"/>
  <c r="I45" i="1"/>
  <c r="I33" i="1" s="1"/>
  <c r="H45" i="1"/>
  <c r="G45" i="1"/>
  <c r="F45" i="1"/>
  <c r="AI42" i="1"/>
  <c r="AL41" i="1"/>
  <c r="AL40" i="1"/>
  <c r="AJ39" i="1"/>
  <c r="AJ56" i="1" s="1"/>
  <c r="AI39" i="1"/>
  <c r="AI55" i="1" s="1"/>
  <c r="AH39" i="1"/>
  <c r="AG39" i="1"/>
  <c r="AG56" i="1" s="1"/>
  <c r="AF39" i="1"/>
  <c r="AF56" i="1" s="1"/>
  <c r="AE39" i="1"/>
  <c r="AD39" i="1"/>
  <c r="AC39" i="1"/>
  <c r="AC55" i="1" s="1"/>
  <c r="AB39" i="1"/>
  <c r="AB56" i="1" s="1"/>
  <c r="AA39" i="1"/>
  <c r="Z39" i="1"/>
  <c r="Y39" i="1"/>
  <c r="Y56" i="1" s="1"/>
  <c r="X39" i="1"/>
  <c r="X56" i="1" s="1"/>
  <c r="W39" i="1"/>
  <c r="W38" i="1" s="1"/>
  <c r="V39" i="1"/>
  <c r="U39" i="1"/>
  <c r="U55" i="1" s="1"/>
  <c r="T39" i="1"/>
  <c r="T56" i="1" s="1"/>
  <c r="S39" i="1"/>
  <c r="R39" i="1"/>
  <c r="Q39" i="1"/>
  <c r="Q56" i="1" s="1"/>
  <c r="P39" i="1"/>
  <c r="P56" i="1" s="1"/>
  <c r="O39" i="1"/>
  <c r="N39" i="1"/>
  <c r="M39" i="1"/>
  <c r="M56" i="1" s="1"/>
  <c r="L39" i="1"/>
  <c r="L56" i="1" s="1"/>
  <c r="K39" i="1"/>
  <c r="J39" i="1"/>
  <c r="I39" i="1"/>
  <c r="I56" i="1" s="1"/>
  <c r="H39" i="1"/>
  <c r="H56" i="1" s="1"/>
  <c r="G39" i="1"/>
  <c r="F39" i="1"/>
  <c r="D39" i="1"/>
  <c r="AC38" i="1"/>
  <c r="V38" i="1"/>
  <c r="V13" i="1" s="1"/>
  <c r="V61" i="1" s="1"/>
  <c r="H38" i="1"/>
  <c r="G38" i="1"/>
  <c r="AL36" i="1"/>
  <c r="X36" i="1"/>
  <c r="AL35" i="1"/>
  <c r="AJ34" i="1"/>
  <c r="AJ33" i="1" s="1"/>
  <c r="AJ13" i="1" s="1"/>
  <c r="AJ61" i="1" s="1"/>
  <c r="AI34" i="1"/>
  <c r="AH34" i="1"/>
  <c r="AH54" i="1" s="1"/>
  <c r="AG34" i="1"/>
  <c r="AG53" i="1" s="1"/>
  <c r="AF34" i="1"/>
  <c r="AF54" i="1" s="1"/>
  <c r="AE34" i="1"/>
  <c r="AD34" i="1"/>
  <c r="AD53" i="1" s="1"/>
  <c r="AC34" i="1"/>
  <c r="AC54" i="1" s="1"/>
  <c r="AB34" i="1"/>
  <c r="AB54" i="1" s="1"/>
  <c r="AA34" i="1"/>
  <c r="Z34" i="1"/>
  <c r="Z53" i="1" s="1"/>
  <c r="Y34" i="1"/>
  <c r="Y53" i="1" s="1"/>
  <c r="X34" i="1"/>
  <c r="X53" i="1" s="1"/>
  <c r="W34" i="1"/>
  <c r="V34" i="1"/>
  <c r="V54" i="1" s="1"/>
  <c r="U34" i="1"/>
  <c r="U54" i="1" s="1"/>
  <c r="T34" i="1"/>
  <c r="T54" i="1" s="1"/>
  <c r="S34" i="1"/>
  <c r="R34" i="1"/>
  <c r="R54" i="1" s="1"/>
  <c r="O34" i="1"/>
  <c r="N34" i="1"/>
  <c r="N54" i="1" s="1"/>
  <c r="M34" i="1"/>
  <c r="M54" i="1" s="1"/>
  <c r="L34" i="1"/>
  <c r="L54" i="1" s="1"/>
  <c r="K34" i="1"/>
  <c r="J34" i="1"/>
  <c r="J53" i="1" s="1"/>
  <c r="I34" i="1"/>
  <c r="I53" i="1" s="1"/>
  <c r="H34" i="1"/>
  <c r="H54" i="1" s="1"/>
  <c r="G34" i="1"/>
  <c r="F34" i="1"/>
  <c r="F54" i="1" s="1"/>
  <c r="D34" i="1"/>
  <c r="AI33" i="1"/>
  <c r="X33" i="1"/>
  <c r="H33" i="1"/>
  <c r="G33" i="1"/>
  <c r="W31" i="1"/>
  <c r="W29" i="1" s="1"/>
  <c r="W51" i="1" s="1"/>
  <c r="U31" i="1"/>
  <c r="AL30" i="1"/>
  <c r="Y29" i="1"/>
  <c r="Y51" i="1" s="1"/>
  <c r="X29" i="1"/>
  <c r="X52" i="1" s="1"/>
  <c r="V29" i="1"/>
  <c r="V52" i="1" s="1"/>
  <c r="U29" i="1"/>
  <c r="U51" i="1" s="1"/>
  <c r="T29" i="1"/>
  <c r="T52" i="1" s="1"/>
  <c r="S29" i="1"/>
  <c r="S52" i="1" s="1"/>
  <c r="R29" i="1"/>
  <c r="R52" i="1" s="1"/>
  <c r="Q29" i="1"/>
  <c r="Q51" i="1" s="1"/>
  <c r="P29" i="1"/>
  <c r="P52" i="1" s="1"/>
  <c r="O29" i="1"/>
  <c r="O52" i="1" s="1"/>
  <c r="N29" i="1"/>
  <c r="N52" i="1" s="1"/>
  <c r="M29" i="1"/>
  <c r="M51" i="1" s="1"/>
  <c r="L29" i="1"/>
  <c r="L52" i="1" s="1"/>
  <c r="K29" i="1"/>
  <c r="K52" i="1" s="1"/>
  <c r="J29" i="1"/>
  <c r="J52" i="1" s="1"/>
  <c r="I29" i="1"/>
  <c r="I51" i="1" s="1"/>
  <c r="H29" i="1"/>
  <c r="H52" i="1" s="1"/>
  <c r="G29" i="1"/>
  <c r="G52" i="1" s="1"/>
  <c r="F29" i="1"/>
  <c r="F52" i="1" s="1"/>
  <c r="D29" i="1"/>
  <c r="I27" i="1"/>
  <c r="AL26" i="1"/>
  <c r="AJ25" i="1"/>
  <c r="AJ50" i="1" s="1"/>
  <c r="AH25" i="1"/>
  <c r="AH50" i="1" s="1"/>
  <c r="AG25" i="1"/>
  <c r="AG50" i="1" s="1"/>
  <c r="AF25" i="1"/>
  <c r="AF50" i="1" s="1"/>
  <c r="AE25" i="1"/>
  <c r="AE50" i="1" s="1"/>
  <c r="AD25" i="1"/>
  <c r="AD50" i="1" s="1"/>
  <c r="AC25" i="1"/>
  <c r="AC50" i="1" s="1"/>
  <c r="AB25" i="1"/>
  <c r="AB50" i="1" s="1"/>
  <c r="AA25" i="1"/>
  <c r="AA50" i="1" s="1"/>
  <c r="Z25" i="1"/>
  <c r="Z50" i="1" s="1"/>
  <c r="Y25" i="1"/>
  <c r="Y50" i="1" s="1"/>
  <c r="X25" i="1"/>
  <c r="X50" i="1" s="1"/>
  <c r="W25" i="1"/>
  <c r="W50" i="1" s="1"/>
  <c r="V25" i="1"/>
  <c r="V49" i="1" s="1"/>
  <c r="U25" i="1"/>
  <c r="U50" i="1" s="1"/>
  <c r="T25" i="1"/>
  <c r="T50" i="1" s="1"/>
  <c r="S25" i="1"/>
  <c r="S50" i="1" s="1"/>
  <c r="R25" i="1"/>
  <c r="R50" i="1" s="1"/>
  <c r="Q25" i="1"/>
  <c r="Q50" i="1" s="1"/>
  <c r="P25" i="1"/>
  <c r="P50" i="1" s="1"/>
  <c r="O25" i="1"/>
  <c r="O50" i="1" s="1"/>
  <c r="N25" i="1"/>
  <c r="N50" i="1" s="1"/>
  <c r="M25" i="1"/>
  <c r="M50" i="1" s="1"/>
  <c r="L25" i="1"/>
  <c r="L50" i="1" s="1"/>
  <c r="K25" i="1"/>
  <c r="K50" i="1" s="1"/>
  <c r="J25" i="1"/>
  <c r="J50" i="1" s="1"/>
  <c r="I25" i="1"/>
  <c r="I49" i="1" s="1"/>
  <c r="H25" i="1"/>
  <c r="H50" i="1" s="1"/>
  <c r="G25" i="1"/>
  <c r="G50" i="1" s="1"/>
  <c r="F25" i="1"/>
  <c r="F49" i="1" s="1"/>
  <c r="D25" i="1"/>
  <c r="AJ23" i="1"/>
  <c r="AE23" i="1"/>
  <c r="AD23" i="1"/>
  <c r="Y23" i="1"/>
  <c r="T23" i="1"/>
  <c r="T21" i="1" s="1"/>
  <c r="T47" i="1" s="1"/>
  <c r="S23" i="1"/>
  <c r="R23" i="1"/>
  <c r="G23" i="1"/>
  <c r="AJ22" i="1"/>
  <c r="AE22" i="1"/>
  <c r="AI21" i="1"/>
  <c r="AI48" i="1" s="1"/>
  <c r="AH21" i="1"/>
  <c r="AH48" i="1" s="1"/>
  <c r="AG21" i="1"/>
  <c r="AG48" i="1" s="1"/>
  <c r="AF21" i="1"/>
  <c r="AF48" i="1" s="1"/>
  <c r="AD21" i="1"/>
  <c r="AD43" i="1" s="1"/>
  <c r="AC21" i="1"/>
  <c r="AC48" i="1" s="1"/>
  <c r="AB21" i="1"/>
  <c r="AB48" i="1" s="1"/>
  <c r="AA21" i="1"/>
  <c r="AA48" i="1" s="1"/>
  <c r="Z21" i="1"/>
  <c r="Z47" i="1" s="1"/>
  <c r="Y21" i="1"/>
  <c r="Y47" i="1" s="1"/>
  <c r="X21" i="1"/>
  <c r="X48" i="1" s="1"/>
  <c r="W21" i="1"/>
  <c r="W48" i="1" s="1"/>
  <c r="V21" i="1"/>
  <c r="V48" i="1" s="1"/>
  <c r="U21" i="1"/>
  <c r="U48" i="1" s="1"/>
  <c r="S21" i="1"/>
  <c r="S47" i="1" s="1"/>
  <c r="R21" i="1"/>
  <c r="R43" i="1" s="1"/>
  <c r="Q21" i="1"/>
  <c r="Q48" i="1" s="1"/>
  <c r="P21" i="1"/>
  <c r="P48" i="1" s="1"/>
  <c r="O21" i="1"/>
  <c r="O48" i="1" s="1"/>
  <c r="N21" i="1"/>
  <c r="N48" i="1" s="1"/>
  <c r="M21" i="1"/>
  <c r="M48" i="1" s="1"/>
  <c r="L21" i="1"/>
  <c r="L48" i="1" s="1"/>
  <c r="K21" i="1"/>
  <c r="K48" i="1" s="1"/>
  <c r="J21" i="1"/>
  <c r="J47" i="1" s="1"/>
  <c r="I21" i="1"/>
  <c r="I48" i="1" s="1"/>
  <c r="H21" i="1"/>
  <c r="H48" i="1" s="1"/>
  <c r="F21" i="1"/>
  <c r="D21" i="1"/>
  <c r="AL19" i="1"/>
  <c r="D19" i="1"/>
  <c r="AL18" i="1"/>
  <c r="D18" i="1"/>
  <c r="AL16" i="1"/>
  <c r="AL15" i="1"/>
  <c r="AL14" i="1"/>
  <c r="AH13" i="1"/>
  <c r="AH61" i="1" s="1"/>
  <c r="AG13" i="1"/>
  <c r="AG61" i="1" s="1"/>
  <c r="AF13" i="1"/>
  <c r="AF61" i="1" s="1"/>
  <c r="AE13" i="1"/>
  <c r="AE61" i="1" s="1"/>
  <c r="AB13" i="1"/>
  <c r="AB61" i="1" s="1"/>
  <c r="AA13" i="1"/>
  <c r="AA61" i="1" s="1"/>
  <c r="Z13" i="1"/>
  <c r="Z61" i="1" s="1"/>
  <c r="T13" i="1"/>
  <c r="T61" i="1" s="1"/>
  <c r="S13" i="1"/>
  <c r="S61" i="1" s="1"/>
  <c r="R13" i="1"/>
  <c r="R61" i="1" s="1"/>
  <c r="Q13" i="1"/>
  <c r="Q61" i="1" s="1"/>
  <c r="P13" i="1"/>
  <c r="P61" i="1" s="1"/>
  <c r="O13" i="1"/>
  <c r="O61" i="1" s="1"/>
  <c r="N13" i="1"/>
  <c r="N61" i="1" s="1"/>
  <c r="M13" i="1"/>
  <c r="M61" i="1" s="1"/>
  <c r="L13" i="1"/>
  <c r="L61" i="1" s="1"/>
  <c r="K13" i="1"/>
  <c r="K61" i="1" s="1"/>
  <c r="J13" i="1"/>
  <c r="J61" i="1" s="1"/>
  <c r="H13" i="1"/>
  <c r="H61" i="1" s="1"/>
  <c r="AH12" i="1"/>
  <c r="AH59" i="1" s="1"/>
  <c r="AG12" i="1"/>
  <c r="AG59" i="1" s="1"/>
  <c r="AF12" i="1"/>
  <c r="AF59" i="1" s="1"/>
  <c r="AE12" i="1"/>
  <c r="AE59" i="1" s="1"/>
  <c r="AB12" i="1"/>
  <c r="AB59" i="1" s="1"/>
  <c r="AA12" i="1"/>
  <c r="AA59" i="1" s="1"/>
  <c r="Z12" i="1"/>
  <c r="Z59" i="1" s="1"/>
  <c r="T12" i="1"/>
  <c r="S12" i="1"/>
  <c r="S59" i="1" s="1"/>
  <c r="R12" i="1"/>
  <c r="R59" i="1" s="1"/>
  <c r="Q12" i="1"/>
  <c r="Q59" i="1" s="1"/>
  <c r="P12" i="1"/>
  <c r="P59" i="1" s="1"/>
  <c r="O12" i="1"/>
  <c r="O59" i="1" s="1"/>
  <c r="N12" i="1"/>
  <c r="N59" i="1" s="1"/>
  <c r="M12" i="1"/>
  <c r="M59" i="1" s="1"/>
  <c r="L12" i="1"/>
  <c r="L59" i="1" s="1"/>
  <c r="BN59" i="1" s="1"/>
  <c r="K12" i="1"/>
  <c r="K59" i="1" s="1"/>
  <c r="BM59" i="1" s="1"/>
  <c r="J12" i="1"/>
  <c r="J59" i="1" s="1"/>
  <c r="H12" i="1"/>
  <c r="H59" i="1" s="1"/>
  <c r="AL11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AL10" i="1" s="1"/>
  <c r="H10" i="1"/>
  <c r="G10" i="1"/>
  <c r="F10" i="1"/>
  <c r="AL9" i="1"/>
  <c r="U13" i="1" l="1"/>
  <c r="U61" i="1" s="1"/>
  <c r="U12" i="1"/>
  <c r="Y13" i="1"/>
  <c r="Y61" i="1" s="1"/>
  <c r="Y12" i="1"/>
  <c r="O93" i="1"/>
  <c r="AE93" i="1"/>
  <c r="AL23" i="1"/>
  <c r="Y48" i="1"/>
  <c r="I50" i="1"/>
  <c r="G13" i="1"/>
  <c r="G61" i="1" s="1"/>
  <c r="AI38" i="1"/>
  <c r="F33" i="1"/>
  <c r="AD33" i="1"/>
  <c r="N49" i="1"/>
  <c r="AD49" i="1"/>
  <c r="F51" i="1"/>
  <c r="V51" i="1"/>
  <c r="F53" i="1"/>
  <c r="V53" i="1"/>
  <c r="AC56" i="1"/>
  <c r="X66" i="1"/>
  <c r="AL71" i="1"/>
  <c r="I94" i="1"/>
  <c r="M94" i="1"/>
  <c r="Q94" i="1"/>
  <c r="U94" i="1"/>
  <c r="Y94" i="1"/>
  <c r="AC94" i="1"/>
  <c r="AG94" i="1"/>
  <c r="AL98" i="1"/>
  <c r="AL107" i="1"/>
  <c r="AG121" i="1"/>
  <c r="AL141" i="1"/>
  <c r="I148" i="1"/>
  <c r="M148" i="1"/>
  <c r="Q148" i="1"/>
  <c r="U148" i="1"/>
  <c r="Y148" i="1"/>
  <c r="AC148" i="1"/>
  <c r="AG148" i="1"/>
  <c r="AL144" i="1"/>
  <c r="F171" i="1"/>
  <c r="F180" i="1" s="1"/>
  <c r="AL202" i="1"/>
  <c r="H210" i="1"/>
  <c r="H214" i="1"/>
  <c r="P214" i="1"/>
  <c r="X214" i="1"/>
  <c r="AF214" i="1"/>
  <c r="AL221" i="1"/>
  <c r="AL248" i="1"/>
  <c r="W93" i="1"/>
  <c r="AI93" i="1"/>
  <c r="G21" i="1"/>
  <c r="G47" i="1" s="1"/>
  <c r="AJ21" i="1"/>
  <c r="AJ43" i="1" s="1"/>
  <c r="R48" i="1"/>
  <c r="AD48" i="1"/>
  <c r="I38" i="1"/>
  <c r="I13" i="1" s="1"/>
  <c r="I61" i="1" s="1"/>
  <c r="X38" i="1"/>
  <c r="R49" i="1"/>
  <c r="AH49" i="1"/>
  <c r="J51" i="1"/>
  <c r="L53" i="1"/>
  <c r="AB53" i="1"/>
  <c r="M93" i="1"/>
  <c r="Q93" i="1"/>
  <c r="U93" i="1"/>
  <c r="Y93" i="1"/>
  <c r="AC93" i="1"/>
  <c r="AG93" i="1"/>
  <c r="F94" i="1"/>
  <c r="N94" i="1"/>
  <c r="V94" i="1"/>
  <c r="AD94" i="1"/>
  <c r="AL118" i="1"/>
  <c r="I120" i="1"/>
  <c r="M120" i="1"/>
  <c r="Q120" i="1"/>
  <c r="U120" i="1"/>
  <c r="Y120" i="1"/>
  <c r="AC120" i="1"/>
  <c r="AG120" i="1"/>
  <c r="AH121" i="1"/>
  <c r="F147" i="1"/>
  <c r="J147" i="1"/>
  <c r="N147" i="1"/>
  <c r="R147" i="1"/>
  <c r="V147" i="1"/>
  <c r="Z147" i="1"/>
  <c r="AD147" i="1"/>
  <c r="AH147" i="1"/>
  <c r="AL148" i="1"/>
  <c r="AL196" i="1"/>
  <c r="AL210" i="1"/>
  <c r="AJ48" i="1"/>
  <c r="S93" i="1"/>
  <c r="V12" i="1"/>
  <c r="AL46" i="1"/>
  <c r="AL22" i="1"/>
  <c r="S48" i="1"/>
  <c r="U52" i="1"/>
  <c r="N51" i="1"/>
  <c r="I54" i="1"/>
  <c r="AD54" i="1"/>
  <c r="AL80" i="1"/>
  <c r="AL91" i="1"/>
  <c r="I93" i="1"/>
  <c r="G94" i="1"/>
  <c r="K94" i="1"/>
  <c r="O94" i="1"/>
  <c r="S94" i="1"/>
  <c r="W94" i="1"/>
  <c r="AA94" i="1"/>
  <c r="AE94" i="1"/>
  <c r="AI94" i="1"/>
  <c r="AL117" i="1"/>
  <c r="AL113" i="1"/>
  <c r="G121" i="1"/>
  <c r="K121" i="1"/>
  <c r="O121" i="1"/>
  <c r="S121" i="1"/>
  <c r="W121" i="1"/>
  <c r="AA121" i="1"/>
  <c r="AE121" i="1"/>
  <c r="AI121" i="1"/>
  <c r="F133" i="1"/>
  <c r="AL134" i="1"/>
  <c r="F172" i="1"/>
  <c r="AL195" i="1"/>
  <c r="H209" i="1"/>
  <c r="F214" i="1"/>
  <c r="J214" i="1"/>
  <c r="N214" i="1"/>
  <c r="R214" i="1"/>
  <c r="V214" i="1"/>
  <c r="Z214" i="1"/>
  <c r="AD214" i="1"/>
  <c r="AH214" i="1"/>
  <c r="T48" i="1"/>
  <c r="X13" i="1"/>
  <c r="X61" i="1" s="1"/>
  <c r="AA93" i="1"/>
  <c r="W214" i="1"/>
  <c r="AA214" i="1"/>
  <c r="AE214" i="1"/>
  <c r="AI214" i="1"/>
  <c r="T214" i="1"/>
  <c r="AL213" i="1"/>
  <c r="AD13" i="1"/>
  <c r="AD61" i="1" s="1"/>
  <c r="AD12" i="1"/>
  <c r="K54" i="1"/>
  <c r="K53" i="1"/>
  <c r="J56" i="1"/>
  <c r="J55" i="1"/>
  <c r="V56" i="1"/>
  <c r="V55" i="1"/>
  <c r="AH56" i="1"/>
  <c r="AH55" i="1"/>
  <c r="J43" i="1"/>
  <c r="V43" i="1"/>
  <c r="N47" i="1"/>
  <c r="R47" i="1"/>
  <c r="AD47" i="1"/>
  <c r="J48" i="1"/>
  <c r="Q52" i="1"/>
  <c r="AD59" i="1"/>
  <c r="AD66" i="1"/>
  <c r="AL228" i="1"/>
  <c r="AL229" i="1" s="1"/>
  <c r="G12" i="1"/>
  <c r="G59" i="1" s="1"/>
  <c r="AE21" i="1"/>
  <c r="AE43" i="1" s="1"/>
  <c r="AL29" i="1"/>
  <c r="AL51" i="1" s="1"/>
  <c r="AL31" i="1"/>
  <c r="AL52" i="1" s="1"/>
  <c r="AC33" i="1"/>
  <c r="G56" i="1"/>
  <c r="G55" i="1"/>
  <c r="K56" i="1"/>
  <c r="K55" i="1"/>
  <c r="O56" i="1"/>
  <c r="O55" i="1"/>
  <c r="S56" i="1"/>
  <c r="S55" i="1"/>
  <c r="W56" i="1"/>
  <c r="W55" i="1"/>
  <c r="AA56" i="1"/>
  <c r="AA55" i="1"/>
  <c r="AE56" i="1"/>
  <c r="AE55" i="1"/>
  <c r="G43" i="1"/>
  <c r="K43" i="1"/>
  <c r="O43" i="1"/>
  <c r="S43" i="1"/>
  <c r="W43" i="1"/>
  <c r="AA43" i="1"/>
  <c r="AI43" i="1"/>
  <c r="K47" i="1"/>
  <c r="O47" i="1"/>
  <c r="W47" i="1"/>
  <c r="AA47" i="1"/>
  <c r="AE47" i="1"/>
  <c r="AI47" i="1"/>
  <c r="G48" i="1"/>
  <c r="G49" i="1"/>
  <c r="K49" i="1"/>
  <c r="O49" i="1"/>
  <c r="S49" i="1"/>
  <c r="W49" i="1"/>
  <c r="AA49" i="1"/>
  <c r="AE49" i="1"/>
  <c r="G51" i="1"/>
  <c r="K51" i="1"/>
  <c r="O51" i="1"/>
  <c r="S51" i="1"/>
  <c r="W52" i="1"/>
  <c r="H53" i="1"/>
  <c r="M53" i="1"/>
  <c r="R53" i="1"/>
  <c r="AC53" i="1"/>
  <c r="AH53" i="1"/>
  <c r="J54" i="1"/>
  <c r="Y54" i="1"/>
  <c r="AG54" i="1"/>
  <c r="H55" i="1"/>
  <c r="P55" i="1"/>
  <c r="X55" i="1"/>
  <c r="AF55" i="1"/>
  <c r="U59" i="1"/>
  <c r="Y59" i="1"/>
  <c r="T59" i="1"/>
  <c r="AL79" i="1"/>
  <c r="AL25" i="1"/>
  <c r="G54" i="1"/>
  <c r="G53" i="1"/>
  <c r="AL34" i="1"/>
  <c r="AL53" i="1" s="1"/>
  <c r="N56" i="1"/>
  <c r="N55" i="1"/>
  <c r="Z56" i="1"/>
  <c r="Z55" i="1"/>
  <c r="N43" i="1"/>
  <c r="Z43" i="1"/>
  <c r="AH43" i="1"/>
  <c r="F47" i="1"/>
  <c r="V47" i="1"/>
  <c r="AH47" i="1"/>
  <c r="Z48" i="1"/>
  <c r="M52" i="1"/>
  <c r="X12" i="1"/>
  <c r="AJ12" i="1"/>
  <c r="AJ59" i="1" s="1"/>
  <c r="S54" i="1"/>
  <c r="S53" i="1"/>
  <c r="W54" i="1"/>
  <c r="W53" i="1"/>
  <c r="AA54" i="1"/>
  <c r="AA53" i="1"/>
  <c r="AE54" i="1"/>
  <c r="AE53" i="1"/>
  <c r="AI54" i="1"/>
  <c r="AI53" i="1"/>
  <c r="AI56" i="1"/>
  <c r="H43" i="1"/>
  <c r="L43" i="1"/>
  <c r="P43" i="1"/>
  <c r="T43" i="1"/>
  <c r="X43" i="1"/>
  <c r="AB43" i="1"/>
  <c r="AF43" i="1"/>
  <c r="H47" i="1"/>
  <c r="L47" i="1"/>
  <c r="P47" i="1"/>
  <c r="X47" i="1"/>
  <c r="AB47" i="1"/>
  <c r="AF47" i="1"/>
  <c r="H49" i="1"/>
  <c r="L49" i="1"/>
  <c r="P49" i="1"/>
  <c r="T49" i="1"/>
  <c r="X49" i="1"/>
  <c r="AB49" i="1"/>
  <c r="AF49" i="1"/>
  <c r="AJ49" i="1"/>
  <c r="H51" i="1"/>
  <c r="L51" i="1"/>
  <c r="P51" i="1"/>
  <c r="T51" i="1"/>
  <c r="X51" i="1"/>
  <c r="Y52" i="1"/>
  <c r="N53" i="1"/>
  <c r="T53" i="1"/>
  <c r="Z54" i="1"/>
  <c r="I55" i="1"/>
  <c r="Q55" i="1"/>
  <c r="Y55" i="1"/>
  <c r="AG55" i="1"/>
  <c r="V59" i="1"/>
  <c r="X59" i="1"/>
  <c r="N93" i="1"/>
  <c r="R93" i="1"/>
  <c r="V93" i="1"/>
  <c r="Z93" i="1"/>
  <c r="AD93" i="1"/>
  <c r="AH93" i="1"/>
  <c r="AL114" i="1"/>
  <c r="AL121" i="1" s="1"/>
  <c r="F121" i="1"/>
  <c r="J121" i="1"/>
  <c r="N121" i="1"/>
  <c r="V121" i="1"/>
  <c r="Z121" i="1"/>
  <c r="AD121" i="1"/>
  <c r="V215" i="1"/>
  <c r="V126" i="1"/>
  <c r="V133" i="1"/>
  <c r="O54" i="1"/>
  <c r="O53" i="1"/>
  <c r="F56" i="1"/>
  <c r="F55" i="1"/>
  <c r="R56" i="1"/>
  <c r="R55" i="1"/>
  <c r="AD56" i="1"/>
  <c r="AD55" i="1"/>
  <c r="F43" i="1"/>
  <c r="F48" i="1"/>
  <c r="I52" i="1"/>
  <c r="AL58" i="1"/>
  <c r="AL66" i="1" s="1"/>
  <c r="F181" i="1"/>
  <c r="AL172" i="1"/>
  <c r="AL181" i="1" s="1"/>
  <c r="AL64" i="1"/>
  <c r="AL27" i="1"/>
  <c r="AL50" i="1" s="1"/>
  <c r="W33" i="1"/>
  <c r="AJ54" i="1"/>
  <c r="AJ53" i="1"/>
  <c r="X54" i="1"/>
  <c r="F38" i="1"/>
  <c r="AL38" i="1" s="1"/>
  <c r="AL39" i="1"/>
  <c r="AL55" i="1" s="1"/>
  <c r="AL42" i="1"/>
  <c r="I43" i="1"/>
  <c r="M43" i="1"/>
  <c r="Q43" i="1"/>
  <c r="U43" i="1"/>
  <c r="Y43" i="1"/>
  <c r="AC43" i="1"/>
  <c r="AG43" i="1"/>
  <c r="AL45" i="1"/>
  <c r="I47" i="1"/>
  <c r="M47" i="1"/>
  <c r="Q47" i="1"/>
  <c r="U47" i="1"/>
  <c r="AC47" i="1"/>
  <c r="AG47" i="1"/>
  <c r="M49" i="1"/>
  <c r="Q49" i="1"/>
  <c r="U49" i="1"/>
  <c r="Y49" i="1"/>
  <c r="AC49" i="1"/>
  <c r="AG49" i="1"/>
  <c r="U53" i="1"/>
  <c r="AF53" i="1"/>
  <c r="L55" i="1"/>
  <c r="T55" i="1"/>
  <c r="AB55" i="1"/>
  <c r="AJ55" i="1"/>
  <c r="W66" i="1"/>
  <c r="AL63" i="1"/>
  <c r="AC66" i="1"/>
  <c r="AL90" i="1"/>
  <c r="F93" i="1"/>
  <c r="AL86" i="1"/>
  <c r="AL93" i="1" s="1"/>
  <c r="J93" i="1"/>
  <c r="V120" i="1"/>
  <c r="V66" i="1"/>
  <c r="L94" i="1"/>
  <c r="P94" i="1"/>
  <c r="T94" i="1"/>
  <c r="X94" i="1"/>
  <c r="AB94" i="1"/>
  <c r="AF94" i="1"/>
  <c r="AJ94" i="1"/>
  <c r="AL120" i="1"/>
  <c r="F120" i="1"/>
  <c r="U212" i="1"/>
  <c r="AL212" i="1" s="1"/>
  <c r="AL123" i="1"/>
  <c r="AL125" i="1"/>
  <c r="AL131" i="1"/>
  <c r="AL70" i="1"/>
  <c r="AL87" i="1"/>
  <c r="AL94" i="1" s="1"/>
  <c r="AC215" i="1"/>
  <c r="AC106" i="1"/>
  <c r="AL96" i="1"/>
  <c r="AL152" i="1"/>
  <c r="AL106" i="1"/>
  <c r="I121" i="1"/>
  <c r="M121" i="1"/>
  <c r="Q121" i="1"/>
  <c r="U121" i="1"/>
  <c r="Y121" i="1"/>
  <c r="AC121" i="1"/>
  <c r="AL140" i="1"/>
  <c r="AL97" i="1"/>
  <c r="AL124" i="1"/>
  <c r="I126" i="1"/>
  <c r="AL177" i="1"/>
  <c r="AL187" i="1"/>
  <c r="AL209" i="1" s="1"/>
  <c r="AL222" i="1"/>
  <c r="AL241" i="1"/>
  <c r="AL215" i="1"/>
  <c r="F126" i="1"/>
  <c r="AL151" i="1"/>
  <c r="F182" i="1"/>
  <c r="AL173" i="1"/>
  <c r="AL182" i="1" s="1"/>
  <c r="AL206" i="1"/>
  <c r="AL255" i="1"/>
  <c r="I133" i="1"/>
  <c r="AJ148" i="1"/>
  <c r="AL163" i="1"/>
  <c r="AL236" i="1"/>
  <c r="AL207" i="1"/>
  <c r="AL211" i="1"/>
  <c r="AL164" i="1"/>
  <c r="AL186" i="1"/>
  <c r="AL126" i="1" l="1"/>
  <c r="F13" i="1"/>
  <c r="AL147" i="1"/>
  <c r="I12" i="1"/>
  <c r="I59" i="1" s="1"/>
  <c r="U214" i="1"/>
  <c r="AL133" i="1"/>
  <c r="AJ47" i="1"/>
  <c r="AI13" i="1"/>
  <c r="AI61" i="1" s="1"/>
  <c r="AI12" i="1"/>
  <c r="AI59" i="1" s="1"/>
  <c r="F61" i="1"/>
  <c r="AL150" i="1"/>
  <c r="W13" i="1"/>
  <c r="W61" i="1" s="1"/>
  <c r="W12" i="1"/>
  <c r="W59" i="1" s="1"/>
  <c r="AL33" i="1"/>
  <c r="AL21" i="1"/>
  <c r="AL54" i="1"/>
  <c r="AL214" i="1"/>
  <c r="F12" i="1"/>
  <c r="AL49" i="1"/>
  <c r="AE48" i="1"/>
  <c r="AL56" i="1"/>
  <c r="AC13" i="1"/>
  <c r="AC61" i="1" s="1"/>
  <c r="AC12" i="1"/>
  <c r="AC59" i="1" s="1"/>
  <c r="AL13" i="1" l="1"/>
  <c r="AL61" i="1" s="1"/>
  <c r="F59" i="1"/>
  <c r="AL12" i="1"/>
  <c r="AL59" i="1" s="1"/>
  <c r="AL43" i="1"/>
  <c r="AL47" i="1"/>
  <c r="AL48" i="1"/>
</calcChain>
</file>

<file path=xl/sharedStrings.xml><?xml version="1.0" encoding="utf-8"?>
<sst xmlns="http://schemas.openxmlformats.org/spreadsheetml/2006/main" count="492" uniqueCount="139">
  <si>
    <t xml:space="preserve"> kWH </t>
  </si>
  <si>
    <t>Total</t>
  </si>
  <si>
    <t>Kwh</t>
  </si>
  <si>
    <t>PLN</t>
  </si>
  <si>
    <t>Incoming</t>
  </si>
  <si>
    <t>Power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</si>
  <si>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</si>
  <si>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</si>
  <si>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</si>
  <si>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</si>
  <si>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</si>
  <si>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</si>
  <si>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</si>
  <si>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</si>
  <si>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</t>
  </si>
  <si>
    <t>WATER CONSUMPTION</t>
  </si>
  <si>
    <t>Kg</t>
  </si>
  <si>
    <t>Fractionation</t>
  </si>
  <si>
    <t>Refinery</t>
  </si>
  <si>
    <t>Distribution to</t>
  </si>
  <si>
    <t>Steam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</si>
  <si>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</si>
  <si>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</si>
  <si>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</si>
  <si>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</si>
  <si>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</si>
  <si>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</si>
  <si>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</si>
  <si>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</si>
  <si>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</si>
  <si>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</si>
  <si>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</si>
  <si>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</si>
  <si>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</si>
  <si>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Loss Material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</si>
  <si>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</si>
  <si>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</si>
  <si>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</si>
  <si>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</si>
  <si>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</si>
  <si>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</si>
  <si>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</si>
  <si>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</si>
  <si>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</si>
  <si>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</si>
  <si>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</si>
  <si>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</si>
  <si>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</si>
  <si>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</si>
  <si>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</si>
  <si>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</si>
  <si>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</si>
  <si>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</si>
  <si>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</si>
  <si>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</si>
  <si>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</si>
  <si>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</si>
  <si>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</si>
  <si>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</si>
  <si>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</si>
  <si>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</si>
  <si>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Oil Losses</t>
  </si>
  <si>
    <t>Phosporic Acid (PA)</t>
  </si>
  <si>
    <t xml:space="preserve">Kg </t>
  </si>
  <si>
    <t>Bleaching Earth (BE) to Branded Spec</t>
  </si>
  <si>
    <t>Bleaching Earth (BE) to Poram Spec</t>
  </si>
  <si>
    <t>Chemical</t>
  </si>
  <si>
    <t>CHEMICAL CONSUMABLE</t>
  </si>
  <si>
    <t>Soft Stearin</t>
  </si>
  <si>
    <t>Olein IV 60</t>
  </si>
  <si>
    <t>Stearin</t>
  </si>
  <si>
    <t>Olein IV 58</t>
  </si>
  <si>
    <t>Olein IV 56</t>
  </si>
  <si>
    <t>PFAD</t>
  </si>
  <si>
    <t xml:space="preserve">RBDPO </t>
  </si>
  <si>
    <t>Yield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</si>
  <si>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</si>
  <si>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</si>
  <si>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</si>
  <si>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</si>
  <si>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</si>
  <si>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</si>
  <si>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</si>
  <si>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</si>
  <si>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</si>
  <si>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</si>
  <si>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</si>
  <si>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</si>
  <si>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</si>
  <si>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</si>
  <si>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</si>
  <si>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</si>
  <si>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</si>
  <si>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</si>
  <si>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</si>
  <si>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</si>
  <si>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PRODUCTION</t>
  </si>
  <si>
    <t>PRODUCTION REPORT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</si>
  <si>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</si>
  <si>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</si>
  <si>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</si>
  <si>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</si>
  <si>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</si>
  <si>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</si>
  <si>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</si>
  <si>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</si>
  <si>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</si>
  <si>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</si>
  <si>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 xml:space="preserve">OUTGOING LOKAL </t>
  </si>
  <si>
    <t xml:space="preserve">Lokal </t>
  </si>
  <si>
    <t>RBDPO</t>
  </si>
  <si>
    <t xml:space="preserve">OUTGOING EKSPORT </t>
  </si>
  <si>
    <t>Eksport</t>
  </si>
  <si>
    <t>CPO Consume Total</t>
  </si>
  <si>
    <t>CPO Consume Poram</t>
  </si>
  <si>
    <t>CPO Consume Brand</t>
  </si>
  <si>
    <t>Olein IV 57 Received</t>
  </si>
  <si>
    <t>Olein IV 57 Consume</t>
  </si>
  <si>
    <t>Olein Received IV 57</t>
  </si>
  <si>
    <t>No</t>
  </si>
  <si>
    <t>ITEM</t>
  </si>
  <si>
    <t>Budget / Norma</t>
  </si>
  <si>
    <t>UoM</t>
  </si>
  <si>
    <t>TOTAL
(Kg)</t>
  </si>
  <si>
    <t>Olein IV 57 ( Retail )</t>
  </si>
  <si>
    <t xml:space="preserve">Minyakita SP 2 L  </t>
  </si>
  <si>
    <r>
      <t>m</t>
    </r>
    <r>
      <rPr>
        <b/>
        <vertAlign val="superscript"/>
        <sz val="11"/>
        <rFont val="Arial"/>
        <family val="2"/>
      </rPr>
      <t>3</t>
    </r>
  </si>
  <si>
    <t>Ratio Run CPO</t>
  </si>
  <si>
    <t>Ratio Run RBDPO</t>
  </si>
  <si>
    <t>Fractionation OLEIN IV 58 ( Bulk )</t>
  </si>
  <si>
    <t xml:space="preserve">OLEIN IV 58 </t>
  </si>
  <si>
    <t>Olein IV 58 ( Bulk )</t>
  </si>
  <si>
    <t>Oktober</t>
  </si>
  <si>
    <t>Fractionation OLEIN IV 57 ( Bulk )</t>
  </si>
  <si>
    <t>Olein IV 57 ( Bulk )</t>
  </si>
  <si>
    <t>OLEIN IV 57</t>
  </si>
  <si>
    <t>Fractionation OLEIN IV 57 ( Retail )</t>
  </si>
  <si>
    <t>OLEIN IV 57 Low Color</t>
  </si>
  <si>
    <t xml:space="preserve">INL 250 mL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</si>
</sst>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#.0000_);_(* \(#,###.0000\);_(* &quot;-&quot;?,?00.00_);_(@_)"/>
    <numFmt numFmtId="171" formatCode="_(* #,##0.0000_);_(* \(#,##0.0000\);_(* &quot;-&quot;??.000_);_(@_)"/>
    <numFmt numFmtId="172" formatCode="_(* #,##0.0000_);_(* \(#,##0.0000\);_(* &quot;-&quot;??.00_);_(@_)"/>
    <numFmt numFmtId="173" formatCode="_(* #,##0.00_);_(* \(#,##0.00\);_(* &quot;-&quot;??.0_);_(@_)"/>
    <numFmt numFmtId="174" formatCode="_(* #,##0.0_);_(* \(#,##0.0\);_(* &quot;-&quot;??.0_);_(@_)"/>
    <numFmt numFmtId="175" formatCode="_(* #,##0.000_);_(* \(#,##0.000\);_(* &quot;-&quot;??.00_);_(@_)"/>
    <numFmt numFmtId="176" formatCode="_(* #.##0_);_(* \(#.##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sz val="14"/>
      <name val="Arial"/>
      <family val="2"/>
    </font>
    <font>
      <b/>
      <u/>
      <sz val="11"/>
      <name val="Arial"/>
      <family val="2"/>
    </font>
    <font>
      <b/>
      <i/>
      <sz val="11"/>
      <name val="Arial"/>
      <family val="2"/>
    </font>
    <font>
      <u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4" tint="0.39997558519241921"/>
      <name val="Arial"/>
      <family val="2"/>
    </font>
    <font>
      <b/>
      <sz val="11"/>
      <color rgb="FFFF0000"/>
      <name val="Arial"/>
      <family val="2"/>
    </font>
    <font>
      <sz val="1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2065187536243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51">
    <xf numFmtId="0" fontId="0" fillId="0" borderId="0" xfId="0"/>
    <xf numFmtId="166" fontId="2" fillId="0" borderId="4" xfId="1" applyNumberFormat="1" applyFont="1" applyFill="1" applyBorder="1"/>
    <xf numFmtId="168" fontId="2" fillId="0" borderId="4" xfId="1" applyNumberFormat="1" applyFont="1" applyFill="1" applyBorder="1"/>
    <xf numFmtId="0" fontId="2" fillId="0" borderId="0" xfId="0" applyFont="1"/>
    <xf numFmtId="165" fontId="2" fillId="0" borderId="4" xfId="2" applyNumberFormat="1" applyFont="1" applyFill="1" applyBorder="1"/>
    <xf numFmtId="0" fontId="4" fillId="0" borderId="4" xfId="0" applyFont="1" applyBorder="1" applyAlignment="1">
      <alignment horizontal="center"/>
    </xf>
    <xf numFmtId="166" fontId="2" fillId="3" borderId="6" xfId="1" applyNumberFormat="1" applyFont="1" applyFill="1" applyBorder="1"/>
    <xf numFmtId="166" fontId="2" fillId="0" borderId="4" xfId="1" applyNumberFormat="1" applyFont="1" applyFill="1" applyBorder="1" applyAlignment="1">
      <alignment vertical="center"/>
    </xf>
    <xf numFmtId="0" fontId="4" fillId="0" borderId="4" xfId="0" quotePrefix="1" applyFont="1" applyBorder="1" applyAlignment="1">
      <alignment horizontal="center"/>
    </xf>
    <xf numFmtId="0" fontId="2" fillId="3" borderId="6" xfId="0" quotePrefix="1" applyFont="1" applyFill="1" applyBorder="1" applyAlignment="1">
      <alignment horizontal="center"/>
    </xf>
    <xf numFmtId="43" fontId="2" fillId="0" borderId="4" xfId="1" applyFont="1" applyFill="1" applyBorder="1"/>
    <xf numFmtId="43" fontId="4" fillId="0" borderId="4" xfId="1" applyFont="1" applyFill="1" applyBorder="1" applyAlignment="1">
      <alignment vertical="center"/>
    </xf>
    <xf numFmtId="43" fontId="4" fillId="0" borderId="4" xfId="1" applyFont="1" applyFill="1" applyBorder="1"/>
    <xf numFmtId="166" fontId="2" fillId="3" borderId="6" xfId="1" applyNumberFormat="1" applyFont="1" applyFill="1" applyBorder="1" applyAlignment="1">
      <alignment vertical="center"/>
    </xf>
    <xf numFmtId="43" fontId="2" fillId="5" borderId="4" xfId="1" applyFont="1" applyFill="1" applyBorder="1" applyAlignment="1">
      <alignment horizontal="center"/>
    </xf>
    <xf numFmtId="0" fontId="4" fillId="3" borderId="6" xfId="0" quotePrefix="1" applyFont="1" applyFill="1" applyBorder="1" applyAlignment="1">
      <alignment horizontal="center"/>
    </xf>
    <xf numFmtId="41" fontId="2" fillId="0" borderId="0" xfId="2" applyFont="1"/>
    <xf numFmtId="0" fontId="4" fillId="0" borderId="4" xfId="0" quotePrefix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43" fontId="4" fillId="0" borderId="19" xfId="1" applyFont="1" applyFill="1" applyBorder="1"/>
    <xf numFmtId="43" fontId="2" fillId="0" borderId="19" xfId="1" applyFont="1" applyFill="1" applyBorder="1"/>
    <xf numFmtId="166" fontId="2" fillId="0" borderId="19" xfId="1" applyNumberFormat="1" applyFont="1" applyFill="1" applyBorder="1"/>
    <xf numFmtId="0" fontId="2" fillId="3" borderId="18" xfId="0" quotePrefix="1" applyFont="1" applyFill="1" applyBorder="1" applyAlignment="1">
      <alignment horizontal="center"/>
    </xf>
    <xf numFmtId="0" fontId="4" fillId="4" borderId="6" xfId="0" quotePrefix="1" applyFont="1" applyFill="1" applyBorder="1" applyAlignment="1">
      <alignment horizontal="center"/>
    </xf>
    <xf numFmtId="43" fontId="2" fillId="4" borderId="6" xfId="1" applyFont="1" applyFill="1" applyBorder="1"/>
    <xf numFmtId="0" fontId="4" fillId="4" borderId="4" xfId="0" quotePrefix="1" applyFont="1" applyFill="1" applyBorder="1" applyAlignment="1">
      <alignment horizontal="center"/>
    </xf>
    <xf numFmtId="43" fontId="2" fillId="4" borderId="4" xfId="1" applyFont="1" applyFill="1" applyBorder="1"/>
    <xf numFmtId="0" fontId="4" fillId="4" borderId="2" xfId="0" quotePrefix="1" applyFont="1" applyFill="1" applyBorder="1" applyAlignment="1">
      <alignment horizontal="center"/>
    </xf>
    <xf numFmtId="43" fontId="2" fillId="4" borderId="2" xfId="1" applyFont="1" applyFill="1" applyBorder="1"/>
    <xf numFmtId="0" fontId="4" fillId="4" borderId="14" xfId="0" quotePrefix="1" applyFont="1" applyFill="1" applyBorder="1" applyAlignment="1">
      <alignment horizontal="center"/>
    </xf>
    <xf numFmtId="43" fontId="2" fillId="4" borderId="14" xfId="1" applyFont="1" applyFill="1" applyBorder="1"/>
    <xf numFmtId="165" fontId="4" fillId="4" borderId="14" xfId="2" quotePrefix="1" applyNumberFormat="1" applyFont="1" applyFill="1" applyBorder="1" applyAlignment="1">
      <alignment horizontal="center"/>
    </xf>
    <xf numFmtId="165" fontId="4" fillId="4" borderId="14" xfId="2" applyNumberFormat="1" applyFont="1" applyFill="1" applyBorder="1"/>
    <xf numFmtId="0" fontId="4" fillId="3" borderId="4" xfId="0" quotePrefix="1" applyFont="1" applyFill="1" applyBorder="1" applyAlignment="1">
      <alignment horizontal="center"/>
    </xf>
    <xf numFmtId="43" fontId="4" fillId="0" borderId="0" xfId="1" applyFont="1" applyFill="1" applyBorder="1"/>
    <xf numFmtId="43" fontId="4" fillId="0" borderId="0" xfId="1" applyFont="1" applyFill="1" applyBorder="1" applyAlignment="1">
      <alignment vertical="center"/>
    </xf>
    <xf numFmtId="43" fontId="2" fillId="0" borderId="0" xfId="1" applyFont="1" applyFill="1" applyBorder="1"/>
    <xf numFmtId="166" fontId="2" fillId="0" borderId="0" xfId="1" applyNumberFormat="1" applyFont="1" applyFill="1" applyBorder="1"/>
    <xf numFmtId="166" fontId="2" fillId="0" borderId="19" xfId="1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vertical="center"/>
    </xf>
    <xf numFmtId="0" fontId="2" fillId="2" borderId="0" xfId="0" quotePrefix="1" applyFont="1" applyFill="1" applyAlignment="1">
      <alignment horizontal="center"/>
    </xf>
    <xf numFmtId="43" fontId="2" fillId="4" borderId="19" xfId="1" applyFont="1" applyFill="1" applyBorder="1"/>
    <xf numFmtId="43" fontId="2" fillId="2" borderId="0" xfId="1" applyFont="1" applyFill="1" applyBorder="1"/>
    <xf numFmtId="43" fontId="2" fillId="4" borderId="20" xfId="1" applyFont="1" applyFill="1" applyBorder="1"/>
    <xf numFmtId="43" fontId="2" fillId="4" borderId="17" xfId="1" applyFont="1" applyFill="1" applyBorder="1"/>
    <xf numFmtId="166" fontId="4" fillId="4" borderId="13" xfId="1" applyNumberFormat="1" applyFont="1" applyFill="1" applyBorder="1"/>
    <xf numFmtId="165" fontId="4" fillId="4" borderId="17" xfId="2" applyNumberFormat="1" applyFont="1" applyFill="1" applyBorder="1"/>
    <xf numFmtId="165" fontId="4" fillId="2" borderId="0" xfId="2" applyNumberFormat="1" applyFont="1" applyFill="1" applyBorder="1"/>
    <xf numFmtId="43" fontId="4" fillId="0" borderId="24" xfId="1" applyFont="1" applyFill="1" applyBorder="1"/>
    <xf numFmtId="43" fontId="2" fillId="0" borderId="24" xfId="1" applyFont="1" applyFill="1" applyBorder="1"/>
    <xf numFmtId="166" fontId="2" fillId="0" borderId="24" xfId="1" applyNumberFormat="1" applyFont="1" applyFill="1" applyBorder="1"/>
    <xf numFmtId="166" fontId="2" fillId="0" borderId="24" xfId="1" applyNumberFormat="1" applyFont="1" applyFill="1" applyBorder="1" applyAlignment="1">
      <alignment vertical="center"/>
    </xf>
    <xf numFmtId="166" fontId="2" fillId="3" borderId="23" xfId="1" applyNumberFormat="1" applyFont="1" applyFill="1" applyBorder="1"/>
    <xf numFmtId="166" fontId="2" fillId="3" borderId="23" xfId="1" applyNumberFormat="1" applyFont="1" applyFill="1" applyBorder="1" applyAlignment="1">
      <alignment vertical="center"/>
    </xf>
    <xf numFmtId="0" fontId="2" fillId="3" borderId="23" xfId="0" quotePrefix="1" applyFont="1" applyFill="1" applyBorder="1" applyAlignment="1">
      <alignment horizontal="center"/>
    </xf>
    <xf numFmtId="168" fontId="2" fillId="0" borderId="24" xfId="1" applyNumberFormat="1" applyFont="1" applyFill="1" applyBorder="1"/>
    <xf numFmtId="43" fontId="2" fillId="0" borderId="10" xfId="1" applyFont="1" applyFill="1" applyBorder="1"/>
    <xf numFmtId="43" fontId="2" fillId="0" borderId="4" xfId="1" applyFont="1" applyFill="1" applyBorder="1" applyAlignment="1">
      <alignment vertical="center"/>
    </xf>
    <xf numFmtId="2" fontId="2" fillId="0" borderId="0" xfId="0" applyNumberFormat="1" applyFont="1"/>
    <xf numFmtId="166" fontId="4" fillId="0" borderId="16" xfId="1" applyNumberFormat="1" applyFont="1" applyFill="1" applyBorder="1"/>
    <xf numFmtId="166" fontId="2" fillId="3" borderId="18" xfId="1" applyNumberFormat="1" applyFont="1" applyFill="1" applyBorder="1"/>
    <xf numFmtId="166" fontId="2" fillId="3" borderId="18" xfId="1" applyNumberFormat="1" applyFont="1" applyFill="1" applyBorder="1" applyAlignment="1">
      <alignment vertical="center"/>
    </xf>
    <xf numFmtId="43" fontId="2" fillId="4" borderId="18" xfId="1" applyFont="1" applyFill="1" applyBorder="1"/>
    <xf numFmtId="168" fontId="2" fillId="0" borderId="19" xfId="1" applyNumberFormat="1" applyFont="1" applyFill="1" applyBorder="1"/>
    <xf numFmtId="43" fontId="2" fillId="0" borderId="24" xfId="1" applyFont="1" applyFill="1" applyBorder="1" applyAlignment="1">
      <alignment vertical="center"/>
    </xf>
    <xf numFmtId="43" fontId="2" fillId="0" borderId="19" xfId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172" fontId="2" fillId="0" borderId="4" xfId="1" applyNumberFormat="1" applyFont="1" applyFill="1" applyBorder="1"/>
    <xf numFmtId="171" fontId="2" fillId="0" borderId="4" xfId="1" applyNumberFormat="1" applyFont="1" applyFill="1" applyBorder="1"/>
    <xf numFmtId="0" fontId="4" fillId="0" borderId="3" xfId="0" applyFont="1" applyBorder="1" applyAlignment="1">
      <alignment horizontal="center"/>
    </xf>
    <xf numFmtId="0" fontId="2" fillId="0" borderId="8" xfId="0" quotePrefix="1" applyFont="1" applyBorder="1"/>
    <xf numFmtId="0" fontId="4" fillId="3" borderId="37" xfId="0" applyFont="1" applyFill="1" applyBorder="1" applyAlignment="1">
      <alignment vertical="center"/>
    </xf>
    <xf numFmtId="0" fontId="4" fillId="0" borderId="8" xfId="0" quotePrefix="1" applyFont="1" applyBorder="1"/>
    <xf numFmtId="0" fontId="5" fillId="0" borderId="8" xfId="0" quotePrefix="1" applyFont="1" applyBorder="1"/>
    <xf numFmtId="0" fontId="2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2" fillId="4" borderId="3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4" borderId="40" xfId="0" applyFont="1" applyFill="1" applyBorder="1" applyAlignment="1">
      <alignment vertical="center"/>
    </xf>
    <xf numFmtId="0" fontId="4" fillId="4" borderId="36" xfId="0" applyFont="1" applyFill="1" applyBorder="1" applyAlignment="1">
      <alignment vertical="center"/>
    </xf>
    <xf numFmtId="165" fontId="4" fillId="4" borderId="36" xfId="2" applyNumberFormat="1" applyFont="1" applyFill="1" applyBorder="1" applyAlignment="1">
      <alignment horizontal="left" vertical="top"/>
    </xf>
    <xf numFmtId="166" fontId="2" fillId="0" borderId="20" xfId="1" applyNumberFormat="1" applyFont="1" applyFill="1" applyBorder="1" applyAlignment="1">
      <alignment vertical="center"/>
    </xf>
    <xf numFmtId="0" fontId="4" fillId="8" borderId="14" xfId="0" applyFont="1" applyFill="1" applyBorder="1" applyAlignment="1">
      <alignment horizontal="center" vertical="center" wrapText="1"/>
    </xf>
    <xf numFmtId="0" fontId="4" fillId="8" borderId="33" xfId="0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166" fontId="2" fillId="3" borderId="6" xfId="1" applyNumberFormat="1" applyFont="1" applyFill="1" applyBorder="1" applyAlignment="1">
      <alignment horizontal="right" vertical="center"/>
    </xf>
    <xf numFmtId="166" fontId="2" fillId="0" borderId="0" xfId="0" applyNumberFormat="1" applyFont="1"/>
    <xf numFmtId="0" fontId="4" fillId="3" borderId="13" xfId="0" quotePrefix="1" applyFont="1" applyFill="1" applyBorder="1"/>
    <xf numFmtId="0" fontId="7" fillId="0" borderId="37" xfId="0" applyFont="1" applyBorder="1" applyAlignment="1">
      <alignment vertical="center"/>
    </xf>
    <xf numFmtId="0" fontId="2" fillId="5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6" fontId="2" fillId="0" borderId="6" xfId="1" applyNumberFormat="1" applyFont="1" applyFill="1" applyBorder="1"/>
    <xf numFmtId="43" fontId="2" fillId="0" borderId="6" xfId="1" applyFont="1" applyFill="1" applyBorder="1"/>
    <xf numFmtId="166" fontId="4" fillId="0" borderId="6" xfId="1" applyNumberFormat="1" applyFont="1" applyFill="1" applyBorder="1"/>
    <xf numFmtId="166" fontId="4" fillId="2" borderId="6" xfId="1" applyNumberFormat="1" applyFont="1" applyFill="1" applyBorder="1"/>
    <xf numFmtId="166" fontId="2" fillId="0" borderId="23" xfId="1" applyNumberFormat="1" applyFont="1" applyFill="1" applyBorder="1"/>
    <xf numFmtId="166" fontId="2" fillId="0" borderId="18" xfId="1" applyNumberFormat="1" applyFont="1" applyFill="1" applyBorder="1"/>
    <xf numFmtId="0" fontId="8" fillId="0" borderId="3" xfId="0" applyFont="1" applyBorder="1"/>
    <xf numFmtId="0" fontId="2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6" fontId="2" fillId="0" borderId="3" xfId="0" applyNumberFormat="1" applyFont="1" applyBorder="1"/>
    <xf numFmtId="0" fontId="2" fillId="4" borderId="8" xfId="0" applyFont="1" applyFill="1" applyBorder="1"/>
    <xf numFmtId="166" fontId="2" fillId="5" borderId="4" xfId="1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166" fontId="2" fillId="4" borderId="4" xfId="1" applyNumberFormat="1" applyFont="1" applyFill="1" applyBorder="1"/>
    <xf numFmtId="166" fontId="2" fillId="4" borderId="24" xfId="1" applyNumberFormat="1" applyFont="1" applyFill="1" applyBorder="1"/>
    <xf numFmtId="166" fontId="2" fillId="4" borderId="19" xfId="1" applyNumberFormat="1" applyFont="1" applyFill="1" applyBorder="1"/>
    <xf numFmtId="166" fontId="2" fillId="4" borderId="3" xfId="0" applyNumberFormat="1" applyFont="1" applyFill="1" applyBorder="1"/>
    <xf numFmtId="166" fontId="2" fillId="4" borderId="3" xfId="1" applyNumberFormat="1" applyFont="1" applyFill="1" applyBorder="1"/>
    <xf numFmtId="165" fontId="2" fillId="0" borderId="24" xfId="2" applyNumberFormat="1" applyFont="1" applyFill="1" applyBorder="1"/>
    <xf numFmtId="165" fontId="2" fillId="0" borderId="19" xfId="2" applyNumberFormat="1" applyFont="1" applyFill="1" applyBorder="1"/>
    <xf numFmtId="164" fontId="2" fillId="0" borderId="3" xfId="0" applyNumberFormat="1" applyFont="1" applyBorder="1"/>
    <xf numFmtId="43" fontId="2" fillId="5" borderId="4" xfId="1" applyFont="1" applyFill="1" applyBorder="1" applyAlignment="1">
      <alignment horizontal="right"/>
    </xf>
    <xf numFmtId="0" fontId="8" fillId="2" borderId="8" xfId="0" applyFont="1" applyFill="1" applyBorder="1"/>
    <xf numFmtId="0" fontId="2" fillId="5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2" borderId="0" xfId="0" applyFont="1" applyFill="1"/>
    <xf numFmtId="166" fontId="5" fillId="0" borderId="3" xfId="0" applyNumberFormat="1" applyFont="1" applyBorder="1"/>
    <xf numFmtId="0" fontId="2" fillId="0" borderId="3" xfId="0" applyFont="1" applyBorder="1" applyAlignment="1">
      <alignment horizontal="center"/>
    </xf>
    <xf numFmtId="0" fontId="2" fillId="4" borderId="8" xfId="0" quotePrefix="1" applyFont="1" applyFill="1" applyBorder="1"/>
    <xf numFmtId="0" fontId="7" fillId="0" borderId="37" xfId="0" applyFont="1" applyBorder="1"/>
    <xf numFmtId="0" fontId="9" fillId="5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166" fontId="8" fillId="0" borderId="3" xfId="0" applyNumberFormat="1" applyFont="1" applyBorder="1"/>
    <xf numFmtId="41" fontId="2" fillId="5" borderId="4" xfId="2" applyFont="1" applyFill="1" applyBorder="1" applyAlignment="1">
      <alignment horizontal="center"/>
    </xf>
    <xf numFmtId="166" fontId="2" fillId="4" borderId="2" xfId="1" applyNumberFormat="1" applyFont="1" applyFill="1" applyBorder="1"/>
    <xf numFmtId="166" fontId="2" fillId="4" borderId="25" xfId="1" applyNumberFormat="1" applyFont="1" applyFill="1" applyBorder="1"/>
    <xf numFmtId="166" fontId="2" fillId="4" borderId="20" xfId="1" applyNumberFormat="1" applyFont="1" applyFill="1" applyBorder="1"/>
    <xf numFmtId="0" fontId="2" fillId="2" borderId="3" xfId="0" applyFont="1" applyFill="1" applyBorder="1" applyAlignment="1">
      <alignment horizontal="center"/>
    </xf>
    <xf numFmtId="41" fontId="2" fillId="2" borderId="4" xfId="2" applyFont="1" applyFill="1" applyBorder="1" applyAlignment="1">
      <alignment horizontal="center"/>
    </xf>
    <xf numFmtId="0" fontId="4" fillId="2" borderId="4" xfId="0" quotePrefix="1" applyFont="1" applyFill="1" applyBorder="1" applyAlignment="1">
      <alignment horizontal="center"/>
    </xf>
    <xf numFmtId="166" fontId="2" fillId="2" borderId="4" xfId="1" applyNumberFormat="1" applyFont="1" applyFill="1" applyBorder="1"/>
    <xf numFmtId="166" fontId="2" fillId="2" borderId="24" xfId="1" applyNumberFormat="1" applyFont="1" applyFill="1" applyBorder="1"/>
    <xf numFmtId="166" fontId="2" fillId="2" borderId="19" xfId="1" applyNumberFormat="1" applyFont="1" applyFill="1" applyBorder="1"/>
    <xf numFmtId="41" fontId="9" fillId="5" borderId="6" xfId="2" applyFont="1" applyFill="1" applyBorder="1" applyAlignment="1">
      <alignment horizontal="center"/>
    </xf>
    <xf numFmtId="176" fontId="2" fillId="0" borderId="6" xfId="1" applyNumberFormat="1" applyFont="1" applyFill="1" applyBorder="1"/>
    <xf numFmtId="166" fontId="4" fillId="0" borderId="6" xfId="1" applyNumberFormat="1" applyFont="1" applyFill="1" applyBorder="1" applyAlignment="1">
      <alignment horizontal="center"/>
    </xf>
    <xf numFmtId="166" fontId="4" fillId="2" borderId="6" xfId="1" applyNumberFormat="1" applyFont="1" applyFill="1" applyBorder="1" applyAlignment="1">
      <alignment horizontal="center"/>
    </xf>
    <xf numFmtId="166" fontId="4" fillId="0" borderId="23" xfId="1" applyNumberFormat="1" applyFont="1" applyFill="1" applyBorder="1" applyAlignment="1">
      <alignment horizontal="center"/>
    </xf>
    <xf numFmtId="166" fontId="4" fillId="0" borderId="18" xfId="1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41" fontId="9" fillId="5" borderId="4" xfId="2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66" fontId="2" fillId="4" borderId="3" xfId="0" applyNumberFormat="1" applyFont="1" applyFill="1" applyBorder="1" applyAlignment="1">
      <alignment vertical="center"/>
    </xf>
    <xf numFmtId="166" fontId="2" fillId="4" borderId="3" xfId="1" applyNumberFormat="1" applyFont="1" applyFill="1" applyBorder="1" applyAlignment="1">
      <alignment vertical="center"/>
    </xf>
    <xf numFmtId="0" fontId="4" fillId="3" borderId="37" xfId="0" quotePrefix="1" applyFont="1" applyFill="1" applyBorder="1"/>
    <xf numFmtId="0" fontId="2" fillId="3" borderId="6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5" xfId="0" quotePrefix="1" applyFont="1" applyFill="1" applyBorder="1"/>
    <xf numFmtId="0" fontId="2" fillId="2" borderId="8" xfId="0" quotePrefix="1" applyFont="1" applyFill="1" applyBorder="1"/>
    <xf numFmtId="43" fontId="2" fillId="0" borderId="3" xfId="1" applyFont="1" applyFill="1" applyBorder="1"/>
    <xf numFmtId="43" fontId="2" fillId="6" borderId="3" xfId="1" applyFont="1" applyFill="1" applyBorder="1"/>
    <xf numFmtId="43" fontId="2" fillId="4" borderId="3" xfId="1" applyFont="1" applyFill="1" applyBorder="1"/>
    <xf numFmtId="43" fontId="2" fillId="7" borderId="3" xfId="1" applyFont="1" applyFill="1" applyBorder="1"/>
    <xf numFmtId="0" fontId="2" fillId="0" borderId="1" xfId="0" applyFont="1" applyBorder="1" applyAlignment="1">
      <alignment horizontal="center"/>
    </xf>
    <xf numFmtId="0" fontId="4" fillId="3" borderId="37" xfId="0" applyFont="1" applyFill="1" applyBorder="1"/>
    <xf numFmtId="0" fontId="4" fillId="3" borderId="5" xfId="0" applyFont="1" applyFill="1" applyBorder="1"/>
    <xf numFmtId="166" fontId="2" fillId="0" borderId="3" xfId="1" applyNumberFormat="1" applyFont="1" applyBorder="1"/>
    <xf numFmtId="0" fontId="2" fillId="0" borderId="8" xfId="0" applyFont="1" applyBorder="1"/>
    <xf numFmtId="0" fontId="2" fillId="0" borderId="38" xfId="0" quotePrefix="1" applyFont="1" applyBorder="1"/>
    <xf numFmtId="43" fontId="2" fillId="5" borderId="12" xfId="1" applyFont="1" applyFill="1" applyBorder="1" applyAlignment="1">
      <alignment horizontal="center"/>
    </xf>
    <xf numFmtId="0" fontId="4" fillId="0" borderId="12" xfId="0" quotePrefix="1" applyFont="1" applyBorder="1" applyAlignment="1">
      <alignment horizontal="center"/>
    </xf>
    <xf numFmtId="166" fontId="2" fillId="0" borderId="12" xfId="1" applyNumberFormat="1" applyFont="1" applyFill="1" applyBorder="1"/>
    <xf numFmtId="166" fontId="2" fillId="0" borderId="15" xfId="1" applyNumberFormat="1" applyFont="1" applyFill="1" applyBorder="1"/>
    <xf numFmtId="166" fontId="2" fillId="0" borderId="26" xfId="1" applyNumberFormat="1" applyFont="1" applyFill="1" applyBorder="1"/>
    <xf numFmtId="166" fontId="2" fillId="0" borderId="42" xfId="1" applyNumberFormat="1" applyFont="1" applyFill="1" applyBorder="1"/>
    <xf numFmtId="166" fontId="2" fillId="0" borderId="9" xfId="0" applyNumberFormat="1" applyFont="1" applyBorder="1"/>
    <xf numFmtId="0" fontId="2" fillId="0" borderId="39" xfId="0" applyFont="1" applyBorder="1"/>
    <xf numFmtId="0" fontId="2" fillId="5" borderId="11" xfId="0" applyFont="1" applyFill="1" applyBorder="1" applyAlignment="1">
      <alignment horizontal="center"/>
    </xf>
    <xf numFmtId="0" fontId="4" fillId="0" borderId="11" xfId="0" quotePrefix="1" applyFont="1" applyBorder="1" applyAlignment="1">
      <alignment horizontal="center"/>
    </xf>
    <xf numFmtId="43" fontId="2" fillId="0" borderId="11" xfId="1" applyFont="1" applyFill="1" applyBorder="1"/>
    <xf numFmtId="43" fontId="2" fillId="0" borderId="22" xfId="1" applyFont="1" applyFill="1" applyBorder="1"/>
    <xf numFmtId="1" fontId="2" fillId="0" borderId="0" xfId="0" applyNumberFormat="1" applyFont="1"/>
    <xf numFmtId="0" fontId="2" fillId="0" borderId="40" xfId="0" applyFont="1" applyBorder="1"/>
    <xf numFmtId="0" fontId="4" fillId="0" borderId="2" xfId="0" quotePrefix="1" applyFont="1" applyBorder="1" applyAlignment="1">
      <alignment horizontal="center"/>
    </xf>
    <xf numFmtId="175" fontId="2" fillId="0" borderId="4" xfId="1" applyNumberFormat="1" applyFont="1" applyFill="1" applyBorder="1"/>
    <xf numFmtId="175" fontId="2" fillId="0" borderId="19" xfId="1" applyNumberFormat="1" applyFont="1" applyFill="1" applyBorder="1"/>
    <xf numFmtId="175" fontId="2" fillId="0" borderId="3" xfId="1" applyNumberFormat="1" applyFont="1" applyBorder="1"/>
    <xf numFmtId="0" fontId="4" fillId="2" borderId="3" xfId="0" applyFont="1" applyFill="1" applyBorder="1" applyAlignment="1">
      <alignment horizontal="center"/>
    </xf>
    <xf numFmtId="174" fontId="2" fillId="5" borderId="4" xfId="1" applyNumberFormat="1" applyFont="1" applyFill="1" applyBorder="1" applyAlignment="1">
      <alignment horizontal="center"/>
    </xf>
    <xf numFmtId="2" fontId="2" fillId="2" borderId="0" xfId="0" applyNumberFormat="1" applyFont="1" applyFill="1"/>
    <xf numFmtId="164" fontId="2" fillId="2" borderId="3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2" borderId="40" xfId="0" quotePrefix="1" applyFont="1" applyFill="1" applyBorder="1"/>
    <xf numFmtId="0" fontId="4" fillId="2" borderId="2" xfId="0" quotePrefix="1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 vertical="center"/>
    </xf>
    <xf numFmtId="166" fontId="4" fillId="0" borderId="4" xfId="1" applyNumberFormat="1" applyFont="1" applyFill="1" applyBorder="1"/>
    <xf numFmtId="166" fontId="4" fillId="0" borderId="24" xfId="1" applyNumberFormat="1" applyFont="1" applyFill="1" applyBorder="1"/>
    <xf numFmtId="166" fontId="4" fillId="0" borderId="19" xfId="1" applyNumberFormat="1" applyFont="1" applyFill="1" applyBorder="1"/>
    <xf numFmtId="166" fontId="4" fillId="0" borderId="0" xfId="0" applyNumberFormat="1" applyFont="1"/>
    <xf numFmtId="164" fontId="4" fillId="0" borderId="3" xfId="0" applyNumberFormat="1" applyFont="1" applyBorder="1"/>
    <xf numFmtId="0" fontId="4" fillId="5" borderId="4" xfId="0" applyFont="1" applyFill="1" applyBorder="1" applyAlignment="1">
      <alignment horizontal="center"/>
    </xf>
    <xf numFmtId="165" fontId="2" fillId="2" borderId="4" xfId="2" applyNumberFormat="1" applyFont="1" applyFill="1" applyBorder="1"/>
    <xf numFmtId="165" fontId="2" fillId="0" borderId="4" xfId="2" applyNumberFormat="1" applyFont="1" applyBorder="1"/>
    <xf numFmtId="165" fontId="2" fillId="0" borderId="4" xfId="2" applyNumberFormat="1" applyFont="1" applyFill="1" applyBorder="1" applyAlignment="1">
      <alignment vertical="center"/>
    </xf>
    <xf numFmtId="0" fontId="4" fillId="0" borderId="0" xfId="0" applyFont="1"/>
    <xf numFmtId="165" fontId="2" fillId="0" borderId="4" xfId="1" applyNumberFormat="1" applyFont="1" applyFill="1" applyBorder="1"/>
    <xf numFmtId="165" fontId="2" fillId="0" borderId="19" xfId="1" applyNumberFormat="1" applyFont="1" applyFill="1" applyBorder="1"/>
    <xf numFmtId="0" fontId="2" fillId="0" borderId="8" xfId="0" quotePrefix="1" applyFont="1" applyBorder="1" applyAlignment="1">
      <alignment vertical="center"/>
    </xf>
    <xf numFmtId="166" fontId="2" fillId="0" borderId="4" xfId="1" applyNumberFormat="1" applyFont="1" applyFill="1" applyBorder="1" applyAlignment="1">
      <alignment wrapText="1"/>
    </xf>
    <xf numFmtId="166" fontId="2" fillId="0" borderId="8" xfId="1" applyNumberFormat="1" applyFont="1" applyFill="1" applyBorder="1" applyAlignment="1">
      <alignment wrapText="1"/>
    </xf>
    <xf numFmtId="166" fontId="2" fillId="0" borderId="27" xfId="1" applyNumberFormat="1" applyFont="1" applyFill="1" applyBorder="1" applyAlignment="1">
      <alignment wrapText="1"/>
    </xf>
    <xf numFmtId="167" fontId="2" fillId="0" borderId="4" xfId="1" applyNumberFormat="1" applyFont="1" applyFill="1" applyBorder="1"/>
    <xf numFmtId="166" fontId="4" fillId="0" borderId="3" xfId="0" applyNumberFormat="1" applyFont="1" applyBorder="1"/>
    <xf numFmtId="166" fontId="2" fillId="0" borderId="3" xfId="0" applyNumberFormat="1" applyFont="1" applyBorder="1" applyAlignment="1">
      <alignment vertical="center"/>
    </xf>
    <xf numFmtId="41" fontId="2" fillId="0" borderId="4" xfId="2" applyFont="1" applyFill="1" applyBorder="1"/>
    <xf numFmtId="41" fontId="2" fillId="0" borderId="19" xfId="2" applyFont="1" applyFill="1" applyBorder="1"/>
    <xf numFmtId="43" fontId="2" fillId="3" borderId="6" xfId="1" applyFont="1" applyFill="1" applyBorder="1" applyAlignment="1">
      <alignment horizontal="center"/>
    </xf>
    <xf numFmtId="43" fontId="2" fillId="3" borderId="6" xfId="1" applyFont="1" applyFill="1" applyBorder="1"/>
    <xf numFmtId="43" fontId="2" fillId="3" borderId="23" xfId="1" applyFont="1" applyFill="1" applyBorder="1"/>
    <xf numFmtId="43" fontId="2" fillId="3" borderId="18" xfId="1" applyFont="1" applyFill="1" applyBorder="1"/>
    <xf numFmtId="43" fontId="2" fillId="0" borderId="27" xfId="1" applyFont="1" applyFill="1" applyBorder="1"/>
    <xf numFmtId="166" fontId="2" fillId="3" borderId="5" xfId="0" applyNumberFormat="1" applyFont="1" applyFill="1" applyBorder="1"/>
    <xf numFmtId="43" fontId="4" fillId="3" borderId="6" xfId="1" applyFont="1" applyFill="1" applyBorder="1" applyAlignment="1">
      <alignment horizontal="center"/>
    </xf>
    <xf numFmtId="43" fontId="2" fillId="3" borderId="23" xfId="1" applyFont="1" applyFill="1" applyBorder="1" applyAlignment="1">
      <alignment horizontal="center"/>
    </xf>
    <xf numFmtId="43" fontId="2" fillId="3" borderId="18" xfId="1" applyFont="1" applyFill="1" applyBorder="1" applyAlignment="1">
      <alignment horizontal="center"/>
    </xf>
    <xf numFmtId="43" fontId="2" fillId="2" borderId="0" xfId="1" applyFont="1" applyFill="1" applyBorder="1" applyAlignment="1">
      <alignment horizontal="center"/>
    </xf>
    <xf numFmtId="166" fontId="2" fillId="0" borderId="7" xfId="0" applyNumberFormat="1" applyFont="1" applyBorder="1"/>
    <xf numFmtId="164" fontId="4" fillId="3" borderId="3" xfId="0" applyNumberFormat="1" applyFont="1" applyFill="1" applyBorder="1"/>
    <xf numFmtId="43" fontId="2" fillId="3" borderId="4" xfId="1" applyFont="1" applyFill="1" applyBorder="1" applyAlignment="1">
      <alignment horizontal="center"/>
    </xf>
    <xf numFmtId="166" fontId="2" fillId="3" borderId="4" xfId="1" applyNumberFormat="1" applyFont="1" applyFill="1" applyBorder="1"/>
    <xf numFmtId="166" fontId="2" fillId="3" borderId="24" xfId="1" applyNumberFormat="1" applyFont="1" applyFill="1" applyBorder="1"/>
    <xf numFmtId="166" fontId="2" fillId="3" borderId="19" xfId="1" applyNumberFormat="1" applyFont="1" applyFill="1" applyBorder="1"/>
    <xf numFmtId="166" fontId="2" fillId="0" borderId="3" xfId="1" applyNumberFormat="1" applyFont="1" applyFill="1" applyBorder="1"/>
    <xf numFmtId="43" fontId="2" fillId="4" borderId="6" xfId="1" applyFont="1" applyFill="1" applyBorder="1" applyAlignment="1">
      <alignment horizontal="center"/>
    </xf>
    <xf numFmtId="166" fontId="2" fillId="4" borderId="5" xfId="0" applyNumberFormat="1" applyFont="1" applyFill="1" applyBorder="1"/>
    <xf numFmtId="43" fontId="2" fillId="4" borderId="4" xfId="1" applyFont="1" applyFill="1" applyBorder="1" applyAlignment="1">
      <alignment horizontal="center"/>
    </xf>
    <xf numFmtId="43" fontId="2" fillId="4" borderId="2" xfId="1" applyFont="1" applyFill="1" applyBorder="1" applyAlignment="1">
      <alignment horizontal="center"/>
    </xf>
    <xf numFmtId="166" fontId="2" fillId="4" borderId="7" xfId="0" applyNumberFormat="1" applyFont="1" applyFill="1" applyBorder="1"/>
    <xf numFmtId="43" fontId="2" fillId="4" borderId="14" xfId="1" applyFont="1" applyFill="1" applyBorder="1" applyAlignment="1">
      <alignment horizontal="center"/>
    </xf>
    <xf numFmtId="41" fontId="4" fillId="4" borderId="7" xfId="2" applyFont="1" applyFill="1" applyBorder="1"/>
    <xf numFmtId="168" fontId="2" fillId="0" borderId="3" xfId="0" applyNumberFormat="1" applyFont="1" applyBorder="1"/>
    <xf numFmtId="173" fontId="2" fillId="5" borderId="4" xfId="1" applyNumberFormat="1" applyFont="1" applyFill="1" applyBorder="1" applyAlignment="1">
      <alignment horizontal="center"/>
    </xf>
    <xf numFmtId="168" fontId="4" fillId="0" borderId="3" xfId="0" applyNumberFormat="1" applyFont="1" applyBorder="1"/>
    <xf numFmtId="0" fontId="5" fillId="0" borderId="3" xfId="0" applyFont="1" applyBorder="1"/>
    <xf numFmtId="168" fontId="2" fillId="0" borderId="4" xfId="1" applyNumberFormat="1" applyFont="1" applyBorder="1"/>
    <xf numFmtId="168" fontId="2" fillId="0" borderId="8" xfId="1" applyNumberFormat="1" applyFont="1" applyFill="1" applyBorder="1"/>
    <xf numFmtId="170" fontId="2" fillId="0" borderId="3" xfId="0" applyNumberFormat="1" applyFont="1" applyBorder="1"/>
    <xf numFmtId="0" fontId="4" fillId="0" borderId="1" xfId="0" applyFont="1" applyBorder="1" applyAlignment="1">
      <alignment horizontal="center"/>
    </xf>
    <xf numFmtId="0" fontId="4" fillId="0" borderId="40" xfId="0" quotePrefix="1" applyFont="1" applyBorder="1"/>
    <xf numFmtId="43" fontId="4" fillId="5" borderId="2" xfId="1" applyFont="1" applyFill="1" applyBorder="1" applyAlignment="1">
      <alignment horizontal="center"/>
    </xf>
    <xf numFmtId="168" fontId="4" fillId="0" borderId="2" xfId="1" applyNumberFormat="1" applyFont="1" applyFill="1" applyBorder="1"/>
    <xf numFmtId="172" fontId="4" fillId="0" borderId="2" xfId="1" applyNumberFormat="1" applyFont="1" applyFill="1" applyBorder="1"/>
    <xf numFmtId="168" fontId="4" fillId="0" borderId="20" xfId="1" applyNumberFormat="1" applyFont="1" applyFill="1" applyBorder="1"/>
    <xf numFmtId="168" fontId="4" fillId="0" borderId="7" xfId="0" applyNumberFormat="1" applyFont="1" applyBorder="1"/>
    <xf numFmtId="0" fontId="4" fillId="3" borderId="8" xfId="0" quotePrefix="1" applyFont="1" applyFill="1" applyBorder="1"/>
    <xf numFmtId="0" fontId="4" fillId="3" borderId="4" xfId="0" applyFont="1" applyFill="1" applyBorder="1" applyAlignment="1">
      <alignment horizontal="center"/>
    </xf>
    <xf numFmtId="168" fontId="4" fillId="3" borderId="4" xfId="1" applyNumberFormat="1" applyFont="1" applyFill="1" applyBorder="1"/>
    <xf numFmtId="168" fontId="4" fillId="3" borderId="24" xfId="1" applyNumberFormat="1" applyFont="1" applyFill="1" applyBorder="1"/>
    <xf numFmtId="168" fontId="4" fillId="3" borderId="19" xfId="1" applyNumberFormat="1" applyFont="1" applyFill="1" applyBorder="1"/>
    <xf numFmtId="43" fontId="4" fillId="3" borderId="5" xfId="1" applyFont="1" applyFill="1" applyBorder="1"/>
    <xf numFmtId="167" fontId="5" fillId="0" borderId="3" xfId="0" applyNumberFormat="1" applyFont="1" applyBorder="1"/>
    <xf numFmtId="166" fontId="4" fillId="5" borderId="4" xfId="1" applyNumberFormat="1" applyFont="1" applyFill="1" applyBorder="1" applyAlignment="1">
      <alignment horizontal="center"/>
    </xf>
    <xf numFmtId="43" fontId="2" fillId="5" borderId="4" xfId="1" applyFont="1" applyFill="1" applyBorder="1" applyAlignment="1">
      <alignment horizontal="center" vertical="center"/>
    </xf>
    <xf numFmtId="43" fontId="4" fillId="0" borderId="3" xfId="1" applyFont="1" applyBorder="1" applyAlignment="1">
      <alignment vertical="center"/>
    </xf>
    <xf numFmtId="0" fontId="4" fillId="0" borderId="8" xfId="0" quotePrefix="1" applyFont="1" applyBorder="1" applyAlignment="1">
      <alignment vertical="center"/>
    </xf>
    <xf numFmtId="166" fontId="5" fillId="0" borderId="3" xfId="0" applyNumberFormat="1" applyFont="1" applyBorder="1" applyAlignment="1">
      <alignment vertical="center"/>
    </xf>
    <xf numFmtId="43" fontId="2" fillId="5" borderId="4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6" fontId="4" fillId="3" borderId="5" xfId="1" applyNumberFormat="1" applyFont="1" applyFill="1" applyBorder="1"/>
    <xf numFmtId="0" fontId="4" fillId="2" borderId="8" xfId="0" quotePrefix="1" applyFont="1" applyFill="1" applyBorder="1"/>
    <xf numFmtId="0" fontId="2" fillId="5" borderId="4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4" fillId="2" borderId="41" xfId="0" quotePrefix="1" applyFont="1" applyFill="1" applyBorder="1"/>
    <xf numFmtId="0" fontId="4" fillId="5" borderId="16" xfId="0" applyFont="1" applyFill="1" applyBorder="1" applyAlignment="1">
      <alignment horizontal="center"/>
    </xf>
    <xf numFmtId="0" fontId="4" fillId="2" borderId="16" xfId="0" quotePrefix="1" applyFont="1" applyFill="1" applyBorder="1" applyAlignment="1">
      <alignment horizontal="center"/>
    </xf>
    <xf numFmtId="166" fontId="4" fillId="0" borderId="1" xfId="0" applyNumberFormat="1" applyFont="1" applyBorder="1"/>
    <xf numFmtId="0" fontId="4" fillId="3" borderId="8" xfId="0" applyFont="1" applyFill="1" applyBorder="1"/>
    <xf numFmtId="0" fontId="2" fillId="3" borderId="4" xfId="0" applyFont="1" applyFill="1" applyBorder="1"/>
    <xf numFmtId="0" fontId="4" fillId="3" borderId="4" xfId="0" applyFont="1" applyFill="1" applyBorder="1"/>
    <xf numFmtId="0" fontId="8" fillId="3" borderId="3" xfId="0" applyFont="1" applyFill="1" applyBorder="1"/>
    <xf numFmtId="0" fontId="2" fillId="2" borderId="8" xfId="0" applyFont="1" applyFill="1" applyBorder="1"/>
    <xf numFmtId="166" fontId="2" fillId="0" borderId="4" xfId="1" applyNumberFormat="1" applyFont="1" applyBorder="1"/>
    <xf numFmtId="0" fontId="4" fillId="2" borderId="40" xfId="0" applyFont="1" applyFill="1" applyBorder="1"/>
    <xf numFmtId="0" fontId="4" fillId="5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66" fontId="4" fillId="0" borderId="2" xfId="1" applyNumberFormat="1" applyFont="1" applyBorder="1"/>
    <xf numFmtId="166" fontId="4" fillId="0" borderId="7" xfId="0" applyNumberFormat="1" applyFont="1" applyBorder="1"/>
    <xf numFmtId="0" fontId="2" fillId="3" borderId="6" xfId="0" applyFont="1" applyFill="1" applyBorder="1"/>
    <xf numFmtId="0" fontId="4" fillId="3" borderId="6" xfId="0" applyFont="1" applyFill="1" applyBorder="1"/>
    <xf numFmtId="43" fontId="3" fillId="0" borderId="4" xfId="1" applyFont="1" applyFill="1" applyBorder="1" applyAlignment="1">
      <alignment vertical="center"/>
    </xf>
    <xf numFmtId="168" fontId="3" fillId="0" borderId="4" xfId="1" applyNumberFormat="1" applyFont="1" applyFill="1" applyBorder="1"/>
    <xf numFmtId="0" fontId="11" fillId="2" borderId="0" xfId="0" applyFont="1" applyFill="1"/>
    <xf numFmtId="0" fontId="4" fillId="2" borderId="37" xfId="0" quotePrefix="1" applyFont="1" applyFill="1" applyBorder="1"/>
    <xf numFmtId="173" fontId="2" fillId="5" borderId="6" xfId="1" applyNumberFormat="1" applyFont="1" applyFill="1" applyBorder="1" applyAlignment="1">
      <alignment horizontal="center"/>
    </xf>
    <xf numFmtId="0" fontId="4" fillId="2" borderId="6" xfId="0" quotePrefix="1" applyFont="1" applyFill="1" applyBorder="1" applyAlignment="1">
      <alignment horizontal="center"/>
    </xf>
    <xf numFmtId="43" fontId="11" fillId="0" borderId="6" xfId="1" applyFont="1" applyFill="1" applyBorder="1"/>
    <xf numFmtId="43" fontId="11" fillId="0" borderId="18" xfId="1" applyFont="1" applyFill="1" applyBorder="1"/>
    <xf numFmtId="43" fontId="11" fillId="0" borderId="5" xfId="1" applyFont="1" applyFill="1" applyBorder="1"/>
    <xf numFmtId="41" fontId="11" fillId="2" borderId="0" xfId="2" applyFont="1" applyFill="1"/>
    <xf numFmtId="165" fontId="4" fillId="2" borderId="3" xfId="2" applyNumberFormat="1" applyFont="1" applyFill="1" applyBorder="1"/>
    <xf numFmtId="168" fontId="2" fillId="0" borderId="27" xfId="1" applyNumberFormat="1" applyFont="1" applyFill="1" applyBorder="1"/>
    <xf numFmtId="0" fontId="2" fillId="0" borderId="0" xfId="0" applyFont="1" applyAlignment="1">
      <alignment horizontal="left"/>
    </xf>
    <xf numFmtId="166" fontId="2" fillId="0" borderId="0" xfId="1" applyNumberFormat="1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76" fontId="2" fillId="0" borderId="0" xfId="0" applyNumberFormat="1" applyFont="1"/>
    <xf numFmtId="41" fontId="2" fillId="0" borderId="0" xfId="0" applyNumberFormat="1" applyFont="1"/>
    <xf numFmtId="41" fontId="2" fillId="0" borderId="0" xfId="2" applyFont="1" applyFill="1"/>
    <xf numFmtId="41" fontId="2" fillId="2" borderId="0" xfId="2" applyFont="1" applyFill="1"/>
    <xf numFmtId="41" fontId="2" fillId="0" borderId="0" xfId="2" applyFont="1" applyAlignment="1">
      <alignment vertical="center"/>
    </xf>
    <xf numFmtId="0" fontId="2" fillId="4" borderId="0" xfId="0" applyFont="1" applyFill="1"/>
    <xf numFmtId="165" fontId="2" fillId="0" borderId="0" xfId="2" applyNumberFormat="1" applyFont="1" applyFill="1"/>
    <xf numFmtId="166" fontId="2" fillId="0" borderId="0" xfId="0" applyNumberFormat="1" applyFont="1" applyAlignment="1">
      <alignment vertical="center"/>
    </xf>
    <xf numFmtId="41" fontId="4" fillId="0" borderId="0" xfId="2" applyFont="1" applyFill="1"/>
    <xf numFmtId="43" fontId="2" fillId="2" borderId="4" xfId="1" applyFont="1" applyFill="1" applyBorder="1"/>
    <xf numFmtId="43" fontId="2" fillId="2" borderId="13" xfId="1" applyFont="1" applyFill="1" applyBorder="1"/>
    <xf numFmtId="43" fontId="2" fillId="0" borderId="0" xfId="0" applyNumberFormat="1" applyFont="1"/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41" fontId="4" fillId="0" borderId="0" xfId="2" applyFont="1" applyFill="1" applyAlignment="1">
      <alignment horizontal="center"/>
    </xf>
    <xf numFmtId="169" fontId="2" fillId="0" borderId="0" xfId="0" applyNumberFormat="1" applyFont="1"/>
    <xf numFmtId="41" fontId="4" fillId="0" borderId="0" xfId="2" applyFont="1"/>
    <xf numFmtId="166" fontId="4" fillId="0" borderId="21" xfId="1" applyNumberFormat="1" applyFont="1" applyFill="1" applyBorder="1"/>
    <xf numFmtId="0" fontId="7" fillId="2" borderId="37" xfId="0" applyFont="1" applyFill="1" applyBorder="1"/>
    <xf numFmtId="166" fontId="2" fillId="4" borderId="4" xfId="1" applyNumberFormat="1" applyFont="1" applyFill="1" applyBorder="1" applyAlignment="1">
      <alignment horizontal="center" vertical="center"/>
    </xf>
    <xf numFmtId="166" fontId="2" fillId="4" borderId="24" xfId="1" applyNumberFormat="1" applyFont="1" applyFill="1" applyBorder="1" applyAlignment="1">
      <alignment horizontal="center" vertical="center"/>
    </xf>
    <xf numFmtId="166" fontId="2" fillId="4" borderId="19" xfId="1" applyNumberFormat="1" applyFont="1" applyFill="1" applyBorder="1" applyAlignment="1">
      <alignment horizontal="center" vertical="center"/>
    </xf>
    <xf numFmtId="0" fontId="4" fillId="2" borderId="24" xfId="0" quotePrefix="1" applyFont="1" applyFill="1" applyBorder="1" applyAlignment="1">
      <alignment horizontal="center"/>
    </xf>
    <xf numFmtId="43" fontId="12" fillId="0" borderId="4" xfId="1" applyFont="1" applyFill="1" applyBorder="1" applyAlignment="1">
      <alignment vertical="center"/>
    </xf>
    <xf numFmtId="171" fontId="3" fillId="0" borderId="4" xfId="1" applyNumberFormat="1" applyFont="1" applyFill="1" applyBorder="1"/>
    <xf numFmtId="43" fontId="4" fillId="0" borderId="24" xfId="1" applyFont="1" applyFill="1" applyBorder="1" applyAlignment="1">
      <alignment vertical="center"/>
    </xf>
    <xf numFmtId="43" fontId="4" fillId="0" borderId="19" xfId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43" fontId="12" fillId="0" borderId="24" xfId="1" applyFont="1" applyFill="1" applyBorder="1" applyAlignment="1">
      <alignment vertical="center"/>
    </xf>
    <xf numFmtId="43" fontId="2" fillId="2" borderId="19" xfId="1" applyFont="1" applyFill="1" applyBorder="1"/>
    <xf numFmtId="43" fontId="2" fillId="2" borderId="20" xfId="1" applyFont="1" applyFill="1" applyBorder="1"/>
    <xf numFmtId="0" fontId="6" fillId="0" borderId="0" xfId="0" applyFont="1" applyAlignment="1">
      <alignment horizontal="center"/>
    </xf>
    <xf numFmtId="0" fontId="6" fillId="8" borderId="29" xfId="0" applyFont="1" applyFill="1" applyBorder="1" applyAlignment="1">
      <alignment horizontal="center"/>
    </xf>
    <xf numFmtId="0" fontId="4" fillId="8" borderId="30" xfId="0" applyFont="1" applyFill="1" applyBorder="1" applyAlignment="1">
      <alignment horizontal="center"/>
    </xf>
    <xf numFmtId="0" fontId="4" fillId="8" borderId="31" xfId="0" applyFont="1" applyFill="1" applyBorder="1" applyAlignment="1">
      <alignment horizontal="center"/>
    </xf>
    <xf numFmtId="0" fontId="4" fillId="0" borderId="32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8" borderId="34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35" xfId="0" applyFont="1" applyFill="1" applyBorder="1" applyAlignment="1">
      <alignment horizontal="center" vertical="center"/>
    </xf>
    <xf numFmtId="0" fontId="4" fillId="8" borderId="36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8" borderId="28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13" fillId="0" borderId="0" xfId="0" applyFont="1"/>
    <xf numFmtId="0" fontId="13" fillId="2" borderId="0" xfId="0" applyFont="1" applyFill="1"/>
    <xf numFmtId="0" fontId="13" fillId="4" borderId="0" xfId="0" applyFont="1" applyFill="1" applyAlignment="1">
      <alignment vertical="center"/>
    </xf>
    <xf numFmtId="0" fontId="13" fillId="0" borderId="0" xfId="0" applyFont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VQ285"/>
  <sheetViews>
    <sheetView tabSelected="1" topLeftCell="AI1" zoomScale="80" zoomScaleNormal="80" workbookViewId="0">
      <selection activeCell="AO10" sqref="AO10"/>
    </sheetView>
  </sheetViews>
  <sheetFormatPr defaultColWidth="9" defaultRowHeight="14.4"/>
  <cols>
    <col min="1" max="1" width="6.44140625" style="3" customWidth="1"/>
    <col min="2" max="2" width="4.6640625" style="301" customWidth="1"/>
    <col min="3" max="3" width="36.88671875" style="3" customWidth="1"/>
    <col min="4" max="4" width="14.6640625" style="3" customWidth="1"/>
    <col min="5" max="5" width="8.109375" style="198" customWidth="1"/>
    <col min="6" max="6" width="13.5546875" style="3" customWidth="1"/>
    <col min="7" max="7" width="15.21875" style="3" customWidth="1"/>
    <col min="8" max="8" width="13.5546875" style="3" customWidth="1"/>
    <col min="9" max="11" width="14.5546875" style="3" customWidth="1"/>
    <col min="12" max="14" width="13.5546875" style="3" customWidth="1"/>
    <col min="15" max="15" width="15.109375" style="3" customWidth="1"/>
    <col min="16" max="17" width="13.5546875" style="3" customWidth="1"/>
    <col min="18" max="18" width="14.33203125" style="3" customWidth="1"/>
    <col min="19" max="19" width="14.5546875" style="3" customWidth="1"/>
    <col min="20" max="22" width="13.5546875" style="3" customWidth="1"/>
    <col min="23" max="23" width="15.6640625" style="3" customWidth="1"/>
    <col min="24" max="28" width="13.5546875" style="3" customWidth="1"/>
    <col min="29" max="29" width="13.109375" style="3" customWidth="1"/>
    <col min="30" max="36" width="13.5546875" style="3" customWidth="1"/>
    <col min="37" max="37" width="9.44140625" style="3" customWidth="1"/>
    <col min="38" max="38" width="25.6640625" style="3" customWidth="1"/>
    <col min="39" max="64" width="8.109375" style="3" customWidth="1"/>
    <col min="65" max="66" width="7.5546875" style="3" customWidth="1"/>
    <col min="67" max="71" width="8.109375" style="3" customWidth="1"/>
    <col min="72" max="83" width="9" style="3"/>
    <col min="84" max="84" width="12.6640625" style="3" customWidth="1"/>
    <col min="85" max="85" width="12.109375" style="3" customWidth="1"/>
    <col min="86" max="86" width="9.109375" style="3" customWidth="1"/>
    <col min="87" max="87" width="9.88671875" style="3" customWidth="1"/>
    <col min="88" max="88" width="15.88671875" style="3" customWidth="1"/>
    <col min="89" max="89" width="12.88671875" style="3" customWidth="1"/>
    <col min="90" max="90" width="14.109375" style="3" customWidth="1"/>
    <col min="91" max="102" width="9" style="3"/>
    <col min="103" max="103" width="9.5546875" style="16" customWidth="1"/>
    <col min="104" max="104" width="12.44140625" style="3" customWidth="1"/>
    <col min="105" max="15068" width="9" style="3"/>
    <col min="15069" max="16384" width="9" style="347"/>
  </cols>
  <sheetData>
    <row r="1" spans="2:103">
      <c r="B1" s="297"/>
    </row>
    <row r="2" spans="2:103" ht="17.399999999999999">
      <c r="B2" s="333" t="s">
        <v>97</v>
      </c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3"/>
      <c r="AB2" s="333"/>
      <c r="AC2" s="333"/>
      <c r="AD2" s="333"/>
      <c r="AE2" s="333"/>
      <c r="AF2" s="333"/>
      <c r="AG2" s="333"/>
      <c r="AH2" s="333"/>
      <c r="AI2" s="333"/>
      <c r="AJ2" s="333"/>
      <c r="AK2" s="299"/>
    </row>
    <row r="3" spans="2:103">
      <c r="B3" s="300"/>
    </row>
    <row r="4" spans="2:103" ht="15" thickBot="1">
      <c r="C4" s="302"/>
      <c r="D4" s="298"/>
      <c r="Z4" s="89"/>
      <c r="AB4" s="89"/>
    </row>
    <row r="5" spans="2:103" ht="15" customHeight="1">
      <c r="B5" s="339" t="s">
        <v>119</v>
      </c>
      <c r="C5" s="341" t="s">
        <v>120</v>
      </c>
      <c r="D5" s="343" t="s">
        <v>121</v>
      </c>
      <c r="E5" s="345" t="s">
        <v>122</v>
      </c>
      <c r="F5" s="334" t="s">
        <v>132</v>
      </c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335"/>
      <c r="AA5" s="335"/>
      <c r="AB5" s="335"/>
      <c r="AC5" s="335"/>
      <c r="AD5" s="335"/>
      <c r="AE5" s="335"/>
      <c r="AF5" s="335"/>
      <c r="AG5" s="335"/>
      <c r="AH5" s="335"/>
      <c r="AI5" s="335"/>
      <c r="AJ5" s="336"/>
      <c r="AL5" s="337" t="s">
        <v>123</v>
      </c>
    </row>
    <row r="6" spans="2:103">
      <c r="B6" s="340"/>
      <c r="C6" s="342"/>
      <c r="D6" s="344"/>
      <c r="E6" s="346"/>
      <c r="F6" s="83">
        <v>1</v>
      </c>
      <c r="G6" s="83">
        <v>2</v>
      </c>
      <c r="H6" s="83">
        <v>3</v>
      </c>
      <c r="I6" s="83">
        <v>4</v>
      </c>
      <c r="J6" s="83">
        <v>5</v>
      </c>
      <c r="K6" s="83">
        <v>6</v>
      </c>
      <c r="L6" s="83">
        <v>7</v>
      </c>
      <c r="M6" s="83">
        <v>8</v>
      </c>
      <c r="N6" s="83">
        <v>9</v>
      </c>
      <c r="O6" s="83">
        <v>10</v>
      </c>
      <c r="P6" s="83">
        <v>11</v>
      </c>
      <c r="Q6" s="83">
        <v>12</v>
      </c>
      <c r="R6" s="83">
        <v>13</v>
      </c>
      <c r="S6" s="83">
        <v>14</v>
      </c>
      <c r="T6" s="83">
        <v>15</v>
      </c>
      <c r="U6" s="83">
        <v>16</v>
      </c>
      <c r="V6" s="83">
        <v>17</v>
      </c>
      <c r="W6" s="83">
        <v>18</v>
      </c>
      <c r="X6" s="83">
        <v>19</v>
      </c>
      <c r="Y6" s="83">
        <v>20</v>
      </c>
      <c r="Z6" s="83">
        <v>21</v>
      </c>
      <c r="AA6" s="83">
        <v>22</v>
      </c>
      <c r="AB6" s="83">
        <v>23</v>
      </c>
      <c r="AC6" s="83">
        <v>24</v>
      </c>
      <c r="AD6" s="83">
        <v>25</v>
      </c>
      <c r="AE6" s="83">
        <v>26</v>
      </c>
      <c r="AF6" s="83">
        <v>27</v>
      </c>
      <c r="AG6" s="84">
        <v>28</v>
      </c>
      <c r="AH6" s="84">
        <v>29</v>
      </c>
      <c r="AI6" s="84">
        <v>30</v>
      </c>
      <c r="AJ6" s="85">
        <v>31</v>
      </c>
      <c r="AL6" s="338"/>
    </row>
    <row r="7" spans="2:103">
      <c r="B7" s="86">
        <v>1</v>
      </c>
      <c r="C7" s="71" t="s">
        <v>96</v>
      </c>
      <c r="D7" s="87"/>
      <c r="E7" s="18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88"/>
      <c r="AD7" s="6"/>
      <c r="AE7" s="6"/>
      <c r="AF7" s="6"/>
      <c r="AG7" s="52"/>
      <c r="AH7" s="52"/>
      <c r="AI7" s="52"/>
      <c r="AJ7" s="60"/>
      <c r="AK7" s="89"/>
      <c r="AL7" s="90" t="s">
        <v>95</v>
      </c>
    </row>
    <row r="8" spans="2:103">
      <c r="B8" s="69"/>
      <c r="C8" s="91" t="s">
        <v>18</v>
      </c>
      <c r="D8" s="92"/>
      <c r="E8" s="93"/>
      <c r="F8" s="94"/>
      <c r="G8" s="95"/>
      <c r="H8" s="94"/>
      <c r="I8" s="94"/>
      <c r="J8" s="96"/>
      <c r="K8" s="94"/>
      <c r="L8" s="94"/>
      <c r="M8" s="94"/>
      <c r="N8" s="94"/>
      <c r="O8" s="94"/>
      <c r="P8" s="94"/>
      <c r="Q8" s="94"/>
      <c r="R8" s="94"/>
      <c r="S8" s="94"/>
      <c r="T8" s="96"/>
      <c r="U8" s="97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8"/>
      <c r="AH8" s="98"/>
      <c r="AI8" s="98"/>
      <c r="AJ8" s="99"/>
      <c r="AK8" s="89"/>
      <c r="AL8" s="100" t="s">
        <v>18</v>
      </c>
    </row>
    <row r="9" spans="2:103">
      <c r="B9" s="69"/>
      <c r="C9" s="74" t="s">
        <v>94</v>
      </c>
      <c r="D9" s="101"/>
      <c r="E9" s="102" t="s">
        <v>93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50">
        <v>1</v>
      </c>
      <c r="AH9" s="50">
        <v>1</v>
      </c>
      <c r="AI9" s="50">
        <v>1</v>
      </c>
      <c r="AJ9" s="21">
        <v>1</v>
      </c>
      <c r="AK9" s="89"/>
      <c r="AL9" s="103">
        <f>SUM(F9:AJ9)</f>
        <v>31</v>
      </c>
    </row>
    <row r="10" spans="2:103">
      <c r="B10" s="69"/>
      <c r="C10" s="74" t="s">
        <v>127</v>
      </c>
      <c r="D10" s="101"/>
      <c r="E10" s="5" t="s">
        <v>29</v>
      </c>
      <c r="F10" s="10">
        <f>F11/2200/1000*100</f>
        <v>50.27</v>
      </c>
      <c r="G10" s="10">
        <f t="shared" ref="G10:AJ10" si="0">G11/2200/1000*100</f>
        <v>61.74545454545455</v>
      </c>
      <c r="H10" s="10">
        <f t="shared" si="0"/>
        <v>53.837818181818186</v>
      </c>
      <c r="I10" s="10">
        <f t="shared" si="0"/>
        <v>22.486681818181818</v>
      </c>
      <c r="J10" s="10">
        <f>J11/2200/1000*100</f>
        <v>25.588363636363638</v>
      </c>
      <c r="K10" s="10">
        <f t="shared" si="0"/>
        <v>33.3035</v>
      </c>
      <c r="L10" s="10">
        <f t="shared" si="0"/>
        <v>70.489318181818177</v>
      </c>
      <c r="M10" s="10">
        <f t="shared" si="0"/>
        <v>66.783181818181831</v>
      </c>
      <c r="N10" s="10">
        <f t="shared" si="0"/>
        <v>63.022545454545451</v>
      </c>
      <c r="O10" s="10">
        <f t="shared" si="0"/>
        <v>77.983590909090921</v>
      </c>
      <c r="P10" s="10">
        <f t="shared" si="0"/>
        <v>73.425318181818184</v>
      </c>
      <c r="Q10" s="10">
        <f t="shared" si="0"/>
        <v>73.027409090909089</v>
      </c>
      <c r="R10" s="10">
        <f t="shared" si="0"/>
        <v>62.272818181818181</v>
      </c>
      <c r="S10" s="10">
        <f t="shared" si="0"/>
        <v>19.198681818181822</v>
      </c>
      <c r="T10" s="10">
        <f t="shared" si="0"/>
        <v>55.273909090909093</v>
      </c>
      <c r="U10" s="10">
        <f t="shared" si="0"/>
        <v>44.416409090909092</v>
      </c>
      <c r="V10" s="10">
        <f t="shared" si="0"/>
        <v>56.620000000000005</v>
      </c>
      <c r="W10" s="10">
        <f t="shared" si="0"/>
        <v>59.790090909090907</v>
      </c>
      <c r="X10" s="10">
        <f t="shared" si="0"/>
        <v>65.36454545454545</v>
      </c>
      <c r="Y10" s="10">
        <f t="shared" si="0"/>
        <v>59.903636363636359</v>
      </c>
      <c r="Z10" s="10">
        <f t="shared" si="0"/>
        <v>68.087363636363634</v>
      </c>
      <c r="AA10" s="10">
        <f t="shared" si="0"/>
        <v>68.192681818181811</v>
      </c>
      <c r="AB10" s="10">
        <f t="shared" si="0"/>
        <v>69.118136363636367</v>
      </c>
      <c r="AC10" s="10">
        <f t="shared" si="0"/>
        <v>69.70304545454546</v>
      </c>
      <c r="AD10" s="10">
        <f t="shared" si="0"/>
        <v>58.61577272727272</v>
      </c>
      <c r="AE10" s="10">
        <f t="shared" si="0"/>
        <v>73.559681818181815</v>
      </c>
      <c r="AF10" s="10">
        <f t="shared" si="0"/>
        <v>79.739136363636362</v>
      </c>
      <c r="AG10" s="10">
        <f t="shared" si="0"/>
        <v>53.338636363636361</v>
      </c>
      <c r="AH10" s="10">
        <f t="shared" si="0"/>
        <v>62.901181818181819</v>
      </c>
      <c r="AI10" s="10">
        <f t="shared" si="0"/>
        <v>82.046954545454554</v>
      </c>
      <c r="AJ10" s="20">
        <f t="shared" si="0"/>
        <v>77.006136363636358</v>
      </c>
      <c r="AK10" s="89"/>
      <c r="AL10" s="153">
        <f>AVERAGE(F10:AJ10)</f>
        <v>59.906838709677423</v>
      </c>
    </row>
    <row r="11" spans="2:103" s="3" customFormat="1" ht="13.8">
      <c r="B11" s="69"/>
      <c r="C11" s="104" t="s">
        <v>113</v>
      </c>
      <c r="D11" s="105">
        <v>65100000</v>
      </c>
      <c r="E11" s="106" t="s">
        <v>16</v>
      </c>
      <c r="F11" s="107">
        <v>1105940</v>
      </c>
      <c r="G11" s="107">
        <v>1358400</v>
      </c>
      <c r="H11" s="107">
        <v>1184432</v>
      </c>
      <c r="I11" s="107">
        <v>494707</v>
      </c>
      <c r="J11" s="107">
        <v>562944</v>
      </c>
      <c r="K11" s="107">
        <v>732677</v>
      </c>
      <c r="L11" s="107">
        <v>1550765</v>
      </c>
      <c r="M11" s="107">
        <v>1469230</v>
      </c>
      <c r="N11" s="107">
        <v>1386496</v>
      </c>
      <c r="O11" s="107">
        <v>1715639</v>
      </c>
      <c r="P11" s="107">
        <v>1615357</v>
      </c>
      <c r="Q11" s="107">
        <v>1606603</v>
      </c>
      <c r="R11" s="107">
        <v>1370002</v>
      </c>
      <c r="S11" s="107">
        <v>422371</v>
      </c>
      <c r="T11" s="107">
        <v>1216026</v>
      </c>
      <c r="U11" s="107">
        <v>977161</v>
      </c>
      <c r="V11" s="107">
        <v>1245640</v>
      </c>
      <c r="W11" s="107">
        <v>1315382</v>
      </c>
      <c r="X11" s="107">
        <v>1438020</v>
      </c>
      <c r="Y11" s="107">
        <v>1317880</v>
      </c>
      <c r="Z11" s="107">
        <v>1497922</v>
      </c>
      <c r="AA11" s="107">
        <v>1500239</v>
      </c>
      <c r="AB11" s="107">
        <v>1520599</v>
      </c>
      <c r="AC11" s="107">
        <v>1533467</v>
      </c>
      <c r="AD11" s="107">
        <v>1289547</v>
      </c>
      <c r="AE11" s="107">
        <v>1618313</v>
      </c>
      <c r="AF11" s="107">
        <v>1754261</v>
      </c>
      <c r="AG11" s="108">
        <v>1173450</v>
      </c>
      <c r="AH11" s="108">
        <v>1383826</v>
      </c>
      <c r="AI11" s="108">
        <v>1805033</v>
      </c>
      <c r="AJ11" s="109">
        <v>1694135</v>
      </c>
      <c r="AL11" s="110">
        <f>SUM(F11:AJ11)</f>
        <v>40856464</v>
      </c>
      <c r="BR11" s="303"/>
      <c r="CY11" s="304"/>
    </row>
    <row r="12" spans="2:103" s="3" customFormat="1" ht="13.8">
      <c r="B12" s="69"/>
      <c r="C12" s="104" t="s">
        <v>114</v>
      </c>
      <c r="D12" s="105"/>
      <c r="E12" s="106" t="s">
        <v>16</v>
      </c>
      <c r="F12" s="107">
        <f t="shared" ref="F12:P12" si="1">F11-F33-F38</f>
        <v>764272.9080627691</v>
      </c>
      <c r="G12" s="107">
        <f t="shared" si="1"/>
        <v>1358400</v>
      </c>
      <c r="H12" s="107">
        <f t="shared" si="1"/>
        <v>1184432</v>
      </c>
      <c r="I12" s="107">
        <f t="shared" si="1"/>
        <v>145381.66587782622</v>
      </c>
      <c r="J12" s="107">
        <f t="shared" si="1"/>
        <v>562944</v>
      </c>
      <c r="K12" s="107">
        <f t="shared" si="1"/>
        <v>732677</v>
      </c>
      <c r="L12" s="107">
        <f t="shared" si="1"/>
        <v>1550765</v>
      </c>
      <c r="M12" s="107">
        <f t="shared" si="1"/>
        <v>1469230</v>
      </c>
      <c r="N12" s="107">
        <f t="shared" si="1"/>
        <v>1386496</v>
      </c>
      <c r="O12" s="107">
        <f t="shared" si="1"/>
        <v>1715639</v>
      </c>
      <c r="P12" s="107">
        <f t="shared" si="1"/>
        <v>1615357</v>
      </c>
      <c r="Q12" s="107">
        <f>Q11-Q35-Q38</f>
        <v>1606603</v>
      </c>
      <c r="R12" s="107">
        <f t="shared" ref="R12:AJ12" si="2">R11-R33-R38</f>
        <v>1370002</v>
      </c>
      <c r="S12" s="107">
        <f t="shared" si="2"/>
        <v>422371</v>
      </c>
      <c r="T12" s="107">
        <f t="shared" si="2"/>
        <v>1216026</v>
      </c>
      <c r="U12" s="107">
        <f t="shared" si="2"/>
        <v>439625.25490783819</v>
      </c>
      <c r="V12" s="107">
        <f t="shared" si="2"/>
        <v>1245640</v>
      </c>
      <c r="W12" s="107">
        <f t="shared" si="2"/>
        <v>1277904.8897307143</v>
      </c>
      <c r="X12" s="107">
        <f t="shared" si="2"/>
        <v>733618.94777590455</v>
      </c>
      <c r="Y12" s="107">
        <f t="shared" si="2"/>
        <v>965618.59237387031</v>
      </c>
      <c r="Z12" s="107">
        <f t="shared" si="2"/>
        <v>1497922</v>
      </c>
      <c r="AA12" s="107">
        <f t="shared" si="2"/>
        <v>1500239</v>
      </c>
      <c r="AB12" s="107">
        <f t="shared" si="2"/>
        <v>1520599</v>
      </c>
      <c r="AC12" s="107">
        <f t="shared" si="2"/>
        <v>655223.4622878246</v>
      </c>
      <c r="AD12" s="107">
        <f t="shared" si="2"/>
        <v>985100.71233253344</v>
      </c>
      <c r="AE12" s="107">
        <f t="shared" si="2"/>
        <v>1618313</v>
      </c>
      <c r="AF12" s="107">
        <f t="shared" si="2"/>
        <v>1754261</v>
      </c>
      <c r="AG12" s="107">
        <f t="shared" si="2"/>
        <v>1173450</v>
      </c>
      <c r="AH12" s="107">
        <f t="shared" si="2"/>
        <v>1383826</v>
      </c>
      <c r="AI12" s="107">
        <f t="shared" si="2"/>
        <v>1191519.2320334706</v>
      </c>
      <c r="AJ12" s="109">
        <f t="shared" si="2"/>
        <v>1625750.8987412921</v>
      </c>
      <c r="AL12" s="111">
        <f>SUM(F12:AJ12)</f>
        <v>36669208.56412404</v>
      </c>
      <c r="CY12" s="304"/>
    </row>
    <row r="13" spans="2:103" s="3" customFormat="1" ht="13.8">
      <c r="B13" s="69"/>
      <c r="C13" s="104" t="s">
        <v>115</v>
      </c>
      <c r="D13" s="105"/>
      <c r="E13" s="106" t="s">
        <v>16</v>
      </c>
      <c r="F13" s="107">
        <f>F33+F38</f>
        <v>341667.09193723084</v>
      </c>
      <c r="G13" s="107">
        <f>G33+G38</f>
        <v>0</v>
      </c>
      <c r="H13" s="107">
        <f t="shared" ref="H13:Y13" si="3">H33+H38</f>
        <v>0</v>
      </c>
      <c r="I13" s="107">
        <f t="shared" si="3"/>
        <v>349325.33412217378</v>
      </c>
      <c r="J13" s="107">
        <f t="shared" si="3"/>
        <v>0</v>
      </c>
      <c r="K13" s="107">
        <f t="shared" si="3"/>
        <v>0</v>
      </c>
      <c r="L13" s="107">
        <f t="shared" si="3"/>
        <v>0</v>
      </c>
      <c r="M13" s="107">
        <f t="shared" si="3"/>
        <v>0</v>
      </c>
      <c r="N13" s="107">
        <f t="shared" si="3"/>
        <v>0</v>
      </c>
      <c r="O13" s="107">
        <f>O33+O38</f>
        <v>0</v>
      </c>
      <c r="P13" s="107">
        <f t="shared" si="3"/>
        <v>0</v>
      </c>
      <c r="Q13" s="107">
        <f>Q35+Q38</f>
        <v>0</v>
      </c>
      <c r="R13" s="107">
        <f t="shared" si="3"/>
        <v>0</v>
      </c>
      <c r="S13" s="107">
        <f t="shared" si="3"/>
        <v>0</v>
      </c>
      <c r="T13" s="107">
        <f>T33+T38</f>
        <v>0</v>
      </c>
      <c r="U13" s="107">
        <f>U33+U38</f>
        <v>537535.74509216181</v>
      </c>
      <c r="V13" s="107">
        <f>V33+V38</f>
        <v>0</v>
      </c>
      <c r="W13" s="107">
        <f>W33+W38</f>
        <v>37477.110269285695</v>
      </c>
      <c r="X13" s="107">
        <f t="shared" si="3"/>
        <v>704401.05222409545</v>
      </c>
      <c r="Y13" s="107">
        <f t="shared" si="3"/>
        <v>352261.40762612963</v>
      </c>
      <c r="Z13" s="107">
        <f>Z33+Z38</f>
        <v>0</v>
      </c>
      <c r="AA13" s="107">
        <f>AA33+AA38</f>
        <v>0</v>
      </c>
      <c r="AB13" s="107">
        <f t="shared" ref="AB13:AI13" si="4">AB33+AB38</f>
        <v>0</v>
      </c>
      <c r="AC13" s="107">
        <f t="shared" si="4"/>
        <v>878243.5377121754</v>
      </c>
      <c r="AD13" s="107">
        <f t="shared" si="4"/>
        <v>304446.28766746662</v>
      </c>
      <c r="AE13" s="107">
        <f t="shared" si="4"/>
        <v>0</v>
      </c>
      <c r="AF13" s="107">
        <f t="shared" si="4"/>
        <v>0</v>
      </c>
      <c r="AG13" s="107">
        <f t="shared" si="4"/>
        <v>0</v>
      </c>
      <c r="AH13" s="107">
        <f t="shared" si="4"/>
        <v>0</v>
      </c>
      <c r="AI13" s="107">
        <f t="shared" si="4"/>
        <v>613513.76796652924</v>
      </c>
      <c r="AJ13" s="109">
        <f>AJ33+AJ38</f>
        <v>68384.101258707859</v>
      </c>
      <c r="AL13" s="111">
        <f>SUM(F13:AJ13)</f>
        <v>4187255.4358759564</v>
      </c>
      <c r="CY13" s="304"/>
    </row>
    <row r="14" spans="2:103" s="3" customFormat="1" ht="13.8">
      <c r="B14" s="69"/>
      <c r="C14" s="70" t="s">
        <v>92</v>
      </c>
      <c r="D14" s="14">
        <v>5</v>
      </c>
      <c r="E14" s="5" t="s">
        <v>29</v>
      </c>
      <c r="F14" s="4">
        <v>4.05</v>
      </c>
      <c r="G14" s="4">
        <v>4.17</v>
      </c>
      <c r="H14" s="4">
        <v>4.09</v>
      </c>
      <c r="I14" s="4">
        <v>4.17</v>
      </c>
      <c r="J14" s="4">
        <v>4.18</v>
      </c>
      <c r="K14" s="3">
        <v>4.2300000000000004</v>
      </c>
      <c r="L14" s="4">
        <v>4.1500000000000004</v>
      </c>
      <c r="M14" s="4">
        <v>3.93</v>
      </c>
      <c r="N14" s="4">
        <v>4.01</v>
      </c>
      <c r="O14" s="4">
        <v>4.0999999999999996</v>
      </c>
      <c r="P14" s="4">
        <v>4.07</v>
      </c>
      <c r="Q14" s="4">
        <v>4.05</v>
      </c>
      <c r="R14" s="4">
        <v>4</v>
      </c>
      <c r="S14" s="58">
        <v>4.0199999999999996</v>
      </c>
      <c r="T14" s="4">
        <v>4.0199999999999996</v>
      </c>
      <c r="U14" s="4">
        <v>4.0199999999999996</v>
      </c>
      <c r="V14" s="4">
        <v>4.18</v>
      </c>
      <c r="W14" s="4">
        <v>4.18</v>
      </c>
      <c r="X14" s="4">
        <v>4.1100000000000003</v>
      </c>
      <c r="Y14" s="4">
        <v>4.0199999999999996</v>
      </c>
      <c r="Z14" s="4">
        <v>4.0199999999999996</v>
      </c>
      <c r="AA14" s="4">
        <v>4.28</v>
      </c>
      <c r="AB14" s="4">
        <v>4.09</v>
      </c>
      <c r="AC14" s="4">
        <v>4.09</v>
      </c>
      <c r="AD14" s="4">
        <v>4.09</v>
      </c>
      <c r="AE14" s="4">
        <v>4.0599999999999996</v>
      </c>
      <c r="AF14" s="4">
        <v>4.12</v>
      </c>
      <c r="AG14" s="112">
        <v>4.49</v>
      </c>
      <c r="AH14" s="112">
        <v>3.89</v>
      </c>
      <c r="AI14" s="112">
        <v>4.46</v>
      </c>
      <c r="AJ14" s="113">
        <v>4.2300000000000004</v>
      </c>
      <c r="AL14" s="114">
        <f>AVERAGE(F14:AJ14)</f>
        <v>4.1151612903225807</v>
      </c>
      <c r="CY14" s="16"/>
    </row>
    <row r="15" spans="2:103" s="3" customFormat="1" ht="13.8">
      <c r="B15" s="69"/>
      <c r="C15" s="70" t="s">
        <v>91</v>
      </c>
      <c r="D15" s="14">
        <v>0.5</v>
      </c>
      <c r="E15" s="5" t="s">
        <v>29</v>
      </c>
      <c r="F15" s="4">
        <v>0.4</v>
      </c>
      <c r="G15" s="4">
        <v>0.42</v>
      </c>
      <c r="H15" s="4">
        <v>0.4</v>
      </c>
      <c r="I15" s="4">
        <v>0.42</v>
      </c>
      <c r="J15" s="4">
        <v>0.41</v>
      </c>
      <c r="K15" s="58">
        <v>0.44</v>
      </c>
      <c r="L15" s="4">
        <v>0.43</v>
      </c>
      <c r="M15" s="4">
        <v>0.42</v>
      </c>
      <c r="N15" s="4">
        <v>0.43</v>
      </c>
      <c r="O15" s="4">
        <v>0.42</v>
      </c>
      <c r="P15" s="4">
        <v>0.43</v>
      </c>
      <c r="Q15" s="4">
        <v>0.47</v>
      </c>
      <c r="R15" s="4">
        <v>0.41</v>
      </c>
      <c r="S15" s="58">
        <v>0.4</v>
      </c>
      <c r="T15" s="4">
        <v>0.45</v>
      </c>
      <c r="U15" s="4">
        <v>0.43</v>
      </c>
      <c r="V15" s="4">
        <v>0.43</v>
      </c>
      <c r="W15" s="4">
        <v>0.42</v>
      </c>
      <c r="X15" s="4">
        <v>0.43</v>
      </c>
      <c r="Y15" s="4">
        <v>0.43</v>
      </c>
      <c r="Z15" s="4">
        <v>0.44</v>
      </c>
      <c r="AA15" s="4">
        <v>0.39</v>
      </c>
      <c r="AB15" s="4">
        <v>0.41</v>
      </c>
      <c r="AC15" s="4">
        <v>0.41</v>
      </c>
      <c r="AD15" s="4">
        <v>0.39</v>
      </c>
      <c r="AE15" s="4">
        <v>0.39</v>
      </c>
      <c r="AF15" s="4">
        <v>0.4</v>
      </c>
      <c r="AG15" s="112">
        <v>0.41</v>
      </c>
      <c r="AH15" s="112">
        <v>0.44</v>
      </c>
      <c r="AI15" s="112">
        <v>0.44</v>
      </c>
      <c r="AJ15" s="113">
        <v>0.41</v>
      </c>
      <c r="AL15" s="114">
        <f>AVERAGE(F15:AJ15)</f>
        <v>0.42000000000000004</v>
      </c>
      <c r="BR15" s="303"/>
      <c r="CY15" s="304"/>
    </row>
    <row r="16" spans="2:103" s="3" customFormat="1" ht="13.8">
      <c r="B16" s="69"/>
      <c r="C16" s="70" t="s">
        <v>90</v>
      </c>
      <c r="D16" s="115" t="s">
        <v>89</v>
      </c>
      <c r="E16" s="5" t="s">
        <v>29</v>
      </c>
      <c r="F16" s="4">
        <v>2.2000000000000002</v>
      </c>
      <c r="G16" s="4">
        <v>2.21</v>
      </c>
      <c r="H16" s="4">
        <v>2.2200000000000002</v>
      </c>
      <c r="I16" s="4">
        <v>2.21</v>
      </c>
      <c r="J16" s="4">
        <v>2.21</v>
      </c>
      <c r="K16" s="3">
        <v>2.21</v>
      </c>
      <c r="L16" s="4">
        <v>2.21</v>
      </c>
      <c r="M16" s="4">
        <v>2.21</v>
      </c>
      <c r="N16" s="4">
        <v>2.21</v>
      </c>
      <c r="O16" s="4">
        <v>2.21</v>
      </c>
      <c r="P16" s="4">
        <v>2.21</v>
      </c>
      <c r="Q16" s="4">
        <v>2.21</v>
      </c>
      <c r="R16" s="4">
        <v>2.21</v>
      </c>
      <c r="S16" s="3">
        <v>2.21</v>
      </c>
      <c r="T16" s="4">
        <v>2.21</v>
      </c>
      <c r="U16" s="4">
        <v>2.21</v>
      </c>
      <c r="V16" s="4">
        <v>2.21</v>
      </c>
      <c r="W16" s="4">
        <v>2.21</v>
      </c>
      <c r="X16" s="4">
        <v>2.21</v>
      </c>
      <c r="Y16" s="4">
        <v>2.21</v>
      </c>
      <c r="Z16" s="4">
        <v>2.21</v>
      </c>
      <c r="AA16" s="4">
        <v>2.21</v>
      </c>
      <c r="AB16" s="4">
        <v>2.21</v>
      </c>
      <c r="AC16" s="4">
        <v>2.21</v>
      </c>
      <c r="AD16" s="4">
        <v>2.21</v>
      </c>
      <c r="AE16" s="4">
        <v>2.21</v>
      </c>
      <c r="AF16" s="4">
        <v>2.21</v>
      </c>
      <c r="AG16" s="112">
        <v>2.21</v>
      </c>
      <c r="AH16" s="112">
        <v>2.21</v>
      </c>
      <c r="AI16" s="112">
        <v>2.21</v>
      </c>
      <c r="AJ16" s="113">
        <v>2.21</v>
      </c>
      <c r="AL16" s="114">
        <f>AVERAGE(F16:AJ16)</f>
        <v>2.21</v>
      </c>
      <c r="CY16" s="304"/>
    </row>
    <row r="17" spans="1:15116" s="3" customFormat="1">
      <c r="B17" s="69"/>
      <c r="C17" s="116" t="s">
        <v>88</v>
      </c>
      <c r="D17" s="117"/>
      <c r="E17" s="11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50"/>
      <c r="AH17" s="50"/>
      <c r="AI17" s="50"/>
      <c r="AJ17" s="21"/>
      <c r="AK17" s="119"/>
      <c r="AL17" s="120" t="s">
        <v>88</v>
      </c>
      <c r="CY17" s="304"/>
    </row>
    <row r="18" spans="1:15116" s="3" customFormat="1">
      <c r="B18" s="121"/>
      <c r="C18" s="122" t="s">
        <v>87</v>
      </c>
      <c r="D18" s="105">
        <f>D45%*D11</f>
        <v>61324200.000000007</v>
      </c>
      <c r="E18" s="25" t="s">
        <v>16</v>
      </c>
      <c r="F18" s="107">
        <v>1053447</v>
      </c>
      <c r="G18" s="107">
        <v>1293053</v>
      </c>
      <c r="H18" s="107">
        <v>1128992</v>
      </c>
      <c r="I18" s="107">
        <v>469888</v>
      </c>
      <c r="J18" s="107">
        <v>534858</v>
      </c>
      <c r="K18" s="107">
        <v>690932</v>
      </c>
      <c r="L18" s="107">
        <v>1478724</v>
      </c>
      <c r="M18" s="107">
        <v>1401035</v>
      </c>
      <c r="N18" s="107">
        <v>1319396</v>
      </c>
      <c r="O18" s="107">
        <v>1632974</v>
      </c>
      <c r="P18" s="107">
        <v>1536805</v>
      </c>
      <c r="Q18" s="107">
        <v>1527486</v>
      </c>
      <c r="R18" s="107">
        <v>1303940</v>
      </c>
      <c r="S18" s="107">
        <v>399954</v>
      </c>
      <c r="T18" s="107">
        <v>1153202</v>
      </c>
      <c r="U18" s="107">
        <v>927445</v>
      </c>
      <c r="V18" s="107">
        <v>1186167</v>
      </c>
      <c r="W18" s="107">
        <v>1252833</v>
      </c>
      <c r="X18" s="107">
        <v>1374289</v>
      </c>
      <c r="Y18" s="107">
        <v>1254424</v>
      </c>
      <c r="Z18" s="107">
        <v>1425489</v>
      </c>
      <c r="AA18" s="107">
        <v>1421424</v>
      </c>
      <c r="AB18" s="107">
        <v>1449641</v>
      </c>
      <c r="AC18" s="107">
        <v>1466887</v>
      </c>
      <c r="AD18" s="107">
        <v>1222109</v>
      </c>
      <c r="AE18" s="107">
        <v>1541652</v>
      </c>
      <c r="AF18" s="107">
        <v>1671032</v>
      </c>
      <c r="AG18" s="108">
        <v>1118368</v>
      </c>
      <c r="AH18" s="108">
        <v>1326530</v>
      </c>
      <c r="AI18" s="108">
        <v>1725208</v>
      </c>
      <c r="AJ18" s="109">
        <v>1608316</v>
      </c>
      <c r="AL18" s="110">
        <f>SUM(F18:AJ18)</f>
        <v>38896500</v>
      </c>
      <c r="AM18" s="89"/>
      <c r="CY18" s="16"/>
      <c r="VGR18" s="347"/>
      <c r="VGS18" s="347"/>
      <c r="VGT18" s="347"/>
      <c r="VGU18" s="347"/>
      <c r="VGV18" s="347"/>
      <c r="VGW18" s="347"/>
      <c r="VGX18" s="347"/>
      <c r="VGY18" s="347"/>
      <c r="VGZ18" s="347"/>
      <c r="VHA18" s="347"/>
      <c r="VHB18" s="347"/>
      <c r="VHC18" s="347"/>
      <c r="VHD18" s="347"/>
      <c r="VHE18" s="347"/>
      <c r="VHF18" s="347"/>
      <c r="VHG18" s="347"/>
      <c r="VHH18" s="347"/>
      <c r="VHI18" s="347"/>
      <c r="VHJ18" s="347"/>
      <c r="VHK18" s="347"/>
      <c r="VHL18" s="347"/>
      <c r="VHM18" s="347"/>
      <c r="VHN18" s="347"/>
      <c r="VHO18" s="347"/>
      <c r="VHP18" s="347"/>
      <c r="VHQ18" s="347"/>
      <c r="VHR18" s="347"/>
      <c r="VHS18" s="347"/>
      <c r="VHT18" s="347"/>
      <c r="VHU18" s="347"/>
      <c r="VHV18" s="347"/>
      <c r="VHW18" s="347"/>
      <c r="VHX18" s="347"/>
      <c r="VHY18" s="347"/>
      <c r="VHZ18" s="347"/>
      <c r="VIA18" s="347"/>
      <c r="VIB18" s="347"/>
      <c r="VIC18" s="347"/>
      <c r="VID18" s="347"/>
      <c r="VIE18" s="347"/>
      <c r="VIF18" s="347"/>
      <c r="VIG18" s="347"/>
      <c r="VIH18" s="347"/>
      <c r="VII18" s="347"/>
      <c r="VIJ18" s="347"/>
    </row>
    <row r="19" spans="1:15116" s="3" customFormat="1">
      <c r="B19" s="121"/>
      <c r="C19" s="122" t="s">
        <v>73</v>
      </c>
      <c r="D19" s="105">
        <f>D46%*D11</f>
        <v>3255000</v>
      </c>
      <c r="E19" s="25" t="s">
        <v>16</v>
      </c>
      <c r="F19" s="107">
        <v>44447</v>
      </c>
      <c r="G19" s="107">
        <v>55099</v>
      </c>
      <c r="H19" s="107">
        <v>46712</v>
      </c>
      <c r="I19" s="107">
        <v>21262</v>
      </c>
      <c r="J19" s="107">
        <v>23849</v>
      </c>
      <c r="K19" s="107">
        <v>36041</v>
      </c>
      <c r="L19" s="107">
        <v>59951</v>
      </c>
      <c r="M19" s="107">
        <v>57916</v>
      </c>
      <c r="N19" s="107">
        <v>56879</v>
      </c>
      <c r="O19" s="107">
        <v>69389</v>
      </c>
      <c r="P19" s="107">
        <v>67399</v>
      </c>
      <c r="Q19" s="107">
        <v>67153</v>
      </c>
      <c r="R19" s="107">
        <v>55925</v>
      </c>
      <c r="S19" s="107">
        <v>19265</v>
      </c>
      <c r="T19" s="107">
        <v>53894</v>
      </c>
      <c r="U19" s="107">
        <v>42369</v>
      </c>
      <c r="V19" s="107">
        <v>50521</v>
      </c>
      <c r="W19" s="107">
        <v>53054</v>
      </c>
      <c r="X19" s="107">
        <v>53330</v>
      </c>
      <c r="Y19" s="107">
        <v>54546</v>
      </c>
      <c r="Z19" s="107">
        <v>60932</v>
      </c>
      <c r="AA19" s="107">
        <v>67417</v>
      </c>
      <c r="AB19" s="107">
        <v>59254</v>
      </c>
      <c r="AC19" s="107">
        <v>56967</v>
      </c>
      <c r="AD19" s="107">
        <v>57936</v>
      </c>
      <c r="AE19" s="107">
        <v>65579</v>
      </c>
      <c r="AF19" s="107">
        <v>72352</v>
      </c>
      <c r="AG19" s="108">
        <v>47671</v>
      </c>
      <c r="AH19" s="108">
        <v>46891</v>
      </c>
      <c r="AI19" s="108">
        <v>66719</v>
      </c>
      <c r="AJ19" s="109">
        <v>74030</v>
      </c>
      <c r="AL19" s="110">
        <f>SUM(F19:AJ19)</f>
        <v>1664749</v>
      </c>
      <c r="CY19" s="16"/>
      <c r="VGR19" s="347"/>
      <c r="VGS19" s="347"/>
      <c r="VGT19" s="347"/>
      <c r="VGU19" s="347"/>
      <c r="VGV19" s="347"/>
      <c r="VGW19" s="347"/>
      <c r="VGX19" s="347"/>
      <c r="VGY19" s="347"/>
      <c r="VGZ19" s="347"/>
      <c r="VHA19" s="347"/>
      <c r="VHB19" s="347"/>
      <c r="VHC19" s="347"/>
      <c r="VHD19" s="347"/>
      <c r="VHE19" s="347"/>
      <c r="VHF19" s="347"/>
      <c r="VHG19" s="347"/>
      <c r="VHH19" s="347"/>
      <c r="VHI19" s="347"/>
      <c r="VHJ19" s="347"/>
      <c r="VHK19" s="347"/>
      <c r="VHL19" s="347"/>
      <c r="VHM19" s="347"/>
      <c r="VHN19" s="347"/>
      <c r="VHO19" s="347"/>
      <c r="VHP19" s="347"/>
      <c r="VHQ19" s="347"/>
      <c r="VHR19" s="347"/>
      <c r="VHS19" s="347"/>
      <c r="VHT19" s="347"/>
      <c r="VHU19" s="347"/>
      <c r="VHV19" s="347"/>
      <c r="VHW19" s="347"/>
      <c r="VHX19" s="347"/>
      <c r="VHY19" s="347"/>
      <c r="VHZ19" s="347"/>
      <c r="VIA19" s="347"/>
      <c r="VIB19" s="347"/>
      <c r="VIC19" s="347"/>
      <c r="VID19" s="347"/>
      <c r="VIE19" s="347"/>
      <c r="VIF19" s="347"/>
      <c r="VIG19" s="347"/>
      <c r="VIH19" s="347"/>
      <c r="VII19" s="347"/>
      <c r="VIJ19" s="347"/>
    </row>
    <row r="20" spans="1:15116">
      <c r="B20" s="121"/>
      <c r="C20" s="123" t="s">
        <v>86</v>
      </c>
      <c r="D20" s="124"/>
      <c r="E20" s="125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8"/>
      <c r="AH20" s="98"/>
      <c r="AI20" s="98"/>
      <c r="AJ20" s="99"/>
      <c r="AL20" s="126" t="s">
        <v>72</v>
      </c>
    </row>
    <row r="21" spans="1:15116" s="3" customFormat="1" ht="13.8">
      <c r="B21" s="121"/>
      <c r="C21" s="122" t="s">
        <v>85</v>
      </c>
      <c r="D21" s="127">
        <f>SUM(D22:D23)</f>
        <v>27546000</v>
      </c>
      <c r="E21" s="25" t="s">
        <v>16</v>
      </c>
      <c r="F21" s="107">
        <f>F22+F23</f>
        <v>390649</v>
      </c>
      <c r="G21" s="107">
        <f t="shared" ref="G21:AJ21" si="5">G22+G23</f>
        <v>863960</v>
      </c>
      <c r="H21" s="107">
        <f t="shared" si="5"/>
        <v>178100</v>
      </c>
      <c r="I21" s="107">
        <f t="shared" si="5"/>
        <v>0</v>
      </c>
      <c r="J21" s="107">
        <f t="shared" si="5"/>
        <v>0</v>
      </c>
      <c r="K21" s="107">
        <f t="shared" si="5"/>
        <v>0</v>
      </c>
      <c r="L21" s="107">
        <f t="shared" si="5"/>
        <v>0</v>
      </c>
      <c r="M21" s="107">
        <f t="shared" si="5"/>
        <v>0</v>
      </c>
      <c r="N21" s="107">
        <f t="shared" si="5"/>
        <v>343256</v>
      </c>
      <c r="O21" s="107">
        <f t="shared" si="5"/>
        <v>0</v>
      </c>
      <c r="P21" s="107">
        <f t="shared" si="5"/>
        <v>0</v>
      </c>
      <c r="Q21" s="107">
        <f t="shared" si="5"/>
        <v>470423</v>
      </c>
      <c r="R21" s="107">
        <f t="shared" si="5"/>
        <v>481226</v>
      </c>
      <c r="S21" s="107">
        <f t="shared" si="5"/>
        <v>114656</v>
      </c>
      <c r="T21" s="107">
        <f t="shared" si="5"/>
        <v>432629</v>
      </c>
      <c r="U21" s="107">
        <f t="shared" si="5"/>
        <v>43905</v>
      </c>
      <c r="V21" s="107">
        <f t="shared" si="5"/>
        <v>0</v>
      </c>
      <c r="W21" s="107">
        <f t="shared" si="5"/>
        <v>0</v>
      </c>
      <c r="X21" s="107">
        <f t="shared" si="5"/>
        <v>0</v>
      </c>
      <c r="Y21" s="107">
        <f t="shared" si="5"/>
        <v>947415</v>
      </c>
      <c r="Z21" s="107">
        <f t="shared" si="5"/>
        <v>1978439</v>
      </c>
      <c r="AA21" s="107">
        <f t="shared" si="5"/>
        <v>1853655</v>
      </c>
      <c r="AB21" s="107">
        <f t="shared" si="5"/>
        <v>1447141</v>
      </c>
      <c r="AC21" s="107">
        <f t="shared" si="5"/>
        <v>0</v>
      </c>
      <c r="AD21" s="107">
        <f t="shared" si="5"/>
        <v>952637</v>
      </c>
      <c r="AE21" s="107">
        <f t="shared" si="5"/>
        <v>1574889</v>
      </c>
      <c r="AF21" s="107">
        <f t="shared" si="5"/>
        <v>1713293</v>
      </c>
      <c r="AG21" s="107">
        <f t="shared" si="5"/>
        <v>1753262</v>
      </c>
      <c r="AH21" s="107">
        <f t="shared" si="5"/>
        <v>1281499</v>
      </c>
      <c r="AI21" s="107">
        <f t="shared" si="5"/>
        <v>0</v>
      </c>
      <c r="AJ21" s="109">
        <f t="shared" si="5"/>
        <v>1496212</v>
      </c>
      <c r="AL21" s="110">
        <f>SUM(F21:AJ21)</f>
        <v>18317246</v>
      </c>
      <c r="CY21" s="304"/>
    </row>
    <row r="22" spans="1:15116">
      <c r="B22" s="121"/>
      <c r="C22" s="122" t="s">
        <v>84</v>
      </c>
      <c r="D22" s="127">
        <v>22588000</v>
      </c>
      <c r="E22" s="25" t="s">
        <v>16</v>
      </c>
      <c r="F22" s="107">
        <v>313105</v>
      </c>
      <c r="G22" s="107">
        <v>714890</v>
      </c>
      <c r="H22" s="107">
        <v>143050</v>
      </c>
      <c r="I22" s="107"/>
      <c r="J22" s="107"/>
      <c r="K22" s="107"/>
      <c r="L22" s="107"/>
      <c r="M22" s="107"/>
      <c r="N22" s="107">
        <v>281576</v>
      </c>
      <c r="O22" s="107"/>
      <c r="P22" s="107"/>
      <c r="Q22" s="107">
        <v>383413</v>
      </c>
      <c r="R22" s="107">
        <v>392176</v>
      </c>
      <c r="S22" s="107">
        <v>94063</v>
      </c>
      <c r="T22" s="107">
        <v>352519</v>
      </c>
      <c r="U22" s="107">
        <v>36095</v>
      </c>
      <c r="V22" s="107"/>
      <c r="W22" s="107"/>
      <c r="X22" s="107"/>
      <c r="Y22" s="107">
        <v>777175</v>
      </c>
      <c r="Z22" s="107">
        <v>1622959</v>
      </c>
      <c r="AA22" s="107">
        <v>1520592</v>
      </c>
      <c r="AB22" s="107">
        <v>1186892</v>
      </c>
      <c r="AC22" s="107"/>
      <c r="AD22" s="107">
        <v>781555</v>
      </c>
      <c r="AE22" s="107">
        <f>1066199+225757</f>
        <v>1291956</v>
      </c>
      <c r="AF22" s="107">
        <v>1406277</v>
      </c>
      <c r="AG22" s="108">
        <v>1438156</v>
      </c>
      <c r="AH22" s="108">
        <v>1051134</v>
      </c>
      <c r="AI22" s="108"/>
      <c r="AJ22" s="109">
        <f>566808+667132</f>
        <v>1233940</v>
      </c>
      <c r="AL22" s="110">
        <f>SUM(F22:AJ22)</f>
        <v>15021523</v>
      </c>
    </row>
    <row r="23" spans="1:15116">
      <c r="B23" s="121"/>
      <c r="C23" s="122" t="s">
        <v>83</v>
      </c>
      <c r="D23" s="127">
        <v>4958000</v>
      </c>
      <c r="E23" s="25" t="s">
        <v>16</v>
      </c>
      <c r="F23" s="128">
        <v>77544</v>
      </c>
      <c r="G23" s="128">
        <f>205970-56900</f>
        <v>149070</v>
      </c>
      <c r="H23" s="128">
        <v>35050</v>
      </c>
      <c r="I23" s="128"/>
      <c r="J23" s="128"/>
      <c r="K23" s="128"/>
      <c r="L23" s="128"/>
      <c r="M23" s="128"/>
      <c r="N23" s="128">
        <v>61680</v>
      </c>
      <c r="O23" s="128"/>
      <c r="P23" s="128"/>
      <c r="Q23" s="128">
        <v>87010</v>
      </c>
      <c r="R23" s="128">
        <f>207409-118359</f>
        <v>89050</v>
      </c>
      <c r="S23" s="128">
        <f>137403-116810</f>
        <v>20593</v>
      </c>
      <c r="T23" s="128">
        <f>237455-157345</f>
        <v>80110</v>
      </c>
      <c r="U23" s="128">
        <v>7810</v>
      </c>
      <c r="V23" s="128"/>
      <c r="W23" s="128"/>
      <c r="X23" s="128"/>
      <c r="Y23" s="128">
        <f>304340-134100</f>
        <v>170240</v>
      </c>
      <c r="Z23" s="128">
        <v>355480</v>
      </c>
      <c r="AA23" s="128">
        <v>333063</v>
      </c>
      <c r="AB23" s="128">
        <v>260249</v>
      </c>
      <c r="AC23" s="128"/>
      <c r="AD23" s="128">
        <f>243172-72090</f>
        <v>171082</v>
      </c>
      <c r="AE23" s="128">
        <f>282933</f>
        <v>282933</v>
      </c>
      <c r="AF23" s="128">
        <v>307016</v>
      </c>
      <c r="AG23" s="129">
        <v>315106</v>
      </c>
      <c r="AH23" s="129">
        <v>230365</v>
      </c>
      <c r="AI23" s="129"/>
      <c r="AJ23" s="130">
        <f>278492-16220</f>
        <v>262272</v>
      </c>
      <c r="AL23" s="110">
        <f>SUM(F23:AJ23)</f>
        <v>3295723</v>
      </c>
    </row>
    <row r="24" spans="1:15116" s="348" customFormat="1">
      <c r="A24" s="119"/>
      <c r="B24" s="131"/>
      <c r="C24" s="123" t="s">
        <v>129</v>
      </c>
      <c r="D24" s="132"/>
      <c r="E24" s="133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5"/>
      <c r="AH24" s="135"/>
      <c r="AI24" s="135"/>
      <c r="AJ24" s="136"/>
      <c r="AK24" s="119"/>
      <c r="AL24" s="126" t="s">
        <v>131</v>
      </c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  <c r="BN24" s="119"/>
      <c r="BO24" s="119"/>
      <c r="BP24" s="119"/>
      <c r="BQ24" s="119"/>
      <c r="BR24" s="119"/>
      <c r="BS24" s="119"/>
      <c r="BT24" s="119"/>
      <c r="BU24" s="119"/>
      <c r="BV24" s="119"/>
      <c r="BW24" s="119"/>
      <c r="BX24" s="119"/>
      <c r="BY24" s="119"/>
      <c r="BZ24" s="119"/>
      <c r="CA24" s="119"/>
      <c r="CB24" s="119"/>
      <c r="CC24" s="119"/>
      <c r="CD24" s="119"/>
      <c r="CE24" s="119"/>
      <c r="CF24" s="119"/>
      <c r="CG24" s="119"/>
      <c r="CH24" s="119"/>
      <c r="CI24" s="119"/>
      <c r="CJ24" s="119"/>
      <c r="CK24" s="119"/>
      <c r="CL24" s="119"/>
      <c r="CM24" s="119"/>
      <c r="CN24" s="119"/>
      <c r="CO24" s="119"/>
      <c r="CP24" s="119"/>
      <c r="CQ24" s="119"/>
      <c r="CR24" s="119"/>
      <c r="CS24" s="119"/>
      <c r="CT24" s="119"/>
      <c r="CU24" s="119"/>
      <c r="CV24" s="119"/>
      <c r="CW24" s="119"/>
      <c r="CX24" s="119"/>
      <c r="CY24" s="305"/>
      <c r="CZ24" s="119"/>
      <c r="DA24" s="119"/>
      <c r="DB24" s="119"/>
      <c r="DC24" s="119"/>
      <c r="DD24" s="119"/>
      <c r="DE24" s="119"/>
      <c r="DF24" s="119"/>
      <c r="DG24" s="119"/>
      <c r="DH24" s="119"/>
      <c r="DI24" s="119"/>
      <c r="DJ24" s="119"/>
      <c r="DK24" s="119"/>
      <c r="DL24" s="119"/>
      <c r="DM24" s="119"/>
      <c r="DN24" s="119"/>
      <c r="DO24" s="119"/>
      <c r="DP24" s="119"/>
      <c r="DQ24" s="119"/>
      <c r="DR24" s="119"/>
      <c r="DS24" s="119"/>
      <c r="DT24" s="119"/>
      <c r="DU24" s="119"/>
      <c r="DV24" s="119"/>
      <c r="DW24" s="119"/>
      <c r="DX24" s="119"/>
      <c r="DY24" s="119"/>
      <c r="DZ24" s="119"/>
      <c r="EA24" s="119"/>
      <c r="EB24" s="119"/>
      <c r="EC24" s="119"/>
      <c r="ED24" s="119"/>
      <c r="EE24" s="119"/>
      <c r="EF24" s="119"/>
      <c r="EG24" s="119"/>
      <c r="EH24" s="119"/>
      <c r="EI24" s="119"/>
      <c r="EJ24" s="119"/>
      <c r="EK24" s="119"/>
      <c r="EL24" s="119"/>
      <c r="EM24" s="119"/>
      <c r="EN24" s="119"/>
      <c r="EO24" s="119"/>
      <c r="EP24" s="119"/>
      <c r="EQ24" s="119"/>
      <c r="ER24" s="119"/>
      <c r="ES24" s="119"/>
      <c r="ET24" s="119"/>
      <c r="EU24" s="119"/>
      <c r="EV24" s="119"/>
      <c r="EW24" s="119"/>
      <c r="EX24" s="119"/>
      <c r="EY24" s="119"/>
      <c r="EZ24" s="119"/>
      <c r="FA24" s="119"/>
      <c r="FB24" s="119"/>
      <c r="FC24" s="119"/>
      <c r="FD24" s="119"/>
      <c r="FE24" s="119"/>
      <c r="FF24" s="119"/>
      <c r="FG24" s="119"/>
      <c r="FH24" s="119"/>
      <c r="FI24" s="119"/>
      <c r="FJ24" s="119"/>
      <c r="FK24" s="119"/>
      <c r="FL24" s="119"/>
      <c r="FM24" s="119"/>
      <c r="FN24" s="119"/>
      <c r="FO24" s="119"/>
      <c r="FP24" s="119"/>
      <c r="FQ24" s="119"/>
      <c r="FR24" s="119"/>
      <c r="FS24" s="119"/>
      <c r="FT24" s="119"/>
      <c r="FU24" s="119"/>
      <c r="FV24" s="119"/>
      <c r="FW24" s="119"/>
      <c r="FX24" s="119"/>
      <c r="FY24" s="119"/>
      <c r="FZ24" s="119"/>
      <c r="GA24" s="119"/>
      <c r="GB24" s="119"/>
      <c r="GC24" s="119"/>
      <c r="GD24" s="119"/>
      <c r="GE24" s="119"/>
      <c r="GF24" s="119"/>
      <c r="GG24" s="119"/>
      <c r="GH24" s="119"/>
      <c r="GI24" s="119"/>
      <c r="GJ24" s="119"/>
      <c r="GK24" s="119"/>
      <c r="GL24" s="119"/>
      <c r="GM24" s="119"/>
      <c r="GN24" s="119"/>
      <c r="GO24" s="119"/>
      <c r="GP24" s="119"/>
      <c r="GQ24" s="119"/>
      <c r="GR24" s="119"/>
      <c r="GS24" s="119"/>
      <c r="GT24" s="119"/>
      <c r="GU24" s="119"/>
      <c r="GV24" s="119"/>
      <c r="GW24" s="119"/>
      <c r="GX24" s="119"/>
      <c r="GY24" s="119"/>
      <c r="GZ24" s="119"/>
      <c r="HA24" s="119"/>
      <c r="HB24" s="119"/>
      <c r="HC24" s="119"/>
      <c r="HD24" s="119"/>
      <c r="HE24" s="119"/>
      <c r="HF24" s="119"/>
      <c r="HG24" s="119"/>
      <c r="HH24" s="119"/>
      <c r="HI24" s="119"/>
      <c r="HJ24" s="119"/>
      <c r="HK24" s="119"/>
      <c r="HL24" s="119"/>
      <c r="HM24" s="119"/>
      <c r="HN24" s="119"/>
      <c r="HO24" s="119"/>
      <c r="HP24" s="119"/>
      <c r="HQ24" s="119"/>
      <c r="HR24" s="119"/>
      <c r="HS24" s="119"/>
      <c r="HT24" s="119"/>
      <c r="HU24" s="119"/>
      <c r="HV24" s="119"/>
      <c r="HW24" s="119"/>
      <c r="HX24" s="119"/>
      <c r="HY24" s="119"/>
      <c r="HZ24" s="119"/>
      <c r="IA24" s="119"/>
      <c r="IB24" s="119"/>
      <c r="IC24" s="119"/>
      <c r="ID24" s="119"/>
      <c r="IE24" s="119"/>
      <c r="IF24" s="119"/>
      <c r="IG24" s="119"/>
      <c r="IH24" s="119"/>
      <c r="II24" s="119"/>
      <c r="IJ24" s="119"/>
      <c r="IK24" s="119"/>
      <c r="IL24" s="119"/>
      <c r="IM24" s="119"/>
      <c r="IN24" s="119"/>
      <c r="IO24" s="119"/>
      <c r="IP24" s="119"/>
      <c r="IQ24" s="119"/>
      <c r="IR24" s="119"/>
      <c r="IS24" s="119"/>
      <c r="IT24" s="119"/>
      <c r="IU24" s="119"/>
      <c r="IV24" s="119"/>
      <c r="IW24" s="119"/>
      <c r="IX24" s="119"/>
      <c r="IY24" s="119"/>
      <c r="IZ24" s="119"/>
      <c r="JA24" s="119"/>
      <c r="JB24" s="119"/>
      <c r="JC24" s="119"/>
      <c r="JD24" s="119"/>
      <c r="JE24" s="119"/>
      <c r="JF24" s="119"/>
      <c r="JG24" s="119"/>
      <c r="JH24" s="119"/>
      <c r="JI24" s="119"/>
      <c r="JJ24" s="119"/>
      <c r="JK24" s="119"/>
      <c r="JL24" s="119"/>
      <c r="JM24" s="119"/>
      <c r="JN24" s="119"/>
      <c r="JO24" s="119"/>
      <c r="JP24" s="119"/>
      <c r="JQ24" s="119"/>
      <c r="JR24" s="119"/>
      <c r="JS24" s="119"/>
      <c r="JT24" s="119"/>
      <c r="JU24" s="119"/>
      <c r="JV24" s="119"/>
      <c r="JW24" s="119"/>
      <c r="JX24" s="119"/>
      <c r="JY24" s="119"/>
      <c r="JZ24" s="119"/>
      <c r="KA24" s="119"/>
      <c r="KB24" s="119"/>
      <c r="KC24" s="119"/>
      <c r="KD24" s="119"/>
      <c r="KE24" s="119"/>
      <c r="KF24" s="119"/>
      <c r="KG24" s="119"/>
      <c r="KH24" s="119"/>
      <c r="KI24" s="119"/>
      <c r="KJ24" s="119"/>
      <c r="KK24" s="119"/>
      <c r="KL24" s="119"/>
      <c r="KM24" s="119"/>
      <c r="KN24" s="119"/>
      <c r="KO24" s="119"/>
      <c r="KP24" s="119"/>
      <c r="KQ24" s="119"/>
      <c r="KR24" s="119"/>
      <c r="KS24" s="119"/>
      <c r="KT24" s="119"/>
      <c r="KU24" s="119"/>
      <c r="KV24" s="119"/>
      <c r="KW24" s="119"/>
      <c r="KX24" s="119"/>
      <c r="KY24" s="119"/>
      <c r="KZ24" s="119"/>
      <c r="LA24" s="119"/>
      <c r="LB24" s="119"/>
      <c r="LC24" s="119"/>
      <c r="LD24" s="119"/>
      <c r="LE24" s="119"/>
      <c r="LF24" s="119"/>
      <c r="LG24" s="119"/>
      <c r="LH24" s="119"/>
      <c r="LI24" s="119"/>
      <c r="LJ24" s="119"/>
      <c r="LK24" s="119"/>
      <c r="LL24" s="119"/>
      <c r="LM24" s="119"/>
      <c r="LN24" s="119"/>
      <c r="LO24" s="119"/>
      <c r="LP24" s="119"/>
      <c r="LQ24" s="119"/>
      <c r="LR24" s="119"/>
      <c r="LS24" s="119"/>
      <c r="LT24" s="119"/>
      <c r="LU24" s="119"/>
      <c r="LV24" s="119"/>
      <c r="LW24" s="119"/>
      <c r="LX24" s="119"/>
      <c r="LY24" s="119"/>
      <c r="LZ24" s="119"/>
      <c r="MA24" s="119"/>
      <c r="MB24" s="119"/>
      <c r="MC24" s="119"/>
      <c r="MD24" s="119"/>
      <c r="ME24" s="119"/>
      <c r="MF24" s="119"/>
      <c r="MG24" s="119"/>
      <c r="MH24" s="119"/>
      <c r="MI24" s="119"/>
      <c r="MJ24" s="119"/>
      <c r="MK24" s="119"/>
      <c r="ML24" s="119"/>
      <c r="MM24" s="119"/>
      <c r="MN24" s="119"/>
      <c r="MO24" s="119"/>
      <c r="MP24" s="119"/>
      <c r="MQ24" s="119"/>
      <c r="MR24" s="119"/>
      <c r="MS24" s="119"/>
      <c r="MT24" s="119"/>
      <c r="MU24" s="119"/>
      <c r="MV24" s="119"/>
      <c r="MW24" s="119"/>
      <c r="MX24" s="119"/>
      <c r="MY24" s="119"/>
      <c r="MZ24" s="119"/>
      <c r="NA24" s="119"/>
      <c r="NB24" s="119"/>
      <c r="NC24" s="119"/>
      <c r="ND24" s="119"/>
      <c r="NE24" s="119"/>
      <c r="NF24" s="119"/>
      <c r="NG24" s="119"/>
      <c r="NH24" s="119"/>
      <c r="NI24" s="119"/>
      <c r="NJ24" s="119"/>
      <c r="NK24" s="119"/>
      <c r="NL24" s="119"/>
      <c r="NM24" s="119"/>
      <c r="NN24" s="119"/>
      <c r="NO24" s="119"/>
      <c r="NP24" s="119"/>
      <c r="NQ24" s="119"/>
      <c r="NR24" s="119"/>
      <c r="NS24" s="119"/>
      <c r="NT24" s="119"/>
      <c r="NU24" s="119"/>
      <c r="NV24" s="119"/>
      <c r="NW24" s="119"/>
      <c r="NX24" s="119"/>
      <c r="NY24" s="119"/>
      <c r="NZ24" s="119"/>
      <c r="OA24" s="119"/>
      <c r="OB24" s="119"/>
      <c r="OC24" s="119"/>
      <c r="OD24" s="119"/>
      <c r="OE24" s="119"/>
      <c r="OF24" s="119"/>
      <c r="OG24" s="119"/>
      <c r="OH24" s="119"/>
      <c r="OI24" s="119"/>
      <c r="OJ24" s="119"/>
      <c r="OK24" s="119"/>
      <c r="OL24" s="119"/>
      <c r="OM24" s="119"/>
      <c r="ON24" s="119"/>
      <c r="OO24" s="119"/>
      <c r="OP24" s="119"/>
      <c r="OQ24" s="119"/>
      <c r="OR24" s="119"/>
      <c r="OS24" s="119"/>
      <c r="OT24" s="119"/>
      <c r="OU24" s="119"/>
      <c r="OV24" s="119"/>
      <c r="OW24" s="119"/>
      <c r="OX24" s="119"/>
      <c r="OY24" s="119"/>
      <c r="OZ24" s="119"/>
      <c r="PA24" s="119"/>
      <c r="PB24" s="119"/>
      <c r="PC24" s="119"/>
      <c r="PD24" s="119"/>
      <c r="PE24" s="119"/>
      <c r="PF24" s="119"/>
      <c r="PG24" s="119"/>
      <c r="PH24" s="119"/>
      <c r="PI24" s="119"/>
      <c r="PJ24" s="119"/>
      <c r="PK24" s="119"/>
      <c r="PL24" s="119"/>
      <c r="PM24" s="119"/>
      <c r="PN24" s="119"/>
      <c r="PO24" s="119"/>
      <c r="PP24" s="119"/>
      <c r="PQ24" s="119"/>
      <c r="PR24" s="119"/>
      <c r="PS24" s="119"/>
      <c r="PT24" s="119"/>
      <c r="PU24" s="119"/>
      <c r="PV24" s="119"/>
      <c r="PW24" s="119"/>
      <c r="PX24" s="119"/>
      <c r="PY24" s="119"/>
      <c r="PZ24" s="119"/>
      <c r="QA24" s="119"/>
      <c r="QB24" s="119"/>
      <c r="QC24" s="119"/>
      <c r="QD24" s="119"/>
      <c r="QE24" s="119"/>
      <c r="QF24" s="119"/>
      <c r="QG24" s="119"/>
      <c r="QH24" s="119"/>
      <c r="QI24" s="119"/>
      <c r="QJ24" s="119"/>
      <c r="QK24" s="119"/>
      <c r="QL24" s="119"/>
      <c r="QM24" s="119"/>
      <c r="QN24" s="119"/>
      <c r="QO24" s="119"/>
      <c r="QP24" s="119"/>
      <c r="QQ24" s="119"/>
      <c r="QR24" s="119"/>
      <c r="QS24" s="119"/>
      <c r="QT24" s="119"/>
      <c r="QU24" s="119"/>
      <c r="QV24" s="119"/>
      <c r="QW24" s="119"/>
      <c r="QX24" s="119"/>
      <c r="QY24" s="119"/>
      <c r="QZ24" s="119"/>
      <c r="RA24" s="119"/>
      <c r="RB24" s="119"/>
      <c r="RC24" s="119"/>
      <c r="RD24" s="119"/>
      <c r="RE24" s="119"/>
      <c r="RF24" s="119"/>
      <c r="RG24" s="119"/>
      <c r="RH24" s="119"/>
      <c r="RI24" s="119"/>
      <c r="RJ24" s="119"/>
      <c r="RK24" s="119"/>
      <c r="RL24" s="119"/>
      <c r="RM24" s="119"/>
      <c r="RN24" s="119"/>
      <c r="RO24" s="119"/>
      <c r="RP24" s="119"/>
      <c r="RQ24" s="119"/>
      <c r="RR24" s="119"/>
      <c r="RS24" s="119"/>
      <c r="RT24" s="119"/>
      <c r="RU24" s="119"/>
      <c r="RV24" s="119"/>
      <c r="RW24" s="119"/>
      <c r="RX24" s="119"/>
      <c r="RY24" s="119"/>
      <c r="RZ24" s="119"/>
      <c r="SA24" s="119"/>
      <c r="SB24" s="119"/>
      <c r="SC24" s="119"/>
      <c r="SD24" s="119"/>
      <c r="SE24" s="119"/>
      <c r="SF24" s="119"/>
      <c r="SG24" s="119"/>
      <c r="SH24" s="119"/>
      <c r="SI24" s="119"/>
      <c r="SJ24" s="119"/>
      <c r="SK24" s="119"/>
      <c r="SL24" s="119"/>
      <c r="SM24" s="119"/>
      <c r="SN24" s="119"/>
      <c r="SO24" s="119"/>
      <c r="SP24" s="119"/>
      <c r="SQ24" s="119"/>
      <c r="SR24" s="119"/>
      <c r="SS24" s="119"/>
      <c r="ST24" s="119"/>
      <c r="SU24" s="119"/>
      <c r="SV24" s="119"/>
      <c r="SW24" s="119"/>
      <c r="SX24" s="119"/>
      <c r="SY24" s="119"/>
      <c r="SZ24" s="119"/>
      <c r="TA24" s="119"/>
      <c r="TB24" s="119"/>
      <c r="TC24" s="119"/>
      <c r="TD24" s="119"/>
      <c r="TE24" s="119"/>
      <c r="TF24" s="119"/>
      <c r="TG24" s="119"/>
      <c r="TH24" s="119"/>
      <c r="TI24" s="119"/>
      <c r="TJ24" s="119"/>
      <c r="TK24" s="119"/>
      <c r="TL24" s="119"/>
      <c r="TM24" s="119"/>
      <c r="TN24" s="119"/>
      <c r="TO24" s="119"/>
      <c r="TP24" s="119"/>
      <c r="TQ24" s="119"/>
      <c r="TR24" s="119"/>
      <c r="TS24" s="119"/>
      <c r="TT24" s="119"/>
      <c r="TU24" s="119"/>
      <c r="TV24" s="119"/>
      <c r="TW24" s="119"/>
      <c r="TX24" s="119"/>
      <c r="TY24" s="119"/>
      <c r="TZ24" s="119"/>
      <c r="UA24" s="119"/>
      <c r="UB24" s="119"/>
      <c r="UC24" s="119"/>
      <c r="UD24" s="119"/>
      <c r="UE24" s="119"/>
      <c r="UF24" s="119"/>
      <c r="UG24" s="119"/>
      <c r="UH24" s="119"/>
      <c r="UI24" s="119"/>
      <c r="UJ24" s="119"/>
      <c r="UK24" s="119"/>
      <c r="UL24" s="119"/>
      <c r="UM24" s="119"/>
      <c r="UN24" s="119"/>
      <c r="UO24" s="119"/>
      <c r="UP24" s="119"/>
      <c r="UQ24" s="119"/>
      <c r="UR24" s="119"/>
      <c r="US24" s="119"/>
      <c r="UT24" s="119"/>
      <c r="UU24" s="119"/>
      <c r="UV24" s="119"/>
      <c r="UW24" s="119"/>
      <c r="UX24" s="119"/>
      <c r="UY24" s="119"/>
      <c r="UZ24" s="119"/>
      <c r="VA24" s="119"/>
      <c r="VB24" s="119"/>
      <c r="VC24" s="119"/>
      <c r="VD24" s="119"/>
      <c r="VE24" s="119"/>
      <c r="VF24" s="119"/>
      <c r="VG24" s="119"/>
      <c r="VH24" s="119"/>
      <c r="VI24" s="119"/>
      <c r="VJ24" s="119"/>
      <c r="VK24" s="119"/>
      <c r="VL24" s="119"/>
      <c r="VM24" s="119"/>
      <c r="VN24" s="119"/>
      <c r="VO24" s="119"/>
      <c r="VP24" s="119"/>
      <c r="VQ24" s="119"/>
      <c r="VR24" s="119"/>
      <c r="VS24" s="119"/>
      <c r="VT24" s="119"/>
      <c r="VU24" s="119"/>
      <c r="VV24" s="119"/>
      <c r="VW24" s="119"/>
      <c r="VX24" s="119"/>
      <c r="VY24" s="119"/>
      <c r="VZ24" s="119"/>
      <c r="WA24" s="119"/>
      <c r="WB24" s="119"/>
      <c r="WC24" s="119"/>
      <c r="WD24" s="119"/>
      <c r="WE24" s="119"/>
      <c r="WF24" s="119"/>
      <c r="WG24" s="119"/>
      <c r="WH24" s="119"/>
      <c r="WI24" s="119"/>
      <c r="WJ24" s="119"/>
      <c r="WK24" s="119"/>
      <c r="WL24" s="119"/>
      <c r="WM24" s="119"/>
      <c r="WN24" s="119"/>
      <c r="WO24" s="119"/>
      <c r="WP24" s="119"/>
      <c r="WQ24" s="119"/>
      <c r="WR24" s="119"/>
      <c r="WS24" s="119"/>
      <c r="WT24" s="119"/>
      <c r="WU24" s="119"/>
      <c r="WV24" s="119"/>
      <c r="WW24" s="119"/>
      <c r="WX24" s="119"/>
      <c r="WY24" s="119"/>
      <c r="WZ24" s="119"/>
      <c r="XA24" s="119"/>
      <c r="XB24" s="119"/>
      <c r="XC24" s="119"/>
      <c r="XD24" s="119"/>
      <c r="XE24" s="119"/>
      <c r="XF24" s="119"/>
      <c r="XG24" s="119"/>
      <c r="XH24" s="119"/>
      <c r="XI24" s="119"/>
      <c r="XJ24" s="119"/>
      <c r="XK24" s="119"/>
      <c r="XL24" s="119"/>
      <c r="XM24" s="119"/>
      <c r="XN24" s="119"/>
      <c r="XO24" s="119"/>
      <c r="XP24" s="119"/>
      <c r="XQ24" s="119"/>
      <c r="XR24" s="119"/>
      <c r="XS24" s="119"/>
      <c r="XT24" s="119"/>
      <c r="XU24" s="119"/>
      <c r="XV24" s="119"/>
      <c r="XW24" s="119"/>
      <c r="XX24" s="119"/>
      <c r="XY24" s="119"/>
      <c r="XZ24" s="119"/>
      <c r="YA24" s="119"/>
      <c r="YB24" s="119"/>
      <c r="YC24" s="119"/>
      <c r="YD24" s="119"/>
      <c r="YE24" s="119"/>
      <c r="YF24" s="119"/>
      <c r="YG24" s="119"/>
      <c r="YH24" s="119"/>
      <c r="YI24" s="119"/>
      <c r="YJ24" s="119"/>
      <c r="YK24" s="119"/>
      <c r="YL24" s="119"/>
      <c r="YM24" s="119"/>
      <c r="YN24" s="119"/>
      <c r="YO24" s="119"/>
      <c r="YP24" s="119"/>
      <c r="YQ24" s="119"/>
      <c r="YR24" s="119"/>
      <c r="YS24" s="119"/>
      <c r="YT24" s="119"/>
      <c r="YU24" s="119"/>
      <c r="YV24" s="119"/>
      <c r="YW24" s="119"/>
      <c r="YX24" s="119"/>
      <c r="YY24" s="119"/>
      <c r="YZ24" s="119"/>
      <c r="ZA24" s="119"/>
      <c r="ZB24" s="119"/>
      <c r="ZC24" s="119"/>
      <c r="ZD24" s="119"/>
      <c r="ZE24" s="119"/>
      <c r="ZF24" s="119"/>
      <c r="ZG24" s="119"/>
      <c r="ZH24" s="119"/>
      <c r="ZI24" s="119"/>
      <c r="ZJ24" s="119"/>
      <c r="ZK24" s="119"/>
      <c r="ZL24" s="119"/>
      <c r="ZM24" s="119"/>
      <c r="ZN24" s="119"/>
      <c r="ZO24" s="119"/>
      <c r="ZP24" s="119"/>
      <c r="ZQ24" s="119"/>
      <c r="ZR24" s="119"/>
      <c r="ZS24" s="119"/>
      <c r="ZT24" s="119"/>
      <c r="ZU24" s="119"/>
      <c r="ZV24" s="119"/>
      <c r="ZW24" s="119"/>
      <c r="ZX24" s="119"/>
      <c r="ZY24" s="119"/>
      <c r="ZZ24" s="119"/>
      <c r="AAA24" s="119"/>
      <c r="AAB24" s="119"/>
      <c r="AAC24" s="119"/>
      <c r="AAD24" s="119"/>
      <c r="AAE24" s="119"/>
      <c r="AAF24" s="119"/>
      <c r="AAG24" s="119"/>
      <c r="AAH24" s="119"/>
      <c r="AAI24" s="119"/>
      <c r="AAJ24" s="119"/>
      <c r="AAK24" s="119"/>
      <c r="AAL24" s="119"/>
      <c r="AAM24" s="119"/>
      <c r="AAN24" s="119"/>
      <c r="AAO24" s="119"/>
      <c r="AAP24" s="119"/>
      <c r="AAQ24" s="119"/>
      <c r="AAR24" s="119"/>
      <c r="AAS24" s="119"/>
      <c r="AAT24" s="119"/>
      <c r="AAU24" s="119"/>
      <c r="AAV24" s="119"/>
      <c r="AAW24" s="119"/>
      <c r="AAX24" s="119"/>
      <c r="AAY24" s="119"/>
      <c r="AAZ24" s="119"/>
      <c r="ABA24" s="119"/>
      <c r="ABB24" s="119"/>
      <c r="ABC24" s="119"/>
      <c r="ABD24" s="119"/>
      <c r="ABE24" s="119"/>
      <c r="ABF24" s="119"/>
      <c r="ABG24" s="119"/>
      <c r="ABH24" s="119"/>
      <c r="ABI24" s="119"/>
      <c r="ABJ24" s="119"/>
      <c r="ABK24" s="119"/>
      <c r="ABL24" s="119"/>
      <c r="ABM24" s="119"/>
      <c r="ABN24" s="119"/>
      <c r="ABO24" s="119"/>
      <c r="ABP24" s="119"/>
      <c r="ABQ24" s="119"/>
      <c r="ABR24" s="119"/>
      <c r="ABS24" s="119"/>
      <c r="ABT24" s="119"/>
      <c r="ABU24" s="119"/>
      <c r="ABV24" s="119"/>
      <c r="ABW24" s="119"/>
      <c r="ABX24" s="119"/>
      <c r="ABY24" s="119"/>
      <c r="ABZ24" s="119"/>
      <c r="ACA24" s="119"/>
      <c r="ACB24" s="119"/>
      <c r="ACC24" s="119"/>
      <c r="ACD24" s="119"/>
      <c r="ACE24" s="119"/>
      <c r="ACF24" s="119"/>
      <c r="ACG24" s="119"/>
      <c r="ACH24" s="119"/>
      <c r="ACI24" s="119"/>
      <c r="ACJ24" s="119"/>
      <c r="ACK24" s="119"/>
      <c r="ACL24" s="119"/>
      <c r="ACM24" s="119"/>
      <c r="ACN24" s="119"/>
      <c r="ACO24" s="119"/>
      <c r="ACP24" s="119"/>
      <c r="ACQ24" s="119"/>
      <c r="ACR24" s="119"/>
      <c r="ACS24" s="119"/>
      <c r="ACT24" s="119"/>
      <c r="ACU24" s="119"/>
      <c r="ACV24" s="119"/>
      <c r="ACW24" s="119"/>
      <c r="ACX24" s="119"/>
      <c r="ACY24" s="119"/>
      <c r="ACZ24" s="119"/>
      <c r="ADA24" s="119"/>
      <c r="ADB24" s="119"/>
      <c r="ADC24" s="119"/>
      <c r="ADD24" s="119"/>
      <c r="ADE24" s="119"/>
      <c r="ADF24" s="119"/>
      <c r="ADG24" s="119"/>
      <c r="ADH24" s="119"/>
      <c r="ADI24" s="119"/>
      <c r="ADJ24" s="119"/>
      <c r="ADK24" s="119"/>
      <c r="ADL24" s="119"/>
      <c r="ADM24" s="119"/>
      <c r="ADN24" s="119"/>
      <c r="ADO24" s="119"/>
      <c r="ADP24" s="119"/>
      <c r="ADQ24" s="119"/>
      <c r="ADR24" s="119"/>
      <c r="ADS24" s="119"/>
      <c r="ADT24" s="119"/>
      <c r="ADU24" s="119"/>
      <c r="ADV24" s="119"/>
      <c r="ADW24" s="119"/>
      <c r="ADX24" s="119"/>
      <c r="ADY24" s="119"/>
      <c r="ADZ24" s="119"/>
      <c r="AEA24" s="119"/>
      <c r="AEB24" s="119"/>
      <c r="AEC24" s="119"/>
      <c r="AED24" s="119"/>
      <c r="AEE24" s="119"/>
      <c r="AEF24" s="119"/>
      <c r="AEG24" s="119"/>
      <c r="AEH24" s="119"/>
      <c r="AEI24" s="119"/>
      <c r="AEJ24" s="119"/>
      <c r="AEK24" s="119"/>
      <c r="AEL24" s="119"/>
      <c r="AEM24" s="119"/>
      <c r="AEN24" s="119"/>
      <c r="AEO24" s="119"/>
      <c r="AEP24" s="119"/>
      <c r="AEQ24" s="119"/>
      <c r="AER24" s="119"/>
      <c r="AES24" s="119"/>
      <c r="AET24" s="119"/>
      <c r="AEU24" s="119"/>
      <c r="AEV24" s="119"/>
      <c r="AEW24" s="119"/>
      <c r="AEX24" s="119"/>
      <c r="AEY24" s="119"/>
      <c r="AEZ24" s="119"/>
      <c r="AFA24" s="119"/>
      <c r="AFB24" s="119"/>
      <c r="AFC24" s="119"/>
      <c r="AFD24" s="119"/>
      <c r="AFE24" s="119"/>
      <c r="AFF24" s="119"/>
      <c r="AFG24" s="119"/>
      <c r="AFH24" s="119"/>
      <c r="AFI24" s="119"/>
      <c r="AFJ24" s="119"/>
      <c r="AFK24" s="119"/>
      <c r="AFL24" s="119"/>
      <c r="AFM24" s="119"/>
      <c r="AFN24" s="119"/>
      <c r="AFO24" s="119"/>
      <c r="AFP24" s="119"/>
      <c r="AFQ24" s="119"/>
      <c r="AFR24" s="119"/>
      <c r="AFS24" s="119"/>
      <c r="AFT24" s="119"/>
      <c r="AFU24" s="119"/>
      <c r="AFV24" s="119"/>
      <c r="AFW24" s="119"/>
      <c r="AFX24" s="119"/>
      <c r="AFY24" s="119"/>
      <c r="AFZ24" s="119"/>
      <c r="AGA24" s="119"/>
      <c r="AGB24" s="119"/>
      <c r="AGC24" s="119"/>
      <c r="AGD24" s="119"/>
      <c r="AGE24" s="119"/>
      <c r="AGF24" s="119"/>
      <c r="AGG24" s="119"/>
      <c r="AGH24" s="119"/>
      <c r="AGI24" s="119"/>
      <c r="AGJ24" s="119"/>
      <c r="AGK24" s="119"/>
      <c r="AGL24" s="119"/>
      <c r="AGM24" s="119"/>
      <c r="AGN24" s="119"/>
      <c r="AGO24" s="119"/>
      <c r="AGP24" s="119"/>
      <c r="AGQ24" s="119"/>
      <c r="AGR24" s="119"/>
      <c r="AGS24" s="119"/>
      <c r="AGT24" s="119"/>
      <c r="AGU24" s="119"/>
      <c r="AGV24" s="119"/>
      <c r="AGW24" s="119"/>
      <c r="AGX24" s="119"/>
      <c r="AGY24" s="119"/>
      <c r="AGZ24" s="119"/>
      <c r="AHA24" s="119"/>
      <c r="AHB24" s="119"/>
      <c r="AHC24" s="119"/>
      <c r="AHD24" s="119"/>
      <c r="AHE24" s="119"/>
      <c r="AHF24" s="119"/>
      <c r="AHG24" s="119"/>
      <c r="AHH24" s="119"/>
      <c r="AHI24" s="119"/>
      <c r="AHJ24" s="119"/>
      <c r="AHK24" s="119"/>
      <c r="AHL24" s="119"/>
      <c r="AHM24" s="119"/>
      <c r="AHN24" s="119"/>
      <c r="AHO24" s="119"/>
      <c r="AHP24" s="119"/>
      <c r="AHQ24" s="119"/>
      <c r="AHR24" s="119"/>
      <c r="AHS24" s="119"/>
      <c r="AHT24" s="119"/>
      <c r="AHU24" s="119"/>
      <c r="AHV24" s="119"/>
      <c r="AHW24" s="119"/>
      <c r="AHX24" s="119"/>
      <c r="AHY24" s="119"/>
      <c r="AHZ24" s="119"/>
      <c r="AIA24" s="119"/>
      <c r="AIB24" s="119"/>
      <c r="AIC24" s="119"/>
      <c r="AID24" s="119"/>
      <c r="AIE24" s="119"/>
      <c r="AIF24" s="119"/>
      <c r="AIG24" s="119"/>
      <c r="AIH24" s="119"/>
      <c r="AII24" s="119"/>
      <c r="AIJ24" s="119"/>
      <c r="AIK24" s="119"/>
      <c r="AIL24" s="119"/>
      <c r="AIM24" s="119"/>
      <c r="AIN24" s="119"/>
      <c r="AIO24" s="119"/>
      <c r="AIP24" s="119"/>
      <c r="AIQ24" s="119"/>
      <c r="AIR24" s="119"/>
      <c r="AIS24" s="119"/>
      <c r="AIT24" s="119"/>
      <c r="AIU24" s="119"/>
      <c r="AIV24" s="119"/>
      <c r="AIW24" s="119"/>
      <c r="AIX24" s="119"/>
      <c r="AIY24" s="119"/>
      <c r="AIZ24" s="119"/>
      <c r="AJA24" s="119"/>
      <c r="AJB24" s="119"/>
      <c r="AJC24" s="119"/>
      <c r="AJD24" s="119"/>
      <c r="AJE24" s="119"/>
      <c r="AJF24" s="119"/>
      <c r="AJG24" s="119"/>
      <c r="AJH24" s="119"/>
      <c r="AJI24" s="119"/>
      <c r="AJJ24" s="119"/>
      <c r="AJK24" s="119"/>
      <c r="AJL24" s="119"/>
      <c r="AJM24" s="119"/>
      <c r="AJN24" s="119"/>
      <c r="AJO24" s="119"/>
      <c r="AJP24" s="119"/>
      <c r="AJQ24" s="119"/>
      <c r="AJR24" s="119"/>
      <c r="AJS24" s="119"/>
      <c r="AJT24" s="119"/>
      <c r="AJU24" s="119"/>
      <c r="AJV24" s="119"/>
      <c r="AJW24" s="119"/>
      <c r="AJX24" s="119"/>
      <c r="AJY24" s="119"/>
      <c r="AJZ24" s="119"/>
      <c r="AKA24" s="119"/>
      <c r="AKB24" s="119"/>
      <c r="AKC24" s="119"/>
      <c r="AKD24" s="119"/>
      <c r="AKE24" s="119"/>
      <c r="AKF24" s="119"/>
      <c r="AKG24" s="119"/>
      <c r="AKH24" s="119"/>
      <c r="AKI24" s="119"/>
      <c r="AKJ24" s="119"/>
      <c r="AKK24" s="119"/>
      <c r="AKL24" s="119"/>
      <c r="AKM24" s="119"/>
      <c r="AKN24" s="119"/>
      <c r="AKO24" s="119"/>
      <c r="AKP24" s="119"/>
      <c r="AKQ24" s="119"/>
      <c r="AKR24" s="119"/>
      <c r="AKS24" s="119"/>
      <c r="AKT24" s="119"/>
      <c r="AKU24" s="119"/>
      <c r="AKV24" s="119"/>
      <c r="AKW24" s="119"/>
      <c r="AKX24" s="119"/>
      <c r="AKY24" s="119"/>
      <c r="AKZ24" s="119"/>
      <c r="ALA24" s="119"/>
      <c r="ALB24" s="119"/>
      <c r="ALC24" s="119"/>
      <c r="ALD24" s="119"/>
      <c r="ALE24" s="119"/>
      <c r="ALF24" s="119"/>
      <c r="ALG24" s="119"/>
      <c r="ALH24" s="119"/>
      <c r="ALI24" s="119"/>
      <c r="ALJ24" s="119"/>
      <c r="ALK24" s="119"/>
      <c r="ALL24" s="119"/>
      <c r="ALM24" s="119"/>
      <c r="ALN24" s="119"/>
      <c r="ALO24" s="119"/>
      <c r="ALP24" s="119"/>
      <c r="ALQ24" s="119"/>
      <c r="ALR24" s="119"/>
      <c r="ALS24" s="119"/>
      <c r="ALT24" s="119"/>
      <c r="ALU24" s="119"/>
      <c r="ALV24" s="119"/>
      <c r="ALW24" s="119"/>
      <c r="ALX24" s="119"/>
      <c r="ALY24" s="119"/>
      <c r="ALZ24" s="119"/>
      <c r="AMA24" s="119"/>
      <c r="AMB24" s="119"/>
      <c r="AMC24" s="119"/>
      <c r="AMD24" s="119"/>
      <c r="AME24" s="119"/>
      <c r="AMF24" s="119"/>
      <c r="AMG24" s="119"/>
      <c r="AMH24" s="119"/>
      <c r="AMI24" s="119"/>
      <c r="AMJ24" s="119"/>
      <c r="AMK24" s="119"/>
      <c r="AML24" s="119"/>
      <c r="AMM24" s="119"/>
      <c r="AMN24" s="119"/>
      <c r="AMO24" s="119"/>
      <c r="AMP24" s="119"/>
      <c r="AMQ24" s="119"/>
      <c r="AMR24" s="119"/>
      <c r="AMS24" s="119"/>
      <c r="AMT24" s="119"/>
      <c r="AMU24" s="119"/>
      <c r="AMV24" s="119"/>
      <c r="AMW24" s="119"/>
      <c r="AMX24" s="119"/>
      <c r="AMY24" s="119"/>
      <c r="AMZ24" s="119"/>
      <c r="ANA24" s="119"/>
      <c r="ANB24" s="119"/>
      <c r="ANC24" s="119"/>
      <c r="AND24" s="119"/>
      <c r="ANE24" s="119"/>
      <c r="ANF24" s="119"/>
      <c r="ANG24" s="119"/>
      <c r="ANH24" s="119"/>
      <c r="ANI24" s="119"/>
      <c r="ANJ24" s="119"/>
      <c r="ANK24" s="119"/>
      <c r="ANL24" s="119"/>
      <c r="ANM24" s="119"/>
      <c r="ANN24" s="119"/>
      <c r="ANO24" s="119"/>
      <c r="ANP24" s="119"/>
      <c r="ANQ24" s="119"/>
      <c r="ANR24" s="119"/>
      <c r="ANS24" s="119"/>
      <c r="ANT24" s="119"/>
      <c r="ANU24" s="119"/>
      <c r="ANV24" s="119"/>
      <c r="ANW24" s="119"/>
      <c r="ANX24" s="119"/>
      <c r="ANY24" s="119"/>
      <c r="ANZ24" s="119"/>
      <c r="AOA24" s="119"/>
      <c r="AOB24" s="119"/>
      <c r="AOC24" s="119"/>
      <c r="AOD24" s="119"/>
      <c r="AOE24" s="119"/>
      <c r="AOF24" s="119"/>
      <c r="AOG24" s="119"/>
      <c r="AOH24" s="119"/>
      <c r="AOI24" s="119"/>
      <c r="AOJ24" s="119"/>
      <c r="AOK24" s="119"/>
      <c r="AOL24" s="119"/>
      <c r="AOM24" s="119"/>
      <c r="AON24" s="119"/>
      <c r="AOO24" s="119"/>
      <c r="AOP24" s="119"/>
      <c r="AOQ24" s="119"/>
      <c r="AOR24" s="119"/>
      <c r="AOS24" s="119"/>
      <c r="AOT24" s="119"/>
      <c r="AOU24" s="119"/>
      <c r="AOV24" s="119"/>
      <c r="AOW24" s="119"/>
      <c r="AOX24" s="119"/>
      <c r="AOY24" s="119"/>
      <c r="AOZ24" s="119"/>
      <c r="APA24" s="119"/>
      <c r="APB24" s="119"/>
      <c r="APC24" s="119"/>
      <c r="APD24" s="119"/>
      <c r="APE24" s="119"/>
      <c r="APF24" s="119"/>
      <c r="APG24" s="119"/>
      <c r="APH24" s="119"/>
      <c r="API24" s="119"/>
      <c r="APJ24" s="119"/>
      <c r="APK24" s="119"/>
      <c r="APL24" s="119"/>
      <c r="APM24" s="119"/>
      <c r="APN24" s="119"/>
      <c r="APO24" s="119"/>
      <c r="APP24" s="119"/>
      <c r="APQ24" s="119"/>
      <c r="APR24" s="119"/>
      <c r="APS24" s="119"/>
      <c r="APT24" s="119"/>
      <c r="APU24" s="119"/>
      <c r="APV24" s="119"/>
      <c r="APW24" s="119"/>
      <c r="APX24" s="119"/>
      <c r="APY24" s="119"/>
      <c r="APZ24" s="119"/>
      <c r="AQA24" s="119"/>
      <c r="AQB24" s="119"/>
      <c r="AQC24" s="119"/>
      <c r="AQD24" s="119"/>
      <c r="AQE24" s="119"/>
      <c r="AQF24" s="119"/>
      <c r="AQG24" s="119"/>
      <c r="AQH24" s="119"/>
      <c r="AQI24" s="119"/>
      <c r="AQJ24" s="119"/>
      <c r="AQK24" s="119"/>
      <c r="AQL24" s="119"/>
      <c r="AQM24" s="119"/>
      <c r="AQN24" s="119"/>
      <c r="AQO24" s="119"/>
      <c r="AQP24" s="119"/>
      <c r="AQQ24" s="119"/>
      <c r="AQR24" s="119"/>
      <c r="AQS24" s="119"/>
      <c r="AQT24" s="119"/>
      <c r="AQU24" s="119"/>
      <c r="AQV24" s="119"/>
      <c r="AQW24" s="119"/>
      <c r="AQX24" s="119"/>
      <c r="AQY24" s="119"/>
      <c r="AQZ24" s="119"/>
      <c r="ARA24" s="119"/>
      <c r="ARB24" s="119"/>
      <c r="ARC24" s="119"/>
      <c r="ARD24" s="119"/>
      <c r="ARE24" s="119"/>
      <c r="ARF24" s="119"/>
      <c r="ARG24" s="119"/>
      <c r="ARH24" s="119"/>
      <c r="ARI24" s="119"/>
      <c r="ARJ24" s="119"/>
      <c r="ARK24" s="119"/>
      <c r="ARL24" s="119"/>
      <c r="ARM24" s="119"/>
      <c r="ARN24" s="119"/>
      <c r="ARO24" s="119"/>
      <c r="ARP24" s="119"/>
      <c r="ARQ24" s="119"/>
      <c r="ARR24" s="119"/>
      <c r="ARS24" s="119"/>
      <c r="ART24" s="119"/>
      <c r="ARU24" s="119"/>
      <c r="ARV24" s="119"/>
      <c r="ARW24" s="119"/>
      <c r="ARX24" s="119"/>
      <c r="ARY24" s="119"/>
      <c r="ARZ24" s="119"/>
      <c r="ASA24" s="119"/>
      <c r="ASB24" s="119"/>
      <c r="ASC24" s="119"/>
      <c r="ASD24" s="119"/>
      <c r="ASE24" s="119"/>
      <c r="ASF24" s="119"/>
      <c r="ASG24" s="119"/>
      <c r="ASH24" s="119"/>
      <c r="ASI24" s="119"/>
      <c r="ASJ24" s="119"/>
      <c r="ASK24" s="119"/>
      <c r="ASL24" s="119"/>
      <c r="ASM24" s="119"/>
      <c r="ASN24" s="119"/>
      <c r="ASO24" s="119"/>
      <c r="ASP24" s="119"/>
      <c r="ASQ24" s="119"/>
      <c r="ASR24" s="119"/>
      <c r="ASS24" s="119"/>
      <c r="AST24" s="119"/>
      <c r="ASU24" s="119"/>
      <c r="ASV24" s="119"/>
      <c r="ASW24" s="119"/>
      <c r="ASX24" s="119"/>
      <c r="ASY24" s="119"/>
      <c r="ASZ24" s="119"/>
      <c r="ATA24" s="119"/>
      <c r="ATB24" s="119"/>
      <c r="ATC24" s="119"/>
      <c r="ATD24" s="119"/>
      <c r="ATE24" s="119"/>
      <c r="ATF24" s="119"/>
      <c r="ATG24" s="119"/>
      <c r="ATH24" s="119"/>
      <c r="ATI24" s="119"/>
      <c r="ATJ24" s="119"/>
      <c r="ATK24" s="119"/>
      <c r="ATL24" s="119"/>
      <c r="ATM24" s="119"/>
      <c r="ATN24" s="119"/>
      <c r="ATO24" s="119"/>
      <c r="ATP24" s="119"/>
      <c r="ATQ24" s="119"/>
      <c r="ATR24" s="119"/>
      <c r="ATS24" s="119"/>
      <c r="ATT24" s="119"/>
      <c r="ATU24" s="119"/>
      <c r="ATV24" s="119"/>
      <c r="ATW24" s="119"/>
      <c r="ATX24" s="119"/>
      <c r="ATY24" s="119"/>
      <c r="ATZ24" s="119"/>
      <c r="AUA24" s="119"/>
      <c r="AUB24" s="119"/>
      <c r="AUC24" s="119"/>
      <c r="AUD24" s="119"/>
      <c r="AUE24" s="119"/>
      <c r="AUF24" s="119"/>
      <c r="AUG24" s="119"/>
      <c r="AUH24" s="119"/>
      <c r="AUI24" s="119"/>
      <c r="AUJ24" s="119"/>
      <c r="AUK24" s="119"/>
      <c r="AUL24" s="119"/>
      <c r="AUM24" s="119"/>
      <c r="AUN24" s="119"/>
      <c r="AUO24" s="119"/>
      <c r="AUP24" s="119"/>
      <c r="AUQ24" s="119"/>
      <c r="AUR24" s="119"/>
      <c r="AUS24" s="119"/>
      <c r="AUT24" s="119"/>
      <c r="AUU24" s="119"/>
      <c r="AUV24" s="119"/>
      <c r="AUW24" s="119"/>
      <c r="AUX24" s="119"/>
      <c r="AUY24" s="119"/>
      <c r="AUZ24" s="119"/>
      <c r="AVA24" s="119"/>
      <c r="AVB24" s="119"/>
      <c r="AVC24" s="119"/>
      <c r="AVD24" s="119"/>
      <c r="AVE24" s="119"/>
      <c r="AVF24" s="119"/>
      <c r="AVG24" s="119"/>
      <c r="AVH24" s="119"/>
      <c r="AVI24" s="119"/>
      <c r="AVJ24" s="119"/>
      <c r="AVK24" s="119"/>
      <c r="AVL24" s="119"/>
      <c r="AVM24" s="119"/>
      <c r="AVN24" s="119"/>
      <c r="AVO24" s="119"/>
      <c r="AVP24" s="119"/>
      <c r="AVQ24" s="119"/>
      <c r="AVR24" s="119"/>
      <c r="AVS24" s="119"/>
      <c r="AVT24" s="119"/>
      <c r="AVU24" s="119"/>
      <c r="AVV24" s="119"/>
      <c r="AVW24" s="119"/>
      <c r="AVX24" s="119"/>
      <c r="AVY24" s="119"/>
      <c r="AVZ24" s="119"/>
      <c r="AWA24" s="119"/>
      <c r="AWB24" s="119"/>
      <c r="AWC24" s="119"/>
      <c r="AWD24" s="119"/>
      <c r="AWE24" s="119"/>
      <c r="AWF24" s="119"/>
      <c r="AWG24" s="119"/>
      <c r="AWH24" s="119"/>
      <c r="AWI24" s="119"/>
      <c r="AWJ24" s="119"/>
      <c r="AWK24" s="119"/>
      <c r="AWL24" s="119"/>
      <c r="AWM24" s="119"/>
      <c r="AWN24" s="119"/>
      <c r="AWO24" s="119"/>
      <c r="AWP24" s="119"/>
      <c r="AWQ24" s="119"/>
      <c r="AWR24" s="119"/>
      <c r="AWS24" s="119"/>
      <c r="AWT24" s="119"/>
      <c r="AWU24" s="119"/>
      <c r="AWV24" s="119"/>
      <c r="AWW24" s="119"/>
      <c r="AWX24" s="119"/>
      <c r="AWY24" s="119"/>
      <c r="AWZ24" s="119"/>
      <c r="AXA24" s="119"/>
      <c r="AXB24" s="119"/>
      <c r="AXC24" s="119"/>
      <c r="AXD24" s="119"/>
      <c r="AXE24" s="119"/>
      <c r="AXF24" s="119"/>
      <c r="AXG24" s="119"/>
      <c r="AXH24" s="119"/>
      <c r="AXI24" s="119"/>
      <c r="AXJ24" s="119"/>
      <c r="AXK24" s="119"/>
      <c r="AXL24" s="119"/>
      <c r="AXM24" s="119"/>
      <c r="AXN24" s="119"/>
      <c r="AXO24" s="119"/>
      <c r="AXP24" s="119"/>
      <c r="AXQ24" s="119"/>
      <c r="AXR24" s="119"/>
      <c r="AXS24" s="119"/>
      <c r="AXT24" s="119"/>
      <c r="AXU24" s="119"/>
      <c r="AXV24" s="119"/>
      <c r="AXW24" s="119"/>
      <c r="AXX24" s="119"/>
      <c r="AXY24" s="119"/>
      <c r="AXZ24" s="119"/>
      <c r="AYA24" s="119"/>
      <c r="AYB24" s="119"/>
      <c r="AYC24" s="119"/>
      <c r="AYD24" s="119"/>
      <c r="AYE24" s="119"/>
      <c r="AYF24" s="119"/>
      <c r="AYG24" s="119"/>
      <c r="AYH24" s="119"/>
      <c r="AYI24" s="119"/>
      <c r="AYJ24" s="119"/>
      <c r="AYK24" s="119"/>
      <c r="AYL24" s="119"/>
      <c r="AYM24" s="119"/>
      <c r="AYN24" s="119"/>
      <c r="AYO24" s="119"/>
      <c r="AYP24" s="119"/>
      <c r="AYQ24" s="119"/>
      <c r="AYR24" s="119"/>
      <c r="AYS24" s="119"/>
      <c r="AYT24" s="119"/>
      <c r="AYU24" s="119"/>
      <c r="AYV24" s="119"/>
      <c r="AYW24" s="119"/>
      <c r="AYX24" s="119"/>
      <c r="AYY24" s="119"/>
      <c r="AYZ24" s="119"/>
      <c r="AZA24" s="119"/>
      <c r="AZB24" s="119"/>
      <c r="AZC24" s="119"/>
      <c r="AZD24" s="119"/>
      <c r="AZE24" s="119"/>
      <c r="AZF24" s="119"/>
      <c r="AZG24" s="119"/>
      <c r="AZH24" s="119"/>
      <c r="AZI24" s="119"/>
      <c r="AZJ24" s="119"/>
      <c r="AZK24" s="119"/>
      <c r="AZL24" s="119"/>
      <c r="AZM24" s="119"/>
      <c r="AZN24" s="119"/>
      <c r="AZO24" s="119"/>
      <c r="AZP24" s="119"/>
      <c r="AZQ24" s="119"/>
      <c r="AZR24" s="119"/>
      <c r="AZS24" s="119"/>
      <c r="AZT24" s="119"/>
      <c r="AZU24" s="119"/>
      <c r="AZV24" s="119"/>
      <c r="AZW24" s="119"/>
      <c r="AZX24" s="119"/>
      <c r="AZY24" s="119"/>
      <c r="AZZ24" s="119"/>
      <c r="BAA24" s="119"/>
      <c r="BAB24" s="119"/>
      <c r="BAC24" s="119"/>
      <c r="BAD24" s="119"/>
      <c r="BAE24" s="119"/>
      <c r="BAF24" s="119"/>
      <c r="BAG24" s="119"/>
      <c r="BAH24" s="119"/>
      <c r="BAI24" s="119"/>
      <c r="BAJ24" s="119"/>
      <c r="BAK24" s="119"/>
      <c r="BAL24" s="119"/>
      <c r="BAM24" s="119"/>
      <c r="BAN24" s="119"/>
      <c r="BAO24" s="119"/>
      <c r="BAP24" s="119"/>
      <c r="BAQ24" s="119"/>
      <c r="BAR24" s="119"/>
      <c r="BAS24" s="119"/>
      <c r="BAT24" s="119"/>
      <c r="BAU24" s="119"/>
      <c r="BAV24" s="119"/>
      <c r="BAW24" s="119"/>
      <c r="BAX24" s="119"/>
      <c r="BAY24" s="119"/>
      <c r="BAZ24" s="119"/>
      <c r="BBA24" s="119"/>
      <c r="BBB24" s="119"/>
      <c r="BBC24" s="119"/>
      <c r="BBD24" s="119"/>
      <c r="BBE24" s="119"/>
      <c r="BBF24" s="119"/>
      <c r="BBG24" s="119"/>
      <c r="BBH24" s="119"/>
      <c r="BBI24" s="119"/>
      <c r="BBJ24" s="119"/>
      <c r="BBK24" s="119"/>
      <c r="BBL24" s="119"/>
      <c r="BBM24" s="119"/>
      <c r="BBN24" s="119"/>
      <c r="BBO24" s="119"/>
      <c r="BBP24" s="119"/>
      <c r="BBQ24" s="119"/>
      <c r="BBR24" s="119"/>
      <c r="BBS24" s="119"/>
      <c r="BBT24" s="119"/>
      <c r="BBU24" s="119"/>
      <c r="BBV24" s="119"/>
      <c r="BBW24" s="119"/>
      <c r="BBX24" s="119"/>
      <c r="BBY24" s="119"/>
      <c r="BBZ24" s="119"/>
      <c r="BCA24" s="119"/>
      <c r="BCB24" s="119"/>
      <c r="BCC24" s="119"/>
      <c r="BCD24" s="119"/>
      <c r="BCE24" s="119"/>
      <c r="BCF24" s="119"/>
      <c r="BCG24" s="119"/>
      <c r="BCH24" s="119"/>
      <c r="BCI24" s="119"/>
      <c r="BCJ24" s="119"/>
      <c r="BCK24" s="119"/>
      <c r="BCL24" s="119"/>
      <c r="BCM24" s="119"/>
      <c r="BCN24" s="119"/>
      <c r="BCO24" s="119"/>
      <c r="BCP24" s="119"/>
      <c r="BCQ24" s="119"/>
      <c r="BCR24" s="119"/>
      <c r="BCS24" s="119"/>
      <c r="BCT24" s="119"/>
      <c r="BCU24" s="119"/>
      <c r="BCV24" s="119"/>
      <c r="BCW24" s="119"/>
      <c r="BCX24" s="119"/>
      <c r="BCY24" s="119"/>
      <c r="BCZ24" s="119"/>
      <c r="BDA24" s="119"/>
      <c r="BDB24" s="119"/>
      <c r="BDC24" s="119"/>
      <c r="BDD24" s="119"/>
      <c r="BDE24" s="119"/>
      <c r="BDF24" s="119"/>
      <c r="BDG24" s="119"/>
      <c r="BDH24" s="119"/>
      <c r="BDI24" s="119"/>
      <c r="BDJ24" s="119"/>
      <c r="BDK24" s="119"/>
      <c r="BDL24" s="119"/>
      <c r="BDM24" s="119"/>
      <c r="BDN24" s="119"/>
      <c r="BDO24" s="119"/>
      <c r="BDP24" s="119"/>
      <c r="BDQ24" s="119"/>
      <c r="BDR24" s="119"/>
      <c r="BDS24" s="119"/>
      <c r="BDT24" s="119"/>
      <c r="BDU24" s="119"/>
      <c r="BDV24" s="119"/>
      <c r="BDW24" s="119"/>
      <c r="BDX24" s="119"/>
      <c r="BDY24" s="119"/>
      <c r="BDZ24" s="119"/>
      <c r="BEA24" s="119"/>
      <c r="BEB24" s="119"/>
      <c r="BEC24" s="119"/>
      <c r="BED24" s="119"/>
      <c r="BEE24" s="119"/>
      <c r="BEF24" s="119"/>
      <c r="BEG24" s="119"/>
      <c r="BEH24" s="119"/>
      <c r="BEI24" s="119"/>
      <c r="BEJ24" s="119"/>
      <c r="BEK24" s="119"/>
      <c r="BEL24" s="119"/>
      <c r="BEM24" s="119"/>
      <c r="BEN24" s="119"/>
      <c r="BEO24" s="119"/>
      <c r="BEP24" s="119"/>
      <c r="BEQ24" s="119"/>
      <c r="BER24" s="119"/>
      <c r="BES24" s="119"/>
      <c r="BET24" s="119"/>
      <c r="BEU24" s="119"/>
      <c r="BEV24" s="119"/>
      <c r="BEW24" s="119"/>
      <c r="BEX24" s="119"/>
      <c r="BEY24" s="119"/>
      <c r="BEZ24" s="119"/>
      <c r="BFA24" s="119"/>
      <c r="BFB24" s="119"/>
      <c r="BFC24" s="119"/>
      <c r="BFD24" s="119"/>
      <c r="BFE24" s="119"/>
      <c r="BFF24" s="119"/>
      <c r="BFG24" s="119"/>
      <c r="BFH24" s="119"/>
      <c r="BFI24" s="119"/>
      <c r="BFJ24" s="119"/>
      <c r="BFK24" s="119"/>
      <c r="BFL24" s="119"/>
      <c r="BFM24" s="119"/>
      <c r="BFN24" s="119"/>
      <c r="BFO24" s="119"/>
      <c r="BFP24" s="119"/>
      <c r="BFQ24" s="119"/>
      <c r="BFR24" s="119"/>
      <c r="BFS24" s="119"/>
      <c r="BFT24" s="119"/>
      <c r="BFU24" s="119"/>
      <c r="BFV24" s="119"/>
      <c r="BFW24" s="119"/>
      <c r="BFX24" s="119"/>
      <c r="BFY24" s="119"/>
      <c r="BFZ24" s="119"/>
      <c r="BGA24" s="119"/>
      <c r="BGB24" s="119"/>
      <c r="BGC24" s="119"/>
      <c r="BGD24" s="119"/>
      <c r="BGE24" s="119"/>
      <c r="BGF24" s="119"/>
      <c r="BGG24" s="119"/>
      <c r="BGH24" s="119"/>
      <c r="BGI24" s="119"/>
      <c r="BGJ24" s="119"/>
      <c r="BGK24" s="119"/>
      <c r="BGL24" s="119"/>
      <c r="BGM24" s="119"/>
      <c r="BGN24" s="119"/>
      <c r="BGO24" s="119"/>
      <c r="BGP24" s="119"/>
      <c r="BGQ24" s="119"/>
      <c r="BGR24" s="119"/>
      <c r="BGS24" s="119"/>
      <c r="BGT24" s="119"/>
      <c r="BGU24" s="119"/>
      <c r="BGV24" s="119"/>
      <c r="BGW24" s="119"/>
      <c r="BGX24" s="119"/>
      <c r="BGY24" s="119"/>
      <c r="BGZ24" s="119"/>
      <c r="BHA24" s="119"/>
      <c r="BHB24" s="119"/>
      <c r="BHC24" s="119"/>
      <c r="BHD24" s="119"/>
      <c r="BHE24" s="119"/>
      <c r="BHF24" s="119"/>
      <c r="BHG24" s="119"/>
      <c r="BHH24" s="119"/>
      <c r="BHI24" s="119"/>
      <c r="BHJ24" s="119"/>
      <c r="BHK24" s="119"/>
      <c r="BHL24" s="119"/>
      <c r="BHM24" s="119"/>
      <c r="BHN24" s="119"/>
      <c r="BHO24" s="119"/>
      <c r="BHP24" s="119"/>
      <c r="BHQ24" s="119"/>
      <c r="BHR24" s="119"/>
      <c r="BHS24" s="119"/>
      <c r="BHT24" s="119"/>
      <c r="BHU24" s="119"/>
      <c r="BHV24" s="119"/>
      <c r="BHW24" s="119"/>
      <c r="BHX24" s="119"/>
      <c r="BHY24" s="119"/>
      <c r="BHZ24" s="119"/>
      <c r="BIA24" s="119"/>
      <c r="BIB24" s="119"/>
      <c r="BIC24" s="119"/>
      <c r="BID24" s="119"/>
      <c r="BIE24" s="119"/>
      <c r="BIF24" s="119"/>
      <c r="BIG24" s="119"/>
      <c r="BIH24" s="119"/>
      <c r="BII24" s="119"/>
      <c r="BIJ24" s="119"/>
      <c r="BIK24" s="119"/>
      <c r="BIL24" s="119"/>
      <c r="BIM24" s="119"/>
      <c r="BIN24" s="119"/>
      <c r="BIO24" s="119"/>
      <c r="BIP24" s="119"/>
      <c r="BIQ24" s="119"/>
      <c r="BIR24" s="119"/>
      <c r="BIS24" s="119"/>
      <c r="BIT24" s="119"/>
      <c r="BIU24" s="119"/>
      <c r="BIV24" s="119"/>
      <c r="BIW24" s="119"/>
      <c r="BIX24" s="119"/>
      <c r="BIY24" s="119"/>
      <c r="BIZ24" s="119"/>
      <c r="BJA24" s="119"/>
      <c r="BJB24" s="119"/>
      <c r="BJC24" s="119"/>
      <c r="BJD24" s="119"/>
      <c r="BJE24" s="119"/>
      <c r="BJF24" s="119"/>
      <c r="BJG24" s="119"/>
      <c r="BJH24" s="119"/>
      <c r="BJI24" s="119"/>
      <c r="BJJ24" s="119"/>
      <c r="BJK24" s="119"/>
      <c r="BJL24" s="119"/>
      <c r="BJM24" s="119"/>
      <c r="BJN24" s="119"/>
      <c r="BJO24" s="119"/>
      <c r="BJP24" s="119"/>
      <c r="BJQ24" s="119"/>
      <c r="BJR24" s="119"/>
      <c r="BJS24" s="119"/>
      <c r="BJT24" s="119"/>
      <c r="BJU24" s="119"/>
      <c r="BJV24" s="119"/>
      <c r="BJW24" s="119"/>
      <c r="BJX24" s="119"/>
      <c r="BJY24" s="119"/>
      <c r="BJZ24" s="119"/>
      <c r="BKA24" s="119"/>
      <c r="BKB24" s="119"/>
      <c r="BKC24" s="119"/>
      <c r="BKD24" s="119"/>
      <c r="BKE24" s="119"/>
      <c r="BKF24" s="119"/>
      <c r="BKG24" s="119"/>
      <c r="BKH24" s="119"/>
      <c r="BKI24" s="119"/>
      <c r="BKJ24" s="119"/>
      <c r="BKK24" s="119"/>
      <c r="BKL24" s="119"/>
      <c r="BKM24" s="119"/>
      <c r="BKN24" s="119"/>
      <c r="BKO24" s="119"/>
      <c r="BKP24" s="119"/>
      <c r="BKQ24" s="119"/>
      <c r="BKR24" s="119"/>
      <c r="BKS24" s="119"/>
      <c r="BKT24" s="119"/>
      <c r="BKU24" s="119"/>
      <c r="BKV24" s="119"/>
      <c r="BKW24" s="119"/>
      <c r="BKX24" s="119"/>
      <c r="BKY24" s="119"/>
      <c r="BKZ24" s="119"/>
      <c r="BLA24" s="119"/>
      <c r="BLB24" s="119"/>
      <c r="BLC24" s="119"/>
      <c r="BLD24" s="119"/>
      <c r="BLE24" s="119"/>
      <c r="BLF24" s="119"/>
      <c r="BLG24" s="119"/>
      <c r="BLH24" s="119"/>
      <c r="BLI24" s="119"/>
      <c r="BLJ24" s="119"/>
      <c r="BLK24" s="119"/>
      <c r="BLL24" s="119"/>
      <c r="BLM24" s="119"/>
      <c r="BLN24" s="119"/>
      <c r="BLO24" s="119"/>
      <c r="BLP24" s="119"/>
      <c r="BLQ24" s="119"/>
      <c r="BLR24" s="119"/>
      <c r="BLS24" s="119"/>
      <c r="BLT24" s="119"/>
      <c r="BLU24" s="119"/>
      <c r="BLV24" s="119"/>
      <c r="BLW24" s="119"/>
      <c r="BLX24" s="119"/>
      <c r="BLY24" s="119"/>
      <c r="BLZ24" s="119"/>
      <c r="BMA24" s="119"/>
      <c r="BMB24" s="119"/>
      <c r="BMC24" s="119"/>
      <c r="BMD24" s="119"/>
      <c r="BME24" s="119"/>
      <c r="BMF24" s="119"/>
      <c r="BMG24" s="119"/>
      <c r="BMH24" s="119"/>
      <c r="BMI24" s="119"/>
      <c r="BMJ24" s="119"/>
      <c r="BMK24" s="119"/>
      <c r="BML24" s="119"/>
      <c r="BMM24" s="119"/>
      <c r="BMN24" s="119"/>
      <c r="BMO24" s="119"/>
      <c r="BMP24" s="119"/>
      <c r="BMQ24" s="119"/>
      <c r="BMR24" s="119"/>
      <c r="BMS24" s="119"/>
      <c r="BMT24" s="119"/>
      <c r="BMU24" s="119"/>
      <c r="BMV24" s="119"/>
      <c r="BMW24" s="119"/>
      <c r="BMX24" s="119"/>
      <c r="BMY24" s="119"/>
      <c r="BMZ24" s="119"/>
      <c r="BNA24" s="119"/>
      <c r="BNB24" s="119"/>
      <c r="BNC24" s="119"/>
      <c r="BND24" s="119"/>
      <c r="BNE24" s="119"/>
      <c r="BNF24" s="119"/>
      <c r="BNG24" s="119"/>
      <c r="BNH24" s="119"/>
      <c r="BNI24" s="119"/>
      <c r="BNJ24" s="119"/>
      <c r="BNK24" s="119"/>
      <c r="BNL24" s="119"/>
      <c r="BNM24" s="119"/>
      <c r="BNN24" s="119"/>
      <c r="BNO24" s="119"/>
      <c r="BNP24" s="119"/>
      <c r="BNQ24" s="119"/>
      <c r="BNR24" s="119"/>
      <c r="BNS24" s="119"/>
      <c r="BNT24" s="119"/>
      <c r="BNU24" s="119"/>
      <c r="BNV24" s="119"/>
      <c r="BNW24" s="119"/>
      <c r="BNX24" s="119"/>
      <c r="BNY24" s="119"/>
      <c r="BNZ24" s="119"/>
      <c r="BOA24" s="119"/>
      <c r="BOB24" s="119"/>
      <c r="BOC24" s="119"/>
      <c r="BOD24" s="119"/>
      <c r="BOE24" s="119"/>
      <c r="BOF24" s="119"/>
      <c r="BOG24" s="119"/>
      <c r="BOH24" s="119"/>
      <c r="BOI24" s="119"/>
      <c r="BOJ24" s="119"/>
      <c r="BOK24" s="119"/>
      <c r="BOL24" s="119"/>
      <c r="BOM24" s="119"/>
      <c r="BON24" s="119"/>
      <c r="BOO24" s="119"/>
      <c r="BOP24" s="119"/>
      <c r="BOQ24" s="119"/>
      <c r="BOR24" s="119"/>
      <c r="BOS24" s="119"/>
      <c r="BOT24" s="119"/>
      <c r="BOU24" s="119"/>
      <c r="BOV24" s="119"/>
      <c r="BOW24" s="119"/>
      <c r="BOX24" s="119"/>
      <c r="BOY24" s="119"/>
      <c r="BOZ24" s="119"/>
      <c r="BPA24" s="119"/>
      <c r="BPB24" s="119"/>
      <c r="BPC24" s="119"/>
      <c r="BPD24" s="119"/>
      <c r="BPE24" s="119"/>
      <c r="BPF24" s="119"/>
      <c r="BPG24" s="119"/>
      <c r="BPH24" s="119"/>
      <c r="BPI24" s="119"/>
      <c r="BPJ24" s="119"/>
      <c r="BPK24" s="119"/>
      <c r="BPL24" s="119"/>
      <c r="BPM24" s="119"/>
      <c r="BPN24" s="119"/>
      <c r="BPO24" s="119"/>
      <c r="BPP24" s="119"/>
      <c r="BPQ24" s="119"/>
      <c r="BPR24" s="119"/>
      <c r="BPS24" s="119"/>
      <c r="BPT24" s="119"/>
      <c r="BPU24" s="119"/>
      <c r="BPV24" s="119"/>
      <c r="BPW24" s="119"/>
      <c r="BPX24" s="119"/>
      <c r="BPY24" s="119"/>
      <c r="BPZ24" s="119"/>
      <c r="BQA24" s="119"/>
      <c r="BQB24" s="119"/>
      <c r="BQC24" s="119"/>
      <c r="BQD24" s="119"/>
      <c r="BQE24" s="119"/>
      <c r="BQF24" s="119"/>
      <c r="BQG24" s="119"/>
      <c r="BQH24" s="119"/>
      <c r="BQI24" s="119"/>
      <c r="BQJ24" s="119"/>
      <c r="BQK24" s="119"/>
      <c r="BQL24" s="119"/>
      <c r="BQM24" s="119"/>
      <c r="BQN24" s="119"/>
      <c r="BQO24" s="119"/>
      <c r="BQP24" s="119"/>
      <c r="BQQ24" s="119"/>
      <c r="BQR24" s="119"/>
      <c r="BQS24" s="119"/>
      <c r="BQT24" s="119"/>
      <c r="BQU24" s="119"/>
      <c r="BQV24" s="119"/>
      <c r="BQW24" s="119"/>
      <c r="BQX24" s="119"/>
      <c r="BQY24" s="119"/>
      <c r="BQZ24" s="119"/>
      <c r="BRA24" s="119"/>
      <c r="BRB24" s="119"/>
      <c r="BRC24" s="119"/>
      <c r="BRD24" s="119"/>
      <c r="BRE24" s="119"/>
      <c r="BRF24" s="119"/>
      <c r="BRG24" s="119"/>
      <c r="BRH24" s="119"/>
      <c r="BRI24" s="119"/>
      <c r="BRJ24" s="119"/>
      <c r="BRK24" s="119"/>
      <c r="BRL24" s="119"/>
      <c r="BRM24" s="119"/>
      <c r="BRN24" s="119"/>
      <c r="BRO24" s="119"/>
      <c r="BRP24" s="119"/>
      <c r="BRQ24" s="119"/>
      <c r="BRR24" s="119"/>
      <c r="BRS24" s="119"/>
      <c r="BRT24" s="119"/>
      <c r="BRU24" s="119"/>
      <c r="BRV24" s="119"/>
      <c r="BRW24" s="119"/>
      <c r="BRX24" s="119"/>
      <c r="BRY24" s="119"/>
      <c r="BRZ24" s="119"/>
      <c r="BSA24" s="119"/>
      <c r="BSB24" s="119"/>
      <c r="BSC24" s="119"/>
      <c r="BSD24" s="119"/>
      <c r="BSE24" s="119"/>
      <c r="BSF24" s="119"/>
      <c r="BSG24" s="119"/>
      <c r="BSH24" s="119"/>
      <c r="BSI24" s="119"/>
      <c r="BSJ24" s="119"/>
      <c r="BSK24" s="119"/>
      <c r="BSL24" s="119"/>
      <c r="BSM24" s="119"/>
      <c r="BSN24" s="119"/>
      <c r="BSO24" s="119"/>
      <c r="BSP24" s="119"/>
      <c r="BSQ24" s="119"/>
      <c r="BSR24" s="119"/>
      <c r="BSS24" s="119"/>
      <c r="BST24" s="119"/>
      <c r="BSU24" s="119"/>
      <c r="BSV24" s="119"/>
      <c r="BSW24" s="119"/>
      <c r="BSX24" s="119"/>
      <c r="BSY24" s="119"/>
      <c r="BSZ24" s="119"/>
      <c r="BTA24" s="119"/>
      <c r="BTB24" s="119"/>
      <c r="BTC24" s="119"/>
      <c r="BTD24" s="119"/>
      <c r="BTE24" s="119"/>
      <c r="BTF24" s="119"/>
      <c r="BTG24" s="119"/>
      <c r="BTH24" s="119"/>
      <c r="BTI24" s="119"/>
      <c r="BTJ24" s="119"/>
      <c r="BTK24" s="119"/>
      <c r="BTL24" s="119"/>
      <c r="BTM24" s="119"/>
      <c r="BTN24" s="119"/>
      <c r="BTO24" s="119"/>
      <c r="BTP24" s="119"/>
      <c r="BTQ24" s="119"/>
      <c r="BTR24" s="119"/>
      <c r="BTS24" s="119"/>
      <c r="BTT24" s="119"/>
      <c r="BTU24" s="119"/>
      <c r="BTV24" s="119"/>
      <c r="BTW24" s="119"/>
      <c r="BTX24" s="119"/>
      <c r="BTY24" s="119"/>
      <c r="BTZ24" s="119"/>
      <c r="BUA24" s="119"/>
      <c r="BUB24" s="119"/>
      <c r="BUC24" s="119"/>
      <c r="BUD24" s="119"/>
      <c r="BUE24" s="119"/>
      <c r="BUF24" s="119"/>
      <c r="BUG24" s="119"/>
      <c r="BUH24" s="119"/>
      <c r="BUI24" s="119"/>
      <c r="BUJ24" s="119"/>
      <c r="BUK24" s="119"/>
      <c r="BUL24" s="119"/>
      <c r="BUM24" s="119"/>
      <c r="BUN24" s="119"/>
      <c r="BUO24" s="119"/>
      <c r="BUP24" s="119"/>
      <c r="BUQ24" s="119"/>
      <c r="BUR24" s="119"/>
      <c r="BUS24" s="119"/>
      <c r="BUT24" s="119"/>
      <c r="BUU24" s="119"/>
      <c r="BUV24" s="119"/>
      <c r="BUW24" s="119"/>
      <c r="BUX24" s="119"/>
      <c r="BUY24" s="119"/>
      <c r="BUZ24" s="119"/>
      <c r="BVA24" s="119"/>
      <c r="BVB24" s="119"/>
      <c r="BVC24" s="119"/>
      <c r="BVD24" s="119"/>
      <c r="BVE24" s="119"/>
      <c r="BVF24" s="119"/>
      <c r="BVG24" s="119"/>
      <c r="BVH24" s="119"/>
      <c r="BVI24" s="119"/>
      <c r="BVJ24" s="119"/>
      <c r="BVK24" s="119"/>
      <c r="BVL24" s="119"/>
      <c r="BVM24" s="119"/>
      <c r="BVN24" s="119"/>
      <c r="BVO24" s="119"/>
      <c r="BVP24" s="119"/>
      <c r="BVQ24" s="119"/>
      <c r="BVR24" s="119"/>
      <c r="BVS24" s="119"/>
      <c r="BVT24" s="119"/>
      <c r="BVU24" s="119"/>
      <c r="BVV24" s="119"/>
      <c r="BVW24" s="119"/>
      <c r="BVX24" s="119"/>
      <c r="BVY24" s="119"/>
      <c r="BVZ24" s="119"/>
      <c r="BWA24" s="119"/>
      <c r="BWB24" s="119"/>
      <c r="BWC24" s="119"/>
      <c r="BWD24" s="119"/>
      <c r="BWE24" s="119"/>
      <c r="BWF24" s="119"/>
      <c r="BWG24" s="119"/>
      <c r="BWH24" s="119"/>
      <c r="BWI24" s="119"/>
      <c r="BWJ24" s="119"/>
      <c r="BWK24" s="119"/>
      <c r="BWL24" s="119"/>
      <c r="BWM24" s="119"/>
      <c r="BWN24" s="119"/>
      <c r="BWO24" s="119"/>
      <c r="BWP24" s="119"/>
      <c r="BWQ24" s="119"/>
      <c r="BWR24" s="119"/>
      <c r="BWS24" s="119"/>
      <c r="BWT24" s="119"/>
      <c r="BWU24" s="119"/>
      <c r="BWV24" s="119"/>
      <c r="BWW24" s="119"/>
      <c r="BWX24" s="119"/>
      <c r="BWY24" s="119"/>
      <c r="BWZ24" s="119"/>
      <c r="BXA24" s="119"/>
      <c r="BXB24" s="119"/>
      <c r="BXC24" s="119"/>
      <c r="BXD24" s="119"/>
      <c r="BXE24" s="119"/>
      <c r="BXF24" s="119"/>
      <c r="BXG24" s="119"/>
      <c r="BXH24" s="119"/>
      <c r="BXI24" s="119"/>
      <c r="BXJ24" s="119"/>
      <c r="BXK24" s="119"/>
      <c r="BXL24" s="119"/>
      <c r="BXM24" s="119"/>
      <c r="BXN24" s="119"/>
      <c r="BXO24" s="119"/>
      <c r="BXP24" s="119"/>
      <c r="BXQ24" s="119"/>
      <c r="BXR24" s="119"/>
      <c r="BXS24" s="119"/>
      <c r="BXT24" s="119"/>
      <c r="BXU24" s="119"/>
      <c r="BXV24" s="119"/>
      <c r="BXW24" s="119"/>
      <c r="BXX24" s="119"/>
      <c r="BXY24" s="119"/>
      <c r="BXZ24" s="119"/>
      <c r="BYA24" s="119"/>
      <c r="BYB24" s="119"/>
      <c r="BYC24" s="119"/>
      <c r="BYD24" s="119"/>
      <c r="BYE24" s="119"/>
      <c r="BYF24" s="119"/>
      <c r="BYG24" s="119"/>
      <c r="BYH24" s="119"/>
      <c r="BYI24" s="119"/>
      <c r="BYJ24" s="119"/>
      <c r="BYK24" s="119"/>
      <c r="BYL24" s="119"/>
      <c r="BYM24" s="119"/>
      <c r="BYN24" s="119"/>
      <c r="BYO24" s="119"/>
      <c r="BYP24" s="119"/>
      <c r="BYQ24" s="119"/>
      <c r="BYR24" s="119"/>
      <c r="BYS24" s="119"/>
      <c r="BYT24" s="119"/>
      <c r="BYU24" s="119"/>
      <c r="BYV24" s="119"/>
      <c r="BYW24" s="119"/>
      <c r="BYX24" s="119"/>
      <c r="BYY24" s="119"/>
      <c r="BYZ24" s="119"/>
      <c r="BZA24" s="119"/>
      <c r="BZB24" s="119"/>
      <c r="BZC24" s="119"/>
      <c r="BZD24" s="119"/>
      <c r="BZE24" s="119"/>
      <c r="BZF24" s="119"/>
      <c r="BZG24" s="119"/>
      <c r="BZH24" s="119"/>
      <c r="BZI24" s="119"/>
      <c r="BZJ24" s="119"/>
      <c r="BZK24" s="119"/>
      <c r="BZL24" s="119"/>
      <c r="BZM24" s="119"/>
      <c r="BZN24" s="119"/>
      <c r="BZO24" s="119"/>
      <c r="BZP24" s="119"/>
      <c r="BZQ24" s="119"/>
      <c r="BZR24" s="119"/>
      <c r="BZS24" s="119"/>
      <c r="BZT24" s="119"/>
      <c r="BZU24" s="119"/>
      <c r="BZV24" s="119"/>
      <c r="BZW24" s="119"/>
      <c r="BZX24" s="119"/>
      <c r="BZY24" s="119"/>
      <c r="BZZ24" s="119"/>
      <c r="CAA24" s="119"/>
      <c r="CAB24" s="119"/>
      <c r="CAC24" s="119"/>
      <c r="CAD24" s="119"/>
      <c r="CAE24" s="119"/>
      <c r="CAF24" s="119"/>
      <c r="CAG24" s="119"/>
      <c r="CAH24" s="119"/>
      <c r="CAI24" s="119"/>
      <c r="CAJ24" s="119"/>
      <c r="CAK24" s="119"/>
      <c r="CAL24" s="119"/>
      <c r="CAM24" s="119"/>
      <c r="CAN24" s="119"/>
      <c r="CAO24" s="119"/>
      <c r="CAP24" s="119"/>
      <c r="CAQ24" s="119"/>
      <c r="CAR24" s="119"/>
      <c r="CAS24" s="119"/>
      <c r="CAT24" s="119"/>
      <c r="CAU24" s="119"/>
      <c r="CAV24" s="119"/>
      <c r="CAW24" s="119"/>
      <c r="CAX24" s="119"/>
      <c r="CAY24" s="119"/>
      <c r="CAZ24" s="119"/>
      <c r="CBA24" s="119"/>
      <c r="CBB24" s="119"/>
      <c r="CBC24" s="119"/>
      <c r="CBD24" s="119"/>
      <c r="CBE24" s="119"/>
      <c r="CBF24" s="119"/>
      <c r="CBG24" s="119"/>
      <c r="CBH24" s="119"/>
      <c r="CBI24" s="119"/>
      <c r="CBJ24" s="119"/>
      <c r="CBK24" s="119"/>
      <c r="CBL24" s="119"/>
      <c r="CBM24" s="119"/>
      <c r="CBN24" s="119"/>
      <c r="CBO24" s="119"/>
      <c r="CBP24" s="119"/>
      <c r="CBQ24" s="119"/>
      <c r="CBR24" s="119"/>
      <c r="CBS24" s="119"/>
      <c r="CBT24" s="119"/>
      <c r="CBU24" s="119"/>
      <c r="CBV24" s="119"/>
      <c r="CBW24" s="119"/>
      <c r="CBX24" s="119"/>
      <c r="CBY24" s="119"/>
      <c r="CBZ24" s="119"/>
      <c r="CCA24" s="119"/>
      <c r="CCB24" s="119"/>
      <c r="CCC24" s="119"/>
      <c r="CCD24" s="119"/>
      <c r="CCE24" s="119"/>
      <c r="CCF24" s="119"/>
      <c r="CCG24" s="119"/>
      <c r="CCH24" s="119"/>
      <c r="CCI24" s="119"/>
      <c r="CCJ24" s="119"/>
      <c r="CCK24" s="119"/>
      <c r="CCL24" s="119"/>
      <c r="CCM24" s="119"/>
      <c r="CCN24" s="119"/>
      <c r="CCO24" s="119"/>
      <c r="CCP24" s="119"/>
      <c r="CCQ24" s="119"/>
      <c r="CCR24" s="119"/>
      <c r="CCS24" s="119"/>
      <c r="CCT24" s="119"/>
      <c r="CCU24" s="119"/>
      <c r="CCV24" s="119"/>
      <c r="CCW24" s="119"/>
      <c r="CCX24" s="119"/>
      <c r="CCY24" s="119"/>
      <c r="CCZ24" s="119"/>
      <c r="CDA24" s="119"/>
      <c r="CDB24" s="119"/>
      <c r="CDC24" s="119"/>
      <c r="CDD24" s="119"/>
      <c r="CDE24" s="119"/>
      <c r="CDF24" s="119"/>
      <c r="CDG24" s="119"/>
      <c r="CDH24" s="119"/>
      <c r="CDI24" s="119"/>
      <c r="CDJ24" s="119"/>
      <c r="CDK24" s="119"/>
      <c r="CDL24" s="119"/>
      <c r="CDM24" s="119"/>
      <c r="CDN24" s="119"/>
      <c r="CDO24" s="119"/>
      <c r="CDP24" s="119"/>
      <c r="CDQ24" s="119"/>
      <c r="CDR24" s="119"/>
      <c r="CDS24" s="119"/>
      <c r="CDT24" s="119"/>
      <c r="CDU24" s="119"/>
      <c r="CDV24" s="119"/>
      <c r="CDW24" s="119"/>
      <c r="CDX24" s="119"/>
      <c r="CDY24" s="119"/>
      <c r="CDZ24" s="119"/>
      <c r="CEA24" s="119"/>
      <c r="CEB24" s="119"/>
      <c r="CEC24" s="119"/>
      <c r="CED24" s="119"/>
      <c r="CEE24" s="119"/>
      <c r="CEF24" s="119"/>
      <c r="CEG24" s="119"/>
      <c r="CEH24" s="119"/>
      <c r="CEI24" s="119"/>
      <c r="CEJ24" s="119"/>
      <c r="CEK24" s="119"/>
      <c r="CEL24" s="119"/>
      <c r="CEM24" s="119"/>
      <c r="CEN24" s="119"/>
      <c r="CEO24" s="119"/>
      <c r="CEP24" s="119"/>
      <c r="CEQ24" s="119"/>
      <c r="CER24" s="119"/>
      <c r="CES24" s="119"/>
      <c r="CET24" s="119"/>
      <c r="CEU24" s="119"/>
      <c r="CEV24" s="119"/>
      <c r="CEW24" s="119"/>
      <c r="CEX24" s="119"/>
      <c r="CEY24" s="119"/>
      <c r="CEZ24" s="119"/>
      <c r="CFA24" s="119"/>
      <c r="CFB24" s="119"/>
      <c r="CFC24" s="119"/>
      <c r="CFD24" s="119"/>
      <c r="CFE24" s="119"/>
      <c r="CFF24" s="119"/>
      <c r="CFG24" s="119"/>
      <c r="CFH24" s="119"/>
      <c r="CFI24" s="119"/>
      <c r="CFJ24" s="119"/>
      <c r="CFK24" s="119"/>
      <c r="CFL24" s="119"/>
      <c r="CFM24" s="119"/>
      <c r="CFN24" s="119"/>
      <c r="CFO24" s="119"/>
      <c r="CFP24" s="119"/>
      <c r="CFQ24" s="119"/>
      <c r="CFR24" s="119"/>
      <c r="CFS24" s="119"/>
      <c r="CFT24" s="119"/>
      <c r="CFU24" s="119"/>
      <c r="CFV24" s="119"/>
      <c r="CFW24" s="119"/>
      <c r="CFX24" s="119"/>
      <c r="CFY24" s="119"/>
      <c r="CFZ24" s="119"/>
      <c r="CGA24" s="119"/>
      <c r="CGB24" s="119"/>
      <c r="CGC24" s="119"/>
      <c r="CGD24" s="119"/>
      <c r="CGE24" s="119"/>
      <c r="CGF24" s="119"/>
      <c r="CGG24" s="119"/>
      <c r="CGH24" s="119"/>
      <c r="CGI24" s="119"/>
      <c r="CGJ24" s="119"/>
      <c r="CGK24" s="119"/>
      <c r="CGL24" s="119"/>
      <c r="CGM24" s="119"/>
      <c r="CGN24" s="119"/>
      <c r="CGO24" s="119"/>
      <c r="CGP24" s="119"/>
      <c r="CGQ24" s="119"/>
      <c r="CGR24" s="119"/>
      <c r="CGS24" s="119"/>
      <c r="CGT24" s="119"/>
      <c r="CGU24" s="119"/>
      <c r="CGV24" s="119"/>
      <c r="CGW24" s="119"/>
      <c r="CGX24" s="119"/>
      <c r="CGY24" s="119"/>
      <c r="CGZ24" s="119"/>
      <c r="CHA24" s="119"/>
      <c r="CHB24" s="119"/>
      <c r="CHC24" s="119"/>
      <c r="CHD24" s="119"/>
      <c r="CHE24" s="119"/>
      <c r="CHF24" s="119"/>
      <c r="CHG24" s="119"/>
      <c r="CHH24" s="119"/>
      <c r="CHI24" s="119"/>
      <c r="CHJ24" s="119"/>
      <c r="CHK24" s="119"/>
      <c r="CHL24" s="119"/>
      <c r="CHM24" s="119"/>
      <c r="CHN24" s="119"/>
      <c r="CHO24" s="119"/>
      <c r="CHP24" s="119"/>
      <c r="CHQ24" s="119"/>
      <c r="CHR24" s="119"/>
      <c r="CHS24" s="119"/>
      <c r="CHT24" s="119"/>
      <c r="CHU24" s="119"/>
      <c r="CHV24" s="119"/>
      <c r="CHW24" s="119"/>
      <c r="CHX24" s="119"/>
      <c r="CHY24" s="119"/>
      <c r="CHZ24" s="119"/>
      <c r="CIA24" s="119"/>
      <c r="CIB24" s="119"/>
      <c r="CIC24" s="119"/>
      <c r="CID24" s="119"/>
      <c r="CIE24" s="119"/>
      <c r="CIF24" s="119"/>
      <c r="CIG24" s="119"/>
      <c r="CIH24" s="119"/>
      <c r="CII24" s="119"/>
      <c r="CIJ24" s="119"/>
      <c r="CIK24" s="119"/>
      <c r="CIL24" s="119"/>
      <c r="CIM24" s="119"/>
      <c r="CIN24" s="119"/>
      <c r="CIO24" s="119"/>
      <c r="CIP24" s="119"/>
      <c r="CIQ24" s="119"/>
      <c r="CIR24" s="119"/>
      <c r="CIS24" s="119"/>
      <c r="CIT24" s="119"/>
      <c r="CIU24" s="119"/>
      <c r="CIV24" s="119"/>
      <c r="CIW24" s="119"/>
      <c r="CIX24" s="119"/>
      <c r="CIY24" s="119"/>
      <c r="CIZ24" s="119"/>
      <c r="CJA24" s="119"/>
      <c r="CJB24" s="119"/>
      <c r="CJC24" s="119"/>
      <c r="CJD24" s="119"/>
      <c r="CJE24" s="119"/>
      <c r="CJF24" s="119"/>
      <c r="CJG24" s="119"/>
      <c r="CJH24" s="119"/>
      <c r="CJI24" s="119"/>
      <c r="CJJ24" s="119"/>
      <c r="CJK24" s="119"/>
      <c r="CJL24" s="119"/>
      <c r="CJM24" s="119"/>
      <c r="CJN24" s="119"/>
      <c r="CJO24" s="119"/>
      <c r="CJP24" s="119"/>
      <c r="CJQ24" s="119"/>
      <c r="CJR24" s="119"/>
      <c r="CJS24" s="119"/>
      <c r="CJT24" s="119"/>
      <c r="CJU24" s="119"/>
      <c r="CJV24" s="119"/>
      <c r="CJW24" s="119"/>
      <c r="CJX24" s="119"/>
      <c r="CJY24" s="119"/>
      <c r="CJZ24" s="119"/>
      <c r="CKA24" s="119"/>
      <c r="CKB24" s="119"/>
      <c r="CKC24" s="119"/>
      <c r="CKD24" s="119"/>
      <c r="CKE24" s="119"/>
      <c r="CKF24" s="119"/>
      <c r="CKG24" s="119"/>
      <c r="CKH24" s="119"/>
      <c r="CKI24" s="119"/>
      <c r="CKJ24" s="119"/>
      <c r="CKK24" s="119"/>
      <c r="CKL24" s="119"/>
      <c r="CKM24" s="119"/>
      <c r="CKN24" s="119"/>
      <c r="CKO24" s="119"/>
      <c r="CKP24" s="119"/>
      <c r="CKQ24" s="119"/>
      <c r="CKR24" s="119"/>
      <c r="CKS24" s="119"/>
      <c r="CKT24" s="119"/>
      <c r="CKU24" s="119"/>
      <c r="CKV24" s="119"/>
      <c r="CKW24" s="119"/>
      <c r="CKX24" s="119"/>
      <c r="CKY24" s="119"/>
      <c r="CKZ24" s="119"/>
      <c r="CLA24" s="119"/>
      <c r="CLB24" s="119"/>
      <c r="CLC24" s="119"/>
      <c r="CLD24" s="119"/>
      <c r="CLE24" s="119"/>
      <c r="CLF24" s="119"/>
      <c r="CLG24" s="119"/>
      <c r="CLH24" s="119"/>
      <c r="CLI24" s="119"/>
      <c r="CLJ24" s="119"/>
      <c r="CLK24" s="119"/>
      <c r="CLL24" s="119"/>
      <c r="CLM24" s="119"/>
      <c r="CLN24" s="119"/>
      <c r="CLO24" s="119"/>
      <c r="CLP24" s="119"/>
      <c r="CLQ24" s="119"/>
      <c r="CLR24" s="119"/>
      <c r="CLS24" s="119"/>
      <c r="CLT24" s="119"/>
      <c r="CLU24" s="119"/>
      <c r="CLV24" s="119"/>
      <c r="CLW24" s="119"/>
      <c r="CLX24" s="119"/>
      <c r="CLY24" s="119"/>
      <c r="CLZ24" s="119"/>
      <c r="CMA24" s="119"/>
      <c r="CMB24" s="119"/>
      <c r="CMC24" s="119"/>
      <c r="CMD24" s="119"/>
      <c r="CME24" s="119"/>
      <c r="CMF24" s="119"/>
      <c r="CMG24" s="119"/>
      <c r="CMH24" s="119"/>
      <c r="CMI24" s="119"/>
      <c r="CMJ24" s="119"/>
      <c r="CMK24" s="119"/>
      <c r="CML24" s="119"/>
      <c r="CMM24" s="119"/>
      <c r="CMN24" s="119"/>
      <c r="CMO24" s="119"/>
      <c r="CMP24" s="119"/>
      <c r="CMQ24" s="119"/>
      <c r="CMR24" s="119"/>
      <c r="CMS24" s="119"/>
      <c r="CMT24" s="119"/>
      <c r="CMU24" s="119"/>
      <c r="CMV24" s="119"/>
      <c r="CMW24" s="119"/>
      <c r="CMX24" s="119"/>
      <c r="CMY24" s="119"/>
      <c r="CMZ24" s="119"/>
      <c r="CNA24" s="119"/>
      <c r="CNB24" s="119"/>
      <c r="CNC24" s="119"/>
      <c r="CND24" s="119"/>
      <c r="CNE24" s="119"/>
      <c r="CNF24" s="119"/>
      <c r="CNG24" s="119"/>
      <c r="CNH24" s="119"/>
      <c r="CNI24" s="119"/>
      <c r="CNJ24" s="119"/>
      <c r="CNK24" s="119"/>
      <c r="CNL24" s="119"/>
      <c r="CNM24" s="119"/>
      <c r="CNN24" s="119"/>
      <c r="CNO24" s="119"/>
      <c r="CNP24" s="119"/>
      <c r="CNQ24" s="119"/>
      <c r="CNR24" s="119"/>
      <c r="CNS24" s="119"/>
      <c r="CNT24" s="119"/>
      <c r="CNU24" s="119"/>
      <c r="CNV24" s="119"/>
      <c r="CNW24" s="119"/>
      <c r="CNX24" s="119"/>
      <c r="CNY24" s="119"/>
      <c r="CNZ24" s="119"/>
      <c r="COA24" s="119"/>
      <c r="COB24" s="119"/>
      <c r="COC24" s="119"/>
      <c r="COD24" s="119"/>
      <c r="COE24" s="119"/>
      <c r="COF24" s="119"/>
      <c r="COG24" s="119"/>
      <c r="COH24" s="119"/>
      <c r="COI24" s="119"/>
      <c r="COJ24" s="119"/>
      <c r="COK24" s="119"/>
      <c r="COL24" s="119"/>
      <c r="COM24" s="119"/>
      <c r="CON24" s="119"/>
      <c r="COO24" s="119"/>
      <c r="COP24" s="119"/>
      <c r="COQ24" s="119"/>
      <c r="COR24" s="119"/>
      <c r="COS24" s="119"/>
      <c r="COT24" s="119"/>
      <c r="COU24" s="119"/>
      <c r="COV24" s="119"/>
      <c r="COW24" s="119"/>
      <c r="COX24" s="119"/>
      <c r="COY24" s="119"/>
      <c r="COZ24" s="119"/>
      <c r="CPA24" s="119"/>
      <c r="CPB24" s="119"/>
      <c r="CPC24" s="119"/>
      <c r="CPD24" s="119"/>
      <c r="CPE24" s="119"/>
      <c r="CPF24" s="119"/>
      <c r="CPG24" s="119"/>
      <c r="CPH24" s="119"/>
      <c r="CPI24" s="119"/>
      <c r="CPJ24" s="119"/>
      <c r="CPK24" s="119"/>
      <c r="CPL24" s="119"/>
      <c r="CPM24" s="119"/>
      <c r="CPN24" s="119"/>
      <c r="CPO24" s="119"/>
      <c r="CPP24" s="119"/>
      <c r="CPQ24" s="119"/>
      <c r="CPR24" s="119"/>
      <c r="CPS24" s="119"/>
      <c r="CPT24" s="119"/>
      <c r="CPU24" s="119"/>
      <c r="CPV24" s="119"/>
      <c r="CPW24" s="119"/>
      <c r="CPX24" s="119"/>
      <c r="CPY24" s="119"/>
      <c r="CPZ24" s="119"/>
      <c r="CQA24" s="119"/>
      <c r="CQB24" s="119"/>
      <c r="CQC24" s="119"/>
      <c r="CQD24" s="119"/>
      <c r="CQE24" s="119"/>
      <c r="CQF24" s="119"/>
      <c r="CQG24" s="119"/>
      <c r="CQH24" s="119"/>
      <c r="CQI24" s="119"/>
      <c r="CQJ24" s="119"/>
      <c r="CQK24" s="119"/>
      <c r="CQL24" s="119"/>
      <c r="CQM24" s="119"/>
      <c r="CQN24" s="119"/>
      <c r="CQO24" s="119"/>
      <c r="CQP24" s="119"/>
      <c r="CQQ24" s="119"/>
      <c r="CQR24" s="119"/>
      <c r="CQS24" s="119"/>
      <c r="CQT24" s="119"/>
      <c r="CQU24" s="119"/>
      <c r="CQV24" s="119"/>
      <c r="CQW24" s="119"/>
      <c r="CQX24" s="119"/>
      <c r="CQY24" s="119"/>
      <c r="CQZ24" s="119"/>
      <c r="CRA24" s="119"/>
      <c r="CRB24" s="119"/>
      <c r="CRC24" s="119"/>
      <c r="CRD24" s="119"/>
      <c r="CRE24" s="119"/>
      <c r="CRF24" s="119"/>
      <c r="CRG24" s="119"/>
      <c r="CRH24" s="119"/>
      <c r="CRI24" s="119"/>
      <c r="CRJ24" s="119"/>
      <c r="CRK24" s="119"/>
      <c r="CRL24" s="119"/>
      <c r="CRM24" s="119"/>
      <c r="CRN24" s="119"/>
      <c r="CRO24" s="119"/>
      <c r="CRP24" s="119"/>
      <c r="CRQ24" s="119"/>
      <c r="CRR24" s="119"/>
      <c r="CRS24" s="119"/>
      <c r="CRT24" s="119"/>
      <c r="CRU24" s="119"/>
      <c r="CRV24" s="119"/>
      <c r="CRW24" s="119"/>
      <c r="CRX24" s="119"/>
      <c r="CRY24" s="119"/>
      <c r="CRZ24" s="119"/>
      <c r="CSA24" s="119"/>
      <c r="CSB24" s="119"/>
      <c r="CSC24" s="119"/>
      <c r="CSD24" s="119"/>
      <c r="CSE24" s="119"/>
      <c r="CSF24" s="119"/>
      <c r="CSG24" s="119"/>
      <c r="CSH24" s="119"/>
      <c r="CSI24" s="119"/>
      <c r="CSJ24" s="119"/>
      <c r="CSK24" s="119"/>
      <c r="CSL24" s="119"/>
      <c r="CSM24" s="119"/>
      <c r="CSN24" s="119"/>
      <c r="CSO24" s="119"/>
      <c r="CSP24" s="119"/>
      <c r="CSQ24" s="119"/>
      <c r="CSR24" s="119"/>
      <c r="CSS24" s="119"/>
      <c r="CST24" s="119"/>
      <c r="CSU24" s="119"/>
      <c r="CSV24" s="119"/>
      <c r="CSW24" s="119"/>
      <c r="CSX24" s="119"/>
      <c r="CSY24" s="119"/>
      <c r="CSZ24" s="119"/>
      <c r="CTA24" s="119"/>
      <c r="CTB24" s="119"/>
      <c r="CTC24" s="119"/>
      <c r="CTD24" s="119"/>
      <c r="CTE24" s="119"/>
      <c r="CTF24" s="119"/>
      <c r="CTG24" s="119"/>
      <c r="CTH24" s="119"/>
      <c r="CTI24" s="119"/>
      <c r="CTJ24" s="119"/>
      <c r="CTK24" s="119"/>
      <c r="CTL24" s="119"/>
      <c r="CTM24" s="119"/>
      <c r="CTN24" s="119"/>
      <c r="CTO24" s="119"/>
      <c r="CTP24" s="119"/>
      <c r="CTQ24" s="119"/>
      <c r="CTR24" s="119"/>
      <c r="CTS24" s="119"/>
      <c r="CTT24" s="119"/>
      <c r="CTU24" s="119"/>
      <c r="CTV24" s="119"/>
      <c r="CTW24" s="119"/>
      <c r="CTX24" s="119"/>
      <c r="CTY24" s="119"/>
      <c r="CTZ24" s="119"/>
      <c r="CUA24" s="119"/>
      <c r="CUB24" s="119"/>
      <c r="CUC24" s="119"/>
      <c r="CUD24" s="119"/>
      <c r="CUE24" s="119"/>
      <c r="CUF24" s="119"/>
      <c r="CUG24" s="119"/>
      <c r="CUH24" s="119"/>
      <c r="CUI24" s="119"/>
      <c r="CUJ24" s="119"/>
      <c r="CUK24" s="119"/>
      <c r="CUL24" s="119"/>
      <c r="CUM24" s="119"/>
      <c r="CUN24" s="119"/>
      <c r="CUO24" s="119"/>
      <c r="CUP24" s="119"/>
      <c r="CUQ24" s="119"/>
      <c r="CUR24" s="119"/>
      <c r="CUS24" s="119"/>
      <c r="CUT24" s="119"/>
      <c r="CUU24" s="119"/>
      <c r="CUV24" s="119"/>
      <c r="CUW24" s="119"/>
      <c r="CUX24" s="119"/>
      <c r="CUY24" s="119"/>
      <c r="CUZ24" s="119"/>
      <c r="CVA24" s="119"/>
      <c r="CVB24" s="119"/>
      <c r="CVC24" s="119"/>
      <c r="CVD24" s="119"/>
      <c r="CVE24" s="119"/>
      <c r="CVF24" s="119"/>
      <c r="CVG24" s="119"/>
      <c r="CVH24" s="119"/>
      <c r="CVI24" s="119"/>
      <c r="CVJ24" s="119"/>
      <c r="CVK24" s="119"/>
      <c r="CVL24" s="119"/>
      <c r="CVM24" s="119"/>
      <c r="CVN24" s="119"/>
      <c r="CVO24" s="119"/>
      <c r="CVP24" s="119"/>
      <c r="CVQ24" s="119"/>
      <c r="CVR24" s="119"/>
      <c r="CVS24" s="119"/>
      <c r="CVT24" s="119"/>
      <c r="CVU24" s="119"/>
      <c r="CVV24" s="119"/>
      <c r="CVW24" s="119"/>
      <c r="CVX24" s="119"/>
      <c r="CVY24" s="119"/>
      <c r="CVZ24" s="119"/>
      <c r="CWA24" s="119"/>
      <c r="CWB24" s="119"/>
      <c r="CWC24" s="119"/>
      <c r="CWD24" s="119"/>
      <c r="CWE24" s="119"/>
      <c r="CWF24" s="119"/>
      <c r="CWG24" s="119"/>
      <c r="CWH24" s="119"/>
      <c r="CWI24" s="119"/>
      <c r="CWJ24" s="119"/>
      <c r="CWK24" s="119"/>
      <c r="CWL24" s="119"/>
      <c r="CWM24" s="119"/>
      <c r="CWN24" s="119"/>
      <c r="CWO24" s="119"/>
      <c r="CWP24" s="119"/>
      <c r="CWQ24" s="119"/>
      <c r="CWR24" s="119"/>
      <c r="CWS24" s="119"/>
      <c r="CWT24" s="119"/>
      <c r="CWU24" s="119"/>
      <c r="CWV24" s="119"/>
      <c r="CWW24" s="119"/>
      <c r="CWX24" s="119"/>
      <c r="CWY24" s="119"/>
      <c r="CWZ24" s="119"/>
      <c r="CXA24" s="119"/>
      <c r="CXB24" s="119"/>
      <c r="CXC24" s="119"/>
      <c r="CXD24" s="119"/>
      <c r="CXE24" s="119"/>
      <c r="CXF24" s="119"/>
      <c r="CXG24" s="119"/>
      <c r="CXH24" s="119"/>
      <c r="CXI24" s="119"/>
      <c r="CXJ24" s="119"/>
      <c r="CXK24" s="119"/>
      <c r="CXL24" s="119"/>
      <c r="CXM24" s="119"/>
      <c r="CXN24" s="119"/>
      <c r="CXO24" s="119"/>
      <c r="CXP24" s="119"/>
      <c r="CXQ24" s="119"/>
      <c r="CXR24" s="119"/>
      <c r="CXS24" s="119"/>
      <c r="CXT24" s="119"/>
      <c r="CXU24" s="119"/>
      <c r="CXV24" s="119"/>
      <c r="CXW24" s="119"/>
      <c r="CXX24" s="119"/>
      <c r="CXY24" s="119"/>
      <c r="CXZ24" s="119"/>
      <c r="CYA24" s="119"/>
      <c r="CYB24" s="119"/>
      <c r="CYC24" s="119"/>
      <c r="CYD24" s="119"/>
      <c r="CYE24" s="119"/>
      <c r="CYF24" s="119"/>
      <c r="CYG24" s="119"/>
      <c r="CYH24" s="119"/>
      <c r="CYI24" s="119"/>
      <c r="CYJ24" s="119"/>
      <c r="CYK24" s="119"/>
      <c r="CYL24" s="119"/>
      <c r="CYM24" s="119"/>
      <c r="CYN24" s="119"/>
      <c r="CYO24" s="119"/>
      <c r="CYP24" s="119"/>
      <c r="CYQ24" s="119"/>
      <c r="CYR24" s="119"/>
      <c r="CYS24" s="119"/>
      <c r="CYT24" s="119"/>
      <c r="CYU24" s="119"/>
      <c r="CYV24" s="119"/>
      <c r="CYW24" s="119"/>
      <c r="CYX24" s="119"/>
      <c r="CYY24" s="119"/>
      <c r="CYZ24" s="119"/>
      <c r="CZA24" s="119"/>
      <c r="CZB24" s="119"/>
      <c r="CZC24" s="119"/>
      <c r="CZD24" s="119"/>
      <c r="CZE24" s="119"/>
      <c r="CZF24" s="119"/>
      <c r="CZG24" s="119"/>
      <c r="CZH24" s="119"/>
      <c r="CZI24" s="119"/>
      <c r="CZJ24" s="119"/>
      <c r="CZK24" s="119"/>
      <c r="CZL24" s="119"/>
      <c r="CZM24" s="119"/>
      <c r="CZN24" s="119"/>
      <c r="CZO24" s="119"/>
      <c r="CZP24" s="119"/>
      <c r="CZQ24" s="119"/>
      <c r="CZR24" s="119"/>
      <c r="CZS24" s="119"/>
      <c r="CZT24" s="119"/>
      <c r="CZU24" s="119"/>
      <c r="CZV24" s="119"/>
      <c r="CZW24" s="119"/>
      <c r="CZX24" s="119"/>
      <c r="CZY24" s="119"/>
      <c r="CZZ24" s="119"/>
      <c r="DAA24" s="119"/>
      <c r="DAB24" s="119"/>
      <c r="DAC24" s="119"/>
      <c r="DAD24" s="119"/>
      <c r="DAE24" s="119"/>
      <c r="DAF24" s="119"/>
      <c r="DAG24" s="119"/>
      <c r="DAH24" s="119"/>
      <c r="DAI24" s="119"/>
      <c r="DAJ24" s="119"/>
      <c r="DAK24" s="119"/>
      <c r="DAL24" s="119"/>
      <c r="DAM24" s="119"/>
      <c r="DAN24" s="119"/>
      <c r="DAO24" s="119"/>
      <c r="DAP24" s="119"/>
      <c r="DAQ24" s="119"/>
      <c r="DAR24" s="119"/>
      <c r="DAS24" s="119"/>
      <c r="DAT24" s="119"/>
      <c r="DAU24" s="119"/>
      <c r="DAV24" s="119"/>
      <c r="DAW24" s="119"/>
      <c r="DAX24" s="119"/>
      <c r="DAY24" s="119"/>
      <c r="DAZ24" s="119"/>
      <c r="DBA24" s="119"/>
      <c r="DBB24" s="119"/>
      <c r="DBC24" s="119"/>
      <c r="DBD24" s="119"/>
      <c r="DBE24" s="119"/>
      <c r="DBF24" s="119"/>
      <c r="DBG24" s="119"/>
      <c r="DBH24" s="119"/>
      <c r="DBI24" s="119"/>
      <c r="DBJ24" s="119"/>
      <c r="DBK24" s="119"/>
      <c r="DBL24" s="119"/>
      <c r="DBM24" s="119"/>
      <c r="DBN24" s="119"/>
      <c r="DBO24" s="119"/>
      <c r="DBP24" s="119"/>
      <c r="DBQ24" s="119"/>
      <c r="DBR24" s="119"/>
      <c r="DBS24" s="119"/>
      <c r="DBT24" s="119"/>
      <c r="DBU24" s="119"/>
      <c r="DBV24" s="119"/>
      <c r="DBW24" s="119"/>
      <c r="DBX24" s="119"/>
      <c r="DBY24" s="119"/>
      <c r="DBZ24" s="119"/>
      <c r="DCA24" s="119"/>
      <c r="DCB24" s="119"/>
      <c r="DCC24" s="119"/>
      <c r="DCD24" s="119"/>
      <c r="DCE24" s="119"/>
      <c r="DCF24" s="119"/>
      <c r="DCG24" s="119"/>
      <c r="DCH24" s="119"/>
      <c r="DCI24" s="119"/>
      <c r="DCJ24" s="119"/>
      <c r="DCK24" s="119"/>
      <c r="DCL24" s="119"/>
      <c r="DCM24" s="119"/>
      <c r="DCN24" s="119"/>
      <c r="DCO24" s="119"/>
      <c r="DCP24" s="119"/>
      <c r="DCQ24" s="119"/>
      <c r="DCR24" s="119"/>
      <c r="DCS24" s="119"/>
      <c r="DCT24" s="119"/>
      <c r="DCU24" s="119"/>
      <c r="DCV24" s="119"/>
      <c r="DCW24" s="119"/>
      <c r="DCX24" s="119"/>
      <c r="DCY24" s="119"/>
      <c r="DCZ24" s="119"/>
      <c r="DDA24" s="119"/>
      <c r="DDB24" s="119"/>
      <c r="DDC24" s="119"/>
      <c r="DDD24" s="119"/>
      <c r="DDE24" s="119"/>
      <c r="DDF24" s="119"/>
      <c r="DDG24" s="119"/>
      <c r="DDH24" s="119"/>
      <c r="DDI24" s="119"/>
      <c r="DDJ24" s="119"/>
      <c r="DDK24" s="119"/>
      <c r="DDL24" s="119"/>
      <c r="DDM24" s="119"/>
      <c r="DDN24" s="119"/>
      <c r="DDO24" s="119"/>
      <c r="DDP24" s="119"/>
      <c r="DDQ24" s="119"/>
      <c r="DDR24" s="119"/>
      <c r="DDS24" s="119"/>
      <c r="DDT24" s="119"/>
      <c r="DDU24" s="119"/>
      <c r="DDV24" s="119"/>
      <c r="DDW24" s="119"/>
      <c r="DDX24" s="119"/>
      <c r="DDY24" s="119"/>
      <c r="DDZ24" s="119"/>
      <c r="DEA24" s="119"/>
      <c r="DEB24" s="119"/>
      <c r="DEC24" s="119"/>
      <c r="DED24" s="119"/>
      <c r="DEE24" s="119"/>
      <c r="DEF24" s="119"/>
      <c r="DEG24" s="119"/>
      <c r="DEH24" s="119"/>
      <c r="DEI24" s="119"/>
      <c r="DEJ24" s="119"/>
      <c r="DEK24" s="119"/>
      <c r="DEL24" s="119"/>
      <c r="DEM24" s="119"/>
      <c r="DEN24" s="119"/>
      <c r="DEO24" s="119"/>
      <c r="DEP24" s="119"/>
      <c r="DEQ24" s="119"/>
      <c r="DER24" s="119"/>
      <c r="DES24" s="119"/>
      <c r="DET24" s="119"/>
      <c r="DEU24" s="119"/>
      <c r="DEV24" s="119"/>
      <c r="DEW24" s="119"/>
      <c r="DEX24" s="119"/>
      <c r="DEY24" s="119"/>
      <c r="DEZ24" s="119"/>
      <c r="DFA24" s="119"/>
      <c r="DFB24" s="119"/>
      <c r="DFC24" s="119"/>
      <c r="DFD24" s="119"/>
      <c r="DFE24" s="119"/>
      <c r="DFF24" s="119"/>
      <c r="DFG24" s="119"/>
      <c r="DFH24" s="119"/>
      <c r="DFI24" s="119"/>
      <c r="DFJ24" s="119"/>
      <c r="DFK24" s="119"/>
      <c r="DFL24" s="119"/>
      <c r="DFM24" s="119"/>
      <c r="DFN24" s="119"/>
      <c r="DFO24" s="119"/>
      <c r="DFP24" s="119"/>
      <c r="DFQ24" s="119"/>
      <c r="DFR24" s="119"/>
      <c r="DFS24" s="119"/>
      <c r="DFT24" s="119"/>
      <c r="DFU24" s="119"/>
      <c r="DFV24" s="119"/>
      <c r="DFW24" s="119"/>
      <c r="DFX24" s="119"/>
      <c r="DFY24" s="119"/>
      <c r="DFZ24" s="119"/>
      <c r="DGA24" s="119"/>
      <c r="DGB24" s="119"/>
      <c r="DGC24" s="119"/>
      <c r="DGD24" s="119"/>
      <c r="DGE24" s="119"/>
      <c r="DGF24" s="119"/>
      <c r="DGG24" s="119"/>
      <c r="DGH24" s="119"/>
      <c r="DGI24" s="119"/>
      <c r="DGJ24" s="119"/>
      <c r="DGK24" s="119"/>
      <c r="DGL24" s="119"/>
      <c r="DGM24" s="119"/>
      <c r="DGN24" s="119"/>
      <c r="DGO24" s="119"/>
      <c r="DGP24" s="119"/>
      <c r="DGQ24" s="119"/>
      <c r="DGR24" s="119"/>
      <c r="DGS24" s="119"/>
      <c r="DGT24" s="119"/>
      <c r="DGU24" s="119"/>
      <c r="DGV24" s="119"/>
      <c r="DGW24" s="119"/>
      <c r="DGX24" s="119"/>
      <c r="DGY24" s="119"/>
      <c r="DGZ24" s="119"/>
      <c r="DHA24" s="119"/>
      <c r="DHB24" s="119"/>
      <c r="DHC24" s="119"/>
      <c r="DHD24" s="119"/>
      <c r="DHE24" s="119"/>
      <c r="DHF24" s="119"/>
      <c r="DHG24" s="119"/>
      <c r="DHH24" s="119"/>
      <c r="DHI24" s="119"/>
      <c r="DHJ24" s="119"/>
      <c r="DHK24" s="119"/>
      <c r="DHL24" s="119"/>
      <c r="DHM24" s="119"/>
      <c r="DHN24" s="119"/>
      <c r="DHO24" s="119"/>
      <c r="DHP24" s="119"/>
      <c r="DHQ24" s="119"/>
      <c r="DHR24" s="119"/>
      <c r="DHS24" s="119"/>
      <c r="DHT24" s="119"/>
      <c r="DHU24" s="119"/>
      <c r="DHV24" s="119"/>
      <c r="DHW24" s="119"/>
      <c r="DHX24" s="119"/>
      <c r="DHY24" s="119"/>
      <c r="DHZ24" s="119"/>
      <c r="DIA24" s="119"/>
      <c r="DIB24" s="119"/>
      <c r="DIC24" s="119"/>
      <c r="DID24" s="119"/>
      <c r="DIE24" s="119"/>
      <c r="DIF24" s="119"/>
      <c r="DIG24" s="119"/>
      <c r="DIH24" s="119"/>
      <c r="DII24" s="119"/>
      <c r="DIJ24" s="119"/>
      <c r="DIK24" s="119"/>
      <c r="DIL24" s="119"/>
      <c r="DIM24" s="119"/>
      <c r="DIN24" s="119"/>
      <c r="DIO24" s="119"/>
      <c r="DIP24" s="119"/>
      <c r="DIQ24" s="119"/>
      <c r="DIR24" s="119"/>
      <c r="DIS24" s="119"/>
      <c r="DIT24" s="119"/>
      <c r="DIU24" s="119"/>
      <c r="DIV24" s="119"/>
      <c r="DIW24" s="119"/>
      <c r="DIX24" s="119"/>
      <c r="DIY24" s="119"/>
      <c r="DIZ24" s="119"/>
      <c r="DJA24" s="119"/>
      <c r="DJB24" s="119"/>
      <c r="DJC24" s="119"/>
      <c r="DJD24" s="119"/>
      <c r="DJE24" s="119"/>
      <c r="DJF24" s="119"/>
      <c r="DJG24" s="119"/>
      <c r="DJH24" s="119"/>
      <c r="DJI24" s="119"/>
      <c r="DJJ24" s="119"/>
      <c r="DJK24" s="119"/>
      <c r="DJL24" s="119"/>
      <c r="DJM24" s="119"/>
      <c r="DJN24" s="119"/>
      <c r="DJO24" s="119"/>
      <c r="DJP24" s="119"/>
      <c r="DJQ24" s="119"/>
      <c r="DJR24" s="119"/>
      <c r="DJS24" s="119"/>
      <c r="DJT24" s="119"/>
      <c r="DJU24" s="119"/>
      <c r="DJV24" s="119"/>
      <c r="DJW24" s="119"/>
      <c r="DJX24" s="119"/>
      <c r="DJY24" s="119"/>
      <c r="DJZ24" s="119"/>
      <c r="DKA24" s="119"/>
      <c r="DKB24" s="119"/>
      <c r="DKC24" s="119"/>
      <c r="DKD24" s="119"/>
      <c r="DKE24" s="119"/>
      <c r="DKF24" s="119"/>
      <c r="DKG24" s="119"/>
      <c r="DKH24" s="119"/>
      <c r="DKI24" s="119"/>
      <c r="DKJ24" s="119"/>
      <c r="DKK24" s="119"/>
      <c r="DKL24" s="119"/>
      <c r="DKM24" s="119"/>
      <c r="DKN24" s="119"/>
      <c r="DKO24" s="119"/>
      <c r="DKP24" s="119"/>
      <c r="DKQ24" s="119"/>
      <c r="DKR24" s="119"/>
      <c r="DKS24" s="119"/>
      <c r="DKT24" s="119"/>
      <c r="DKU24" s="119"/>
      <c r="DKV24" s="119"/>
      <c r="DKW24" s="119"/>
      <c r="DKX24" s="119"/>
      <c r="DKY24" s="119"/>
      <c r="DKZ24" s="119"/>
      <c r="DLA24" s="119"/>
      <c r="DLB24" s="119"/>
      <c r="DLC24" s="119"/>
      <c r="DLD24" s="119"/>
      <c r="DLE24" s="119"/>
      <c r="DLF24" s="119"/>
      <c r="DLG24" s="119"/>
      <c r="DLH24" s="119"/>
      <c r="DLI24" s="119"/>
      <c r="DLJ24" s="119"/>
      <c r="DLK24" s="119"/>
      <c r="DLL24" s="119"/>
      <c r="DLM24" s="119"/>
      <c r="DLN24" s="119"/>
      <c r="DLO24" s="119"/>
      <c r="DLP24" s="119"/>
      <c r="DLQ24" s="119"/>
      <c r="DLR24" s="119"/>
      <c r="DLS24" s="119"/>
      <c r="DLT24" s="119"/>
      <c r="DLU24" s="119"/>
      <c r="DLV24" s="119"/>
      <c r="DLW24" s="119"/>
      <c r="DLX24" s="119"/>
      <c r="DLY24" s="119"/>
      <c r="DLZ24" s="119"/>
      <c r="DMA24" s="119"/>
      <c r="DMB24" s="119"/>
      <c r="DMC24" s="119"/>
      <c r="DMD24" s="119"/>
      <c r="DME24" s="119"/>
      <c r="DMF24" s="119"/>
      <c r="DMG24" s="119"/>
      <c r="DMH24" s="119"/>
      <c r="DMI24" s="119"/>
      <c r="DMJ24" s="119"/>
      <c r="DMK24" s="119"/>
      <c r="DML24" s="119"/>
      <c r="DMM24" s="119"/>
      <c r="DMN24" s="119"/>
      <c r="DMO24" s="119"/>
      <c r="DMP24" s="119"/>
      <c r="DMQ24" s="119"/>
      <c r="DMR24" s="119"/>
      <c r="DMS24" s="119"/>
      <c r="DMT24" s="119"/>
      <c r="DMU24" s="119"/>
      <c r="DMV24" s="119"/>
      <c r="DMW24" s="119"/>
      <c r="DMX24" s="119"/>
      <c r="DMY24" s="119"/>
      <c r="DMZ24" s="119"/>
      <c r="DNA24" s="119"/>
      <c r="DNB24" s="119"/>
      <c r="DNC24" s="119"/>
      <c r="DND24" s="119"/>
      <c r="DNE24" s="119"/>
      <c r="DNF24" s="119"/>
      <c r="DNG24" s="119"/>
      <c r="DNH24" s="119"/>
      <c r="DNI24" s="119"/>
      <c r="DNJ24" s="119"/>
      <c r="DNK24" s="119"/>
      <c r="DNL24" s="119"/>
      <c r="DNM24" s="119"/>
      <c r="DNN24" s="119"/>
      <c r="DNO24" s="119"/>
      <c r="DNP24" s="119"/>
      <c r="DNQ24" s="119"/>
      <c r="DNR24" s="119"/>
      <c r="DNS24" s="119"/>
      <c r="DNT24" s="119"/>
      <c r="DNU24" s="119"/>
      <c r="DNV24" s="119"/>
      <c r="DNW24" s="119"/>
      <c r="DNX24" s="119"/>
      <c r="DNY24" s="119"/>
      <c r="DNZ24" s="119"/>
      <c r="DOA24" s="119"/>
      <c r="DOB24" s="119"/>
      <c r="DOC24" s="119"/>
      <c r="DOD24" s="119"/>
      <c r="DOE24" s="119"/>
      <c r="DOF24" s="119"/>
      <c r="DOG24" s="119"/>
      <c r="DOH24" s="119"/>
      <c r="DOI24" s="119"/>
      <c r="DOJ24" s="119"/>
      <c r="DOK24" s="119"/>
      <c r="DOL24" s="119"/>
      <c r="DOM24" s="119"/>
      <c r="DON24" s="119"/>
      <c r="DOO24" s="119"/>
      <c r="DOP24" s="119"/>
      <c r="DOQ24" s="119"/>
      <c r="DOR24" s="119"/>
      <c r="DOS24" s="119"/>
      <c r="DOT24" s="119"/>
      <c r="DOU24" s="119"/>
      <c r="DOV24" s="119"/>
      <c r="DOW24" s="119"/>
      <c r="DOX24" s="119"/>
      <c r="DOY24" s="119"/>
      <c r="DOZ24" s="119"/>
      <c r="DPA24" s="119"/>
      <c r="DPB24" s="119"/>
      <c r="DPC24" s="119"/>
      <c r="DPD24" s="119"/>
      <c r="DPE24" s="119"/>
      <c r="DPF24" s="119"/>
      <c r="DPG24" s="119"/>
      <c r="DPH24" s="119"/>
      <c r="DPI24" s="119"/>
      <c r="DPJ24" s="119"/>
      <c r="DPK24" s="119"/>
      <c r="DPL24" s="119"/>
      <c r="DPM24" s="119"/>
      <c r="DPN24" s="119"/>
      <c r="DPO24" s="119"/>
      <c r="DPP24" s="119"/>
      <c r="DPQ24" s="119"/>
      <c r="DPR24" s="119"/>
      <c r="DPS24" s="119"/>
      <c r="DPT24" s="119"/>
      <c r="DPU24" s="119"/>
      <c r="DPV24" s="119"/>
      <c r="DPW24" s="119"/>
      <c r="DPX24" s="119"/>
      <c r="DPY24" s="119"/>
      <c r="DPZ24" s="119"/>
      <c r="DQA24" s="119"/>
      <c r="DQB24" s="119"/>
      <c r="DQC24" s="119"/>
      <c r="DQD24" s="119"/>
      <c r="DQE24" s="119"/>
      <c r="DQF24" s="119"/>
      <c r="DQG24" s="119"/>
      <c r="DQH24" s="119"/>
      <c r="DQI24" s="119"/>
      <c r="DQJ24" s="119"/>
      <c r="DQK24" s="119"/>
      <c r="DQL24" s="119"/>
      <c r="DQM24" s="119"/>
      <c r="DQN24" s="119"/>
      <c r="DQO24" s="119"/>
      <c r="DQP24" s="119"/>
      <c r="DQQ24" s="119"/>
      <c r="DQR24" s="119"/>
      <c r="DQS24" s="119"/>
      <c r="DQT24" s="119"/>
      <c r="DQU24" s="119"/>
      <c r="DQV24" s="119"/>
      <c r="DQW24" s="119"/>
      <c r="DQX24" s="119"/>
      <c r="DQY24" s="119"/>
      <c r="DQZ24" s="119"/>
      <c r="DRA24" s="119"/>
      <c r="DRB24" s="119"/>
      <c r="DRC24" s="119"/>
      <c r="DRD24" s="119"/>
      <c r="DRE24" s="119"/>
      <c r="DRF24" s="119"/>
      <c r="DRG24" s="119"/>
      <c r="DRH24" s="119"/>
      <c r="DRI24" s="119"/>
      <c r="DRJ24" s="119"/>
      <c r="DRK24" s="119"/>
      <c r="DRL24" s="119"/>
      <c r="DRM24" s="119"/>
      <c r="DRN24" s="119"/>
      <c r="DRO24" s="119"/>
      <c r="DRP24" s="119"/>
      <c r="DRQ24" s="119"/>
      <c r="DRR24" s="119"/>
      <c r="DRS24" s="119"/>
      <c r="DRT24" s="119"/>
      <c r="DRU24" s="119"/>
      <c r="DRV24" s="119"/>
      <c r="DRW24" s="119"/>
      <c r="DRX24" s="119"/>
      <c r="DRY24" s="119"/>
      <c r="DRZ24" s="119"/>
      <c r="DSA24" s="119"/>
      <c r="DSB24" s="119"/>
      <c r="DSC24" s="119"/>
      <c r="DSD24" s="119"/>
      <c r="DSE24" s="119"/>
      <c r="DSF24" s="119"/>
      <c r="DSG24" s="119"/>
      <c r="DSH24" s="119"/>
      <c r="DSI24" s="119"/>
      <c r="DSJ24" s="119"/>
      <c r="DSK24" s="119"/>
      <c r="DSL24" s="119"/>
      <c r="DSM24" s="119"/>
      <c r="DSN24" s="119"/>
      <c r="DSO24" s="119"/>
      <c r="DSP24" s="119"/>
      <c r="DSQ24" s="119"/>
      <c r="DSR24" s="119"/>
      <c r="DSS24" s="119"/>
      <c r="DST24" s="119"/>
      <c r="DSU24" s="119"/>
      <c r="DSV24" s="119"/>
      <c r="DSW24" s="119"/>
      <c r="DSX24" s="119"/>
      <c r="DSY24" s="119"/>
      <c r="DSZ24" s="119"/>
      <c r="DTA24" s="119"/>
      <c r="DTB24" s="119"/>
      <c r="DTC24" s="119"/>
      <c r="DTD24" s="119"/>
      <c r="DTE24" s="119"/>
      <c r="DTF24" s="119"/>
      <c r="DTG24" s="119"/>
      <c r="DTH24" s="119"/>
      <c r="DTI24" s="119"/>
      <c r="DTJ24" s="119"/>
      <c r="DTK24" s="119"/>
      <c r="DTL24" s="119"/>
      <c r="DTM24" s="119"/>
      <c r="DTN24" s="119"/>
      <c r="DTO24" s="119"/>
      <c r="DTP24" s="119"/>
      <c r="DTQ24" s="119"/>
      <c r="DTR24" s="119"/>
      <c r="DTS24" s="119"/>
      <c r="DTT24" s="119"/>
      <c r="DTU24" s="119"/>
      <c r="DTV24" s="119"/>
      <c r="DTW24" s="119"/>
      <c r="DTX24" s="119"/>
      <c r="DTY24" s="119"/>
      <c r="DTZ24" s="119"/>
      <c r="DUA24" s="119"/>
      <c r="DUB24" s="119"/>
      <c r="DUC24" s="119"/>
      <c r="DUD24" s="119"/>
      <c r="DUE24" s="119"/>
      <c r="DUF24" s="119"/>
      <c r="DUG24" s="119"/>
      <c r="DUH24" s="119"/>
      <c r="DUI24" s="119"/>
      <c r="DUJ24" s="119"/>
      <c r="DUK24" s="119"/>
      <c r="DUL24" s="119"/>
      <c r="DUM24" s="119"/>
      <c r="DUN24" s="119"/>
      <c r="DUO24" s="119"/>
      <c r="DUP24" s="119"/>
      <c r="DUQ24" s="119"/>
      <c r="DUR24" s="119"/>
      <c r="DUS24" s="119"/>
      <c r="DUT24" s="119"/>
      <c r="DUU24" s="119"/>
      <c r="DUV24" s="119"/>
      <c r="DUW24" s="119"/>
      <c r="DUX24" s="119"/>
      <c r="DUY24" s="119"/>
      <c r="DUZ24" s="119"/>
      <c r="DVA24" s="119"/>
      <c r="DVB24" s="119"/>
      <c r="DVC24" s="119"/>
      <c r="DVD24" s="119"/>
      <c r="DVE24" s="119"/>
      <c r="DVF24" s="119"/>
      <c r="DVG24" s="119"/>
      <c r="DVH24" s="119"/>
      <c r="DVI24" s="119"/>
      <c r="DVJ24" s="119"/>
      <c r="DVK24" s="119"/>
      <c r="DVL24" s="119"/>
      <c r="DVM24" s="119"/>
      <c r="DVN24" s="119"/>
      <c r="DVO24" s="119"/>
      <c r="DVP24" s="119"/>
      <c r="DVQ24" s="119"/>
      <c r="DVR24" s="119"/>
      <c r="DVS24" s="119"/>
      <c r="DVT24" s="119"/>
      <c r="DVU24" s="119"/>
      <c r="DVV24" s="119"/>
      <c r="DVW24" s="119"/>
      <c r="DVX24" s="119"/>
      <c r="DVY24" s="119"/>
      <c r="DVZ24" s="119"/>
      <c r="DWA24" s="119"/>
      <c r="DWB24" s="119"/>
      <c r="DWC24" s="119"/>
      <c r="DWD24" s="119"/>
      <c r="DWE24" s="119"/>
      <c r="DWF24" s="119"/>
      <c r="DWG24" s="119"/>
      <c r="DWH24" s="119"/>
      <c r="DWI24" s="119"/>
      <c r="DWJ24" s="119"/>
      <c r="DWK24" s="119"/>
      <c r="DWL24" s="119"/>
      <c r="DWM24" s="119"/>
      <c r="DWN24" s="119"/>
      <c r="DWO24" s="119"/>
      <c r="DWP24" s="119"/>
      <c r="DWQ24" s="119"/>
      <c r="DWR24" s="119"/>
      <c r="DWS24" s="119"/>
      <c r="DWT24" s="119"/>
      <c r="DWU24" s="119"/>
      <c r="DWV24" s="119"/>
      <c r="DWW24" s="119"/>
      <c r="DWX24" s="119"/>
      <c r="DWY24" s="119"/>
      <c r="DWZ24" s="119"/>
      <c r="DXA24" s="119"/>
      <c r="DXB24" s="119"/>
      <c r="DXC24" s="119"/>
      <c r="DXD24" s="119"/>
      <c r="DXE24" s="119"/>
      <c r="DXF24" s="119"/>
      <c r="DXG24" s="119"/>
      <c r="DXH24" s="119"/>
      <c r="DXI24" s="119"/>
      <c r="DXJ24" s="119"/>
      <c r="DXK24" s="119"/>
      <c r="DXL24" s="119"/>
      <c r="DXM24" s="119"/>
      <c r="DXN24" s="119"/>
      <c r="DXO24" s="119"/>
      <c r="DXP24" s="119"/>
      <c r="DXQ24" s="119"/>
      <c r="DXR24" s="119"/>
      <c r="DXS24" s="119"/>
      <c r="DXT24" s="119"/>
      <c r="DXU24" s="119"/>
      <c r="DXV24" s="119"/>
      <c r="DXW24" s="119"/>
      <c r="DXX24" s="119"/>
      <c r="DXY24" s="119"/>
      <c r="DXZ24" s="119"/>
      <c r="DYA24" s="119"/>
      <c r="DYB24" s="119"/>
      <c r="DYC24" s="119"/>
      <c r="DYD24" s="119"/>
      <c r="DYE24" s="119"/>
      <c r="DYF24" s="119"/>
      <c r="DYG24" s="119"/>
      <c r="DYH24" s="119"/>
      <c r="DYI24" s="119"/>
      <c r="DYJ24" s="119"/>
      <c r="DYK24" s="119"/>
      <c r="DYL24" s="119"/>
      <c r="DYM24" s="119"/>
      <c r="DYN24" s="119"/>
      <c r="DYO24" s="119"/>
      <c r="DYP24" s="119"/>
      <c r="DYQ24" s="119"/>
      <c r="DYR24" s="119"/>
      <c r="DYS24" s="119"/>
      <c r="DYT24" s="119"/>
      <c r="DYU24" s="119"/>
      <c r="DYV24" s="119"/>
      <c r="DYW24" s="119"/>
      <c r="DYX24" s="119"/>
      <c r="DYY24" s="119"/>
      <c r="DYZ24" s="119"/>
      <c r="DZA24" s="119"/>
      <c r="DZB24" s="119"/>
      <c r="DZC24" s="119"/>
      <c r="DZD24" s="119"/>
      <c r="DZE24" s="119"/>
      <c r="DZF24" s="119"/>
      <c r="DZG24" s="119"/>
      <c r="DZH24" s="119"/>
      <c r="DZI24" s="119"/>
      <c r="DZJ24" s="119"/>
      <c r="DZK24" s="119"/>
      <c r="DZL24" s="119"/>
      <c r="DZM24" s="119"/>
      <c r="DZN24" s="119"/>
      <c r="DZO24" s="119"/>
      <c r="DZP24" s="119"/>
      <c r="DZQ24" s="119"/>
      <c r="DZR24" s="119"/>
      <c r="DZS24" s="119"/>
      <c r="DZT24" s="119"/>
      <c r="DZU24" s="119"/>
      <c r="DZV24" s="119"/>
      <c r="DZW24" s="119"/>
      <c r="DZX24" s="119"/>
      <c r="DZY24" s="119"/>
      <c r="DZZ24" s="119"/>
      <c r="EAA24" s="119"/>
      <c r="EAB24" s="119"/>
      <c r="EAC24" s="119"/>
      <c r="EAD24" s="119"/>
      <c r="EAE24" s="119"/>
      <c r="EAF24" s="119"/>
      <c r="EAG24" s="119"/>
      <c r="EAH24" s="119"/>
      <c r="EAI24" s="119"/>
      <c r="EAJ24" s="119"/>
      <c r="EAK24" s="119"/>
      <c r="EAL24" s="119"/>
      <c r="EAM24" s="119"/>
      <c r="EAN24" s="119"/>
      <c r="EAO24" s="119"/>
      <c r="EAP24" s="119"/>
      <c r="EAQ24" s="119"/>
      <c r="EAR24" s="119"/>
      <c r="EAS24" s="119"/>
      <c r="EAT24" s="119"/>
      <c r="EAU24" s="119"/>
      <c r="EAV24" s="119"/>
      <c r="EAW24" s="119"/>
      <c r="EAX24" s="119"/>
      <c r="EAY24" s="119"/>
      <c r="EAZ24" s="119"/>
      <c r="EBA24" s="119"/>
      <c r="EBB24" s="119"/>
      <c r="EBC24" s="119"/>
      <c r="EBD24" s="119"/>
      <c r="EBE24" s="119"/>
      <c r="EBF24" s="119"/>
      <c r="EBG24" s="119"/>
      <c r="EBH24" s="119"/>
      <c r="EBI24" s="119"/>
      <c r="EBJ24" s="119"/>
      <c r="EBK24" s="119"/>
      <c r="EBL24" s="119"/>
      <c r="EBM24" s="119"/>
      <c r="EBN24" s="119"/>
      <c r="EBO24" s="119"/>
      <c r="EBP24" s="119"/>
      <c r="EBQ24" s="119"/>
      <c r="EBR24" s="119"/>
      <c r="EBS24" s="119"/>
      <c r="EBT24" s="119"/>
      <c r="EBU24" s="119"/>
      <c r="EBV24" s="119"/>
      <c r="EBW24" s="119"/>
      <c r="EBX24" s="119"/>
      <c r="EBY24" s="119"/>
      <c r="EBZ24" s="119"/>
      <c r="ECA24" s="119"/>
      <c r="ECB24" s="119"/>
      <c r="ECC24" s="119"/>
      <c r="ECD24" s="119"/>
      <c r="ECE24" s="119"/>
      <c r="ECF24" s="119"/>
      <c r="ECG24" s="119"/>
      <c r="ECH24" s="119"/>
      <c r="ECI24" s="119"/>
      <c r="ECJ24" s="119"/>
      <c r="ECK24" s="119"/>
      <c r="ECL24" s="119"/>
      <c r="ECM24" s="119"/>
      <c r="ECN24" s="119"/>
      <c r="ECO24" s="119"/>
      <c r="ECP24" s="119"/>
      <c r="ECQ24" s="119"/>
      <c r="ECR24" s="119"/>
      <c r="ECS24" s="119"/>
      <c r="ECT24" s="119"/>
      <c r="ECU24" s="119"/>
      <c r="ECV24" s="119"/>
      <c r="ECW24" s="119"/>
      <c r="ECX24" s="119"/>
      <c r="ECY24" s="119"/>
      <c r="ECZ24" s="119"/>
      <c r="EDA24" s="119"/>
      <c r="EDB24" s="119"/>
      <c r="EDC24" s="119"/>
      <c r="EDD24" s="119"/>
      <c r="EDE24" s="119"/>
      <c r="EDF24" s="119"/>
      <c r="EDG24" s="119"/>
      <c r="EDH24" s="119"/>
      <c r="EDI24" s="119"/>
      <c r="EDJ24" s="119"/>
      <c r="EDK24" s="119"/>
      <c r="EDL24" s="119"/>
      <c r="EDM24" s="119"/>
      <c r="EDN24" s="119"/>
      <c r="EDO24" s="119"/>
      <c r="EDP24" s="119"/>
      <c r="EDQ24" s="119"/>
      <c r="EDR24" s="119"/>
      <c r="EDS24" s="119"/>
      <c r="EDT24" s="119"/>
      <c r="EDU24" s="119"/>
      <c r="EDV24" s="119"/>
      <c r="EDW24" s="119"/>
      <c r="EDX24" s="119"/>
      <c r="EDY24" s="119"/>
      <c r="EDZ24" s="119"/>
      <c r="EEA24" s="119"/>
      <c r="EEB24" s="119"/>
      <c r="EEC24" s="119"/>
      <c r="EED24" s="119"/>
      <c r="EEE24" s="119"/>
      <c r="EEF24" s="119"/>
      <c r="EEG24" s="119"/>
      <c r="EEH24" s="119"/>
      <c r="EEI24" s="119"/>
      <c r="EEJ24" s="119"/>
      <c r="EEK24" s="119"/>
      <c r="EEL24" s="119"/>
      <c r="EEM24" s="119"/>
      <c r="EEN24" s="119"/>
      <c r="EEO24" s="119"/>
      <c r="EEP24" s="119"/>
      <c r="EEQ24" s="119"/>
      <c r="EER24" s="119"/>
      <c r="EES24" s="119"/>
      <c r="EET24" s="119"/>
      <c r="EEU24" s="119"/>
      <c r="EEV24" s="119"/>
      <c r="EEW24" s="119"/>
      <c r="EEX24" s="119"/>
      <c r="EEY24" s="119"/>
      <c r="EEZ24" s="119"/>
      <c r="EFA24" s="119"/>
      <c r="EFB24" s="119"/>
      <c r="EFC24" s="119"/>
      <c r="EFD24" s="119"/>
      <c r="EFE24" s="119"/>
      <c r="EFF24" s="119"/>
      <c r="EFG24" s="119"/>
      <c r="EFH24" s="119"/>
      <c r="EFI24" s="119"/>
      <c r="EFJ24" s="119"/>
      <c r="EFK24" s="119"/>
      <c r="EFL24" s="119"/>
      <c r="EFM24" s="119"/>
      <c r="EFN24" s="119"/>
      <c r="EFO24" s="119"/>
      <c r="EFP24" s="119"/>
      <c r="EFQ24" s="119"/>
      <c r="EFR24" s="119"/>
      <c r="EFS24" s="119"/>
      <c r="EFT24" s="119"/>
      <c r="EFU24" s="119"/>
      <c r="EFV24" s="119"/>
      <c r="EFW24" s="119"/>
      <c r="EFX24" s="119"/>
      <c r="EFY24" s="119"/>
      <c r="EFZ24" s="119"/>
      <c r="EGA24" s="119"/>
      <c r="EGB24" s="119"/>
      <c r="EGC24" s="119"/>
      <c r="EGD24" s="119"/>
      <c r="EGE24" s="119"/>
      <c r="EGF24" s="119"/>
      <c r="EGG24" s="119"/>
      <c r="EGH24" s="119"/>
      <c r="EGI24" s="119"/>
      <c r="EGJ24" s="119"/>
      <c r="EGK24" s="119"/>
      <c r="EGL24" s="119"/>
      <c r="EGM24" s="119"/>
      <c r="EGN24" s="119"/>
      <c r="EGO24" s="119"/>
      <c r="EGP24" s="119"/>
      <c r="EGQ24" s="119"/>
      <c r="EGR24" s="119"/>
      <c r="EGS24" s="119"/>
      <c r="EGT24" s="119"/>
      <c r="EGU24" s="119"/>
      <c r="EGV24" s="119"/>
      <c r="EGW24" s="119"/>
      <c r="EGX24" s="119"/>
      <c r="EGY24" s="119"/>
      <c r="EGZ24" s="119"/>
      <c r="EHA24" s="119"/>
      <c r="EHB24" s="119"/>
      <c r="EHC24" s="119"/>
      <c r="EHD24" s="119"/>
      <c r="EHE24" s="119"/>
      <c r="EHF24" s="119"/>
      <c r="EHG24" s="119"/>
      <c r="EHH24" s="119"/>
      <c r="EHI24" s="119"/>
      <c r="EHJ24" s="119"/>
      <c r="EHK24" s="119"/>
      <c r="EHL24" s="119"/>
      <c r="EHM24" s="119"/>
      <c r="EHN24" s="119"/>
      <c r="EHO24" s="119"/>
      <c r="EHP24" s="119"/>
      <c r="EHQ24" s="119"/>
      <c r="EHR24" s="119"/>
      <c r="EHS24" s="119"/>
      <c r="EHT24" s="119"/>
      <c r="EHU24" s="119"/>
      <c r="EHV24" s="119"/>
      <c r="EHW24" s="119"/>
      <c r="EHX24" s="119"/>
      <c r="EHY24" s="119"/>
      <c r="EHZ24" s="119"/>
      <c r="EIA24" s="119"/>
      <c r="EIB24" s="119"/>
      <c r="EIC24" s="119"/>
      <c r="EID24" s="119"/>
      <c r="EIE24" s="119"/>
      <c r="EIF24" s="119"/>
      <c r="EIG24" s="119"/>
      <c r="EIH24" s="119"/>
      <c r="EII24" s="119"/>
      <c r="EIJ24" s="119"/>
      <c r="EIK24" s="119"/>
      <c r="EIL24" s="119"/>
      <c r="EIM24" s="119"/>
      <c r="EIN24" s="119"/>
      <c r="EIO24" s="119"/>
      <c r="EIP24" s="119"/>
      <c r="EIQ24" s="119"/>
      <c r="EIR24" s="119"/>
      <c r="EIS24" s="119"/>
      <c r="EIT24" s="119"/>
      <c r="EIU24" s="119"/>
      <c r="EIV24" s="119"/>
      <c r="EIW24" s="119"/>
      <c r="EIX24" s="119"/>
      <c r="EIY24" s="119"/>
      <c r="EIZ24" s="119"/>
      <c r="EJA24" s="119"/>
      <c r="EJB24" s="119"/>
      <c r="EJC24" s="119"/>
      <c r="EJD24" s="119"/>
      <c r="EJE24" s="119"/>
      <c r="EJF24" s="119"/>
      <c r="EJG24" s="119"/>
      <c r="EJH24" s="119"/>
      <c r="EJI24" s="119"/>
      <c r="EJJ24" s="119"/>
      <c r="EJK24" s="119"/>
      <c r="EJL24" s="119"/>
      <c r="EJM24" s="119"/>
      <c r="EJN24" s="119"/>
      <c r="EJO24" s="119"/>
      <c r="EJP24" s="119"/>
      <c r="EJQ24" s="119"/>
      <c r="EJR24" s="119"/>
      <c r="EJS24" s="119"/>
      <c r="EJT24" s="119"/>
      <c r="EJU24" s="119"/>
      <c r="EJV24" s="119"/>
      <c r="EJW24" s="119"/>
      <c r="EJX24" s="119"/>
      <c r="EJY24" s="119"/>
      <c r="EJZ24" s="119"/>
      <c r="EKA24" s="119"/>
      <c r="EKB24" s="119"/>
      <c r="EKC24" s="119"/>
      <c r="EKD24" s="119"/>
      <c r="EKE24" s="119"/>
      <c r="EKF24" s="119"/>
      <c r="EKG24" s="119"/>
      <c r="EKH24" s="119"/>
      <c r="EKI24" s="119"/>
      <c r="EKJ24" s="119"/>
      <c r="EKK24" s="119"/>
      <c r="EKL24" s="119"/>
      <c r="EKM24" s="119"/>
      <c r="EKN24" s="119"/>
      <c r="EKO24" s="119"/>
      <c r="EKP24" s="119"/>
      <c r="EKQ24" s="119"/>
      <c r="EKR24" s="119"/>
      <c r="EKS24" s="119"/>
      <c r="EKT24" s="119"/>
      <c r="EKU24" s="119"/>
      <c r="EKV24" s="119"/>
      <c r="EKW24" s="119"/>
      <c r="EKX24" s="119"/>
      <c r="EKY24" s="119"/>
      <c r="EKZ24" s="119"/>
      <c r="ELA24" s="119"/>
      <c r="ELB24" s="119"/>
      <c r="ELC24" s="119"/>
      <c r="ELD24" s="119"/>
      <c r="ELE24" s="119"/>
      <c r="ELF24" s="119"/>
      <c r="ELG24" s="119"/>
      <c r="ELH24" s="119"/>
      <c r="ELI24" s="119"/>
      <c r="ELJ24" s="119"/>
      <c r="ELK24" s="119"/>
      <c r="ELL24" s="119"/>
      <c r="ELM24" s="119"/>
      <c r="ELN24" s="119"/>
      <c r="ELO24" s="119"/>
      <c r="ELP24" s="119"/>
      <c r="ELQ24" s="119"/>
      <c r="ELR24" s="119"/>
      <c r="ELS24" s="119"/>
      <c r="ELT24" s="119"/>
      <c r="ELU24" s="119"/>
      <c r="ELV24" s="119"/>
      <c r="ELW24" s="119"/>
      <c r="ELX24" s="119"/>
      <c r="ELY24" s="119"/>
      <c r="ELZ24" s="119"/>
      <c r="EMA24" s="119"/>
      <c r="EMB24" s="119"/>
      <c r="EMC24" s="119"/>
      <c r="EMD24" s="119"/>
      <c r="EME24" s="119"/>
      <c r="EMF24" s="119"/>
      <c r="EMG24" s="119"/>
      <c r="EMH24" s="119"/>
      <c r="EMI24" s="119"/>
      <c r="EMJ24" s="119"/>
      <c r="EMK24" s="119"/>
      <c r="EML24" s="119"/>
      <c r="EMM24" s="119"/>
      <c r="EMN24" s="119"/>
      <c r="EMO24" s="119"/>
      <c r="EMP24" s="119"/>
      <c r="EMQ24" s="119"/>
      <c r="EMR24" s="119"/>
      <c r="EMS24" s="119"/>
      <c r="EMT24" s="119"/>
      <c r="EMU24" s="119"/>
      <c r="EMV24" s="119"/>
      <c r="EMW24" s="119"/>
      <c r="EMX24" s="119"/>
      <c r="EMY24" s="119"/>
      <c r="EMZ24" s="119"/>
      <c r="ENA24" s="119"/>
      <c r="ENB24" s="119"/>
      <c r="ENC24" s="119"/>
      <c r="END24" s="119"/>
      <c r="ENE24" s="119"/>
      <c r="ENF24" s="119"/>
      <c r="ENG24" s="119"/>
      <c r="ENH24" s="119"/>
      <c r="ENI24" s="119"/>
      <c r="ENJ24" s="119"/>
      <c r="ENK24" s="119"/>
      <c r="ENL24" s="119"/>
      <c r="ENM24" s="119"/>
      <c r="ENN24" s="119"/>
      <c r="ENO24" s="119"/>
      <c r="ENP24" s="119"/>
      <c r="ENQ24" s="119"/>
      <c r="ENR24" s="119"/>
      <c r="ENS24" s="119"/>
      <c r="ENT24" s="119"/>
      <c r="ENU24" s="119"/>
      <c r="ENV24" s="119"/>
      <c r="ENW24" s="119"/>
      <c r="ENX24" s="119"/>
      <c r="ENY24" s="119"/>
      <c r="ENZ24" s="119"/>
      <c r="EOA24" s="119"/>
      <c r="EOB24" s="119"/>
      <c r="EOC24" s="119"/>
      <c r="EOD24" s="119"/>
      <c r="EOE24" s="119"/>
      <c r="EOF24" s="119"/>
      <c r="EOG24" s="119"/>
      <c r="EOH24" s="119"/>
      <c r="EOI24" s="119"/>
      <c r="EOJ24" s="119"/>
      <c r="EOK24" s="119"/>
      <c r="EOL24" s="119"/>
      <c r="EOM24" s="119"/>
      <c r="EON24" s="119"/>
      <c r="EOO24" s="119"/>
      <c r="EOP24" s="119"/>
      <c r="EOQ24" s="119"/>
      <c r="EOR24" s="119"/>
      <c r="EOS24" s="119"/>
      <c r="EOT24" s="119"/>
      <c r="EOU24" s="119"/>
      <c r="EOV24" s="119"/>
      <c r="EOW24" s="119"/>
      <c r="EOX24" s="119"/>
      <c r="EOY24" s="119"/>
      <c r="EOZ24" s="119"/>
      <c r="EPA24" s="119"/>
      <c r="EPB24" s="119"/>
      <c r="EPC24" s="119"/>
      <c r="EPD24" s="119"/>
      <c r="EPE24" s="119"/>
      <c r="EPF24" s="119"/>
      <c r="EPG24" s="119"/>
      <c r="EPH24" s="119"/>
      <c r="EPI24" s="119"/>
      <c r="EPJ24" s="119"/>
      <c r="EPK24" s="119"/>
      <c r="EPL24" s="119"/>
      <c r="EPM24" s="119"/>
      <c r="EPN24" s="119"/>
      <c r="EPO24" s="119"/>
      <c r="EPP24" s="119"/>
      <c r="EPQ24" s="119"/>
      <c r="EPR24" s="119"/>
      <c r="EPS24" s="119"/>
      <c r="EPT24" s="119"/>
      <c r="EPU24" s="119"/>
      <c r="EPV24" s="119"/>
      <c r="EPW24" s="119"/>
      <c r="EPX24" s="119"/>
      <c r="EPY24" s="119"/>
      <c r="EPZ24" s="119"/>
      <c r="EQA24" s="119"/>
      <c r="EQB24" s="119"/>
      <c r="EQC24" s="119"/>
      <c r="EQD24" s="119"/>
      <c r="EQE24" s="119"/>
      <c r="EQF24" s="119"/>
      <c r="EQG24" s="119"/>
      <c r="EQH24" s="119"/>
      <c r="EQI24" s="119"/>
      <c r="EQJ24" s="119"/>
      <c r="EQK24" s="119"/>
      <c r="EQL24" s="119"/>
      <c r="EQM24" s="119"/>
      <c r="EQN24" s="119"/>
      <c r="EQO24" s="119"/>
      <c r="EQP24" s="119"/>
      <c r="EQQ24" s="119"/>
      <c r="EQR24" s="119"/>
      <c r="EQS24" s="119"/>
      <c r="EQT24" s="119"/>
      <c r="EQU24" s="119"/>
      <c r="EQV24" s="119"/>
      <c r="EQW24" s="119"/>
      <c r="EQX24" s="119"/>
      <c r="EQY24" s="119"/>
      <c r="EQZ24" s="119"/>
      <c r="ERA24" s="119"/>
      <c r="ERB24" s="119"/>
      <c r="ERC24" s="119"/>
      <c r="ERD24" s="119"/>
      <c r="ERE24" s="119"/>
      <c r="ERF24" s="119"/>
      <c r="ERG24" s="119"/>
      <c r="ERH24" s="119"/>
      <c r="ERI24" s="119"/>
      <c r="ERJ24" s="119"/>
      <c r="ERK24" s="119"/>
      <c r="ERL24" s="119"/>
      <c r="ERM24" s="119"/>
      <c r="ERN24" s="119"/>
      <c r="ERO24" s="119"/>
      <c r="ERP24" s="119"/>
      <c r="ERQ24" s="119"/>
      <c r="ERR24" s="119"/>
      <c r="ERS24" s="119"/>
      <c r="ERT24" s="119"/>
      <c r="ERU24" s="119"/>
      <c r="ERV24" s="119"/>
      <c r="ERW24" s="119"/>
      <c r="ERX24" s="119"/>
      <c r="ERY24" s="119"/>
      <c r="ERZ24" s="119"/>
      <c r="ESA24" s="119"/>
      <c r="ESB24" s="119"/>
      <c r="ESC24" s="119"/>
      <c r="ESD24" s="119"/>
      <c r="ESE24" s="119"/>
      <c r="ESF24" s="119"/>
      <c r="ESG24" s="119"/>
      <c r="ESH24" s="119"/>
      <c r="ESI24" s="119"/>
      <c r="ESJ24" s="119"/>
      <c r="ESK24" s="119"/>
      <c r="ESL24" s="119"/>
      <c r="ESM24" s="119"/>
      <c r="ESN24" s="119"/>
      <c r="ESO24" s="119"/>
      <c r="ESP24" s="119"/>
      <c r="ESQ24" s="119"/>
      <c r="ESR24" s="119"/>
      <c r="ESS24" s="119"/>
      <c r="EST24" s="119"/>
      <c r="ESU24" s="119"/>
      <c r="ESV24" s="119"/>
      <c r="ESW24" s="119"/>
      <c r="ESX24" s="119"/>
      <c r="ESY24" s="119"/>
      <c r="ESZ24" s="119"/>
      <c r="ETA24" s="119"/>
      <c r="ETB24" s="119"/>
      <c r="ETC24" s="119"/>
      <c r="ETD24" s="119"/>
      <c r="ETE24" s="119"/>
      <c r="ETF24" s="119"/>
      <c r="ETG24" s="119"/>
      <c r="ETH24" s="119"/>
      <c r="ETI24" s="119"/>
      <c r="ETJ24" s="119"/>
      <c r="ETK24" s="119"/>
      <c r="ETL24" s="119"/>
      <c r="ETM24" s="119"/>
      <c r="ETN24" s="119"/>
      <c r="ETO24" s="119"/>
      <c r="ETP24" s="119"/>
      <c r="ETQ24" s="119"/>
      <c r="ETR24" s="119"/>
      <c r="ETS24" s="119"/>
      <c r="ETT24" s="119"/>
      <c r="ETU24" s="119"/>
      <c r="ETV24" s="119"/>
      <c r="ETW24" s="119"/>
      <c r="ETX24" s="119"/>
      <c r="ETY24" s="119"/>
      <c r="ETZ24" s="119"/>
      <c r="EUA24" s="119"/>
      <c r="EUB24" s="119"/>
      <c r="EUC24" s="119"/>
      <c r="EUD24" s="119"/>
      <c r="EUE24" s="119"/>
      <c r="EUF24" s="119"/>
      <c r="EUG24" s="119"/>
      <c r="EUH24" s="119"/>
      <c r="EUI24" s="119"/>
      <c r="EUJ24" s="119"/>
      <c r="EUK24" s="119"/>
      <c r="EUL24" s="119"/>
      <c r="EUM24" s="119"/>
      <c r="EUN24" s="119"/>
      <c r="EUO24" s="119"/>
      <c r="EUP24" s="119"/>
      <c r="EUQ24" s="119"/>
      <c r="EUR24" s="119"/>
      <c r="EUS24" s="119"/>
      <c r="EUT24" s="119"/>
      <c r="EUU24" s="119"/>
      <c r="EUV24" s="119"/>
      <c r="EUW24" s="119"/>
      <c r="EUX24" s="119"/>
      <c r="EUY24" s="119"/>
      <c r="EUZ24" s="119"/>
      <c r="EVA24" s="119"/>
      <c r="EVB24" s="119"/>
      <c r="EVC24" s="119"/>
      <c r="EVD24" s="119"/>
      <c r="EVE24" s="119"/>
      <c r="EVF24" s="119"/>
      <c r="EVG24" s="119"/>
      <c r="EVH24" s="119"/>
      <c r="EVI24" s="119"/>
      <c r="EVJ24" s="119"/>
      <c r="EVK24" s="119"/>
      <c r="EVL24" s="119"/>
      <c r="EVM24" s="119"/>
      <c r="EVN24" s="119"/>
      <c r="EVO24" s="119"/>
      <c r="EVP24" s="119"/>
      <c r="EVQ24" s="119"/>
      <c r="EVR24" s="119"/>
      <c r="EVS24" s="119"/>
      <c r="EVT24" s="119"/>
      <c r="EVU24" s="119"/>
      <c r="EVV24" s="119"/>
      <c r="EVW24" s="119"/>
      <c r="EVX24" s="119"/>
      <c r="EVY24" s="119"/>
      <c r="EVZ24" s="119"/>
      <c r="EWA24" s="119"/>
      <c r="EWB24" s="119"/>
      <c r="EWC24" s="119"/>
      <c r="EWD24" s="119"/>
      <c r="EWE24" s="119"/>
      <c r="EWF24" s="119"/>
      <c r="EWG24" s="119"/>
      <c r="EWH24" s="119"/>
      <c r="EWI24" s="119"/>
      <c r="EWJ24" s="119"/>
      <c r="EWK24" s="119"/>
      <c r="EWL24" s="119"/>
      <c r="EWM24" s="119"/>
      <c r="EWN24" s="119"/>
      <c r="EWO24" s="119"/>
      <c r="EWP24" s="119"/>
      <c r="EWQ24" s="119"/>
      <c r="EWR24" s="119"/>
      <c r="EWS24" s="119"/>
      <c r="EWT24" s="119"/>
      <c r="EWU24" s="119"/>
      <c r="EWV24" s="119"/>
      <c r="EWW24" s="119"/>
      <c r="EWX24" s="119"/>
      <c r="EWY24" s="119"/>
      <c r="EWZ24" s="119"/>
      <c r="EXA24" s="119"/>
      <c r="EXB24" s="119"/>
      <c r="EXC24" s="119"/>
      <c r="EXD24" s="119"/>
      <c r="EXE24" s="119"/>
      <c r="EXF24" s="119"/>
      <c r="EXG24" s="119"/>
      <c r="EXH24" s="119"/>
      <c r="EXI24" s="119"/>
      <c r="EXJ24" s="119"/>
      <c r="EXK24" s="119"/>
      <c r="EXL24" s="119"/>
      <c r="EXM24" s="119"/>
      <c r="EXN24" s="119"/>
      <c r="EXO24" s="119"/>
      <c r="EXP24" s="119"/>
      <c r="EXQ24" s="119"/>
      <c r="EXR24" s="119"/>
      <c r="EXS24" s="119"/>
      <c r="EXT24" s="119"/>
      <c r="EXU24" s="119"/>
      <c r="EXV24" s="119"/>
      <c r="EXW24" s="119"/>
      <c r="EXX24" s="119"/>
      <c r="EXY24" s="119"/>
      <c r="EXZ24" s="119"/>
      <c r="EYA24" s="119"/>
      <c r="EYB24" s="119"/>
      <c r="EYC24" s="119"/>
      <c r="EYD24" s="119"/>
      <c r="EYE24" s="119"/>
      <c r="EYF24" s="119"/>
      <c r="EYG24" s="119"/>
      <c r="EYH24" s="119"/>
      <c r="EYI24" s="119"/>
      <c r="EYJ24" s="119"/>
      <c r="EYK24" s="119"/>
      <c r="EYL24" s="119"/>
      <c r="EYM24" s="119"/>
      <c r="EYN24" s="119"/>
      <c r="EYO24" s="119"/>
      <c r="EYP24" s="119"/>
      <c r="EYQ24" s="119"/>
      <c r="EYR24" s="119"/>
      <c r="EYS24" s="119"/>
      <c r="EYT24" s="119"/>
      <c r="EYU24" s="119"/>
      <c r="EYV24" s="119"/>
      <c r="EYW24" s="119"/>
      <c r="EYX24" s="119"/>
      <c r="EYY24" s="119"/>
      <c r="EYZ24" s="119"/>
      <c r="EZA24" s="119"/>
      <c r="EZB24" s="119"/>
      <c r="EZC24" s="119"/>
      <c r="EZD24" s="119"/>
      <c r="EZE24" s="119"/>
      <c r="EZF24" s="119"/>
      <c r="EZG24" s="119"/>
      <c r="EZH24" s="119"/>
      <c r="EZI24" s="119"/>
      <c r="EZJ24" s="119"/>
      <c r="EZK24" s="119"/>
      <c r="EZL24" s="119"/>
      <c r="EZM24" s="119"/>
      <c r="EZN24" s="119"/>
      <c r="EZO24" s="119"/>
      <c r="EZP24" s="119"/>
      <c r="EZQ24" s="119"/>
      <c r="EZR24" s="119"/>
      <c r="EZS24" s="119"/>
      <c r="EZT24" s="119"/>
      <c r="EZU24" s="119"/>
      <c r="EZV24" s="119"/>
      <c r="EZW24" s="119"/>
      <c r="EZX24" s="119"/>
      <c r="EZY24" s="119"/>
      <c r="EZZ24" s="119"/>
      <c r="FAA24" s="119"/>
      <c r="FAB24" s="119"/>
      <c r="FAC24" s="119"/>
      <c r="FAD24" s="119"/>
      <c r="FAE24" s="119"/>
      <c r="FAF24" s="119"/>
      <c r="FAG24" s="119"/>
      <c r="FAH24" s="119"/>
      <c r="FAI24" s="119"/>
      <c r="FAJ24" s="119"/>
      <c r="FAK24" s="119"/>
      <c r="FAL24" s="119"/>
      <c r="FAM24" s="119"/>
      <c r="FAN24" s="119"/>
      <c r="FAO24" s="119"/>
      <c r="FAP24" s="119"/>
      <c r="FAQ24" s="119"/>
      <c r="FAR24" s="119"/>
      <c r="FAS24" s="119"/>
      <c r="FAT24" s="119"/>
      <c r="FAU24" s="119"/>
      <c r="FAV24" s="119"/>
      <c r="FAW24" s="119"/>
      <c r="FAX24" s="119"/>
      <c r="FAY24" s="119"/>
      <c r="FAZ24" s="119"/>
      <c r="FBA24" s="119"/>
      <c r="FBB24" s="119"/>
      <c r="FBC24" s="119"/>
      <c r="FBD24" s="119"/>
      <c r="FBE24" s="119"/>
      <c r="FBF24" s="119"/>
      <c r="FBG24" s="119"/>
      <c r="FBH24" s="119"/>
      <c r="FBI24" s="119"/>
      <c r="FBJ24" s="119"/>
      <c r="FBK24" s="119"/>
      <c r="FBL24" s="119"/>
      <c r="FBM24" s="119"/>
      <c r="FBN24" s="119"/>
      <c r="FBO24" s="119"/>
      <c r="FBP24" s="119"/>
      <c r="FBQ24" s="119"/>
      <c r="FBR24" s="119"/>
      <c r="FBS24" s="119"/>
      <c r="FBT24" s="119"/>
      <c r="FBU24" s="119"/>
      <c r="FBV24" s="119"/>
      <c r="FBW24" s="119"/>
      <c r="FBX24" s="119"/>
      <c r="FBY24" s="119"/>
      <c r="FBZ24" s="119"/>
      <c r="FCA24" s="119"/>
      <c r="FCB24" s="119"/>
      <c r="FCC24" s="119"/>
      <c r="FCD24" s="119"/>
      <c r="FCE24" s="119"/>
      <c r="FCF24" s="119"/>
      <c r="FCG24" s="119"/>
      <c r="FCH24" s="119"/>
      <c r="FCI24" s="119"/>
      <c r="FCJ24" s="119"/>
      <c r="FCK24" s="119"/>
      <c r="FCL24" s="119"/>
      <c r="FCM24" s="119"/>
      <c r="FCN24" s="119"/>
      <c r="FCO24" s="119"/>
      <c r="FCP24" s="119"/>
      <c r="FCQ24" s="119"/>
      <c r="FCR24" s="119"/>
      <c r="FCS24" s="119"/>
      <c r="FCT24" s="119"/>
      <c r="FCU24" s="119"/>
      <c r="FCV24" s="119"/>
      <c r="FCW24" s="119"/>
      <c r="FCX24" s="119"/>
      <c r="FCY24" s="119"/>
      <c r="FCZ24" s="119"/>
      <c r="FDA24" s="119"/>
      <c r="FDB24" s="119"/>
      <c r="FDC24" s="119"/>
      <c r="FDD24" s="119"/>
      <c r="FDE24" s="119"/>
      <c r="FDF24" s="119"/>
      <c r="FDG24" s="119"/>
      <c r="FDH24" s="119"/>
      <c r="FDI24" s="119"/>
      <c r="FDJ24" s="119"/>
      <c r="FDK24" s="119"/>
      <c r="FDL24" s="119"/>
      <c r="FDM24" s="119"/>
      <c r="FDN24" s="119"/>
      <c r="FDO24" s="119"/>
      <c r="FDP24" s="119"/>
      <c r="FDQ24" s="119"/>
      <c r="FDR24" s="119"/>
      <c r="FDS24" s="119"/>
      <c r="FDT24" s="119"/>
      <c r="FDU24" s="119"/>
      <c r="FDV24" s="119"/>
      <c r="FDW24" s="119"/>
      <c r="FDX24" s="119"/>
      <c r="FDY24" s="119"/>
      <c r="FDZ24" s="119"/>
      <c r="FEA24" s="119"/>
      <c r="FEB24" s="119"/>
      <c r="FEC24" s="119"/>
      <c r="FED24" s="119"/>
      <c r="FEE24" s="119"/>
      <c r="FEF24" s="119"/>
      <c r="FEG24" s="119"/>
      <c r="FEH24" s="119"/>
      <c r="FEI24" s="119"/>
      <c r="FEJ24" s="119"/>
      <c r="FEK24" s="119"/>
      <c r="FEL24" s="119"/>
      <c r="FEM24" s="119"/>
      <c r="FEN24" s="119"/>
      <c r="FEO24" s="119"/>
      <c r="FEP24" s="119"/>
      <c r="FEQ24" s="119"/>
      <c r="FER24" s="119"/>
      <c r="FES24" s="119"/>
      <c r="FET24" s="119"/>
      <c r="FEU24" s="119"/>
      <c r="FEV24" s="119"/>
      <c r="FEW24" s="119"/>
      <c r="FEX24" s="119"/>
      <c r="FEY24" s="119"/>
      <c r="FEZ24" s="119"/>
      <c r="FFA24" s="119"/>
      <c r="FFB24" s="119"/>
      <c r="FFC24" s="119"/>
      <c r="FFD24" s="119"/>
      <c r="FFE24" s="119"/>
      <c r="FFF24" s="119"/>
      <c r="FFG24" s="119"/>
      <c r="FFH24" s="119"/>
      <c r="FFI24" s="119"/>
      <c r="FFJ24" s="119"/>
      <c r="FFK24" s="119"/>
      <c r="FFL24" s="119"/>
      <c r="FFM24" s="119"/>
      <c r="FFN24" s="119"/>
      <c r="FFO24" s="119"/>
      <c r="FFP24" s="119"/>
      <c r="FFQ24" s="119"/>
      <c r="FFR24" s="119"/>
      <c r="FFS24" s="119"/>
      <c r="FFT24" s="119"/>
      <c r="FFU24" s="119"/>
      <c r="FFV24" s="119"/>
      <c r="FFW24" s="119"/>
      <c r="FFX24" s="119"/>
      <c r="FFY24" s="119"/>
      <c r="FFZ24" s="119"/>
      <c r="FGA24" s="119"/>
      <c r="FGB24" s="119"/>
      <c r="FGC24" s="119"/>
      <c r="FGD24" s="119"/>
      <c r="FGE24" s="119"/>
      <c r="FGF24" s="119"/>
      <c r="FGG24" s="119"/>
      <c r="FGH24" s="119"/>
      <c r="FGI24" s="119"/>
      <c r="FGJ24" s="119"/>
      <c r="FGK24" s="119"/>
      <c r="FGL24" s="119"/>
      <c r="FGM24" s="119"/>
      <c r="FGN24" s="119"/>
      <c r="FGO24" s="119"/>
      <c r="FGP24" s="119"/>
      <c r="FGQ24" s="119"/>
      <c r="FGR24" s="119"/>
      <c r="FGS24" s="119"/>
      <c r="FGT24" s="119"/>
      <c r="FGU24" s="119"/>
      <c r="FGV24" s="119"/>
      <c r="FGW24" s="119"/>
      <c r="FGX24" s="119"/>
      <c r="FGY24" s="119"/>
      <c r="FGZ24" s="119"/>
      <c r="FHA24" s="119"/>
      <c r="FHB24" s="119"/>
      <c r="FHC24" s="119"/>
      <c r="FHD24" s="119"/>
      <c r="FHE24" s="119"/>
      <c r="FHF24" s="119"/>
      <c r="FHG24" s="119"/>
      <c r="FHH24" s="119"/>
      <c r="FHI24" s="119"/>
      <c r="FHJ24" s="119"/>
      <c r="FHK24" s="119"/>
      <c r="FHL24" s="119"/>
      <c r="FHM24" s="119"/>
      <c r="FHN24" s="119"/>
      <c r="FHO24" s="119"/>
      <c r="FHP24" s="119"/>
      <c r="FHQ24" s="119"/>
      <c r="FHR24" s="119"/>
      <c r="FHS24" s="119"/>
      <c r="FHT24" s="119"/>
      <c r="FHU24" s="119"/>
      <c r="FHV24" s="119"/>
      <c r="FHW24" s="119"/>
      <c r="FHX24" s="119"/>
      <c r="FHY24" s="119"/>
      <c r="FHZ24" s="119"/>
      <c r="FIA24" s="119"/>
      <c r="FIB24" s="119"/>
      <c r="FIC24" s="119"/>
      <c r="FID24" s="119"/>
      <c r="FIE24" s="119"/>
      <c r="FIF24" s="119"/>
      <c r="FIG24" s="119"/>
      <c r="FIH24" s="119"/>
      <c r="FII24" s="119"/>
      <c r="FIJ24" s="119"/>
      <c r="FIK24" s="119"/>
      <c r="FIL24" s="119"/>
      <c r="FIM24" s="119"/>
      <c r="FIN24" s="119"/>
      <c r="FIO24" s="119"/>
      <c r="FIP24" s="119"/>
      <c r="FIQ24" s="119"/>
      <c r="FIR24" s="119"/>
      <c r="FIS24" s="119"/>
      <c r="FIT24" s="119"/>
      <c r="FIU24" s="119"/>
      <c r="FIV24" s="119"/>
      <c r="FIW24" s="119"/>
      <c r="FIX24" s="119"/>
      <c r="FIY24" s="119"/>
      <c r="FIZ24" s="119"/>
      <c r="FJA24" s="119"/>
      <c r="FJB24" s="119"/>
      <c r="FJC24" s="119"/>
      <c r="FJD24" s="119"/>
      <c r="FJE24" s="119"/>
      <c r="FJF24" s="119"/>
      <c r="FJG24" s="119"/>
      <c r="FJH24" s="119"/>
      <c r="FJI24" s="119"/>
      <c r="FJJ24" s="119"/>
      <c r="FJK24" s="119"/>
      <c r="FJL24" s="119"/>
      <c r="FJM24" s="119"/>
      <c r="FJN24" s="119"/>
      <c r="FJO24" s="119"/>
      <c r="FJP24" s="119"/>
      <c r="FJQ24" s="119"/>
      <c r="FJR24" s="119"/>
      <c r="FJS24" s="119"/>
      <c r="FJT24" s="119"/>
      <c r="FJU24" s="119"/>
      <c r="FJV24" s="119"/>
      <c r="FJW24" s="119"/>
      <c r="FJX24" s="119"/>
      <c r="FJY24" s="119"/>
      <c r="FJZ24" s="119"/>
      <c r="FKA24" s="119"/>
      <c r="FKB24" s="119"/>
      <c r="FKC24" s="119"/>
      <c r="FKD24" s="119"/>
      <c r="FKE24" s="119"/>
      <c r="FKF24" s="119"/>
      <c r="FKG24" s="119"/>
      <c r="FKH24" s="119"/>
      <c r="FKI24" s="119"/>
      <c r="FKJ24" s="119"/>
      <c r="FKK24" s="119"/>
      <c r="FKL24" s="119"/>
      <c r="FKM24" s="119"/>
      <c r="FKN24" s="119"/>
      <c r="FKO24" s="119"/>
      <c r="FKP24" s="119"/>
      <c r="FKQ24" s="119"/>
      <c r="FKR24" s="119"/>
      <c r="FKS24" s="119"/>
      <c r="FKT24" s="119"/>
      <c r="FKU24" s="119"/>
      <c r="FKV24" s="119"/>
      <c r="FKW24" s="119"/>
      <c r="FKX24" s="119"/>
      <c r="FKY24" s="119"/>
      <c r="FKZ24" s="119"/>
      <c r="FLA24" s="119"/>
      <c r="FLB24" s="119"/>
      <c r="FLC24" s="119"/>
      <c r="FLD24" s="119"/>
      <c r="FLE24" s="119"/>
      <c r="FLF24" s="119"/>
      <c r="FLG24" s="119"/>
      <c r="FLH24" s="119"/>
      <c r="FLI24" s="119"/>
      <c r="FLJ24" s="119"/>
      <c r="FLK24" s="119"/>
      <c r="FLL24" s="119"/>
      <c r="FLM24" s="119"/>
      <c r="FLN24" s="119"/>
      <c r="FLO24" s="119"/>
      <c r="FLP24" s="119"/>
      <c r="FLQ24" s="119"/>
      <c r="FLR24" s="119"/>
      <c r="FLS24" s="119"/>
      <c r="FLT24" s="119"/>
      <c r="FLU24" s="119"/>
      <c r="FLV24" s="119"/>
      <c r="FLW24" s="119"/>
      <c r="FLX24" s="119"/>
      <c r="FLY24" s="119"/>
      <c r="FLZ24" s="119"/>
      <c r="FMA24" s="119"/>
      <c r="FMB24" s="119"/>
      <c r="FMC24" s="119"/>
      <c r="FMD24" s="119"/>
      <c r="FME24" s="119"/>
      <c r="FMF24" s="119"/>
      <c r="FMG24" s="119"/>
      <c r="FMH24" s="119"/>
      <c r="FMI24" s="119"/>
      <c r="FMJ24" s="119"/>
      <c r="FMK24" s="119"/>
      <c r="FML24" s="119"/>
      <c r="FMM24" s="119"/>
      <c r="FMN24" s="119"/>
      <c r="FMO24" s="119"/>
      <c r="FMP24" s="119"/>
      <c r="FMQ24" s="119"/>
      <c r="FMR24" s="119"/>
      <c r="FMS24" s="119"/>
      <c r="FMT24" s="119"/>
      <c r="FMU24" s="119"/>
      <c r="FMV24" s="119"/>
      <c r="FMW24" s="119"/>
      <c r="FMX24" s="119"/>
      <c r="FMY24" s="119"/>
      <c r="FMZ24" s="119"/>
      <c r="FNA24" s="119"/>
      <c r="FNB24" s="119"/>
      <c r="FNC24" s="119"/>
      <c r="FND24" s="119"/>
      <c r="FNE24" s="119"/>
      <c r="FNF24" s="119"/>
      <c r="FNG24" s="119"/>
      <c r="FNH24" s="119"/>
      <c r="FNI24" s="119"/>
      <c r="FNJ24" s="119"/>
      <c r="FNK24" s="119"/>
      <c r="FNL24" s="119"/>
      <c r="FNM24" s="119"/>
      <c r="FNN24" s="119"/>
      <c r="FNO24" s="119"/>
      <c r="FNP24" s="119"/>
      <c r="FNQ24" s="119"/>
      <c r="FNR24" s="119"/>
      <c r="FNS24" s="119"/>
      <c r="FNT24" s="119"/>
      <c r="FNU24" s="119"/>
      <c r="FNV24" s="119"/>
      <c r="FNW24" s="119"/>
      <c r="FNX24" s="119"/>
      <c r="FNY24" s="119"/>
      <c r="FNZ24" s="119"/>
      <c r="FOA24" s="119"/>
      <c r="FOB24" s="119"/>
      <c r="FOC24" s="119"/>
      <c r="FOD24" s="119"/>
      <c r="FOE24" s="119"/>
      <c r="FOF24" s="119"/>
      <c r="FOG24" s="119"/>
      <c r="FOH24" s="119"/>
      <c r="FOI24" s="119"/>
      <c r="FOJ24" s="119"/>
      <c r="FOK24" s="119"/>
      <c r="FOL24" s="119"/>
      <c r="FOM24" s="119"/>
      <c r="FON24" s="119"/>
      <c r="FOO24" s="119"/>
      <c r="FOP24" s="119"/>
      <c r="FOQ24" s="119"/>
      <c r="FOR24" s="119"/>
      <c r="FOS24" s="119"/>
      <c r="FOT24" s="119"/>
      <c r="FOU24" s="119"/>
      <c r="FOV24" s="119"/>
      <c r="FOW24" s="119"/>
      <c r="FOX24" s="119"/>
      <c r="FOY24" s="119"/>
      <c r="FOZ24" s="119"/>
      <c r="FPA24" s="119"/>
      <c r="FPB24" s="119"/>
      <c r="FPC24" s="119"/>
      <c r="FPD24" s="119"/>
      <c r="FPE24" s="119"/>
      <c r="FPF24" s="119"/>
      <c r="FPG24" s="119"/>
      <c r="FPH24" s="119"/>
      <c r="FPI24" s="119"/>
      <c r="FPJ24" s="119"/>
      <c r="FPK24" s="119"/>
      <c r="FPL24" s="119"/>
      <c r="FPM24" s="119"/>
      <c r="FPN24" s="119"/>
      <c r="FPO24" s="119"/>
      <c r="FPP24" s="119"/>
      <c r="FPQ24" s="119"/>
      <c r="FPR24" s="119"/>
      <c r="FPS24" s="119"/>
      <c r="FPT24" s="119"/>
      <c r="FPU24" s="119"/>
      <c r="FPV24" s="119"/>
      <c r="FPW24" s="119"/>
      <c r="FPX24" s="119"/>
      <c r="FPY24" s="119"/>
      <c r="FPZ24" s="119"/>
      <c r="FQA24" s="119"/>
      <c r="FQB24" s="119"/>
      <c r="FQC24" s="119"/>
      <c r="FQD24" s="119"/>
      <c r="FQE24" s="119"/>
      <c r="FQF24" s="119"/>
      <c r="FQG24" s="119"/>
      <c r="FQH24" s="119"/>
      <c r="FQI24" s="119"/>
      <c r="FQJ24" s="119"/>
      <c r="FQK24" s="119"/>
      <c r="FQL24" s="119"/>
      <c r="FQM24" s="119"/>
      <c r="FQN24" s="119"/>
      <c r="FQO24" s="119"/>
      <c r="FQP24" s="119"/>
      <c r="FQQ24" s="119"/>
      <c r="FQR24" s="119"/>
      <c r="FQS24" s="119"/>
      <c r="FQT24" s="119"/>
      <c r="FQU24" s="119"/>
      <c r="FQV24" s="119"/>
      <c r="FQW24" s="119"/>
      <c r="FQX24" s="119"/>
      <c r="FQY24" s="119"/>
      <c r="FQZ24" s="119"/>
      <c r="FRA24" s="119"/>
      <c r="FRB24" s="119"/>
      <c r="FRC24" s="119"/>
      <c r="FRD24" s="119"/>
      <c r="FRE24" s="119"/>
      <c r="FRF24" s="119"/>
      <c r="FRG24" s="119"/>
      <c r="FRH24" s="119"/>
      <c r="FRI24" s="119"/>
      <c r="FRJ24" s="119"/>
      <c r="FRK24" s="119"/>
      <c r="FRL24" s="119"/>
      <c r="FRM24" s="119"/>
      <c r="FRN24" s="119"/>
      <c r="FRO24" s="119"/>
      <c r="FRP24" s="119"/>
      <c r="FRQ24" s="119"/>
      <c r="FRR24" s="119"/>
      <c r="FRS24" s="119"/>
      <c r="FRT24" s="119"/>
      <c r="FRU24" s="119"/>
      <c r="FRV24" s="119"/>
      <c r="FRW24" s="119"/>
      <c r="FRX24" s="119"/>
      <c r="FRY24" s="119"/>
      <c r="FRZ24" s="119"/>
      <c r="FSA24" s="119"/>
      <c r="FSB24" s="119"/>
      <c r="FSC24" s="119"/>
      <c r="FSD24" s="119"/>
      <c r="FSE24" s="119"/>
      <c r="FSF24" s="119"/>
      <c r="FSG24" s="119"/>
      <c r="FSH24" s="119"/>
      <c r="FSI24" s="119"/>
      <c r="FSJ24" s="119"/>
      <c r="FSK24" s="119"/>
      <c r="FSL24" s="119"/>
      <c r="FSM24" s="119"/>
      <c r="FSN24" s="119"/>
      <c r="FSO24" s="119"/>
      <c r="FSP24" s="119"/>
      <c r="FSQ24" s="119"/>
      <c r="FSR24" s="119"/>
      <c r="FSS24" s="119"/>
      <c r="FST24" s="119"/>
      <c r="FSU24" s="119"/>
      <c r="FSV24" s="119"/>
      <c r="FSW24" s="119"/>
      <c r="FSX24" s="119"/>
      <c r="FSY24" s="119"/>
      <c r="FSZ24" s="119"/>
      <c r="FTA24" s="119"/>
      <c r="FTB24" s="119"/>
      <c r="FTC24" s="119"/>
      <c r="FTD24" s="119"/>
      <c r="FTE24" s="119"/>
      <c r="FTF24" s="119"/>
      <c r="FTG24" s="119"/>
      <c r="FTH24" s="119"/>
      <c r="FTI24" s="119"/>
      <c r="FTJ24" s="119"/>
      <c r="FTK24" s="119"/>
      <c r="FTL24" s="119"/>
      <c r="FTM24" s="119"/>
      <c r="FTN24" s="119"/>
      <c r="FTO24" s="119"/>
      <c r="FTP24" s="119"/>
      <c r="FTQ24" s="119"/>
      <c r="FTR24" s="119"/>
      <c r="FTS24" s="119"/>
      <c r="FTT24" s="119"/>
      <c r="FTU24" s="119"/>
      <c r="FTV24" s="119"/>
      <c r="FTW24" s="119"/>
      <c r="FTX24" s="119"/>
      <c r="FTY24" s="119"/>
      <c r="FTZ24" s="119"/>
      <c r="FUA24" s="119"/>
      <c r="FUB24" s="119"/>
      <c r="FUC24" s="119"/>
      <c r="FUD24" s="119"/>
      <c r="FUE24" s="119"/>
      <c r="FUF24" s="119"/>
      <c r="FUG24" s="119"/>
      <c r="FUH24" s="119"/>
      <c r="FUI24" s="119"/>
      <c r="FUJ24" s="119"/>
      <c r="FUK24" s="119"/>
      <c r="FUL24" s="119"/>
      <c r="FUM24" s="119"/>
      <c r="FUN24" s="119"/>
      <c r="FUO24" s="119"/>
      <c r="FUP24" s="119"/>
      <c r="FUQ24" s="119"/>
      <c r="FUR24" s="119"/>
      <c r="FUS24" s="119"/>
      <c r="FUT24" s="119"/>
      <c r="FUU24" s="119"/>
      <c r="FUV24" s="119"/>
      <c r="FUW24" s="119"/>
      <c r="FUX24" s="119"/>
      <c r="FUY24" s="119"/>
      <c r="FUZ24" s="119"/>
      <c r="FVA24" s="119"/>
      <c r="FVB24" s="119"/>
      <c r="FVC24" s="119"/>
      <c r="FVD24" s="119"/>
      <c r="FVE24" s="119"/>
      <c r="FVF24" s="119"/>
      <c r="FVG24" s="119"/>
      <c r="FVH24" s="119"/>
      <c r="FVI24" s="119"/>
      <c r="FVJ24" s="119"/>
      <c r="FVK24" s="119"/>
      <c r="FVL24" s="119"/>
      <c r="FVM24" s="119"/>
      <c r="FVN24" s="119"/>
      <c r="FVO24" s="119"/>
      <c r="FVP24" s="119"/>
      <c r="FVQ24" s="119"/>
      <c r="FVR24" s="119"/>
      <c r="FVS24" s="119"/>
      <c r="FVT24" s="119"/>
      <c r="FVU24" s="119"/>
      <c r="FVV24" s="119"/>
      <c r="FVW24" s="119"/>
      <c r="FVX24" s="119"/>
      <c r="FVY24" s="119"/>
      <c r="FVZ24" s="119"/>
      <c r="FWA24" s="119"/>
      <c r="FWB24" s="119"/>
      <c r="FWC24" s="119"/>
      <c r="FWD24" s="119"/>
      <c r="FWE24" s="119"/>
      <c r="FWF24" s="119"/>
      <c r="FWG24" s="119"/>
      <c r="FWH24" s="119"/>
      <c r="FWI24" s="119"/>
      <c r="FWJ24" s="119"/>
      <c r="FWK24" s="119"/>
      <c r="FWL24" s="119"/>
      <c r="FWM24" s="119"/>
      <c r="FWN24" s="119"/>
      <c r="FWO24" s="119"/>
      <c r="FWP24" s="119"/>
      <c r="FWQ24" s="119"/>
      <c r="FWR24" s="119"/>
      <c r="FWS24" s="119"/>
      <c r="FWT24" s="119"/>
      <c r="FWU24" s="119"/>
      <c r="FWV24" s="119"/>
      <c r="FWW24" s="119"/>
      <c r="FWX24" s="119"/>
      <c r="FWY24" s="119"/>
      <c r="FWZ24" s="119"/>
      <c r="FXA24" s="119"/>
      <c r="FXB24" s="119"/>
      <c r="FXC24" s="119"/>
      <c r="FXD24" s="119"/>
      <c r="FXE24" s="119"/>
      <c r="FXF24" s="119"/>
      <c r="FXG24" s="119"/>
      <c r="FXH24" s="119"/>
      <c r="FXI24" s="119"/>
      <c r="FXJ24" s="119"/>
      <c r="FXK24" s="119"/>
      <c r="FXL24" s="119"/>
      <c r="FXM24" s="119"/>
      <c r="FXN24" s="119"/>
      <c r="FXO24" s="119"/>
      <c r="FXP24" s="119"/>
      <c r="FXQ24" s="119"/>
      <c r="FXR24" s="119"/>
      <c r="FXS24" s="119"/>
      <c r="FXT24" s="119"/>
      <c r="FXU24" s="119"/>
      <c r="FXV24" s="119"/>
      <c r="FXW24" s="119"/>
      <c r="FXX24" s="119"/>
      <c r="FXY24" s="119"/>
      <c r="FXZ24" s="119"/>
      <c r="FYA24" s="119"/>
      <c r="FYB24" s="119"/>
      <c r="FYC24" s="119"/>
      <c r="FYD24" s="119"/>
      <c r="FYE24" s="119"/>
      <c r="FYF24" s="119"/>
      <c r="FYG24" s="119"/>
      <c r="FYH24" s="119"/>
      <c r="FYI24" s="119"/>
      <c r="FYJ24" s="119"/>
      <c r="FYK24" s="119"/>
      <c r="FYL24" s="119"/>
      <c r="FYM24" s="119"/>
      <c r="FYN24" s="119"/>
      <c r="FYO24" s="119"/>
      <c r="FYP24" s="119"/>
      <c r="FYQ24" s="119"/>
      <c r="FYR24" s="119"/>
      <c r="FYS24" s="119"/>
      <c r="FYT24" s="119"/>
      <c r="FYU24" s="119"/>
      <c r="FYV24" s="119"/>
      <c r="FYW24" s="119"/>
      <c r="FYX24" s="119"/>
      <c r="FYY24" s="119"/>
      <c r="FYZ24" s="119"/>
      <c r="FZA24" s="119"/>
      <c r="FZB24" s="119"/>
      <c r="FZC24" s="119"/>
      <c r="FZD24" s="119"/>
      <c r="FZE24" s="119"/>
      <c r="FZF24" s="119"/>
      <c r="FZG24" s="119"/>
      <c r="FZH24" s="119"/>
      <c r="FZI24" s="119"/>
      <c r="FZJ24" s="119"/>
      <c r="FZK24" s="119"/>
      <c r="FZL24" s="119"/>
      <c r="FZM24" s="119"/>
      <c r="FZN24" s="119"/>
      <c r="FZO24" s="119"/>
      <c r="FZP24" s="119"/>
      <c r="FZQ24" s="119"/>
      <c r="FZR24" s="119"/>
      <c r="FZS24" s="119"/>
      <c r="FZT24" s="119"/>
      <c r="FZU24" s="119"/>
      <c r="FZV24" s="119"/>
      <c r="FZW24" s="119"/>
      <c r="FZX24" s="119"/>
      <c r="FZY24" s="119"/>
      <c r="FZZ24" s="119"/>
      <c r="GAA24" s="119"/>
      <c r="GAB24" s="119"/>
      <c r="GAC24" s="119"/>
      <c r="GAD24" s="119"/>
      <c r="GAE24" s="119"/>
      <c r="GAF24" s="119"/>
      <c r="GAG24" s="119"/>
      <c r="GAH24" s="119"/>
      <c r="GAI24" s="119"/>
      <c r="GAJ24" s="119"/>
      <c r="GAK24" s="119"/>
      <c r="GAL24" s="119"/>
      <c r="GAM24" s="119"/>
      <c r="GAN24" s="119"/>
      <c r="GAO24" s="119"/>
      <c r="GAP24" s="119"/>
      <c r="GAQ24" s="119"/>
      <c r="GAR24" s="119"/>
      <c r="GAS24" s="119"/>
      <c r="GAT24" s="119"/>
      <c r="GAU24" s="119"/>
      <c r="GAV24" s="119"/>
      <c r="GAW24" s="119"/>
      <c r="GAX24" s="119"/>
      <c r="GAY24" s="119"/>
      <c r="GAZ24" s="119"/>
      <c r="GBA24" s="119"/>
      <c r="GBB24" s="119"/>
      <c r="GBC24" s="119"/>
      <c r="GBD24" s="119"/>
      <c r="GBE24" s="119"/>
      <c r="GBF24" s="119"/>
      <c r="GBG24" s="119"/>
      <c r="GBH24" s="119"/>
      <c r="GBI24" s="119"/>
      <c r="GBJ24" s="119"/>
      <c r="GBK24" s="119"/>
      <c r="GBL24" s="119"/>
      <c r="GBM24" s="119"/>
      <c r="GBN24" s="119"/>
      <c r="GBO24" s="119"/>
      <c r="GBP24" s="119"/>
      <c r="GBQ24" s="119"/>
      <c r="GBR24" s="119"/>
      <c r="GBS24" s="119"/>
      <c r="GBT24" s="119"/>
      <c r="GBU24" s="119"/>
      <c r="GBV24" s="119"/>
      <c r="GBW24" s="119"/>
      <c r="GBX24" s="119"/>
      <c r="GBY24" s="119"/>
      <c r="GBZ24" s="119"/>
      <c r="GCA24" s="119"/>
      <c r="GCB24" s="119"/>
      <c r="GCC24" s="119"/>
      <c r="GCD24" s="119"/>
      <c r="GCE24" s="119"/>
      <c r="GCF24" s="119"/>
      <c r="GCG24" s="119"/>
      <c r="GCH24" s="119"/>
      <c r="GCI24" s="119"/>
      <c r="GCJ24" s="119"/>
      <c r="GCK24" s="119"/>
      <c r="GCL24" s="119"/>
      <c r="GCM24" s="119"/>
      <c r="GCN24" s="119"/>
      <c r="GCO24" s="119"/>
      <c r="GCP24" s="119"/>
      <c r="GCQ24" s="119"/>
      <c r="GCR24" s="119"/>
      <c r="GCS24" s="119"/>
      <c r="GCT24" s="119"/>
      <c r="GCU24" s="119"/>
      <c r="GCV24" s="119"/>
      <c r="GCW24" s="119"/>
      <c r="GCX24" s="119"/>
      <c r="GCY24" s="119"/>
      <c r="GCZ24" s="119"/>
      <c r="GDA24" s="119"/>
      <c r="GDB24" s="119"/>
      <c r="GDC24" s="119"/>
      <c r="GDD24" s="119"/>
      <c r="GDE24" s="119"/>
      <c r="GDF24" s="119"/>
      <c r="GDG24" s="119"/>
      <c r="GDH24" s="119"/>
      <c r="GDI24" s="119"/>
      <c r="GDJ24" s="119"/>
      <c r="GDK24" s="119"/>
      <c r="GDL24" s="119"/>
      <c r="GDM24" s="119"/>
      <c r="GDN24" s="119"/>
      <c r="GDO24" s="119"/>
      <c r="GDP24" s="119"/>
      <c r="GDQ24" s="119"/>
      <c r="GDR24" s="119"/>
      <c r="GDS24" s="119"/>
      <c r="GDT24" s="119"/>
      <c r="GDU24" s="119"/>
      <c r="GDV24" s="119"/>
      <c r="GDW24" s="119"/>
      <c r="GDX24" s="119"/>
      <c r="GDY24" s="119"/>
      <c r="GDZ24" s="119"/>
      <c r="GEA24" s="119"/>
      <c r="GEB24" s="119"/>
      <c r="GEC24" s="119"/>
      <c r="GED24" s="119"/>
      <c r="GEE24" s="119"/>
      <c r="GEF24" s="119"/>
      <c r="GEG24" s="119"/>
      <c r="GEH24" s="119"/>
      <c r="GEI24" s="119"/>
      <c r="GEJ24" s="119"/>
      <c r="GEK24" s="119"/>
      <c r="GEL24" s="119"/>
      <c r="GEM24" s="119"/>
      <c r="GEN24" s="119"/>
      <c r="GEO24" s="119"/>
      <c r="GEP24" s="119"/>
      <c r="GEQ24" s="119"/>
      <c r="GER24" s="119"/>
      <c r="GES24" s="119"/>
      <c r="GET24" s="119"/>
      <c r="GEU24" s="119"/>
      <c r="GEV24" s="119"/>
      <c r="GEW24" s="119"/>
      <c r="GEX24" s="119"/>
      <c r="GEY24" s="119"/>
      <c r="GEZ24" s="119"/>
      <c r="GFA24" s="119"/>
      <c r="GFB24" s="119"/>
      <c r="GFC24" s="119"/>
      <c r="GFD24" s="119"/>
      <c r="GFE24" s="119"/>
      <c r="GFF24" s="119"/>
      <c r="GFG24" s="119"/>
      <c r="GFH24" s="119"/>
      <c r="GFI24" s="119"/>
      <c r="GFJ24" s="119"/>
      <c r="GFK24" s="119"/>
      <c r="GFL24" s="119"/>
      <c r="GFM24" s="119"/>
      <c r="GFN24" s="119"/>
      <c r="GFO24" s="119"/>
      <c r="GFP24" s="119"/>
      <c r="GFQ24" s="119"/>
      <c r="GFR24" s="119"/>
      <c r="GFS24" s="119"/>
      <c r="GFT24" s="119"/>
      <c r="GFU24" s="119"/>
      <c r="GFV24" s="119"/>
      <c r="GFW24" s="119"/>
      <c r="GFX24" s="119"/>
      <c r="GFY24" s="119"/>
      <c r="GFZ24" s="119"/>
      <c r="GGA24" s="119"/>
      <c r="GGB24" s="119"/>
      <c r="GGC24" s="119"/>
      <c r="GGD24" s="119"/>
      <c r="GGE24" s="119"/>
      <c r="GGF24" s="119"/>
      <c r="GGG24" s="119"/>
      <c r="GGH24" s="119"/>
      <c r="GGI24" s="119"/>
      <c r="GGJ24" s="119"/>
      <c r="GGK24" s="119"/>
      <c r="GGL24" s="119"/>
      <c r="GGM24" s="119"/>
      <c r="GGN24" s="119"/>
      <c r="GGO24" s="119"/>
      <c r="GGP24" s="119"/>
      <c r="GGQ24" s="119"/>
      <c r="GGR24" s="119"/>
      <c r="GGS24" s="119"/>
      <c r="GGT24" s="119"/>
      <c r="GGU24" s="119"/>
      <c r="GGV24" s="119"/>
      <c r="GGW24" s="119"/>
      <c r="GGX24" s="119"/>
      <c r="GGY24" s="119"/>
      <c r="GGZ24" s="119"/>
      <c r="GHA24" s="119"/>
      <c r="GHB24" s="119"/>
      <c r="GHC24" s="119"/>
      <c r="GHD24" s="119"/>
      <c r="GHE24" s="119"/>
      <c r="GHF24" s="119"/>
      <c r="GHG24" s="119"/>
      <c r="GHH24" s="119"/>
      <c r="GHI24" s="119"/>
      <c r="GHJ24" s="119"/>
      <c r="GHK24" s="119"/>
      <c r="GHL24" s="119"/>
      <c r="GHM24" s="119"/>
      <c r="GHN24" s="119"/>
      <c r="GHO24" s="119"/>
      <c r="GHP24" s="119"/>
      <c r="GHQ24" s="119"/>
      <c r="GHR24" s="119"/>
      <c r="GHS24" s="119"/>
      <c r="GHT24" s="119"/>
      <c r="GHU24" s="119"/>
      <c r="GHV24" s="119"/>
      <c r="GHW24" s="119"/>
      <c r="GHX24" s="119"/>
      <c r="GHY24" s="119"/>
      <c r="GHZ24" s="119"/>
      <c r="GIA24" s="119"/>
      <c r="GIB24" s="119"/>
      <c r="GIC24" s="119"/>
      <c r="GID24" s="119"/>
      <c r="GIE24" s="119"/>
      <c r="GIF24" s="119"/>
      <c r="GIG24" s="119"/>
      <c r="GIH24" s="119"/>
      <c r="GII24" s="119"/>
      <c r="GIJ24" s="119"/>
      <c r="GIK24" s="119"/>
      <c r="GIL24" s="119"/>
      <c r="GIM24" s="119"/>
      <c r="GIN24" s="119"/>
      <c r="GIO24" s="119"/>
      <c r="GIP24" s="119"/>
      <c r="GIQ24" s="119"/>
      <c r="GIR24" s="119"/>
      <c r="GIS24" s="119"/>
      <c r="GIT24" s="119"/>
      <c r="GIU24" s="119"/>
      <c r="GIV24" s="119"/>
      <c r="GIW24" s="119"/>
      <c r="GIX24" s="119"/>
      <c r="GIY24" s="119"/>
      <c r="GIZ24" s="119"/>
      <c r="GJA24" s="119"/>
      <c r="GJB24" s="119"/>
      <c r="GJC24" s="119"/>
      <c r="GJD24" s="119"/>
      <c r="GJE24" s="119"/>
      <c r="GJF24" s="119"/>
      <c r="GJG24" s="119"/>
      <c r="GJH24" s="119"/>
      <c r="GJI24" s="119"/>
      <c r="GJJ24" s="119"/>
      <c r="GJK24" s="119"/>
      <c r="GJL24" s="119"/>
      <c r="GJM24" s="119"/>
      <c r="GJN24" s="119"/>
      <c r="GJO24" s="119"/>
      <c r="GJP24" s="119"/>
      <c r="GJQ24" s="119"/>
      <c r="GJR24" s="119"/>
      <c r="GJS24" s="119"/>
      <c r="GJT24" s="119"/>
      <c r="GJU24" s="119"/>
      <c r="GJV24" s="119"/>
      <c r="GJW24" s="119"/>
      <c r="GJX24" s="119"/>
      <c r="GJY24" s="119"/>
      <c r="GJZ24" s="119"/>
      <c r="GKA24" s="119"/>
      <c r="GKB24" s="119"/>
      <c r="GKC24" s="119"/>
      <c r="GKD24" s="119"/>
      <c r="GKE24" s="119"/>
      <c r="GKF24" s="119"/>
      <c r="GKG24" s="119"/>
      <c r="GKH24" s="119"/>
      <c r="GKI24" s="119"/>
      <c r="GKJ24" s="119"/>
      <c r="GKK24" s="119"/>
      <c r="GKL24" s="119"/>
      <c r="GKM24" s="119"/>
      <c r="GKN24" s="119"/>
      <c r="GKO24" s="119"/>
      <c r="GKP24" s="119"/>
      <c r="GKQ24" s="119"/>
      <c r="GKR24" s="119"/>
      <c r="GKS24" s="119"/>
      <c r="GKT24" s="119"/>
      <c r="GKU24" s="119"/>
      <c r="GKV24" s="119"/>
      <c r="GKW24" s="119"/>
      <c r="GKX24" s="119"/>
      <c r="GKY24" s="119"/>
      <c r="GKZ24" s="119"/>
      <c r="GLA24" s="119"/>
      <c r="GLB24" s="119"/>
      <c r="GLC24" s="119"/>
      <c r="GLD24" s="119"/>
      <c r="GLE24" s="119"/>
      <c r="GLF24" s="119"/>
      <c r="GLG24" s="119"/>
      <c r="GLH24" s="119"/>
      <c r="GLI24" s="119"/>
      <c r="GLJ24" s="119"/>
      <c r="GLK24" s="119"/>
      <c r="GLL24" s="119"/>
      <c r="GLM24" s="119"/>
      <c r="GLN24" s="119"/>
      <c r="GLO24" s="119"/>
      <c r="GLP24" s="119"/>
      <c r="GLQ24" s="119"/>
      <c r="GLR24" s="119"/>
      <c r="GLS24" s="119"/>
      <c r="GLT24" s="119"/>
      <c r="GLU24" s="119"/>
      <c r="GLV24" s="119"/>
      <c r="GLW24" s="119"/>
      <c r="GLX24" s="119"/>
      <c r="GLY24" s="119"/>
      <c r="GLZ24" s="119"/>
      <c r="GMA24" s="119"/>
      <c r="GMB24" s="119"/>
      <c r="GMC24" s="119"/>
      <c r="GMD24" s="119"/>
      <c r="GME24" s="119"/>
      <c r="GMF24" s="119"/>
      <c r="GMG24" s="119"/>
      <c r="GMH24" s="119"/>
      <c r="GMI24" s="119"/>
      <c r="GMJ24" s="119"/>
      <c r="GMK24" s="119"/>
      <c r="GML24" s="119"/>
      <c r="GMM24" s="119"/>
      <c r="GMN24" s="119"/>
      <c r="GMO24" s="119"/>
      <c r="GMP24" s="119"/>
      <c r="GMQ24" s="119"/>
      <c r="GMR24" s="119"/>
      <c r="GMS24" s="119"/>
      <c r="GMT24" s="119"/>
      <c r="GMU24" s="119"/>
      <c r="GMV24" s="119"/>
      <c r="GMW24" s="119"/>
      <c r="GMX24" s="119"/>
      <c r="GMY24" s="119"/>
      <c r="GMZ24" s="119"/>
      <c r="GNA24" s="119"/>
      <c r="GNB24" s="119"/>
      <c r="GNC24" s="119"/>
      <c r="GND24" s="119"/>
      <c r="GNE24" s="119"/>
      <c r="GNF24" s="119"/>
      <c r="GNG24" s="119"/>
      <c r="GNH24" s="119"/>
      <c r="GNI24" s="119"/>
      <c r="GNJ24" s="119"/>
      <c r="GNK24" s="119"/>
      <c r="GNL24" s="119"/>
      <c r="GNM24" s="119"/>
      <c r="GNN24" s="119"/>
      <c r="GNO24" s="119"/>
      <c r="GNP24" s="119"/>
      <c r="GNQ24" s="119"/>
      <c r="GNR24" s="119"/>
      <c r="GNS24" s="119"/>
      <c r="GNT24" s="119"/>
      <c r="GNU24" s="119"/>
      <c r="GNV24" s="119"/>
      <c r="GNW24" s="119"/>
      <c r="GNX24" s="119"/>
      <c r="GNY24" s="119"/>
      <c r="GNZ24" s="119"/>
      <c r="GOA24" s="119"/>
      <c r="GOB24" s="119"/>
      <c r="GOC24" s="119"/>
      <c r="GOD24" s="119"/>
      <c r="GOE24" s="119"/>
      <c r="GOF24" s="119"/>
      <c r="GOG24" s="119"/>
      <c r="GOH24" s="119"/>
      <c r="GOI24" s="119"/>
      <c r="GOJ24" s="119"/>
      <c r="GOK24" s="119"/>
      <c r="GOL24" s="119"/>
      <c r="GOM24" s="119"/>
      <c r="GON24" s="119"/>
      <c r="GOO24" s="119"/>
      <c r="GOP24" s="119"/>
      <c r="GOQ24" s="119"/>
      <c r="GOR24" s="119"/>
      <c r="GOS24" s="119"/>
      <c r="GOT24" s="119"/>
      <c r="GOU24" s="119"/>
      <c r="GOV24" s="119"/>
      <c r="GOW24" s="119"/>
      <c r="GOX24" s="119"/>
      <c r="GOY24" s="119"/>
      <c r="GOZ24" s="119"/>
      <c r="GPA24" s="119"/>
      <c r="GPB24" s="119"/>
      <c r="GPC24" s="119"/>
      <c r="GPD24" s="119"/>
      <c r="GPE24" s="119"/>
      <c r="GPF24" s="119"/>
      <c r="GPG24" s="119"/>
      <c r="GPH24" s="119"/>
      <c r="GPI24" s="119"/>
      <c r="GPJ24" s="119"/>
      <c r="GPK24" s="119"/>
      <c r="GPL24" s="119"/>
      <c r="GPM24" s="119"/>
      <c r="GPN24" s="119"/>
      <c r="GPO24" s="119"/>
      <c r="GPP24" s="119"/>
      <c r="GPQ24" s="119"/>
      <c r="GPR24" s="119"/>
      <c r="GPS24" s="119"/>
      <c r="GPT24" s="119"/>
      <c r="GPU24" s="119"/>
      <c r="GPV24" s="119"/>
      <c r="GPW24" s="119"/>
      <c r="GPX24" s="119"/>
      <c r="GPY24" s="119"/>
      <c r="GPZ24" s="119"/>
      <c r="GQA24" s="119"/>
      <c r="GQB24" s="119"/>
      <c r="GQC24" s="119"/>
      <c r="GQD24" s="119"/>
      <c r="GQE24" s="119"/>
      <c r="GQF24" s="119"/>
      <c r="GQG24" s="119"/>
      <c r="GQH24" s="119"/>
      <c r="GQI24" s="119"/>
      <c r="GQJ24" s="119"/>
      <c r="GQK24" s="119"/>
      <c r="GQL24" s="119"/>
      <c r="GQM24" s="119"/>
      <c r="GQN24" s="119"/>
      <c r="GQO24" s="119"/>
      <c r="GQP24" s="119"/>
      <c r="GQQ24" s="119"/>
      <c r="GQR24" s="119"/>
      <c r="GQS24" s="119"/>
      <c r="GQT24" s="119"/>
      <c r="GQU24" s="119"/>
      <c r="GQV24" s="119"/>
      <c r="GQW24" s="119"/>
      <c r="GQX24" s="119"/>
      <c r="GQY24" s="119"/>
      <c r="GQZ24" s="119"/>
      <c r="GRA24" s="119"/>
      <c r="GRB24" s="119"/>
      <c r="GRC24" s="119"/>
      <c r="GRD24" s="119"/>
      <c r="GRE24" s="119"/>
      <c r="GRF24" s="119"/>
      <c r="GRG24" s="119"/>
      <c r="GRH24" s="119"/>
      <c r="GRI24" s="119"/>
      <c r="GRJ24" s="119"/>
      <c r="GRK24" s="119"/>
      <c r="GRL24" s="119"/>
      <c r="GRM24" s="119"/>
      <c r="GRN24" s="119"/>
      <c r="GRO24" s="119"/>
      <c r="GRP24" s="119"/>
      <c r="GRQ24" s="119"/>
      <c r="GRR24" s="119"/>
      <c r="GRS24" s="119"/>
      <c r="GRT24" s="119"/>
      <c r="GRU24" s="119"/>
      <c r="GRV24" s="119"/>
      <c r="GRW24" s="119"/>
      <c r="GRX24" s="119"/>
      <c r="GRY24" s="119"/>
      <c r="GRZ24" s="119"/>
      <c r="GSA24" s="119"/>
      <c r="GSB24" s="119"/>
      <c r="GSC24" s="119"/>
      <c r="GSD24" s="119"/>
      <c r="GSE24" s="119"/>
      <c r="GSF24" s="119"/>
      <c r="GSG24" s="119"/>
      <c r="GSH24" s="119"/>
      <c r="GSI24" s="119"/>
      <c r="GSJ24" s="119"/>
      <c r="GSK24" s="119"/>
      <c r="GSL24" s="119"/>
      <c r="GSM24" s="119"/>
      <c r="GSN24" s="119"/>
      <c r="GSO24" s="119"/>
      <c r="GSP24" s="119"/>
      <c r="GSQ24" s="119"/>
      <c r="GSR24" s="119"/>
      <c r="GSS24" s="119"/>
      <c r="GST24" s="119"/>
      <c r="GSU24" s="119"/>
      <c r="GSV24" s="119"/>
      <c r="GSW24" s="119"/>
      <c r="GSX24" s="119"/>
      <c r="GSY24" s="119"/>
      <c r="GSZ24" s="119"/>
      <c r="GTA24" s="119"/>
      <c r="GTB24" s="119"/>
      <c r="GTC24" s="119"/>
      <c r="GTD24" s="119"/>
      <c r="GTE24" s="119"/>
      <c r="GTF24" s="119"/>
      <c r="GTG24" s="119"/>
      <c r="GTH24" s="119"/>
      <c r="GTI24" s="119"/>
      <c r="GTJ24" s="119"/>
      <c r="GTK24" s="119"/>
      <c r="GTL24" s="119"/>
      <c r="GTM24" s="119"/>
      <c r="GTN24" s="119"/>
      <c r="GTO24" s="119"/>
      <c r="GTP24" s="119"/>
      <c r="GTQ24" s="119"/>
      <c r="GTR24" s="119"/>
      <c r="GTS24" s="119"/>
      <c r="GTT24" s="119"/>
      <c r="GTU24" s="119"/>
      <c r="GTV24" s="119"/>
      <c r="GTW24" s="119"/>
      <c r="GTX24" s="119"/>
      <c r="GTY24" s="119"/>
      <c r="GTZ24" s="119"/>
      <c r="GUA24" s="119"/>
      <c r="GUB24" s="119"/>
      <c r="GUC24" s="119"/>
      <c r="GUD24" s="119"/>
      <c r="GUE24" s="119"/>
      <c r="GUF24" s="119"/>
      <c r="GUG24" s="119"/>
      <c r="GUH24" s="119"/>
      <c r="GUI24" s="119"/>
      <c r="GUJ24" s="119"/>
      <c r="GUK24" s="119"/>
      <c r="GUL24" s="119"/>
      <c r="GUM24" s="119"/>
      <c r="GUN24" s="119"/>
      <c r="GUO24" s="119"/>
      <c r="GUP24" s="119"/>
      <c r="GUQ24" s="119"/>
      <c r="GUR24" s="119"/>
      <c r="GUS24" s="119"/>
      <c r="GUT24" s="119"/>
      <c r="GUU24" s="119"/>
      <c r="GUV24" s="119"/>
      <c r="GUW24" s="119"/>
      <c r="GUX24" s="119"/>
      <c r="GUY24" s="119"/>
      <c r="GUZ24" s="119"/>
      <c r="GVA24" s="119"/>
      <c r="GVB24" s="119"/>
      <c r="GVC24" s="119"/>
      <c r="GVD24" s="119"/>
      <c r="GVE24" s="119"/>
      <c r="GVF24" s="119"/>
      <c r="GVG24" s="119"/>
      <c r="GVH24" s="119"/>
      <c r="GVI24" s="119"/>
      <c r="GVJ24" s="119"/>
      <c r="GVK24" s="119"/>
      <c r="GVL24" s="119"/>
      <c r="GVM24" s="119"/>
      <c r="GVN24" s="119"/>
      <c r="GVO24" s="119"/>
      <c r="GVP24" s="119"/>
      <c r="GVQ24" s="119"/>
      <c r="GVR24" s="119"/>
      <c r="GVS24" s="119"/>
      <c r="GVT24" s="119"/>
      <c r="GVU24" s="119"/>
      <c r="GVV24" s="119"/>
      <c r="GVW24" s="119"/>
      <c r="GVX24" s="119"/>
      <c r="GVY24" s="119"/>
      <c r="GVZ24" s="119"/>
      <c r="GWA24" s="119"/>
      <c r="GWB24" s="119"/>
      <c r="GWC24" s="119"/>
      <c r="GWD24" s="119"/>
      <c r="GWE24" s="119"/>
      <c r="GWF24" s="119"/>
      <c r="GWG24" s="119"/>
      <c r="GWH24" s="119"/>
      <c r="GWI24" s="119"/>
      <c r="GWJ24" s="119"/>
      <c r="GWK24" s="119"/>
      <c r="GWL24" s="119"/>
      <c r="GWM24" s="119"/>
      <c r="GWN24" s="119"/>
      <c r="GWO24" s="119"/>
      <c r="GWP24" s="119"/>
      <c r="GWQ24" s="119"/>
      <c r="GWR24" s="119"/>
      <c r="GWS24" s="119"/>
      <c r="GWT24" s="119"/>
      <c r="GWU24" s="119"/>
      <c r="GWV24" s="119"/>
      <c r="GWW24" s="119"/>
      <c r="GWX24" s="119"/>
      <c r="GWY24" s="119"/>
      <c r="GWZ24" s="119"/>
      <c r="GXA24" s="119"/>
      <c r="GXB24" s="119"/>
      <c r="GXC24" s="119"/>
      <c r="GXD24" s="119"/>
      <c r="GXE24" s="119"/>
      <c r="GXF24" s="119"/>
      <c r="GXG24" s="119"/>
      <c r="GXH24" s="119"/>
      <c r="GXI24" s="119"/>
      <c r="GXJ24" s="119"/>
      <c r="GXK24" s="119"/>
      <c r="GXL24" s="119"/>
      <c r="GXM24" s="119"/>
      <c r="GXN24" s="119"/>
      <c r="GXO24" s="119"/>
      <c r="GXP24" s="119"/>
      <c r="GXQ24" s="119"/>
      <c r="GXR24" s="119"/>
      <c r="GXS24" s="119"/>
      <c r="GXT24" s="119"/>
      <c r="GXU24" s="119"/>
      <c r="GXV24" s="119"/>
      <c r="GXW24" s="119"/>
      <c r="GXX24" s="119"/>
      <c r="GXY24" s="119"/>
      <c r="GXZ24" s="119"/>
      <c r="GYA24" s="119"/>
      <c r="GYB24" s="119"/>
      <c r="GYC24" s="119"/>
      <c r="GYD24" s="119"/>
      <c r="GYE24" s="119"/>
      <c r="GYF24" s="119"/>
      <c r="GYG24" s="119"/>
      <c r="GYH24" s="119"/>
      <c r="GYI24" s="119"/>
      <c r="GYJ24" s="119"/>
      <c r="GYK24" s="119"/>
      <c r="GYL24" s="119"/>
      <c r="GYM24" s="119"/>
      <c r="GYN24" s="119"/>
      <c r="GYO24" s="119"/>
      <c r="GYP24" s="119"/>
      <c r="GYQ24" s="119"/>
      <c r="GYR24" s="119"/>
      <c r="GYS24" s="119"/>
      <c r="GYT24" s="119"/>
      <c r="GYU24" s="119"/>
      <c r="GYV24" s="119"/>
      <c r="GYW24" s="119"/>
      <c r="GYX24" s="119"/>
      <c r="GYY24" s="119"/>
      <c r="GYZ24" s="119"/>
      <c r="GZA24" s="119"/>
      <c r="GZB24" s="119"/>
      <c r="GZC24" s="119"/>
      <c r="GZD24" s="119"/>
      <c r="GZE24" s="119"/>
      <c r="GZF24" s="119"/>
      <c r="GZG24" s="119"/>
      <c r="GZH24" s="119"/>
      <c r="GZI24" s="119"/>
      <c r="GZJ24" s="119"/>
      <c r="GZK24" s="119"/>
      <c r="GZL24" s="119"/>
      <c r="GZM24" s="119"/>
      <c r="GZN24" s="119"/>
      <c r="GZO24" s="119"/>
      <c r="GZP24" s="119"/>
      <c r="GZQ24" s="119"/>
      <c r="GZR24" s="119"/>
      <c r="GZS24" s="119"/>
      <c r="GZT24" s="119"/>
      <c r="GZU24" s="119"/>
      <c r="GZV24" s="119"/>
      <c r="GZW24" s="119"/>
      <c r="GZX24" s="119"/>
      <c r="GZY24" s="119"/>
      <c r="GZZ24" s="119"/>
      <c r="HAA24" s="119"/>
      <c r="HAB24" s="119"/>
      <c r="HAC24" s="119"/>
      <c r="HAD24" s="119"/>
      <c r="HAE24" s="119"/>
      <c r="HAF24" s="119"/>
      <c r="HAG24" s="119"/>
      <c r="HAH24" s="119"/>
      <c r="HAI24" s="119"/>
      <c r="HAJ24" s="119"/>
      <c r="HAK24" s="119"/>
      <c r="HAL24" s="119"/>
      <c r="HAM24" s="119"/>
      <c r="HAN24" s="119"/>
      <c r="HAO24" s="119"/>
      <c r="HAP24" s="119"/>
      <c r="HAQ24" s="119"/>
      <c r="HAR24" s="119"/>
      <c r="HAS24" s="119"/>
      <c r="HAT24" s="119"/>
      <c r="HAU24" s="119"/>
      <c r="HAV24" s="119"/>
      <c r="HAW24" s="119"/>
      <c r="HAX24" s="119"/>
      <c r="HAY24" s="119"/>
      <c r="HAZ24" s="119"/>
      <c r="HBA24" s="119"/>
      <c r="HBB24" s="119"/>
      <c r="HBC24" s="119"/>
      <c r="HBD24" s="119"/>
      <c r="HBE24" s="119"/>
      <c r="HBF24" s="119"/>
      <c r="HBG24" s="119"/>
      <c r="HBH24" s="119"/>
      <c r="HBI24" s="119"/>
      <c r="HBJ24" s="119"/>
      <c r="HBK24" s="119"/>
      <c r="HBL24" s="119"/>
      <c r="HBM24" s="119"/>
      <c r="HBN24" s="119"/>
      <c r="HBO24" s="119"/>
      <c r="HBP24" s="119"/>
      <c r="HBQ24" s="119"/>
      <c r="HBR24" s="119"/>
      <c r="HBS24" s="119"/>
      <c r="HBT24" s="119"/>
      <c r="HBU24" s="119"/>
      <c r="HBV24" s="119"/>
      <c r="HBW24" s="119"/>
      <c r="HBX24" s="119"/>
      <c r="HBY24" s="119"/>
      <c r="HBZ24" s="119"/>
      <c r="HCA24" s="119"/>
      <c r="HCB24" s="119"/>
      <c r="HCC24" s="119"/>
      <c r="HCD24" s="119"/>
      <c r="HCE24" s="119"/>
      <c r="HCF24" s="119"/>
      <c r="HCG24" s="119"/>
      <c r="HCH24" s="119"/>
      <c r="HCI24" s="119"/>
      <c r="HCJ24" s="119"/>
      <c r="HCK24" s="119"/>
      <c r="HCL24" s="119"/>
      <c r="HCM24" s="119"/>
      <c r="HCN24" s="119"/>
      <c r="HCO24" s="119"/>
      <c r="HCP24" s="119"/>
      <c r="HCQ24" s="119"/>
      <c r="HCR24" s="119"/>
      <c r="HCS24" s="119"/>
      <c r="HCT24" s="119"/>
      <c r="HCU24" s="119"/>
      <c r="HCV24" s="119"/>
      <c r="HCW24" s="119"/>
      <c r="HCX24" s="119"/>
      <c r="HCY24" s="119"/>
      <c r="HCZ24" s="119"/>
      <c r="HDA24" s="119"/>
      <c r="HDB24" s="119"/>
      <c r="HDC24" s="119"/>
      <c r="HDD24" s="119"/>
      <c r="HDE24" s="119"/>
      <c r="HDF24" s="119"/>
      <c r="HDG24" s="119"/>
      <c r="HDH24" s="119"/>
      <c r="HDI24" s="119"/>
      <c r="HDJ24" s="119"/>
      <c r="HDK24" s="119"/>
      <c r="HDL24" s="119"/>
      <c r="HDM24" s="119"/>
      <c r="HDN24" s="119"/>
      <c r="HDO24" s="119"/>
      <c r="HDP24" s="119"/>
      <c r="HDQ24" s="119"/>
      <c r="HDR24" s="119"/>
      <c r="HDS24" s="119"/>
      <c r="HDT24" s="119"/>
      <c r="HDU24" s="119"/>
      <c r="HDV24" s="119"/>
      <c r="HDW24" s="119"/>
      <c r="HDX24" s="119"/>
      <c r="HDY24" s="119"/>
      <c r="HDZ24" s="119"/>
      <c r="HEA24" s="119"/>
      <c r="HEB24" s="119"/>
      <c r="HEC24" s="119"/>
      <c r="HED24" s="119"/>
      <c r="HEE24" s="119"/>
      <c r="HEF24" s="119"/>
      <c r="HEG24" s="119"/>
      <c r="HEH24" s="119"/>
      <c r="HEI24" s="119"/>
      <c r="HEJ24" s="119"/>
      <c r="HEK24" s="119"/>
      <c r="HEL24" s="119"/>
      <c r="HEM24" s="119"/>
      <c r="HEN24" s="119"/>
      <c r="HEO24" s="119"/>
      <c r="HEP24" s="119"/>
      <c r="HEQ24" s="119"/>
      <c r="HER24" s="119"/>
      <c r="HES24" s="119"/>
      <c r="HET24" s="119"/>
      <c r="HEU24" s="119"/>
      <c r="HEV24" s="119"/>
      <c r="HEW24" s="119"/>
      <c r="HEX24" s="119"/>
      <c r="HEY24" s="119"/>
      <c r="HEZ24" s="119"/>
      <c r="HFA24" s="119"/>
      <c r="HFB24" s="119"/>
      <c r="HFC24" s="119"/>
      <c r="HFD24" s="119"/>
      <c r="HFE24" s="119"/>
      <c r="HFF24" s="119"/>
      <c r="HFG24" s="119"/>
      <c r="HFH24" s="119"/>
      <c r="HFI24" s="119"/>
      <c r="HFJ24" s="119"/>
      <c r="HFK24" s="119"/>
      <c r="HFL24" s="119"/>
      <c r="HFM24" s="119"/>
      <c r="HFN24" s="119"/>
      <c r="HFO24" s="119"/>
      <c r="HFP24" s="119"/>
      <c r="HFQ24" s="119"/>
      <c r="HFR24" s="119"/>
      <c r="HFS24" s="119"/>
      <c r="HFT24" s="119"/>
      <c r="HFU24" s="119"/>
      <c r="HFV24" s="119"/>
      <c r="HFW24" s="119"/>
      <c r="HFX24" s="119"/>
      <c r="HFY24" s="119"/>
      <c r="HFZ24" s="119"/>
      <c r="HGA24" s="119"/>
      <c r="HGB24" s="119"/>
      <c r="HGC24" s="119"/>
      <c r="HGD24" s="119"/>
      <c r="HGE24" s="119"/>
      <c r="HGF24" s="119"/>
      <c r="HGG24" s="119"/>
      <c r="HGH24" s="119"/>
      <c r="HGI24" s="119"/>
      <c r="HGJ24" s="119"/>
      <c r="HGK24" s="119"/>
      <c r="HGL24" s="119"/>
      <c r="HGM24" s="119"/>
      <c r="HGN24" s="119"/>
      <c r="HGO24" s="119"/>
      <c r="HGP24" s="119"/>
      <c r="HGQ24" s="119"/>
      <c r="HGR24" s="119"/>
      <c r="HGS24" s="119"/>
      <c r="HGT24" s="119"/>
      <c r="HGU24" s="119"/>
      <c r="HGV24" s="119"/>
      <c r="HGW24" s="119"/>
      <c r="HGX24" s="119"/>
      <c r="HGY24" s="119"/>
      <c r="HGZ24" s="119"/>
      <c r="HHA24" s="119"/>
      <c r="HHB24" s="119"/>
      <c r="HHC24" s="119"/>
      <c r="HHD24" s="119"/>
      <c r="HHE24" s="119"/>
      <c r="HHF24" s="119"/>
      <c r="HHG24" s="119"/>
      <c r="HHH24" s="119"/>
      <c r="HHI24" s="119"/>
      <c r="HHJ24" s="119"/>
      <c r="HHK24" s="119"/>
      <c r="HHL24" s="119"/>
      <c r="HHM24" s="119"/>
      <c r="HHN24" s="119"/>
      <c r="HHO24" s="119"/>
      <c r="HHP24" s="119"/>
      <c r="HHQ24" s="119"/>
      <c r="HHR24" s="119"/>
      <c r="HHS24" s="119"/>
      <c r="HHT24" s="119"/>
      <c r="HHU24" s="119"/>
      <c r="HHV24" s="119"/>
      <c r="HHW24" s="119"/>
      <c r="HHX24" s="119"/>
      <c r="HHY24" s="119"/>
      <c r="HHZ24" s="119"/>
      <c r="HIA24" s="119"/>
      <c r="HIB24" s="119"/>
      <c r="HIC24" s="119"/>
      <c r="HID24" s="119"/>
      <c r="HIE24" s="119"/>
      <c r="HIF24" s="119"/>
      <c r="HIG24" s="119"/>
      <c r="HIH24" s="119"/>
      <c r="HII24" s="119"/>
      <c r="HIJ24" s="119"/>
      <c r="HIK24" s="119"/>
      <c r="HIL24" s="119"/>
      <c r="HIM24" s="119"/>
      <c r="HIN24" s="119"/>
      <c r="HIO24" s="119"/>
      <c r="HIP24" s="119"/>
      <c r="HIQ24" s="119"/>
      <c r="HIR24" s="119"/>
      <c r="HIS24" s="119"/>
      <c r="HIT24" s="119"/>
      <c r="HIU24" s="119"/>
      <c r="HIV24" s="119"/>
      <c r="HIW24" s="119"/>
      <c r="HIX24" s="119"/>
      <c r="HIY24" s="119"/>
      <c r="HIZ24" s="119"/>
      <c r="HJA24" s="119"/>
      <c r="HJB24" s="119"/>
      <c r="HJC24" s="119"/>
      <c r="HJD24" s="119"/>
      <c r="HJE24" s="119"/>
      <c r="HJF24" s="119"/>
      <c r="HJG24" s="119"/>
      <c r="HJH24" s="119"/>
      <c r="HJI24" s="119"/>
      <c r="HJJ24" s="119"/>
      <c r="HJK24" s="119"/>
      <c r="HJL24" s="119"/>
      <c r="HJM24" s="119"/>
      <c r="HJN24" s="119"/>
      <c r="HJO24" s="119"/>
      <c r="HJP24" s="119"/>
      <c r="HJQ24" s="119"/>
      <c r="HJR24" s="119"/>
      <c r="HJS24" s="119"/>
      <c r="HJT24" s="119"/>
      <c r="HJU24" s="119"/>
      <c r="HJV24" s="119"/>
      <c r="HJW24" s="119"/>
      <c r="HJX24" s="119"/>
      <c r="HJY24" s="119"/>
      <c r="HJZ24" s="119"/>
      <c r="HKA24" s="119"/>
      <c r="HKB24" s="119"/>
      <c r="HKC24" s="119"/>
      <c r="HKD24" s="119"/>
      <c r="HKE24" s="119"/>
      <c r="HKF24" s="119"/>
      <c r="HKG24" s="119"/>
      <c r="HKH24" s="119"/>
      <c r="HKI24" s="119"/>
      <c r="HKJ24" s="119"/>
      <c r="HKK24" s="119"/>
      <c r="HKL24" s="119"/>
      <c r="HKM24" s="119"/>
      <c r="HKN24" s="119"/>
      <c r="HKO24" s="119"/>
      <c r="HKP24" s="119"/>
      <c r="HKQ24" s="119"/>
      <c r="HKR24" s="119"/>
      <c r="HKS24" s="119"/>
      <c r="HKT24" s="119"/>
      <c r="HKU24" s="119"/>
      <c r="HKV24" s="119"/>
      <c r="HKW24" s="119"/>
      <c r="HKX24" s="119"/>
      <c r="HKY24" s="119"/>
      <c r="HKZ24" s="119"/>
      <c r="HLA24" s="119"/>
      <c r="HLB24" s="119"/>
      <c r="HLC24" s="119"/>
      <c r="HLD24" s="119"/>
      <c r="HLE24" s="119"/>
      <c r="HLF24" s="119"/>
      <c r="HLG24" s="119"/>
      <c r="HLH24" s="119"/>
      <c r="HLI24" s="119"/>
      <c r="HLJ24" s="119"/>
      <c r="HLK24" s="119"/>
      <c r="HLL24" s="119"/>
      <c r="HLM24" s="119"/>
      <c r="HLN24" s="119"/>
      <c r="HLO24" s="119"/>
      <c r="HLP24" s="119"/>
      <c r="HLQ24" s="119"/>
      <c r="HLR24" s="119"/>
      <c r="HLS24" s="119"/>
      <c r="HLT24" s="119"/>
      <c r="HLU24" s="119"/>
      <c r="HLV24" s="119"/>
      <c r="HLW24" s="119"/>
      <c r="HLX24" s="119"/>
      <c r="HLY24" s="119"/>
      <c r="HLZ24" s="119"/>
      <c r="HMA24" s="119"/>
      <c r="HMB24" s="119"/>
      <c r="HMC24" s="119"/>
      <c r="HMD24" s="119"/>
      <c r="HME24" s="119"/>
      <c r="HMF24" s="119"/>
      <c r="HMG24" s="119"/>
      <c r="HMH24" s="119"/>
      <c r="HMI24" s="119"/>
      <c r="HMJ24" s="119"/>
      <c r="HMK24" s="119"/>
      <c r="HML24" s="119"/>
      <c r="HMM24" s="119"/>
      <c r="HMN24" s="119"/>
      <c r="HMO24" s="119"/>
      <c r="HMP24" s="119"/>
      <c r="HMQ24" s="119"/>
      <c r="HMR24" s="119"/>
      <c r="HMS24" s="119"/>
      <c r="HMT24" s="119"/>
      <c r="HMU24" s="119"/>
      <c r="HMV24" s="119"/>
      <c r="HMW24" s="119"/>
      <c r="HMX24" s="119"/>
      <c r="HMY24" s="119"/>
      <c r="HMZ24" s="119"/>
      <c r="HNA24" s="119"/>
      <c r="HNB24" s="119"/>
      <c r="HNC24" s="119"/>
      <c r="HND24" s="119"/>
      <c r="HNE24" s="119"/>
      <c r="HNF24" s="119"/>
      <c r="HNG24" s="119"/>
      <c r="HNH24" s="119"/>
      <c r="HNI24" s="119"/>
      <c r="HNJ24" s="119"/>
      <c r="HNK24" s="119"/>
      <c r="HNL24" s="119"/>
      <c r="HNM24" s="119"/>
      <c r="HNN24" s="119"/>
      <c r="HNO24" s="119"/>
      <c r="HNP24" s="119"/>
      <c r="HNQ24" s="119"/>
      <c r="HNR24" s="119"/>
      <c r="HNS24" s="119"/>
      <c r="HNT24" s="119"/>
      <c r="HNU24" s="119"/>
      <c r="HNV24" s="119"/>
      <c r="HNW24" s="119"/>
      <c r="HNX24" s="119"/>
      <c r="HNY24" s="119"/>
      <c r="HNZ24" s="119"/>
      <c r="HOA24" s="119"/>
      <c r="HOB24" s="119"/>
      <c r="HOC24" s="119"/>
      <c r="HOD24" s="119"/>
      <c r="HOE24" s="119"/>
      <c r="HOF24" s="119"/>
      <c r="HOG24" s="119"/>
      <c r="HOH24" s="119"/>
      <c r="HOI24" s="119"/>
      <c r="HOJ24" s="119"/>
      <c r="HOK24" s="119"/>
      <c r="HOL24" s="119"/>
      <c r="HOM24" s="119"/>
      <c r="HON24" s="119"/>
      <c r="HOO24" s="119"/>
      <c r="HOP24" s="119"/>
      <c r="HOQ24" s="119"/>
      <c r="HOR24" s="119"/>
      <c r="HOS24" s="119"/>
      <c r="HOT24" s="119"/>
      <c r="HOU24" s="119"/>
      <c r="HOV24" s="119"/>
      <c r="HOW24" s="119"/>
      <c r="HOX24" s="119"/>
      <c r="HOY24" s="119"/>
      <c r="HOZ24" s="119"/>
      <c r="HPA24" s="119"/>
      <c r="HPB24" s="119"/>
      <c r="HPC24" s="119"/>
      <c r="HPD24" s="119"/>
      <c r="HPE24" s="119"/>
      <c r="HPF24" s="119"/>
      <c r="HPG24" s="119"/>
      <c r="HPH24" s="119"/>
      <c r="HPI24" s="119"/>
      <c r="HPJ24" s="119"/>
      <c r="HPK24" s="119"/>
      <c r="HPL24" s="119"/>
      <c r="HPM24" s="119"/>
      <c r="HPN24" s="119"/>
      <c r="HPO24" s="119"/>
      <c r="HPP24" s="119"/>
      <c r="HPQ24" s="119"/>
      <c r="HPR24" s="119"/>
      <c r="HPS24" s="119"/>
      <c r="HPT24" s="119"/>
      <c r="HPU24" s="119"/>
      <c r="HPV24" s="119"/>
      <c r="HPW24" s="119"/>
      <c r="HPX24" s="119"/>
      <c r="HPY24" s="119"/>
      <c r="HPZ24" s="119"/>
      <c r="HQA24" s="119"/>
      <c r="HQB24" s="119"/>
      <c r="HQC24" s="119"/>
      <c r="HQD24" s="119"/>
      <c r="HQE24" s="119"/>
      <c r="HQF24" s="119"/>
      <c r="HQG24" s="119"/>
      <c r="HQH24" s="119"/>
      <c r="HQI24" s="119"/>
      <c r="HQJ24" s="119"/>
      <c r="HQK24" s="119"/>
      <c r="HQL24" s="119"/>
      <c r="HQM24" s="119"/>
      <c r="HQN24" s="119"/>
      <c r="HQO24" s="119"/>
      <c r="HQP24" s="119"/>
      <c r="HQQ24" s="119"/>
      <c r="HQR24" s="119"/>
      <c r="HQS24" s="119"/>
      <c r="HQT24" s="119"/>
      <c r="HQU24" s="119"/>
      <c r="HQV24" s="119"/>
      <c r="HQW24" s="119"/>
      <c r="HQX24" s="119"/>
      <c r="HQY24" s="119"/>
      <c r="HQZ24" s="119"/>
      <c r="HRA24" s="119"/>
      <c r="HRB24" s="119"/>
      <c r="HRC24" s="119"/>
      <c r="HRD24" s="119"/>
      <c r="HRE24" s="119"/>
      <c r="HRF24" s="119"/>
      <c r="HRG24" s="119"/>
      <c r="HRH24" s="119"/>
      <c r="HRI24" s="119"/>
      <c r="HRJ24" s="119"/>
      <c r="HRK24" s="119"/>
      <c r="HRL24" s="119"/>
      <c r="HRM24" s="119"/>
      <c r="HRN24" s="119"/>
      <c r="HRO24" s="119"/>
      <c r="HRP24" s="119"/>
      <c r="HRQ24" s="119"/>
      <c r="HRR24" s="119"/>
      <c r="HRS24" s="119"/>
      <c r="HRT24" s="119"/>
      <c r="HRU24" s="119"/>
      <c r="HRV24" s="119"/>
      <c r="HRW24" s="119"/>
      <c r="HRX24" s="119"/>
      <c r="HRY24" s="119"/>
      <c r="HRZ24" s="119"/>
      <c r="HSA24" s="119"/>
      <c r="HSB24" s="119"/>
      <c r="HSC24" s="119"/>
      <c r="HSD24" s="119"/>
      <c r="HSE24" s="119"/>
      <c r="HSF24" s="119"/>
      <c r="HSG24" s="119"/>
      <c r="HSH24" s="119"/>
      <c r="HSI24" s="119"/>
      <c r="HSJ24" s="119"/>
      <c r="HSK24" s="119"/>
      <c r="HSL24" s="119"/>
      <c r="HSM24" s="119"/>
      <c r="HSN24" s="119"/>
      <c r="HSO24" s="119"/>
      <c r="HSP24" s="119"/>
      <c r="HSQ24" s="119"/>
      <c r="HSR24" s="119"/>
      <c r="HSS24" s="119"/>
      <c r="HST24" s="119"/>
      <c r="HSU24" s="119"/>
      <c r="HSV24" s="119"/>
      <c r="HSW24" s="119"/>
      <c r="HSX24" s="119"/>
      <c r="HSY24" s="119"/>
      <c r="HSZ24" s="119"/>
      <c r="HTA24" s="119"/>
      <c r="HTB24" s="119"/>
      <c r="HTC24" s="119"/>
      <c r="HTD24" s="119"/>
      <c r="HTE24" s="119"/>
      <c r="HTF24" s="119"/>
      <c r="HTG24" s="119"/>
      <c r="HTH24" s="119"/>
      <c r="HTI24" s="119"/>
      <c r="HTJ24" s="119"/>
      <c r="HTK24" s="119"/>
      <c r="HTL24" s="119"/>
      <c r="HTM24" s="119"/>
      <c r="HTN24" s="119"/>
      <c r="HTO24" s="119"/>
      <c r="HTP24" s="119"/>
      <c r="HTQ24" s="119"/>
      <c r="HTR24" s="119"/>
      <c r="HTS24" s="119"/>
      <c r="HTT24" s="119"/>
      <c r="HTU24" s="119"/>
      <c r="HTV24" s="119"/>
      <c r="HTW24" s="119"/>
      <c r="HTX24" s="119"/>
      <c r="HTY24" s="119"/>
      <c r="HTZ24" s="119"/>
      <c r="HUA24" s="119"/>
      <c r="HUB24" s="119"/>
      <c r="HUC24" s="119"/>
      <c r="HUD24" s="119"/>
      <c r="HUE24" s="119"/>
      <c r="HUF24" s="119"/>
      <c r="HUG24" s="119"/>
      <c r="HUH24" s="119"/>
      <c r="HUI24" s="119"/>
      <c r="HUJ24" s="119"/>
      <c r="HUK24" s="119"/>
      <c r="HUL24" s="119"/>
      <c r="HUM24" s="119"/>
      <c r="HUN24" s="119"/>
      <c r="HUO24" s="119"/>
      <c r="HUP24" s="119"/>
      <c r="HUQ24" s="119"/>
      <c r="HUR24" s="119"/>
      <c r="HUS24" s="119"/>
      <c r="HUT24" s="119"/>
      <c r="HUU24" s="119"/>
      <c r="HUV24" s="119"/>
      <c r="HUW24" s="119"/>
      <c r="HUX24" s="119"/>
      <c r="HUY24" s="119"/>
      <c r="HUZ24" s="119"/>
      <c r="HVA24" s="119"/>
      <c r="HVB24" s="119"/>
      <c r="HVC24" s="119"/>
      <c r="HVD24" s="119"/>
      <c r="HVE24" s="119"/>
      <c r="HVF24" s="119"/>
      <c r="HVG24" s="119"/>
      <c r="HVH24" s="119"/>
      <c r="HVI24" s="119"/>
      <c r="HVJ24" s="119"/>
      <c r="HVK24" s="119"/>
      <c r="HVL24" s="119"/>
      <c r="HVM24" s="119"/>
      <c r="HVN24" s="119"/>
      <c r="HVO24" s="119"/>
      <c r="HVP24" s="119"/>
      <c r="HVQ24" s="119"/>
      <c r="HVR24" s="119"/>
      <c r="HVS24" s="119"/>
      <c r="HVT24" s="119"/>
      <c r="HVU24" s="119"/>
      <c r="HVV24" s="119"/>
      <c r="HVW24" s="119"/>
      <c r="HVX24" s="119"/>
      <c r="HVY24" s="119"/>
      <c r="HVZ24" s="119"/>
      <c r="HWA24" s="119"/>
      <c r="HWB24" s="119"/>
      <c r="HWC24" s="119"/>
      <c r="HWD24" s="119"/>
      <c r="HWE24" s="119"/>
      <c r="HWF24" s="119"/>
      <c r="HWG24" s="119"/>
      <c r="HWH24" s="119"/>
      <c r="HWI24" s="119"/>
      <c r="HWJ24" s="119"/>
      <c r="HWK24" s="119"/>
      <c r="HWL24" s="119"/>
      <c r="HWM24" s="119"/>
      <c r="HWN24" s="119"/>
      <c r="HWO24" s="119"/>
      <c r="HWP24" s="119"/>
      <c r="HWQ24" s="119"/>
      <c r="HWR24" s="119"/>
      <c r="HWS24" s="119"/>
      <c r="HWT24" s="119"/>
      <c r="HWU24" s="119"/>
      <c r="HWV24" s="119"/>
      <c r="HWW24" s="119"/>
      <c r="HWX24" s="119"/>
      <c r="HWY24" s="119"/>
      <c r="HWZ24" s="119"/>
      <c r="HXA24" s="119"/>
      <c r="HXB24" s="119"/>
      <c r="HXC24" s="119"/>
      <c r="HXD24" s="119"/>
      <c r="HXE24" s="119"/>
      <c r="HXF24" s="119"/>
      <c r="HXG24" s="119"/>
      <c r="HXH24" s="119"/>
      <c r="HXI24" s="119"/>
      <c r="HXJ24" s="119"/>
      <c r="HXK24" s="119"/>
      <c r="HXL24" s="119"/>
      <c r="HXM24" s="119"/>
      <c r="HXN24" s="119"/>
      <c r="HXO24" s="119"/>
      <c r="HXP24" s="119"/>
      <c r="HXQ24" s="119"/>
      <c r="HXR24" s="119"/>
      <c r="HXS24" s="119"/>
      <c r="HXT24" s="119"/>
      <c r="HXU24" s="119"/>
      <c r="HXV24" s="119"/>
      <c r="HXW24" s="119"/>
      <c r="HXX24" s="119"/>
      <c r="HXY24" s="119"/>
      <c r="HXZ24" s="119"/>
      <c r="HYA24" s="119"/>
      <c r="HYB24" s="119"/>
      <c r="HYC24" s="119"/>
      <c r="HYD24" s="119"/>
      <c r="HYE24" s="119"/>
      <c r="HYF24" s="119"/>
      <c r="HYG24" s="119"/>
      <c r="HYH24" s="119"/>
      <c r="HYI24" s="119"/>
      <c r="HYJ24" s="119"/>
      <c r="HYK24" s="119"/>
      <c r="HYL24" s="119"/>
      <c r="HYM24" s="119"/>
      <c r="HYN24" s="119"/>
      <c r="HYO24" s="119"/>
      <c r="HYP24" s="119"/>
      <c r="HYQ24" s="119"/>
      <c r="HYR24" s="119"/>
      <c r="HYS24" s="119"/>
      <c r="HYT24" s="119"/>
      <c r="HYU24" s="119"/>
      <c r="HYV24" s="119"/>
      <c r="HYW24" s="119"/>
      <c r="HYX24" s="119"/>
      <c r="HYY24" s="119"/>
      <c r="HYZ24" s="119"/>
      <c r="HZA24" s="119"/>
      <c r="HZB24" s="119"/>
      <c r="HZC24" s="119"/>
      <c r="HZD24" s="119"/>
      <c r="HZE24" s="119"/>
      <c r="HZF24" s="119"/>
      <c r="HZG24" s="119"/>
      <c r="HZH24" s="119"/>
      <c r="HZI24" s="119"/>
      <c r="HZJ24" s="119"/>
      <c r="HZK24" s="119"/>
      <c r="HZL24" s="119"/>
      <c r="HZM24" s="119"/>
      <c r="HZN24" s="119"/>
      <c r="HZO24" s="119"/>
      <c r="HZP24" s="119"/>
      <c r="HZQ24" s="119"/>
      <c r="HZR24" s="119"/>
      <c r="HZS24" s="119"/>
      <c r="HZT24" s="119"/>
      <c r="HZU24" s="119"/>
      <c r="HZV24" s="119"/>
      <c r="HZW24" s="119"/>
      <c r="HZX24" s="119"/>
      <c r="HZY24" s="119"/>
      <c r="HZZ24" s="119"/>
      <c r="IAA24" s="119"/>
      <c r="IAB24" s="119"/>
      <c r="IAC24" s="119"/>
      <c r="IAD24" s="119"/>
      <c r="IAE24" s="119"/>
      <c r="IAF24" s="119"/>
      <c r="IAG24" s="119"/>
      <c r="IAH24" s="119"/>
      <c r="IAI24" s="119"/>
      <c r="IAJ24" s="119"/>
      <c r="IAK24" s="119"/>
      <c r="IAL24" s="119"/>
      <c r="IAM24" s="119"/>
      <c r="IAN24" s="119"/>
      <c r="IAO24" s="119"/>
      <c r="IAP24" s="119"/>
      <c r="IAQ24" s="119"/>
      <c r="IAR24" s="119"/>
      <c r="IAS24" s="119"/>
      <c r="IAT24" s="119"/>
      <c r="IAU24" s="119"/>
      <c r="IAV24" s="119"/>
      <c r="IAW24" s="119"/>
      <c r="IAX24" s="119"/>
      <c r="IAY24" s="119"/>
      <c r="IAZ24" s="119"/>
      <c r="IBA24" s="119"/>
      <c r="IBB24" s="119"/>
      <c r="IBC24" s="119"/>
      <c r="IBD24" s="119"/>
      <c r="IBE24" s="119"/>
      <c r="IBF24" s="119"/>
      <c r="IBG24" s="119"/>
      <c r="IBH24" s="119"/>
      <c r="IBI24" s="119"/>
      <c r="IBJ24" s="119"/>
      <c r="IBK24" s="119"/>
      <c r="IBL24" s="119"/>
      <c r="IBM24" s="119"/>
      <c r="IBN24" s="119"/>
      <c r="IBO24" s="119"/>
      <c r="IBP24" s="119"/>
      <c r="IBQ24" s="119"/>
      <c r="IBR24" s="119"/>
      <c r="IBS24" s="119"/>
      <c r="IBT24" s="119"/>
      <c r="IBU24" s="119"/>
      <c r="IBV24" s="119"/>
      <c r="IBW24" s="119"/>
      <c r="IBX24" s="119"/>
      <c r="IBY24" s="119"/>
      <c r="IBZ24" s="119"/>
      <c r="ICA24" s="119"/>
      <c r="ICB24" s="119"/>
      <c r="ICC24" s="119"/>
      <c r="ICD24" s="119"/>
      <c r="ICE24" s="119"/>
      <c r="ICF24" s="119"/>
      <c r="ICG24" s="119"/>
      <c r="ICH24" s="119"/>
      <c r="ICI24" s="119"/>
      <c r="ICJ24" s="119"/>
      <c r="ICK24" s="119"/>
      <c r="ICL24" s="119"/>
      <c r="ICM24" s="119"/>
      <c r="ICN24" s="119"/>
      <c r="ICO24" s="119"/>
      <c r="ICP24" s="119"/>
      <c r="ICQ24" s="119"/>
      <c r="ICR24" s="119"/>
      <c r="ICS24" s="119"/>
      <c r="ICT24" s="119"/>
      <c r="ICU24" s="119"/>
      <c r="ICV24" s="119"/>
      <c r="ICW24" s="119"/>
      <c r="ICX24" s="119"/>
      <c r="ICY24" s="119"/>
      <c r="ICZ24" s="119"/>
      <c r="IDA24" s="119"/>
      <c r="IDB24" s="119"/>
      <c r="IDC24" s="119"/>
      <c r="IDD24" s="119"/>
      <c r="IDE24" s="119"/>
      <c r="IDF24" s="119"/>
      <c r="IDG24" s="119"/>
      <c r="IDH24" s="119"/>
      <c r="IDI24" s="119"/>
      <c r="IDJ24" s="119"/>
      <c r="IDK24" s="119"/>
      <c r="IDL24" s="119"/>
      <c r="IDM24" s="119"/>
      <c r="IDN24" s="119"/>
      <c r="IDO24" s="119"/>
      <c r="IDP24" s="119"/>
      <c r="IDQ24" s="119"/>
      <c r="IDR24" s="119"/>
      <c r="IDS24" s="119"/>
      <c r="IDT24" s="119"/>
      <c r="IDU24" s="119"/>
      <c r="IDV24" s="119"/>
      <c r="IDW24" s="119"/>
      <c r="IDX24" s="119"/>
      <c r="IDY24" s="119"/>
      <c r="IDZ24" s="119"/>
      <c r="IEA24" s="119"/>
      <c r="IEB24" s="119"/>
      <c r="IEC24" s="119"/>
      <c r="IED24" s="119"/>
      <c r="IEE24" s="119"/>
      <c r="IEF24" s="119"/>
      <c r="IEG24" s="119"/>
      <c r="IEH24" s="119"/>
      <c r="IEI24" s="119"/>
      <c r="IEJ24" s="119"/>
      <c r="IEK24" s="119"/>
      <c r="IEL24" s="119"/>
      <c r="IEM24" s="119"/>
      <c r="IEN24" s="119"/>
      <c r="IEO24" s="119"/>
      <c r="IEP24" s="119"/>
      <c r="IEQ24" s="119"/>
      <c r="IER24" s="119"/>
      <c r="IES24" s="119"/>
      <c r="IET24" s="119"/>
      <c r="IEU24" s="119"/>
      <c r="IEV24" s="119"/>
      <c r="IEW24" s="119"/>
      <c r="IEX24" s="119"/>
      <c r="IEY24" s="119"/>
      <c r="IEZ24" s="119"/>
      <c r="IFA24" s="119"/>
      <c r="IFB24" s="119"/>
      <c r="IFC24" s="119"/>
      <c r="IFD24" s="119"/>
      <c r="IFE24" s="119"/>
      <c r="IFF24" s="119"/>
      <c r="IFG24" s="119"/>
      <c r="IFH24" s="119"/>
      <c r="IFI24" s="119"/>
      <c r="IFJ24" s="119"/>
      <c r="IFK24" s="119"/>
      <c r="IFL24" s="119"/>
      <c r="IFM24" s="119"/>
      <c r="IFN24" s="119"/>
      <c r="IFO24" s="119"/>
      <c r="IFP24" s="119"/>
      <c r="IFQ24" s="119"/>
      <c r="IFR24" s="119"/>
      <c r="IFS24" s="119"/>
      <c r="IFT24" s="119"/>
      <c r="IFU24" s="119"/>
      <c r="IFV24" s="119"/>
      <c r="IFW24" s="119"/>
      <c r="IFX24" s="119"/>
      <c r="IFY24" s="119"/>
      <c r="IFZ24" s="119"/>
      <c r="IGA24" s="119"/>
      <c r="IGB24" s="119"/>
      <c r="IGC24" s="119"/>
      <c r="IGD24" s="119"/>
      <c r="IGE24" s="119"/>
      <c r="IGF24" s="119"/>
      <c r="IGG24" s="119"/>
      <c r="IGH24" s="119"/>
      <c r="IGI24" s="119"/>
      <c r="IGJ24" s="119"/>
      <c r="IGK24" s="119"/>
      <c r="IGL24" s="119"/>
      <c r="IGM24" s="119"/>
      <c r="IGN24" s="119"/>
      <c r="IGO24" s="119"/>
      <c r="IGP24" s="119"/>
      <c r="IGQ24" s="119"/>
      <c r="IGR24" s="119"/>
      <c r="IGS24" s="119"/>
      <c r="IGT24" s="119"/>
      <c r="IGU24" s="119"/>
      <c r="IGV24" s="119"/>
      <c r="IGW24" s="119"/>
      <c r="IGX24" s="119"/>
      <c r="IGY24" s="119"/>
      <c r="IGZ24" s="119"/>
      <c r="IHA24" s="119"/>
      <c r="IHB24" s="119"/>
      <c r="IHC24" s="119"/>
      <c r="IHD24" s="119"/>
      <c r="IHE24" s="119"/>
      <c r="IHF24" s="119"/>
      <c r="IHG24" s="119"/>
      <c r="IHH24" s="119"/>
      <c r="IHI24" s="119"/>
      <c r="IHJ24" s="119"/>
      <c r="IHK24" s="119"/>
      <c r="IHL24" s="119"/>
      <c r="IHM24" s="119"/>
      <c r="IHN24" s="119"/>
      <c r="IHO24" s="119"/>
      <c r="IHP24" s="119"/>
      <c r="IHQ24" s="119"/>
      <c r="IHR24" s="119"/>
      <c r="IHS24" s="119"/>
      <c r="IHT24" s="119"/>
      <c r="IHU24" s="119"/>
      <c r="IHV24" s="119"/>
      <c r="IHW24" s="119"/>
      <c r="IHX24" s="119"/>
      <c r="IHY24" s="119"/>
      <c r="IHZ24" s="119"/>
      <c r="IIA24" s="119"/>
      <c r="IIB24" s="119"/>
      <c r="IIC24" s="119"/>
      <c r="IID24" s="119"/>
      <c r="IIE24" s="119"/>
      <c r="IIF24" s="119"/>
      <c r="IIG24" s="119"/>
      <c r="IIH24" s="119"/>
      <c r="III24" s="119"/>
      <c r="IIJ24" s="119"/>
      <c r="IIK24" s="119"/>
      <c r="IIL24" s="119"/>
      <c r="IIM24" s="119"/>
      <c r="IIN24" s="119"/>
      <c r="IIO24" s="119"/>
      <c r="IIP24" s="119"/>
      <c r="IIQ24" s="119"/>
      <c r="IIR24" s="119"/>
      <c r="IIS24" s="119"/>
      <c r="IIT24" s="119"/>
      <c r="IIU24" s="119"/>
      <c r="IIV24" s="119"/>
      <c r="IIW24" s="119"/>
      <c r="IIX24" s="119"/>
      <c r="IIY24" s="119"/>
      <c r="IIZ24" s="119"/>
      <c r="IJA24" s="119"/>
      <c r="IJB24" s="119"/>
      <c r="IJC24" s="119"/>
      <c r="IJD24" s="119"/>
      <c r="IJE24" s="119"/>
      <c r="IJF24" s="119"/>
      <c r="IJG24" s="119"/>
      <c r="IJH24" s="119"/>
      <c r="IJI24" s="119"/>
      <c r="IJJ24" s="119"/>
      <c r="IJK24" s="119"/>
      <c r="IJL24" s="119"/>
      <c r="IJM24" s="119"/>
      <c r="IJN24" s="119"/>
      <c r="IJO24" s="119"/>
      <c r="IJP24" s="119"/>
      <c r="IJQ24" s="119"/>
      <c r="IJR24" s="119"/>
      <c r="IJS24" s="119"/>
      <c r="IJT24" s="119"/>
      <c r="IJU24" s="119"/>
      <c r="IJV24" s="119"/>
      <c r="IJW24" s="119"/>
      <c r="IJX24" s="119"/>
      <c r="IJY24" s="119"/>
      <c r="IJZ24" s="119"/>
      <c r="IKA24" s="119"/>
      <c r="IKB24" s="119"/>
      <c r="IKC24" s="119"/>
      <c r="IKD24" s="119"/>
      <c r="IKE24" s="119"/>
      <c r="IKF24" s="119"/>
      <c r="IKG24" s="119"/>
      <c r="IKH24" s="119"/>
      <c r="IKI24" s="119"/>
      <c r="IKJ24" s="119"/>
      <c r="IKK24" s="119"/>
      <c r="IKL24" s="119"/>
      <c r="IKM24" s="119"/>
      <c r="IKN24" s="119"/>
      <c r="IKO24" s="119"/>
      <c r="IKP24" s="119"/>
      <c r="IKQ24" s="119"/>
      <c r="IKR24" s="119"/>
      <c r="IKS24" s="119"/>
      <c r="IKT24" s="119"/>
      <c r="IKU24" s="119"/>
      <c r="IKV24" s="119"/>
      <c r="IKW24" s="119"/>
      <c r="IKX24" s="119"/>
      <c r="IKY24" s="119"/>
      <c r="IKZ24" s="119"/>
      <c r="ILA24" s="119"/>
      <c r="ILB24" s="119"/>
      <c r="ILC24" s="119"/>
      <c r="ILD24" s="119"/>
      <c r="ILE24" s="119"/>
      <c r="ILF24" s="119"/>
      <c r="ILG24" s="119"/>
      <c r="ILH24" s="119"/>
      <c r="ILI24" s="119"/>
      <c r="ILJ24" s="119"/>
      <c r="ILK24" s="119"/>
      <c r="ILL24" s="119"/>
      <c r="ILM24" s="119"/>
      <c r="ILN24" s="119"/>
      <c r="ILO24" s="119"/>
      <c r="ILP24" s="119"/>
      <c r="ILQ24" s="119"/>
      <c r="ILR24" s="119"/>
      <c r="ILS24" s="119"/>
      <c r="ILT24" s="119"/>
      <c r="ILU24" s="119"/>
      <c r="ILV24" s="119"/>
      <c r="ILW24" s="119"/>
      <c r="ILX24" s="119"/>
      <c r="ILY24" s="119"/>
      <c r="ILZ24" s="119"/>
      <c r="IMA24" s="119"/>
      <c r="IMB24" s="119"/>
      <c r="IMC24" s="119"/>
      <c r="IMD24" s="119"/>
      <c r="IME24" s="119"/>
      <c r="IMF24" s="119"/>
      <c r="IMG24" s="119"/>
      <c r="IMH24" s="119"/>
      <c r="IMI24" s="119"/>
      <c r="IMJ24" s="119"/>
      <c r="IMK24" s="119"/>
      <c r="IML24" s="119"/>
      <c r="IMM24" s="119"/>
      <c r="IMN24" s="119"/>
      <c r="IMO24" s="119"/>
      <c r="IMP24" s="119"/>
      <c r="IMQ24" s="119"/>
      <c r="IMR24" s="119"/>
      <c r="IMS24" s="119"/>
      <c r="IMT24" s="119"/>
      <c r="IMU24" s="119"/>
      <c r="IMV24" s="119"/>
      <c r="IMW24" s="119"/>
      <c r="IMX24" s="119"/>
      <c r="IMY24" s="119"/>
      <c r="IMZ24" s="119"/>
      <c r="INA24" s="119"/>
      <c r="INB24" s="119"/>
      <c r="INC24" s="119"/>
      <c r="IND24" s="119"/>
      <c r="INE24" s="119"/>
      <c r="INF24" s="119"/>
      <c r="ING24" s="119"/>
      <c r="INH24" s="119"/>
      <c r="INI24" s="119"/>
      <c r="INJ24" s="119"/>
      <c r="INK24" s="119"/>
      <c r="INL24" s="119"/>
      <c r="INM24" s="119"/>
      <c r="INN24" s="119"/>
      <c r="INO24" s="119"/>
      <c r="INP24" s="119"/>
      <c r="INQ24" s="119"/>
      <c r="INR24" s="119"/>
      <c r="INS24" s="119"/>
      <c r="INT24" s="119"/>
      <c r="INU24" s="119"/>
      <c r="INV24" s="119"/>
      <c r="INW24" s="119"/>
      <c r="INX24" s="119"/>
      <c r="INY24" s="119"/>
      <c r="INZ24" s="119"/>
      <c r="IOA24" s="119"/>
      <c r="IOB24" s="119"/>
      <c r="IOC24" s="119"/>
      <c r="IOD24" s="119"/>
      <c r="IOE24" s="119"/>
      <c r="IOF24" s="119"/>
      <c r="IOG24" s="119"/>
      <c r="IOH24" s="119"/>
      <c r="IOI24" s="119"/>
      <c r="IOJ24" s="119"/>
      <c r="IOK24" s="119"/>
      <c r="IOL24" s="119"/>
      <c r="IOM24" s="119"/>
      <c r="ION24" s="119"/>
      <c r="IOO24" s="119"/>
      <c r="IOP24" s="119"/>
      <c r="IOQ24" s="119"/>
      <c r="IOR24" s="119"/>
      <c r="IOS24" s="119"/>
      <c r="IOT24" s="119"/>
      <c r="IOU24" s="119"/>
      <c r="IOV24" s="119"/>
      <c r="IOW24" s="119"/>
      <c r="IOX24" s="119"/>
      <c r="IOY24" s="119"/>
      <c r="IOZ24" s="119"/>
      <c r="IPA24" s="119"/>
      <c r="IPB24" s="119"/>
      <c r="IPC24" s="119"/>
      <c r="IPD24" s="119"/>
      <c r="IPE24" s="119"/>
      <c r="IPF24" s="119"/>
      <c r="IPG24" s="119"/>
      <c r="IPH24" s="119"/>
      <c r="IPI24" s="119"/>
      <c r="IPJ24" s="119"/>
      <c r="IPK24" s="119"/>
      <c r="IPL24" s="119"/>
      <c r="IPM24" s="119"/>
      <c r="IPN24" s="119"/>
      <c r="IPO24" s="119"/>
      <c r="IPP24" s="119"/>
      <c r="IPQ24" s="119"/>
      <c r="IPR24" s="119"/>
      <c r="IPS24" s="119"/>
      <c r="IPT24" s="119"/>
      <c r="IPU24" s="119"/>
      <c r="IPV24" s="119"/>
      <c r="IPW24" s="119"/>
      <c r="IPX24" s="119"/>
      <c r="IPY24" s="119"/>
      <c r="IPZ24" s="119"/>
      <c r="IQA24" s="119"/>
      <c r="IQB24" s="119"/>
      <c r="IQC24" s="119"/>
      <c r="IQD24" s="119"/>
      <c r="IQE24" s="119"/>
      <c r="IQF24" s="119"/>
      <c r="IQG24" s="119"/>
      <c r="IQH24" s="119"/>
      <c r="IQI24" s="119"/>
      <c r="IQJ24" s="119"/>
      <c r="IQK24" s="119"/>
      <c r="IQL24" s="119"/>
      <c r="IQM24" s="119"/>
      <c r="IQN24" s="119"/>
      <c r="IQO24" s="119"/>
      <c r="IQP24" s="119"/>
      <c r="IQQ24" s="119"/>
      <c r="IQR24" s="119"/>
      <c r="IQS24" s="119"/>
      <c r="IQT24" s="119"/>
      <c r="IQU24" s="119"/>
      <c r="IQV24" s="119"/>
      <c r="IQW24" s="119"/>
      <c r="IQX24" s="119"/>
      <c r="IQY24" s="119"/>
      <c r="IQZ24" s="119"/>
      <c r="IRA24" s="119"/>
      <c r="IRB24" s="119"/>
      <c r="IRC24" s="119"/>
      <c r="IRD24" s="119"/>
      <c r="IRE24" s="119"/>
      <c r="IRF24" s="119"/>
      <c r="IRG24" s="119"/>
      <c r="IRH24" s="119"/>
      <c r="IRI24" s="119"/>
      <c r="IRJ24" s="119"/>
      <c r="IRK24" s="119"/>
      <c r="IRL24" s="119"/>
      <c r="IRM24" s="119"/>
      <c r="IRN24" s="119"/>
      <c r="IRO24" s="119"/>
      <c r="IRP24" s="119"/>
      <c r="IRQ24" s="119"/>
      <c r="IRR24" s="119"/>
      <c r="IRS24" s="119"/>
      <c r="IRT24" s="119"/>
      <c r="IRU24" s="119"/>
      <c r="IRV24" s="119"/>
      <c r="IRW24" s="119"/>
      <c r="IRX24" s="119"/>
      <c r="IRY24" s="119"/>
      <c r="IRZ24" s="119"/>
      <c r="ISA24" s="119"/>
      <c r="ISB24" s="119"/>
      <c r="ISC24" s="119"/>
      <c r="ISD24" s="119"/>
      <c r="ISE24" s="119"/>
      <c r="ISF24" s="119"/>
      <c r="ISG24" s="119"/>
      <c r="ISH24" s="119"/>
      <c r="ISI24" s="119"/>
      <c r="ISJ24" s="119"/>
      <c r="ISK24" s="119"/>
      <c r="ISL24" s="119"/>
      <c r="ISM24" s="119"/>
      <c r="ISN24" s="119"/>
      <c r="ISO24" s="119"/>
      <c r="ISP24" s="119"/>
      <c r="ISQ24" s="119"/>
      <c r="ISR24" s="119"/>
      <c r="ISS24" s="119"/>
      <c r="IST24" s="119"/>
      <c r="ISU24" s="119"/>
      <c r="ISV24" s="119"/>
      <c r="ISW24" s="119"/>
      <c r="ISX24" s="119"/>
      <c r="ISY24" s="119"/>
      <c r="ISZ24" s="119"/>
      <c r="ITA24" s="119"/>
      <c r="ITB24" s="119"/>
      <c r="ITC24" s="119"/>
      <c r="ITD24" s="119"/>
      <c r="ITE24" s="119"/>
      <c r="ITF24" s="119"/>
      <c r="ITG24" s="119"/>
      <c r="ITH24" s="119"/>
      <c r="ITI24" s="119"/>
      <c r="ITJ24" s="119"/>
      <c r="ITK24" s="119"/>
      <c r="ITL24" s="119"/>
      <c r="ITM24" s="119"/>
      <c r="ITN24" s="119"/>
      <c r="ITO24" s="119"/>
      <c r="ITP24" s="119"/>
      <c r="ITQ24" s="119"/>
      <c r="ITR24" s="119"/>
      <c r="ITS24" s="119"/>
      <c r="ITT24" s="119"/>
      <c r="ITU24" s="119"/>
      <c r="ITV24" s="119"/>
      <c r="ITW24" s="119"/>
      <c r="ITX24" s="119"/>
      <c r="ITY24" s="119"/>
      <c r="ITZ24" s="119"/>
      <c r="IUA24" s="119"/>
      <c r="IUB24" s="119"/>
      <c r="IUC24" s="119"/>
      <c r="IUD24" s="119"/>
      <c r="IUE24" s="119"/>
      <c r="IUF24" s="119"/>
      <c r="IUG24" s="119"/>
      <c r="IUH24" s="119"/>
      <c r="IUI24" s="119"/>
      <c r="IUJ24" s="119"/>
      <c r="IUK24" s="119"/>
      <c r="IUL24" s="119"/>
      <c r="IUM24" s="119"/>
      <c r="IUN24" s="119"/>
      <c r="IUO24" s="119"/>
      <c r="IUP24" s="119"/>
      <c r="IUQ24" s="119"/>
      <c r="IUR24" s="119"/>
      <c r="IUS24" s="119"/>
      <c r="IUT24" s="119"/>
      <c r="IUU24" s="119"/>
      <c r="IUV24" s="119"/>
      <c r="IUW24" s="119"/>
      <c r="IUX24" s="119"/>
      <c r="IUY24" s="119"/>
      <c r="IUZ24" s="119"/>
      <c r="IVA24" s="119"/>
      <c r="IVB24" s="119"/>
      <c r="IVC24" s="119"/>
      <c r="IVD24" s="119"/>
      <c r="IVE24" s="119"/>
      <c r="IVF24" s="119"/>
      <c r="IVG24" s="119"/>
      <c r="IVH24" s="119"/>
      <c r="IVI24" s="119"/>
      <c r="IVJ24" s="119"/>
      <c r="IVK24" s="119"/>
      <c r="IVL24" s="119"/>
      <c r="IVM24" s="119"/>
      <c r="IVN24" s="119"/>
      <c r="IVO24" s="119"/>
      <c r="IVP24" s="119"/>
      <c r="IVQ24" s="119"/>
      <c r="IVR24" s="119"/>
      <c r="IVS24" s="119"/>
      <c r="IVT24" s="119"/>
      <c r="IVU24" s="119"/>
      <c r="IVV24" s="119"/>
      <c r="IVW24" s="119"/>
      <c r="IVX24" s="119"/>
      <c r="IVY24" s="119"/>
      <c r="IVZ24" s="119"/>
      <c r="IWA24" s="119"/>
      <c r="IWB24" s="119"/>
      <c r="IWC24" s="119"/>
      <c r="IWD24" s="119"/>
      <c r="IWE24" s="119"/>
      <c r="IWF24" s="119"/>
      <c r="IWG24" s="119"/>
      <c r="IWH24" s="119"/>
      <c r="IWI24" s="119"/>
      <c r="IWJ24" s="119"/>
      <c r="IWK24" s="119"/>
      <c r="IWL24" s="119"/>
      <c r="IWM24" s="119"/>
      <c r="IWN24" s="119"/>
      <c r="IWO24" s="119"/>
      <c r="IWP24" s="119"/>
      <c r="IWQ24" s="119"/>
      <c r="IWR24" s="119"/>
      <c r="IWS24" s="119"/>
      <c r="IWT24" s="119"/>
      <c r="IWU24" s="119"/>
      <c r="IWV24" s="119"/>
      <c r="IWW24" s="119"/>
      <c r="IWX24" s="119"/>
      <c r="IWY24" s="119"/>
      <c r="IWZ24" s="119"/>
      <c r="IXA24" s="119"/>
      <c r="IXB24" s="119"/>
      <c r="IXC24" s="119"/>
      <c r="IXD24" s="119"/>
      <c r="IXE24" s="119"/>
      <c r="IXF24" s="119"/>
      <c r="IXG24" s="119"/>
      <c r="IXH24" s="119"/>
      <c r="IXI24" s="119"/>
      <c r="IXJ24" s="119"/>
      <c r="IXK24" s="119"/>
      <c r="IXL24" s="119"/>
      <c r="IXM24" s="119"/>
      <c r="IXN24" s="119"/>
      <c r="IXO24" s="119"/>
      <c r="IXP24" s="119"/>
      <c r="IXQ24" s="119"/>
      <c r="IXR24" s="119"/>
      <c r="IXS24" s="119"/>
      <c r="IXT24" s="119"/>
      <c r="IXU24" s="119"/>
      <c r="IXV24" s="119"/>
      <c r="IXW24" s="119"/>
      <c r="IXX24" s="119"/>
      <c r="IXY24" s="119"/>
      <c r="IXZ24" s="119"/>
      <c r="IYA24" s="119"/>
      <c r="IYB24" s="119"/>
      <c r="IYC24" s="119"/>
      <c r="IYD24" s="119"/>
      <c r="IYE24" s="119"/>
      <c r="IYF24" s="119"/>
      <c r="IYG24" s="119"/>
      <c r="IYH24" s="119"/>
      <c r="IYI24" s="119"/>
      <c r="IYJ24" s="119"/>
      <c r="IYK24" s="119"/>
      <c r="IYL24" s="119"/>
      <c r="IYM24" s="119"/>
      <c r="IYN24" s="119"/>
      <c r="IYO24" s="119"/>
      <c r="IYP24" s="119"/>
      <c r="IYQ24" s="119"/>
      <c r="IYR24" s="119"/>
      <c r="IYS24" s="119"/>
      <c r="IYT24" s="119"/>
      <c r="IYU24" s="119"/>
      <c r="IYV24" s="119"/>
      <c r="IYW24" s="119"/>
      <c r="IYX24" s="119"/>
      <c r="IYY24" s="119"/>
      <c r="IYZ24" s="119"/>
      <c r="IZA24" s="119"/>
      <c r="IZB24" s="119"/>
      <c r="IZC24" s="119"/>
      <c r="IZD24" s="119"/>
      <c r="IZE24" s="119"/>
      <c r="IZF24" s="119"/>
      <c r="IZG24" s="119"/>
      <c r="IZH24" s="119"/>
      <c r="IZI24" s="119"/>
      <c r="IZJ24" s="119"/>
      <c r="IZK24" s="119"/>
      <c r="IZL24" s="119"/>
      <c r="IZM24" s="119"/>
      <c r="IZN24" s="119"/>
      <c r="IZO24" s="119"/>
      <c r="IZP24" s="119"/>
      <c r="IZQ24" s="119"/>
      <c r="IZR24" s="119"/>
      <c r="IZS24" s="119"/>
      <c r="IZT24" s="119"/>
      <c r="IZU24" s="119"/>
      <c r="IZV24" s="119"/>
      <c r="IZW24" s="119"/>
      <c r="IZX24" s="119"/>
      <c r="IZY24" s="119"/>
      <c r="IZZ24" s="119"/>
      <c r="JAA24" s="119"/>
      <c r="JAB24" s="119"/>
      <c r="JAC24" s="119"/>
      <c r="JAD24" s="119"/>
      <c r="JAE24" s="119"/>
      <c r="JAF24" s="119"/>
      <c r="JAG24" s="119"/>
      <c r="JAH24" s="119"/>
      <c r="JAI24" s="119"/>
      <c r="JAJ24" s="119"/>
      <c r="JAK24" s="119"/>
      <c r="JAL24" s="119"/>
      <c r="JAM24" s="119"/>
      <c r="JAN24" s="119"/>
      <c r="JAO24" s="119"/>
      <c r="JAP24" s="119"/>
      <c r="JAQ24" s="119"/>
      <c r="JAR24" s="119"/>
      <c r="JAS24" s="119"/>
      <c r="JAT24" s="119"/>
      <c r="JAU24" s="119"/>
      <c r="JAV24" s="119"/>
      <c r="JAW24" s="119"/>
      <c r="JAX24" s="119"/>
      <c r="JAY24" s="119"/>
      <c r="JAZ24" s="119"/>
      <c r="JBA24" s="119"/>
      <c r="JBB24" s="119"/>
      <c r="JBC24" s="119"/>
      <c r="JBD24" s="119"/>
      <c r="JBE24" s="119"/>
      <c r="JBF24" s="119"/>
      <c r="JBG24" s="119"/>
      <c r="JBH24" s="119"/>
      <c r="JBI24" s="119"/>
      <c r="JBJ24" s="119"/>
      <c r="JBK24" s="119"/>
      <c r="JBL24" s="119"/>
      <c r="JBM24" s="119"/>
      <c r="JBN24" s="119"/>
      <c r="JBO24" s="119"/>
      <c r="JBP24" s="119"/>
      <c r="JBQ24" s="119"/>
      <c r="JBR24" s="119"/>
      <c r="JBS24" s="119"/>
      <c r="JBT24" s="119"/>
      <c r="JBU24" s="119"/>
      <c r="JBV24" s="119"/>
      <c r="JBW24" s="119"/>
      <c r="JBX24" s="119"/>
      <c r="JBY24" s="119"/>
      <c r="JBZ24" s="119"/>
      <c r="JCA24" s="119"/>
      <c r="JCB24" s="119"/>
      <c r="JCC24" s="119"/>
      <c r="JCD24" s="119"/>
      <c r="JCE24" s="119"/>
      <c r="JCF24" s="119"/>
      <c r="JCG24" s="119"/>
      <c r="JCH24" s="119"/>
      <c r="JCI24" s="119"/>
      <c r="JCJ24" s="119"/>
      <c r="JCK24" s="119"/>
      <c r="JCL24" s="119"/>
      <c r="JCM24" s="119"/>
      <c r="JCN24" s="119"/>
      <c r="JCO24" s="119"/>
      <c r="JCP24" s="119"/>
      <c r="JCQ24" s="119"/>
      <c r="JCR24" s="119"/>
      <c r="JCS24" s="119"/>
      <c r="JCT24" s="119"/>
      <c r="JCU24" s="119"/>
      <c r="JCV24" s="119"/>
      <c r="JCW24" s="119"/>
      <c r="JCX24" s="119"/>
      <c r="JCY24" s="119"/>
      <c r="JCZ24" s="119"/>
      <c r="JDA24" s="119"/>
      <c r="JDB24" s="119"/>
      <c r="JDC24" s="119"/>
      <c r="JDD24" s="119"/>
      <c r="JDE24" s="119"/>
      <c r="JDF24" s="119"/>
      <c r="JDG24" s="119"/>
      <c r="JDH24" s="119"/>
      <c r="JDI24" s="119"/>
      <c r="JDJ24" s="119"/>
      <c r="JDK24" s="119"/>
      <c r="JDL24" s="119"/>
      <c r="JDM24" s="119"/>
      <c r="JDN24" s="119"/>
      <c r="JDO24" s="119"/>
      <c r="JDP24" s="119"/>
      <c r="JDQ24" s="119"/>
      <c r="JDR24" s="119"/>
      <c r="JDS24" s="119"/>
      <c r="JDT24" s="119"/>
      <c r="JDU24" s="119"/>
      <c r="JDV24" s="119"/>
      <c r="JDW24" s="119"/>
      <c r="JDX24" s="119"/>
      <c r="JDY24" s="119"/>
      <c r="JDZ24" s="119"/>
      <c r="JEA24" s="119"/>
      <c r="JEB24" s="119"/>
      <c r="JEC24" s="119"/>
      <c r="JED24" s="119"/>
      <c r="JEE24" s="119"/>
      <c r="JEF24" s="119"/>
      <c r="JEG24" s="119"/>
      <c r="JEH24" s="119"/>
      <c r="JEI24" s="119"/>
      <c r="JEJ24" s="119"/>
      <c r="JEK24" s="119"/>
      <c r="JEL24" s="119"/>
      <c r="JEM24" s="119"/>
      <c r="JEN24" s="119"/>
      <c r="JEO24" s="119"/>
      <c r="JEP24" s="119"/>
      <c r="JEQ24" s="119"/>
      <c r="JER24" s="119"/>
      <c r="JES24" s="119"/>
      <c r="JET24" s="119"/>
      <c r="JEU24" s="119"/>
      <c r="JEV24" s="119"/>
      <c r="JEW24" s="119"/>
      <c r="JEX24" s="119"/>
      <c r="JEY24" s="119"/>
      <c r="JEZ24" s="119"/>
      <c r="JFA24" s="119"/>
      <c r="JFB24" s="119"/>
      <c r="JFC24" s="119"/>
      <c r="JFD24" s="119"/>
      <c r="JFE24" s="119"/>
      <c r="JFF24" s="119"/>
      <c r="JFG24" s="119"/>
      <c r="JFH24" s="119"/>
      <c r="JFI24" s="119"/>
      <c r="JFJ24" s="119"/>
      <c r="JFK24" s="119"/>
      <c r="JFL24" s="119"/>
      <c r="JFM24" s="119"/>
      <c r="JFN24" s="119"/>
      <c r="JFO24" s="119"/>
      <c r="JFP24" s="119"/>
      <c r="JFQ24" s="119"/>
      <c r="JFR24" s="119"/>
      <c r="JFS24" s="119"/>
      <c r="JFT24" s="119"/>
      <c r="JFU24" s="119"/>
      <c r="JFV24" s="119"/>
      <c r="JFW24" s="119"/>
      <c r="JFX24" s="119"/>
      <c r="JFY24" s="119"/>
      <c r="JFZ24" s="119"/>
      <c r="JGA24" s="119"/>
      <c r="JGB24" s="119"/>
      <c r="JGC24" s="119"/>
      <c r="JGD24" s="119"/>
      <c r="JGE24" s="119"/>
      <c r="JGF24" s="119"/>
      <c r="JGG24" s="119"/>
      <c r="JGH24" s="119"/>
      <c r="JGI24" s="119"/>
      <c r="JGJ24" s="119"/>
      <c r="JGK24" s="119"/>
      <c r="JGL24" s="119"/>
      <c r="JGM24" s="119"/>
      <c r="JGN24" s="119"/>
      <c r="JGO24" s="119"/>
      <c r="JGP24" s="119"/>
      <c r="JGQ24" s="119"/>
      <c r="JGR24" s="119"/>
      <c r="JGS24" s="119"/>
      <c r="JGT24" s="119"/>
      <c r="JGU24" s="119"/>
      <c r="JGV24" s="119"/>
      <c r="JGW24" s="119"/>
      <c r="JGX24" s="119"/>
      <c r="JGY24" s="119"/>
      <c r="JGZ24" s="119"/>
      <c r="JHA24" s="119"/>
      <c r="JHB24" s="119"/>
      <c r="JHC24" s="119"/>
      <c r="JHD24" s="119"/>
      <c r="JHE24" s="119"/>
      <c r="JHF24" s="119"/>
      <c r="JHG24" s="119"/>
      <c r="JHH24" s="119"/>
      <c r="JHI24" s="119"/>
      <c r="JHJ24" s="119"/>
      <c r="JHK24" s="119"/>
      <c r="JHL24" s="119"/>
      <c r="JHM24" s="119"/>
      <c r="JHN24" s="119"/>
      <c r="JHO24" s="119"/>
      <c r="JHP24" s="119"/>
      <c r="JHQ24" s="119"/>
      <c r="JHR24" s="119"/>
      <c r="JHS24" s="119"/>
      <c r="JHT24" s="119"/>
      <c r="JHU24" s="119"/>
      <c r="JHV24" s="119"/>
      <c r="JHW24" s="119"/>
      <c r="JHX24" s="119"/>
      <c r="JHY24" s="119"/>
      <c r="JHZ24" s="119"/>
      <c r="JIA24" s="119"/>
      <c r="JIB24" s="119"/>
      <c r="JIC24" s="119"/>
      <c r="JID24" s="119"/>
      <c r="JIE24" s="119"/>
      <c r="JIF24" s="119"/>
      <c r="JIG24" s="119"/>
      <c r="JIH24" s="119"/>
      <c r="JII24" s="119"/>
      <c r="JIJ24" s="119"/>
      <c r="JIK24" s="119"/>
      <c r="JIL24" s="119"/>
      <c r="JIM24" s="119"/>
      <c r="JIN24" s="119"/>
      <c r="JIO24" s="119"/>
      <c r="JIP24" s="119"/>
      <c r="JIQ24" s="119"/>
      <c r="JIR24" s="119"/>
      <c r="JIS24" s="119"/>
      <c r="JIT24" s="119"/>
      <c r="JIU24" s="119"/>
      <c r="JIV24" s="119"/>
      <c r="JIW24" s="119"/>
      <c r="JIX24" s="119"/>
      <c r="JIY24" s="119"/>
      <c r="JIZ24" s="119"/>
      <c r="JJA24" s="119"/>
      <c r="JJB24" s="119"/>
      <c r="JJC24" s="119"/>
      <c r="JJD24" s="119"/>
      <c r="JJE24" s="119"/>
      <c r="JJF24" s="119"/>
      <c r="JJG24" s="119"/>
      <c r="JJH24" s="119"/>
      <c r="JJI24" s="119"/>
      <c r="JJJ24" s="119"/>
      <c r="JJK24" s="119"/>
      <c r="JJL24" s="119"/>
      <c r="JJM24" s="119"/>
      <c r="JJN24" s="119"/>
      <c r="JJO24" s="119"/>
      <c r="JJP24" s="119"/>
      <c r="JJQ24" s="119"/>
      <c r="JJR24" s="119"/>
      <c r="JJS24" s="119"/>
      <c r="JJT24" s="119"/>
      <c r="JJU24" s="119"/>
      <c r="JJV24" s="119"/>
      <c r="JJW24" s="119"/>
      <c r="JJX24" s="119"/>
      <c r="JJY24" s="119"/>
      <c r="JJZ24" s="119"/>
      <c r="JKA24" s="119"/>
      <c r="JKB24" s="119"/>
      <c r="JKC24" s="119"/>
      <c r="JKD24" s="119"/>
      <c r="JKE24" s="119"/>
      <c r="JKF24" s="119"/>
      <c r="JKG24" s="119"/>
      <c r="JKH24" s="119"/>
      <c r="JKI24" s="119"/>
      <c r="JKJ24" s="119"/>
      <c r="JKK24" s="119"/>
      <c r="JKL24" s="119"/>
      <c r="JKM24" s="119"/>
      <c r="JKN24" s="119"/>
      <c r="JKO24" s="119"/>
      <c r="JKP24" s="119"/>
      <c r="JKQ24" s="119"/>
      <c r="JKR24" s="119"/>
      <c r="JKS24" s="119"/>
      <c r="JKT24" s="119"/>
      <c r="JKU24" s="119"/>
      <c r="JKV24" s="119"/>
      <c r="JKW24" s="119"/>
      <c r="JKX24" s="119"/>
      <c r="JKY24" s="119"/>
      <c r="JKZ24" s="119"/>
      <c r="JLA24" s="119"/>
      <c r="JLB24" s="119"/>
      <c r="JLC24" s="119"/>
      <c r="JLD24" s="119"/>
      <c r="JLE24" s="119"/>
      <c r="JLF24" s="119"/>
      <c r="JLG24" s="119"/>
      <c r="JLH24" s="119"/>
      <c r="JLI24" s="119"/>
      <c r="JLJ24" s="119"/>
      <c r="JLK24" s="119"/>
      <c r="JLL24" s="119"/>
      <c r="JLM24" s="119"/>
      <c r="JLN24" s="119"/>
      <c r="JLO24" s="119"/>
      <c r="JLP24" s="119"/>
      <c r="JLQ24" s="119"/>
      <c r="JLR24" s="119"/>
      <c r="JLS24" s="119"/>
      <c r="JLT24" s="119"/>
      <c r="JLU24" s="119"/>
      <c r="JLV24" s="119"/>
      <c r="JLW24" s="119"/>
      <c r="JLX24" s="119"/>
      <c r="JLY24" s="119"/>
      <c r="JLZ24" s="119"/>
      <c r="JMA24" s="119"/>
      <c r="JMB24" s="119"/>
      <c r="JMC24" s="119"/>
      <c r="JMD24" s="119"/>
      <c r="JME24" s="119"/>
      <c r="JMF24" s="119"/>
      <c r="JMG24" s="119"/>
      <c r="JMH24" s="119"/>
      <c r="JMI24" s="119"/>
      <c r="JMJ24" s="119"/>
      <c r="JMK24" s="119"/>
      <c r="JML24" s="119"/>
      <c r="JMM24" s="119"/>
      <c r="JMN24" s="119"/>
      <c r="JMO24" s="119"/>
      <c r="JMP24" s="119"/>
      <c r="JMQ24" s="119"/>
      <c r="JMR24" s="119"/>
      <c r="JMS24" s="119"/>
      <c r="JMT24" s="119"/>
      <c r="JMU24" s="119"/>
      <c r="JMV24" s="119"/>
      <c r="JMW24" s="119"/>
      <c r="JMX24" s="119"/>
      <c r="JMY24" s="119"/>
      <c r="JMZ24" s="119"/>
      <c r="JNA24" s="119"/>
      <c r="JNB24" s="119"/>
      <c r="JNC24" s="119"/>
      <c r="JND24" s="119"/>
      <c r="JNE24" s="119"/>
      <c r="JNF24" s="119"/>
      <c r="JNG24" s="119"/>
      <c r="JNH24" s="119"/>
      <c r="JNI24" s="119"/>
      <c r="JNJ24" s="119"/>
      <c r="JNK24" s="119"/>
      <c r="JNL24" s="119"/>
      <c r="JNM24" s="119"/>
      <c r="JNN24" s="119"/>
      <c r="JNO24" s="119"/>
      <c r="JNP24" s="119"/>
      <c r="JNQ24" s="119"/>
      <c r="JNR24" s="119"/>
      <c r="JNS24" s="119"/>
      <c r="JNT24" s="119"/>
      <c r="JNU24" s="119"/>
      <c r="JNV24" s="119"/>
      <c r="JNW24" s="119"/>
      <c r="JNX24" s="119"/>
      <c r="JNY24" s="119"/>
      <c r="JNZ24" s="119"/>
      <c r="JOA24" s="119"/>
      <c r="JOB24" s="119"/>
      <c r="JOC24" s="119"/>
      <c r="JOD24" s="119"/>
      <c r="JOE24" s="119"/>
      <c r="JOF24" s="119"/>
      <c r="JOG24" s="119"/>
      <c r="JOH24" s="119"/>
      <c r="JOI24" s="119"/>
      <c r="JOJ24" s="119"/>
      <c r="JOK24" s="119"/>
      <c r="JOL24" s="119"/>
      <c r="JOM24" s="119"/>
      <c r="JON24" s="119"/>
      <c r="JOO24" s="119"/>
      <c r="JOP24" s="119"/>
      <c r="JOQ24" s="119"/>
      <c r="JOR24" s="119"/>
      <c r="JOS24" s="119"/>
      <c r="JOT24" s="119"/>
      <c r="JOU24" s="119"/>
      <c r="JOV24" s="119"/>
      <c r="JOW24" s="119"/>
      <c r="JOX24" s="119"/>
      <c r="JOY24" s="119"/>
      <c r="JOZ24" s="119"/>
      <c r="JPA24" s="119"/>
      <c r="JPB24" s="119"/>
      <c r="JPC24" s="119"/>
      <c r="JPD24" s="119"/>
      <c r="JPE24" s="119"/>
      <c r="JPF24" s="119"/>
      <c r="JPG24" s="119"/>
      <c r="JPH24" s="119"/>
      <c r="JPI24" s="119"/>
      <c r="JPJ24" s="119"/>
      <c r="JPK24" s="119"/>
      <c r="JPL24" s="119"/>
      <c r="JPM24" s="119"/>
      <c r="JPN24" s="119"/>
      <c r="JPO24" s="119"/>
      <c r="JPP24" s="119"/>
      <c r="JPQ24" s="119"/>
      <c r="JPR24" s="119"/>
      <c r="JPS24" s="119"/>
      <c r="JPT24" s="119"/>
      <c r="JPU24" s="119"/>
      <c r="JPV24" s="119"/>
      <c r="JPW24" s="119"/>
      <c r="JPX24" s="119"/>
      <c r="JPY24" s="119"/>
      <c r="JPZ24" s="119"/>
      <c r="JQA24" s="119"/>
      <c r="JQB24" s="119"/>
      <c r="JQC24" s="119"/>
      <c r="JQD24" s="119"/>
      <c r="JQE24" s="119"/>
      <c r="JQF24" s="119"/>
      <c r="JQG24" s="119"/>
      <c r="JQH24" s="119"/>
      <c r="JQI24" s="119"/>
      <c r="JQJ24" s="119"/>
      <c r="JQK24" s="119"/>
      <c r="JQL24" s="119"/>
      <c r="JQM24" s="119"/>
      <c r="JQN24" s="119"/>
      <c r="JQO24" s="119"/>
      <c r="JQP24" s="119"/>
      <c r="JQQ24" s="119"/>
      <c r="JQR24" s="119"/>
      <c r="JQS24" s="119"/>
      <c r="JQT24" s="119"/>
      <c r="JQU24" s="119"/>
      <c r="JQV24" s="119"/>
      <c r="JQW24" s="119"/>
      <c r="JQX24" s="119"/>
      <c r="JQY24" s="119"/>
      <c r="JQZ24" s="119"/>
      <c r="JRA24" s="119"/>
      <c r="JRB24" s="119"/>
      <c r="JRC24" s="119"/>
      <c r="JRD24" s="119"/>
      <c r="JRE24" s="119"/>
      <c r="JRF24" s="119"/>
      <c r="JRG24" s="119"/>
      <c r="JRH24" s="119"/>
      <c r="JRI24" s="119"/>
      <c r="JRJ24" s="119"/>
      <c r="JRK24" s="119"/>
      <c r="JRL24" s="119"/>
      <c r="JRM24" s="119"/>
      <c r="JRN24" s="119"/>
      <c r="JRO24" s="119"/>
      <c r="JRP24" s="119"/>
      <c r="JRQ24" s="119"/>
      <c r="JRR24" s="119"/>
      <c r="JRS24" s="119"/>
      <c r="JRT24" s="119"/>
      <c r="JRU24" s="119"/>
      <c r="JRV24" s="119"/>
      <c r="JRW24" s="119"/>
      <c r="JRX24" s="119"/>
      <c r="JRY24" s="119"/>
      <c r="JRZ24" s="119"/>
      <c r="JSA24" s="119"/>
      <c r="JSB24" s="119"/>
      <c r="JSC24" s="119"/>
      <c r="JSD24" s="119"/>
      <c r="JSE24" s="119"/>
      <c r="JSF24" s="119"/>
      <c r="JSG24" s="119"/>
      <c r="JSH24" s="119"/>
      <c r="JSI24" s="119"/>
      <c r="JSJ24" s="119"/>
      <c r="JSK24" s="119"/>
      <c r="JSL24" s="119"/>
      <c r="JSM24" s="119"/>
      <c r="JSN24" s="119"/>
      <c r="JSO24" s="119"/>
      <c r="JSP24" s="119"/>
      <c r="JSQ24" s="119"/>
      <c r="JSR24" s="119"/>
      <c r="JSS24" s="119"/>
      <c r="JST24" s="119"/>
      <c r="JSU24" s="119"/>
      <c r="JSV24" s="119"/>
      <c r="JSW24" s="119"/>
      <c r="JSX24" s="119"/>
      <c r="JSY24" s="119"/>
      <c r="JSZ24" s="119"/>
      <c r="JTA24" s="119"/>
      <c r="JTB24" s="119"/>
      <c r="JTC24" s="119"/>
      <c r="JTD24" s="119"/>
      <c r="JTE24" s="119"/>
      <c r="JTF24" s="119"/>
      <c r="JTG24" s="119"/>
      <c r="JTH24" s="119"/>
      <c r="JTI24" s="119"/>
      <c r="JTJ24" s="119"/>
      <c r="JTK24" s="119"/>
      <c r="JTL24" s="119"/>
      <c r="JTM24" s="119"/>
      <c r="JTN24" s="119"/>
      <c r="JTO24" s="119"/>
      <c r="JTP24" s="119"/>
      <c r="JTQ24" s="119"/>
      <c r="JTR24" s="119"/>
      <c r="JTS24" s="119"/>
      <c r="JTT24" s="119"/>
      <c r="JTU24" s="119"/>
      <c r="JTV24" s="119"/>
      <c r="JTW24" s="119"/>
      <c r="JTX24" s="119"/>
      <c r="JTY24" s="119"/>
      <c r="JTZ24" s="119"/>
      <c r="JUA24" s="119"/>
      <c r="JUB24" s="119"/>
      <c r="JUC24" s="119"/>
      <c r="JUD24" s="119"/>
      <c r="JUE24" s="119"/>
      <c r="JUF24" s="119"/>
      <c r="JUG24" s="119"/>
      <c r="JUH24" s="119"/>
      <c r="JUI24" s="119"/>
      <c r="JUJ24" s="119"/>
      <c r="JUK24" s="119"/>
      <c r="JUL24" s="119"/>
      <c r="JUM24" s="119"/>
      <c r="JUN24" s="119"/>
      <c r="JUO24" s="119"/>
      <c r="JUP24" s="119"/>
      <c r="JUQ24" s="119"/>
      <c r="JUR24" s="119"/>
      <c r="JUS24" s="119"/>
      <c r="JUT24" s="119"/>
      <c r="JUU24" s="119"/>
      <c r="JUV24" s="119"/>
      <c r="JUW24" s="119"/>
      <c r="JUX24" s="119"/>
      <c r="JUY24" s="119"/>
      <c r="JUZ24" s="119"/>
      <c r="JVA24" s="119"/>
      <c r="JVB24" s="119"/>
      <c r="JVC24" s="119"/>
      <c r="JVD24" s="119"/>
      <c r="JVE24" s="119"/>
      <c r="JVF24" s="119"/>
      <c r="JVG24" s="119"/>
      <c r="JVH24" s="119"/>
      <c r="JVI24" s="119"/>
      <c r="JVJ24" s="119"/>
      <c r="JVK24" s="119"/>
      <c r="JVL24" s="119"/>
      <c r="JVM24" s="119"/>
      <c r="JVN24" s="119"/>
      <c r="JVO24" s="119"/>
      <c r="JVP24" s="119"/>
      <c r="JVQ24" s="119"/>
      <c r="JVR24" s="119"/>
      <c r="JVS24" s="119"/>
      <c r="JVT24" s="119"/>
      <c r="JVU24" s="119"/>
      <c r="JVV24" s="119"/>
      <c r="JVW24" s="119"/>
      <c r="JVX24" s="119"/>
      <c r="JVY24" s="119"/>
      <c r="JVZ24" s="119"/>
      <c r="JWA24" s="119"/>
      <c r="JWB24" s="119"/>
      <c r="JWC24" s="119"/>
      <c r="JWD24" s="119"/>
      <c r="JWE24" s="119"/>
      <c r="JWF24" s="119"/>
      <c r="JWG24" s="119"/>
      <c r="JWH24" s="119"/>
      <c r="JWI24" s="119"/>
      <c r="JWJ24" s="119"/>
      <c r="JWK24" s="119"/>
      <c r="JWL24" s="119"/>
      <c r="JWM24" s="119"/>
      <c r="JWN24" s="119"/>
      <c r="JWO24" s="119"/>
      <c r="JWP24" s="119"/>
      <c r="JWQ24" s="119"/>
      <c r="JWR24" s="119"/>
      <c r="JWS24" s="119"/>
      <c r="JWT24" s="119"/>
      <c r="JWU24" s="119"/>
      <c r="JWV24" s="119"/>
      <c r="JWW24" s="119"/>
      <c r="JWX24" s="119"/>
      <c r="JWY24" s="119"/>
      <c r="JWZ24" s="119"/>
      <c r="JXA24" s="119"/>
      <c r="JXB24" s="119"/>
      <c r="JXC24" s="119"/>
      <c r="JXD24" s="119"/>
      <c r="JXE24" s="119"/>
      <c r="JXF24" s="119"/>
      <c r="JXG24" s="119"/>
      <c r="JXH24" s="119"/>
      <c r="JXI24" s="119"/>
      <c r="JXJ24" s="119"/>
      <c r="JXK24" s="119"/>
      <c r="JXL24" s="119"/>
      <c r="JXM24" s="119"/>
      <c r="JXN24" s="119"/>
      <c r="JXO24" s="119"/>
      <c r="JXP24" s="119"/>
      <c r="JXQ24" s="119"/>
      <c r="JXR24" s="119"/>
      <c r="JXS24" s="119"/>
      <c r="JXT24" s="119"/>
      <c r="JXU24" s="119"/>
      <c r="JXV24" s="119"/>
      <c r="JXW24" s="119"/>
      <c r="JXX24" s="119"/>
      <c r="JXY24" s="119"/>
      <c r="JXZ24" s="119"/>
      <c r="JYA24" s="119"/>
      <c r="JYB24" s="119"/>
      <c r="JYC24" s="119"/>
      <c r="JYD24" s="119"/>
      <c r="JYE24" s="119"/>
      <c r="JYF24" s="119"/>
      <c r="JYG24" s="119"/>
      <c r="JYH24" s="119"/>
      <c r="JYI24" s="119"/>
      <c r="JYJ24" s="119"/>
      <c r="JYK24" s="119"/>
      <c r="JYL24" s="119"/>
      <c r="JYM24" s="119"/>
      <c r="JYN24" s="119"/>
      <c r="JYO24" s="119"/>
      <c r="JYP24" s="119"/>
      <c r="JYQ24" s="119"/>
      <c r="JYR24" s="119"/>
      <c r="JYS24" s="119"/>
      <c r="JYT24" s="119"/>
      <c r="JYU24" s="119"/>
      <c r="JYV24" s="119"/>
      <c r="JYW24" s="119"/>
      <c r="JYX24" s="119"/>
      <c r="JYY24" s="119"/>
      <c r="JYZ24" s="119"/>
      <c r="JZA24" s="119"/>
      <c r="JZB24" s="119"/>
      <c r="JZC24" s="119"/>
      <c r="JZD24" s="119"/>
      <c r="JZE24" s="119"/>
      <c r="JZF24" s="119"/>
      <c r="JZG24" s="119"/>
      <c r="JZH24" s="119"/>
      <c r="JZI24" s="119"/>
      <c r="JZJ24" s="119"/>
      <c r="JZK24" s="119"/>
      <c r="JZL24" s="119"/>
      <c r="JZM24" s="119"/>
      <c r="JZN24" s="119"/>
      <c r="JZO24" s="119"/>
      <c r="JZP24" s="119"/>
      <c r="JZQ24" s="119"/>
      <c r="JZR24" s="119"/>
      <c r="JZS24" s="119"/>
      <c r="JZT24" s="119"/>
      <c r="JZU24" s="119"/>
      <c r="JZV24" s="119"/>
      <c r="JZW24" s="119"/>
      <c r="JZX24" s="119"/>
      <c r="JZY24" s="119"/>
      <c r="JZZ24" s="119"/>
      <c r="KAA24" s="119"/>
      <c r="KAB24" s="119"/>
      <c r="KAC24" s="119"/>
      <c r="KAD24" s="119"/>
      <c r="KAE24" s="119"/>
      <c r="KAF24" s="119"/>
      <c r="KAG24" s="119"/>
      <c r="KAH24" s="119"/>
      <c r="KAI24" s="119"/>
      <c r="KAJ24" s="119"/>
      <c r="KAK24" s="119"/>
      <c r="KAL24" s="119"/>
      <c r="KAM24" s="119"/>
      <c r="KAN24" s="119"/>
      <c r="KAO24" s="119"/>
      <c r="KAP24" s="119"/>
      <c r="KAQ24" s="119"/>
      <c r="KAR24" s="119"/>
      <c r="KAS24" s="119"/>
      <c r="KAT24" s="119"/>
      <c r="KAU24" s="119"/>
      <c r="KAV24" s="119"/>
      <c r="KAW24" s="119"/>
      <c r="KAX24" s="119"/>
      <c r="KAY24" s="119"/>
      <c r="KAZ24" s="119"/>
      <c r="KBA24" s="119"/>
      <c r="KBB24" s="119"/>
      <c r="KBC24" s="119"/>
      <c r="KBD24" s="119"/>
      <c r="KBE24" s="119"/>
      <c r="KBF24" s="119"/>
      <c r="KBG24" s="119"/>
      <c r="KBH24" s="119"/>
      <c r="KBI24" s="119"/>
      <c r="KBJ24" s="119"/>
      <c r="KBK24" s="119"/>
      <c r="KBL24" s="119"/>
      <c r="KBM24" s="119"/>
      <c r="KBN24" s="119"/>
      <c r="KBO24" s="119"/>
      <c r="KBP24" s="119"/>
      <c r="KBQ24" s="119"/>
      <c r="KBR24" s="119"/>
      <c r="KBS24" s="119"/>
      <c r="KBT24" s="119"/>
      <c r="KBU24" s="119"/>
      <c r="KBV24" s="119"/>
      <c r="KBW24" s="119"/>
      <c r="KBX24" s="119"/>
      <c r="KBY24" s="119"/>
      <c r="KBZ24" s="119"/>
      <c r="KCA24" s="119"/>
      <c r="KCB24" s="119"/>
      <c r="KCC24" s="119"/>
      <c r="KCD24" s="119"/>
      <c r="KCE24" s="119"/>
      <c r="KCF24" s="119"/>
      <c r="KCG24" s="119"/>
      <c r="KCH24" s="119"/>
      <c r="KCI24" s="119"/>
      <c r="KCJ24" s="119"/>
      <c r="KCK24" s="119"/>
      <c r="KCL24" s="119"/>
      <c r="KCM24" s="119"/>
      <c r="KCN24" s="119"/>
      <c r="KCO24" s="119"/>
      <c r="KCP24" s="119"/>
      <c r="KCQ24" s="119"/>
      <c r="KCR24" s="119"/>
      <c r="KCS24" s="119"/>
      <c r="KCT24" s="119"/>
      <c r="KCU24" s="119"/>
      <c r="KCV24" s="119"/>
      <c r="KCW24" s="119"/>
      <c r="KCX24" s="119"/>
      <c r="KCY24" s="119"/>
      <c r="KCZ24" s="119"/>
      <c r="KDA24" s="119"/>
      <c r="KDB24" s="119"/>
      <c r="KDC24" s="119"/>
      <c r="KDD24" s="119"/>
      <c r="KDE24" s="119"/>
      <c r="KDF24" s="119"/>
      <c r="KDG24" s="119"/>
      <c r="KDH24" s="119"/>
      <c r="KDI24" s="119"/>
      <c r="KDJ24" s="119"/>
      <c r="KDK24" s="119"/>
      <c r="KDL24" s="119"/>
      <c r="KDM24" s="119"/>
      <c r="KDN24" s="119"/>
      <c r="KDO24" s="119"/>
      <c r="KDP24" s="119"/>
      <c r="KDQ24" s="119"/>
      <c r="KDR24" s="119"/>
      <c r="KDS24" s="119"/>
      <c r="KDT24" s="119"/>
      <c r="KDU24" s="119"/>
      <c r="KDV24" s="119"/>
      <c r="KDW24" s="119"/>
      <c r="KDX24" s="119"/>
      <c r="KDY24" s="119"/>
      <c r="KDZ24" s="119"/>
      <c r="KEA24" s="119"/>
      <c r="KEB24" s="119"/>
      <c r="KEC24" s="119"/>
      <c r="KED24" s="119"/>
      <c r="KEE24" s="119"/>
      <c r="KEF24" s="119"/>
      <c r="KEG24" s="119"/>
      <c r="KEH24" s="119"/>
      <c r="KEI24" s="119"/>
      <c r="KEJ24" s="119"/>
      <c r="KEK24" s="119"/>
      <c r="KEL24" s="119"/>
      <c r="KEM24" s="119"/>
      <c r="KEN24" s="119"/>
      <c r="KEO24" s="119"/>
      <c r="KEP24" s="119"/>
      <c r="KEQ24" s="119"/>
      <c r="KER24" s="119"/>
      <c r="KES24" s="119"/>
      <c r="KET24" s="119"/>
      <c r="KEU24" s="119"/>
      <c r="KEV24" s="119"/>
      <c r="KEW24" s="119"/>
      <c r="KEX24" s="119"/>
      <c r="KEY24" s="119"/>
      <c r="KEZ24" s="119"/>
      <c r="KFA24" s="119"/>
      <c r="KFB24" s="119"/>
      <c r="KFC24" s="119"/>
      <c r="KFD24" s="119"/>
      <c r="KFE24" s="119"/>
      <c r="KFF24" s="119"/>
      <c r="KFG24" s="119"/>
      <c r="KFH24" s="119"/>
      <c r="KFI24" s="119"/>
      <c r="KFJ24" s="119"/>
      <c r="KFK24" s="119"/>
      <c r="KFL24" s="119"/>
      <c r="KFM24" s="119"/>
      <c r="KFN24" s="119"/>
      <c r="KFO24" s="119"/>
      <c r="KFP24" s="119"/>
      <c r="KFQ24" s="119"/>
      <c r="KFR24" s="119"/>
      <c r="KFS24" s="119"/>
      <c r="KFT24" s="119"/>
      <c r="KFU24" s="119"/>
      <c r="KFV24" s="119"/>
      <c r="KFW24" s="119"/>
      <c r="KFX24" s="119"/>
      <c r="KFY24" s="119"/>
      <c r="KFZ24" s="119"/>
      <c r="KGA24" s="119"/>
      <c r="KGB24" s="119"/>
      <c r="KGC24" s="119"/>
      <c r="KGD24" s="119"/>
      <c r="KGE24" s="119"/>
      <c r="KGF24" s="119"/>
      <c r="KGG24" s="119"/>
      <c r="KGH24" s="119"/>
      <c r="KGI24" s="119"/>
      <c r="KGJ24" s="119"/>
      <c r="KGK24" s="119"/>
      <c r="KGL24" s="119"/>
      <c r="KGM24" s="119"/>
      <c r="KGN24" s="119"/>
      <c r="KGO24" s="119"/>
      <c r="KGP24" s="119"/>
      <c r="KGQ24" s="119"/>
      <c r="KGR24" s="119"/>
      <c r="KGS24" s="119"/>
      <c r="KGT24" s="119"/>
      <c r="KGU24" s="119"/>
      <c r="KGV24" s="119"/>
      <c r="KGW24" s="119"/>
      <c r="KGX24" s="119"/>
      <c r="KGY24" s="119"/>
      <c r="KGZ24" s="119"/>
      <c r="KHA24" s="119"/>
      <c r="KHB24" s="119"/>
      <c r="KHC24" s="119"/>
      <c r="KHD24" s="119"/>
      <c r="KHE24" s="119"/>
      <c r="KHF24" s="119"/>
      <c r="KHG24" s="119"/>
      <c r="KHH24" s="119"/>
      <c r="KHI24" s="119"/>
      <c r="KHJ24" s="119"/>
      <c r="KHK24" s="119"/>
      <c r="KHL24" s="119"/>
      <c r="KHM24" s="119"/>
      <c r="KHN24" s="119"/>
      <c r="KHO24" s="119"/>
      <c r="KHP24" s="119"/>
      <c r="KHQ24" s="119"/>
      <c r="KHR24" s="119"/>
      <c r="KHS24" s="119"/>
      <c r="KHT24" s="119"/>
      <c r="KHU24" s="119"/>
      <c r="KHV24" s="119"/>
      <c r="KHW24" s="119"/>
      <c r="KHX24" s="119"/>
      <c r="KHY24" s="119"/>
      <c r="KHZ24" s="119"/>
      <c r="KIA24" s="119"/>
      <c r="KIB24" s="119"/>
      <c r="KIC24" s="119"/>
      <c r="KID24" s="119"/>
      <c r="KIE24" s="119"/>
      <c r="KIF24" s="119"/>
      <c r="KIG24" s="119"/>
      <c r="KIH24" s="119"/>
      <c r="KII24" s="119"/>
      <c r="KIJ24" s="119"/>
      <c r="KIK24" s="119"/>
      <c r="KIL24" s="119"/>
      <c r="KIM24" s="119"/>
      <c r="KIN24" s="119"/>
      <c r="KIO24" s="119"/>
      <c r="KIP24" s="119"/>
      <c r="KIQ24" s="119"/>
      <c r="KIR24" s="119"/>
      <c r="KIS24" s="119"/>
      <c r="KIT24" s="119"/>
      <c r="KIU24" s="119"/>
      <c r="KIV24" s="119"/>
      <c r="KIW24" s="119"/>
      <c r="KIX24" s="119"/>
      <c r="KIY24" s="119"/>
      <c r="KIZ24" s="119"/>
      <c r="KJA24" s="119"/>
      <c r="KJB24" s="119"/>
      <c r="KJC24" s="119"/>
      <c r="KJD24" s="119"/>
      <c r="KJE24" s="119"/>
      <c r="KJF24" s="119"/>
      <c r="KJG24" s="119"/>
      <c r="KJH24" s="119"/>
      <c r="KJI24" s="119"/>
      <c r="KJJ24" s="119"/>
      <c r="KJK24" s="119"/>
      <c r="KJL24" s="119"/>
      <c r="KJM24" s="119"/>
      <c r="KJN24" s="119"/>
      <c r="KJO24" s="119"/>
      <c r="KJP24" s="119"/>
      <c r="KJQ24" s="119"/>
      <c r="KJR24" s="119"/>
      <c r="KJS24" s="119"/>
      <c r="KJT24" s="119"/>
      <c r="KJU24" s="119"/>
      <c r="KJV24" s="119"/>
      <c r="KJW24" s="119"/>
      <c r="KJX24" s="119"/>
      <c r="KJY24" s="119"/>
      <c r="KJZ24" s="119"/>
      <c r="KKA24" s="119"/>
      <c r="KKB24" s="119"/>
      <c r="KKC24" s="119"/>
      <c r="KKD24" s="119"/>
      <c r="KKE24" s="119"/>
      <c r="KKF24" s="119"/>
      <c r="KKG24" s="119"/>
      <c r="KKH24" s="119"/>
      <c r="KKI24" s="119"/>
      <c r="KKJ24" s="119"/>
      <c r="KKK24" s="119"/>
      <c r="KKL24" s="119"/>
      <c r="KKM24" s="119"/>
      <c r="KKN24" s="119"/>
      <c r="KKO24" s="119"/>
      <c r="KKP24" s="119"/>
      <c r="KKQ24" s="119"/>
      <c r="KKR24" s="119"/>
      <c r="KKS24" s="119"/>
      <c r="KKT24" s="119"/>
      <c r="KKU24" s="119"/>
      <c r="KKV24" s="119"/>
      <c r="KKW24" s="119"/>
      <c r="KKX24" s="119"/>
      <c r="KKY24" s="119"/>
      <c r="KKZ24" s="119"/>
      <c r="KLA24" s="119"/>
      <c r="KLB24" s="119"/>
      <c r="KLC24" s="119"/>
      <c r="KLD24" s="119"/>
      <c r="KLE24" s="119"/>
      <c r="KLF24" s="119"/>
      <c r="KLG24" s="119"/>
      <c r="KLH24" s="119"/>
      <c r="KLI24" s="119"/>
      <c r="KLJ24" s="119"/>
      <c r="KLK24" s="119"/>
      <c r="KLL24" s="119"/>
      <c r="KLM24" s="119"/>
      <c r="KLN24" s="119"/>
      <c r="KLO24" s="119"/>
      <c r="KLP24" s="119"/>
      <c r="KLQ24" s="119"/>
      <c r="KLR24" s="119"/>
      <c r="KLS24" s="119"/>
      <c r="KLT24" s="119"/>
      <c r="KLU24" s="119"/>
      <c r="KLV24" s="119"/>
      <c r="KLW24" s="119"/>
      <c r="KLX24" s="119"/>
      <c r="KLY24" s="119"/>
      <c r="KLZ24" s="119"/>
      <c r="KMA24" s="119"/>
      <c r="KMB24" s="119"/>
      <c r="KMC24" s="119"/>
      <c r="KMD24" s="119"/>
      <c r="KME24" s="119"/>
      <c r="KMF24" s="119"/>
      <c r="KMG24" s="119"/>
      <c r="KMH24" s="119"/>
      <c r="KMI24" s="119"/>
      <c r="KMJ24" s="119"/>
      <c r="KMK24" s="119"/>
      <c r="KML24" s="119"/>
      <c r="KMM24" s="119"/>
      <c r="KMN24" s="119"/>
      <c r="KMO24" s="119"/>
      <c r="KMP24" s="119"/>
      <c r="KMQ24" s="119"/>
      <c r="KMR24" s="119"/>
      <c r="KMS24" s="119"/>
      <c r="KMT24" s="119"/>
      <c r="KMU24" s="119"/>
      <c r="KMV24" s="119"/>
      <c r="KMW24" s="119"/>
      <c r="KMX24" s="119"/>
      <c r="KMY24" s="119"/>
      <c r="KMZ24" s="119"/>
      <c r="KNA24" s="119"/>
      <c r="KNB24" s="119"/>
      <c r="KNC24" s="119"/>
      <c r="KND24" s="119"/>
      <c r="KNE24" s="119"/>
      <c r="KNF24" s="119"/>
      <c r="KNG24" s="119"/>
      <c r="KNH24" s="119"/>
      <c r="KNI24" s="119"/>
      <c r="KNJ24" s="119"/>
      <c r="KNK24" s="119"/>
      <c r="KNL24" s="119"/>
      <c r="KNM24" s="119"/>
      <c r="KNN24" s="119"/>
      <c r="KNO24" s="119"/>
      <c r="KNP24" s="119"/>
      <c r="KNQ24" s="119"/>
      <c r="KNR24" s="119"/>
      <c r="KNS24" s="119"/>
      <c r="KNT24" s="119"/>
      <c r="KNU24" s="119"/>
      <c r="KNV24" s="119"/>
      <c r="KNW24" s="119"/>
      <c r="KNX24" s="119"/>
      <c r="KNY24" s="119"/>
      <c r="KNZ24" s="119"/>
      <c r="KOA24" s="119"/>
      <c r="KOB24" s="119"/>
      <c r="KOC24" s="119"/>
      <c r="KOD24" s="119"/>
      <c r="KOE24" s="119"/>
      <c r="KOF24" s="119"/>
      <c r="KOG24" s="119"/>
      <c r="KOH24" s="119"/>
      <c r="KOI24" s="119"/>
      <c r="KOJ24" s="119"/>
      <c r="KOK24" s="119"/>
      <c r="KOL24" s="119"/>
      <c r="KOM24" s="119"/>
      <c r="KON24" s="119"/>
      <c r="KOO24" s="119"/>
      <c r="KOP24" s="119"/>
      <c r="KOQ24" s="119"/>
      <c r="KOR24" s="119"/>
      <c r="KOS24" s="119"/>
      <c r="KOT24" s="119"/>
      <c r="KOU24" s="119"/>
      <c r="KOV24" s="119"/>
      <c r="KOW24" s="119"/>
      <c r="KOX24" s="119"/>
      <c r="KOY24" s="119"/>
      <c r="KOZ24" s="119"/>
      <c r="KPA24" s="119"/>
      <c r="KPB24" s="119"/>
      <c r="KPC24" s="119"/>
      <c r="KPD24" s="119"/>
      <c r="KPE24" s="119"/>
      <c r="KPF24" s="119"/>
      <c r="KPG24" s="119"/>
      <c r="KPH24" s="119"/>
      <c r="KPI24" s="119"/>
      <c r="KPJ24" s="119"/>
      <c r="KPK24" s="119"/>
      <c r="KPL24" s="119"/>
      <c r="KPM24" s="119"/>
      <c r="KPN24" s="119"/>
      <c r="KPO24" s="119"/>
      <c r="KPP24" s="119"/>
      <c r="KPQ24" s="119"/>
      <c r="KPR24" s="119"/>
      <c r="KPS24" s="119"/>
      <c r="KPT24" s="119"/>
      <c r="KPU24" s="119"/>
      <c r="KPV24" s="119"/>
      <c r="KPW24" s="119"/>
      <c r="KPX24" s="119"/>
      <c r="KPY24" s="119"/>
      <c r="KPZ24" s="119"/>
      <c r="KQA24" s="119"/>
      <c r="KQB24" s="119"/>
      <c r="KQC24" s="119"/>
      <c r="KQD24" s="119"/>
      <c r="KQE24" s="119"/>
      <c r="KQF24" s="119"/>
      <c r="KQG24" s="119"/>
      <c r="KQH24" s="119"/>
      <c r="KQI24" s="119"/>
      <c r="KQJ24" s="119"/>
      <c r="KQK24" s="119"/>
      <c r="KQL24" s="119"/>
      <c r="KQM24" s="119"/>
      <c r="KQN24" s="119"/>
      <c r="KQO24" s="119"/>
      <c r="KQP24" s="119"/>
      <c r="KQQ24" s="119"/>
      <c r="KQR24" s="119"/>
      <c r="KQS24" s="119"/>
      <c r="KQT24" s="119"/>
      <c r="KQU24" s="119"/>
      <c r="KQV24" s="119"/>
      <c r="KQW24" s="119"/>
      <c r="KQX24" s="119"/>
      <c r="KQY24" s="119"/>
      <c r="KQZ24" s="119"/>
      <c r="KRA24" s="119"/>
      <c r="KRB24" s="119"/>
      <c r="KRC24" s="119"/>
      <c r="KRD24" s="119"/>
      <c r="KRE24" s="119"/>
      <c r="KRF24" s="119"/>
      <c r="KRG24" s="119"/>
      <c r="KRH24" s="119"/>
      <c r="KRI24" s="119"/>
      <c r="KRJ24" s="119"/>
      <c r="KRK24" s="119"/>
      <c r="KRL24" s="119"/>
      <c r="KRM24" s="119"/>
      <c r="KRN24" s="119"/>
      <c r="KRO24" s="119"/>
      <c r="KRP24" s="119"/>
      <c r="KRQ24" s="119"/>
      <c r="KRR24" s="119"/>
      <c r="KRS24" s="119"/>
      <c r="KRT24" s="119"/>
      <c r="KRU24" s="119"/>
      <c r="KRV24" s="119"/>
      <c r="KRW24" s="119"/>
      <c r="KRX24" s="119"/>
      <c r="KRY24" s="119"/>
      <c r="KRZ24" s="119"/>
      <c r="KSA24" s="119"/>
      <c r="KSB24" s="119"/>
      <c r="KSC24" s="119"/>
      <c r="KSD24" s="119"/>
      <c r="KSE24" s="119"/>
      <c r="KSF24" s="119"/>
      <c r="KSG24" s="119"/>
      <c r="KSH24" s="119"/>
      <c r="KSI24" s="119"/>
      <c r="KSJ24" s="119"/>
      <c r="KSK24" s="119"/>
      <c r="KSL24" s="119"/>
      <c r="KSM24" s="119"/>
      <c r="KSN24" s="119"/>
      <c r="KSO24" s="119"/>
      <c r="KSP24" s="119"/>
      <c r="KSQ24" s="119"/>
      <c r="KSR24" s="119"/>
      <c r="KSS24" s="119"/>
      <c r="KST24" s="119"/>
      <c r="KSU24" s="119"/>
      <c r="KSV24" s="119"/>
      <c r="KSW24" s="119"/>
      <c r="KSX24" s="119"/>
      <c r="KSY24" s="119"/>
      <c r="KSZ24" s="119"/>
      <c r="KTA24" s="119"/>
      <c r="KTB24" s="119"/>
      <c r="KTC24" s="119"/>
      <c r="KTD24" s="119"/>
      <c r="KTE24" s="119"/>
      <c r="KTF24" s="119"/>
      <c r="KTG24" s="119"/>
      <c r="KTH24" s="119"/>
      <c r="KTI24" s="119"/>
      <c r="KTJ24" s="119"/>
      <c r="KTK24" s="119"/>
      <c r="KTL24" s="119"/>
      <c r="KTM24" s="119"/>
      <c r="KTN24" s="119"/>
      <c r="KTO24" s="119"/>
      <c r="KTP24" s="119"/>
      <c r="KTQ24" s="119"/>
      <c r="KTR24" s="119"/>
      <c r="KTS24" s="119"/>
      <c r="KTT24" s="119"/>
      <c r="KTU24" s="119"/>
      <c r="KTV24" s="119"/>
      <c r="KTW24" s="119"/>
      <c r="KTX24" s="119"/>
      <c r="KTY24" s="119"/>
      <c r="KTZ24" s="119"/>
      <c r="KUA24" s="119"/>
      <c r="KUB24" s="119"/>
      <c r="KUC24" s="119"/>
      <c r="KUD24" s="119"/>
      <c r="KUE24" s="119"/>
      <c r="KUF24" s="119"/>
      <c r="KUG24" s="119"/>
      <c r="KUH24" s="119"/>
      <c r="KUI24" s="119"/>
      <c r="KUJ24" s="119"/>
      <c r="KUK24" s="119"/>
      <c r="KUL24" s="119"/>
      <c r="KUM24" s="119"/>
      <c r="KUN24" s="119"/>
      <c r="KUO24" s="119"/>
      <c r="KUP24" s="119"/>
      <c r="KUQ24" s="119"/>
      <c r="KUR24" s="119"/>
      <c r="KUS24" s="119"/>
      <c r="KUT24" s="119"/>
      <c r="KUU24" s="119"/>
      <c r="KUV24" s="119"/>
      <c r="KUW24" s="119"/>
      <c r="KUX24" s="119"/>
      <c r="KUY24" s="119"/>
      <c r="KUZ24" s="119"/>
      <c r="KVA24" s="119"/>
      <c r="KVB24" s="119"/>
      <c r="KVC24" s="119"/>
      <c r="KVD24" s="119"/>
      <c r="KVE24" s="119"/>
      <c r="KVF24" s="119"/>
      <c r="KVG24" s="119"/>
      <c r="KVH24" s="119"/>
      <c r="KVI24" s="119"/>
      <c r="KVJ24" s="119"/>
      <c r="KVK24" s="119"/>
      <c r="KVL24" s="119"/>
      <c r="KVM24" s="119"/>
      <c r="KVN24" s="119"/>
      <c r="KVO24" s="119"/>
      <c r="KVP24" s="119"/>
      <c r="KVQ24" s="119"/>
      <c r="KVR24" s="119"/>
      <c r="KVS24" s="119"/>
      <c r="KVT24" s="119"/>
      <c r="KVU24" s="119"/>
      <c r="KVV24" s="119"/>
      <c r="KVW24" s="119"/>
      <c r="KVX24" s="119"/>
      <c r="KVY24" s="119"/>
      <c r="KVZ24" s="119"/>
      <c r="KWA24" s="119"/>
      <c r="KWB24" s="119"/>
      <c r="KWC24" s="119"/>
      <c r="KWD24" s="119"/>
      <c r="KWE24" s="119"/>
      <c r="KWF24" s="119"/>
      <c r="KWG24" s="119"/>
      <c r="KWH24" s="119"/>
      <c r="KWI24" s="119"/>
      <c r="KWJ24" s="119"/>
      <c r="KWK24" s="119"/>
      <c r="KWL24" s="119"/>
      <c r="KWM24" s="119"/>
      <c r="KWN24" s="119"/>
      <c r="KWO24" s="119"/>
      <c r="KWP24" s="119"/>
      <c r="KWQ24" s="119"/>
      <c r="KWR24" s="119"/>
      <c r="KWS24" s="119"/>
      <c r="KWT24" s="119"/>
      <c r="KWU24" s="119"/>
      <c r="KWV24" s="119"/>
      <c r="KWW24" s="119"/>
      <c r="KWX24" s="119"/>
      <c r="KWY24" s="119"/>
      <c r="KWZ24" s="119"/>
      <c r="KXA24" s="119"/>
      <c r="KXB24" s="119"/>
      <c r="KXC24" s="119"/>
      <c r="KXD24" s="119"/>
      <c r="KXE24" s="119"/>
      <c r="KXF24" s="119"/>
      <c r="KXG24" s="119"/>
      <c r="KXH24" s="119"/>
      <c r="KXI24" s="119"/>
      <c r="KXJ24" s="119"/>
      <c r="KXK24" s="119"/>
      <c r="KXL24" s="119"/>
      <c r="KXM24" s="119"/>
      <c r="KXN24" s="119"/>
      <c r="KXO24" s="119"/>
      <c r="KXP24" s="119"/>
      <c r="KXQ24" s="119"/>
      <c r="KXR24" s="119"/>
      <c r="KXS24" s="119"/>
      <c r="KXT24" s="119"/>
      <c r="KXU24" s="119"/>
      <c r="KXV24" s="119"/>
      <c r="KXW24" s="119"/>
      <c r="KXX24" s="119"/>
      <c r="KXY24" s="119"/>
      <c r="KXZ24" s="119"/>
      <c r="KYA24" s="119"/>
      <c r="KYB24" s="119"/>
      <c r="KYC24" s="119"/>
      <c r="KYD24" s="119"/>
      <c r="KYE24" s="119"/>
      <c r="KYF24" s="119"/>
      <c r="KYG24" s="119"/>
      <c r="KYH24" s="119"/>
      <c r="KYI24" s="119"/>
      <c r="KYJ24" s="119"/>
      <c r="KYK24" s="119"/>
      <c r="KYL24" s="119"/>
      <c r="KYM24" s="119"/>
      <c r="KYN24" s="119"/>
      <c r="KYO24" s="119"/>
      <c r="KYP24" s="119"/>
      <c r="KYQ24" s="119"/>
      <c r="KYR24" s="119"/>
      <c r="KYS24" s="119"/>
      <c r="KYT24" s="119"/>
      <c r="KYU24" s="119"/>
      <c r="KYV24" s="119"/>
      <c r="KYW24" s="119"/>
      <c r="KYX24" s="119"/>
      <c r="KYY24" s="119"/>
      <c r="KYZ24" s="119"/>
      <c r="KZA24" s="119"/>
      <c r="KZB24" s="119"/>
      <c r="KZC24" s="119"/>
      <c r="KZD24" s="119"/>
      <c r="KZE24" s="119"/>
      <c r="KZF24" s="119"/>
      <c r="KZG24" s="119"/>
      <c r="KZH24" s="119"/>
      <c r="KZI24" s="119"/>
      <c r="KZJ24" s="119"/>
      <c r="KZK24" s="119"/>
      <c r="KZL24" s="119"/>
      <c r="KZM24" s="119"/>
      <c r="KZN24" s="119"/>
      <c r="KZO24" s="119"/>
      <c r="KZP24" s="119"/>
      <c r="KZQ24" s="119"/>
      <c r="KZR24" s="119"/>
      <c r="KZS24" s="119"/>
      <c r="KZT24" s="119"/>
      <c r="KZU24" s="119"/>
      <c r="KZV24" s="119"/>
      <c r="KZW24" s="119"/>
      <c r="KZX24" s="119"/>
      <c r="KZY24" s="119"/>
      <c r="KZZ24" s="119"/>
      <c r="LAA24" s="119"/>
      <c r="LAB24" s="119"/>
      <c r="LAC24" s="119"/>
      <c r="LAD24" s="119"/>
      <c r="LAE24" s="119"/>
      <c r="LAF24" s="119"/>
      <c r="LAG24" s="119"/>
      <c r="LAH24" s="119"/>
      <c r="LAI24" s="119"/>
      <c r="LAJ24" s="119"/>
      <c r="LAK24" s="119"/>
      <c r="LAL24" s="119"/>
      <c r="LAM24" s="119"/>
      <c r="LAN24" s="119"/>
      <c r="LAO24" s="119"/>
      <c r="LAP24" s="119"/>
      <c r="LAQ24" s="119"/>
      <c r="LAR24" s="119"/>
      <c r="LAS24" s="119"/>
      <c r="LAT24" s="119"/>
      <c r="LAU24" s="119"/>
      <c r="LAV24" s="119"/>
      <c r="LAW24" s="119"/>
      <c r="LAX24" s="119"/>
      <c r="LAY24" s="119"/>
      <c r="LAZ24" s="119"/>
      <c r="LBA24" s="119"/>
      <c r="LBB24" s="119"/>
      <c r="LBC24" s="119"/>
      <c r="LBD24" s="119"/>
      <c r="LBE24" s="119"/>
      <c r="LBF24" s="119"/>
      <c r="LBG24" s="119"/>
      <c r="LBH24" s="119"/>
      <c r="LBI24" s="119"/>
      <c r="LBJ24" s="119"/>
      <c r="LBK24" s="119"/>
      <c r="LBL24" s="119"/>
      <c r="LBM24" s="119"/>
      <c r="LBN24" s="119"/>
      <c r="LBO24" s="119"/>
      <c r="LBP24" s="119"/>
      <c r="LBQ24" s="119"/>
      <c r="LBR24" s="119"/>
      <c r="LBS24" s="119"/>
      <c r="LBT24" s="119"/>
      <c r="LBU24" s="119"/>
      <c r="LBV24" s="119"/>
      <c r="LBW24" s="119"/>
      <c r="LBX24" s="119"/>
      <c r="LBY24" s="119"/>
      <c r="LBZ24" s="119"/>
      <c r="LCA24" s="119"/>
      <c r="LCB24" s="119"/>
      <c r="LCC24" s="119"/>
      <c r="LCD24" s="119"/>
      <c r="LCE24" s="119"/>
      <c r="LCF24" s="119"/>
      <c r="LCG24" s="119"/>
      <c r="LCH24" s="119"/>
      <c r="LCI24" s="119"/>
      <c r="LCJ24" s="119"/>
      <c r="LCK24" s="119"/>
      <c r="LCL24" s="119"/>
      <c r="LCM24" s="119"/>
      <c r="LCN24" s="119"/>
      <c r="LCO24" s="119"/>
      <c r="LCP24" s="119"/>
      <c r="LCQ24" s="119"/>
      <c r="LCR24" s="119"/>
      <c r="LCS24" s="119"/>
      <c r="LCT24" s="119"/>
      <c r="LCU24" s="119"/>
      <c r="LCV24" s="119"/>
      <c r="LCW24" s="119"/>
      <c r="LCX24" s="119"/>
      <c r="LCY24" s="119"/>
      <c r="LCZ24" s="119"/>
      <c r="LDA24" s="119"/>
      <c r="LDB24" s="119"/>
      <c r="LDC24" s="119"/>
      <c r="LDD24" s="119"/>
      <c r="LDE24" s="119"/>
      <c r="LDF24" s="119"/>
      <c r="LDG24" s="119"/>
      <c r="LDH24" s="119"/>
      <c r="LDI24" s="119"/>
      <c r="LDJ24" s="119"/>
      <c r="LDK24" s="119"/>
      <c r="LDL24" s="119"/>
      <c r="LDM24" s="119"/>
      <c r="LDN24" s="119"/>
      <c r="LDO24" s="119"/>
      <c r="LDP24" s="119"/>
      <c r="LDQ24" s="119"/>
      <c r="LDR24" s="119"/>
      <c r="LDS24" s="119"/>
      <c r="LDT24" s="119"/>
      <c r="LDU24" s="119"/>
      <c r="LDV24" s="119"/>
      <c r="LDW24" s="119"/>
      <c r="LDX24" s="119"/>
      <c r="LDY24" s="119"/>
      <c r="LDZ24" s="119"/>
      <c r="LEA24" s="119"/>
      <c r="LEB24" s="119"/>
      <c r="LEC24" s="119"/>
      <c r="LED24" s="119"/>
      <c r="LEE24" s="119"/>
      <c r="LEF24" s="119"/>
      <c r="LEG24" s="119"/>
      <c r="LEH24" s="119"/>
      <c r="LEI24" s="119"/>
      <c r="LEJ24" s="119"/>
      <c r="LEK24" s="119"/>
      <c r="LEL24" s="119"/>
      <c r="LEM24" s="119"/>
      <c r="LEN24" s="119"/>
      <c r="LEO24" s="119"/>
      <c r="LEP24" s="119"/>
      <c r="LEQ24" s="119"/>
      <c r="LER24" s="119"/>
      <c r="LES24" s="119"/>
      <c r="LET24" s="119"/>
      <c r="LEU24" s="119"/>
      <c r="LEV24" s="119"/>
      <c r="LEW24" s="119"/>
      <c r="LEX24" s="119"/>
      <c r="LEY24" s="119"/>
      <c r="LEZ24" s="119"/>
      <c r="LFA24" s="119"/>
      <c r="LFB24" s="119"/>
      <c r="LFC24" s="119"/>
      <c r="LFD24" s="119"/>
      <c r="LFE24" s="119"/>
      <c r="LFF24" s="119"/>
      <c r="LFG24" s="119"/>
      <c r="LFH24" s="119"/>
      <c r="LFI24" s="119"/>
      <c r="LFJ24" s="119"/>
      <c r="LFK24" s="119"/>
      <c r="LFL24" s="119"/>
      <c r="LFM24" s="119"/>
      <c r="LFN24" s="119"/>
      <c r="LFO24" s="119"/>
      <c r="LFP24" s="119"/>
      <c r="LFQ24" s="119"/>
      <c r="LFR24" s="119"/>
      <c r="LFS24" s="119"/>
      <c r="LFT24" s="119"/>
      <c r="LFU24" s="119"/>
      <c r="LFV24" s="119"/>
      <c r="LFW24" s="119"/>
      <c r="LFX24" s="119"/>
      <c r="LFY24" s="119"/>
      <c r="LFZ24" s="119"/>
      <c r="LGA24" s="119"/>
      <c r="LGB24" s="119"/>
      <c r="LGC24" s="119"/>
      <c r="LGD24" s="119"/>
      <c r="LGE24" s="119"/>
      <c r="LGF24" s="119"/>
      <c r="LGG24" s="119"/>
      <c r="LGH24" s="119"/>
      <c r="LGI24" s="119"/>
      <c r="LGJ24" s="119"/>
      <c r="LGK24" s="119"/>
      <c r="LGL24" s="119"/>
      <c r="LGM24" s="119"/>
      <c r="LGN24" s="119"/>
      <c r="LGO24" s="119"/>
      <c r="LGP24" s="119"/>
      <c r="LGQ24" s="119"/>
      <c r="LGR24" s="119"/>
      <c r="LGS24" s="119"/>
      <c r="LGT24" s="119"/>
      <c r="LGU24" s="119"/>
      <c r="LGV24" s="119"/>
      <c r="LGW24" s="119"/>
      <c r="LGX24" s="119"/>
      <c r="LGY24" s="119"/>
      <c r="LGZ24" s="119"/>
      <c r="LHA24" s="119"/>
      <c r="LHB24" s="119"/>
      <c r="LHC24" s="119"/>
      <c r="LHD24" s="119"/>
      <c r="LHE24" s="119"/>
      <c r="LHF24" s="119"/>
      <c r="LHG24" s="119"/>
      <c r="LHH24" s="119"/>
      <c r="LHI24" s="119"/>
      <c r="LHJ24" s="119"/>
      <c r="LHK24" s="119"/>
      <c r="LHL24" s="119"/>
      <c r="LHM24" s="119"/>
      <c r="LHN24" s="119"/>
      <c r="LHO24" s="119"/>
      <c r="LHP24" s="119"/>
      <c r="LHQ24" s="119"/>
      <c r="LHR24" s="119"/>
      <c r="LHS24" s="119"/>
      <c r="LHT24" s="119"/>
      <c r="LHU24" s="119"/>
      <c r="LHV24" s="119"/>
      <c r="LHW24" s="119"/>
      <c r="LHX24" s="119"/>
      <c r="LHY24" s="119"/>
      <c r="LHZ24" s="119"/>
      <c r="LIA24" s="119"/>
      <c r="LIB24" s="119"/>
      <c r="LIC24" s="119"/>
      <c r="LID24" s="119"/>
      <c r="LIE24" s="119"/>
      <c r="LIF24" s="119"/>
      <c r="LIG24" s="119"/>
      <c r="LIH24" s="119"/>
      <c r="LII24" s="119"/>
      <c r="LIJ24" s="119"/>
      <c r="LIK24" s="119"/>
      <c r="LIL24" s="119"/>
      <c r="LIM24" s="119"/>
      <c r="LIN24" s="119"/>
      <c r="LIO24" s="119"/>
      <c r="LIP24" s="119"/>
      <c r="LIQ24" s="119"/>
      <c r="LIR24" s="119"/>
      <c r="LIS24" s="119"/>
      <c r="LIT24" s="119"/>
      <c r="LIU24" s="119"/>
      <c r="LIV24" s="119"/>
      <c r="LIW24" s="119"/>
      <c r="LIX24" s="119"/>
      <c r="LIY24" s="119"/>
      <c r="LIZ24" s="119"/>
      <c r="LJA24" s="119"/>
      <c r="LJB24" s="119"/>
      <c r="LJC24" s="119"/>
      <c r="LJD24" s="119"/>
      <c r="LJE24" s="119"/>
      <c r="LJF24" s="119"/>
      <c r="LJG24" s="119"/>
      <c r="LJH24" s="119"/>
      <c r="LJI24" s="119"/>
      <c r="LJJ24" s="119"/>
      <c r="LJK24" s="119"/>
      <c r="LJL24" s="119"/>
      <c r="LJM24" s="119"/>
      <c r="LJN24" s="119"/>
      <c r="LJO24" s="119"/>
      <c r="LJP24" s="119"/>
      <c r="LJQ24" s="119"/>
      <c r="LJR24" s="119"/>
      <c r="LJS24" s="119"/>
      <c r="LJT24" s="119"/>
      <c r="LJU24" s="119"/>
      <c r="LJV24" s="119"/>
      <c r="LJW24" s="119"/>
      <c r="LJX24" s="119"/>
      <c r="LJY24" s="119"/>
      <c r="LJZ24" s="119"/>
      <c r="LKA24" s="119"/>
      <c r="LKB24" s="119"/>
      <c r="LKC24" s="119"/>
      <c r="LKD24" s="119"/>
      <c r="LKE24" s="119"/>
      <c r="LKF24" s="119"/>
      <c r="LKG24" s="119"/>
      <c r="LKH24" s="119"/>
      <c r="LKI24" s="119"/>
      <c r="LKJ24" s="119"/>
      <c r="LKK24" s="119"/>
      <c r="LKL24" s="119"/>
      <c r="LKM24" s="119"/>
      <c r="LKN24" s="119"/>
      <c r="LKO24" s="119"/>
      <c r="LKP24" s="119"/>
      <c r="LKQ24" s="119"/>
      <c r="LKR24" s="119"/>
      <c r="LKS24" s="119"/>
      <c r="LKT24" s="119"/>
      <c r="LKU24" s="119"/>
      <c r="LKV24" s="119"/>
      <c r="LKW24" s="119"/>
      <c r="LKX24" s="119"/>
      <c r="LKY24" s="119"/>
      <c r="LKZ24" s="119"/>
      <c r="LLA24" s="119"/>
      <c r="LLB24" s="119"/>
      <c r="LLC24" s="119"/>
      <c r="LLD24" s="119"/>
      <c r="LLE24" s="119"/>
      <c r="LLF24" s="119"/>
      <c r="LLG24" s="119"/>
      <c r="LLH24" s="119"/>
      <c r="LLI24" s="119"/>
      <c r="LLJ24" s="119"/>
      <c r="LLK24" s="119"/>
      <c r="LLL24" s="119"/>
      <c r="LLM24" s="119"/>
      <c r="LLN24" s="119"/>
      <c r="LLO24" s="119"/>
      <c r="LLP24" s="119"/>
      <c r="LLQ24" s="119"/>
      <c r="LLR24" s="119"/>
      <c r="LLS24" s="119"/>
      <c r="LLT24" s="119"/>
      <c r="LLU24" s="119"/>
      <c r="LLV24" s="119"/>
      <c r="LLW24" s="119"/>
      <c r="LLX24" s="119"/>
      <c r="LLY24" s="119"/>
      <c r="LLZ24" s="119"/>
      <c r="LMA24" s="119"/>
      <c r="LMB24" s="119"/>
      <c r="LMC24" s="119"/>
      <c r="LMD24" s="119"/>
      <c r="LME24" s="119"/>
      <c r="LMF24" s="119"/>
      <c r="LMG24" s="119"/>
      <c r="LMH24" s="119"/>
      <c r="LMI24" s="119"/>
      <c r="LMJ24" s="119"/>
      <c r="LMK24" s="119"/>
      <c r="LML24" s="119"/>
      <c r="LMM24" s="119"/>
      <c r="LMN24" s="119"/>
      <c r="LMO24" s="119"/>
      <c r="LMP24" s="119"/>
      <c r="LMQ24" s="119"/>
      <c r="LMR24" s="119"/>
      <c r="LMS24" s="119"/>
      <c r="LMT24" s="119"/>
      <c r="LMU24" s="119"/>
      <c r="LMV24" s="119"/>
      <c r="LMW24" s="119"/>
      <c r="LMX24" s="119"/>
      <c r="LMY24" s="119"/>
      <c r="LMZ24" s="119"/>
      <c r="LNA24" s="119"/>
      <c r="LNB24" s="119"/>
      <c r="LNC24" s="119"/>
      <c r="LND24" s="119"/>
      <c r="LNE24" s="119"/>
      <c r="LNF24" s="119"/>
      <c r="LNG24" s="119"/>
      <c r="LNH24" s="119"/>
      <c r="LNI24" s="119"/>
      <c r="LNJ24" s="119"/>
      <c r="LNK24" s="119"/>
      <c r="LNL24" s="119"/>
      <c r="LNM24" s="119"/>
      <c r="LNN24" s="119"/>
      <c r="LNO24" s="119"/>
      <c r="LNP24" s="119"/>
      <c r="LNQ24" s="119"/>
      <c r="LNR24" s="119"/>
      <c r="LNS24" s="119"/>
      <c r="LNT24" s="119"/>
      <c r="LNU24" s="119"/>
      <c r="LNV24" s="119"/>
      <c r="LNW24" s="119"/>
      <c r="LNX24" s="119"/>
      <c r="LNY24" s="119"/>
      <c r="LNZ24" s="119"/>
      <c r="LOA24" s="119"/>
      <c r="LOB24" s="119"/>
      <c r="LOC24" s="119"/>
      <c r="LOD24" s="119"/>
      <c r="LOE24" s="119"/>
      <c r="LOF24" s="119"/>
      <c r="LOG24" s="119"/>
      <c r="LOH24" s="119"/>
      <c r="LOI24" s="119"/>
      <c r="LOJ24" s="119"/>
      <c r="LOK24" s="119"/>
      <c r="LOL24" s="119"/>
      <c r="LOM24" s="119"/>
      <c r="LON24" s="119"/>
      <c r="LOO24" s="119"/>
      <c r="LOP24" s="119"/>
      <c r="LOQ24" s="119"/>
      <c r="LOR24" s="119"/>
      <c r="LOS24" s="119"/>
      <c r="LOT24" s="119"/>
      <c r="LOU24" s="119"/>
      <c r="LOV24" s="119"/>
      <c r="LOW24" s="119"/>
      <c r="LOX24" s="119"/>
      <c r="LOY24" s="119"/>
      <c r="LOZ24" s="119"/>
      <c r="LPA24" s="119"/>
      <c r="LPB24" s="119"/>
      <c r="LPC24" s="119"/>
      <c r="LPD24" s="119"/>
      <c r="LPE24" s="119"/>
      <c r="LPF24" s="119"/>
      <c r="LPG24" s="119"/>
      <c r="LPH24" s="119"/>
      <c r="LPI24" s="119"/>
      <c r="LPJ24" s="119"/>
      <c r="LPK24" s="119"/>
      <c r="LPL24" s="119"/>
      <c r="LPM24" s="119"/>
      <c r="LPN24" s="119"/>
      <c r="LPO24" s="119"/>
      <c r="LPP24" s="119"/>
      <c r="LPQ24" s="119"/>
      <c r="LPR24" s="119"/>
      <c r="LPS24" s="119"/>
      <c r="LPT24" s="119"/>
      <c r="LPU24" s="119"/>
      <c r="LPV24" s="119"/>
      <c r="LPW24" s="119"/>
      <c r="LPX24" s="119"/>
      <c r="LPY24" s="119"/>
      <c r="LPZ24" s="119"/>
      <c r="LQA24" s="119"/>
      <c r="LQB24" s="119"/>
      <c r="LQC24" s="119"/>
      <c r="LQD24" s="119"/>
      <c r="LQE24" s="119"/>
      <c r="LQF24" s="119"/>
      <c r="LQG24" s="119"/>
      <c r="LQH24" s="119"/>
      <c r="LQI24" s="119"/>
      <c r="LQJ24" s="119"/>
      <c r="LQK24" s="119"/>
      <c r="LQL24" s="119"/>
      <c r="LQM24" s="119"/>
      <c r="LQN24" s="119"/>
      <c r="LQO24" s="119"/>
      <c r="LQP24" s="119"/>
      <c r="LQQ24" s="119"/>
      <c r="LQR24" s="119"/>
      <c r="LQS24" s="119"/>
      <c r="LQT24" s="119"/>
      <c r="LQU24" s="119"/>
      <c r="LQV24" s="119"/>
      <c r="LQW24" s="119"/>
      <c r="LQX24" s="119"/>
      <c r="LQY24" s="119"/>
      <c r="LQZ24" s="119"/>
      <c r="LRA24" s="119"/>
      <c r="LRB24" s="119"/>
      <c r="LRC24" s="119"/>
      <c r="LRD24" s="119"/>
      <c r="LRE24" s="119"/>
      <c r="LRF24" s="119"/>
      <c r="LRG24" s="119"/>
      <c r="LRH24" s="119"/>
      <c r="LRI24" s="119"/>
      <c r="LRJ24" s="119"/>
      <c r="LRK24" s="119"/>
      <c r="LRL24" s="119"/>
      <c r="LRM24" s="119"/>
      <c r="LRN24" s="119"/>
      <c r="LRO24" s="119"/>
      <c r="LRP24" s="119"/>
      <c r="LRQ24" s="119"/>
      <c r="LRR24" s="119"/>
      <c r="LRS24" s="119"/>
      <c r="LRT24" s="119"/>
      <c r="LRU24" s="119"/>
      <c r="LRV24" s="119"/>
      <c r="LRW24" s="119"/>
      <c r="LRX24" s="119"/>
      <c r="LRY24" s="119"/>
      <c r="LRZ24" s="119"/>
      <c r="LSA24" s="119"/>
      <c r="LSB24" s="119"/>
      <c r="LSC24" s="119"/>
      <c r="LSD24" s="119"/>
      <c r="LSE24" s="119"/>
      <c r="LSF24" s="119"/>
      <c r="LSG24" s="119"/>
      <c r="LSH24" s="119"/>
      <c r="LSI24" s="119"/>
      <c r="LSJ24" s="119"/>
      <c r="LSK24" s="119"/>
      <c r="LSL24" s="119"/>
      <c r="LSM24" s="119"/>
      <c r="LSN24" s="119"/>
      <c r="LSO24" s="119"/>
      <c r="LSP24" s="119"/>
      <c r="LSQ24" s="119"/>
      <c r="LSR24" s="119"/>
      <c r="LSS24" s="119"/>
      <c r="LST24" s="119"/>
      <c r="LSU24" s="119"/>
      <c r="LSV24" s="119"/>
      <c r="LSW24" s="119"/>
      <c r="LSX24" s="119"/>
      <c r="LSY24" s="119"/>
      <c r="LSZ24" s="119"/>
      <c r="LTA24" s="119"/>
      <c r="LTB24" s="119"/>
      <c r="LTC24" s="119"/>
      <c r="LTD24" s="119"/>
      <c r="LTE24" s="119"/>
      <c r="LTF24" s="119"/>
      <c r="LTG24" s="119"/>
      <c r="LTH24" s="119"/>
      <c r="LTI24" s="119"/>
      <c r="LTJ24" s="119"/>
      <c r="LTK24" s="119"/>
      <c r="LTL24" s="119"/>
      <c r="LTM24" s="119"/>
      <c r="LTN24" s="119"/>
      <c r="LTO24" s="119"/>
      <c r="LTP24" s="119"/>
      <c r="LTQ24" s="119"/>
      <c r="LTR24" s="119"/>
      <c r="LTS24" s="119"/>
      <c r="LTT24" s="119"/>
      <c r="LTU24" s="119"/>
      <c r="LTV24" s="119"/>
      <c r="LTW24" s="119"/>
      <c r="LTX24" s="119"/>
      <c r="LTY24" s="119"/>
      <c r="LTZ24" s="119"/>
      <c r="LUA24" s="119"/>
      <c r="LUB24" s="119"/>
      <c r="LUC24" s="119"/>
      <c r="LUD24" s="119"/>
      <c r="LUE24" s="119"/>
      <c r="LUF24" s="119"/>
      <c r="LUG24" s="119"/>
      <c r="LUH24" s="119"/>
      <c r="LUI24" s="119"/>
      <c r="LUJ24" s="119"/>
      <c r="LUK24" s="119"/>
      <c r="LUL24" s="119"/>
      <c r="LUM24" s="119"/>
      <c r="LUN24" s="119"/>
      <c r="LUO24" s="119"/>
      <c r="LUP24" s="119"/>
      <c r="LUQ24" s="119"/>
      <c r="LUR24" s="119"/>
      <c r="LUS24" s="119"/>
      <c r="LUT24" s="119"/>
      <c r="LUU24" s="119"/>
      <c r="LUV24" s="119"/>
      <c r="LUW24" s="119"/>
      <c r="LUX24" s="119"/>
      <c r="LUY24" s="119"/>
      <c r="LUZ24" s="119"/>
      <c r="LVA24" s="119"/>
      <c r="LVB24" s="119"/>
      <c r="LVC24" s="119"/>
      <c r="LVD24" s="119"/>
      <c r="LVE24" s="119"/>
      <c r="LVF24" s="119"/>
      <c r="LVG24" s="119"/>
      <c r="LVH24" s="119"/>
      <c r="LVI24" s="119"/>
      <c r="LVJ24" s="119"/>
      <c r="LVK24" s="119"/>
      <c r="LVL24" s="119"/>
      <c r="LVM24" s="119"/>
      <c r="LVN24" s="119"/>
      <c r="LVO24" s="119"/>
      <c r="LVP24" s="119"/>
      <c r="LVQ24" s="119"/>
      <c r="LVR24" s="119"/>
      <c r="LVS24" s="119"/>
      <c r="LVT24" s="119"/>
      <c r="LVU24" s="119"/>
      <c r="LVV24" s="119"/>
      <c r="LVW24" s="119"/>
      <c r="LVX24" s="119"/>
      <c r="LVY24" s="119"/>
      <c r="LVZ24" s="119"/>
      <c r="LWA24" s="119"/>
      <c r="LWB24" s="119"/>
      <c r="LWC24" s="119"/>
      <c r="LWD24" s="119"/>
      <c r="LWE24" s="119"/>
      <c r="LWF24" s="119"/>
      <c r="LWG24" s="119"/>
      <c r="LWH24" s="119"/>
      <c r="LWI24" s="119"/>
      <c r="LWJ24" s="119"/>
      <c r="LWK24" s="119"/>
      <c r="LWL24" s="119"/>
      <c r="LWM24" s="119"/>
      <c r="LWN24" s="119"/>
      <c r="LWO24" s="119"/>
      <c r="LWP24" s="119"/>
      <c r="LWQ24" s="119"/>
      <c r="LWR24" s="119"/>
      <c r="LWS24" s="119"/>
      <c r="LWT24" s="119"/>
      <c r="LWU24" s="119"/>
      <c r="LWV24" s="119"/>
      <c r="LWW24" s="119"/>
      <c r="LWX24" s="119"/>
      <c r="LWY24" s="119"/>
      <c r="LWZ24" s="119"/>
      <c r="LXA24" s="119"/>
      <c r="LXB24" s="119"/>
      <c r="LXC24" s="119"/>
      <c r="LXD24" s="119"/>
      <c r="LXE24" s="119"/>
      <c r="LXF24" s="119"/>
      <c r="LXG24" s="119"/>
      <c r="LXH24" s="119"/>
      <c r="LXI24" s="119"/>
      <c r="LXJ24" s="119"/>
      <c r="LXK24" s="119"/>
      <c r="LXL24" s="119"/>
      <c r="LXM24" s="119"/>
      <c r="LXN24" s="119"/>
      <c r="LXO24" s="119"/>
      <c r="LXP24" s="119"/>
      <c r="LXQ24" s="119"/>
      <c r="LXR24" s="119"/>
      <c r="LXS24" s="119"/>
      <c r="LXT24" s="119"/>
      <c r="LXU24" s="119"/>
      <c r="LXV24" s="119"/>
      <c r="LXW24" s="119"/>
      <c r="LXX24" s="119"/>
      <c r="LXY24" s="119"/>
      <c r="LXZ24" s="119"/>
      <c r="LYA24" s="119"/>
      <c r="LYB24" s="119"/>
      <c r="LYC24" s="119"/>
      <c r="LYD24" s="119"/>
      <c r="LYE24" s="119"/>
      <c r="LYF24" s="119"/>
      <c r="LYG24" s="119"/>
      <c r="LYH24" s="119"/>
      <c r="LYI24" s="119"/>
      <c r="LYJ24" s="119"/>
      <c r="LYK24" s="119"/>
      <c r="LYL24" s="119"/>
      <c r="LYM24" s="119"/>
      <c r="LYN24" s="119"/>
      <c r="LYO24" s="119"/>
      <c r="LYP24" s="119"/>
      <c r="LYQ24" s="119"/>
      <c r="LYR24" s="119"/>
      <c r="LYS24" s="119"/>
      <c r="LYT24" s="119"/>
      <c r="LYU24" s="119"/>
      <c r="LYV24" s="119"/>
      <c r="LYW24" s="119"/>
      <c r="LYX24" s="119"/>
      <c r="LYY24" s="119"/>
      <c r="LYZ24" s="119"/>
      <c r="LZA24" s="119"/>
      <c r="LZB24" s="119"/>
      <c r="LZC24" s="119"/>
      <c r="LZD24" s="119"/>
      <c r="LZE24" s="119"/>
      <c r="LZF24" s="119"/>
      <c r="LZG24" s="119"/>
      <c r="LZH24" s="119"/>
      <c r="LZI24" s="119"/>
      <c r="LZJ24" s="119"/>
      <c r="LZK24" s="119"/>
      <c r="LZL24" s="119"/>
      <c r="LZM24" s="119"/>
      <c r="LZN24" s="119"/>
      <c r="LZO24" s="119"/>
      <c r="LZP24" s="119"/>
      <c r="LZQ24" s="119"/>
      <c r="LZR24" s="119"/>
      <c r="LZS24" s="119"/>
      <c r="LZT24" s="119"/>
      <c r="LZU24" s="119"/>
      <c r="LZV24" s="119"/>
      <c r="LZW24" s="119"/>
      <c r="LZX24" s="119"/>
      <c r="LZY24" s="119"/>
      <c r="LZZ24" s="119"/>
      <c r="MAA24" s="119"/>
      <c r="MAB24" s="119"/>
      <c r="MAC24" s="119"/>
      <c r="MAD24" s="119"/>
      <c r="MAE24" s="119"/>
      <c r="MAF24" s="119"/>
      <c r="MAG24" s="119"/>
      <c r="MAH24" s="119"/>
      <c r="MAI24" s="119"/>
      <c r="MAJ24" s="119"/>
      <c r="MAK24" s="119"/>
      <c r="MAL24" s="119"/>
      <c r="MAM24" s="119"/>
      <c r="MAN24" s="119"/>
      <c r="MAO24" s="119"/>
      <c r="MAP24" s="119"/>
      <c r="MAQ24" s="119"/>
      <c r="MAR24" s="119"/>
      <c r="MAS24" s="119"/>
      <c r="MAT24" s="119"/>
      <c r="MAU24" s="119"/>
      <c r="MAV24" s="119"/>
      <c r="MAW24" s="119"/>
      <c r="MAX24" s="119"/>
      <c r="MAY24" s="119"/>
      <c r="MAZ24" s="119"/>
      <c r="MBA24" s="119"/>
      <c r="MBB24" s="119"/>
      <c r="MBC24" s="119"/>
      <c r="MBD24" s="119"/>
      <c r="MBE24" s="119"/>
      <c r="MBF24" s="119"/>
      <c r="MBG24" s="119"/>
      <c r="MBH24" s="119"/>
      <c r="MBI24" s="119"/>
      <c r="MBJ24" s="119"/>
      <c r="MBK24" s="119"/>
      <c r="MBL24" s="119"/>
      <c r="MBM24" s="119"/>
      <c r="MBN24" s="119"/>
      <c r="MBO24" s="119"/>
      <c r="MBP24" s="119"/>
      <c r="MBQ24" s="119"/>
      <c r="MBR24" s="119"/>
      <c r="MBS24" s="119"/>
      <c r="MBT24" s="119"/>
      <c r="MBU24" s="119"/>
      <c r="MBV24" s="119"/>
      <c r="MBW24" s="119"/>
      <c r="MBX24" s="119"/>
      <c r="MBY24" s="119"/>
      <c r="MBZ24" s="119"/>
      <c r="MCA24" s="119"/>
      <c r="MCB24" s="119"/>
      <c r="MCC24" s="119"/>
      <c r="MCD24" s="119"/>
      <c r="MCE24" s="119"/>
      <c r="MCF24" s="119"/>
      <c r="MCG24" s="119"/>
      <c r="MCH24" s="119"/>
      <c r="MCI24" s="119"/>
      <c r="MCJ24" s="119"/>
      <c r="MCK24" s="119"/>
      <c r="MCL24" s="119"/>
      <c r="MCM24" s="119"/>
      <c r="MCN24" s="119"/>
      <c r="MCO24" s="119"/>
      <c r="MCP24" s="119"/>
      <c r="MCQ24" s="119"/>
      <c r="MCR24" s="119"/>
      <c r="MCS24" s="119"/>
      <c r="MCT24" s="119"/>
      <c r="MCU24" s="119"/>
      <c r="MCV24" s="119"/>
      <c r="MCW24" s="119"/>
      <c r="MCX24" s="119"/>
      <c r="MCY24" s="119"/>
      <c r="MCZ24" s="119"/>
      <c r="MDA24" s="119"/>
      <c r="MDB24" s="119"/>
      <c r="MDC24" s="119"/>
      <c r="MDD24" s="119"/>
      <c r="MDE24" s="119"/>
      <c r="MDF24" s="119"/>
      <c r="MDG24" s="119"/>
      <c r="MDH24" s="119"/>
      <c r="MDI24" s="119"/>
      <c r="MDJ24" s="119"/>
      <c r="MDK24" s="119"/>
      <c r="MDL24" s="119"/>
      <c r="MDM24" s="119"/>
      <c r="MDN24" s="119"/>
      <c r="MDO24" s="119"/>
      <c r="MDP24" s="119"/>
      <c r="MDQ24" s="119"/>
      <c r="MDR24" s="119"/>
      <c r="MDS24" s="119"/>
      <c r="MDT24" s="119"/>
      <c r="MDU24" s="119"/>
      <c r="MDV24" s="119"/>
      <c r="MDW24" s="119"/>
      <c r="MDX24" s="119"/>
      <c r="MDY24" s="119"/>
      <c r="MDZ24" s="119"/>
      <c r="MEA24" s="119"/>
      <c r="MEB24" s="119"/>
      <c r="MEC24" s="119"/>
      <c r="MED24" s="119"/>
      <c r="MEE24" s="119"/>
      <c r="MEF24" s="119"/>
      <c r="MEG24" s="119"/>
      <c r="MEH24" s="119"/>
      <c r="MEI24" s="119"/>
      <c r="MEJ24" s="119"/>
      <c r="MEK24" s="119"/>
      <c r="MEL24" s="119"/>
      <c r="MEM24" s="119"/>
      <c r="MEN24" s="119"/>
      <c r="MEO24" s="119"/>
      <c r="MEP24" s="119"/>
      <c r="MEQ24" s="119"/>
      <c r="MER24" s="119"/>
      <c r="MES24" s="119"/>
      <c r="MET24" s="119"/>
      <c r="MEU24" s="119"/>
      <c r="MEV24" s="119"/>
      <c r="MEW24" s="119"/>
      <c r="MEX24" s="119"/>
      <c r="MEY24" s="119"/>
      <c r="MEZ24" s="119"/>
      <c r="MFA24" s="119"/>
      <c r="MFB24" s="119"/>
      <c r="MFC24" s="119"/>
      <c r="MFD24" s="119"/>
      <c r="MFE24" s="119"/>
      <c r="MFF24" s="119"/>
      <c r="MFG24" s="119"/>
      <c r="MFH24" s="119"/>
      <c r="MFI24" s="119"/>
      <c r="MFJ24" s="119"/>
      <c r="MFK24" s="119"/>
      <c r="MFL24" s="119"/>
      <c r="MFM24" s="119"/>
      <c r="MFN24" s="119"/>
      <c r="MFO24" s="119"/>
      <c r="MFP24" s="119"/>
      <c r="MFQ24" s="119"/>
      <c r="MFR24" s="119"/>
      <c r="MFS24" s="119"/>
      <c r="MFT24" s="119"/>
      <c r="MFU24" s="119"/>
      <c r="MFV24" s="119"/>
      <c r="MFW24" s="119"/>
      <c r="MFX24" s="119"/>
      <c r="MFY24" s="119"/>
      <c r="MFZ24" s="119"/>
      <c r="MGA24" s="119"/>
      <c r="MGB24" s="119"/>
      <c r="MGC24" s="119"/>
      <c r="MGD24" s="119"/>
      <c r="MGE24" s="119"/>
      <c r="MGF24" s="119"/>
      <c r="MGG24" s="119"/>
      <c r="MGH24" s="119"/>
      <c r="MGI24" s="119"/>
      <c r="MGJ24" s="119"/>
      <c r="MGK24" s="119"/>
      <c r="MGL24" s="119"/>
      <c r="MGM24" s="119"/>
      <c r="MGN24" s="119"/>
      <c r="MGO24" s="119"/>
      <c r="MGP24" s="119"/>
      <c r="MGQ24" s="119"/>
      <c r="MGR24" s="119"/>
      <c r="MGS24" s="119"/>
      <c r="MGT24" s="119"/>
      <c r="MGU24" s="119"/>
      <c r="MGV24" s="119"/>
      <c r="MGW24" s="119"/>
      <c r="MGX24" s="119"/>
      <c r="MGY24" s="119"/>
      <c r="MGZ24" s="119"/>
      <c r="MHA24" s="119"/>
      <c r="MHB24" s="119"/>
      <c r="MHC24" s="119"/>
      <c r="MHD24" s="119"/>
      <c r="MHE24" s="119"/>
      <c r="MHF24" s="119"/>
      <c r="MHG24" s="119"/>
      <c r="MHH24" s="119"/>
      <c r="MHI24" s="119"/>
      <c r="MHJ24" s="119"/>
      <c r="MHK24" s="119"/>
      <c r="MHL24" s="119"/>
      <c r="MHM24" s="119"/>
      <c r="MHN24" s="119"/>
      <c r="MHO24" s="119"/>
      <c r="MHP24" s="119"/>
      <c r="MHQ24" s="119"/>
      <c r="MHR24" s="119"/>
      <c r="MHS24" s="119"/>
      <c r="MHT24" s="119"/>
      <c r="MHU24" s="119"/>
      <c r="MHV24" s="119"/>
      <c r="MHW24" s="119"/>
      <c r="MHX24" s="119"/>
      <c r="MHY24" s="119"/>
      <c r="MHZ24" s="119"/>
      <c r="MIA24" s="119"/>
      <c r="MIB24" s="119"/>
      <c r="MIC24" s="119"/>
      <c r="MID24" s="119"/>
      <c r="MIE24" s="119"/>
      <c r="MIF24" s="119"/>
      <c r="MIG24" s="119"/>
      <c r="MIH24" s="119"/>
      <c r="MII24" s="119"/>
      <c r="MIJ24" s="119"/>
      <c r="MIK24" s="119"/>
      <c r="MIL24" s="119"/>
      <c r="MIM24" s="119"/>
      <c r="MIN24" s="119"/>
      <c r="MIO24" s="119"/>
      <c r="MIP24" s="119"/>
      <c r="MIQ24" s="119"/>
      <c r="MIR24" s="119"/>
      <c r="MIS24" s="119"/>
      <c r="MIT24" s="119"/>
      <c r="MIU24" s="119"/>
      <c r="MIV24" s="119"/>
      <c r="MIW24" s="119"/>
      <c r="MIX24" s="119"/>
      <c r="MIY24" s="119"/>
      <c r="MIZ24" s="119"/>
      <c r="MJA24" s="119"/>
      <c r="MJB24" s="119"/>
      <c r="MJC24" s="119"/>
      <c r="MJD24" s="119"/>
      <c r="MJE24" s="119"/>
      <c r="MJF24" s="119"/>
      <c r="MJG24" s="119"/>
      <c r="MJH24" s="119"/>
      <c r="MJI24" s="119"/>
      <c r="MJJ24" s="119"/>
      <c r="MJK24" s="119"/>
      <c r="MJL24" s="119"/>
      <c r="MJM24" s="119"/>
      <c r="MJN24" s="119"/>
      <c r="MJO24" s="119"/>
      <c r="MJP24" s="119"/>
      <c r="MJQ24" s="119"/>
      <c r="MJR24" s="119"/>
      <c r="MJS24" s="119"/>
      <c r="MJT24" s="119"/>
      <c r="MJU24" s="119"/>
      <c r="MJV24" s="119"/>
      <c r="MJW24" s="119"/>
      <c r="MJX24" s="119"/>
      <c r="MJY24" s="119"/>
      <c r="MJZ24" s="119"/>
      <c r="MKA24" s="119"/>
      <c r="MKB24" s="119"/>
      <c r="MKC24" s="119"/>
      <c r="MKD24" s="119"/>
      <c r="MKE24" s="119"/>
      <c r="MKF24" s="119"/>
      <c r="MKG24" s="119"/>
      <c r="MKH24" s="119"/>
      <c r="MKI24" s="119"/>
      <c r="MKJ24" s="119"/>
      <c r="MKK24" s="119"/>
      <c r="MKL24" s="119"/>
      <c r="MKM24" s="119"/>
      <c r="MKN24" s="119"/>
      <c r="MKO24" s="119"/>
      <c r="MKP24" s="119"/>
      <c r="MKQ24" s="119"/>
      <c r="MKR24" s="119"/>
      <c r="MKS24" s="119"/>
      <c r="MKT24" s="119"/>
      <c r="MKU24" s="119"/>
      <c r="MKV24" s="119"/>
      <c r="MKW24" s="119"/>
      <c r="MKX24" s="119"/>
      <c r="MKY24" s="119"/>
      <c r="MKZ24" s="119"/>
      <c r="MLA24" s="119"/>
      <c r="MLB24" s="119"/>
      <c r="MLC24" s="119"/>
      <c r="MLD24" s="119"/>
      <c r="MLE24" s="119"/>
      <c r="MLF24" s="119"/>
      <c r="MLG24" s="119"/>
      <c r="MLH24" s="119"/>
      <c r="MLI24" s="119"/>
      <c r="MLJ24" s="119"/>
      <c r="MLK24" s="119"/>
      <c r="MLL24" s="119"/>
      <c r="MLM24" s="119"/>
      <c r="MLN24" s="119"/>
      <c r="MLO24" s="119"/>
      <c r="MLP24" s="119"/>
      <c r="MLQ24" s="119"/>
      <c r="MLR24" s="119"/>
      <c r="MLS24" s="119"/>
      <c r="MLT24" s="119"/>
      <c r="MLU24" s="119"/>
      <c r="MLV24" s="119"/>
      <c r="MLW24" s="119"/>
      <c r="MLX24" s="119"/>
      <c r="MLY24" s="119"/>
      <c r="MLZ24" s="119"/>
      <c r="MMA24" s="119"/>
      <c r="MMB24" s="119"/>
      <c r="MMC24" s="119"/>
      <c r="MMD24" s="119"/>
      <c r="MME24" s="119"/>
      <c r="MMF24" s="119"/>
      <c r="MMG24" s="119"/>
      <c r="MMH24" s="119"/>
      <c r="MMI24" s="119"/>
      <c r="MMJ24" s="119"/>
      <c r="MMK24" s="119"/>
      <c r="MML24" s="119"/>
      <c r="MMM24" s="119"/>
      <c r="MMN24" s="119"/>
      <c r="MMO24" s="119"/>
      <c r="MMP24" s="119"/>
      <c r="MMQ24" s="119"/>
      <c r="MMR24" s="119"/>
      <c r="MMS24" s="119"/>
      <c r="MMT24" s="119"/>
      <c r="MMU24" s="119"/>
      <c r="MMV24" s="119"/>
      <c r="MMW24" s="119"/>
      <c r="MMX24" s="119"/>
      <c r="MMY24" s="119"/>
      <c r="MMZ24" s="119"/>
      <c r="MNA24" s="119"/>
      <c r="MNB24" s="119"/>
      <c r="MNC24" s="119"/>
      <c r="MND24" s="119"/>
      <c r="MNE24" s="119"/>
      <c r="MNF24" s="119"/>
      <c r="MNG24" s="119"/>
      <c r="MNH24" s="119"/>
      <c r="MNI24" s="119"/>
      <c r="MNJ24" s="119"/>
      <c r="MNK24" s="119"/>
      <c r="MNL24" s="119"/>
      <c r="MNM24" s="119"/>
      <c r="MNN24" s="119"/>
      <c r="MNO24" s="119"/>
      <c r="MNP24" s="119"/>
      <c r="MNQ24" s="119"/>
      <c r="MNR24" s="119"/>
      <c r="MNS24" s="119"/>
      <c r="MNT24" s="119"/>
      <c r="MNU24" s="119"/>
      <c r="MNV24" s="119"/>
      <c r="MNW24" s="119"/>
      <c r="MNX24" s="119"/>
      <c r="MNY24" s="119"/>
      <c r="MNZ24" s="119"/>
      <c r="MOA24" s="119"/>
      <c r="MOB24" s="119"/>
      <c r="MOC24" s="119"/>
      <c r="MOD24" s="119"/>
      <c r="MOE24" s="119"/>
      <c r="MOF24" s="119"/>
      <c r="MOG24" s="119"/>
      <c r="MOH24" s="119"/>
      <c r="MOI24" s="119"/>
      <c r="MOJ24" s="119"/>
      <c r="MOK24" s="119"/>
      <c r="MOL24" s="119"/>
      <c r="MOM24" s="119"/>
      <c r="MON24" s="119"/>
      <c r="MOO24" s="119"/>
      <c r="MOP24" s="119"/>
      <c r="MOQ24" s="119"/>
      <c r="MOR24" s="119"/>
      <c r="MOS24" s="119"/>
      <c r="MOT24" s="119"/>
      <c r="MOU24" s="119"/>
      <c r="MOV24" s="119"/>
      <c r="MOW24" s="119"/>
      <c r="MOX24" s="119"/>
      <c r="MOY24" s="119"/>
      <c r="MOZ24" s="119"/>
      <c r="MPA24" s="119"/>
      <c r="MPB24" s="119"/>
      <c r="MPC24" s="119"/>
      <c r="MPD24" s="119"/>
      <c r="MPE24" s="119"/>
      <c r="MPF24" s="119"/>
      <c r="MPG24" s="119"/>
      <c r="MPH24" s="119"/>
      <c r="MPI24" s="119"/>
      <c r="MPJ24" s="119"/>
      <c r="MPK24" s="119"/>
      <c r="MPL24" s="119"/>
      <c r="MPM24" s="119"/>
      <c r="MPN24" s="119"/>
      <c r="MPO24" s="119"/>
      <c r="MPP24" s="119"/>
      <c r="MPQ24" s="119"/>
      <c r="MPR24" s="119"/>
      <c r="MPS24" s="119"/>
      <c r="MPT24" s="119"/>
      <c r="MPU24" s="119"/>
      <c r="MPV24" s="119"/>
      <c r="MPW24" s="119"/>
      <c r="MPX24" s="119"/>
      <c r="MPY24" s="119"/>
      <c r="MPZ24" s="119"/>
      <c r="MQA24" s="119"/>
      <c r="MQB24" s="119"/>
      <c r="MQC24" s="119"/>
      <c r="MQD24" s="119"/>
      <c r="MQE24" s="119"/>
      <c r="MQF24" s="119"/>
      <c r="MQG24" s="119"/>
      <c r="MQH24" s="119"/>
      <c r="MQI24" s="119"/>
      <c r="MQJ24" s="119"/>
      <c r="MQK24" s="119"/>
      <c r="MQL24" s="119"/>
      <c r="MQM24" s="119"/>
      <c r="MQN24" s="119"/>
      <c r="MQO24" s="119"/>
      <c r="MQP24" s="119"/>
      <c r="MQQ24" s="119"/>
      <c r="MQR24" s="119"/>
      <c r="MQS24" s="119"/>
      <c r="MQT24" s="119"/>
      <c r="MQU24" s="119"/>
      <c r="MQV24" s="119"/>
      <c r="MQW24" s="119"/>
      <c r="MQX24" s="119"/>
      <c r="MQY24" s="119"/>
      <c r="MQZ24" s="119"/>
      <c r="MRA24" s="119"/>
      <c r="MRB24" s="119"/>
      <c r="MRC24" s="119"/>
      <c r="MRD24" s="119"/>
      <c r="MRE24" s="119"/>
      <c r="MRF24" s="119"/>
      <c r="MRG24" s="119"/>
      <c r="MRH24" s="119"/>
      <c r="MRI24" s="119"/>
      <c r="MRJ24" s="119"/>
      <c r="MRK24" s="119"/>
      <c r="MRL24" s="119"/>
      <c r="MRM24" s="119"/>
      <c r="MRN24" s="119"/>
      <c r="MRO24" s="119"/>
      <c r="MRP24" s="119"/>
      <c r="MRQ24" s="119"/>
      <c r="MRR24" s="119"/>
      <c r="MRS24" s="119"/>
      <c r="MRT24" s="119"/>
      <c r="MRU24" s="119"/>
      <c r="MRV24" s="119"/>
      <c r="MRW24" s="119"/>
      <c r="MRX24" s="119"/>
      <c r="MRY24" s="119"/>
      <c r="MRZ24" s="119"/>
      <c r="MSA24" s="119"/>
      <c r="MSB24" s="119"/>
      <c r="MSC24" s="119"/>
      <c r="MSD24" s="119"/>
      <c r="MSE24" s="119"/>
      <c r="MSF24" s="119"/>
      <c r="MSG24" s="119"/>
      <c r="MSH24" s="119"/>
      <c r="MSI24" s="119"/>
      <c r="MSJ24" s="119"/>
      <c r="MSK24" s="119"/>
      <c r="MSL24" s="119"/>
      <c r="MSM24" s="119"/>
      <c r="MSN24" s="119"/>
      <c r="MSO24" s="119"/>
      <c r="MSP24" s="119"/>
      <c r="MSQ24" s="119"/>
      <c r="MSR24" s="119"/>
      <c r="MSS24" s="119"/>
      <c r="MST24" s="119"/>
      <c r="MSU24" s="119"/>
      <c r="MSV24" s="119"/>
      <c r="MSW24" s="119"/>
      <c r="MSX24" s="119"/>
      <c r="MSY24" s="119"/>
      <c r="MSZ24" s="119"/>
      <c r="MTA24" s="119"/>
      <c r="MTB24" s="119"/>
      <c r="MTC24" s="119"/>
      <c r="MTD24" s="119"/>
      <c r="MTE24" s="119"/>
      <c r="MTF24" s="119"/>
      <c r="MTG24" s="119"/>
      <c r="MTH24" s="119"/>
      <c r="MTI24" s="119"/>
      <c r="MTJ24" s="119"/>
      <c r="MTK24" s="119"/>
      <c r="MTL24" s="119"/>
      <c r="MTM24" s="119"/>
      <c r="MTN24" s="119"/>
      <c r="MTO24" s="119"/>
      <c r="MTP24" s="119"/>
      <c r="MTQ24" s="119"/>
      <c r="MTR24" s="119"/>
      <c r="MTS24" s="119"/>
      <c r="MTT24" s="119"/>
      <c r="MTU24" s="119"/>
      <c r="MTV24" s="119"/>
      <c r="MTW24" s="119"/>
      <c r="MTX24" s="119"/>
      <c r="MTY24" s="119"/>
      <c r="MTZ24" s="119"/>
      <c r="MUA24" s="119"/>
      <c r="MUB24" s="119"/>
      <c r="MUC24" s="119"/>
      <c r="MUD24" s="119"/>
      <c r="MUE24" s="119"/>
      <c r="MUF24" s="119"/>
      <c r="MUG24" s="119"/>
      <c r="MUH24" s="119"/>
      <c r="MUI24" s="119"/>
      <c r="MUJ24" s="119"/>
      <c r="MUK24" s="119"/>
      <c r="MUL24" s="119"/>
      <c r="MUM24" s="119"/>
      <c r="MUN24" s="119"/>
      <c r="MUO24" s="119"/>
      <c r="MUP24" s="119"/>
      <c r="MUQ24" s="119"/>
      <c r="MUR24" s="119"/>
      <c r="MUS24" s="119"/>
      <c r="MUT24" s="119"/>
      <c r="MUU24" s="119"/>
      <c r="MUV24" s="119"/>
      <c r="MUW24" s="119"/>
      <c r="MUX24" s="119"/>
      <c r="MUY24" s="119"/>
      <c r="MUZ24" s="119"/>
      <c r="MVA24" s="119"/>
      <c r="MVB24" s="119"/>
      <c r="MVC24" s="119"/>
      <c r="MVD24" s="119"/>
      <c r="MVE24" s="119"/>
      <c r="MVF24" s="119"/>
      <c r="MVG24" s="119"/>
      <c r="MVH24" s="119"/>
      <c r="MVI24" s="119"/>
      <c r="MVJ24" s="119"/>
      <c r="MVK24" s="119"/>
      <c r="MVL24" s="119"/>
      <c r="MVM24" s="119"/>
      <c r="MVN24" s="119"/>
      <c r="MVO24" s="119"/>
      <c r="MVP24" s="119"/>
      <c r="MVQ24" s="119"/>
      <c r="MVR24" s="119"/>
      <c r="MVS24" s="119"/>
      <c r="MVT24" s="119"/>
      <c r="MVU24" s="119"/>
      <c r="MVV24" s="119"/>
      <c r="MVW24" s="119"/>
      <c r="MVX24" s="119"/>
      <c r="MVY24" s="119"/>
      <c r="MVZ24" s="119"/>
      <c r="MWA24" s="119"/>
      <c r="MWB24" s="119"/>
      <c r="MWC24" s="119"/>
      <c r="MWD24" s="119"/>
      <c r="MWE24" s="119"/>
      <c r="MWF24" s="119"/>
      <c r="MWG24" s="119"/>
      <c r="MWH24" s="119"/>
      <c r="MWI24" s="119"/>
      <c r="MWJ24" s="119"/>
      <c r="MWK24" s="119"/>
      <c r="MWL24" s="119"/>
      <c r="MWM24" s="119"/>
      <c r="MWN24" s="119"/>
      <c r="MWO24" s="119"/>
      <c r="MWP24" s="119"/>
      <c r="MWQ24" s="119"/>
      <c r="MWR24" s="119"/>
      <c r="MWS24" s="119"/>
      <c r="MWT24" s="119"/>
      <c r="MWU24" s="119"/>
      <c r="MWV24" s="119"/>
      <c r="MWW24" s="119"/>
      <c r="MWX24" s="119"/>
      <c r="MWY24" s="119"/>
      <c r="MWZ24" s="119"/>
      <c r="MXA24" s="119"/>
      <c r="MXB24" s="119"/>
      <c r="MXC24" s="119"/>
      <c r="MXD24" s="119"/>
      <c r="MXE24" s="119"/>
      <c r="MXF24" s="119"/>
      <c r="MXG24" s="119"/>
      <c r="MXH24" s="119"/>
      <c r="MXI24" s="119"/>
      <c r="MXJ24" s="119"/>
      <c r="MXK24" s="119"/>
      <c r="MXL24" s="119"/>
      <c r="MXM24" s="119"/>
      <c r="MXN24" s="119"/>
      <c r="MXO24" s="119"/>
      <c r="MXP24" s="119"/>
      <c r="MXQ24" s="119"/>
      <c r="MXR24" s="119"/>
      <c r="MXS24" s="119"/>
      <c r="MXT24" s="119"/>
      <c r="MXU24" s="119"/>
      <c r="MXV24" s="119"/>
      <c r="MXW24" s="119"/>
      <c r="MXX24" s="119"/>
      <c r="MXY24" s="119"/>
      <c r="MXZ24" s="119"/>
      <c r="MYA24" s="119"/>
      <c r="MYB24" s="119"/>
      <c r="MYC24" s="119"/>
      <c r="MYD24" s="119"/>
      <c r="MYE24" s="119"/>
      <c r="MYF24" s="119"/>
      <c r="MYG24" s="119"/>
      <c r="MYH24" s="119"/>
      <c r="MYI24" s="119"/>
      <c r="MYJ24" s="119"/>
      <c r="MYK24" s="119"/>
      <c r="MYL24" s="119"/>
      <c r="MYM24" s="119"/>
      <c r="MYN24" s="119"/>
      <c r="MYO24" s="119"/>
      <c r="MYP24" s="119"/>
      <c r="MYQ24" s="119"/>
      <c r="MYR24" s="119"/>
      <c r="MYS24" s="119"/>
      <c r="MYT24" s="119"/>
      <c r="MYU24" s="119"/>
      <c r="MYV24" s="119"/>
      <c r="MYW24" s="119"/>
      <c r="MYX24" s="119"/>
      <c r="MYY24" s="119"/>
      <c r="MYZ24" s="119"/>
      <c r="MZA24" s="119"/>
      <c r="MZB24" s="119"/>
      <c r="MZC24" s="119"/>
      <c r="MZD24" s="119"/>
      <c r="MZE24" s="119"/>
      <c r="MZF24" s="119"/>
      <c r="MZG24" s="119"/>
      <c r="MZH24" s="119"/>
      <c r="MZI24" s="119"/>
      <c r="MZJ24" s="119"/>
      <c r="MZK24" s="119"/>
      <c r="MZL24" s="119"/>
      <c r="MZM24" s="119"/>
      <c r="MZN24" s="119"/>
      <c r="MZO24" s="119"/>
      <c r="MZP24" s="119"/>
      <c r="MZQ24" s="119"/>
      <c r="MZR24" s="119"/>
      <c r="MZS24" s="119"/>
      <c r="MZT24" s="119"/>
      <c r="MZU24" s="119"/>
      <c r="MZV24" s="119"/>
      <c r="MZW24" s="119"/>
      <c r="MZX24" s="119"/>
      <c r="MZY24" s="119"/>
      <c r="MZZ24" s="119"/>
      <c r="NAA24" s="119"/>
      <c r="NAB24" s="119"/>
      <c r="NAC24" s="119"/>
      <c r="NAD24" s="119"/>
      <c r="NAE24" s="119"/>
      <c r="NAF24" s="119"/>
      <c r="NAG24" s="119"/>
      <c r="NAH24" s="119"/>
      <c r="NAI24" s="119"/>
      <c r="NAJ24" s="119"/>
      <c r="NAK24" s="119"/>
      <c r="NAL24" s="119"/>
      <c r="NAM24" s="119"/>
      <c r="NAN24" s="119"/>
      <c r="NAO24" s="119"/>
      <c r="NAP24" s="119"/>
      <c r="NAQ24" s="119"/>
      <c r="NAR24" s="119"/>
      <c r="NAS24" s="119"/>
      <c r="NAT24" s="119"/>
      <c r="NAU24" s="119"/>
      <c r="NAV24" s="119"/>
      <c r="NAW24" s="119"/>
      <c r="NAX24" s="119"/>
      <c r="NAY24" s="119"/>
      <c r="NAZ24" s="119"/>
      <c r="NBA24" s="119"/>
      <c r="NBB24" s="119"/>
      <c r="NBC24" s="119"/>
      <c r="NBD24" s="119"/>
      <c r="NBE24" s="119"/>
      <c r="NBF24" s="119"/>
      <c r="NBG24" s="119"/>
      <c r="NBH24" s="119"/>
      <c r="NBI24" s="119"/>
      <c r="NBJ24" s="119"/>
      <c r="NBK24" s="119"/>
      <c r="NBL24" s="119"/>
      <c r="NBM24" s="119"/>
      <c r="NBN24" s="119"/>
      <c r="NBO24" s="119"/>
      <c r="NBP24" s="119"/>
      <c r="NBQ24" s="119"/>
      <c r="NBR24" s="119"/>
      <c r="NBS24" s="119"/>
      <c r="NBT24" s="119"/>
      <c r="NBU24" s="119"/>
      <c r="NBV24" s="119"/>
      <c r="NBW24" s="119"/>
      <c r="NBX24" s="119"/>
      <c r="NBY24" s="119"/>
      <c r="NBZ24" s="119"/>
      <c r="NCA24" s="119"/>
      <c r="NCB24" s="119"/>
      <c r="NCC24" s="119"/>
      <c r="NCD24" s="119"/>
      <c r="NCE24" s="119"/>
      <c r="NCF24" s="119"/>
      <c r="NCG24" s="119"/>
      <c r="NCH24" s="119"/>
      <c r="NCI24" s="119"/>
      <c r="NCJ24" s="119"/>
      <c r="NCK24" s="119"/>
      <c r="NCL24" s="119"/>
      <c r="NCM24" s="119"/>
      <c r="NCN24" s="119"/>
      <c r="NCO24" s="119"/>
      <c r="NCP24" s="119"/>
      <c r="NCQ24" s="119"/>
      <c r="NCR24" s="119"/>
      <c r="NCS24" s="119"/>
      <c r="NCT24" s="119"/>
      <c r="NCU24" s="119"/>
      <c r="NCV24" s="119"/>
      <c r="NCW24" s="119"/>
      <c r="NCX24" s="119"/>
      <c r="NCY24" s="119"/>
      <c r="NCZ24" s="119"/>
      <c r="NDA24" s="119"/>
      <c r="NDB24" s="119"/>
      <c r="NDC24" s="119"/>
      <c r="NDD24" s="119"/>
      <c r="NDE24" s="119"/>
      <c r="NDF24" s="119"/>
      <c r="NDG24" s="119"/>
      <c r="NDH24" s="119"/>
      <c r="NDI24" s="119"/>
      <c r="NDJ24" s="119"/>
      <c r="NDK24" s="119"/>
      <c r="NDL24" s="119"/>
      <c r="NDM24" s="119"/>
      <c r="NDN24" s="119"/>
      <c r="NDO24" s="119"/>
      <c r="NDP24" s="119"/>
      <c r="NDQ24" s="119"/>
      <c r="NDR24" s="119"/>
      <c r="NDS24" s="119"/>
      <c r="NDT24" s="119"/>
      <c r="NDU24" s="119"/>
      <c r="NDV24" s="119"/>
      <c r="NDW24" s="119"/>
      <c r="NDX24" s="119"/>
      <c r="NDY24" s="119"/>
      <c r="NDZ24" s="119"/>
      <c r="NEA24" s="119"/>
      <c r="NEB24" s="119"/>
      <c r="NEC24" s="119"/>
      <c r="NED24" s="119"/>
      <c r="NEE24" s="119"/>
      <c r="NEF24" s="119"/>
      <c r="NEG24" s="119"/>
      <c r="NEH24" s="119"/>
      <c r="NEI24" s="119"/>
      <c r="NEJ24" s="119"/>
      <c r="NEK24" s="119"/>
      <c r="NEL24" s="119"/>
      <c r="NEM24" s="119"/>
      <c r="NEN24" s="119"/>
      <c r="NEO24" s="119"/>
      <c r="NEP24" s="119"/>
      <c r="NEQ24" s="119"/>
      <c r="NER24" s="119"/>
      <c r="NES24" s="119"/>
      <c r="NET24" s="119"/>
      <c r="NEU24" s="119"/>
      <c r="NEV24" s="119"/>
      <c r="NEW24" s="119"/>
      <c r="NEX24" s="119"/>
      <c r="NEY24" s="119"/>
      <c r="NEZ24" s="119"/>
      <c r="NFA24" s="119"/>
      <c r="NFB24" s="119"/>
      <c r="NFC24" s="119"/>
      <c r="NFD24" s="119"/>
      <c r="NFE24" s="119"/>
      <c r="NFF24" s="119"/>
      <c r="NFG24" s="119"/>
      <c r="NFH24" s="119"/>
      <c r="NFI24" s="119"/>
      <c r="NFJ24" s="119"/>
      <c r="NFK24" s="119"/>
      <c r="NFL24" s="119"/>
      <c r="NFM24" s="119"/>
      <c r="NFN24" s="119"/>
      <c r="NFO24" s="119"/>
      <c r="NFP24" s="119"/>
      <c r="NFQ24" s="119"/>
      <c r="NFR24" s="119"/>
      <c r="NFS24" s="119"/>
      <c r="NFT24" s="119"/>
      <c r="NFU24" s="119"/>
      <c r="NFV24" s="119"/>
      <c r="NFW24" s="119"/>
      <c r="NFX24" s="119"/>
      <c r="NFY24" s="119"/>
      <c r="NFZ24" s="119"/>
      <c r="NGA24" s="119"/>
      <c r="NGB24" s="119"/>
      <c r="NGC24" s="119"/>
      <c r="NGD24" s="119"/>
      <c r="NGE24" s="119"/>
      <c r="NGF24" s="119"/>
      <c r="NGG24" s="119"/>
      <c r="NGH24" s="119"/>
      <c r="NGI24" s="119"/>
      <c r="NGJ24" s="119"/>
      <c r="NGK24" s="119"/>
      <c r="NGL24" s="119"/>
      <c r="NGM24" s="119"/>
      <c r="NGN24" s="119"/>
      <c r="NGO24" s="119"/>
      <c r="NGP24" s="119"/>
      <c r="NGQ24" s="119"/>
      <c r="NGR24" s="119"/>
      <c r="NGS24" s="119"/>
      <c r="NGT24" s="119"/>
      <c r="NGU24" s="119"/>
      <c r="NGV24" s="119"/>
      <c r="NGW24" s="119"/>
      <c r="NGX24" s="119"/>
      <c r="NGY24" s="119"/>
      <c r="NGZ24" s="119"/>
      <c r="NHA24" s="119"/>
      <c r="NHB24" s="119"/>
      <c r="NHC24" s="119"/>
      <c r="NHD24" s="119"/>
      <c r="NHE24" s="119"/>
      <c r="NHF24" s="119"/>
      <c r="NHG24" s="119"/>
      <c r="NHH24" s="119"/>
      <c r="NHI24" s="119"/>
      <c r="NHJ24" s="119"/>
      <c r="NHK24" s="119"/>
      <c r="NHL24" s="119"/>
      <c r="NHM24" s="119"/>
      <c r="NHN24" s="119"/>
      <c r="NHO24" s="119"/>
      <c r="NHP24" s="119"/>
      <c r="NHQ24" s="119"/>
      <c r="NHR24" s="119"/>
      <c r="NHS24" s="119"/>
      <c r="NHT24" s="119"/>
      <c r="NHU24" s="119"/>
      <c r="NHV24" s="119"/>
      <c r="NHW24" s="119"/>
      <c r="NHX24" s="119"/>
      <c r="NHY24" s="119"/>
      <c r="NHZ24" s="119"/>
      <c r="NIA24" s="119"/>
      <c r="NIB24" s="119"/>
      <c r="NIC24" s="119"/>
      <c r="NID24" s="119"/>
      <c r="NIE24" s="119"/>
      <c r="NIF24" s="119"/>
      <c r="NIG24" s="119"/>
      <c r="NIH24" s="119"/>
      <c r="NII24" s="119"/>
      <c r="NIJ24" s="119"/>
      <c r="NIK24" s="119"/>
      <c r="NIL24" s="119"/>
      <c r="NIM24" s="119"/>
      <c r="NIN24" s="119"/>
      <c r="NIO24" s="119"/>
      <c r="NIP24" s="119"/>
      <c r="NIQ24" s="119"/>
      <c r="NIR24" s="119"/>
      <c r="NIS24" s="119"/>
      <c r="NIT24" s="119"/>
      <c r="NIU24" s="119"/>
      <c r="NIV24" s="119"/>
      <c r="NIW24" s="119"/>
      <c r="NIX24" s="119"/>
      <c r="NIY24" s="119"/>
      <c r="NIZ24" s="119"/>
      <c r="NJA24" s="119"/>
      <c r="NJB24" s="119"/>
      <c r="NJC24" s="119"/>
      <c r="NJD24" s="119"/>
      <c r="NJE24" s="119"/>
      <c r="NJF24" s="119"/>
      <c r="NJG24" s="119"/>
      <c r="NJH24" s="119"/>
      <c r="NJI24" s="119"/>
      <c r="NJJ24" s="119"/>
      <c r="NJK24" s="119"/>
      <c r="NJL24" s="119"/>
      <c r="NJM24" s="119"/>
      <c r="NJN24" s="119"/>
      <c r="NJO24" s="119"/>
      <c r="NJP24" s="119"/>
      <c r="NJQ24" s="119"/>
      <c r="NJR24" s="119"/>
      <c r="NJS24" s="119"/>
      <c r="NJT24" s="119"/>
      <c r="NJU24" s="119"/>
      <c r="NJV24" s="119"/>
      <c r="NJW24" s="119"/>
      <c r="NJX24" s="119"/>
      <c r="NJY24" s="119"/>
      <c r="NJZ24" s="119"/>
      <c r="NKA24" s="119"/>
      <c r="NKB24" s="119"/>
      <c r="NKC24" s="119"/>
      <c r="NKD24" s="119"/>
      <c r="NKE24" s="119"/>
      <c r="NKF24" s="119"/>
      <c r="NKG24" s="119"/>
      <c r="NKH24" s="119"/>
      <c r="NKI24" s="119"/>
      <c r="NKJ24" s="119"/>
      <c r="NKK24" s="119"/>
      <c r="NKL24" s="119"/>
      <c r="NKM24" s="119"/>
      <c r="NKN24" s="119"/>
      <c r="NKO24" s="119"/>
      <c r="NKP24" s="119"/>
      <c r="NKQ24" s="119"/>
      <c r="NKR24" s="119"/>
      <c r="NKS24" s="119"/>
      <c r="NKT24" s="119"/>
      <c r="NKU24" s="119"/>
      <c r="NKV24" s="119"/>
      <c r="NKW24" s="119"/>
      <c r="NKX24" s="119"/>
      <c r="NKY24" s="119"/>
      <c r="NKZ24" s="119"/>
      <c r="NLA24" s="119"/>
      <c r="NLB24" s="119"/>
      <c r="NLC24" s="119"/>
      <c r="NLD24" s="119"/>
      <c r="NLE24" s="119"/>
      <c r="NLF24" s="119"/>
      <c r="NLG24" s="119"/>
      <c r="NLH24" s="119"/>
      <c r="NLI24" s="119"/>
      <c r="NLJ24" s="119"/>
      <c r="NLK24" s="119"/>
      <c r="NLL24" s="119"/>
      <c r="NLM24" s="119"/>
      <c r="NLN24" s="119"/>
      <c r="NLO24" s="119"/>
      <c r="NLP24" s="119"/>
      <c r="NLQ24" s="119"/>
      <c r="NLR24" s="119"/>
      <c r="NLS24" s="119"/>
      <c r="NLT24" s="119"/>
      <c r="NLU24" s="119"/>
      <c r="NLV24" s="119"/>
      <c r="NLW24" s="119"/>
      <c r="NLX24" s="119"/>
      <c r="NLY24" s="119"/>
      <c r="NLZ24" s="119"/>
      <c r="NMA24" s="119"/>
      <c r="NMB24" s="119"/>
      <c r="NMC24" s="119"/>
      <c r="NMD24" s="119"/>
      <c r="NME24" s="119"/>
      <c r="NMF24" s="119"/>
      <c r="NMG24" s="119"/>
      <c r="NMH24" s="119"/>
      <c r="NMI24" s="119"/>
      <c r="NMJ24" s="119"/>
      <c r="NMK24" s="119"/>
      <c r="NML24" s="119"/>
      <c r="NMM24" s="119"/>
      <c r="NMN24" s="119"/>
      <c r="NMO24" s="119"/>
      <c r="NMP24" s="119"/>
      <c r="NMQ24" s="119"/>
      <c r="NMR24" s="119"/>
      <c r="NMS24" s="119"/>
      <c r="NMT24" s="119"/>
      <c r="NMU24" s="119"/>
      <c r="NMV24" s="119"/>
      <c r="NMW24" s="119"/>
      <c r="NMX24" s="119"/>
      <c r="NMY24" s="119"/>
      <c r="NMZ24" s="119"/>
      <c r="NNA24" s="119"/>
      <c r="NNB24" s="119"/>
      <c r="NNC24" s="119"/>
      <c r="NND24" s="119"/>
      <c r="NNE24" s="119"/>
      <c r="NNF24" s="119"/>
      <c r="NNG24" s="119"/>
      <c r="NNH24" s="119"/>
      <c r="NNI24" s="119"/>
      <c r="NNJ24" s="119"/>
      <c r="NNK24" s="119"/>
      <c r="NNL24" s="119"/>
      <c r="NNM24" s="119"/>
      <c r="NNN24" s="119"/>
      <c r="NNO24" s="119"/>
      <c r="NNP24" s="119"/>
      <c r="NNQ24" s="119"/>
      <c r="NNR24" s="119"/>
      <c r="NNS24" s="119"/>
      <c r="NNT24" s="119"/>
      <c r="NNU24" s="119"/>
      <c r="NNV24" s="119"/>
      <c r="NNW24" s="119"/>
      <c r="NNX24" s="119"/>
      <c r="NNY24" s="119"/>
      <c r="NNZ24" s="119"/>
      <c r="NOA24" s="119"/>
      <c r="NOB24" s="119"/>
      <c r="NOC24" s="119"/>
      <c r="NOD24" s="119"/>
      <c r="NOE24" s="119"/>
      <c r="NOF24" s="119"/>
      <c r="NOG24" s="119"/>
      <c r="NOH24" s="119"/>
      <c r="NOI24" s="119"/>
      <c r="NOJ24" s="119"/>
      <c r="NOK24" s="119"/>
      <c r="NOL24" s="119"/>
      <c r="NOM24" s="119"/>
      <c r="NON24" s="119"/>
      <c r="NOO24" s="119"/>
      <c r="NOP24" s="119"/>
      <c r="NOQ24" s="119"/>
      <c r="NOR24" s="119"/>
      <c r="NOS24" s="119"/>
      <c r="NOT24" s="119"/>
      <c r="NOU24" s="119"/>
      <c r="NOV24" s="119"/>
      <c r="NOW24" s="119"/>
      <c r="NOX24" s="119"/>
      <c r="NOY24" s="119"/>
      <c r="NOZ24" s="119"/>
      <c r="NPA24" s="119"/>
      <c r="NPB24" s="119"/>
      <c r="NPC24" s="119"/>
      <c r="NPD24" s="119"/>
      <c r="NPE24" s="119"/>
      <c r="NPF24" s="119"/>
      <c r="NPG24" s="119"/>
      <c r="NPH24" s="119"/>
      <c r="NPI24" s="119"/>
      <c r="NPJ24" s="119"/>
      <c r="NPK24" s="119"/>
      <c r="NPL24" s="119"/>
      <c r="NPM24" s="119"/>
      <c r="NPN24" s="119"/>
      <c r="NPO24" s="119"/>
      <c r="NPP24" s="119"/>
      <c r="NPQ24" s="119"/>
      <c r="NPR24" s="119"/>
      <c r="NPS24" s="119"/>
      <c r="NPT24" s="119"/>
      <c r="NPU24" s="119"/>
      <c r="NPV24" s="119"/>
      <c r="NPW24" s="119"/>
      <c r="NPX24" s="119"/>
      <c r="NPY24" s="119"/>
      <c r="NPZ24" s="119"/>
      <c r="NQA24" s="119"/>
      <c r="NQB24" s="119"/>
      <c r="NQC24" s="119"/>
      <c r="NQD24" s="119"/>
      <c r="NQE24" s="119"/>
      <c r="NQF24" s="119"/>
      <c r="NQG24" s="119"/>
      <c r="NQH24" s="119"/>
      <c r="NQI24" s="119"/>
      <c r="NQJ24" s="119"/>
      <c r="NQK24" s="119"/>
      <c r="NQL24" s="119"/>
      <c r="NQM24" s="119"/>
      <c r="NQN24" s="119"/>
      <c r="NQO24" s="119"/>
      <c r="NQP24" s="119"/>
      <c r="NQQ24" s="119"/>
      <c r="NQR24" s="119"/>
      <c r="NQS24" s="119"/>
      <c r="NQT24" s="119"/>
      <c r="NQU24" s="119"/>
      <c r="NQV24" s="119"/>
      <c r="NQW24" s="119"/>
      <c r="NQX24" s="119"/>
      <c r="NQY24" s="119"/>
      <c r="NQZ24" s="119"/>
      <c r="NRA24" s="119"/>
      <c r="NRB24" s="119"/>
      <c r="NRC24" s="119"/>
      <c r="NRD24" s="119"/>
      <c r="NRE24" s="119"/>
      <c r="NRF24" s="119"/>
      <c r="NRG24" s="119"/>
      <c r="NRH24" s="119"/>
      <c r="NRI24" s="119"/>
      <c r="NRJ24" s="119"/>
      <c r="NRK24" s="119"/>
      <c r="NRL24" s="119"/>
      <c r="NRM24" s="119"/>
      <c r="NRN24" s="119"/>
      <c r="NRO24" s="119"/>
      <c r="NRP24" s="119"/>
      <c r="NRQ24" s="119"/>
      <c r="NRR24" s="119"/>
      <c r="NRS24" s="119"/>
      <c r="NRT24" s="119"/>
      <c r="NRU24" s="119"/>
      <c r="NRV24" s="119"/>
      <c r="NRW24" s="119"/>
      <c r="NRX24" s="119"/>
      <c r="NRY24" s="119"/>
      <c r="NRZ24" s="119"/>
      <c r="NSA24" s="119"/>
      <c r="NSB24" s="119"/>
      <c r="NSC24" s="119"/>
      <c r="NSD24" s="119"/>
      <c r="NSE24" s="119"/>
      <c r="NSF24" s="119"/>
      <c r="NSG24" s="119"/>
      <c r="NSH24" s="119"/>
      <c r="NSI24" s="119"/>
      <c r="NSJ24" s="119"/>
      <c r="NSK24" s="119"/>
      <c r="NSL24" s="119"/>
      <c r="NSM24" s="119"/>
      <c r="NSN24" s="119"/>
      <c r="NSO24" s="119"/>
      <c r="NSP24" s="119"/>
      <c r="NSQ24" s="119"/>
      <c r="NSR24" s="119"/>
      <c r="NSS24" s="119"/>
      <c r="NST24" s="119"/>
      <c r="NSU24" s="119"/>
      <c r="NSV24" s="119"/>
      <c r="NSW24" s="119"/>
      <c r="NSX24" s="119"/>
      <c r="NSY24" s="119"/>
      <c r="NSZ24" s="119"/>
      <c r="NTA24" s="119"/>
      <c r="NTB24" s="119"/>
      <c r="NTC24" s="119"/>
      <c r="NTD24" s="119"/>
      <c r="NTE24" s="119"/>
      <c r="NTF24" s="119"/>
      <c r="NTG24" s="119"/>
      <c r="NTH24" s="119"/>
      <c r="NTI24" s="119"/>
      <c r="NTJ24" s="119"/>
      <c r="NTK24" s="119"/>
      <c r="NTL24" s="119"/>
      <c r="NTM24" s="119"/>
      <c r="NTN24" s="119"/>
      <c r="NTO24" s="119"/>
      <c r="NTP24" s="119"/>
      <c r="NTQ24" s="119"/>
      <c r="NTR24" s="119"/>
      <c r="NTS24" s="119"/>
      <c r="NTT24" s="119"/>
      <c r="NTU24" s="119"/>
      <c r="NTV24" s="119"/>
      <c r="NTW24" s="119"/>
      <c r="NTX24" s="119"/>
      <c r="NTY24" s="119"/>
      <c r="NTZ24" s="119"/>
      <c r="NUA24" s="119"/>
      <c r="NUB24" s="119"/>
      <c r="NUC24" s="119"/>
      <c r="NUD24" s="119"/>
      <c r="NUE24" s="119"/>
      <c r="NUF24" s="119"/>
      <c r="NUG24" s="119"/>
      <c r="NUH24" s="119"/>
      <c r="NUI24" s="119"/>
      <c r="NUJ24" s="119"/>
      <c r="NUK24" s="119"/>
      <c r="NUL24" s="119"/>
      <c r="NUM24" s="119"/>
      <c r="NUN24" s="119"/>
      <c r="NUO24" s="119"/>
      <c r="NUP24" s="119"/>
      <c r="NUQ24" s="119"/>
      <c r="NUR24" s="119"/>
      <c r="NUS24" s="119"/>
      <c r="NUT24" s="119"/>
      <c r="NUU24" s="119"/>
      <c r="NUV24" s="119"/>
      <c r="NUW24" s="119"/>
      <c r="NUX24" s="119"/>
      <c r="NUY24" s="119"/>
      <c r="NUZ24" s="119"/>
      <c r="NVA24" s="119"/>
      <c r="NVB24" s="119"/>
      <c r="NVC24" s="119"/>
      <c r="NVD24" s="119"/>
      <c r="NVE24" s="119"/>
      <c r="NVF24" s="119"/>
      <c r="NVG24" s="119"/>
      <c r="NVH24" s="119"/>
      <c r="NVI24" s="119"/>
      <c r="NVJ24" s="119"/>
      <c r="NVK24" s="119"/>
      <c r="NVL24" s="119"/>
      <c r="NVM24" s="119"/>
      <c r="NVN24" s="119"/>
      <c r="NVO24" s="119"/>
      <c r="NVP24" s="119"/>
      <c r="NVQ24" s="119"/>
      <c r="NVR24" s="119"/>
      <c r="NVS24" s="119"/>
      <c r="NVT24" s="119"/>
      <c r="NVU24" s="119"/>
      <c r="NVV24" s="119"/>
      <c r="NVW24" s="119"/>
      <c r="NVX24" s="119"/>
      <c r="NVY24" s="119"/>
      <c r="NVZ24" s="119"/>
      <c r="NWA24" s="119"/>
      <c r="NWB24" s="119"/>
      <c r="NWC24" s="119"/>
      <c r="NWD24" s="119"/>
      <c r="NWE24" s="119"/>
      <c r="NWF24" s="119"/>
      <c r="NWG24" s="119"/>
      <c r="NWH24" s="119"/>
      <c r="NWI24" s="119"/>
      <c r="NWJ24" s="119"/>
      <c r="NWK24" s="119"/>
      <c r="NWL24" s="119"/>
      <c r="NWM24" s="119"/>
      <c r="NWN24" s="119"/>
      <c r="NWO24" s="119"/>
      <c r="NWP24" s="119"/>
      <c r="NWQ24" s="119"/>
      <c r="NWR24" s="119"/>
      <c r="NWS24" s="119"/>
      <c r="NWT24" s="119"/>
      <c r="NWU24" s="119"/>
      <c r="NWV24" s="119"/>
      <c r="NWW24" s="119"/>
      <c r="NWX24" s="119"/>
      <c r="NWY24" s="119"/>
      <c r="NWZ24" s="119"/>
      <c r="NXA24" s="119"/>
      <c r="NXB24" s="119"/>
      <c r="NXC24" s="119"/>
      <c r="NXD24" s="119"/>
      <c r="NXE24" s="119"/>
      <c r="NXF24" s="119"/>
      <c r="NXG24" s="119"/>
      <c r="NXH24" s="119"/>
      <c r="NXI24" s="119"/>
      <c r="NXJ24" s="119"/>
      <c r="NXK24" s="119"/>
      <c r="NXL24" s="119"/>
      <c r="NXM24" s="119"/>
      <c r="NXN24" s="119"/>
      <c r="NXO24" s="119"/>
      <c r="NXP24" s="119"/>
      <c r="NXQ24" s="119"/>
      <c r="NXR24" s="119"/>
      <c r="NXS24" s="119"/>
      <c r="NXT24" s="119"/>
      <c r="NXU24" s="119"/>
      <c r="NXV24" s="119"/>
      <c r="NXW24" s="119"/>
      <c r="NXX24" s="119"/>
      <c r="NXY24" s="119"/>
      <c r="NXZ24" s="119"/>
      <c r="NYA24" s="119"/>
      <c r="NYB24" s="119"/>
      <c r="NYC24" s="119"/>
      <c r="NYD24" s="119"/>
      <c r="NYE24" s="119"/>
      <c r="NYF24" s="119"/>
      <c r="NYG24" s="119"/>
      <c r="NYH24" s="119"/>
      <c r="NYI24" s="119"/>
      <c r="NYJ24" s="119"/>
      <c r="NYK24" s="119"/>
      <c r="NYL24" s="119"/>
      <c r="NYM24" s="119"/>
      <c r="NYN24" s="119"/>
      <c r="NYO24" s="119"/>
      <c r="NYP24" s="119"/>
      <c r="NYQ24" s="119"/>
      <c r="NYR24" s="119"/>
      <c r="NYS24" s="119"/>
      <c r="NYT24" s="119"/>
      <c r="NYU24" s="119"/>
      <c r="NYV24" s="119"/>
      <c r="NYW24" s="119"/>
      <c r="NYX24" s="119"/>
      <c r="NYY24" s="119"/>
      <c r="NYZ24" s="119"/>
      <c r="NZA24" s="119"/>
      <c r="NZB24" s="119"/>
      <c r="NZC24" s="119"/>
      <c r="NZD24" s="119"/>
      <c r="NZE24" s="119"/>
      <c r="NZF24" s="119"/>
      <c r="NZG24" s="119"/>
      <c r="NZH24" s="119"/>
      <c r="NZI24" s="119"/>
      <c r="NZJ24" s="119"/>
      <c r="NZK24" s="119"/>
      <c r="NZL24" s="119"/>
      <c r="NZM24" s="119"/>
      <c r="NZN24" s="119"/>
      <c r="NZO24" s="119"/>
      <c r="NZP24" s="119"/>
      <c r="NZQ24" s="119"/>
      <c r="NZR24" s="119"/>
      <c r="NZS24" s="119"/>
      <c r="NZT24" s="119"/>
      <c r="NZU24" s="119"/>
      <c r="NZV24" s="119"/>
      <c r="NZW24" s="119"/>
      <c r="NZX24" s="119"/>
      <c r="NZY24" s="119"/>
      <c r="NZZ24" s="119"/>
      <c r="OAA24" s="119"/>
      <c r="OAB24" s="119"/>
      <c r="OAC24" s="119"/>
      <c r="OAD24" s="119"/>
      <c r="OAE24" s="119"/>
      <c r="OAF24" s="119"/>
      <c r="OAG24" s="119"/>
      <c r="OAH24" s="119"/>
      <c r="OAI24" s="119"/>
      <c r="OAJ24" s="119"/>
      <c r="OAK24" s="119"/>
      <c r="OAL24" s="119"/>
      <c r="OAM24" s="119"/>
      <c r="OAN24" s="119"/>
      <c r="OAO24" s="119"/>
      <c r="OAP24" s="119"/>
      <c r="OAQ24" s="119"/>
      <c r="OAR24" s="119"/>
      <c r="OAS24" s="119"/>
      <c r="OAT24" s="119"/>
      <c r="OAU24" s="119"/>
      <c r="OAV24" s="119"/>
      <c r="OAW24" s="119"/>
      <c r="OAX24" s="119"/>
      <c r="OAY24" s="119"/>
      <c r="OAZ24" s="119"/>
      <c r="OBA24" s="119"/>
      <c r="OBB24" s="119"/>
      <c r="OBC24" s="119"/>
      <c r="OBD24" s="119"/>
      <c r="OBE24" s="119"/>
      <c r="OBF24" s="119"/>
      <c r="OBG24" s="119"/>
      <c r="OBH24" s="119"/>
      <c r="OBI24" s="119"/>
      <c r="OBJ24" s="119"/>
      <c r="OBK24" s="119"/>
      <c r="OBL24" s="119"/>
      <c r="OBM24" s="119"/>
      <c r="OBN24" s="119"/>
      <c r="OBO24" s="119"/>
      <c r="OBP24" s="119"/>
      <c r="OBQ24" s="119"/>
      <c r="OBR24" s="119"/>
      <c r="OBS24" s="119"/>
      <c r="OBT24" s="119"/>
      <c r="OBU24" s="119"/>
      <c r="OBV24" s="119"/>
      <c r="OBW24" s="119"/>
      <c r="OBX24" s="119"/>
      <c r="OBY24" s="119"/>
      <c r="OBZ24" s="119"/>
      <c r="OCA24" s="119"/>
      <c r="OCB24" s="119"/>
      <c r="OCC24" s="119"/>
      <c r="OCD24" s="119"/>
      <c r="OCE24" s="119"/>
      <c r="OCF24" s="119"/>
      <c r="OCG24" s="119"/>
      <c r="OCH24" s="119"/>
      <c r="OCI24" s="119"/>
      <c r="OCJ24" s="119"/>
      <c r="OCK24" s="119"/>
      <c r="OCL24" s="119"/>
      <c r="OCM24" s="119"/>
      <c r="OCN24" s="119"/>
      <c r="OCO24" s="119"/>
      <c r="OCP24" s="119"/>
      <c r="OCQ24" s="119"/>
      <c r="OCR24" s="119"/>
      <c r="OCS24" s="119"/>
      <c r="OCT24" s="119"/>
      <c r="OCU24" s="119"/>
      <c r="OCV24" s="119"/>
      <c r="OCW24" s="119"/>
      <c r="OCX24" s="119"/>
      <c r="OCY24" s="119"/>
      <c r="OCZ24" s="119"/>
      <c r="ODA24" s="119"/>
      <c r="ODB24" s="119"/>
      <c r="ODC24" s="119"/>
      <c r="ODD24" s="119"/>
      <c r="ODE24" s="119"/>
      <c r="ODF24" s="119"/>
      <c r="ODG24" s="119"/>
      <c r="ODH24" s="119"/>
      <c r="ODI24" s="119"/>
      <c r="ODJ24" s="119"/>
      <c r="ODK24" s="119"/>
      <c r="ODL24" s="119"/>
      <c r="ODM24" s="119"/>
      <c r="ODN24" s="119"/>
      <c r="ODO24" s="119"/>
      <c r="ODP24" s="119"/>
      <c r="ODQ24" s="119"/>
      <c r="ODR24" s="119"/>
      <c r="ODS24" s="119"/>
      <c r="ODT24" s="119"/>
      <c r="ODU24" s="119"/>
      <c r="ODV24" s="119"/>
      <c r="ODW24" s="119"/>
      <c r="ODX24" s="119"/>
      <c r="ODY24" s="119"/>
      <c r="ODZ24" s="119"/>
      <c r="OEA24" s="119"/>
      <c r="OEB24" s="119"/>
      <c r="OEC24" s="119"/>
      <c r="OED24" s="119"/>
      <c r="OEE24" s="119"/>
      <c r="OEF24" s="119"/>
      <c r="OEG24" s="119"/>
      <c r="OEH24" s="119"/>
      <c r="OEI24" s="119"/>
      <c r="OEJ24" s="119"/>
      <c r="OEK24" s="119"/>
      <c r="OEL24" s="119"/>
      <c r="OEM24" s="119"/>
      <c r="OEN24" s="119"/>
      <c r="OEO24" s="119"/>
      <c r="OEP24" s="119"/>
      <c r="OEQ24" s="119"/>
      <c r="OER24" s="119"/>
      <c r="OES24" s="119"/>
      <c r="OET24" s="119"/>
      <c r="OEU24" s="119"/>
      <c r="OEV24" s="119"/>
      <c r="OEW24" s="119"/>
      <c r="OEX24" s="119"/>
      <c r="OEY24" s="119"/>
      <c r="OEZ24" s="119"/>
      <c r="OFA24" s="119"/>
      <c r="OFB24" s="119"/>
      <c r="OFC24" s="119"/>
      <c r="OFD24" s="119"/>
      <c r="OFE24" s="119"/>
      <c r="OFF24" s="119"/>
      <c r="OFG24" s="119"/>
      <c r="OFH24" s="119"/>
      <c r="OFI24" s="119"/>
      <c r="OFJ24" s="119"/>
      <c r="OFK24" s="119"/>
      <c r="OFL24" s="119"/>
      <c r="OFM24" s="119"/>
      <c r="OFN24" s="119"/>
      <c r="OFO24" s="119"/>
      <c r="OFP24" s="119"/>
      <c r="OFQ24" s="119"/>
      <c r="OFR24" s="119"/>
      <c r="OFS24" s="119"/>
      <c r="OFT24" s="119"/>
      <c r="OFU24" s="119"/>
      <c r="OFV24" s="119"/>
      <c r="OFW24" s="119"/>
      <c r="OFX24" s="119"/>
      <c r="OFY24" s="119"/>
      <c r="OFZ24" s="119"/>
      <c r="OGA24" s="119"/>
      <c r="OGB24" s="119"/>
      <c r="OGC24" s="119"/>
      <c r="OGD24" s="119"/>
      <c r="OGE24" s="119"/>
      <c r="OGF24" s="119"/>
      <c r="OGG24" s="119"/>
      <c r="OGH24" s="119"/>
      <c r="OGI24" s="119"/>
      <c r="OGJ24" s="119"/>
      <c r="OGK24" s="119"/>
      <c r="OGL24" s="119"/>
      <c r="OGM24" s="119"/>
      <c r="OGN24" s="119"/>
      <c r="OGO24" s="119"/>
      <c r="OGP24" s="119"/>
      <c r="OGQ24" s="119"/>
      <c r="OGR24" s="119"/>
      <c r="OGS24" s="119"/>
      <c r="OGT24" s="119"/>
      <c r="OGU24" s="119"/>
      <c r="OGV24" s="119"/>
      <c r="OGW24" s="119"/>
      <c r="OGX24" s="119"/>
      <c r="OGY24" s="119"/>
      <c r="OGZ24" s="119"/>
      <c r="OHA24" s="119"/>
      <c r="OHB24" s="119"/>
      <c r="OHC24" s="119"/>
      <c r="OHD24" s="119"/>
      <c r="OHE24" s="119"/>
      <c r="OHF24" s="119"/>
      <c r="OHG24" s="119"/>
      <c r="OHH24" s="119"/>
      <c r="OHI24" s="119"/>
      <c r="OHJ24" s="119"/>
      <c r="OHK24" s="119"/>
      <c r="OHL24" s="119"/>
      <c r="OHM24" s="119"/>
      <c r="OHN24" s="119"/>
      <c r="OHO24" s="119"/>
      <c r="OHP24" s="119"/>
      <c r="OHQ24" s="119"/>
      <c r="OHR24" s="119"/>
      <c r="OHS24" s="119"/>
      <c r="OHT24" s="119"/>
      <c r="OHU24" s="119"/>
      <c r="OHV24" s="119"/>
      <c r="OHW24" s="119"/>
      <c r="OHX24" s="119"/>
      <c r="OHY24" s="119"/>
      <c r="OHZ24" s="119"/>
      <c r="OIA24" s="119"/>
      <c r="OIB24" s="119"/>
      <c r="OIC24" s="119"/>
      <c r="OID24" s="119"/>
      <c r="OIE24" s="119"/>
      <c r="OIF24" s="119"/>
      <c r="OIG24" s="119"/>
      <c r="OIH24" s="119"/>
      <c r="OII24" s="119"/>
      <c r="OIJ24" s="119"/>
      <c r="OIK24" s="119"/>
      <c r="OIL24" s="119"/>
      <c r="OIM24" s="119"/>
      <c r="OIN24" s="119"/>
      <c r="OIO24" s="119"/>
      <c r="OIP24" s="119"/>
      <c r="OIQ24" s="119"/>
      <c r="OIR24" s="119"/>
      <c r="OIS24" s="119"/>
      <c r="OIT24" s="119"/>
      <c r="OIU24" s="119"/>
      <c r="OIV24" s="119"/>
      <c r="OIW24" s="119"/>
      <c r="OIX24" s="119"/>
      <c r="OIY24" s="119"/>
      <c r="OIZ24" s="119"/>
      <c r="OJA24" s="119"/>
      <c r="OJB24" s="119"/>
      <c r="OJC24" s="119"/>
      <c r="OJD24" s="119"/>
      <c r="OJE24" s="119"/>
      <c r="OJF24" s="119"/>
      <c r="OJG24" s="119"/>
      <c r="OJH24" s="119"/>
      <c r="OJI24" s="119"/>
      <c r="OJJ24" s="119"/>
      <c r="OJK24" s="119"/>
      <c r="OJL24" s="119"/>
      <c r="OJM24" s="119"/>
      <c r="OJN24" s="119"/>
      <c r="OJO24" s="119"/>
      <c r="OJP24" s="119"/>
      <c r="OJQ24" s="119"/>
      <c r="OJR24" s="119"/>
      <c r="OJS24" s="119"/>
      <c r="OJT24" s="119"/>
      <c r="OJU24" s="119"/>
      <c r="OJV24" s="119"/>
      <c r="OJW24" s="119"/>
      <c r="OJX24" s="119"/>
      <c r="OJY24" s="119"/>
      <c r="OJZ24" s="119"/>
      <c r="OKA24" s="119"/>
      <c r="OKB24" s="119"/>
      <c r="OKC24" s="119"/>
      <c r="OKD24" s="119"/>
      <c r="OKE24" s="119"/>
      <c r="OKF24" s="119"/>
      <c r="OKG24" s="119"/>
      <c r="OKH24" s="119"/>
      <c r="OKI24" s="119"/>
      <c r="OKJ24" s="119"/>
      <c r="OKK24" s="119"/>
      <c r="OKL24" s="119"/>
      <c r="OKM24" s="119"/>
      <c r="OKN24" s="119"/>
      <c r="OKO24" s="119"/>
      <c r="OKP24" s="119"/>
      <c r="OKQ24" s="119"/>
      <c r="OKR24" s="119"/>
      <c r="OKS24" s="119"/>
      <c r="OKT24" s="119"/>
      <c r="OKU24" s="119"/>
      <c r="OKV24" s="119"/>
      <c r="OKW24" s="119"/>
      <c r="OKX24" s="119"/>
      <c r="OKY24" s="119"/>
      <c r="OKZ24" s="119"/>
      <c r="OLA24" s="119"/>
      <c r="OLB24" s="119"/>
      <c r="OLC24" s="119"/>
      <c r="OLD24" s="119"/>
      <c r="OLE24" s="119"/>
      <c r="OLF24" s="119"/>
      <c r="OLG24" s="119"/>
      <c r="OLH24" s="119"/>
      <c r="OLI24" s="119"/>
      <c r="OLJ24" s="119"/>
      <c r="OLK24" s="119"/>
      <c r="OLL24" s="119"/>
      <c r="OLM24" s="119"/>
      <c r="OLN24" s="119"/>
      <c r="OLO24" s="119"/>
      <c r="OLP24" s="119"/>
      <c r="OLQ24" s="119"/>
      <c r="OLR24" s="119"/>
      <c r="OLS24" s="119"/>
      <c r="OLT24" s="119"/>
      <c r="OLU24" s="119"/>
      <c r="OLV24" s="119"/>
      <c r="OLW24" s="119"/>
      <c r="OLX24" s="119"/>
      <c r="OLY24" s="119"/>
      <c r="OLZ24" s="119"/>
      <c r="OMA24" s="119"/>
      <c r="OMB24" s="119"/>
      <c r="OMC24" s="119"/>
      <c r="OMD24" s="119"/>
      <c r="OME24" s="119"/>
      <c r="OMF24" s="119"/>
      <c r="OMG24" s="119"/>
      <c r="OMH24" s="119"/>
      <c r="OMI24" s="119"/>
      <c r="OMJ24" s="119"/>
      <c r="OMK24" s="119"/>
      <c r="OML24" s="119"/>
      <c r="OMM24" s="119"/>
      <c r="OMN24" s="119"/>
      <c r="OMO24" s="119"/>
      <c r="OMP24" s="119"/>
      <c r="OMQ24" s="119"/>
      <c r="OMR24" s="119"/>
      <c r="OMS24" s="119"/>
      <c r="OMT24" s="119"/>
      <c r="OMU24" s="119"/>
      <c r="OMV24" s="119"/>
      <c r="OMW24" s="119"/>
      <c r="OMX24" s="119"/>
      <c r="OMY24" s="119"/>
      <c r="OMZ24" s="119"/>
      <c r="ONA24" s="119"/>
      <c r="ONB24" s="119"/>
      <c r="ONC24" s="119"/>
      <c r="OND24" s="119"/>
      <c r="ONE24" s="119"/>
      <c r="ONF24" s="119"/>
      <c r="ONG24" s="119"/>
      <c r="ONH24" s="119"/>
      <c r="ONI24" s="119"/>
      <c r="ONJ24" s="119"/>
      <c r="ONK24" s="119"/>
      <c r="ONL24" s="119"/>
      <c r="ONM24" s="119"/>
      <c r="ONN24" s="119"/>
      <c r="ONO24" s="119"/>
      <c r="ONP24" s="119"/>
      <c r="ONQ24" s="119"/>
      <c r="ONR24" s="119"/>
      <c r="ONS24" s="119"/>
      <c r="ONT24" s="119"/>
      <c r="ONU24" s="119"/>
      <c r="ONV24" s="119"/>
      <c r="ONW24" s="119"/>
      <c r="ONX24" s="119"/>
      <c r="ONY24" s="119"/>
      <c r="ONZ24" s="119"/>
      <c r="OOA24" s="119"/>
      <c r="OOB24" s="119"/>
      <c r="OOC24" s="119"/>
      <c r="OOD24" s="119"/>
      <c r="OOE24" s="119"/>
      <c r="OOF24" s="119"/>
      <c r="OOG24" s="119"/>
      <c r="OOH24" s="119"/>
      <c r="OOI24" s="119"/>
      <c r="OOJ24" s="119"/>
      <c r="OOK24" s="119"/>
      <c r="OOL24" s="119"/>
      <c r="OOM24" s="119"/>
      <c r="OON24" s="119"/>
      <c r="OOO24" s="119"/>
      <c r="OOP24" s="119"/>
      <c r="OOQ24" s="119"/>
      <c r="OOR24" s="119"/>
      <c r="OOS24" s="119"/>
      <c r="OOT24" s="119"/>
      <c r="OOU24" s="119"/>
      <c r="OOV24" s="119"/>
      <c r="OOW24" s="119"/>
      <c r="OOX24" s="119"/>
      <c r="OOY24" s="119"/>
      <c r="OOZ24" s="119"/>
      <c r="OPA24" s="119"/>
      <c r="OPB24" s="119"/>
      <c r="OPC24" s="119"/>
      <c r="OPD24" s="119"/>
      <c r="OPE24" s="119"/>
      <c r="OPF24" s="119"/>
      <c r="OPG24" s="119"/>
      <c r="OPH24" s="119"/>
      <c r="OPI24" s="119"/>
      <c r="OPJ24" s="119"/>
      <c r="OPK24" s="119"/>
      <c r="OPL24" s="119"/>
      <c r="OPM24" s="119"/>
      <c r="OPN24" s="119"/>
      <c r="OPO24" s="119"/>
      <c r="OPP24" s="119"/>
      <c r="OPQ24" s="119"/>
      <c r="OPR24" s="119"/>
      <c r="OPS24" s="119"/>
      <c r="OPT24" s="119"/>
      <c r="OPU24" s="119"/>
      <c r="OPV24" s="119"/>
      <c r="OPW24" s="119"/>
      <c r="OPX24" s="119"/>
      <c r="OPY24" s="119"/>
      <c r="OPZ24" s="119"/>
      <c r="OQA24" s="119"/>
      <c r="OQB24" s="119"/>
      <c r="OQC24" s="119"/>
      <c r="OQD24" s="119"/>
      <c r="OQE24" s="119"/>
      <c r="OQF24" s="119"/>
      <c r="OQG24" s="119"/>
      <c r="OQH24" s="119"/>
      <c r="OQI24" s="119"/>
      <c r="OQJ24" s="119"/>
      <c r="OQK24" s="119"/>
      <c r="OQL24" s="119"/>
      <c r="OQM24" s="119"/>
      <c r="OQN24" s="119"/>
      <c r="OQO24" s="119"/>
      <c r="OQP24" s="119"/>
      <c r="OQQ24" s="119"/>
      <c r="OQR24" s="119"/>
      <c r="OQS24" s="119"/>
      <c r="OQT24" s="119"/>
      <c r="OQU24" s="119"/>
      <c r="OQV24" s="119"/>
      <c r="OQW24" s="119"/>
      <c r="OQX24" s="119"/>
      <c r="OQY24" s="119"/>
      <c r="OQZ24" s="119"/>
      <c r="ORA24" s="119"/>
      <c r="ORB24" s="119"/>
      <c r="ORC24" s="119"/>
      <c r="ORD24" s="119"/>
      <c r="ORE24" s="119"/>
      <c r="ORF24" s="119"/>
      <c r="ORG24" s="119"/>
      <c r="ORH24" s="119"/>
      <c r="ORI24" s="119"/>
      <c r="ORJ24" s="119"/>
      <c r="ORK24" s="119"/>
      <c r="ORL24" s="119"/>
      <c r="ORM24" s="119"/>
      <c r="ORN24" s="119"/>
      <c r="ORO24" s="119"/>
      <c r="ORP24" s="119"/>
      <c r="ORQ24" s="119"/>
      <c r="ORR24" s="119"/>
      <c r="ORS24" s="119"/>
      <c r="ORT24" s="119"/>
      <c r="ORU24" s="119"/>
      <c r="ORV24" s="119"/>
      <c r="ORW24" s="119"/>
      <c r="ORX24" s="119"/>
      <c r="ORY24" s="119"/>
      <c r="ORZ24" s="119"/>
      <c r="OSA24" s="119"/>
      <c r="OSB24" s="119"/>
      <c r="OSC24" s="119"/>
      <c r="OSD24" s="119"/>
      <c r="OSE24" s="119"/>
      <c r="OSF24" s="119"/>
      <c r="OSG24" s="119"/>
      <c r="OSH24" s="119"/>
      <c r="OSI24" s="119"/>
      <c r="OSJ24" s="119"/>
      <c r="OSK24" s="119"/>
      <c r="OSL24" s="119"/>
      <c r="OSM24" s="119"/>
      <c r="OSN24" s="119"/>
      <c r="OSO24" s="119"/>
      <c r="OSP24" s="119"/>
      <c r="OSQ24" s="119"/>
      <c r="OSR24" s="119"/>
      <c r="OSS24" s="119"/>
      <c r="OST24" s="119"/>
      <c r="OSU24" s="119"/>
      <c r="OSV24" s="119"/>
      <c r="OSW24" s="119"/>
      <c r="OSX24" s="119"/>
      <c r="OSY24" s="119"/>
      <c r="OSZ24" s="119"/>
      <c r="OTA24" s="119"/>
      <c r="OTB24" s="119"/>
      <c r="OTC24" s="119"/>
      <c r="OTD24" s="119"/>
      <c r="OTE24" s="119"/>
      <c r="OTF24" s="119"/>
      <c r="OTG24" s="119"/>
      <c r="OTH24" s="119"/>
      <c r="OTI24" s="119"/>
      <c r="OTJ24" s="119"/>
      <c r="OTK24" s="119"/>
      <c r="OTL24" s="119"/>
      <c r="OTM24" s="119"/>
      <c r="OTN24" s="119"/>
      <c r="OTO24" s="119"/>
      <c r="OTP24" s="119"/>
      <c r="OTQ24" s="119"/>
      <c r="OTR24" s="119"/>
      <c r="OTS24" s="119"/>
      <c r="OTT24" s="119"/>
      <c r="OTU24" s="119"/>
      <c r="OTV24" s="119"/>
      <c r="OTW24" s="119"/>
      <c r="OTX24" s="119"/>
      <c r="OTY24" s="119"/>
      <c r="OTZ24" s="119"/>
      <c r="OUA24" s="119"/>
      <c r="OUB24" s="119"/>
      <c r="OUC24" s="119"/>
      <c r="OUD24" s="119"/>
      <c r="OUE24" s="119"/>
      <c r="OUF24" s="119"/>
      <c r="OUG24" s="119"/>
      <c r="OUH24" s="119"/>
      <c r="OUI24" s="119"/>
      <c r="OUJ24" s="119"/>
      <c r="OUK24" s="119"/>
      <c r="OUL24" s="119"/>
      <c r="OUM24" s="119"/>
      <c r="OUN24" s="119"/>
      <c r="OUO24" s="119"/>
      <c r="OUP24" s="119"/>
      <c r="OUQ24" s="119"/>
      <c r="OUR24" s="119"/>
      <c r="OUS24" s="119"/>
      <c r="OUT24" s="119"/>
      <c r="OUU24" s="119"/>
      <c r="OUV24" s="119"/>
      <c r="OUW24" s="119"/>
      <c r="OUX24" s="119"/>
      <c r="OUY24" s="119"/>
      <c r="OUZ24" s="119"/>
      <c r="OVA24" s="119"/>
      <c r="OVB24" s="119"/>
      <c r="OVC24" s="119"/>
      <c r="OVD24" s="119"/>
      <c r="OVE24" s="119"/>
      <c r="OVF24" s="119"/>
      <c r="OVG24" s="119"/>
      <c r="OVH24" s="119"/>
      <c r="OVI24" s="119"/>
      <c r="OVJ24" s="119"/>
      <c r="OVK24" s="119"/>
      <c r="OVL24" s="119"/>
      <c r="OVM24" s="119"/>
      <c r="OVN24" s="119"/>
      <c r="OVO24" s="119"/>
      <c r="OVP24" s="119"/>
      <c r="OVQ24" s="119"/>
      <c r="OVR24" s="119"/>
      <c r="OVS24" s="119"/>
      <c r="OVT24" s="119"/>
      <c r="OVU24" s="119"/>
      <c r="OVV24" s="119"/>
      <c r="OVW24" s="119"/>
      <c r="OVX24" s="119"/>
      <c r="OVY24" s="119"/>
      <c r="OVZ24" s="119"/>
      <c r="OWA24" s="119"/>
      <c r="OWB24" s="119"/>
      <c r="OWC24" s="119"/>
      <c r="OWD24" s="119"/>
      <c r="OWE24" s="119"/>
      <c r="OWF24" s="119"/>
      <c r="OWG24" s="119"/>
      <c r="OWH24" s="119"/>
      <c r="OWI24" s="119"/>
      <c r="OWJ24" s="119"/>
      <c r="OWK24" s="119"/>
      <c r="OWL24" s="119"/>
      <c r="OWM24" s="119"/>
      <c r="OWN24" s="119"/>
      <c r="OWO24" s="119"/>
      <c r="OWP24" s="119"/>
      <c r="OWQ24" s="119"/>
      <c r="OWR24" s="119"/>
      <c r="OWS24" s="119"/>
      <c r="OWT24" s="119"/>
      <c r="OWU24" s="119"/>
      <c r="OWV24" s="119"/>
      <c r="OWW24" s="119"/>
      <c r="OWX24" s="119"/>
      <c r="OWY24" s="119"/>
      <c r="OWZ24" s="119"/>
      <c r="OXA24" s="119"/>
      <c r="OXB24" s="119"/>
      <c r="OXC24" s="119"/>
      <c r="OXD24" s="119"/>
      <c r="OXE24" s="119"/>
      <c r="OXF24" s="119"/>
      <c r="OXG24" s="119"/>
      <c r="OXH24" s="119"/>
      <c r="OXI24" s="119"/>
      <c r="OXJ24" s="119"/>
      <c r="OXK24" s="119"/>
      <c r="OXL24" s="119"/>
      <c r="OXM24" s="119"/>
      <c r="OXN24" s="119"/>
      <c r="OXO24" s="119"/>
      <c r="OXP24" s="119"/>
      <c r="OXQ24" s="119"/>
      <c r="OXR24" s="119"/>
      <c r="OXS24" s="119"/>
      <c r="OXT24" s="119"/>
      <c r="OXU24" s="119"/>
      <c r="OXV24" s="119"/>
      <c r="OXW24" s="119"/>
      <c r="OXX24" s="119"/>
      <c r="OXY24" s="119"/>
      <c r="OXZ24" s="119"/>
      <c r="OYA24" s="119"/>
      <c r="OYB24" s="119"/>
      <c r="OYC24" s="119"/>
      <c r="OYD24" s="119"/>
      <c r="OYE24" s="119"/>
      <c r="OYF24" s="119"/>
      <c r="OYG24" s="119"/>
      <c r="OYH24" s="119"/>
      <c r="OYI24" s="119"/>
      <c r="OYJ24" s="119"/>
      <c r="OYK24" s="119"/>
      <c r="OYL24" s="119"/>
      <c r="OYM24" s="119"/>
      <c r="OYN24" s="119"/>
      <c r="OYO24" s="119"/>
      <c r="OYP24" s="119"/>
      <c r="OYQ24" s="119"/>
      <c r="OYR24" s="119"/>
      <c r="OYS24" s="119"/>
      <c r="OYT24" s="119"/>
      <c r="OYU24" s="119"/>
      <c r="OYV24" s="119"/>
      <c r="OYW24" s="119"/>
      <c r="OYX24" s="119"/>
      <c r="OYY24" s="119"/>
      <c r="OYZ24" s="119"/>
      <c r="OZA24" s="119"/>
      <c r="OZB24" s="119"/>
      <c r="OZC24" s="119"/>
      <c r="OZD24" s="119"/>
      <c r="OZE24" s="119"/>
      <c r="OZF24" s="119"/>
      <c r="OZG24" s="119"/>
      <c r="OZH24" s="119"/>
      <c r="OZI24" s="119"/>
      <c r="OZJ24" s="119"/>
      <c r="OZK24" s="119"/>
      <c r="OZL24" s="119"/>
      <c r="OZM24" s="119"/>
      <c r="OZN24" s="119"/>
      <c r="OZO24" s="119"/>
      <c r="OZP24" s="119"/>
      <c r="OZQ24" s="119"/>
      <c r="OZR24" s="119"/>
      <c r="OZS24" s="119"/>
      <c r="OZT24" s="119"/>
      <c r="OZU24" s="119"/>
      <c r="OZV24" s="119"/>
      <c r="OZW24" s="119"/>
      <c r="OZX24" s="119"/>
      <c r="OZY24" s="119"/>
      <c r="OZZ24" s="119"/>
      <c r="PAA24" s="119"/>
      <c r="PAB24" s="119"/>
      <c r="PAC24" s="119"/>
      <c r="PAD24" s="119"/>
      <c r="PAE24" s="119"/>
      <c r="PAF24" s="119"/>
      <c r="PAG24" s="119"/>
      <c r="PAH24" s="119"/>
      <c r="PAI24" s="119"/>
      <c r="PAJ24" s="119"/>
      <c r="PAK24" s="119"/>
      <c r="PAL24" s="119"/>
      <c r="PAM24" s="119"/>
      <c r="PAN24" s="119"/>
      <c r="PAO24" s="119"/>
      <c r="PAP24" s="119"/>
      <c r="PAQ24" s="119"/>
      <c r="PAR24" s="119"/>
      <c r="PAS24" s="119"/>
      <c r="PAT24" s="119"/>
      <c r="PAU24" s="119"/>
      <c r="PAV24" s="119"/>
      <c r="PAW24" s="119"/>
      <c r="PAX24" s="119"/>
      <c r="PAY24" s="119"/>
      <c r="PAZ24" s="119"/>
      <c r="PBA24" s="119"/>
      <c r="PBB24" s="119"/>
      <c r="PBC24" s="119"/>
      <c r="PBD24" s="119"/>
      <c r="PBE24" s="119"/>
      <c r="PBF24" s="119"/>
      <c r="PBG24" s="119"/>
      <c r="PBH24" s="119"/>
      <c r="PBI24" s="119"/>
      <c r="PBJ24" s="119"/>
      <c r="PBK24" s="119"/>
      <c r="PBL24" s="119"/>
      <c r="PBM24" s="119"/>
      <c r="PBN24" s="119"/>
      <c r="PBO24" s="119"/>
      <c r="PBP24" s="119"/>
      <c r="PBQ24" s="119"/>
      <c r="PBR24" s="119"/>
      <c r="PBS24" s="119"/>
      <c r="PBT24" s="119"/>
      <c r="PBU24" s="119"/>
      <c r="PBV24" s="119"/>
      <c r="PBW24" s="119"/>
      <c r="PBX24" s="119"/>
      <c r="PBY24" s="119"/>
      <c r="PBZ24" s="119"/>
      <c r="PCA24" s="119"/>
      <c r="PCB24" s="119"/>
      <c r="PCC24" s="119"/>
      <c r="PCD24" s="119"/>
      <c r="PCE24" s="119"/>
      <c r="PCF24" s="119"/>
      <c r="PCG24" s="119"/>
      <c r="PCH24" s="119"/>
      <c r="PCI24" s="119"/>
      <c r="PCJ24" s="119"/>
      <c r="PCK24" s="119"/>
      <c r="PCL24" s="119"/>
      <c r="PCM24" s="119"/>
      <c r="PCN24" s="119"/>
      <c r="PCO24" s="119"/>
      <c r="PCP24" s="119"/>
      <c r="PCQ24" s="119"/>
      <c r="PCR24" s="119"/>
      <c r="PCS24" s="119"/>
      <c r="PCT24" s="119"/>
      <c r="PCU24" s="119"/>
      <c r="PCV24" s="119"/>
      <c r="PCW24" s="119"/>
      <c r="PCX24" s="119"/>
      <c r="PCY24" s="119"/>
      <c r="PCZ24" s="119"/>
      <c r="PDA24" s="119"/>
      <c r="PDB24" s="119"/>
      <c r="PDC24" s="119"/>
      <c r="PDD24" s="119"/>
      <c r="PDE24" s="119"/>
      <c r="PDF24" s="119"/>
      <c r="PDG24" s="119"/>
      <c r="PDH24" s="119"/>
      <c r="PDI24" s="119"/>
      <c r="PDJ24" s="119"/>
      <c r="PDK24" s="119"/>
      <c r="PDL24" s="119"/>
      <c r="PDM24" s="119"/>
      <c r="PDN24" s="119"/>
      <c r="PDO24" s="119"/>
      <c r="PDP24" s="119"/>
      <c r="PDQ24" s="119"/>
      <c r="PDR24" s="119"/>
      <c r="PDS24" s="119"/>
      <c r="PDT24" s="119"/>
      <c r="PDU24" s="119"/>
      <c r="PDV24" s="119"/>
      <c r="PDW24" s="119"/>
      <c r="PDX24" s="119"/>
      <c r="PDY24" s="119"/>
      <c r="PDZ24" s="119"/>
      <c r="PEA24" s="119"/>
      <c r="PEB24" s="119"/>
      <c r="PEC24" s="119"/>
      <c r="PED24" s="119"/>
      <c r="PEE24" s="119"/>
      <c r="PEF24" s="119"/>
      <c r="PEG24" s="119"/>
      <c r="PEH24" s="119"/>
      <c r="PEI24" s="119"/>
      <c r="PEJ24" s="119"/>
      <c r="PEK24" s="119"/>
      <c r="PEL24" s="119"/>
      <c r="PEM24" s="119"/>
      <c r="PEN24" s="119"/>
      <c r="PEO24" s="119"/>
      <c r="PEP24" s="119"/>
      <c r="PEQ24" s="119"/>
      <c r="PER24" s="119"/>
      <c r="PES24" s="119"/>
      <c r="PET24" s="119"/>
      <c r="PEU24" s="119"/>
      <c r="PEV24" s="119"/>
      <c r="PEW24" s="119"/>
      <c r="PEX24" s="119"/>
      <c r="PEY24" s="119"/>
      <c r="PEZ24" s="119"/>
      <c r="PFA24" s="119"/>
      <c r="PFB24" s="119"/>
      <c r="PFC24" s="119"/>
      <c r="PFD24" s="119"/>
      <c r="PFE24" s="119"/>
      <c r="PFF24" s="119"/>
      <c r="PFG24" s="119"/>
      <c r="PFH24" s="119"/>
      <c r="PFI24" s="119"/>
      <c r="PFJ24" s="119"/>
      <c r="PFK24" s="119"/>
      <c r="PFL24" s="119"/>
      <c r="PFM24" s="119"/>
      <c r="PFN24" s="119"/>
      <c r="PFO24" s="119"/>
      <c r="PFP24" s="119"/>
      <c r="PFQ24" s="119"/>
      <c r="PFR24" s="119"/>
      <c r="PFS24" s="119"/>
      <c r="PFT24" s="119"/>
      <c r="PFU24" s="119"/>
      <c r="PFV24" s="119"/>
      <c r="PFW24" s="119"/>
      <c r="PFX24" s="119"/>
      <c r="PFY24" s="119"/>
      <c r="PFZ24" s="119"/>
      <c r="PGA24" s="119"/>
      <c r="PGB24" s="119"/>
      <c r="PGC24" s="119"/>
      <c r="PGD24" s="119"/>
      <c r="PGE24" s="119"/>
      <c r="PGF24" s="119"/>
      <c r="PGG24" s="119"/>
      <c r="PGH24" s="119"/>
      <c r="PGI24" s="119"/>
      <c r="PGJ24" s="119"/>
      <c r="PGK24" s="119"/>
      <c r="PGL24" s="119"/>
      <c r="PGM24" s="119"/>
      <c r="PGN24" s="119"/>
      <c r="PGO24" s="119"/>
      <c r="PGP24" s="119"/>
      <c r="PGQ24" s="119"/>
      <c r="PGR24" s="119"/>
      <c r="PGS24" s="119"/>
      <c r="PGT24" s="119"/>
      <c r="PGU24" s="119"/>
      <c r="PGV24" s="119"/>
      <c r="PGW24" s="119"/>
      <c r="PGX24" s="119"/>
      <c r="PGY24" s="119"/>
      <c r="PGZ24" s="119"/>
      <c r="PHA24" s="119"/>
      <c r="PHB24" s="119"/>
      <c r="PHC24" s="119"/>
      <c r="PHD24" s="119"/>
      <c r="PHE24" s="119"/>
      <c r="PHF24" s="119"/>
      <c r="PHG24" s="119"/>
      <c r="PHH24" s="119"/>
      <c r="PHI24" s="119"/>
      <c r="PHJ24" s="119"/>
      <c r="PHK24" s="119"/>
      <c r="PHL24" s="119"/>
      <c r="PHM24" s="119"/>
      <c r="PHN24" s="119"/>
      <c r="PHO24" s="119"/>
      <c r="PHP24" s="119"/>
      <c r="PHQ24" s="119"/>
      <c r="PHR24" s="119"/>
      <c r="PHS24" s="119"/>
      <c r="PHT24" s="119"/>
      <c r="PHU24" s="119"/>
      <c r="PHV24" s="119"/>
      <c r="PHW24" s="119"/>
      <c r="PHX24" s="119"/>
      <c r="PHY24" s="119"/>
      <c r="PHZ24" s="119"/>
      <c r="PIA24" s="119"/>
      <c r="PIB24" s="119"/>
      <c r="PIC24" s="119"/>
      <c r="PID24" s="119"/>
      <c r="PIE24" s="119"/>
      <c r="PIF24" s="119"/>
      <c r="PIG24" s="119"/>
      <c r="PIH24" s="119"/>
      <c r="PII24" s="119"/>
      <c r="PIJ24" s="119"/>
      <c r="PIK24" s="119"/>
      <c r="PIL24" s="119"/>
      <c r="PIM24" s="119"/>
      <c r="PIN24" s="119"/>
      <c r="PIO24" s="119"/>
      <c r="PIP24" s="119"/>
      <c r="PIQ24" s="119"/>
      <c r="PIR24" s="119"/>
      <c r="PIS24" s="119"/>
      <c r="PIT24" s="119"/>
      <c r="PIU24" s="119"/>
      <c r="PIV24" s="119"/>
      <c r="PIW24" s="119"/>
      <c r="PIX24" s="119"/>
      <c r="PIY24" s="119"/>
      <c r="PIZ24" s="119"/>
      <c r="PJA24" s="119"/>
      <c r="PJB24" s="119"/>
      <c r="PJC24" s="119"/>
      <c r="PJD24" s="119"/>
      <c r="PJE24" s="119"/>
      <c r="PJF24" s="119"/>
      <c r="PJG24" s="119"/>
      <c r="PJH24" s="119"/>
      <c r="PJI24" s="119"/>
      <c r="PJJ24" s="119"/>
      <c r="PJK24" s="119"/>
      <c r="PJL24" s="119"/>
      <c r="PJM24" s="119"/>
      <c r="PJN24" s="119"/>
      <c r="PJO24" s="119"/>
      <c r="PJP24" s="119"/>
      <c r="PJQ24" s="119"/>
      <c r="PJR24" s="119"/>
      <c r="PJS24" s="119"/>
      <c r="PJT24" s="119"/>
      <c r="PJU24" s="119"/>
      <c r="PJV24" s="119"/>
      <c r="PJW24" s="119"/>
      <c r="PJX24" s="119"/>
      <c r="PJY24" s="119"/>
      <c r="PJZ24" s="119"/>
      <c r="PKA24" s="119"/>
      <c r="PKB24" s="119"/>
      <c r="PKC24" s="119"/>
      <c r="PKD24" s="119"/>
      <c r="PKE24" s="119"/>
      <c r="PKF24" s="119"/>
      <c r="PKG24" s="119"/>
      <c r="PKH24" s="119"/>
      <c r="PKI24" s="119"/>
      <c r="PKJ24" s="119"/>
      <c r="PKK24" s="119"/>
      <c r="PKL24" s="119"/>
      <c r="PKM24" s="119"/>
      <c r="PKN24" s="119"/>
      <c r="PKO24" s="119"/>
      <c r="PKP24" s="119"/>
      <c r="PKQ24" s="119"/>
      <c r="PKR24" s="119"/>
      <c r="PKS24" s="119"/>
      <c r="PKT24" s="119"/>
      <c r="PKU24" s="119"/>
      <c r="PKV24" s="119"/>
      <c r="PKW24" s="119"/>
      <c r="PKX24" s="119"/>
      <c r="PKY24" s="119"/>
      <c r="PKZ24" s="119"/>
      <c r="PLA24" s="119"/>
      <c r="PLB24" s="119"/>
      <c r="PLC24" s="119"/>
      <c r="PLD24" s="119"/>
      <c r="PLE24" s="119"/>
      <c r="PLF24" s="119"/>
      <c r="PLG24" s="119"/>
      <c r="PLH24" s="119"/>
      <c r="PLI24" s="119"/>
      <c r="PLJ24" s="119"/>
      <c r="PLK24" s="119"/>
      <c r="PLL24" s="119"/>
      <c r="PLM24" s="119"/>
      <c r="PLN24" s="119"/>
      <c r="PLO24" s="119"/>
      <c r="PLP24" s="119"/>
      <c r="PLQ24" s="119"/>
      <c r="PLR24" s="119"/>
      <c r="PLS24" s="119"/>
      <c r="PLT24" s="119"/>
      <c r="PLU24" s="119"/>
      <c r="PLV24" s="119"/>
      <c r="PLW24" s="119"/>
      <c r="PLX24" s="119"/>
      <c r="PLY24" s="119"/>
      <c r="PLZ24" s="119"/>
      <c r="PMA24" s="119"/>
      <c r="PMB24" s="119"/>
      <c r="PMC24" s="119"/>
      <c r="PMD24" s="119"/>
      <c r="PME24" s="119"/>
      <c r="PMF24" s="119"/>
      <c r="PMG24" s="119"/>
      <c r="PMH24" s="119"/>
      <c r="PMI24" s="119"/>
      <c r="PMJ24" s="119"/>
      <c r="PMK24" s="119"/>
      <c r="PML24" s="119"/>
      <c r="PMM24" s="119"/>
      <c r="PMN24" s="119"/>
      <c r="PMO24" s="119"/>
      <c r="PMP24" s="119"/>
      <c r="PMQ24" s="119"/>
      <c r="PMR24" s="119"/>
      <c r="PMS24" s="119"/>
      <c r="PMT24" s="119"/>
      <c r="PMU24" s="119"/>
      <c r="PMV24" s="119"/>
      <c r="PMW24" s="119"/>
      <c r="PMX24" s="119"/>
      <c r="PMY24" s="119"/>
      <c r="PMZ24" s="119"/>
      <c r="PNA24" s="119"/>
      <c r="PNB24" s="119"/>
      <c r="PNC24" s="119"/>
      <c r="PND24" s="119"/>
      <c r="PNE24" s="119"/>
      <c r="PNF24" s="119"/>
      <c r="PNG24" s="119"/>
      <c r="PNH24" s="119"/>
      <c r="PNI24" s="119"/>
      <c r="PNJ24" s="119"/>
      <c r="PNK24" s="119"/>
      <c r="PNL24" s="119"/>
      <c r="PNM24" s="119"/>
      <c r="PNN24" s="119"/>
      <c r="PNO24" s="119"/>
      <c r="PNP24" s="119"/>
      <c r="PNQ24" s="119"/>
      <c r="PNR24" s="119"/>
      <c r="PNS24" s="119"/>
      <c r="PNT24" s="119"/>
      <c r="PNU24" s="119"/>
      <c r="PNV24" s="119"/>
      <c r="PNW24" s="119"/>
      <c r="PNX24" s="119"/>
      <c r="PNY24" s="119"/>
      <c r="PNZ24" s="119"/>
      <c r="POA24" s="119"/>
      <c r="POB24" s="119"/>
      <c r="POC24" s="119"/>
      <c r="POD24" s="119"/>
      <c r="POE24" s="119"/>
      <c r="POF24" s="119"/>
      <c r="POG24" s="119"/>
      <c r="POH24" s="119"/>
      <c r="POI24" s="119"/>
      <c r="POJ24" s="119"/>
      <c r="POK24" s="119"/>
      <c r="POL24" s="119"/>
      <c r="POM24" s="119"/>
      <c r="PON24" s="119"/>
      <c r="POO24" s="119"/>
      <c r="POP24" s="119"/>
      <c r="POQ24" s="119"/>
      <c r="POR24" s="119"/>
      <c r="POS24" s="119"/>
      <c r="POT24" s="119"/>
      <c r="POU24" s="119"/>
      <c r="POV24" s="119"/>
      <c r="POW24" s="119"/>
      <c r="POX24" s="119"/>
      <c r="POY24" s="119"/>
      <c r="POZ24" s="119"/>
      <c r="PPA24" s="119"/>
      <c r="PPB24" s="119"/>
      <c r="PPC24" s="119"/>
      <c r="PPD24" s="119"/>
      <c r="PPE24" s="119"/>
      <c r="PPF24" s="119"/>
      <c r="PPG24" s="119"/>
      <c r="PPH24" s="119"/>
      <c r="PPI24" s="119"/>
      <c r="PPJ24" s="119"/>
      <c r="PPK24" s="119"/>
      <c r="PPL24" s="119"/>
      <c r="PPM24" s="119"/>
      <c r="PPN24" s="119"/>
      <c r="PPO24" s="119"/>
      <c r="PPP24" s="119"/>
      <c r="PPQ24" s="119"/>
      <c r="PPR24" s="119"/>
      <c r="PPS24" s="119"/>
      <c r="PPT24" s="119"/>
      <c r="PPU24" s="119"/>
      <c r="PPV24" s="119"/>
      <c r="PPW24" s="119"/>
      <c r="PPX24" s="119"/>
      <c r="PPY24" s="119"/>
      <c r="PPZ24" s="119"/>
      <c r="PQA24" s="119"/>
      <c r="PQB24" s="119"/>
      <c r="PQC24" s="119"/>
      <c r="PQD24" s="119"/>
      <c r="PQE24" s="119"/>
      <c r="PQF24" s="119"/>
      <c r="PQG24" s="119"/>
      <c r="PQH24" s="119"/>
      <c r="PQI24" s="119"/>
      <c r="PQJ24" s="119"/>
      <c r="PQK24" s="119"/>
      <c r="PQL24" s="119"/>
      <c r="PQM24" s="119"/>
      <c r="PQN24" s="119"/>
      <c r="PQO24" s="119"/>
      <c r="PQP24" s="119"/>
      <c r="PQQ24" s="119"/>
      <c r="PQR24" s="119"/>
      <c r="PQS24" s="119"/>
      <c r="PQT24" s="119"/>
      <c r="PQU24" s="119"/>
      <c r="PQV24" s="119"/>
      <c r="PQW24" s="119"/>
      <c r="PQX24" s="119"/>
      <c r="PQY24" s="119"/>
      <c r="PQZ24" s="119"/>
      <c r="PRA24" s="119"/>
      <c r="PRB24" s="119"/>
      <c r="PRC24" s="119"/>
      <c r="PRD24" s="119"/>
      <c r="PRE24" s="119"/>
      <c r="PRF24" s="119"/>
      <c r="PRG24" s="119"/>
      <c r="PRH24" s="119"/>
      <c r="PRI24" s="119"/>
      <c r="PRJ24" s="119"/>
      <c r="PRK24" s="119"/>
      <c r="PRL24" s="119"/>
      <c r="PRM24" s="119"/>
      <c r="PRN24" s="119"/>
      <c r="PRO24" s="119"/>
      <c r="PRP24" s="119"/>
      <c r="PRQ24" s="119"/>
      <c r="PRR24" s="119"/>
      <c r="PRS24" s="119"/>
      <c r="PRT24" s="119"/>
      <c r="PRU24" s="119"/>
      <c r="PRV24" s="119"/>
      <c r="PRW24" s="119"/>
      <c r="PRX24" s="119"/>
      <c r="PRY24" s="119"/>
      <c r="PRZ24" s="119"/>
      <c r="PSA24" s="119"/>
      <c r="PSB24" s="119"/>
      <c r="PSC24" s="119"/>
      <c r="PSD24" s="119"/>
      <c r="PSE24" s="119"/>
      <c r="PSF24" s="119"/>
      <c r="PSG24" s="119"/>
      <c r="PSH24" s="119"/>
      <c r="PSI24" s="119"/>
      <c r="PSJ24" s="119"/>
      <c r="PSK24" s="119"/>
      <c r="PSL24" s="119"/>
      <c r="PSM24" s="119"/>
      <c r="PSN24" s="119"/>
      <c r="PSO24" s="119"/>
      <c r="PSP24" s="119"/>
      <c r="PSQ24" s="119"/>
      <c r="PSR24" s="119"/>
      <c r="PSS24" s="119"/>
      <c r="PST24" s="119"/>
      <c r="PSU24" s="119"/>
      <c r="PSV24" s="119"/>
      <c r="PSW24" s="119"/>
      <c r="PSX24" s="119"/>
      <c r="PSY24" s="119"/>
      <c r="PSZ24" s="119"/>
      <c r="PTA24" s="119"/>
      <c r="PTB24" s="119"/>
      <c r="PTC24" s="119"/>
      <c r="PTD24" s="119"/>
      <c r="PTE24" s="119"/>
      <c r="PTF24" s="119"/>
      <c r="PTG24" s="119"/>
      <c r="PTH24" s="119"/>
      <c r="PTI24" s="119"/>
      <c r="PTJ24" s="119"/>
      <c r="PTK24" s="119"/>
      <c r="PTL24" s="119"/>
      <c r="PTM24" s="119"/>
      <c r="PTN24" s="119"/>
      <c r="PTO24" s="119"/>
      <c r="PTP24" s="119"/>
      <c r="PTQ24" s="119"/>
      <c r="PTR24" s="119"/>
      <c r="PTS24" s="119"/>
      <c r="PTT24" s="119"/>
      <c r="PTU24" s="119"/>
      <c r="PTV24" s="119"/>
      <c r="PTW24" s="119"/>
      <c r="PTX24" s="119"/>
      <c r="PTY24" s="119"/>
      <c r="PTZ24" s="119"/>
      <c r="PUA24" s="119"/>
      <c r="PUB24" s="119"/>
      <c r="PUC24" s="119"/>
      <c r="PUD24" s="119"/>
      <c r="PUE24" s="119"/>
      <c r="PUF24" s="119"/>
      <c r="PUG24" s="119"/>
      <c r="PUH24" s="119"/>
      <c r="PUI24" s="119"/>
      <c r="PUJ24" s="119"/>
      <c r="PUK24" s="119"/>
      <c r="PUL24" s="119"/>
      <c r="PUM24" s="119"/>
      <c r="PUN24" s="119"/>
      <c r="PUO24" s="119"/>
      <c r="PUP24" s="119"/>
      <c r="PUQ24" s="119"/>
      <c r="PUR24" s="119"/>
      <c r="PUS24" s="119"/>
      <c r="PUT24" s="119"/>
      <c r="PUU24" s="119"/>
      <c r="PUV24" s="119"/>
      <c r="PUW24" s="119"/>
      <c r="PUX24" s="119"/>
      <c r="PUY24" s="119"/>
      <c r="PUZ24" s="119"/>
      <c r="PVA24" s="119"/>
      <c r="PVB24" s="119"/>
      <c r="PVC24" s="119"/>
      <c r="PVD24" s="119"/>
      <c r="PVE24" s="119"/>
      <c r="PVF24" s="119"/>
      <c r="PVG24" s="119"/>
      <c r="PVH24" s="119"/>
      <c r="PVI24" s="119"/>
      <c r="PVJ24" s="119"/>
      <c r="PVK24" s="119"/>
      <c r="PVL24" s="119"/>
      <c r="PVM24" s="119"/>
      <c r="PVN24" s="119"/>
      <c r="PVO24" s="119"/>
      <c r="PVP24" s="119"/>
      <c r="PVQ24" s="119"/>
      <c r="PVR24" s="119"/>
      <c r="PVS24" s="119"/>
      <c r="PVT24" s="119"/>
      <c r="PVU24" s="119"/>
      <c r="PVV24" s="119"/>
      <c r="PVW24" s="119"/>
      <c r="PVX24" s="119"/>
      <c r="PVY24" s="119"/>
      <c r="PVZ24" s="119"/>
      <c r="PWA24" s="119"/>
      <c r="PWB24" s="119"/>
      <c r="PWC24" s="119"/>
      <c r="PWD24" s="119"/>
      <c r="PWE24" s="119"/>
      <c r="PWF24" s="119"/>
      <c r="PWG24" s="119"/>
      <c r="PWH24" s="119"/>
      <c r="PWI24" s="119"/>
      <c r="PWJ24" s="119"/>
      <c r="PWK24" s="119"/>
      <c r="PWL24" s="119"/>
      <c r="PWM24" s="119"/>
      <c r="PWN24" s="119"/>
      <c r="PWO24" s="119"/>
      <c r="PWP24" s="119"/>
      <c r="PWQ24" s="119"/>
      <c r="PWR24" s="119"/>
      <c r="PWS24" s="119"/>
      <c r="PWT24" s="119"/>
      <c r="PWU24" s="119"/>
      <c r="PWV24" s="119"/>
      <c r="PWW24" s="119"/>
      <c r="PWX24" s="119"/>
      <c r="PWY24" s="119"/>
      <c r="PWZ24" s="119"/>
      <c r="PXA24" s="119"/>
      <c r="PXB24" s="119"/>
      <c r="PXC24" s="119"/>
      <c r="PXD24" s="119"/>
      <c r="PXE24" s="119"/>
      <c r="PXF24" s="119"/>
      <c r="PXG24" s="119"/>
      <c r="PXH24" s="119"/>
      <c r="PXI24" s="119"/>
      <c r="PXJ24" s="119"/>
      <c r="PXK24" s="119"/>
      <c r="PXL24" s="119"/>
      <c r="PXM24" s="119"/>
      <c r="PXN24" s="119"/>
      <c r="PXO24" s="119"/>
      <c r="PXP24" s="119"/>
      <c r="PXQ24" s="119"/>
      <c r="PXR24" s="119"/>
      <c r="PXS24" s="119"/>
      <c r="PXT24" s="119"/>
      <c r="PXU24" s="119"/>
      <c r="PXV24" s="119"/>
      <c r="PXW24" s="119"/>
      <c r="PXX24" s="119"/>
      <c r="PXY24" s="119"/>
      <c r="PXZ24" s="119"/>
      <c r="PYA24" s="119"/>
      <c r="PYB24" s="119"/>
      <c r="PYC24" s="119"/>
      <c r="PYD24" s="119"/>
      <c r="PYE24" s="119"/>
      <c r="PYF24" s="119"/>
      <c r="PYG24" s="119"/>
      <c r="PYH24" s="119"/>
      <c r="PYI24" s="119"/>
      <c r="PYJ24" s="119"/>
      <c r="PYK24" s="119"/>
      <c r="PYL24" s="119"/>
      <c r="PYM24" s="119"/>
      <c r="PYN24" s="119"/>
      <c r="PYO24" s="119"/>
      <c r="PYP24" s="119"/>
      <c r="PYQ24" s="119"/>
      <c r="PYR24" s="119"/>
      <c r="PYS24" s="119"/>
      <c r="PYT24" s="119"/>
      <c r="PYU24" s="119"/>
      <c r="PYV24" s="119"/>
      <c r="PYW24" s="119"/>
      <c r="PYX24" s="119"/>
      <c r="PYY24" s="119"/>
      <c r="PYZ24" s="119"/>
      <c r="PZA24" s="119"/>
      <c r="PZB24" s="119"/>
      <c r="PZC24" s="119"/>
      <c r="PZD24" s="119"/>
      <c r="PZE24" s="119"/>
      <c r="PZF24" s="119"/>
      <c r="PZG24" s="119"/>
      <c r="PZH24" s="119"/>
      <c r="PZI24" s="119"/>
      <c r="PZJ24" s="119"/>
      <c r="PZK24" s="119"/>
      <c r="PZL24" s="119"/>
      <c r="PZM24" s="119"/>
      <c r="PZN24" s="119"/>
      <c r="PZO24" s="119"/>
      <c r="PZP24" s="119"/>
      <c r="PZQ24" s="119"/>
      <c r="PZR24" s="119"/>
      <c r="PZS24" s="119"/>
      <c r="PZT24" s="119"/>
      <c r="PZU24" s="119"/>
      <c r="PZV24" s="119"/>
      <c r="PZW24" s="119"/>
      <c r="PZX24" s="119"/>
      <c r="PZY24" s="119"/>
      <c r="PZZ24" s="119"/>
      <c r="QAA24" s="119"/>
      <c r="QAB24" s="119"/>
      <c r="QAC24" s="119"/>
      <c r="QAD24" s="119"/>
      <c r="QAE24" s="119"/>
      <c r="QAF24" s="119"/>
      <c r="QAG24" s="119"/>
      <c r="QAH24" s="119"/>
      <c r="QAI24" s="119"/>
      <c r="QAJ24" s="119"/>
      <c r="QAK24" s="119"/>
      <c r="QAL24" s="119"/>
      <c r="QAM24" s="119"/>
      <c r="QAN24" s="119"/>
      <c r="QAO24" s="119"/>
      <c r="QAP24" s="119"/>
      <c r="QAQ24" s="119"/>
      <c r="QAR24" s="119"/>
      <c r="QAS24" s="119"/>
      <c r="QAT24" s="119"/>
      <c r="QAU24" s="119"/>
      <c r="QAV24" s="119"/>
      <c r="QAW24" s="119"/>
      <c r="QAX24" s="119"/>
      <c r="QAY24" s="119"/>
      <c r="QAZ24" s="119"/>
      <c r="QBA24" s="119"/>
      <c r="QBB24" s="119"/>
      <c r="QBC24" s="119"/>
      <c r="QBD24" s="119"/>
      <c r="QBE24" s="119"/>
      <c r="QBF24" s="119"/>
      <c r="QBG24" s="119"/>
      <c r="QBH24" s="119"/>
      <c r="QBI24" s="119"/>
      <c r="QBJ24" s="119"/>
      <c r="QBK24" s="119"/>
      <c r="QBL24" s="119"/>
      <c r="QBM24" s="119"/>
      <c r="QBN24" s="119"/>
      <c r="QBO24" s="119"/>
      <c r="QBP24" s="119"/>
      <c r="QBQ24" s="119"/>
      <c r="QBR24" s="119"/>
      <c r="QBS24" s="119"/>
      <c r="QBT24" s="119"/>
      <c r="QBU24" s="119"/>
      <c r="QBV24" s="119"/>
      <c r="QBW24" s="119"/>
      <c r="QBX24" s="119"/>
      <c r="QBY24" s="119"/>
      <c r="QBZ24" s="119"/>
      <c r="QCA24" s="119"/>
      <c r="QCB24" s="119"/>
      <c r="QCC24" s="119"/>
      <c r="QCD24" s="119"/>
      <c r="QCE24" s="119"/>
      <c r="QCF24" s="119"/>
      <c r="QCG24" s="119"/>
      <c r="QCH24" s="119"/>
      <c r="QCI24" s="119"/>
      <c r="QCJ24" s="119"/>
      <c r="QCK24" s="119"/>
      <c r="QCL24" s="119"/>
      <c r="QCM24" s="119"/>
      <c r="QCN24" s="119"/>
      <c r="QCO24" s="119"/>
      <c r="QCP24" s="119"/>
      <c r="QCQ24" s="119"/>
      <c r="QCR24" s="119"/>
      <c r="QCS24" s="119"/>
      <c r="QCT24" s="119"/>
      <c r="QCU24" s="119"/>
      <c r="QCV24" s="119"/>
      <c r="QCW24" s="119"/>
      <c r="QCX24" s="119"/>
      <c r="QCY24" s="119"/>
      <c r="QCZ24" s="119"/>
      <c r="QDA24" s="119"/>
      <c r="QDB24" s="119"/>
      <c r="QDC24" s="119"/>
      <c r="QDD24" s="119"/>
      <c r="QDE24" s="119"/>
      <c r="QDF24" s="119"/>
      <c r="QDG24" s="119"/>
      <c r="QDH24" s="119"/>
      <c r="QDI24" s="119"/>
      <c r="QDJ24" s="119"/>
      <c r="QDK24" s="119"/>
      <c r="QDL24" s="119"/>
      <c r="QDM24" s="119"/>
      <c r="QDN24" s="119"/>
      <c r="QDO24" s="119"/>
      <c r="QDP24" s="119"/>
      <c r="QDQ24" s="119"/>
      <c r="QDR24" s="119"/>
      <c r="QDS24" s="119"/>
      <c r="QDT24" s="119"/>
      <c r="QDU24" s="119"/>
      <c r="QDV24" s="119"/>
      <c r="QDW24" s="119"/>
      <c r="QDX24" s="119"/>
      <c r="QDY24" s="119"/>
      <c r="QDZ24" s="119"/>
      <c r="QEA24" s="119"/>
      <c r="QEB24" s="119"/>
      <c r="QEC24" s="119"/>
      <c r="QED24" s="119"/>
      <c r="QEE24" s="119"/>
      <c r="QEF24" s="119"/>
      <c r="QEG24" s="119"/>
      <c r="QEH24" s="119"/>
      <c r="QEI24" s="119"/>
      <c r="QEJ24" s="119"/>
      <c r="QEK24" s="119"/>
      <c r="QEL24" s="119"/>
      <c r="QEM24" s="119"/>
      <c r="QEN24" s="119"/>
      <c r="QEO24" s="119"/>
      <c r="QEP24" s="119"/>
      <c r="QEQ24" s="119"/>
      <c r="QER24" s="119"/>
      <c r="QES24" s="119"/>
      <c r="QET24" s="119"/>
      <c r="QEU24" s="119"/>
      <c r="QEV24" s="119"/>
      <c r="QEW24" s="119"/>
      <c r="QEX24" s="119"/>
      <c r="QEY24" s="119"/>
      <c r="QEZ24" s="119"/>
      <c r="QFA24" s="119"/>
      <c r="QFB24" s="119"/>
      <c r="QFC24" s="119"/>
      <c r="QFD24" s="119"/>
      <c r="QFE24" s="119"/>
      <c r="QFF24" s="119"/>
      <c r="QFG24" s="119"/>
      <c r="QFH24" s="119"/>
      <c r="QFI24" s="119"/>
      <c r="QFJ24" s="119"/>
      <c r="QFK24" s="119"/>
      <c r="QFL24" s="119"/>
      <c r="QFM24" s="119"/>
      <c r="QFN24" s="119"/>
      <c r="QFO24" s="119"/>
      <c r="QFP24" s="119"/>
      <c r="QFQ24" s="119"/>
      <c r="QFR24" s="119"/>
      <c r="QFS24" s="119"/>
      <c r="QFT24" s="119"/>
      <c r="QFU24" s="119"/>
      <c r="QFV24" s="119"/>
      <c r="QFW24" s="119"/>
      <c r="QFX24" s="119"/>
      <c r="QFY24" s="119"/>
      <c r="QFZ24" s="119"/>
      <c r="QGA24" s="119"/>
      <c r="QGB24" s="119"/>
      <c r="QGC24" s="119"/>
      <c r="QGD24" s="119"/>
      <c r="QGE24" s="119"/>
      <c r="QGF24" s="119"/>
      <c r="QGG24" s="119"/>
      <c r="QGH24" s="119"/>
      <c r="QGI24" s="119"/>
      <c r="QGJ24" s="119"/>
      <c r="QGK24" s="119"/>
      <c r="QGL24" s="119"/>
      <c r="QGM24" s="119"/>
      <c r="QGN24" s="119"/>
      <c r="QGO24" s="119"/>
      <c r="QGP24" s="119"/>
      <c r="QGQ24" s="119"/>
      <c r="QGR24" s="119"/>
      <c r="QGS24" s="119"/>
      <c r="QGT24" s="119"/>
      <c r="QGU24" s="119"/>
      <c r="QGV24" s="119"/>
      <c r="QGW24" s="119"/>
      <c r="QGX24" s="119"/>
      <c r="QGY24" s="119"/>
      <c r="QGZ24" s="119"/>
      <c r="QHA24" s="119"/>
      <c r="QHB24" s="119"/>
      <c r="QHC24" s="119"/>
      <c r="QHD24" s="119"/>
      <c r="QHE24" s="119"/>
      <c r="QHF24" s="119"/>
      <c r="QHG24" s="119"/>
      <c r="QHH24" s="119"/>
      <c r="QHI24" s="119"/>
      <c r="QHJ24" s="119"/>
      <c r="QHK24" s="119"/>
      <c r="QHL24" s="119"/>
      <c r="QHM24" s="119"/>
      <c r="QHN24" s="119"/>
      <c r="QHO24" s="119"/>
      <c r="QHP24" s="119"/>
      <c r="QHQ24" s="119"/>
      <c r="QHR24" s="119"/>
      <c r="QHS24" s="119"/>
      <c r="QHT24" s="119"/>
      <c r="QHU24" s="119"/>
      <c r="QHV24" s="119"/>
      <c r="QHW24" s="119"/>
      <c r="QHX24" s="119"/>
      <c r="QHY24" s="119"/>
      <c r="QHZ24" s="119"/>
      <c r="QIA24" s="119"/>
      <c r="QIB24" s="119"/>
      <c r="QIC24" s="119"/>
      <c r="QID24" s="119"/>
      <c r="QIE24" s="119"/>
      <c r="QIF24" s="119"/>
      <c r="QIG24" s="119"/>
      <c r="QIH24" s="119"/>
      <c r="QII24" s="119"/>
      <c r="QIJ24" s="119"/>
      <c r="QIK24" s="119"/>
      <c r="QIL24" s="119"/>
      <c r="QIM24" s="119"/>
      <c r="QIN24" s="119"/>
      <c r="QIO24" s="119"/>
      <c r="QIP24" s="119"/>
      <c r="QIQ24" s="119"/>
      <c r="QIR24" s="119"/>
      <c r="QIS24" s="119"/>
      <c r="QIT24" s="119"/>
      <c r="QIU24" s="119"/>
      <c r="QIV24" s="119"/>
      <c r="QIW24" s="119"/>
      <c r="QIX24" s="119"/>
      <c r="QIY24" s="119"/>
      <c r="QIZ24" s="119"/>
      <c r="QJA24" s="119"/>
      <c r="QJB24" s="119"/>
      <c r="QJC24" s="119"/>
      <c r="QJD24" s="119"/>
      <c r="QJE24" s="119"/>
      <c r="QJF24" s="119"/>
      <c r="QJG24" s="119"/>
      <c r="QJH24" s="119"/>
      <c r="QJI24" s="119"/>
      <c r="QJJ24" s="119"/>
      <c r="QJK24" s="119"/>
      <c r="QJL24" s="119"/>
      <c r="QJM24" s="119"/>
      <c r="QJN24" s="119"/>
      <c r="QJO24" s="119"/>
      <c r="QJP24" s="119"/>
      <c r="QJQ24" s="119"/>
      <c r="QJR24" s="119"/>
      <c r="QJS24" s="119"/>
      <c r="QJT24" s="119"/>
      <c r="QJU24" s="119"/>
      <c r="QJV24" s="119"/>
      <c r="QJW24" s="119"/>
      <c r="QJX24" s="119"/>
      <c r="QJY24" s="119"/>
      <c r="QJZ24" s="119"/>
      <c r="QKA24" s="119"/>
      <c r="QKB24" s="119"/>
      <c r="QKC24" s="119"/>
      <c r="QKD24" s="119"/>
      <c r="QKE24" s="119"/>
      <c r="QKF24" s="119"/>
      <c r="QKG24" s="119"/>
      <c r="QKH24" s="119"/>
      <c r="QKI24" s="119"/>
      <c r="QKJ24" s="119"/>
      <c r="QKK24" s="119"/>
      <c r="QKL24" s="119"/>
      <c r="QKM24" s="119"/>
      <c r="QKN24" s="119"/>
      <c r="QKO24" s="119"/>
      <c r="QKP24" s="119"/>
      <c r="QKQ24" s="119"/>
      <c r="QKR24" s="119"/>
      <c r="QKS24" s="119"/>
      <c r="QKT24" s="119"/>
      <c r="QKU24" s="119"/>
      <c r="QKV24" s="119"/>
      <c r="QKW24" s="119"/>
      <c r="QKX24" s="119"/>
      <c r="QKY24" s="119"/>
      <c r="QKZ24" s="119"/>
      <c r="QLA24" s="119"/>
      <c r="QLB24" s="119"/>
      <c r="QLC24" s="119"/>
      <c r="QLD24" s="119"/>
      <c r="QLE24" s="119"/>
      <c r="QLF24" s="119"/>
      <c r="QLG24" s="119"/>
      <c r="QLH24" s="119"/>
      <c r="QLI24" s="119"/>
      <c r="QLJ24" s="119"/>
      <c r="QLK24" s="119"/>
      <c r="QLL24" s="119"/>
      <c r="QLM24" s="119"/>
      <c r="QLN24" s="119"/>
      <c r="QLO24" s="119"/>
      <c r="QLP24" s="119"/>
      <c r="QLQ24" s="119"/>
      <c r="QLR24" s="119"/>
      <c r="QLS24" s="119"/>
      <c r="QLT24" s="119"/>
      <c r="QLU24" s="119"/>
      <c r="QLV24" s="119"/>
      <c r="QLW24" s="119"/>
      <c r="QLX24" s="119"/>
      <c r="QLY24" s="119"/>
      <c r="QLZ24" s="119"/>
      <c r="QMA24" s="119"/>
      <c r="QMB24" s="119"/>
      <c r="QMC24" s="119"/>
      <c r="QMD24" s="119"/>
      <c r="QME24" s="119"/>
      <c r="QMF24" s="119"/>
      <c r="QMG24" s="119"/>
      <c r="QMH24" s="119"/>
      <c r="QMI24" s="119"/>
      <c r="QMJ24" s="119"/>
      <c r="QMK24" s="119"/>
      <c r="QML24" s="119"/>
      <c r="QMM24" s="119"/>
      <c r="QMN24" s="119"/>
      <c r="QMO24" s="119"/>
      <c r="QMP24" s="119"/>
      <c r="QMQ24" s="119"/>
      <c r="QMR24" s="119"/>
      <c r="QMS24" s="119"/>
      <c r="QMT24" s="119"/>
      <c r="QMU24" s="119"/>
      <c r="QMV24" s="119"/>
      <c r="QMW24" s="119"/>
      <c r="QMX24" s="119"/>
      <c r="QMY24" s="119"/>
      <c r="QMZ24" s="119"/>
      <c r="QNA24" s="119"/>
      <c r="QNB24" s="119"/>
      <c r="QNC24" s="119"/>
      <c r="QND24" s="119"/>
      <c r="QNE24" s="119"/>
      <c r="QNF24" s="119"/>
      <c r="QNG24" s="119"/>
      <c r="QNH24" s="119"/>
      <c r="QNI24" s="119"/>
      <c r="QNJ24" s="119"/>
      <c r="QNK24" s="119"/>
      <c r="QNL24" s="119"/>
      <c r="QNM24" s="119"/>
      <c r="QNN24" s="119"/>
      <c r="QNO24" s="119"/>
      <c r="QNP24" s="119"/>
      <c r="QNQ24" s="119"/>
      <c r="QNR24" s="119"/>
      <c r="QNS24" s="119"/>
      <c r="QNT24" s="119"/>
      <c r="QNU24" s="119"/>
      <c r="QNV24" s="119"/>
      <c r="QNW24" s="119"/>
      <c r="QNX24" s="119"/>
      <c r="QNY24" s="119"/>
      <c r="QNZ24" s="119"/>
      <c r="QOA24" s="119"/>
      <c r="QOB24" s="119"/>
      <c r="QOC24" s="119"/>
      <c r="QOD24" s="119"/>
      <c r="QOE24" s="119"/>
      <c r="QOF24" s="119"/>
      <c r="QOG24" s="119"/>
      <c r="QOH24" s="119"/>
      <c r="QOI24" s="119"/>
      <c r="QOJ24" s="119"/>
      <c r="QOK24" s="119"/>
      <c r="QOL24" s="119"/>
      <c r="QOM24" s="119"/>
      <c r="QON24" s="119"/>
      <c r="QOO24" s="119"/>
      <c r="QOP24" s="119"/>
      <c r="QOQ24" s="119"/>
      <c r="QOR24" s="119"/>
      <c r="QOS24" s="119"/>
      <c r="QOT24" s="119"/>
      <c r="QOU24" s="119"/>
      <c r="QOV24" s="119"/>
      <c r="QOW24" s="119"/>
      <c r="QOX24" s="119"/>
      <c r="QOY24" s="119"/>
      <c r="QOZ24" s="119"/>
      <c r="QPA24" s="119"/>
      <c r="QPB24" s="119"/>
      <c r="QPC24" s="119"/>
      <c r="QPD24" s="119"/>
      <c r="QPE24" s="119"/>
      <c r="QPF24" s="119"/>
      <c r="QPG24" s="119"/>
      <c r="QPH24" s="119"/>
      <c r="QPI24" s="119"/>
      <c r="QPJ24" s="119"/>
      <c r="QPK24" s="119"/>
      <c r="QPL24" s="119"/>
      <c r="QPM24" s="119"/>
      <c r="QPN24" s="119"/>
      <c r="QPO24" s="119"/>
      <c r="QPP24" s="119"/>
      <c r="QPQ24" s="119"/>
      <c r="QPR24" s="119"/>
      <c r="QPS24" s="119"/>
      <c r="QPT24" s="119"/>
      <c r="QPU24" s="119"/>
      <c r="QPV24" s="119"/>
      <c r="QPW24" s="119"/>
      <c r="QPX24" s="119"/>
      <c r="QPY24" s="119"/>
      <c r="QPZ24" s="119"/>
      <c r="QQA24" s="119"/>
      <c r="QQB24" s="119"/>
      <c r="QQC24" s="119"/>
      <c r="QQD24" s="119"/>
      <c r="QQE24" s="119"/>
      <c r="QQF24" s="119"/>
      <c r="QQG24" s="119"/>
      <c r="QQH24" s="119"/>
      <c r="QQI24" s="119"/>
      <c r="QQJ24" s="119"/>
      <c r="QQK24" s="119"/>
      <c r="QQL24" s="119"/>
      <c r="QQM24" s="119"/>
      <c r="QQN24" s="119"/>
      <c r="QQO24" s="119"/>
      <c r="QQP24" s="119"/>
      <c r="QQQ24" s="119"/>
      <c r="QQR24" s="119"/>
      <c r="QQS24" s="119"/>
      <c r="QQT24" s="119"/>
      <c r="QQU24" s="119"/>
      <c r="QQV24" s="119"/>
      <c r="QQW24" s="119"/>
      <c r="QQX24" s="119"/>
      <c r="QQY24" s="119"/>
      <c r="QQZ24" s="119"/>
      <c r="QRA24" s="119"/>
      <c r="QRB24" s="119"/>
      <c r="QRC24" s="119"/>
      <c r="QRD24" s="119"/>
      <c r="QRE24" s="119"/>
      <c r="QRF24" s="119"/>
      <c r="QRG24" s="119"/>
      <c r="QRH24" s="119"/>
      <c r="QRI24" s="119"/>
      <c r="QRJ24" s="119"/>
      <c r="QRK24" s="119"/>
      <c r="QRL24" s="119"/>
      <c r="QRM24" s="119"/>
      <c r="QRN24" s="119"/>
      <c r="QRO24" s="119"/>
      <c r="QRP24" s="119"/>
      <c r="QRQ24" s="119"/>
      <c r="QRR24" s="119"/>
      <c r="QRS24" s="119"/>
      <c r="QRT24" s="119"/>
      <c r="QRU24" s="119"/>
      <c r="QRV24" s="119"/>
      <c r="QRW24" s="119"/>
      <c r="QRX24" s="119"/>
      <c r="QRY24" s="119"/>
      <c r="QRZ24" s="119"/>
      <c r="QSA24" s="119"/>
      <c r="QSB24" s="119"/>
      <c r="QSC24" s="119"/>
      <c r="QSD24" s="119"/>
      <c r="QSE24" s="119"/>
      <c r="QSF24" s="119"/>
      <c r="QSG24" s="119"/>
      <c r="QSH24" s="119"/>
      <c r="QSI24" s="119"/>
      <c r="QSJ24" s="119"/>
      <c r="QSK24" s="119"/>
      <c r="QSL24" s="119"/>
      <c r="QSM24" s="119"/>
      <c r="QSN24" s="119"/>
      <c r="QSO24" s="119"/>
      <c r="QSP24" s="119"/>
      <c r="QSQ24" s="119"/>
      <c r="QSR24" s="119"/>
      <c r="QSS24" s="119"/>
      <c r="QST24" s="119"/>
      <c r="QSU24" s="119"/>
      <c r="QSV24" s="119"/>
      <c r="QSW24" s="119"/>
      <c r="QSX24" s="119"/>
      <c r="QSY24" s="119"/>
      <c r="QSZ24" s="119"/>
      <c r="QTA24" s="119"/>
      <c r="QTB24" s="119"/>
      <c r="QTC24" s="119"/>
      <c r="QTD24" s="119"/>
      <c r="QTE24" s="119"/>
      <c r="QTF24" s="119"/>
      <c r="QTG24" s="119"/>
      <c r="QTH24" s="119"/>
      <c r="QTI24" s="119"/>
      <c r="QTJ24" s="119"/>
      <c r="QTK24" s="119"/>
      <c r="QTL24" s="119"/>
      <c r="QTM24" s="119"/>
      <c r="QTN24" s="119"/>
      <c r="QTO24" s="119"/>
      <c r="QTP24" s="119"/>
      <c r="QTQ24" s="119"/>
      <c r="QTR24" s="119"/>
      <c r="QTS24" s="119"/>
      <c r="QTT24" s="119"/>
      <c r="QTU24" s="119"/>
      <c r="QTV24" s="119"/>
      <c r="QTW24" s="119"/>
      <c r="QTX24" s="119"/>
      <c r="QTY24" s="119"/>
      <c r="QTZ24" s="119"/>
      <c r="QUA24" s="119"/>
      <c r="QUB24" s="119"/>
      <c r="QUC24" s="119"/>
      <c r="QUD24" s="119"/>
      <c r="QUE24" s="119"/>
      <c r="QUF24" s="119"/>
      <c r="QUG24" s="119"/>
      <c r="QUH24" s="119"/>
      <c r="QUI24" s="119"/>
      <c r="QUJ24" s="119"/>
      <c r="QUK24" s="119"/>
      <c r="QUL24" s="119"/>
      <c r="QUM24" s="119"/>
      <c r="QUN24" s="119"/>
      <c r="QUO24" s="119"/>
      <c r="QUP24" s="119"/>
      <c r="QUQ24" s="119"/>
      <c r="QUR24" s="119"/>
      <c r="QUS24" s="119"/>
      <c r="QUT24" s="119"/>
      <c r="QUU24" s="119"/>
      <c r="QUV24" s="119"/>
      <c r="QUW24" s="119"/>
      <c r="QUX24" s="119"/>
      <c r="QUY24" s="119"/>
      <c r="QUZ24" s="119"/>
      <c r="QVA24" s="119"/>
      <c r="QVB24" s="119"/>
      <c r="QVC24" s="119"/>
      <c r="QVD24" s="119"/>
      <c r="QVE24" s="119"/>
      <c r="QVF24" s="119"/>
      <c r="QVG24" s="119"/>
      <c r="QVH24" s="119"/>
      <c r="QVI24" s="119"/>
      <c r="QVJ24" s="119"/>
      <c r="QVK24" s="119"/>
      <c r="QVL24" s="119"/>
      <c r="QVM24" s="119"/>
      <c r="QVN24" s="119"/>
      <c r="QVO24" s="119"/>
      <c r="QVP24" s="119"/>
      <c r="QVQ24" s="119"/>
      <c r="QVR24" s="119"/>
      <c r="QVS24" s="119"/>
      <c r="QVT24" s="119"/>
      <c r="QVU24" s="119"/>
      <c r="QVV24" s="119"/>
      <c r="QVW24" s="119"/>
      <c r="QVX24" s="119"/>
      <c r="QVY24" s="119"/>
      <c r="QVZ24" s="119"/>
      <c r="QWA24" s="119"/>
      <c r="QWB24" s="119"/>
      <c r="QWC24" s="119"/>
      <c r="QWD24" s="119"/>
      <c r="QWE24" s="119"/>
      <c r="QWF24" s="119"/>
      <c r="QWG24" s="119"/>
      <c r="QWH24" s="119"/>
      <c r="QWI24" s="119"/>
      <c r="QWJ24" s="119"/>
      <c r="QWK24" s="119"/>
      <c r="QWL24" s="119"/>
      <c r="QWM24" s="119"/>
      <c r="QWN24" s="119"/>
      <c r="QWO24" s="119"/>
      <c r="QWP24" s="119"/>
      <c r="QWQ24" s="119"/>
      <c r="QWR24" s="119"/>
      <c r="QWS24" s="119"/>
      <c r="QWT24" s="119"/>
      <c r="QWU24" s="119"/>
      <c r="QWV24" s="119"/>
      <c r="QWW24" s="119"/>
      <c r="QWX24" s="119"/>
      <c r="QWY24" s="119"/>
      <c r="QWZ24" s="119"/>
      <c r="QXA24" s="119"/>
      <c r="QXB24" s="119"/>
      <c r="QXC24" s="119"/>
      <c r="QXD24" s="119"/>
      <c r="QXE24" s="119"/>
      <c r="QXF24" s="119"/>
      <c r="QXG24" s="119"/>
      <c r="QXH24" s="119"/>
      <c r="QXI24" s="119"/>
      <c r="QXJ24" s="119"/>
      <c r="QXK24" s="119"/>
      <c r="QXL24" s="119"/>
      <c r="QXM24" s="119"/>
      <c r="QXN24" s="119"/>
      <c r="QXO24" s="119"/>
      <c r="QXP24" s="119"/>
      <c r="QXQ24" s="119"/>
      <c r="QXR24" s="119"/>
      <c r="QXS24" s="119"/>
      <c r="QXT24" s="119"/>
      <c r="QXU24" s="119"/>
      <c r="QXV24" s="119"/>
      <c r="QXW24" s="119"/>
      <c r="QXX24" s="119"/>
      <c r="QXY24" s="119"/>
      <c r="QXZ24" s="119"/>
      <c r="QYA24" s="119"/>
      <c r="QYB24" s="119"/>
      <c r="QYC24" s="119"/>
      <c r="QYD24" s="119"/>
      <c r="QYE24" s="119"/>
      <c r="QYF24" s="119"/>
      <c r="QYG24" s="119"/>
      <c r="QYH24" s="119"/>
      <c r="QYI24" s="119"/>
      <c r="QYJ24" s="119"/>
      <c r="QYK24" s="119"/>
      <c r="QYL24" s="119"/>
      <c r="QYM24" s="119"/>
      <c r="QYN24" s="119"/>
      <c r="QYO24" s="119"/>
      <c r="QYP24" s="119"/>
      <c r="QYQ24" s="119"/>
      <c r="QYR24" s="119"/>
      <c r="QYS24" s="119"/>
      <c r="QYT24" s="119"/>
      <c r="QYU24" s="119"/>
      <c r="QYV24" s="119"/>
      <c r="QYW24" s="119"/>
      <c r="QYX24" s="119"/>
      <c r="QYY24" s="119"/>
      <c r="QYZ24" s="119"/>
      <c r="QZA24" s="119"/>
      <c r="QZB24" s="119"/>
      <c r="QZC24" s="119"/>
      <c r="QZD24" s="119"/>
      <c r="QZE24" s="119"/>
      <c r="QZF24" s="119"/>
      <c r="QZG24" s="119"/>
      <c r="QZH24" s="119"/>
      <c r="QZI24" s="119"/>
      <c r="QZJ24" s="119"/>
      <c r="QZK24" s="119"/>
      <c r="QZL24" s="119"/>
      <c r="QZM24" s="119"/>
      <c r="QZN24" s="119"/>
      <c r="QZO24" s="119"/>
      <c r="QZP24" s="119"/>
      <c r="QZQ24" s="119"/>
      <c r="QZR24" s="119"/>
      <c r="QZS24" s="119"/>
      <c r="QZT24" s="119"/>
      <c r="QZU24" s="119"/>
      <c r="QZV24" s="119"/>
      <c r="QZW24" s="119"/>
      <c r="QZX24" s="119"/>
      <c r="QZY24" s="119"/>
      <c r="QZZ24" s="119"/>
      <c r="RAA24" s="119"/>
      <c r="RAB24" s="119"/>
      <c r="RAC24" s="119"/>
      <c r="RAD24" s="119"/>
      <c r="RAE24" s="119"/>
      <c r="RAF24" s="119"/>
      <c r="RAG24" s="119"/>
      <c r="RAH24" s="119"/>
      <c r="RAI24" s="119"/>
      <c r="RAJ24" s="119"/>
      <c r="RAK24" s="119"/>
      <c r="RAL24" s="119"/>
      <c r="RAM24" s="119"/>
      <c r="RAN24" s="119"/>
      <c r="RAO24" s="119"/>
      <c r="RAP24" s="119"/>
      <c r="RAQ24" s="119"/>
      <c r="RAR24" s="119"/>
      <c r="RAS24" s="119"/>
      <c r="RAT24" s="119"/>
      <c r="RAU24" s="119"/>
      <c r="RAV24" s="119"/>
      <c r="RAW24" s="119"/>
      <c r="RAX24" s="119"/>
      <c r="RAY24" s="119"/>
      <c r="RAZ24" s="119"/>
      <c r="RBA24" s="119"/>
      <c r="RBB24" s="119"/>
      <c r="RBC24" s="119"/>
      <c r="RBD24" s="119"/>
      <c r="RBE24" s="119"/>
      <c r="RBF24" s="119"/>
      <c r="RBG24" s="119"/>
      <c r="RBH24" s="119"/>
      <c r="RBI24" s="119"/>
      <c r="RBJ24" s="119"/>
      <c r="RBK24" s="119"/>
      <c r="RBL24" s="119"/>
      <c r="RBM24" s="119"/>
      <c r="RBN24" s="119"/>
      <c r="RBO24" s="119"/>
      <c r="RBP24" s="119"/>
      <c r="RBQ24" s="119"/>
      <c r="RBR24" s="119"/>
      <c r="RBS24" s="119"/>
      <c r="RBT24" s="119"/>
      <c r="RBU24" s="119"/>
      <c r="RBV24" s="119"/>
      <c r="RBW24" s="119"/>
      <c r="RBX24" s="119"/>
      <c r="RBY24" s="119"/>
      <c r="RBZ24" s="119"/>
      <c r="RCA24" s="119"/>
      <c r="RCB24" s="119"/>
      <c r="RCC24" s="119"/>
      <c r="RCD24" s="119"/>
      <c r="RCE24" s="119"/>
      <c r="RCF24" s="119"/>
      <c r="RCG24" s="119"/>
      <c r="RCH24" s="119"/>
      <c r="RCI24" s="119"/>
      <c r="RCJ24" s="119"/>
      <c r="RCK24" s="119"/>
      <c r="RCL24" s="119"/>
      <c r="RCM24" s="119"/>
      <c r="RCN24" s="119"/>
      <c r="RCO24" s="119"/>
      <c r="RCP24" s="119"/>
      <c r="RCQ24" s="119"/>
      <c r="RCR24" s="119"/>
      <c r="RCS24" s="119"/>
      <c r="RCT24" s="119"/>
      <c r="RCU24" s="119"/>
      <c r="RCV24" s="119"/>
      <c r="RCW24" s="119"/>
      <c r="RCX24" s="119"/>
      <c r="RCY24" s="119"/>
      <c r="RCZ24" s="119"/>
      <c r="RDA24" s="119"/>
      <c r="RDB24" s="119"/>
      <c r="RDC24" s="119"/>
      <c r="RDD24" s="119"/>
      <c r="RDE24" s="119"/>
      <c r="RDF24" s="119"/>
      <c r="RDG24" s="119"/>
      <c r="RDH24" s="119"/>
      <c r="RDI24" s="119"/>
      <c r="RDJ24" s="119"/>
      <c r="RDK24" s="119"/>
      <c r="RDL24" s="119"/>
      <c r="RDM24" s="119"/>
      <c r="RDN24" s="119"/>
      <c r="RDO24" s="119"/>
      <c r="RDP24" s="119"/>
      <c r="RDQ24" s="119"/>
      <c r="RDR24" s="119"/>
      <c r="RDS24" s="119"/>
      <c r="RDT24" s="119"/>
      <c r="RDU24" s="119"/>
      <c r="RDV24" s="119"/>
      <c r="RDW24" s="119"/>
      <c r="RDX24" s="119"/>
      <c r="RDY24" s="119"/>
      <c r="RDZ24" s="119"/>
      <c r="REA24" s="119"/>
      <c r="REB24" s="119"/>
      <c r="REC24" s="119"/>
      <c r="RED24" s="119"/>
      <c r="REE24" s="119"/>
      <c r="REF24" s="119"/>
      <c r="REG24" s="119"/>
      <c r="REH24" s="119"/>
      <c r="REI24" s="119"/>
      <c r="REJ24" s="119"/>
      <c r="REK24" s="119"/>
      <c r="REL24" s="119"/>
      <c r="REM24" s="119"/>
      <c r="REN24" s="119"/>
      <c r="REO24" s="119"/>
      <c r="REP24" s="119"/>
      <c r="REQ24" s="119"/>
      <c r="RER24" s="119"/>
      <c r="RES24" s="119"/>
      <c r="RET24" s="119"/>
      <c r="REU24" s="119"/>
      <c r="REV24" s="119"/>
      <c r="REW24" s="119"/>
      <c r="REX24" s="119"/>
      <c r="REY24" s="119"/>
      <c r="REZ24" s="119"/>
      <c r="RFA24" s="119"/>
      <c r="RFB24" s="119"/>
      <c r="RFC24" s="119"/>
      <c r="RFD24" s="119"/>
      <c r="RFE24" s="119"/>
      <c r="RFF24" s="119"/>
      <c r="RFG24" s="119"/>
      <c r="RFH24" s="119"/>
      <c r="RFI24" s="119"/>
      <c r="RFJ24" s="119"/>
      <c r="RFK24" s="119"/>
      <c r="RFL24" s="119"/>
      <c r="RFM24" s="119"/>
      <c r="RFN24" s="119"/>
      <c r="RFO24" s="119"/>
      <c r="RFP24" s="119"/>
      <c r="RFQ24" s="119"/>
      <c r="RFR24" s="119"/>
      <c r="RFS24" s="119"/>
      <c r="RFT24" s="119"/>
      <c r="RFU24" s="119"/>
      <c r="RFV24" s="119"/>
      <c r="RFW24" s="119"/>
      <c r="RFX24" s="119"/>
      <c r="RFY24" s="119"/>
      <c r="RFZ24" s="119"/>
      <c r="RGA24" s="119"/>
      <c r="RGB24" s="119"/>
      <c r="RGC24" s="119"/>
      <c r="RGD24" s="119"/>
      <c r="RGE24" s="119"/>
      <c r="RGF24" s="119"/>
      <c r="RGG24" s="119"/>
      <c r="RGH24" s="119"/>
      <c r="RGI24" s="119"/>
      <c r="RGJ24" s="119"/>
      <c r="RGK24" s="119"/>
      <c r="RGL24" s="119"/>
      <c r="RGM24" s="119"/>
      <c r="RGN24" s="119"/>
      <c r="RGO24" s="119"/>
      <c r="RGP24" s="119"/>
      <c r="RGQ24" s="119"/>
      <c r="RGR24" s="119"/>
      <c r="RGS24" s="119"/>
      <c r="RGT24" s="119"/>
      <c r="RGU24" s="119"/>
      <c r="RGV24" s="119"/>
      <c r="RGW24" s="119"/>
      <c r="RGX24" s="119"/>
      <c r="RGY24" s="119"/>
      <c r="RGZ24" s="119"/>
      <c r="RHA24" s="119"/>
      <c r="RHB24" s="119"/>
      <c r="RHC24" s="119"/>
      <c r="RHD24" s="119"/>
      <c r="RHE24" s="119"/>
      <c r="RHF24" s="119"/>
      <c r="RHG24" s="119"/>
      <c r="RHH24" s="119"/>
      <c r="RHI24" s="119"/>
      <c r="RHJ24" s="119"/>
      <c r="RHK24" s="119"/>
      <c r="RHL24" s="119"/>
      <c r="RHM24" s="119"/>
      <c r="RHN24" s="119"/>
      <c r="RHO24" s="119"/>
      <c r="RHP24" s="119"/>
      <c r="RHQ24" s="119"/>
      <c r="RHR24" s="119"/>
      <c r="RHS24" s="119"/>
      <c r="RHT24" s="119"/>
      <c r="RHU24" s="119"/>
      <c r="RHV24" s="119"/>
      <c r="RHW24" s="119"/>
      <c r="RHX24" s="119"/>
      <c r="RHY24" s="119"/>
      <c r="RHZ24" s="119"/>
      <c r="RIA24" s="119"/>
      <c r="RIB24" s="119"/>
      <c r="RIC24" s="119"/>
      <c r="RID24" s="119"/>
      <c r="RIE24" s="119"/>
      <c r="RIF24" s="119"/>
      <c r="RIG24" s="119"/>
      <c r="RIH24" s="119"/>
      <c r="RII24" s="119"/>
      <c r="RIJ24" s="119"/>
      <c r="RIK24" s="119"/>
      <c r="RIL24" s="119"/>
      <c r="RIM24" s="119"/>
      <c r="RIN24" s="119"/>
      <c r="RIO24" s="119"/>
      <c r="RIP24" s="119"/>
      <c r="RIQ24" s="119"/>
      <c r="RIR24" s="119"/>
      <c r="RIS24" s="119"/>
      <c r="RIT24" s="119"/>
      <c r="RIU24" s="119"/>
      <c r="RIV24" s="119"/>
      <c r="RIW24" s="119"/>
      <c r="RIX24" s="119"/>
      <c r="RIY24" s="119"/>
      <c r="RIZ24" s="119"/>
      <c r="RJA24" s="119"/>
      <c r="RJB24" s="119"/>
      <c r="RJC24" s="119"/>
      <c r="RJD24" s="119"/>
      <c r="RJE24" s="119"/>
      <c r="RJF24" s="119"/>
      <c r="RJG24" s="119"/>
      <c r="RJH24" s="119"/>
      <c r="RJI24" s="119"/>
      <c r="RJJ24" s="119"/>
      <c r="RJK24" s="119"/>
      <c r="RJL24" s="119"/>
      <c r="RJM24" s="119"/>
      <c r="RJN24" s="119"/>
      <c r="RJO24" s="119"/>
      <c r="RJP24" s="119"/>
      <c r="RJQ24" s="119"/>
      <c r="RJR24" s="119"/>
      <c r="RJS24" s="119"/>
      <c r="RJT24" s="119"/>
      <c r="RJU24" s="119"/>
      <c r="RJV24" s="119"/>
      <c r="RJW24" s="119"/>
      <c r="RJX24" s="119"/>
      <c r="RJY24" s="119"/>
      <c r="RJZ24" s="119"/>
      <c r="RKA24" s="119"/>
      <c r="RKB24" s="119"/>
      <c r="RKC24" s="119"/>
      <c r="RKD24" s="119"/>
      <c r="RKE24" s="119"/>
      <c r="RKF24" s="119"/>
      <c r="RKG24" s="119"/>
      <c r="RKH24" s="119"/>
      <c r="RKI24" s="119"/>
      <c r="RKJ24" s="119"/>
      <c r="RKK24" s="119"/>
      <c r="RKL24" s="119"/>
      <c r="RKM24" s="119"/>
      <c r="RKN24" s="119"/>
      <c r="RKO24" s="119"/>
      <c r="RKP24" s="119"/>
      <c r="RKQ24" s="119"/>
      <c r="RKR24" s="119"/>
      <c r="RKS24" s="119"/>
      <c r="RKT24" s="119"/>
      <c r="RKU24" s="119"/>
      <c r="RKV24" s="119"/>
      <c r="RKW24" s="119"/>
      <c r="RKX24" s="119"/>
      <c r="RKY24" s="119"/>
      <c r="RKZ24" s="119"/>
      <c r="RLA24" s="119"/>
      <c r="RLB24" s="119"/>
      <c r="RLC24" s="119"/>
      <c r="RLD24" s="119"/>
      <c r="RLE24" s="119"/>
      <c r="RLF24" s="119"/>
      <c r="RLG24" s="119"/>
      <c r="RLH24" s="119"/>
      <c r="RLI24" s="119"/>
      <c r="RLJ24" s="119"/>
      <c r="RLK24" s="119"/>
      <c r="RLL24" s="119"/>
      <c r="RLM24" s="119"/>
      <c r="RLN24" s="119"/>
      <c r="RLO24" s="119"/>
      <c r="RLP24" s="119"/>
      <c r="RLQ24" s="119"/>
      <c r="RLR24" s="119"/>
      <c r="RLS24" s="119"/>
      <c r="RLT24" s="119"/>
      <c r="RLU24" s="119"/>
      <c r="RLV24" s="119"/>
      <c r="RLW24" s="119"/>
      <c r="RLX24" s="119"/>
      <c r="RLY24" s="119"/>
      <c r="RLZ24" s="119"/>
      <c r="RMA24" s="119"/>
      <c r="RMB24" s="119"/>
      <c r="RMC24" s="119"/>
      <c r="RMD24" s="119"/>
      <c r="RME24" s="119"/>
      <c r="RMF24" s="119"/>
      <c r="RMG24" s="119"/>
      <c r="RMH24" s="119"/>
      <c r="RMI24" s="119"/>
      <c r="RMJ24" s="119"/>
      <c r="RMK24" s="119"/>
      <c r="RML24" s="119"/>
      <c r="RMM24" s="119"/>
      <c r="RMN24" s="119"/>
      <c r="RMO24" s="119"/>
      <c r="RMP24" s="119"/>
      <c r="RMQ24" s="119"/>
      <c r="RMR24" s="119"/>
      <c r="RMS24" s="119"/>
      <c r="RMT24" s="119"/>
      <c r="RMU24" s="119"/>
      <c r="RMV24" s="119"/>
      <c r="RMW24" s="119"/>
      <c r="RMX24" s="119"/>
      <c r="RMY24" s="119"/>
      <c r="RMZ24" s="119"/>
      <c r="RNA24" s="119"/>
      <c r="RNB24" s="119"/>
      <c r="RNC24" s="119"/>
      <c r="RND24" s="119"/>
      <c r="RNE24" s="119"/>
      <c r="RNF24" s="119"/>
      <c r="RNG24" s="119"/>
      <c r="RNH24" s="119"/>
      <c r="RNI24" s="119"/>
      <c r="RNJ24" s="119"/>
      <c r="RNK24" s="119"/>
      <c r="RNL24" s="119"/>
      <c r="RNM24" s="119"/>
      <c r="RNN24" s="119"/>
      <c r="RNO24" s="119"/>
      <c r="RNP24" s="119"/>
      <c r="RNQ24" s="119"/>
      <c r="RNR24" s="119"/>
      <c r="RNS24" s="119"/>
      <c r="RNT24" s="119"/>
      <c r="RNU24" s="119"/>
      <c r="RNV24" s="119"/>
      <c r="RNW24" s="119"/>
      <c r="RNX24" s="119"/>
      <c r="RNY24" s="119"/>
      <c r="RNZ24" s="119"/>
      <c r="ROA24" s="119"/>
      <c r="ROB24" s="119"/>
      <c r="ROC24" s="119"/>
      <c r="ROD24" s="119"/>
      <c r="ROE24" s="119"/>
      <c r="ROF24" s="119"/>
      <c r="ROG24" s="119"/>
      <c r="ROH24" s="119"/>
      <c r="ROI24" s="119"/>
      <c r="ROJ24" s="119"/>
      <c r="ROK24" s="119"/>
      <c r="ROL24" s="119"/>
      <c r="ROM24" s="119"/>
      <c r="RON24" s="119"/>
      <c r="ROO24" s="119"/>
      <c r="ROP24" s="119"/>
      <c r="ROQ24" s="119"/>
      <c r="ROR24" s="119"/>
      <c r="ROS24" s="119"/>
      <c r="ROT24" s="119"/>
      <c r="ROU24" s="119"/>
      <c r="ROV24" s="119"/>
      <c r="ROW24" s="119"/>
      <c r="ROX24" s="119"/>
      <c r="ROY24" s="119"/>
      <c r="ROZ24" s="119"/>
      <c r="RPA24" s="119"/>
      <c r="RPB24" s="119"/>
      <c r="RPC24" s="119"/>
      <c r="RPD24" s="119"/>
      <c r="RPE24" s="119"/>
      <c r="RPF24" s="119"/>
      <c r="RPG24" s="119"/>
      <c r="RPH24" s="119"/>
      <c r="RPI24" s="119"/>
      <c r="RPJ24" s="119"/>
      <c r="RPK24" s="119"/>
      <c r="RPL24" s="119"/>
      <c r="RPM24" s="119"/>
      <c r="RPN24" s="119"/>
      <c r="RPO24" s="119"/>
      <c r="RPP24" s="119"/>
      <c r="RPQ24" s="119"/>
      <c r="RPR24" s="119"/>
      <c r="RPS24" s="119"/>
      <c r="RPT24" s="119"/>
      <c r="RPU24" s="119"/>
      <c r="RPV24" s="119"/>
      <c r="RPW24" s="119"/>
      <c r="RPX24" s="119"/>
      <c r="RPY24" s="119"/>
      <c r="RPZ24" s="119"/>
      <c r="RQA24" s="119"/>
      <c r="RQB24" s="119"/>
      <c r="RQC24" s="119"/>
      <c r="RQD24" s="119"/>
      <c r="RQE24" s="119"/>
      <c r="RQF24" s="119"/>
      <c r="RQG24" s="119"/>
      <c r="RQH24" s="119"/>
      <c r="RQI24" s="119"/>
      <c r="RQJ24" s="119"/>
      <c r="RQK24" s="119"/>
      <c r="RQL24" s="119"/>
      <c r="RQM24" s="119"/>
      <c r="RQN24" s="119"/>
      <c r="RQO24" s="119"/>
      <c r="RQP24" s="119"/>
      <c r="RQQ24" s="119"/>
      <c r="RQR24" s="119"/>
      <c r="RQS24" s="119"/>
      <c r="RQT24" s="119"/>
      <c r="RQU24" s="119"/>
      <c r="RQV24" s="119"/>
      <c r="RQW24" s="119"/>
      <c r="RQX24" s="119"/>
      <c r="RQY24" s="119"/>
      <c r="RQZ24" s="119"/>
      <c r="RRA24" s="119"/>
      <c r="RRB24" s="119"/>
      <c r="RRC24" s="119"/>
      <c r="RRD24" s="119"/>
      <c r="RRE24" s="119"/>
      <c r="RRF24" s="119"/>
      <c r="RRG24" s="119"/>
      <c r="RRH24" s="119"/>
      <c r="RRI24" s="119"/>
      <c r="RRJ24" s="119"/>
      <c r="RRK24" s="119"/>
      <c r="RRL24" s="119"/>
      <c r="RRM24" s="119"/>
      <c r="RRN24" s="119"/>
      <c r="RRO24" s="119"/>
      <c r="RRP24" s="119"/>
      <c r="RRQ24" s="119"/>
      <c r="RRR24" s="119"/>
      <c r="RRS24" s="119"/>
      <c r="RRT24" s="119"/>
      <c r="RRU24" s="119"/>
      <c r="RRV24" s="119"/>
      <c r="RRW24" s="119"/>
      <c r="RRX24" s="119"/>
      <c r="RRY24" s="119"/>
      <c r="RRZ24" s="119"/>
      <c r="RSA24" s="119"/>
      <c r="RSB24" s="119"/>
      <c r="RSC24" s="119"/>
      <c r="RSD24" s="119"/>
      <c r="RSE24" s="119"/>
      <c r="RSF24" s="119"/>
      <c r="RSG24" s="119"/>
      <c r="RSH24" s="119"/>
      <c r="RSI24" s="119"/>
      <c r="RSJ24" s="119"/>
      <c r="RSK24" s="119"/>
      <c r="RSL24" s="119"/>
      <c r="RSM24" s="119"/>
      <c r="RSN24" s="119"/>
      <c r="RSO24" s="119"/>
      <c r="RSP24" s="119"/>
      <c r="RSQ24" s="119"/>
      <c r="RSR24" s="119"/>
      <c r="RSS24" s="119"/>
      <c r="RST24" s="119"/>
      <c r="RSU24" s="119"/>
      <c r="RSV24" s="119"/>
      <c r="RSW24" s="119"/>
      <c r="RSX24" s="119"/>
      <c r="RSY24" s="119"/>
      <c r="RSZ24" s="119"/>
      <c r="RTA24" s="119"/>
      <c r="RTB24" s="119"/>
      <c r="RTC24" s="119"/>
      <c r="RTD24" s="119"/>
      <c r="RTE24" s="119"/>
      <c r="RTF24" s="119"/>
      <c r="RTG24" s="119"/>
      <c r="RTH24" s="119"/>
      <c r="RTI24" s="119"/>
      <c r="RTJ24" s="119"/>
      <c r="RTK24" s="119"/>
      <c r="RTL24" s="119"/>
      <c r="RTM24" s="119"/>
      <c r="RTN24" s="119"/>
      <c r="RTO24" s="119"/>
      <c r="RTP24" s="119"/>
      <c r="RTQ24" s="119"/>
      <c r="RTR24" s="119"/>
      <c r="RTS24" s="119"/>
      <c r="RTT24" s="119"/>
      <c r="RTU24" s="119"/>
      <c r="RTV24" s="119"/>
      <c r="RTW24" s="119"/>
      <c r="RTX24" s="119"/>
      <c r="RTY24" s="119"/>
      <c r="RTZ24" s="119"/>
      <c r="RUA24" s="119"/>
      <c r="RUB24" s="119"/>
      <c r="RUC24" s="119"/>
      <c r="RUD24" s="119"/>
      <c r="RUE24" s="119"/>
      <c r="RUF24" s="119"/>
      <c r="RUG24" s="119"/>
      <c r="RUH24" s="119"/>
      <c r="RUI24" s="119"/>
      <c r="RUJ24" s="119"/>
      <c r="RUK24" s="119"/>
      <c r="RUL24" s="119"/>
      <c r="RUM24" s="119"/>
      <c r="RUN24" s="119"/>
      <c r="RUO24" s="119"/>
      <c r="RUP24" s="119"/>
      <c r="RUQ24" s="119"/>
      <c r="RUR24" s="119"/>
      <c r="RUS24" s="119"/>
      <c r="RUT24" s="119"/>
      <c r="RUU24" s="119"/>
      <c r="RUV24" s="119"/>
      <c r="RUW24" s="119"/>
      <c r="RUX24" s="119"/>
      <c r="RUY24" s="119"/>
      <c r="RUZ24" s="119"/>
      <c r="RVA24" s="119"/>
      <c r="RVB24" s="119"/>
      <c r="RVC24" s="119"/>
      <c r="RVD24" s="119"/>
      <c r="RVE24" s="119"/>
      <c r="RVF24" s="119"/>
      <c r="RVG24" s="119"/>
      <c r="RVH24" s="119"/>
      <c r="RVI24" s="119"/>
      <c r="RVJ24" s="119"/>
      <c r="RVK24" s="119"/>
      <c r="RVL24" s="119"/>
      <c r="RVM24" s="119"/>
      <c r="RVN24" s="119"/>
      <c r="RVO24" s="119"/>
      <c r="RVP24" s="119"/>
      <c r="RVQ24" s="119"/>
      <c r="RVR24" s="119"/>
      <c r="RVS24" s="119"/>
      <c r="RVT24" s="119"/>
      <c r="RVU24" s="119"/>
      <c r="RVV24" s="119"/>
      <c r="RVW24" s="119"/>
      <c r="RVX24" s="119"/>
      <c r="RVY24" s="119"/>
      <c r="RVZ24" s="119"/>
      <c r="RWA24" s="119"/>
      <c r="RWB24" s="119"/>
      <c r="RWC24" s="119"/>
      <c r="RWD24" s="119"/>
      <c r="RWE24" s="119"/>
      <c r="RWF24" s="119"/>
      <c r="RWG24" s="119"/>
      <c r="RWH24" s="119"/>
      <c r="RWI24" s="119"/>
      <c r="RWJ24" s="119"/>
      <c r="RWK24" s="119"/>
      <c r="RWL24" s="119"/>
      <c r="RWM24" s="119"/>
      <c r="RWN24" s="119"/>
      <c r="RWO24" s="119"/>
      <c r="RWP24" s="119"/>
      <c r="RWQ24" s="119"/>
      <c r="RWR24" s="119"/>
      <c r="RWS24" s="119"/>
      <c r="RWT24" s="119"/>
      <c r="RWU24" s="119"/>
      <c r="RWV24" s="119"/>
      <c r="RWW24" s="119"/>
      <c r="RWX24" s="119"/>
      <c r="RWY24" s="119"/>
      <c r="RWZ24" s="119"/>
      <c r="RXA24" s="119"/>
      <c r="RXB24" s="119"/>
      <c r="RXC24" s="119"/>
      <c r="RXD24" s="119"/>
      <c r="RXE24" s="119"/>
      <c r="RXF24" s="119"/>
      <c r="RXG24" s="119"/>
      <c r="RXH24" s="119"/>
      <c r="RXI24" s="119"/>
      <c r="RXJ24" s="119"/>
      <c r="RXK24" s="119"/>
      <c r="RXL24" s="119"/>
      <c r="RXM24" s="119"/>
      <c r="RXN24" s="119"/>
      <c r="RXO24" s="119"/>
      <c r="RXP24" s="119"/>
      <c r="RXQ24" s="119"/>
      <c r="RXR24" s="119"/>
      <c r="RXS24" s="119"/>
      <c r="RXT24" s="119"/>
      <c r="RXU24" s="119"/>
      <c r="RXV24" s="119"/>
      <c r="RXW24" s="119"/>
      <c r="RXX24" s="119"/>
      <c r="RXY24" s="119"/>
      <c r="RXZ24" s="119"/>
      <c r="RYA24" s="119"/>
      <c r="RYB24" s="119"/>
      <c r="RYC24" s="119"/>
      <c r="RYD24" s="119"/>
      <c r="RYE24" s="119"/>
      <c r="RYF24" s="119"/>
      <c r="RYG24" s="119"/>
      <c r="RYH24" s="119"/>
      <c r="RYI24" s="119"/>
      <c r="RYJ24" s="119"/>
      <c r="RYK24" s="119"/>
      <c r="RYL24" s="119"/>
      <c r="RYM24" s="119"/>
      <c r="RYN24" s="119"/>
      <c r="RYO24" s="119"/>
      <c r="RYP24" s="119"/>
      <c r="RYQ24" s="119"/>
      <c r="RYR24" s="119"/>
      <c r="RYS24" s="119"/>
      <c r="RYT24" s="119"/>
      <c r="RYU24" s="119"/>
      <c r="RYV24" s="119"/>
      <c r="RYW24" s="119"/>
      <c r="RYX24" s="119"/>
      <c r="RYY24" s="119"/>
      <c r="RYZ24" s="119"/>
      <c r="RZA24" s="119"/>
      <c r="RZB24" s="119"/>
      <c r="RZC24" s="119"/>
      <c r="RZD24" s="119"/>
      <c r="RZE24" s="119"/>
      <c r="RZF24" s="119"/>
      <c r="RZG24" s="119"/>
      <c r="RZH24" s="119"/>
      <c r="RZI24" s="119"/>
      <c r="RZJ24" s="119"/>
      <c r="RZK24" s="119"/>
      <c r="RZL24" s="119"/>
      <c r="RZM24" s="119"/>
      <c r="RZN24" s="119"/>
      <c r="RZO24" s="119"/>
      <c r="RZP24" s="119"/>
      <c r="RZQ24" s="119"/>
      <c r="RZR24" s="119"/>
      <c r="RZS24" s="119"/>
      <c r="RZT24" s="119"/>
      <c r="RZU24" s="119"/>
      <c r="RZV24" s="119"/>
      <c r="RZW24" s="119"/>
      <c r="RZX24" s="119"/>
      <c r="RZY24" s="119"/>
      <c r="RZZ24" s="119"/>
      <c r="SAA24" s="119"/>
      <c r="SAB24" s="119"/>
      <c r="SAC24" s="119"/>
      <c r="SAD24" s="119"/>
      <c r="SAE24" s="119"/>
      <c r="SAF24" s="119"/>
      <c r="SAG24" s="119"/>
      <c r="SAH24" s="119"/>
      <c r="SAI24" s="119"/>
      <c r="SAJ24" s="119"/>
      <c r="SAK24" s="119"/>
      <c r="SAL24" s="119"/>
      <c r="SAM24" s="119"/>
      <c r="SAN24" s="119"/>
      <c r="SAO24" s="119"/>
      <c r="SAP24" s="119"/>
      <c r="SAQ24" s="119"/>
      <c r="SAR24" s="119"/>
      <c r="SAS24" s="119"/>
      <c r="SAT24" s="119"/>
      <c r="SAU24" s="119"/>
      <c r="SAV24" s="119"/>
      <c r="SAW24" s="119"/>
      <c r="SAX24" s="119"/>
      <c r="SAY24" s="119"/>
      <c r="SAZ24" s="119"/>
      <c r="SBA24" s="119"/>
      <c r="SBB24" s="119"/>
      <c r="SBC24" s="119"/>
      <c r="SBD24" s="119"/>
      <c r="SBE24" s="119"/>
      <c r="SBF24" s="119"/>
      <c r="SBG24" s="119"/>
      <c r="SBH24" s="119"/>
      <c r="SBI24" s="119"/>
      <c r="SBJ24" s="119"/>
      <c r="SBK24" s="119"/>
      <c r="SBL24" s="119"/>
      <c r="SBM24" s="119"/>
      <c r="SBN24" s="119"/>
      <c r="SBO24" s="119"/>
      <c r="SBP24" s="119"/>
      <c r="SBQ24" s="119"/>
      <c r="SBR24" s="119"/>
      <c r="SBS24" s="119"/>
      <c r="SBT24" s="119"/>
      <c r="SBU24" s="119"/>
      <c r="SBV24" s="119"/>
      <c r="SBW24" s="119"/>
      <c r="SBX24" s="119"/>
      <c r="SBY24" s="119"/>
      <c r="SBZ24" s="119"/>
      <c r="SCA24" s="119"/>
      <c r="SCB24" s="119"/>
      <c r="SCC24" s="119"/>
      <c r="SCD24" s="119"/>
      <c r="SCE24" s="119"/>
      <c r="SCF24" s="119"/>
      <c r="SCG24" s="119"/>
      <c r="SCH24" s="119"/>
      <c r="SCI24" s="119"/>
      <c r="SCJ24" s="119"/>
      <c r="SCK24" s="119"/>
      <c r="SCL24" s="119"/>
      <c r="SCM24" s="119"/>
      <c r="SCN24" s="119"/>
      <c r="SCO24" s="119"/>
      <c r="SCP24" s="119"/>
      <c r="SCQ24" s="119"/>
      <c r="SCR24" s="119"/>
      <c r="SCS24" s="119"/>
      <c r="SCT24" s="119"/>
      <c r="SCU24" s="119"/>
      <c r="SCV24" s="119"/>
      <c r="SCW24" s="119"/>
      <c r="SCX24" s="119"/>
      <c r="SCY24" s="119"/>
      <c r="SCZ24" s="119"/>
      <c r="SDA24" s="119"/>
      <c r="SDB24" s="119"/>
      <c r="SDC24" s="119"/>
      <c r="SDD24" s="119"/>
      <c r="SDE24" s="119"/>
      <c r="SDF24" s="119"/>
      <c r="SDG24" s="119"/>
      <c r="SDH24" s="119"/>
      <c r="SDI24" s="119"/>
      <c r="SDJ24" s="119"/>
      <c r="SDK24" s="119"/>
      <c r="SDL24" s="119"/>
      <c r="SDM24" s="119"/>
      <c r="SDN24" s="119"/>
      <c r="SDO24" s="119"/>
      <c r="SDP24" s="119"/>
      <c r="SDQ24" s="119"/>
      <c r="SDR24" s="119"/>
      <c r="SDS24" s="119"/>
      <c r="SDT24" s="119"/>
      <c r="SDU24" s="119"/>
      <c r="SDV24" s="119"/>
      <c r="SDW24" s="119"/>
      <c r="SDX24" s="119"/>
      <c r="SDY24" s="119"/>
      <c r="SDZ24" s="119"/>
      <c r="SEA24" s="119"/>
      <c r="SEB24" s="119"/>
      <c r="SEC24" s="119"/>
      <c r="SED24" s="119"/>
      <c r="SEE24" s="119"/>
      <c r="SEF24" s="119"/>
      <c r="SEG24" s="119"/>
      <c r="SEH24" s="119"/>
      <c r="SEI24" s="119"/>
      <c r="SEJ24" s="119"/>
      <c r="SEK24" s="119"/>
      <c r="SEL24" s="119"/>
      <c r="SEM24" s="119"/>
      <c r="SEN24" s="119"/>
      <c r="SEO24" s="119"/>
      <c r="SEP24" s="119"/>
      <c r="SEQ24" s="119"/>
      <c r="SER24" s="119"/>
      <c r="SES24" s="119"/>
      <c r="SET24" s="119"/>
      <c r="SEU24" s="119"/>
      <c r="SEV24" s="119"/>
      <c r="SEW24" s="119"/>
      <c r="SEX24" s="119"/>
      <c r="SEY24" s="119"/>
      <c r="SEZ24" s="119"/>
      <c r="SFA24" s="119"/>
      <c r="SFB24" s="119"/>
      <c r="SFC24" s="119"/>
      <c r="SFD24" s="119"/>
      <c r="SFE24" s="119"/>
      <c r="SFF24" s="119"/>
      <c r="SFG24" s="119"/>
      <c r="SFH24" s="119"/>
      <c r="SFI24" s="119"/>
      <c r="SFJ24" s="119"/>
      <c r="SFK24" s="119"/>
      <c r="SFL24" s="119"/>
      <c r="SFM24" s="119"/>
      <c r="SFN24" s="119"/>
      <c r="SFO24" s="119"/>
      <c r="SFP24" s="119"/>
      <c r="SFQ24" s="119"/>
      <c r="SFR24" s="119"/>
      <c r="SFS24" s="119"/>
      <c r="SFT24" s="119"/>
      <c r="SFU24" s="119"/>
      <c r="SFV24" s="119"/>
      <c r="SFW24" s="119"/>
      <c r="SFX24" s="119"/>
      <c r="SFY24" s="119"/>
      <c r="SFZ24" s="119"/>
      <c r="SGA24" s="119"/>
      <c r="SGB24" s="119"/>
      <c r="SGC24" s="119"/>
      <c r="SGD24" s="119"/>
      <c r="SGE24" s="119"/>
      <c r="SGF24" s="119"/>
      <c r="SGG24" s="119"/>
      <c r="SGH24" s="119"/>
      <c r="SGI24" s="119"/>
      <c r="SGJ24" s="119"/>
      <c r="SGK24" s="119"/>
      <c r="SGL24" s="119"/>
      <c r="SGM24" s="119"/>
      <c r="SGN24" s="119"/>
      <c r="SGO24" s="119"/>
      <c r="SGP24" s="119"/>
      <c r="SGQ24" s="119"/>
      <c r="SGR24" s="119"/>
      <c r="SGS24" s="119"/>
      <c r="SGT24" s="119"/>
      <c r="SGU24" s="119"/>
      <c r="SGV24" s="119"/>
      <c r="SGW24" s="119"/>
      <c r="SGX24" s="119"/>
      <c r="SGY24" s="119"/>
      <c r="SGZ24" s="119"/>
      <c r="SHA24" s="119"/>
      <c r="SHB24" s="119"/>
      <c r="SHC24" s="119"/>
      <c r="SHD24" s="119"/>
      <c r="SHE24" s="119"/>
      <c r="SHF24" s="119"/>
      <c r="SHG24" s="119"/>
      <c r="SHH24" s="119"/>
      <c r="SHI24" s="119"/>
      <c r="SHJ24" s="119"/>
      <c r="SHK24" s="119"/>
      <c r="SHL24" s="119"/>
      <c r="SHM24" s="119"/>
      <c r="SHN24" s="119"/>
      <c r="SHO24" s="119"/>
      <c r="SHP24" s="119"/>
      <c r="SHQ24" s="119"/>
      <c r="SHR24" s="119"/>
      <c r="SHS24" s="119"/>
      <c r="SHT24" s="119"/>
      <c r="SHU24" s="119"/>
      <c r="SHV24" s="119"/>
      <c r="SHW24" s="119"/>
      <c r="SHX24" s="119"/>
      <c r="SHY24" s="119"/>
      <c r="SHZ24" s="119"/>
      <c r="SIA24" s="119"/>
      <c r="SIB24" s="119"/>
      <c r="SIC24" s="119"/>
      <c r="SID24" s="119"/>
      <c r="SIE24" s="119"/>
      <c r="SIF24" s="119"/>
      <c r="SIG24" s="119"/>
      <c r="SIH24" s="119"/>
      <c r="SII24" s="119"/>
      <c r="SIJ24" s="119"/>
      <c r="SIK24" s="119"/>
      <c r="SIL24" s="119"/>
      <c r="SIM24" s="119"/>
      <c r="SIN24" s="119"/>
      <c r="SIO24" s="119"/>
      <c r="SIP24" s="119"/>
      <c r="SIQ24" s="119"/>
      <c r="SIR24" s="119"/>
      <c r="SIS24" s="119"/>
      <c r="SIT24" s="119"/>
      <c r="SIU24" s="119"/>
      <c r="SIV24" s="119"/>
      <c r="SIW24" s="119"/>
      <c r="SIX24" s="119"/>
      <c r="SIY24" s="119"/>
      <c r="SIZ24" s="119"/>
      <c r="SJA24" s="119"/>
      <c r="SJB24" s="119"/>
      <c r="SJC24" s="119"/>
      <c r="SJD24" s="119"/>
      <c r="SJE24" s="119"/>
      <c r="SJF24" s="119"/>
      <c r="SJG24" s="119"/>
      <c r="SJH24" s="119"/>
      <c r="SJI24" s="119"/>
      <c r="SJJ24" s="119"/>
      <c r="SJK24" s="119"/>
      <c r="SJL24" s="119"/>
      <c r="SJM24" s="119"/>
      <c r="SJN24" s="119"/>
      <c r="SJO24" s="119"/>
      <c r="SJP24" s="119"/>
      <c r="SJQ24" s="119"/>
      <c r="SJR24" s="119"/>
      <c r="SJS24" s="119"/>
      <c r="SJT24" s="119"/>
      <c r="SJU24" s="119"/>
      <c r="SJV24" s="119"/>
      <c r="SJW24" s="119"/>
      <c r="SJX24" s="119"/>
      <c r="SJY24" s="119"/>
      <c r="SJZ24" s="119"/>
      <c r="SKA24" s="119"/>
      <c r="SKB24" s="119"/>
      <c r="SKC24" s="119"/>
      <c r="SKD24" s="119"/>
      <c r="SKE24" s="119"/>
      <c r="SKF24" s="119"/>
      <c r="SKG24" s="119"/>
      <c r="SKH24" s="119"/>
      <c r="SKI24" s="119"/>
      <c r="SKJ24" s="119"/>
      <c r="SKK24" s="119"/>
      <c r="SKL24" s="119"/>
      <c r="SKM24" s="119"/>
      <c r="SKN24" s="119"/>
      <c r="SKO24" s="119"/>
      <c r="SKP24" s="119"/>
      <c r="SKQ24" s="119"/>
      <c r="SKR24" s="119"/>
      <c r="SKS24" s="119"/>
      <c r="SKT24" s="119"/>
      <c r="SKU24" s="119"/>
      <c r="SKV24" s="119"/>
      <c r="SKW24" s="119"/>
      <c r="SKX24" s="119"/>
      <c r="SKY24" s="119"/>
      <c r="SKZ24" s="119"/>
      <c r="SLA24" s="119"/>
      <c r="SLB24" s="119"/>
      <c r="SLC24" s="119"/>
      <c r="SLD24" s="119"/>
      <c r="SLE24" s="119"/>
      <c r="SLF24" s="119"/>
      <c r="SLG24" s="119"/>
      <c r="SLH24" s="119"/>
      <c r="SLI24" s="119"/>
      <c r="SLJ24" s="119"/>
      <c r="SLK24" s="119"/>
      <c r="SLL24" s="119"/>
      <c r="SLM24" s="119"/>
      <c r="SLN24" s="119"/>
      <c r="SLO24" s="119"/>
      <c r="SLP24" s="119"/>
      <c r="SLQ24" s="119"/>
      <c r="SLR24" s="119"/>
      <c r="SLS24" s="119"/>
      <c r="SLT24" s="119"/>
      <c r="SLU24" s="119"/>
      <c r="SLV24" s="119"/>
      <c r="SLW24" s="119"/>
      <c r="SLX24" s="119"/>
      <c r="SLY24" s="119"/>
      <c r="SLZ24" s="119"/>
      <c r="SMA24" s="119"/>
      <c r="SMB24" s="119"/>
      <c r="SMC24" s="119"/>
      <c r="SMD24" s="119"/>
      <c r="SME24" s="119"/>
      <c r="SMF24" s="119"/>
      <c r="SMG24" s="119"/>
      <c r="SMH24" s="119"/>
      <c r="SMI24" s="119"/>
      <c r="SMJ24" s="119"/>
      <c r="SMK24" s="119"/>
      <c r="SML24" s="119"/>
      <c r="SMM24" s="119"/>
      <c r="SMN24" s="119"/>
      <c r="SMO24" s="119"/>
      <c r="SMP24" s="119"/>
      <c r="SMQ24" s="119"/>
      <c r="SMR24" s="119"/>
      <c r="SMS24" s="119"/>
      <c r="SMT24" s="119"/>
      <c r="SMU24" s="119"/>
      <c r="SMV24" s="119"/>
      <c r="SMW24" s="119"/>
      <c r="SMX24" s="119"/>
      <c r="SMY24" s="119"/>
      <c r="SMZ24" s="119"/>
      <c r="SNA24" s="119"/>
      <c r="SNB24" s="119"/>
      <c r="SNC24" s="119"/>
      <c r="SND24" s="119"/>
      <c r="SNE24" s="119"/>
      <c r="SNF24" s="119"/>
      <c r="SNG24" s="119"/>
      <c r="SNH24" s="119"/>
      <c r="SNI24" s="119"/>
      <c r="SNJ24" s="119"/>
      <c r="SNK24" s="119"/>
      <c r="SNL24" s="119"/>
      <c r="SNM24" s="119"/>
      <c r="SNN24" s="119"/>
      <c r="SNO24" s="119"/>
      <c r="SNP24" s="119"/>
      <c r="SNQ24" s="119"/>
      <c r="SNR24" s="119"/>
      <c r="SNS24" s="119"/>
      <c r="SNT24" s="119"/>
      <c r="SNU24" s="119"/>
      <c r="SNV24" s="119"/>
      <c r="SNW24" s="119"/>
      <c r="SNX24" s="119"/>
      <c r="SNY24" s="119"/>
      <c r="SNZ24" s="119"/>
      <c r="SOA24" s="119"/>
      <c r="SOB24" s="119"/>
      <c r="SOC24" s="119"/>
      <c r="SOD24" s="119"/>
      <c r="SOE24" s="119"/>
      <c r="SOF24" s="119"/>
      <c r="SOG24" s="119"/>
      <c r="SOH24" s="119"/>
      <c r="SOI24" s="119"/>
      <c r="SOJ24" s="119"/>
      <c r="SOK24" s="119"/>
      <c r="SOL24" s="119"/>
      <c r="SOM24" s="119"/>
      <c r="SON24" s="119"/>
      <c r="SOO24" s="119"/>
      <c r="SOP24" s="119"/>
      <c r="SOQ24" s="119"/>
      <c r="SOR24" s="119"/>
      <c r="SOS24" s="119"/>
      <c r="SOT24" s="119"/>
      <c r="SOU24" s="119"/>
      <c r="SOV24" s="119"/>
      <c r="SOW24" s="119"/>
      <c r="SOX24" s="119"/>
      <c r="SOY24" s="119"/>
      <c r="SOZ24" s="119"/>
      <c r="SPA24" s="119"/>
      <c r="SPB24" s="119"/>
      <c r="SPC24" s="119"/>
      <c r="SPD24" s="119"/>
      <c r="SPE24" s="119"/>
      <c r="SPF24" s="119"/>
      <c r="SPG24" s="119"/>
      <c r="SPH24" s="119"/>
      <c r="SPI24" s="119"/>
      <c r="SPJ24" s="119"/>
      <c r="SPK24" s="119"/>
      <c r="SPL24" s="119"/>
      <c r="SPM24" s="119"/>
      <c r="SPN24" s="119"/>
      <c r="SPO24" s="119"/>
      <c r="SPP24" s="119"/>
      <c r="SPQ24" s="119"/>
      <c r="SPR24" s="119"/>
      <c r="SPS24" s="119"/>
      <c r="SPT24" s="119"/>
      <c r="SPU24" s="119"/>
      <c r="SPV24" s="119"/>
      <c r="SPW24" s="119"/>
      <c r="SPX24" s="119"/>
      <c r="SPY24" s="119"/>
      <c r="SPZ24" s="119"/>
      <c r="SQA24" s="119"/>
      <c r="SQB24" s="119"/>
      <c r="SQC24" s="119"/>
      <c r="SQD24" s="119"/>
      <c r="SQE24" s="119"/>
      <c r="SQF24" s="119"/>
      <c r="SQG24" s="119"/>
      <c r="SQH24" s="119"/>
      <c r="SQI24" s="119"/>
      <c r="SQJ24" s="119"/>
      <c r="SQK24" s="119"/>
      <c r="SQL24" s="119"/>
      <c r="SQM24" s="119"/>
      <c r="SQN24" s="119"/>
      <c r="SQO24" s="119"/>
      <c r="SQP24" s="119"/>
      <c r="SQQ24" s="119"/>
      <c r="SQR24" s="119"/>
      <c r="SQS24" s="119"/>
      <c r="SQT24" s="119"/>
      <c r="SQU24" s="119"/>
      <c r="SQV24" s="119"/>
      <c r="SQW24" s="119"/>
      <c r="SQX24" s="119"/>
      <c r="SQY24" s="119"/>
      <c r="SQZ24" s="119"/>
      <c r="SRA24" s="119"/>
      <c r="SRB24" s="119"/>
      <c r="SRC24" s="119"/>
      <c r="SRD24" s="119"/>
      <c r="SRE24" s="119"/>
      <c r="SRF24" s="119"/>
      <c r="SRG24" s="119"/>
      <c r="SRH24" s="119"/>
      <c r="SRI24" s="119"/>
      <c r="SRJ24" s="119"/>
      <c r="SRK24" s="119"/>
      <c r="SRL24" s="119"/>
      <c r="SRM24" s="119"/>
      <c r="SRN24" s="119"/>
      <c r="SRO24" s="119"/>
      <c r="SRP24" s="119"/>
      <c r="SRQ24" s="119"/>
      <c r="SRR24" s="119"/>
      <c r="SRS24" s="119"/>
      <c r="SRT24" s="119"/>
      <c r="SRU24" s="119"/>
      <c r="SRV24" s="119"/>
      <c r="SRW24" s="119"/>
      <c r="SRX24" s="119"/>
      <c r="SRY24" s="119"/>
      <c r="SRZ24" s="119"/>
      <c r="SSA24" s="119"/>
      <c r="SSB24" s="119"/>
      <c r="SSC24" s="119"/>
      <c r="SSD24" s="119"/>
      <c r="SSE24" s="119"/>
      <c r="SSF24" s="119"/>
      <c r="SSG24" s="119"/>
      <c r="SSH24" s="119"/>
      <c r="SSI24" s="119"/>
      <c r="SSJ24" s="119"/>
      <c r="SSK24" s="119"/>
      <c r="SSL24" s="119"/>
      <c r="SSM24" s="119"/>
      <c r="SSN24" s="119"/>
      <c r="SSO24" s="119"/>
      <c r="SSP24" s="119"/>
      <c r="SSQ24" s="119"/>
      <c r="SSR24" s="119"/>
      <c r="SSS24" s="119"/>
      <c r="SST24" s="119"/>
      <c r="SSU24" s="119"/>
      <c r="SSV24" s="119"/>
      <c r="SSW24" s="119"/>
      <c r="SSX24" s="119"/>
      <c r="SSY24" s="119"/>
      <c r="SSZ24" s="119"/>
      <c r="STA24" s="119"/>
      <c r="STB24" s="119"/>
      <c r="STC24" s="119"/>
      <c r="STD24" s="119"/>
      <c r="STE24" s="119"/>
      <c r="STF24" s="119"/>
      <c r="STG24" s="119"/>
      <c r="STH24" s="119"/>
      <c r="STI24" s="119"/>
      <c r="STJ24" s="119"/>
      <c r="STK24" s="119"/>
      <c r="STL24" s="119"/>
      <c r="STM24" s="119"/>
      <c r="STN24" s="119"/>
      <c r="STO24" s="119"/>
      <c r="STP24" s="119"/>
      <c r="STQ24" s="119"/>
      <c r="STR24" s="119"/>
      <c r="STS24" s="119"/>
      <c r="STT24" s="119"/>
      <c r="STU24" s="119"/>
      <c r="STV24" s="119"/>
      <c r="STW24" s="119"/>
      <c r="STX24" s="119"/>
      <c r="STY24" s="119"/>
      <c r="STZ24" s="119"/>
      <c r="SUA24" s="119"/>
      <c r="SUB24" s="119"/>
      <c r="SUC24" s="119"/>
      <c r="SUD24" s="119"/>
      <c r="SUE24" s="119"/>
      <c r="SUF24" s="119"/>
      <c r="SUG24" s="119"/>
      <c r="SUH24" s="119"/>
      <c r="SUI24" s="119"/>
      <c r="SUJ24" s="119"/>
      <c r="SUK24" s="119"/>
      <c r="SUL24" s="119"/>
      <c r="SUM24" s="119"/>
      <c r="SUN24" s="119"/>
      <c r="SUO24" s="119"/>
      <c r="SUP24" s="119"/>
      <c r="SUQ24" s="119"/>
      <c r="SUR24" s="119"/>
      <c r="SUS24" s="119"/>
      <c r="SUT24" s="119"/>
      <c r="SUU24" s="119"/>
      <c r="SUV24" s="119"/>
      <c r="SUW24" s="119"/>
      <c r="SUX24" s="119"/>
      <c r="SUY24" s="119"/>
      <c r="SUZ24" s="119"/>
      <c r="SVA24" s="119"/>
      <c r="SVB24" s="119"/>
      <c r="SVC24" s="119"/>
      <c r="SVD24" s="119"/>
      <c r="SVE24" s="119"/>
      <c r="SVF24" s="119"/>
      <c r="SVG24" s="119"/>
      <c r="SVH24" s="119"/>
      <c r="SVI24" s="119"/>
      <c r="SVJ24" s="119"/>
      <c r="SVK24" s="119"/>
      <c r="SVL24" s="119"/>
      <c r="SVM24" s="119"/>
      <c r="SVN24" s="119"/>
      <c r="SVO24" s="119"/>
      <c r="SVP24" s="119"/>
      <c r="SVQ24" s="119"/>
      <c r="SVR24" s="119"/>
      <c r="SVS24" s="119"/>
      <c r="SVT24" s="119"/>
      <c r="SVU24" s="119"/>
      <c r="SVV24" s="119"/>
      <c r="SVW24" s="119"/>
      <c r="SVX24" s="119"/>
      <c r="SVY24" s="119"/>
      <c r="SVZ24" s="119"/>
      <c r="SWA24" s="119"/>
      <c r="SWB24" s="119"/>
      <c r="SWC24" s="119"/>
      <c r="SWD24" s="119"/>
      <c r="SWE24" s="119"/>
      <c r="SWF24" s="119"/>
      <c r="SWG24" s="119"/>
      <c r="SWH24" s="119"/>
      <c r="SWI24" s="119"/>
      <c r="SWJ24" s="119"/>
      <c r="SWK24" s="119"/>
      <c r="SWL24" s="119"/>
      <c r="SWM24" s="119"/>
      <c r="SWN24" s="119"/>
      <c r="SWO24" s="119"/>
      <c r="SWP24" s="119"/>
      <c r="SWQ24" s="119"/>
      <c r="SWR24" s="119"/>
      <c r="SWS24" s="119"/>
      <c r="SWT24" s="119"/>
      <c r="SWU24" s="119"/>
      <c r="SWV24" s="119"/>
      <c r="SWW24" s="119"/>
      <c r="SWX24" s="119"/>
      <c r="SWY24" s="119"/>
      <c r="SWZ24" s="119"/>
      <c r="SXA24" s="119"/>
      <c r="SXB24" s="119"/>
      <c r="SXC24" s="119"/>
      <c r="SXD24" s="119"/>
      <c r="SXE24" s="119"/>
      <c r="SXF24" s="119"/>
      <c r="SXG24" s="119"/>
      <c r="SXH24" s="119"/>
      <c r="SXI24" s="119"/>
      <c r="SXJ24" s="119"/>
      <c r="SXK24" s="119"/>
      <c r="SXL24" s="119"/>
      <c r="SXM24" s="119"/>
      <c r="SXN24" s="119"/>
      <c r="SXO24" s="119"/>
      <c r="SXP24" s="119"/>
      <c r="SXQ24" s="119"/>
      <c r="SXR24" s="119"/>
      <c r="SXS24" s="119"/>
      <c r="SXT24" s="119"/>
      <c r="SXU24" s="119"/>
      <c r="SXV24" s="119"/>
      <c r="SXW24" s="119"/>
      <c r="SXX24" s="119"/>
      <c r="SXY24" s="119"/>
      <c r="SXZ24" s="119"/>
      <c r="SYA24" s="119"/>
      <c r="SYB24" s="119"/>
      <c r="SYC24" s="119"/>
      <c r="SYD24" s="119"/>
      <c r="SYE24" s="119"/>
      <c r="SYF24" s="119"/>
      <c r="SYG24" s="119"/>
      <c r="SYH24" s="119"/>
      <c r="SYI24" s="119"/>
      <c r="SYJ24" s="119"/>
      <c r="SYK24" s="119"/>
      <c r="SYL24" s="119"/>
      <c r="SYM24" s="119"/>
      <c r="SYN24" s="119"/>
      <c r="SYO24" s="119"/>
      <c r="SYP24" s="119"/>
      <c r="SYQ24" s="119"/>
      <c r="SYR24" s="119"/>
      <c r="SYS24" s="119"/>
      <c r="SYT24" s="119"/>
      <c r="SYU24" s="119"/>
      <c r="SYV24" s="119"/>
      <c r="SYW24" s="119"/>
      <c r="SYX24" s="119"/>
      <c r="SYY24" s="119"/>
      <c r="SYZ24" s="119"/>
      <c r="SZA24" s="119"/>
      <c r="SZB24" s="119"/>
      <c r="SZC24" s="119"/>
      <c r="SZD24" s="119"/>
      <c r="SZE24" s="119"/>
      <c r="SZF24" s="119"/>
      <c r="SZG24" s="119"/>
      <c r="SZH24" s="119"/>
      <c r="SZI24" s="119"/>
      <c r="SZJ24" s="119"/>
      <c r="SZK24" s="119"/>
      <c r="SZL24" s="119"/>
      <c r="SZM24" s="119"/>
      <c r="SZN24" s="119"/>
      <c r="SZO24" s="119"/>
      <c r="SZP24" s="119"/>
      <c r="SZQ24" s="119"/>
      <c r="SZR24" s="119"/>
      <c r="SZS24" s="119"/>
      <c r="SZT24" s="119"/>
      <c r="SZU24" s="119"/>
      <c r="SZV24" s="119"/>
      <c r="SZW24" s="119"/>
      <c r="SZX24" s="119"/>
      <c r="SZY24" s="119"/>
      <c r="SZZ24" s="119"/>
      <c r="TAA24" s="119"/>
      <c r="TAB24" s="119"/>
      <c r="TAC24" s="119"/>
      <c r="TAD24" s="119"/>
      <c r="TAE24" s="119"/>
      <c r="TAF24" s="119"/>
      <c r="TAG24" s="119"/>
      <c r="TAH24" s="119"/>
      <c r="TAI24" s="119"/>
      <c r="TAJ24" s="119"/>
      <c r="TAK24" s="119"/>
      <c r="TAL24" s="119"/>
      <c r="TAM24" s="119"/>
      <c r="TAN24" s="119"/>
      <c r="TAO24" s="119"/>
      <c r="TAP24" s="119"/>
      <c r="TAQ24" s="119"/>
      <c r="TAR24" s="119"/>
      <c r="TAS24" s="119"/>
      <c r="TAT24" s="119"/>
      <c r="TAU24" s="119"/>
      <c r="TAV24" s="119"/>
      <c r="TAW24" s="119"/>
      <c r="TAX24" s="119"/>
      <c r="TAY24" s="119"/>
      <c r="TAZ24" s="119"/>
      <c r="TBA24" s="119"/>
      <c r="TBB24" s="119"/>
      <c r="TBC24" s="119"/>
      <c r="TBD24" s="119"/>
      <c r="TBE24" s="119"/>
      <c r="TBF24" s="119"/>
      <c r="TBG24" s="119"/>
      <c r="TBH24" s="119"/>
      <c r="TBI24" s="119"/>
      <c r="TBJ24" s="119"/>
      <c r="TBK24" s="119"/>
      <c r="TBL24" s="119"/>
      <c r="TBM24" s="119"/>
      <c r="TBN24" s="119"/>
      <c r="TBO24" s="119"/>
      <c r="TBP24" s="119"/>
      <c r="TBQ24" s="119"/>
      <c r="TBR24" s="119"/>
      <c r="TBS24" s="119"/>
      <c r="TBT24" s="119"/>
      <c r="TBU24" s="119"/>
      <c r="TBV24" s="119"/>
      <c r="TBW24" s="119"/>
      <c r="TBX24" s="119"/>
      <c r="TBY24" s="119"/>
      <c r="TBZ24" s="119"/>
      <c r="TCA24" s="119"/>
      <c r="TCB24" s="119"/>
      <c r="TCC24" s="119"/>
      <c r="TCD24" s="119"/>
      <c r="TCE24" s="119"/>
      <c r="TCF24" s="119"/>
      <c r="TCG24" s="119"/>
      <c r="TCH24" s="119"/>
      <c r="TCI24" s="119"/>
      <c r="TCJ24" s="119"/>
      <c r="TCK24" s="119"/>
      <c r="TCL24" s="119"/>
      <c r="TCM24" s="119"/>
      <c r="TCN24" s="119"/>
      <c r="TCO24" s="119"/>
      <c r="TCP24" s="119"/>
      <c r="TCQ24" s="119"/>
      <c r="TCR24" s="119"/>
      <c r="TCS24" s="119"/>
      <c r="TCT24" s="119"/>
      <c r="TCU24" s="119"/>
      <c r="TCV24" s="119"/>
      <c r="TCW24" s="119"/>
      <c r="TCX24" s="119"/>
      <c r="TCY24" s="119"/>
      <c r="TCZ24" s="119"/>
      <c r="TDA24" s="119"/>
      <c r="TDB24" s="119"/>
      <c r="TDC24" s="119"/>
      <c r="TDD24" s="119"/>
      <c r="TDE24" s="119"/>
      <c r="TDF24" s="119"/>
      <c r="TDG24" s="119"/>
      <c r="TDH24" s="119"/>
      <c r="TDI24" s="119"/>
      <c r="TDJ24" s="119"/>
      <c r="TDK24" s="119"/>
      <c r="TDL24" s="119"/>
      <c r="TDM24" s="119"/>
      <c r="TDN24" s="119"/>
      <c r="TDO24" s="119"/>
      <c r="TDP24" s="119"/>
      <c r="TDQ24" s="119"/>
      <c r="TDR24" s="119"/>
      <c r="TDS24" s="119"/>
      <c r="TDT24" s="119"/>
      <c r="TDU24" s="119"/>
      <c r="TDV24" s="119"/>
      <c r="TDW24" s="119"/>
      <c r="TDX24" s="119"/>
      <c r="TDY24" s="119"/>
      <c r="TDZ24" s="119"/>
      <c r="TEA24" s="119"/>
      <c r="TEB24" s="119"/>
      <c r="TEC24" s="119"/>
      <c r="TED24" s="119"/>
      <c r="TEE24" s="119"/>
      <c r="TEF24" s="119"/>
      <c r="TEG24" s="119"/>
      <c r="TEH24" s="119"/>
      <c r="TEI24" s="119"/>
      <c r="TEJ24" s="119"/>
      <c r="TEK24" s="119"/>
      <c r="TEL24" s="119"/>
      <c r="TEM24" s="119"/>
      <c r="TEN24" s="119"/>
      <c r="TEO24" s="119"/>
      <c r="TEP24" s="119"/>
      <c r="TEQ24" s="119"/>
      <c r="TER24" s="119"/>
      <c r="TES24" s="119"/>
      <c r="TET24" s="119"/>
      <c r="TEU24" s="119"/>
      <c r="TEV24" s="119"/>
      <c r="TEW24" s="119"/>
      <c r="TEX24" s="119"/>
      <c r="TEY24" s="119"/>
      <c r="TEZ24" s="119"/>
      <c r="TFA24" s="119"/>
      <c r="TFB24" s="119"/>
      <c r="TFC24" s="119"/>
      <c r="TFD24" s="119"/>
      <c r="TFE24" s="119"/>
      <c r="TFF24" s="119"/>
      <c r="TFG24" s="119"/>
      <c r="TFH24" s="119"/>
      <c r="TFI24" s="119"/>
      <c r="TFJ24" s="119"/>
      <c r="TFK24" s="119"/>
      <c r="TFL24" s="119"/>
      <c r="TFM24" s="119"/>
      <c r="TFN24" s="119"/>
      <c r="TFO24" s="119"/>
      <c r="TFP24" s="119"/>
      <c r="TFQ24" s="119"/>
      <c r="TFR24" s="119"/>
      <c r="TFS24" s="119"/>
      <c r="TFT24" s="119"/>
      <c r="TFU24" s="119"/>
      <c r="TFV24" s="119"/>
      <c r="TFW24" s="119"/>
      <c r="TFX24" s="119"/>
      <c r="TFY24" s="119"/>
      <c r="TFZ24" s="119"/>
      <c r="TGA24" s="119"/>
      <c r="TGB24" s="119"/>
      <c r="TGC24" s="119"/>
      <c r="TGD24" s="119"/>
      <c r="TGE24" s="119"/>
      <c r="TGF24" s="119"/>
      <c r="TGG24" s="119"/>
      <c r="TGH24" s="119"/>
      <c r="TGI24" s="119"/>
      <c r="TGJ24" s="119"/>
      <c r="TGK24" s="119"/>
      <c r="TGL24" s="119"/>
      <c r="TGM24" s="119"/>
      <c r="TGN24" s="119"/>
      <c r="TGO24" s="119"/>
      <c r="TGP24" s="119"/>
      <c r="TGQ24" s="119"/>
      <c r="TGR24" s="119"/>
      <c r="TGS24" s="119"/>
      <c r="TGT24" s="119"/>
      <c r="TGU24" s="119"/>
      <c r="TGV24" s="119"/>
      <c r="TGW24" s="119"/>
      <c r="TGX24" s="119"/>
      <c r="TGY24" s="119"/>
      <c r="TGZ24" s="119"/>
      <c r="THA24" s="119"/>
      <c r="THB24" s="119"/>
      <c r="THC24" s="119"/>
      <c r="THD24" s="119"/>
      <c r="THE24" s="119"/>
      <c r="THF24" s="119"/>
      <c r="THG24" s="119"/>
      <c r="THH24" s="119"/>
      <c r="THI24" s="119"/>
      <c r="THJ24" s="119"/>
      <c r="THK24" s="119"/>
      <c r="THL24" s="119"/>
      <c r="THM24" s="119"/>
      <c r="THN24" s="119"/>
      <c r="THO24" s="119"/>
      <c r="THP24" s="119"/>
      <c r="THQ24" s="119"/>
      <c r="THR24" s="119"/>
      <c r="THS24" s="119"/>
      <c r="THT24" s="119"/>
      <c r="THU24" s="119"/>
      <c r="THV24" s="119"/>
      <c r="THW24" s="119"/>
      <c r="THX24" s="119"/>
      <c r="THY24" s="119"/>
      <c r="THZ24" s="119"/>
      <c r="TIA24" s="119"/>
      <c r="TIB24" s="119"/>
      <c r="TIC24" s="119"/>
      <c r="TID24" s="119"/>
      <c r="TIE24" s="119"/>
      <c r="TIF24" s="119"/>
      <c r="TIG24" s="119"/>
      <c r="TIH24" s="119"/>
      <c r="TII24" s="119"/>
      <c r="TIJ24" s="119"/>
      <c r="TIK24" s="119"/>
      <c r="TIL24" s="119"/>
      <c r="TIM24" s="119"/>
      <c r="TIN24" s="119"/>
      <c r="TIO24" s="119"/>
      <c r="TIP24" s="119"/>
      <c r="TIQ24" s="119"/>
      <c r="TIR24" s="119"/>
      <c r="TIS24" s="119"/>
      <c r="TIT24" s="119"/>
      <c r="TIU24" s="119"/>
      <c r="TIV24" s="119"/>
      <c r="TIW24" s="119"/>
      <c r="TIX24" s="119"/>
      <c r="TIY24" s="119"/>
      <c r="TIZ24" s="119"/>
      <c r="TJA24" s="119"/>
      <c r="TJB24" s="119"/>
      <c r="TJC24" s="119"/>
      <c r="TJD24" s="119"/>
      <c r="TJE24" s="119"/>
      <c r="TJF24" s="119"/>
      <c r="TJG24" s="119"/>
      <c r="TJH24" s="119"/>
      <c r="TJI24" s="119"/>
      <c r="TJJ24" s="119"/>
      <c r="TJK24" s="119"/>
      <c r="TJL24" s="119"/>
      <c r="TJM24" s="119"/>
      <c r="TJN24" s="119"/>
      <c r="TJO24" s="119"/>
      <c r="TJP24" s="119"/>
      <c r="TJQ24" s="119"/>
      <c r="TJR24" s="119"/>
      <c r="TJS24" s="119"/>
      <c r="TJT24" s="119"/>
      <c r="TJU24" s="119"/>
      <c r="TJV24" s="119"/>
      <c r="TJW24" s="119"/>
      <c r="TJX24" s="119"/>
      <c r="TJY24" s="119"/>
      <c r="TJZ24" s="119"/>
      <c r="TKA24" s="119"/>
      <c r="TKB24" s="119"/>
      <c r="TKC24" s="119"/>
      <c r="TKD24" s="119"/>
      <c r="TKE24" s="119"/>
      <c r="TKF24" s="119"/>
      <c r="TKG24" s="119"/>
      <c r="TKH24" s="119"/>
      <c r="TKI24" s="119"/>
      <c r="TKJ24" s="119"/>
      <c r="TKK24" s="119"/>
      <c r="TKL24" s="119"/>
      <c r="TKM24" s="119"/>
      <c r="TKN24" s="119"/>
      <c r="TKO24" s="119"/>
      <c r="TKP24" s="119"/>
      <c r="TKQ24" s="119"/>
      <c r="TKR24" s="119"/>
      <c r="TKS24" s="119"/>
      <c r="TKT24" s="119"/>
      <c r="TKU24" s="119"/>
      <c r="TKV24" s="119"/>
      <c r="TKW24" s="119"/>
      <c r="TKX24" s="119"/>
      <c r="TKY24" s="119"/>
      <c r="TKZ24" s="119"/>
      <c r="TLA24" s="119"/>
      <c r="TLB24" s="119"/>
      <c r="TLC24" s="119"/>
      <c r="TLD24" s="119"/>
      <c r="TLE24" s="119"/>
      <c r="TLF24" s="119"/>
      <c r="TLG24" s="119"/>
      <c r="TLH24" s="119"/>
      <c r="TLI24" s="119"/>
      <c r="TLJ24" s="119"/>
      <c r="TLK24" s="119"/>
      <c r="TLL24" s="119"/>
      <c r="TLM24" s="119"/>
      <c r="TLN24" s="119"/>
      <c r="TLO24" s="119"/>
      <c r="TLP24" s="119"/>
      <c r="TLQ24" s="119"/>
      <c r="TLR24" s="119"/>
      <c r="TLS24" s="119"/>
      <c r="TLT24" s="119"/>
      <c r="TLU24" s="119"/>
      <c r="TLV24" s="119"/>
      <c r="TLW24" s="119"/>
      <c r="TLX24" s="119"/>
      <c r="TLY24" s="119"/>
      <c r="TLZ24" s="119"/>
      <c r="TMA24" s="119"/>
      <c r="TMB24" s="119"/>
      <c r="TMC24" s="119"/>
      <c r="TMD24" s="119"/>
      <c r="TME24" s="119"/>
      <c r="TMF24" s="119"/>
      <c r="TMG24" s="119"/>
      <c r="TMH24" s="119"/>
      <c r="TMI24" s="119"/>
      <c r="TMJ24" s="119"/>
      <c r="TMK24" s="119"/>
      <c r="TML24" s="119"/>
      <c r="TMM24" s="119"/>
      <c r="TMN24" s="119"/>
      <c r="TMO24" s="119"/>
      <c r="TMP24" s="119"/>
      <c r="TMQ24" s="119"/>
      <c r="TMR24" s="119"/>
      <c r="TMS24" s="119"/>
      <c r="TMT24" s="119"/>
      <c r="TMU24" s="119"/>
      <c r="TMV24" s="119"/>
      <c r="TMW24" s="119"/>
      <c r="TMX24" s="119"/>
      <c r="TMY24" s="119"/>
      <c r="TMZ24" s="119"/>
      <c r="TNA24" s="119"/>
      <c r="TNB24" s="119"/>
      <c r="TNC24" s="119"/>
      <c r="TND24" s="119"/>
      <c r="TNE24" s="119"/>
      <c r="TNF24" s="119"/>
      <c r="TNG24" s="119"/>
      <c r="TNH24" s="119"/>
      <c r="TNI24" s="119"/>
      <c r="TNJ24" s="119"/>
      <c r="TNK24" s="119"/>
      <c r="TNL24" s="119"/>
      <c r="TNM24" s="119"/>
      <c r="TNN24" s="119"/>
      <c r="TNO24" s="119"/>
      <c r="TNP24" s="119"/>
      <c r="TNQ24" s="119"/>
      <c r="TNR24" s="119"/>
      <c r="TNS24" s="119"/>
      <c r="TNT24" s="119"/>
      <c r="TNU24" s="119"/>
      <c r="TNV24" s="119"/>
      <c r="TNW24" s="119"/>
      <c r="TNX24" s="119"/>
      <c r="TNY24" s="119"/>
      <c r="TNZ24" s="119"/>
      <c r="TOA24" s="119"/>
      <c r="TOB24" s="119"/>
      <c r="TOC24" s="119"/>
      <c r="TOD24" s="119"/>
      <c r="TOE24" s="119"/>
      <c r="TOF24" s="119"/>
      <c r="TOG24" s="119"/>
      <c r="TOH24" s="119"/>
      <c r="TOI24" s="119"/>
      <c r="TOJ24" s="119"/>
      <c r="TOK24" s="119"/>
      <c r="TOL24" s="119"/>
      <c r="TOM24" s="119"/>
      <c r="TON24" s="119"/>
      <c r="TOO24" s="119"/>
      <c r="TOP24" s="119"/>
      <c r="TOQ24" s="119"/>
      <c r="TOR24" s="119"/>
      <c r="TOS24" s="119"/>
      <c r="TOT24" s="119"/>
      <c r="TOU24" s="119"/>
      <c r="TOV24" s="119"/>
      <c r="TOW24" s="119"/>
      <c r="TOX24" s="119"/>
      <c r="TOY24" s="119"/>
      <c r="TOZ24" s="119"/>
      <c r="TPA24" s="119"/>
      <c r="TPB24" s="119"/>
      <c r="TPC24" s="119"/>
      <c r="TPD24" s="119"/>
      <c r="TPE24" s="119"/>
      <c r="TPF24" s="119"/>
      <c r="TPG24" s="119"/>
      <c r="TPH24" s="119"/>
      <c r="TPI24" s="119"/>
      <c r="TPJ24" s="119"/>
      <c r="TPK24" s="119"/>
      <c r="TPL24" s="119"/>
      <c r="TPM24" s="119"/>
      <c r="TPN24" s="119"/>
      <c r="TPO24" s="119"/>
      <c r="TPP24" s="119"/>
      <c r="TPQ24" s="119"/>
      <c r="TPR24" s="119"/>
      <c r="TPS24" s="119"/>
      <c r="TPT24" s="119"/>
      <c r="TPU24" s="119"/>
      <c r="TPV24" s="119"/>
      <c r="TPW24" s="119"/>
      <c r="TPX24" s="119"/>
      <c r="TPY24" s="119"/>
      <c r="TPZ24" s="119"/>
      <c r="TQA24" s="119"/>
      <c r="TQB24" s="119"/>
      <c r="TQC24" s="119"/>
      <c r="TQD24" s="119"/>
      <c r="TQE24" s="119"/>
      <c r="TQF24" s="119"/>
      <c r="TQG24" s="119"/>
      <c r="TQH24" s="119"/>
      <c r="TQI24" s="119"/>
      <c r="TQJ24" s="119"/>
      <c r="TQK24" s="119"/>
      <c r="TQL24" s="119"/>
      <c r="TQM24" s="119"/>
      <c r="TQN24" s="119"/>
      <c r="TQO24" s="119"/>
      <c r="TQP24" s="119"/>
      <c r="TQQ24" s="119"/>
      <c r="TQR24" s="119"/>
      <c r="TQS24" s="119"/>
      <c r="TQT24" s="119"/>
      <c r="TQU24" s="119"/>
      <c r="TQV24" s="119"/>
      <c r="TQW24" s="119"/>
      <c r="TQX24" s="119"/>
      <c r="TQY24" s="119"/>
      <c r="TQZ24" s="119"/>
      <c r="TRA24" s="119"/>
      <c r="TRB24" s="119"/>
      <c r="TRC24" s="119"/>
      <c r="TRD24" s="119"/>
      <c r="TRE24" s="119"/>
      <c r="TRF24" s="119"/>
      <c r="TRG24" s="119"/>
      <c r="TRH24" s="119"/>
      <c r="TRI24" s="119"/>
      <c r="TRJ24" s="119"/>
      <c r="TRK24" s="119"/>
      <c r="TRL24" s="119"/>
      <c r="TRM24" s="119"/>
      <c r="TRN24" s="119"/>
      <c r="TRO24" s="119"/>
      <c r="TRP24" s="119"/>
      <c r="TRQ24" s="119"/>
      <c r="TRR24" s="119"/>
      <c r="TRS24" s="119"/>
      <c r="TRT24" s="119"/>
      <c r="TRU24" s="119"/>
      <c r="TRV24" s="119"/>
      <c r="TRW24" s="119"/>
      <c r="TRX24" s="119"/>
      <c r="TRY24" s="119"/>
      <c r="TRZ24" s="119"/>
      <c r="TSA24" s="119"/>
      <c r="TSB24" s="119"/>
      <c r="TSC24" s="119"/>
      <c r="TSD24" s="119"/>
      <c r="TSE24" s="119"/>
      <c r="TSF24" s="119"/>
      <c r="TSG24" s="119"/>
      <c r="TSH24" s="119"/>
      <c r="TSI24" s="119"/>
      <c r="TSJ24" s="119"/>
      <c r="TSK24" s="119"/>
      <c r="TSL24" s="119"/>
      <c r="TSM24" s="119"/>
      <c r="TSN24" s="119"/>
      <c r="TSO24" s="119"/>
      <c r="TSP24" s="119"/>
      <c r="TSQ24" s="119"/>
      <c r="TSR24" s="119"/>
      <c r="TSS24" s="119"/>
      <c r="TST24" s="119"/>
      <c r="TSU24" s="119"/>
      <c r="TSV24" s="119"/>
      <c r="TSW24" s="119"/>
      <c r="TSX24" s="119"/>
      <c r="TSY24" s="119"/>
      <c r="TSZ24" s="119"/>
      <c r="TTA24" s="119"/>
      <c r="TTB24" s="119"/>
      <c r="TTC24" s="119"/>
      <c r="TTD24" s="119"/>
      <c r="TTE24" s="119"/>
      <c r="TTF24" s="119"/>
      <c r="TTG24" s="119"/>
      <c r="TTH24" s="119"/>
      <c r="TTI24" s="119"/>
      <c r="TTJ24" s="119"/>
      <c r="TTK24" s="119"/>
      <c r="TTL24" s="119"/>
      <c r="TTM24" s="119"/>
      <c r="TTN24" s="119"/>
      <c r="TTO24" s="119"/>
      <c r="TTP24" s="119"/>
      <c r="TTQ24" s="119"/>
      <c r="TTR24" s="119"/>
      <c r="TTS24" s="119"/>
      <c r="TTT24" s="119"/>
      <c r="TTU24" s="119"/>
      <c r="TTV24" s="119"/>
      <c r="TTW24" s="119"/>
      <c r="TTX24" s="119"/>
      <c r="TTY24" s="119"/>
      <c r="TTZ24" s="119"/>
      <c r="TUA24" s="119"/>
      <c r="TUB24" s="119"/>
      <c r="TUC24" s="119"/>
      <c r="TUD24" s="119"/>
      <c r="TUE24" s="119"/>
      <c r="TUF24" s="119"/>
      <c r="TUG24" s="119"/>
      <c r="TUH24" s="119"/>
      <c r="TUI24" s="119"/>
      <c r="TUJ24" s="119"/>
      <c r="TUK24" s="119"/>
      <c r="TUL24" s="119"/>
      <c r="TUM24" s="119"/>
      <c r="TUN24" s="119"/>
      <c r="TUO24" s="119"/>
      <c r="TUP24" s="119"/>
      <c r="TUQ24" s="119"/>
      <c r="TUR24" s="119"/>
      <c r="TUS24" s="119"/>
      <c r="TUT24" s="119"/>
      <c r="TUU24" s="119"/>
      <c r="TUV24" s="119"/>
      <c r="TUW24" s="119"/>
      <c r="TUX24" s="119"/>
      <c r="TUY24" s="119"/>
      <c r="TUZ24" s="119"/>
      <c r="TVA24" s="119"/>
      <c r="TVB24" s="119"/>
      <c r="TVC24" s="119"/>
      <c r="TVD24" s="119"/>
      <c r="TVE24" s="119"/>
      <c r="TVF24" s="119"/>
      <c r="TVG24" s="119"/>
      <c r="TVH24" s="119"/>
      <c r="TVI24" s="119"/>
      <c r="TVJ24" s="119"/>
      <c r="TVK24" s="119"/>
      <c r="TVL24" s="119"/>
      <c r="TVM24" s="119"/>
      <c r="TVN24" s="119"/>
      <c r="TVO24" s="119"/>
      <c r="TVP24" s="119"/>
      <c r="TVQ24" s="119"/>
      <c r="TVR24" s="119"/>
      <c r="TVS24" s="119"/>
      <c r="TVT24" s="119"/>
      <c r="TVU24" s="119"/>
      <c r="TVV24" s="119"/>
      <c r="TVW24" s="119"/>
      <c r="TVX24" s="119"/>
      <c r="TVY24" s="119"/>
      <c r="TVZ24" s="119"/>
      <c r="TWA24" s="119"/>
      <c r="TWB24" s="119"/>
      <c r="TWC24" s="119"/>
      <c r="TWD24" s="119"/>
      <c r="TWE24" s="119"/>
      <c r="TWF24" s="119"/>
      <c r="TWG24" s="119"/>
      <c r="TWH24" s="119"/>
      <c r="TWI24" s="119"/>
      <c r="TWJ24" s="119"/>
      <c r="TWK24" s="119"/>
      <c r="TWL24" s="119"/>
      <c r="TWM24" s="119"/>
      <c r="TWN24" s="119"/>
      <c r="TWO24" s="119"/>
      <c r="TWP24" s="119"/>
      <c r="TWQ24" s="119"/>
      <c r="TWR24" s="119"/>
      <c r="TWS24" s="119"/>
      <c r="TWT24" s="119"/>
      <c r="TWU24" s="119"/>
      <c r="TWV24" s="119"/>
      <c r="TWW24" s="119"/>
      <c r="TWX24" s="119"/>
      <c r="TWY24" s="119"/>
      <c r="TWZ24" s="119"/>
      <c r="TXA24" s="119"/>
      <c r="TXB24" s="119"/>
      <c r="TXC24" s="119"/>
      <c r="TXD24" s="119"/>
      <c r="TXE24" s="119"/>
      <c r="TXF24" s="119"/>
      <c r="TXG24" s="119"/>
      <c r="TXH24" s="119"/>
      <c r="TXI24" s="119"/>
      <c r="TXJ24" s="119"/>
      <c r="TXK24" s="119"/>
      <c r="TXL24" s="119"/>
      <c r="TXM24" s="119"/>
      <c r="TXN24" s="119"/>
      <c r="TXO24" s="119"/>
      <c r="TXP24" s="119"/>
      <c r="TXQ24" s="119"/>
      <c r="TXR24" s="119"/>
      <c r="TXS24" s="119"/>
      <c r="TXT24" s="119"/>
      <c r="TXU24" s="119"/>
      <c r="TXV24" s="119"/>
      <c r="TXW24" s="119"/>
      <c r="TXX24" s="119"/>
      <c r="TXY24" s="119"/>
      <c r="TXZ24" s="119"/>
      <c r="TYA24" s="119"/>
      <c r="TYB24" s="119"/>
      <c r="TYC24" s="119"/>
      <c r="TYD24" s="119"/>
      <c r="TYE24" s="119"/>
      <c r="TYF24" s="119"/>
      <c r="TYG24" s="119"/>
      <c r="TYH24" s="119"/>
      <c r="TYI24" s="119"/>
      <c r="TYJ24" s="119"/>
      <c r="TYK24" s="119"/>
      <c r="TYL24" s="119"/>
      <c r="TYM24" s="119"/>
      <c r="TYN24" s="119"/>
      <c r="TYO24" s="119"/>
      <c r="TYP24" s="119"/>
      <c r="TYQ24" s="119"/>
      <c r="TYR24" s="119"/>
      <c r="TYS24" s="119"/>
      <c r="TYT24" s="119"/>
      <c r="TYU24" s="119"/>
      <c r="TYV24" s="119"/>
      <c r="TYW24" s="119"/>
      <c r="TYX24" s="119"/>
      <c r="TYY24" s="119"/>
      <c r="TYZ24" s="119"/>
      <c r="TZA24" s="119"/>
      <c r="TZB24" s="119"/>
      <c r="TZC24" s="119"/>
      <c r="TZD24" s="119"/>
      <c r="TZE24" s="119"/>
      <c r="TZF24" s="119"/>
      <c r="TZG24" s="119"/>
      <c r="TZH24" s="119"/>
      <c r="TZI24" s="119"/>
      <c r="TZJ24" s="119"/>
      <c r="TZK24" s="119"/>
      <c r="TZL24" s="119"/>
      <c r="TZM24" s="119"/>
      <c r="TZN24" s="119"/>
      <c r="TZO24" s="119"/>
      <c r="TZP24" s="119"/>
      <c r="TZQ24" s="119"/>
      <c r="TZR24" s="119"/>
      <c r="TZS24" s="119"/>
      <c r="TZT24" s="119"/>
      <c r="TZU24" s="119"/>
      <c r="TZV24" s="119"/>
      <c r="TZW24" s="119"/>
      <c r="TZX24" s="119"/>
      <c r="TZY24" s="119"/>
      <c r="TZZ24" s="119"/>
      <c r="UAA24" s="119"/>
      <c r="UAB24" s="119"/>
      <c r="UAC24" s="119"/>
      <c r="UAD24" s="119"/>
      <c r="UAE24" s="119"/>
      <c r="UAF24" s="119"/>
      <c r="UAG24" s="119"/>
      <c r="UAH24" s="119"/>
      <c r="UAI24" s="119"/>
      <c r="UAJ24" s="119"/>
      <c r="UAK24" s="119"/>
      <c r="UAL24" s="119"/>
      <c r="UAM24" s="119"/>
      <c r="UAN24" s="119"/>
      <c r="UAO24" s="119"/>
      <c r="UAP24" s="119"/>
      <c r="UAQ24" s="119"/>
      <c r="UAR24" s="119"/>
      <c r="UAS24" s="119"/>
      <c r="UAT24" s="119"/>
      <c r="UAU24" s="119"/>
      <c r="UAV24" s="119"/>
      <c r="UAW24" s="119"/>
      <c r="UAX24" s="119"/>
      <c r="UAY24" s="119"/>
      <c r="UAZ24" s="119"/>
      <c r="UBA24" s="119"/>
      <c r="UBB24" s="119"/>
      <c r="UBC24" s="119"/>
      <c r="UBD24" s="119"/>
      <c r="UBE24" s="119"/>
      <c r="UBF24" s="119"/>
      <c r="UBG24" s="119"/>
      <c r="UBH24" s="119"/>
      <c r="UBI24" s="119"/>
      <c r="UBJ24" s="119"/>
      <c r="UBK24" s="119"/>
      <c r="UBL24" s="119"/>
      <c r="UBM24" s="119"/>
      <c r="UBN24" s="119"/>
      <c r="UBO24" s="119"/>
      <c r="UBP24" s="119"/>
      <c r="UBQ24" s="119"/>
      <c r="UBR24" s="119"/>
      <c r="UBS24" s="119"/>
      <c r="UBT24" s="119"/>
      <c r="UBU24" s="119"/>
      <c r="UBV24" s="119"/>
      <c r="UBW24" s="119"/>
      <c r="UBX24" s="119"/>
      <c r="UBY24" s="119"/>
      <c r="UBZ24" s="119"/>
      <c r="UCA24" s="119"/>
      <c r="UCB24" s="119"/>
      <c r="UCC24" s="119"/>
      <c r="UCD24" s="119"/>
      <c r="UCE24" s="119"/>
      <c r="UCF24" s="119"/>
      <c r="UCG24" s="119"/>
      <c r="UCH24" s="119"/>
      <c r="UCI24" s="119"/>
      <c r="UCJ24" s="119"/>
      <c r="UCK24" s="119"/>
      <c r="UCL24" s="119"/>
      <c r="UCM24" s="119"/>
      <c r="UCN24" s="119"/>
      <c r="UCO24" s="119"/>
      <c r="UCP24" s="119"/>
      <c r="UCQ24" s="119"/>
      <c r="UCR24" s="119"/>
      <c r="UCS24" s="119"/>
      <c r="UCT24" s="119"/>
      <c r="UCU24" s="119"/>
      <c r="UCV24" s="119"/>
      <c r="UCW24" s="119"/>
      <c r="UCX24" s="119"/>
      <c r="UCY24" s="119"/>
      <c r="UCZ24" s="119"/>
      <c r="UDA24" s="119"/>
      <c r="UDB24" s="119"/>
      <c r="UDC24" s="119"/>
      <c r="UDD24" s="119"/>
      <c r="UDE24" s="119"/>
      <c r="UDF24" s="119"/>
      <c r="UDG24" s="119"/>
      <c r="UDH24" s="119"/>
      <c r="UDI24" s="119"/>
      <c r="UDJ24" s="119"/>
      <c r="UDK24" s="119"/>
      <c r="UDL24" s="119"/>
      <c r="UDM24" s="119"/>
      <c r="UDN24" s="119"/>
      <c r="UDO24" s="119"/>
      <c r="UDP24" s="119"/>
      <c r="UDQ24" s="119"/>
      <c r="UDR24" s="119"/>
      <c r="UDS24" s="119"/>
      <c r="UDT24" s="119"/>
      <c r="UDU24" s="119"/>
      <c r="UDV24" s="119"/>
      <c r="UDW24" s="119"/>
      <c r="UDX24" s="119"/>
      <c r="UDY24" s="119"/>
      <c r="UDZ24" s="119"/>
      <c r="UEA24" s="119"/>
      <c r="UEB24" s="119"/>
      <c r="UEC24" s="119"/>
      <c r="UED24" s="119"/>
      <c r="UEE24" s="119"/>
      <c r="UEF24" s="119"/>
      <c r="UEG24" s="119"/>
      <c r="UEH24" s="119"/>
      <c r="UEI24" s="119"/>
      <c r="UEJ24" s="119"/>
      <c r="UEK24" s="119"/>
      <c r="UEL24" s="119"/>
      <c r="UEM24" s="119"/>
      <c r="UEN24" s="119"/>
      <c r="UEO24" s="119"/>
      <c r="UEP24" s="119"/>
      <c r="UEQ24" s="119"/>
      <c r="UER24" s="119"/>
      <c r="UES24" s="119"/>
      <c r="UET24" s="119"/>
      <c r="UEU24" s="119"/>
      <c r="UEV24" s="119"/>
      <c r="UEW24" s="119"/>
      <c r="UEX24" s="119"/>
      <c r="UEY24" s="119"/>
      <c r="UEZ24" s="119"/>
      <c r="UFA24" s="119"/>
      <c r="UFB24" s="119"/>
      <c r="UFC24" s="119"/>
      <c r="UFD24" s="119"/>
      <c r="UFE24" s="119"/>
      <c r="UFF24" s="119"/>
      <c r="UFG24" s="119"/>
      <c r="UFH24" s="119"/>
      <c r="UFI24" s="119"/>
      <c r="UFJ24" s="119"/>
      <c r="UFK24" s="119"/>
      <c r="UFL24" s="119"/>
      <c r="UFM24" s="119"/>
      <c r="UFN24" s="119"/>
      <c r="UFO24" s="119"/>
      <c r="UFP24" s="119"/>
      <c r="UFQ24" s="119"/>
      <c r="UFR24" s="119"/>
      <c r="UFS24" s="119"/>
      <c r="UFT24" s="119"/>
      <c r="UFU24" s="119"/>
      <c r="UFV24" s="119"/>
      <c r="UFW24" s="119"/>
      <c r="UFX24" s="119"/>
      <c r="UFY24" s="119"/>
      <c r="UFZ24" s="119"/>
      <c r="UGA24" s="119"/>
      <c r="UGB24" s="119"/>
      <c r="UGC24" s="119"/>
      <c r="UGD24" s="119"/>
      <c r="UGE24" s="119"/>
      <c r="UGF24" s="119"/>
      <c r="UGG24" s="119"/>
      <c r="UGH24" s="119"/>
      <c r="UGI24" s="119"/>
      <c r="UGJ24" s="119"/>
      <c r="UGK24" s="119"/>
      <c r="UGL24" s="119"/>
      <c r="UGM24" s="119"/>
      <c r="UGN24" s="119"/>
      <c r="UGO24" s="119"/>
      <c r="UGP24" s="119"/>
      <c r="UGQ24" s="119"/>
      <c r="UGR24" s="119"/>
      <c r="UGS24" s="119"/>
      <c r="UGT24" s="119"/>
      <c r="UGU24" s="119"/>
      <c r="UGV24" s="119"/>
      <c r="UGW24" s="119"/>
      <c r="UGX24" s="119"/>
      <c r="UGY24" s="119"/>
      <c r="UGZ24" s="119"/>
      <c r="UHA24" s="119"/>
      <c r="UHB24" s="119"/>
      <c r="UHC24" s="119"/>
      <c r="UHD24" s="119"/>
      <c r="UHE24" s="119"/>
      <c r="UHF24" s="119"/>
      <c r="UHG24" s="119"/>
      <c r="UHH24" s="119"/>
      <c r="UHI24" s="119"/>
      <c r="UHJ24" s="119"/>
      <c r="UHK24" s="119"/>
      <c r="UHL24" s="119"/>
      <c r="UHM24" s="119"/>
      <c r="UHN24" s="119"/>
      <c r="UHO24" s="119"/>
      <c r="UHP24" s="119"/>
      <c r="UHQ24" s="119"/>
      <c r="UHR24" s="119"/>
      <c r="UHS24" s="119"/>
      <c r="UHT24" s="119"/>
      <c r="UHU24" s="119"/>
      <c r="UHV24" s="119"/>
      <c r="UHW24" s="119"/>
      <c r="UHX24" s="119"/>
      <c r="UHY24" s="119"/>
      <c r="UHZ24" s="119"/>
      <c r="UIA24" s="119"/>
      <c r="UIB24" s="119"/>
      <c r="UIC24" s="119"/>
      <c r="UID24" s="119"/>
      <c r="UIE24" s="119"/>
      <c r="UIF24" s="119"/>
      <c r="UIG24" s="119"/>
      <c r="UIH24" s="119"/>
      <c r="UII24" s="119"/>
      <c r="UIJ24" s="119"/>
      <c r="UIK24" s="119"/>
      <c r="UIL24" s="119"/>
      <c r="UIM24" s="119"/>
      <c r="UIN24" s="119"/>
      <c r="UIO24" s="119"/>
      <c r="UIP24" s="119"/>
      <c r="UIQ24" s="119"/>
      <c r="UIR24" s="119"/>
      <c r="UIS24" s="119"/>
      <c r="UIT24" s="119"/>
      <c r="UIU24" s="119"/>
      <c r="UIV24" s="119"/>
      <c r="UIW24" s="119"/>
      <c r="UIX24" s="119"/>
      <c r="UIY24" s="119"/>
      <c r="UIZ24" s="119"/>
      <c r="UJA24" s="119"/>
      <c r="UJB24" s="119"/>
      <c r="UJC24" s="119"/>
      <c r="UJD24" s="119"/>
      <c r="UJE24" s="119"/>
      <c r="UJF24" s="119"/>
      <c r="UJG24" s="119"/>
      <c r="UJH24" s="119"/>
      <c r="UJI24" s="119"/>
      <c r="UJJ24" s="119"/>
      <c r="UJK24" s="119"/>
      <c r="UJL24" s="119"/>
      <c r="UJM24" s="119"/>
      <c r="UJN24" s="119"/>
      <c r="UJO24" s="119"/>
      <c r="UJP24" s="119"/>
      <c r="UJQ24" s="119"/>
      <c r="UJR24" s="119"/>
      <c r="UJS24" s="119"/>
      <c r="UJT24" s="119"/>
      <c r="UJU24" s="119"/>
      <c r="UJV24" s="119"/>
      <c r="UJW24" s="119"/>
      <c r="UJX24" s="119"/>
      <c r="UJY24" s="119"/>
      <c r="UJZ24" s="119"/>
      <c r="UKA24" s="119"/>
      <c r="UKB24" s="119"/>
      <c r="UKC24" s="119"/>
      <c r="UKD24" s="119"/>
      <c r="UKE24" s="119"/>
      <c r="UKF24" s="119"/>
      <c r="UKG24" s="119"/>
      <c r="UKH24" s="119"/>
      <c r="UKI24" s="119"/>
      <c r="UKJ24" s="119"/>
      <c r="UKK24" s="119"/>
      <c r="UKL24" s="119"/>
      <c r="UKM24" s="119"/>
      <c r="UKN24" s="119"/>
      <c r="UKO24" s="119"/>
      <c r="UKP24" s="119"/>
      <c r="UKQ24" s="119"/>
      <c r="UKR24" s="119"/>
      <c r="UKS24" s="119"/>
      <c r="UKT24" s="119"/>
      <c r="UKU24" s="119"/>
      <c r="UKV24" s="119"/>
      <c r="UKW24" s="119"/>
      <c r="UKX24" s="119"/>
      <c r="UKY24" s="119"/>
      <c r="UKZ24" s="119"/>
      <c r="ULA24" s="119"/>
      <c r="ULB24" s="119"/>
      <c r="ULC24" s="119"/>
      <c r="ULD24" s="119"/>
      <c r="ULE24" s="119"/>
      <c r="ULF24" s="119"/>
      <c r="ULG24" s="119"/>
      <c r="ULH24" s="119"/>
      <c r="ULI24" s="119"/>
      <c r="ULJ24" s="119"/>
      <c r="ULK24" s="119"/>
      <c r="ULL24" s="119"/>
      <c r="ULM24" s="119"/>
      <c r="ULN24" s="119"/>
      <c r="ULO24" s="119"/>
      <c r="ULP24" s="119"/>
      <c r="ULQ24" s="119"/>
      <c r="ULR24" s="119"/>
      <c r="ULS24" s="119"/>
      <c r="ULT24" s="119"/>
      <c r="ULU24" s="119"/>
      <c r="ULV24" s="119"/>
      <c r="ULW24" s="119"/>
      <c r="ULX24" s="119"/>
      <c r="ULY24" s="119"/>
      <c r="ULZ24" s="119"/>
      <c r="UMA24" s="119"/>
      <c r="UMB24" s="119"/>
      <c r="UMC24" s="119"/>
      <c r="UMD24" s="119"/>
      <c r="UME24" s="119"/>
      <c r="UMF24" s="119"/>
      <c r="UMG24" s="119"/>
      <c r="UMH24" s="119"/>
      <c r="UMI24" s="119"/>
      <c r="UMJ24" s="119"/>
      <c r="UMK24" s="119"/>
      <c r="UML24" s="119"/>
      <c r="UMM24" s="119"/>
      <c r="UMN24" s="119"/>
      <c r="UMO24" s="119"/>
      <c r="UMP24" s="119"/>
      <c r="UMQ24" s="119"/>
      <c r="UMR24" s="119"/>
      <c r="UMS24" s="119"/>
      <c r="UMT24" s="119"/>
      <c r="UMU24" s="119"/>
      <c r="UMV24" s="119"/>
      <c r="UMW24" s="119"/>
      <c r="UMX24" s="119"/>
      <c r="UMY24" s="119"/>
      <c r="UMZ24" s="119"/>
      <c r="UNA24" s="119"/>
      <c r="UNB24" s="119"/>
      <c r="UNC24" s="119"/>
      <c r="UND24" s="119"/>
      <c r="UNE24" s="119"/>
      <c r="UNF24" s="119"/>
      <c r="UNG24" s="119"/>
      <c r="UNH24" s="119"/>
      <c r="UNI24" s="119"/>
      <c r="UNJ24" s="119"/>
      <c r="UNK24" s="119"/>
      <c r="UNL24" s="119"/>
      <c r="UNM24" s="119"/>
      <c r="UNN24" s="119"/>
      <c r="UNO24" s="119"/>
      <c r="UNP24" s="119"/>
      <c r="UNQ24" s="119"/>
      <c r="UNR24" s="119"/>
      <c r="UNS24" s="119"/>
      <c r="UNT24" s="119"/>
      <c r="UNU24" s="119"/>
      <c r="UNV24" s="119"/>
      <c r="UNW24" s="119"/>
      <c r="UNX24" s="119"/>
      <c r="UNY24" s="119"/>
      <c r="UNZ24" s="119"/>
      <c r="UOA24" s="119"/>
      <c r="UOB24" s="119"/>
      <c r="UOC24" s="119"/>
      <c r="UOD24" s="119"/>
      <c r="UOE24" s="119"/>
      <c r="UOF24" s="119"/>
      <c r="UOG24" s="119"/>
      <c r="UOH24" s="119"/>
      <c r="UOI24" s="119"/>
      <c r="UOJ24" s="119"/>
      <c r="UOK24" s="119"/>
      <c r="UOL24" s="119"/>
      <c r="UOM24" s="119"/>
      <c r="UON24" s="119"/>
      <c r="UOO24" s="119"/>
      <c r="UOP24" s="119"/>
      <c r="UOQ24" s="119"/>
      <c r="UOR24" s="119"/>
      <c r="UOS24" s="119"/>
      <c r="UOT24" s="119"/>
      <c r="UOU24" s="119"/>
      <c r="UOV24" s="119"/>
      <c r="UOW24" s="119"/>
      <c r="UOX24" s="119"/>
      <c r="UOY24" s="119"/>
      <c r="UOZ24" s="119"/>
      <c r="UPA24" s="119"/>
      <c r="UPB24" s="119"/>
      <c r="UPC24" s="119"/>
      <c r="UPD24" s="119"/>
      <c r="UPE24" s="119"/>
      <c r="UPF24" s="119"/>
      <c r="UPG24" s="119"/>
      <c r="UPH24" s="119"/>
      <c r="UPI24" s="119"/>
      <c r="UPJ24" s="119"/>
      <c r="UPK24" s="119"/>
      <c r="UPL24" s="119"/>
      <c r="UPM24" s="119"/>
      <c r="UPN24" s="119"/>
      <c r="UPO24" s="119"/>
      <c r="UPP24" s="119"/>
      <c r="UPQ24" s="119"/>
      <c r="UPR24" s="119"/>
      <c r="UPS24" s="119"/>
      <c r="UPT24" s="119"/>
      <c r="UPU24" s="119"/>
      <c r="UPV24" s="119"/>
      <c r="UPW24" s="119"/>
      <c r="UPX24" s="119"/>
      <c r="UPY24" s="119"/>
      <c r="UPZ24" s="119"/>
      <c r="UQA24" s="119"/>
      <c r="UQB24" s="119"/>
      <c r="UQC24" s="119"/>
      <c r="UQD24" s="119"/>
      <c r="UQE24" s="119"/>
      <c r="UQF24" s="119"/>
      <c r="UQG24" s="119"/>
      <c r="UQH24" s="119"/>
      <c r="UQI24" s="119"/>
      <c r="UQJ24" s="119"/>
      <c r="UQK24" s="119"/>
      <c r="UQL24" s="119"/>
      <c r="UQM24" s="119"/>
      <c r="UQN24" s="119"/>
      <c r="UQO24" s="119"/>
      <c r="UQP24" s="119"/>
      <c r="UQQ24" s="119"/>
      <c r="UQR24" s="119"/>
      <c r="UQS24" s="119"/>
      <c r="UQT24" s="119"/>
      <c r="UQU24" s="119"/>
      <c r="UQV24" s="119"/>
      <c r="UQW24" s="119"/>
      <c r="UQX24" s="119"/>
      <c r="UQY24" s="119"/>
      <c r="UQZ24" s="119"/>
      <c r="URA24" s="119"/>
      <c r="URB24" s="119"/>
      <c r="URC24" s="119"/>
      <c r="URD24" s="119"/>
      <c r="URE24" s="119"/>
      <c r="URF24" s="119"/>
      <c r="URG24" s="119"/>
      <c r="URH24" s="119"/>
      <c r="URI24" s="119"/>
      <c r="URJ24" s="119"/>
      <c r="URK24" s="119"/>
      <c r="URL24" s="119"/>
      <c r="URM24" s="119"/>
      <c r="URN24" s="119"/>
      <c r="URO24" s="119"/>
      <c r="URP24" s="119"/>
      <c r="URQ24" s="119"/>
      <c r="URR24" s="119"/>
      <c r="URS24" s="119"/>
      <c r="URT24" s="119"/>
      <c r="URU24" s="119"/>
      <c r="URV24" s="119"/>
      <c r="URW24" s="119"/>
      <c r="URX24" s="119"/>
      <c r="URY24" s="119"/>
      <c r="URZ24" s="119"/>
      <c r="USA24" s="119"/>
      <c r="USB24" s="119"/>
      <c r="USC24" s="119"/>
      <c r="USD24" s="119"/>
      <c r="USE24" s="119"/>
      <c r="USF24" s="119"/>
      <c r="USG24" s="119"/>
      <c r="USH24" s="119"/>
      <c r="USI24" s="119"/>
      <c r="USJ24" s="119"/>
      <c r="USK24" s="119"/>
      <c r="USL24" s="119"/>
      <c r="USM24" s="119"/>
      <c r="USN24" s="119"/>
      <c r="USO24" s="119"/>
      <c r="USP24" s="119"/>
      <c r="USQ24" s="119"/>
      <c r="USR24" s="119"/>
      <c r="USS24" s="119"/>
      <c r="UST24" s="119"/>
      <c r="USU24" s="119"/>
      <c r="USV24" s="119"/>
      <c r="USW24" s="119"/>
      <c r="USX24" s="119"/>
      <c r="USY24" s="119"/>
      <c r="USZ24" s="119"/>
      <c r="UTA24" s="119"/>
      <c r="UTB24" s="119"/>
      <c r="UTC24" s="119"/>
      <c r="UTD24" s="119"/>
      <c r="UTE24" s="119"/>
      <c r="UTF24" s="119"/>
      <c r="UTG24" s="119"/>
      <c r="UTH24" s="119"/>
      <c r="UTI24" s="119"/>
      <c r="UTJ24" s="119"/>
      <c r="UTK24" s="119"/>
      <c r="UTL24" s="119"/>
      <c r="UTM24" s="119"/>
      <c r="UTN24" s="119"/>
      <c r="UTO24" s="119"/>
      <c r="UTP24" s="119"/>
      <c r="UTQ24" s="119"/>
      <c r="UTR24" s="119"/>
      <c r="UTS24" s="119"/>
      <c r="UTT24" s="119"/>
      <c r="UTU24" s="119"/>
      <c r="UTV24" s="119"/>
      <c r="UTW24" s="119"/>
      <c r="UTX24" s="119"/>
      <c r="UTY24" s="119"/>
      <c r="UTZ24" s="119"/>
      <c r="UUA24" s="119"/>
      <c r="UUB24" s="119"/>
      <c r="UUC24" s="119"/>
      <c r="UUD24" s="119"/>
      <c r="UUE24" s="119"/>
      <c r="UUF24" s="119"/>
      <c r="UUG24" s="119"/>
      <c r="UUH24" s="119"/>
      <c r="UUI24" s="119"/>
      <c r="UUJ24" s="119"/>
      <c r="UUK24" s="119"/>
      <c r="UUL24" s="119"/>
      <c r="UUM24" s="119"/>
      <c r="UUN24" s="119"/>
      <c r="UUO24" s="119"/>
      <c r="UUP24" s="119"/>
      <c r="UUQ24" s="119"/>
      <c r="UUR24" s="119"/>
      <c r="UUS24" s="119"/>
      <c r="UUT24" s="119"/>
      <c r="UUU24" s="119"/>
      <c r="UUV24" s="119"/>
      <c r="UUW24" s="119"/>
      <c r="UUX24" s="119"/>
      <c r="UUY24" s="119"/>
      <c r="UUZ24" s="119"/>
      <c r="UVA24" s="119"/>
      <c r="UVB24" s="119"/>
      <c r="UVC24" s="119"/>
      <c r="UVD24" s="119"/>
      <c r="UVE24" s="119"/>
      <c r="UVF24" s="119"/>
      <c r="UVG24" s="119"/>
      <c r="UVH24" s="119"/>
      <c r="UVI24" s="119"/>
      <c r="UVJ24" s="119"/>
      <c r="UVK24" s="119"/>
      <c r="UVL24" s="119"/>
      <c r="UVM24" s="119"/>
      <c r="UVN24" s="119"/>
      <c r="UVO24" s="119"/>
      <c r="UVP24" s="119"/>
      <c r="UVQ24" s="119"/>
      <c r="UVR24" s="119"/>
      <c r="UVS24" s="119"/>
      <c r="UVT24" s="119"/>
      <c r="UVU24" s="119"/>
      <c r="UVV24" s="119"/>
      <c r="UVW24" s="119"/>
      <c r="UVX24" s="119"/>
      <c r="UVY24" s="119"/>
      <c r="UVZ24" s="119"/>
      <c r="UWA24" s="119"/>
      <c r="UWB24" s="119"/>
      <c r="UWC24" s="119"/>
      <c r="UWD24" s="119"/>
      <c r="UWE24" s="119"/>
      <c r="UWF24" s="119"/>
      <c r="UWG24" s="119"/>
      <c r="UWH24" s="119"/>
      <c r="UWI24" s="119"/>
      <c r="UWJ24" s="119"/>
      <c r="UWK24" s="119"/>
      <c r="UWL24" s="119"/>
      <c r="UWM24" s="119"/>
      <c r="UWN24" s="119"/>
      <c r="UWO24" s="119"/>
      <c r="UWP24" s="119"/>
      <c r="UWQ24" s="119"/>
      <c r="UWR24" s="119"/>
      <c r="UWS24" s="119"/>
      <c r="UWT24" s="119"/>
      <c r="UWU24" s="119"/>
      <c r="UWV24" s="119"/>
      <c r="UWW24" s="119"/>
      <c r="UWX24" s="119"/>
      <c r="UWY24" s="119"/>
      <c r="UWZ24" s="119"/>
      <c r="UXA24" s="119"/>
      <c r="UXB24" s="119"/>
      <c r="UXC24" s="119"/>
      <c r="UXD24" s="119"/>
      <c r="UXE24" s="119"/>
      <c r="UXF24" s="119"/>
      <c r="UXG24" s="119"/>
      <c r="UXH24" s="119"/>
      <c r="UXI24" s="119"/>
      <c r="UXJ24" s="119"/>
      <c r="UXK24" s="119"/>
      <c r="UXL24" s="119"/>
      <c r="UXM24" s="119"/>
      <c r="UXN24" s="119"/>
      <c r="UXO24" s="119"/>
      <c r="UXP24" s="119"/>
      <c r="UXQ24" s="119"/>
      <c r="UXR24" s="119"/>
      <c r="UXS24" s="119"/>
      <c r="UXT24" s="119"/>
      <c r="UXU24" s="119"/>
      <c r="UXV24" s="119"/>
      <c r="UXW24" s="119"/>
      <c r="UXX24" s="119"/>
      <c r="UXY24" s="119"/>
      <c r="UXZ24" s="119"/>
      <c r="UYA24" s="119"/>
      <c r="UYB24" s="119"/>
      <c r="UYC24" s="119"/>
      <c r="UYD24" s="119"/>
      <c r="UYE24" s="119"/>
      <c r="UYF24" s="119"/>
      <c r="UYG24" s="119"/>
      <c r="UYH24" s="119"/>
      <c r="UYI24" s="119"/>
      <c r="UYJ24" s="119"/>
      <c r="UYK24" s="119"/>
      <c r="UYL24" s="119"/>
      <c r="UYM24" s="119"/>
      <c r="UYN24" s="119"/>
      <c r="UYO24" s="119"/>
      <c r="UYP24" s="119"/>
      <c r="UYQ24" s="119"/>
      <c r="UYR24" s="119"/>
      <c r="UYS24" s="119"/>
      <c r="UYT24" s="119"/>
      <c r="UYU24" s="119"/>
      <c r="UYV24" s="119"/>
      <c r="UYW24" s="119"/>
      <c r="UYX24" s="119"/>
      <c r="UYY24" s="119"/>
      <c r="UYZ24" s="119"/>
      <c r="UZA24" s="119"/>
      <c r="UZB24" s="119"/>
      <c r="UZC24" s="119"/>
      <c r="UZD24" s="119"/>
      <c r="UZE24" s="119"/>
      <c r="UZF24" s="119"/>
      <c r="UZG24" s="119"/>
      <c r="UZH24" s="119"/>
      <c r="UZI24" s="119"/>
      <c r="UZJ24" s="119"/>
      <c r="UZK24" s="119"/>
      <c r="UZL24" s="119"/>
      <c r="UZM24" s="119"/>
      <c r="UZN24" s="119"/>
      <c r="UZO24" s="119"/>
      <c r="UZP24" s="119"/>
      <c r="UZQ24" s="119"/>
      <c r="UZR24" s="119"/>
      <c r="UZS24" s="119"/>
      <c r="UZT24" s="119"/>
      <c r="UZU24" s="119"/>
      <c r="UZV24" s="119"/>
      <c r="UZW24" s="119"/>
      <c r="UZX24" s="119"/>
      <c r="UZY24" s="119"/>
      <c r="UZZ24" s="119"/>
      <c r="VAA24" s="119"/>
      <c r="VAB24" s="119"/>
      <c r="VAC24" s="119"/>
      <c r="VAD24" s="119"/>
      <c r="VAE24" s="119"/>
      <c r="VAF24" s="119"/>
      <c r="VAG24" s="119"/>
      <c r="VAH24" s="119"/>
      <c r="VAI24" s="119"/>
      <c r="VAJ24" s="119"/>
      <c r="VAK24" s="119"/>
      <c r="VAL24" s="119"/>
      <c r="VAM24" s="119"/>
      <c r="VAN24" s="119"/>
      <c r="VAO24" s="119"/>
      <c r="VAP24" s="119"/>
      <c r="VAQ24" s="119"/>
      <c r="VAR24" s="119"/>
      <c r="VAS24" s="119"/>
      <c r="VAT24" s="119"/>
      <c r="VAU24" s="119"/>
      <c r="VAV24" s="119"/>
      <c r="VAW24" s="119"/>
      <c r="VAX24" s="119"/>
      <c r="VAY24" s="119"/>
      <c r="VAZ24" s="119"/>
      <c r="VBA24" s="119"/>
      <c r="VBB24" s="119"/>
      <c r="VBC24" s="119"/>
      <c r="VBD24" s="119"/>
      <c r="VBE24" s="119"/>
      <c r="VBF24" s="119"/>
      <c r="VBG24" s="119"/>
      <c r="VBH24" s="119"/>
      <c r="VBI24" s="119"/>
      <c r="VBJ24" s="119"/>
      <c r="VBK24" s="119"/>
      <c r="VBL24" s="119"/>
      <c r="VBM24" s="119"/>
      <c r="VBN24" s="119"/>
      <c r="VBO24" s="119"/>
      <c r="VBP24" s="119"/>
      <c r="VBQ24" s="119"/>
      <c r="VBR24" s="119"/>
      <c r="VBS24" s="119"/>
      <c r="VBT24" s="119"/>
      <c r="VBU24" s="119"/>
      <c r="VBV24" s="119"/>
      <c r="VBW24" s="119"/>
      <c r="VBX24" s="119"/>
      <c r="VBY24" s="119"/>
      <c r="VBZ24" s="119"/>
      <c r="VCA24" s="119"/>
      <c r="VCB24" s="119"/>
      <c r="VCC24" s="119"/>
      <c r="VCD24" s="119"/>
      <c r="VCE24" s="119"/>
      <c r="VCF24" s="119"/>
      <c r="VCG24" s="119"/>
      <c r="VCH24" s="119"/>
      <c r="VCI24" s="119"/>
      <c r="VCJ24" s="119"/>
      <c r="VCK24" s="119"/>
      <c r="VCL24" s="119"/>
      <c r="VCM24" s="119"/>
      <c r="VCN24" s="119"/>
      <c r="VCO24" s="119"/>
      <c r="VCP24" s="119"/>
      <c r="VCQ24" s="119"/>
      <c r="VCR24" s="119"/>
      <c r="VCS24" s="119"/>
      <c r="VCT24" s="119"/>
      <c r="VCU24" s="119"/>
      <c r="VCV24" s="119"/>
      <c r="VCW24" s="119"/>
      <c r="VCX24" s="119"/>
      <c r="VCY24" s="119"/>
      <c r="VCZ24" s="119"/>
      <c r="VDA24" s="119"/>
      <c r="VDB24" s="119"/>
      <c r="VDC24" s="119"/>
      <c r="VDD24" s="119"/>
      <c r="VDE24" s="119"/>
      <c r="VDF24" s="119"/>
      <c r="VDG24" s="119"/>
      <c r="VDH24" s="119"/>
      <c r="VDI24" s="119"/>
      <c r="VDJ24" s="119"/>
      <c r="VDK24" s="119"/>
      <c r="VDL24" s="119"/>
      <c r="VDM24" s="119"/>
      <c r="VDN24" s="119"/>
      <c r="VDO24" s="119"/>
      <c r="VDP24" s="119"/>
      <c r="VDQ24" s="119"/>
      <c r="VDR24" s="119"/>
      <c r="VDS24" s="119"/>
      <c r="VDT24" s="119"/>
      <c r="VDU24" s="119"/>
      <c r="VDV24" s="119"/>
      <c r="VDW24" s="119"/>
      <c r="VDX24" s="119"/>
      <c r="VDY24" s="119"/>
      <c r="VDZ24" s="119"/>
      <c r="VEA24" s="119"/>
      <c r="VEB24" s="119"/>
      <c r="VEC24" s="119"/>
      <c r="VED24" s="119"/>
      <c r="VEE24" s="119"/>
      <c r="VEF24" s="119"/>
      <c r="VEG24" s="119"/>
      <c r="VEH24" s="119"/>
      <c r="VEI24" s="119"/>
      <c r="VEJ24" s="119"/>
      <c r="VEK24" s="119"/>
      <c r="VEL24" s="119"/>
      <c r="VEM24" s="119"/>
      <c r="VEN24" s="119"/>
      <c r="VEO24" s="119"/>
      <c r="VEP24" s="119"/>
      <c r="VEQ24" s="119"/>
      <c r="VER24" s="119"/>
      <c r="VES24" s="119"/>
      <c r="VET24" s="119"/>
      <c r="VEU24" s="119"/>
      <c r="VEV24" s="119"/>
      <c r="VEW24" s="119"/>
      <c r="VEX24" s="119"/>
      <c r="VEY24" s="119"/>
      <c r="VEZ24" s="119"/>
      <c r="VFA24" s="119"/>
      <c r="VFB24" s="119"/>
      <c r="VFC24" s="119"/>
      <c r="VFD24" s="119"/>
      <c r="VFE24" s="119"/>
      <c r="VFF24" s="119"/>
      <c r="VFG24" s="119"/>
      <c r="VFH24" s="119"/>
      <c r="VFI24" s="119"/>
      <c r="VFJ24" s="119"/>
      <c r="VFK24" s="119"/>
      <c r="VFL24" s="119"/>
      <c r="VFM24" s="119"/>
      <c r="VFN24" s="119"/>
      <c r="VFO24" s="119"/>
      <c r="VFP24" s="119"/>
      <c r="VFQ24" s="119"/>
      <c r="VFR24" s="119"/>
      <c r="VFS24" s="119"/>
      <c r="VFT24" s="119"/>
      <c r="VFU24" s="119"/>
      <c r="VFV24" s="119"/>
      <c r="VFW24" s="119"/>
      <c r="VFX24" s="119"/>
      <c r="VFY24" s="119"/>
      <c r="VFZ24" s="119"/>
      <c r="VGA24" s="119"/>
      <c r="VGB24" s="119"/>
      <c r="VGC24" s="119"/>
      <c r="VGD24" s="119"/>
      <c r="VGE24" s="119"/>
      <c r="VGF24" s="119"/>
      <c r="VGG24" s="119"/>
      <c r="VGH24" s="119"/>
      <c r="VGI24" s="119"/>
      <c r="VGJ24" s="119"/>
      <c r="VGK24" s="119"/>
      <c r="VGL24" s="119"/>
      <c r="VGM24" s="119"/>
      <c r="VGN24" s="119"/>
    </row>
    <row r="25" spans="1:15116">
      <c r="B25" s="121"/>
      <c r="C25" s="122" t="s">
        <v>85</v>
      </c>
      <c r="D25" s="127">
        <f>SUM(D26:D27)</f>
        <v>0</v>
      </c>
      <c r="E25" s="25" t="s">
        <v>16</v>
      </c>
      <c r="F25" s="107">
        <f>F26+F27</f>
        <v>0</v>
      </c>
      <c r="G25" s="107">
        <f t="shared" ref="G25:AJ25" si="6">G26+G27</f>
        <v>0</v>
      </c>
      <c r="H25" s="107">
        <f t="shared" si="6"/>
        <v>0</v>
      </c>
      <c r="I25" s="107">
        <f t="shared" si="6"/>
        <v>170633</v>
      </c>
      <c r="J25" s="107">
        <f t="shared" si="6"/>
        <v>957691</v>
      </c>
      <c r="K25" s="107">
        <f t="shared" si="6"/>
        <v>712248</v>
      </c>
      <c r="L25" s="107">
        <f t="shared" si="6"/>
        <v>1405787</v>
      </c>
      <c r="M25" s="107">
        <f t="shared" si="6"/>
        <v>1256529</v>
      </c>
      <c r="N25" s="107">
        <f t="shared" si="6"/>
        <v>910294</v>
      </c>
      <c r="O25" s="107">
        <f t="shared" si="6"/>
        <v>0</v>
      </c>
      <c r="P25" s="107">
        <f t="shared" si="6"/>
        <v>1467177</v>
      </c>
      <c r="Q25" s="107">
        <f>Q26+Q27</f>
        <v>670423</v>
      </c>
      <c r="R25" s="107">
        <f t="shared" si="6"/>
        <v>0</v>
      </c>
      <c r="S25" s="107">
        <f t="shared" si="6"/>
        <v>0</v>
      </c>
      <c r="T25" s="107">
        <f t="shared" si="6"/>
        <v>0</v>
      </c>
      <c r="U25" s="107">
        <f t="shared" si="6"/>
        <v>0</v>
      </c>
      <c r="V25" s="107">
        <f t="shared" si="6"/>
        <v>0</v>
      </c>
      <c r="W25" s="107">
        <f t="shared" si="6"/>
        <v>0</v>
      </c>
      <c r="X25" s="107">
        <f t="shared" si="6"/>
        <v>0</v>
      </c>
      <c r="Y25" s="107">
        <f t="shared" si="6"/>
        <v>0</v>
      </c>
      <c r="Z25" s="107">
        <f t="shared" si="6"/>
        <v>0</v>
      </c>
      <c r="AA25" s="107">
        <f t="shared" si="6"/>
        <v>0</v>
      </c>
      <c r="AB25" s="107">
        <f t="shared" si="6"/>
        <v>0</v>
      </c>
      <c r="AC25" s="107">
        <f t="shared" si="6"/>
        <v>0</v>
      </c>
      <c r="AD25" s="107">
        <f t="shared" si="6"/>
        <v>0</v>
      </c>
      <c r="AE25" s="107">
        <f t="shared" si="6"/>
        <v>0</v>
      </c>
      <c r="AF25" s="107">
        <f t="shared" si="6"/>
        <v>0</v>
      </c>
      <c r="AG25" s="107">
        <f t="shared" si="6"/>
        <v>0</v>
      </c>
      <c r="AH25" s="107">
        <f t="shared" si="6"/>
        <v>0</v>
      </c>
      <c r="AI25" s="108"/>
      <c r="AJ25" s="109">
        <f t="shared" si="6"/>
        <v>0</v>
      </c>
      <c r="AL25" s="110">
        <f>SUM(F25:AJ25)</f>
        <v>7550782</v>
      </c>
    </row>
    <row r="26" spans="1:15116">
      <c r="B26" s="121"/>
      <c r="C26" s="122" t="s">
        <v>130</v>
      </c>
      <c r="D26" s="127"/>
      <c r="E26" s="25" t="s">
        <v>16</v>
      </c>
      <c r="F26" s="107"/>
      <c r="G26" s="107"/>
      <c r="H26" s="107"/>
      <c r="I26" s="107">
        <v>119718</v>
      </c>
      <c r="J26" s="107">
        <v>670852</v>
      </c>
      <c r="K26" s="107">
        <v>498689</v>
      </c>
      <c r="L26" s="107">
        <v>984829</v>
      </c>
      <c r="M26" s="107">
        <v>879912</v>
      </c>
      <c r="N26" s="107">
        <v>637323</v>
      </c>
      <c r="O26" s="107"/>
      <c r="P26" s="107">
        <v>1027171</v>
      </c>
      <c r="Q26" s="107">
        <v>469373</v>
      </c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8"/>
      <c r="AH26" s="108"/>
      <c r="AI26" s="108"/>
      <c r="AJ26" s="109"/>
      <c r="AL26" s="110">
        <f>SUM(F26:AJ26)</f>
        <v>5287867</v>
      </c>
    </row>
    <row r="27" spans="1:15116">
      <c r="B27" s="121"/>
      <c r="C27" s="122" t="s">
        <v>83</v>
      </c>
      <c r="D27" s="127"/>
      <c r="E27" s="25" t="s">
        <v>16</v>
      </c>
      <c r="F27" s="107"/>
      <c r="G27" s="107"/>
      <c r="H27" s="107"/>
      <c r="I27" s="107">
        <f>183615-132700</f>
        <v>50915</v>
      </c>
      <c r="J27" s="107">
        <v>286839</v>
      </c>
      <c r="K27" s="107">
        <v>213559</v>
      </c>
      <c r="L27" s="107">
        <v>420958</v>
      </c>
      <c r="M27" s="107">
        <v>376617</v>
      </c>
      <c r="N27" s="107">
        <v>272971</v>
      </c>
      <c r="O27" s="107"/>
      <c r="P27" s="107">
        <v>440006</v>
      </c>
      <c r="Q27" s="107">
        <v>201050</v>
      </c>
      <c r="R27" s="107"/>
      <c r="S27" s="107"/>
      <c r="T27" s="107"/>
      <c r="U27" s="107"/>
      <c r="V27" s="107"/>
      <c r="W27" s="107"/>
      <c r="X27" s="107"/>
      <c r="Y27" s="107"/>
      <c r="Z27" s="107"/>
      <c r="AA27" s="128"/>
      <c r="AB27" s="107"/>
      <c r="AC27" s="107"/>
      <c r="AD27" s="107"/>
      <c r="AE27" s="107"/>
      <c r="AF27" s="107"/>
      <c r="AG27" s="108"/>
      <c r="AH27" s="108"/>
      <c r="AI27" s="108"/>
      <c r="AJ27" s="109"/>
      <c r="AL27" s="110">
        <f>SUM(F27:AJ27)</f>
        <v>2262915</v>
      </c>
    </row>
    <row r="28" spans="1:15116" s="348" customFormat="1">
      <c r="A28" s="119"/>
      <c r="B28" s="131"/>
      <c r="C28" s="320" t="s">
        <v>133</v>
      </c>
      <c r="D28" s="127"/>
      <c r="E28" s="133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5"/>
      <c r="AH28" s="135"/>
      <c r="AI28" s="135"/>
      <c r="AJ28" s="136"/>
      <c r="AK28" s="119"/>
      <c r="AL28" s="126" t="s">
        <v>134</v>
      </c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119"/>
      <c r="BI28" s="119"/>
      <c r="BJ28" s="119"/>
      <c r="BK28" s="119"/>
      <c r="BL28" s="119"/>
      <c r="BM28" s="119"/>
      <c r="BN28" s="119"/>
      <c r="BO28" s="119"/>
      <c r="BP28" s="119"/>
      <c r="BQ28" s="119"/>
      <c r="BR28" s="119"/>
      <c r="BS28" s="119"/>
      <c r="BT28" s="119"/>
      <c r="BU28" s="119"/>
      <c r="BV28" s="119"/>
      <c r="BW28" s="119"/>
      <c r="BX28" s="119"/>
      <c r="BY28" s="119"/>
      <c r="BZ28" s="119"/>
      <c r="CA28" s="119"/>
      <c r="CB28" s="119"/>
      <c r="CC28" s="119"/>
      <c r="CD28" s="119"/>
      <c r="CE28" s="119"/>
      <c r="CF28" s="119"/>
      <c r="CG28" s="119"/>
      <c r="CH28" s="119"/>
      <c r="CI28" s="119"/>
      <c r="CJ28" s="119"/>
      <c r="CK28" s="119"/>
      <c r="CL28" s="119"/>
      <c r="CM28" s="119"/>
      <c r="CN28" s="119"/>
      <c r="CO28" s="119"/>
      <c r="CP28" s="119"/>
      <c r="CQ28" s="119"/>
      <c r="CR28" s="119"/>
      <c r="CS28" s="119"/>
      <c r="CT28" s="119"/>
      <c r="CU28" s="119"/>
      <c r="CV28" s="119"/>
      <c r="CW28" s="119"/>
      <c r="CX28" s="119"/>
      <c r="CY28" s="305"/>
      <c r="CZ28" s="119"/>
      <c r="DA28" s="119"/>
      <c r="DB28" s="119"/>
      <c r="DC28" s="119"/>
      <c r="DD28" s="119"/>
      <c r="DE28" s="119"/>
      <c r="DF28" s="119"/>
      <c r="DG28" s="119"/>
      <c r="DH28" s="119"/>
      <c r="DI28" s="119"/>
      <c r="DJ28" s="119"/>
      <c r="DK28" s="119"/>
      <c r="DL28" s="119"/>
      <c r="DM28" s="119"/>
      <c r="DN28" s="119"/>
      <c r="DO28" s="119"/>
      <c r="DP28" s="119"/>
      <c r="DQ28" s="119"/>
      <c r="DR28" s="119"/>
      <c r="DS28" s="119"/>
      <c r="DT28" s="119"/>
      <c r="DU28" s="119"/>
      <c r="DV28" s="119"/>
      <c r="DW28" s="119"/>
      <c r="DX28" s="119"/>
      <c r="DY28" s="119"/>
      <c r="DZ28" s="119"/>
      <c r="EA28" s="119"/>
      <c r="EB28" s="119"/>
      <c r="EC28" s="119"/>
      <c r="ED28" s="119"/>
      <c r="EE28" s="119"/>
      <c r="EF28" s="119"/>
      <c r="EG28" s="119"/>
      <c r="EH28" s="119"/>
      <c r="EI28" s="119"/>
      <c r="EJ28" s="119"/>
      <c r="EK28" s="119"/>
      <c r="EL28" s="119"/>
      <c r="EM28" s="119"/>
      <c r="EN28" s="119"/>
      <c r="EO28" s="119"/>
      <c r="EP28" s="119"/>
      <c r="EQ28" s="119"/>
      <c r="ER28" s="119"/>
      <c r="ES28" s="119"/>
      <c r="ET28" s="119"/>
      <c r="EU28" s="119"/>
      <c r="EV28" s="119"/>
      <c r="EW28" s="119"/>
      <c r="EX28" s="119"/>
      <c r="EY28" s="119"/>
      <c r="EZ28" s="119"/>
      <c r="FA28" s="119"/>
      <c r="FB28" s="119"/>
      <c r="FC28" s="119"/>
      <c r="FD28" s="119"/>
      <c r="FE28" s="119"/>
      <c r="FF28" s="119"/>
      <c r="FG28" s="119"/>
      <c r="FH28" s="119"/>
      <c r="FI28" s="119"/>
      <c r="FJ28" s="119"/>
      <c r="FK28" s="119"/>
      <c r="FL28" s="119"/>
      <c r="FM28" s="119"/>
      <c r="FN28" s="119"/>
      <c r="FO28" s="119"/>
      <c r="FP28" s="119"/>
      <c r="FQ28" s="119"/>
      <c r="FR28" s="119"/>
      <c r="FS28" s="119"/>
      <c r="FT28" s="119"/>
      <c r="FU28" s="119"/>
      <c r="FV28" s="119"/>
      <c r="FW28" s="119"/>
      <c r="FX28" s="119"/>
      <c r="FY28" s="119"/>
      <c r="FZ28" s="119"/>
      <c r="GA28" s="119"/>
      <c r="GB28" s="119"/>
      <c r="GC28" s="119"/>
      <c r="GD28" s="119"/>
      <c r="GE28" s="119"/>
      <c r="GF28" s="119"/>
      <c r="GG28" s="119"/>
      <c r="GH28" s="119"/>
      <c r="GI28" s="119"/>
      <c r="GJ28" s="119"/>
      <c r="GK28" s="119"/>
      <c r="GL28" s="119"/>
      <c r="GM28" s="119"/>
      <c r="GN28" s="119"/>
      <c r="GO28" s="119"/>
      <c r="GP28" s="119"/>
      <c r="GQ28" s="119"/>
      <c r="GR28" s="119"/>
      <c r="GS28" s="119"/>
      <c r="GT28" s="119"/>
      <c r="GU28" s="119"/>
      <c r="GV28" s="119"/>
      <c r="GW28" s="119"/>
      <c r="GX28" s="119"/>
      <c r="GY28" s="119"/>
      <c r="GZ28" s="119"/>
      <c r="HA28" s="119"/>
      <c r="HB28" s="119"/>
      <c r="HC28" s="119"/>
      <c r="HD28" s="119"/>
      <c r="HE28" s="119"/>
      <c r="HF28" s="119"/>
      <c r="HG28" s="119"/>
      <c r="HH28" s="119"/>
      <c r="HI28" s="119"/>
      <c r="HJ28" s="119"/>
      <c r="HK28" s="119"/>
      <c r="HL28" s="119"/>
      <c r="HM28" s="119"/>
      <c r="HN28" s="119"/>
      <c r="HO28" s="119"/>
      <c r="HP28" s="119"/>
      <c r="HQ28" s="119"/>
      <c r="HR28" s="119"/>
      <c r="HS28" s="119"/>
      <c r="HT28" s="119"/>
      <c r="HU28" s="119"/>
      <c r="HV28" s="119"/>
      <c r="HW28" s="119"/>
      <c r="HX28" s="119"/>
      <c r="HY28" s="119"/>
      <c r="HZ28" s="119"/>
      <c r="IA28" s="119"/>
      <c r="IB28" s="119"/>
      <c r="IC28" s="119"/>
      <c r="ID28" s="119"/>
      <c r="IE28" s="119"/>
      <c r="IF28" s="119"/>
      <c r="IG28" s="119"/>
      <c r="IH28" s="119"/>
      <c r="II28" s="119"/>
      <c r="IJ28" s="119"/>
      <c r="IK28" s="119"/>
      <c r="IL28" s="119"/>
      <c r="IM28" s="119"/>
      <c r="IN28" s="119"/>
      <c r="IO28" s="119"/>
      <c r="IP28" s="119"/>
      <c r="IQ28" s="119"/>
      <c r="IR28" s="119"/>
      <c r="IS28" s="119"/>
      <c r="IT28" s="119"/>
      <c r="IU28" s="119"/>
      <c r="IV28" s="119"/>
      <c r="IW28" s="119"/>
      <c r="IX28" s="119"/>
      <c r="IY28" s="119"/>
      <c r="IZ28" s="119"/>
      <c r="JA28" s="119"/>
      <c r="JB28" s="119"/>
      <c r="JC28" s="119"/>
      <c r="JD28" s="119"/>
      <c r="JE28" s="119"/>
      <c r="JF28" s="119"/>
      <c r="JG28" s="119"/>
      <c r="JH28" s="119"/>
      <c r="JI28" s="119"/>
      <c r="JJ28" s="119"/>
      <c r="JK28" s="119"/>
      <c r="JL28" s="119"/>
      <c r="JM28" s="119"/>
      <c r="JN28" s="119"/>
      <c r="JO28" s="119"/>
      <c r="JP28" s="119"/>
      <c r="JQ28" s="119"/>
      <c r="JR28" s="119"/>
      <c r="JS28" s="119"/>
      <c r="JT28" s="119"/>
      <c r="JU28" s="119"/>
      <c r="JV28" s="119"/>
      <c r="JW28" s="119"/>
      <c r="JX28" s="119"/>
      <c r="JY28" s="119"/>
      <c r="JZ28" s="119"/>
      <c r="KA28" s="119"/>
      <c r="KB28" s="119"/>
      <c r="KC28" s="119"/>
      <c r="KD28" s="119"/>
      <c r="KE28" s="119"/>
      <c r="KF28" s="119"/>
      <c r="KG28" s="119"/>
      <c r="KH28" s="119"/>
      <c r="KI28" s="119"/>
      <c r="KJ28" s="119"/>
      <c r="KK28" s="119"/>
      <c r="KL28" s="119"/>
      <c r="KM28" s="119"/>
      <c r="KN28" s="119"/>
      <c r="KO28" s="119"/>
      <c r="KP28" s="119"/>
      <c r="KQ28" s="119"/>
      <c r="KR28" s="119"/>
      <c r="KS28" s="119"/>
      <c r="KT28" s="119"/>
      <c r="KU28" s="119"/>
      <c r="KV28" s="119"/>
      <c r="KW28" s="119"/>
      <c r="KX28" s="119"/>
      <c r="KY28" s="119"/>
      <c r="KZ28" s="119"/>
      <c r="LA28" s="119"/>
      <c r="LB28" s="119"/>
      <c r="LC28" s="119"/>
      <c r="LD28" s="119"/>
      <c r="LE28" s="119"/>
      <c r="LF28" s="119"/>
      <c r="LG28" s="119"/>
      <c r="LH28" s="119"/>
      <c r="LI28" s="119"/>
      <c r="LJ28" s="119"/>
      <c r="LK28" s="119"/>
      <c r="LL28" s="119"/>
      <c r="LM28" s="119"/>
      <c r="LN28" s="119"/>
      <c r="LO28" s="119"/>
      <c r="LP28" s="119"/>
      <c r="LQ28" s="119"/>
      <c r="LR28" s="119"/>
      <c r="LS28" s="119"/>
      <c r="LT28" s="119"/>
      <c r="LU28" s="119"/>
      <c r="LV28" s="119"/>
      <c r="LW28" s="119"/>
      <c r="LX28" s="119"/>
      <c r="LY28" s="119"/>
      <c r="LZ28" s="119"/>
      <c r="MA28" s="119"/>
      <c r="MB28" s="119"/>
      <c r="MC28" s="119"/>
      <c r="MD28" s="119"/>
      <c r="ME28" s="119"/>
      <c r="MF28" s="119"/>
      <c r="MG28" s="119"/>
      <c r="MH28" s="119"/>
      <c r="MI28" s="119"/>
      <c r="MJ28" s="119"/>
      <c r="MK28" s="119"/>
      <c r="ML28" s="119"/>
      <c r="MM28" s="119"/>
      <c r="MN28" s="119"/>
      <c r="MO28" s="119"/>
      <c r="MP28" s="119"/>
      <c r="MQ28" s="119"/>
      <c r="MR28" s="119"/>
      <c r="MS28" s="119"/>
      <c r="MT28" s="119"/>
      <c r="MU28" s="119"/>
      <c r="MV28" s="119"/>
      <c r="MW28" s="119"/>
      <c r="MX28" s="119"/>
      <c r="MY28" s="119"/>
      <c r="MZ28" s="119"/>
      <c r="NA28" s="119"/>
      <c r="NB28" s="119"/>
      <c r="NC28" s="119"/>
      <c r="ND28" s="119"/>
      <c r="NE28" s="119"/>
      <c r="NF28" s="119"/>
      <c r="NG28" s="119"/>
      <c r="NH28" s="119"/>
      <c r="NI28" s="119"/>
      <c r="NJ28" s="119"/>
      <c r="NK28" s="119"/>
      <c r="NL28" s="119"/>
      <c r="NM28" s="119"/>
      <c r="NN28" s="119"/>
      <c r="NO28" s="119"/>
      <c r="NP28" s="119"/>
      <c r="NQ28" s="119"/>
      <c r="NR28" s="119"/>
      <c r="NS28" s="119"/>
      <c r="NT28" s="119"/>
      <c r="NU28" s="119"/>
      <c r="NV28" s="119"/>
      <c r="NW28" s="119"/>
      <c r="NX28" s="119"/>
      <c r="NY28" s="119"/>
      <c r="NZ28" s="119"/>
      <c r="OA28" s="119"/>
      <c r="OB28" s="119"/>
      <c r="OC28" s="119"/>
      <c r="OD28" s="119"/>
      <c r="OE28" s="119"/>
      <c r="OF28" s="119"/>
      <c r="OG28" s="119"/>
      <c r="OH28" s="119"/>
      <c r="OI28" s="119"/>
      <c r="OJ28" s="119"/>
      <c r="OK28" s="119"/>
      <c r="OL28" s="119"/>
      <c r="OM28" s="119"/>
      <c r="ON28" s="119"/>
      <c r="OO28" s="119"/>
      <c r="OP28" s="119"/>
      <c r="OQ28" s="119"/>
      <c r="OR28" s="119"/>
      <c r="OS28" s="119"/>
      <c r="OT28" s="119"/>
      <c r="OU28" s="119"/>
      <c r="OV28" s="119"/>
      <c r="OW28" s="119"/>
      <c r="OX28" s="119"/>
      <c r="OY28" s="119"/>
      <c r="OZ28" s="119"/>
      <c r="PA28" s="119"/>
      <c r="PB28" s="119"/>
      <c r="PC28" s="119"/>
      <c r="PD28" s="119"/>
      <c r="PE28" s="119"/>
      <c r="PF28" s="119"/>
      <c r="PG28" s="119"/>
      <c r="PH28" s="119"/>
      <c r="PI28" s="119"/>
      <c r="PJ28" s="119"/>
      <c r="PK28" s="119"/>
      <c r="PL28" s="119"/>
      <c r="PM28" s="119"/>
      <c r="PN28" s="119"/>
      <c r="PO28" s="119"/>
      <c r="PP28" s="119"/>
      <c r="PQ28" s="119"/>
      <c r="PR28" s="119"/>
      <c r="PS28" s="119"/>
      <c r="PT28" s="119"/>
      <c r="PU28" s="119"/>
      <c r="PV28" s="119"/>
      <c r="PW28" s="119"/>
      <c r="PX28" s="119"/>
      <c r="PY28" s="119"/>
      <c r="PZ28" s="119"/>
      <c r="QA28" s="119"/>
      <c r="QB28" s="119"/>
      <c r="QC28" s="119"/>
      <c r="QD28" s="119"/>
      <c r="QE28" s="119"/>
      <c r="QF28" s="119"/>
      <c r="QG28" s="119"/>
      <c r="QH28" s="119"/>
      <c r="QI28" s="119"/>
      <c r="QJ28" s="119"/>
      <c r="QK28" s="119"/>
      <c r="QL28" s="119"/>
      <c r="QM28" s="119"/>
      <c r="QN28" s="119"/>
      <c r="QO28" s="119"/>
      <c r="QP28" s="119"/>
      <c r="QQ28" s="119"/>
      <c r="QR28" s="119"/>
      <c r="QS28" s="119"/>
      <c r="QT28" s="119"/>
      <c r="QU28" s="119"/>
      <c r="QV28" s="119"/>
      <c r="QW28" s="119"/>
      <c r="QX28" s="119"/>
      <c r="QY28" s="119"/>
      <c r="QZ28" s="119"/>
      <c r="RA28" s="119"/>
      <c r="RB28" s="119"/>
      <c r="RC28" s="119"/>
      <c r="RD28" s="119"/>
      <c r="RE28" s="119"/>
      <c r="RF28" s="119"/>
      <c r="RG28" s="119"/>
      <c r="RH28" s="119"/>
      <c r="RI28" s="119"/>
      <c r="RJ28" s="119"/>
      <c r="RK28" s="119"/>
      <c r="RL28" s="119"/>
      <c r="RM28" s="119"/>
      <c r="RN28" s="119"/>
      <c r="RO28" s="119"/>
      <c r="RP28" s="119"/>
      <c r="RQ28" s="119"/>
      <c r="RR28" s="119"/>
      <c r="RS28" s="119"/>
      <c r="RT28" s="119"/>
      <c r="RU28" s="119"/>
      <c r="RV28" s="119"/>
      <c r="RW28" s="119"/>
      <c r="RX28" s="119"/>
      <c r="RY28" s="119"/>
      <c r="RZ28" s="119"/>
      <c r="SA28" s="119"/>
      <c r="SB28" s="119"/>
      <c r="SC28" s="119"/>
      <c r="SD28" s="119"/>
      <c r="SE28" s="119"/>
      <c r="SF28" s="119"/>
      <c r="SG28" s="119"/>
      <c r="SH28" s="119"/>
      <c r="SI28" s="119"/>
      <c r="SJ28" s="119"/>
      <c r="SK28" s="119"/>
      <c r="SL28" s="119"/>
      <c r="SM28" s="119"/>
      <c r="SN28" s="119"/>
      <c r="SO28" s="119"/>
      <c r="SP28" s="119"/>
      <c r="SQ28" s="119"/>
      <c r="SR28" s="119"/>
      <c r="SS28" s="119"/>
      <c r="ST28" s="119"/>
      <c r="SU28" s="119"/>
      <c r="SV28" s="119"/>
      <c r="SW28" s="119"/>
      <c r="SX28" s="119"/>
      <c r="SY28" s="119"/>
      <c r="SZ28" s="119"/>
      <c r="TA28" s="119"/>
      <c r="TB28" s="119"/>
      <c r="TC28" s="119"/>
      <c r="TD28" s="119"/>
      <c r="TE28" s="119"/>
      <c r="TF28" s="119"/>
      <c r="TG28" s="119"/>
      <c r="TH28" s="119"/>
      <c r="TI28" s="119"/>
      <c r="TJ28" s="119"/>
      <c r="TK28" s="119"/>
      <c r="TL28" s="119"/>
      <c r="TM28" s="119"/>
      <c r="TN28" s="119"/>
      <c r="TO28" s="119"/>
      <c r="TP28" s="119"/>
      <c r="TQ28" s="119"/>
      <c r="TR28" s="119"/>
      <c r="TS28" s="119"/>
      <c r="TT28" s="119"/>
      <c r="TU28" s="119"/>
      <c r="TV28" s="119"/>
      <c r="TW28" s="119"/>
      <c r="TX28" s="119"/>
      <c r="TY28" s="119"/>
      <c r="TZ28" s="119"/>
      <c r="UA28" s="119"/>
      <c r="UB28" s="119"/>
      <c r="UC28" s="119"/>
      <c r="UD28" s="119"/>
      <c r="UE28" s="119"/>
      <c r="UF28" s="119"/>
      <c r="UG28" s="119"/>
      <c r="UH28" s="119"/>
      <c r="UI28" s="119"/>
      <c r="UJ28" s="119"/>
      <c r="UK28" s="119"/>
      <c r="UL28" s="119"/>
      <c r="UM28" s="119"/>
      <c r="UN28" s="119"/>
      <c r="UO28" s="119"/>
      <c r="UP28" s="119"/>
      <c r="UQ28" s="119"/>
      <c r="UR28" s="119"/>
      <c r="US28" s="119"/>
      <c r="UT28" s="119"/>
      <c r="UU28" s="119"/>
      <c r="UV28" s="119"/>
      <c r="UW28" s="119"/>
      <c r="UX28" s="119"/>
      <c r="UY28" s="119"/>
      <c r="UZ28" s="119"/>
      <c r="VA28" s="119"/>
      <c r="VB28" s="119"/>
      <c r="VC28" s="119"/>
      <c r="VD28" s="119"/>
      <c r="VE28" s="119"/>
      <c r="VF28" s="119"/>
      <c r="VG28" s="119"/>
      <c r="VH28" s="119"/>
      <c r="VI28" s="119"/>
      <c r="VJ28" s="119"/>
      <c r="VK28" s="119"/>
      <c r="VL28" s="119"/>
      <c r="VM28" s="119"/>
      <c r="VN28" s="119"/>
      <c r="VO28" s="119"/>
      <c r="VP28" s="119"/>
      <c r="VQ28" s="119"/>
      <c r="VR28" s="119"/>
      <c r="VS28" s="119"/>
      <c r="VT28" s="119"/>
      <c r="VU28" s="119"/>
      <c r="VV28" s="119"/>
      <c r="VW28" s="119"/>
      <c r="VX28" s="119"/>
      <c r="VY28" s="119"/>
      <c r="VZ28" s="119"/>
      <c r="WA28" s="119"/>
      <c r="WB28" s="119"/>
      <c r="WC28" s="119"/>
      <c r="WD28" s="119"/>
      <c r="WE28" s="119"/>
      <c r="WF28" s="119"/>
      <c r="WG28" s="119"/>
      <c r="WH28" s="119"/>
      <c r="WI28" s="119"/>
      <c r="WJ28" s="119"/>
      <c r="WK28" s="119"/>
      <c r="WL28" s="119"/>
      <c r="WM28" s="119"/>
      <c r="WN28" s="119"/>
      <c r="WO28" s="119"/>
      <c r="WP28" s="119"/>
      <c r="WQ28" s="119"/>
      <c r="WR28" s="119"/>
      <c r="WS28" s="119"/>
      <c r="WT28" s="119"/>
      <c r="WU28" s="119"/>
      <c r="WV28" s="119"/>
      <c r="WW28" s="119"/>
      <c r="WX28" s="119"/>
      <c r="WY28" s="119"/>
      <c r="WZ28" s="119"/>
      <c r="XA28" s="119"/>
      <c r="XB28" s="119"/>
      <c r="XC28" s="119"/>
      <c r="XD28" s="119"/>
      <c r="XE28" s="119"/>
      <c r="XF28" s="119"/>
      <c r="XG28" s="119"/>
      <c r="XH28" s="119"/>
      <c r="XI28" s="119"/>
      <c r="XJ28" s="119"/>
      <c r="XK28" s="119"/>
      <c r="XL28" s="119"/>
      <c r="XM28" s="119"/>
      <c r="XN28" s="119"/>
      <c r="XO28" s="119"/>
      <c r="XP28" s="119"/>
      <c r="XQ28" s="119"/>
      <c r="XR28" s="119"/>
      <c r="XS28" s="119"/>
      <c r="XT28" s="119"/>
      <c r="XU28" s="119"/>
      <c r="XV28" s="119"/>
      <c r="XW28" s="119"/>
      <c r="XX28" s="119"/>
      <c r="XY28" s="119"/>
      <c r="XZ28" s="119"/>
      <c r="YA28" s="119"/>
      <c r="YB28" s="119"/>
      <c r="YC28" s="119"/>
      <c r="YD28" s="119"/>
      <c r="YE28" s="119"/>
      <c r="YF28" s="119"/>
      <c r="YG28" s="119"/>
      <c r="YH28" s="119"/>
      <c r="YI28" s="119"/>
      <c r="YJ28" s="119"/>
      <c r="YK28" s="119"/>
      <c r="YL28" s="119"/>
      <c r="YM28" s="119"/>
      <c r="YN28" s="119"/>
      <c r="YO28" s="119"/>
      <c r="YP28" s="119"/>
      <c r="YQ28" s="119"/>
      <c r="YR28" s="119"/>
      <c r="YS28" s="119"/>
      <c r="YT28" s="119"/>
      <c r="YU28" s="119"/>
      <c r="YV28" s="119"/>
      <c r="YW28" s="119"/>
      <c r="YX28" s="119"/>
      <c r="YY28" s="119"/>
      <c r="YZ28" s="119"/>
      <c r="ZA28" s="119"/>
      <c r="ZB28" s="119"/>
      <c r="ZC28" s="119"/>
      <c r="ZD28" s="119"/>
      <c r="ZE28" s="119"/>
      <c r="ZF28" s="119"/>
      <c r="ZG28" s="119"/>
      <c r="ZH28" s="119"/>
      <c r="ZI28" s="119"/>
      <c r="ZJ28" s="119"/>
      <c r="ZK28" s="119"/>
      <c r="ZL28" s="119"/>
      <c r="ZM28" s="119"/>
      <c r="ZN28" s="119"/>
      <c r="ZO28" s="119"/>
      <c r="ZP28" s="119"/>
      <c r="ZQ28" s="119"/>
      <c r="ZR28" s="119"/>
      <c r="ZS28" s="119"/>
      <c r="ZT28" s="119"/>
      <c r="ZU28" s="119"/>
      <c r="ZV28" s="119"/>
      <c r="ZW28" s="119"/>
      <c r="ZX28" s="119"/>
      <c r="ZY28" s="119"/>
      <c r="ZZ28" s="119"/>
      <c r="AAA28" s="119"/>
      <c r="AAB28" s="119"/>
      <c r="AAC28" s="119"/>
      <c r="AAD28" s="119"/>
      <c r="AAE28" s="119"/>
      <c r="AAF28" s="119"/>
      <c r="AAG28" s="119"/>
      <c r="AAH28" s="119"/>
      <c r="AAI28" s="119"/>
      <c r="AAJ28" s="119"/>
      <c r="AAK28" s="119"/>
      <c r="AAL28" s="119"/>
      <c r="AAM28" s="119"/>
      <c r="AAN28" s="119"/>
      <c r="AAO28" s="119"/>
      <c r="AAP28" s="119"/>
      <c r="AAQ28" s="119"/>
      <c r="AAR28" s="119"/>
      <c r="AAS28" s="119"/>
      <c r="AAT28" s="119"/>
      <c r="AAU28" s="119"/>
      <c r="AAV28" s="119"/>
      <c r="AAW28" s="119"/>
      <c r="AAX28" s="119"/>
      <c r="AAY28" s="119"/>
      <c r="AAZ28" s="119"/>
      <c r="ABA28" s="119"/>
      <c r="ABB28" s="119"/>
      <c r="ABC28" s="119"/>
      <c r="ABD28" s="119"/>
      <c r="ABE28" s="119"/>
      <c r="ABF28" s="119"/>
      <c r="ABG28" s="119"/>
      <c r="ABH28" s="119"/>
      <c r="ABI28" s="119"/>
      <c r="ABJ28" s="119"/>
      <c r="ABK28" s="119"/>
      <c r="ABL28" s="119"/>
      <c r="ABM28" s="119"/>
      <c r="ABN28" s="119"/>
      <c r="ABO28" s="119"/>
      <c r="ABP28" s="119"/>
      <c r="ABQ28" s="119"/>
      <c r="ABR28" s="119"/>
      <c r="ABS28" s="119"/>
      <c r="ABT28" s="119"/>
      <c r="ABU28" s="119"/>
      <c r="ABV28" s="119"/>
      <c r="ABW28" s="119"/>
      <c r="ABX28" s="119"/>
      <c r="ABY28" s="119"/>
      <c r="ABZ28" s="119"/>
      <c r="ACA28" s="119"/>
      <c r="ACB28" s="119"/>
      <c r="ACC28" s="119"/>
      <c r="ACD28" s="119"/>
      <c r="ACE28" s="119"/>
      <c r="ACF28" s="119"/>
      <c r="ACG28" s="119"/>
      <c r="ACH28" s="119"/>
      <c r="ACI28" s="119"/>
      <c r="ACJ28" s="119"/>
      <c r="ACK28" s="119"/>
      <c r="ACL28" s="119"/>
      <c r="ACM28" s="119"/>
      <c r="ACN28" s="119"/>
      <c r="ACO28" s="119"/>
      <c r="ACP28" s="119"/>
      <c r="ACQ28" s="119"/>
      <c r="ACR28" s="119"/>
      <c r="ACS28" s="119"/>
      <c r="ACT28" s="119"/>
      <c r="ACU28" s="119"/>
      <c r="ACV28" s="119"/>
      <c r="ACW28" s="119"/>
      <c r="ACX28" s="119"/>
      <c r="ACY28" s="119"/>
      <c r="ACZ28" s="119"/>
      <c r="ADA28" s="119"/>
      <c r="ADB28" s="119"/>
      <c r="ADC28" s="119"/>
      <c r="ADD28" s="119"/>
      <c r="ADE28" s="119"/>
      <c r="ADF28" s="119"/>
      <c r="ADG28" s="119"/>
      <c r="ADH28" s="119"/>
      <c r="ADI28" s="119"/>
      <c r="ADJ28" s="119"/>
      <c r="ADK28" s="119"/>
      <c r="ADL28" s="119"/>
      <c r="ADM28" s="119"/>
      <c r="ADN28" s="119"/>
      <c r="ADO28" s="119"/>
      <c r="ADP28" s="119"/>
      <c r="ADQ28" s="119"/>
      <c r="ADR28" s="119"/>
      <c r="ADS28" s="119"/>
      <c r="ADT28" s="119"/>
      <c r="ADU28" s="119"/>
      <c r="ADV28" s="119"/>
      <c r="ADW28" s="119"/>
      <c r="ADX28" s="119"/>
      <c r="ADY28" s="119"/>
      <c r="ADZ28" s="119"/>
      <c r="AEA28" s="119"/>
      <c r="AEB28" s="119"/>
      <c r="AEC28" s="119"/>
      <c r="AED28" s="119"/>
      <c r="AEE28" s="119"/>
      <c r="AEF28" s="119"/>
      <c r="AEG28" s="119"/>
      <c r="AEH28" s="119"/>
      <c r="AEI28" s="119"/>
      <c r="AEJ28" s="119"/>
      <c r="AEK28" s="119"/>
      <c r="AEL28" s="119"/>
      <c r="AEM28" s="119"/>
      <c r="AEN28" s="119"/>
      <c r="AEO28" s="119"/>
      <c r="AEP28" s="119"/>
      <c r="AEQ28" s="119"/>
      <c r="AER28" s="119"/>
      <c r="AES28" s="119"/>
      <c r="AET28" s="119"/>
      <c r="AEU28" s="119"/>
      <c r="AEV28" s="119"/>
      <c r="AEW28" s="119"/>
      <c r="AEX28" s="119"/>
      <c r="AEY28" s="119"/>
      <c r="AEZ28" s="119"/>
      <c r="AFA28" s="119"/>
      <c r="AFB28" s="119"/>
      <c r="AFC28" s="119"/>
      <c r="AFD28" s="119"/>
      <c r="AFE28" s="119"/>
      <c r="AFF28" s="119"/>
      <c r="AFG28" s="119"/>
      <c r="AFH28" s="119"/>
      <c r="AFI28" s="119"/>
      <c r="AFJ28" s="119"/>
      <c r="AFK28" s="119"/>
      <c r="AFL28" s="119"/>
      <c r="AFM28" s="119"/>
      <c r="AFN28" s="119"/>
      <c r="AFO28" s="119"/>
      <c r="AFP28" s="119"/>
      <c r="AFQ28" s="119"/>
      <c r="AFR28" s="119"/>
      <c r="AFS28" s="119"/>
      <c r="AFT28" s="119"/>
      <c r="AFU28" s="119"/>
      <c r="AFV28" s="119"/>
      <c r="AFW28" s="119"/>
      <c r="AFX28" s="119"/>
      <c r="AFY28" s="119"/>
      <c r="AFZ28" s="119"/>
      <c r="AGA28" s="119"/>
      <c r="AGB28" s="119"/>
      <c r="AGC28" s="119"/>
      <c r="AGD28" s="119"/>
      <c r="AGE28" s="119"/>
      <c r="AGF28" s="119"/>
      <c r="AGG28" s="119"/>
      <c r="AGH28" s="119"/>
      <c r="AGI28" s="119"/>
      <c r="AGJ28" s="119"/>
      <c r="AGK28" s="119"/>
      <c r="AGL28" s="119"/>
      <c r="AGM28" s="119"/>
      <c r="AGN28" s="119"/>
      <c r="AGO28" s="119"/>
      <c r="AGP28" s="119"/>
      <c r="AGQ28" s="119"/>
      <c r="AGR28" s="119"/>
      <c r="AGS28" s="119"/>
      <c r="AGT28" s="119"/>
      <c r="AGU28" s="119"/>
      <c r="AGV28" s="119"/>
      <c r="AGW28" s="119"/>
      <c r="AGX28" s="119"/>
      <c r="AGY28" s="119"/>
      <c r="AGZ28" s="119"/>
      <c r="AHA28" s="119"/>
      <c r="AHB28" s="119"/>
      <c r="AHC28" s="119"/>
      <c r="AHD28" s="119"/>
      <c r="AHE28" s="119"/>
      <c r="AHF28" s="119"/>
      <c r="AHG28" s="119"/>
      <c r="AHH28" s="119"/>
      <c r="AHI28" s="119"/>
      <c r="AHJ28" s="119"/>
      <c r="AHK28" s="119"/>
      <c r="AHL28" s="119"/>
      <c r="AHM28" s="119"/>
      <c r="AHN28" s="119"/>
      <c r="AHO28" s="119"/>
      <c r="AHP28" s="119"/>
      <c r="AHQ28" s="119"/>
      <c r="AHR28" s="119"/>
      <c r="AHS28" s="119"/>
      <c r="AHT28" s="119"/>
      <c r="AHU28" s="119"/>
      <c r="AHV28" s="119"/>
      <c r="AHW28" s="119"/>
      <c r="AHX28" s="119"/>
      <c r="AHY28" s="119"/>
      <c r="AHZ28" s="119"/>
      <c r="AIA28" s="119"/>
      <c r="AIB28" s="119"/>
      <c r="AIC28" s="119"/>
      <c r="AID28" s="119"/>
      <c r="AIE28" s="119"/>
      <c r="AIF28" s="119"/>
      <c r="AIG28" s="119"/>
      <c r="AIH28" s="119"/>
      <c r="AII28" s="119"/>
      <c r="AIJ28" s="119"/>
      <c r="AIK28" s="119"/>
      <c r="AIL28" s="119"/>
      <c r="AIM28" s="119"/>
      <c r="AIN28" s="119"/>
      <c r="AIO28" s="119"/>
      <c r="AIP28" s="119"/>
      <c r="AIQ28" s="119"/>
      <c r="AIR28" s="119"/>
      <c r="AIS28" s="119"/>
      <c r="AIT28" s="119"/>
      <c r="AIU28" s="119"/>
      <c r="AIV28" s="119"/>
      <c r="AIW28" s="119"/>
      <c r="AIX28" s="119"/>
      <c r="AIY28" s="119"/>
      <c r="AIZ28" s="119"/>
      <c r="AJA28" s="119"/>
      <c r="AJB28" s="119"/>
      <c r="AJC28" s="119"/>
      <c r="AJD28" s="119"/>
      <c r="AJE28" s="119"/>
      <c r="AJF28" s="119"/>
      <c r="AJG28" s="119"/>
      <c r="AJH28" s="119"/>
      <c r="AJI28" s="119"/>
      <c r="AJJ28" s="119"/>
      <c r="AJK28" s="119"/>
      <c r="AJL28" s="119"/>
      <c r="AJM28" s="119"/>
      <c r="AJN28" s="119"/>
      <c r="AJO28" s="119"/>
      <c r="AJP28" s="119"/>
      <c r="AJQ28" s="119"/>
      <c r="AJR28" s="119"/>
      <c r="AJS28" s="119"/>
      <c r="AJT28" s="119"/>
      <c r="AJU28" s="119"/>
      <c r="AJV28" s="119"/>
      <c r="AJW28" s="119"/>
      <c r="AJX28" s="119"/>
      <c r="AJY28" s="119"/>
      <c r="AJZ28" s="119"/>
      <c r="AKA28" s="119"/>
      <c r="AKB28" s="119"/>
      <c r="AKC28" s="119"/>
      <c r="AKD28" s="119"/>
      <c r="AKE28" s="119"/>
      <c r="AKF28" s="119"/>
      <c r="AKG28" s="119"/>
      <c r="AKH28" s="119"/>
      <c r="AKI28" s="119"/>
      <c r="AKJ28" s="119"/>
      <c r="AKK28" s="119"/>
      <c r="AKL28" s="119"/>
      <c r="AKM28" s="119"/>
      <c r="AKN28" s="119"/>
      <c r="AKO28" s="119"/>
      <c r="AKP28" s="119"/>
      <c r="AKQ28" s="119"/>
      <c r="AKR28" s="119"/>
      <c r="AKS28" s="119"/>
      <c r="AKT28" s="119"/>
      <c r="AKU28" s="119"/>
      <c r="AKV28" s="119"/>
      <c r="AKW28" s="119"/>
      <c r="AKX28" s="119"/>
      <c r="AKY28" s="119"/>
      <c r="AKZ28" s="119"/>
      <c r="ALA28" s="119"/>
      <c r="ALB28" s="119"/>
      <c r="ALC28" s="119"/>
      <c r="ALD28" s="119"/>
      <c r="ALE28" s="119"/>
      <c r="ALF28" s="119"/>
      <c r="ALG28" s="119"/>
      <c r="ALH28" s="119"/>
      <c r="ALI28" s="119"/>
      <c r="ALJ28" s="119"/>
      <c r="ALK28" s="119"/>
      <c r="ALL28" s="119"/>
      <c r="ALM28" s="119"/>
      <c r="ALN28" s="119"/>
      <c r="ALO28" s="119"/>
      <c r="ALP28" s="119"/>
      <c r="ALQ28" s="119"/>
      <c r="ALR28" s="119"/>
      <c r="ALS28" s="119"/>
      <c r="ALT28" s="119"/>
      <c r="ALU28" s="119"/>
      <c r="ALV28" s="119"/>
      <c r="ALW28" s="119"/>
      <c r="ALX28" s="119"/>
      <c r="ALY28" s="119"/>
      <c r="ALZ28" s="119"/>
      <c r="AMA28" s="119"/>
      <c r="AMB28" s="119"/>
      <c r="AMC28" s="119"/>
      <c r="AMD28" s="119"/>
      <c r="AME28" s="119"/>
      <c r="AMF28" s="119"/>
      <c r="AMG28" s="119"/>
      <c r="AMH28" s="119"/>
      <c r="AMI28" s="119"/>
      <c r="AMJ28" s="119"/>
      <c r="AMK28" s="119"/>
      <c r="AML28" s="119"/>
      <c r="AMM28" s="119"/>
      <c r="AMN28" s="119"/>
      <c r="AMO28" s="119"/>
      <c r="AMP28" s="119"/>
      <c r="AMQ28" s="119"/>
      <c r="AMR28" s="119"/>
      <c r="AMS28" s="119"/>
      <c r="AMT28" s="119"/>
      <c r="AMU28" s="119"/>
      <c r="AMV28" s="119"/>
      <c r="AMW28" s="119"/>
      <c r="AMX28" s="119"/>
      <c r="AMY28" s="119"/>
      <c r="AMZ28" s="119"/>
      <c r="ANA28" s="119"/>
      <c r="ANB28" s="119"/>
      <c r="ANC28" s="119"/>
      <c r="AND28" s="119"/>
      <c r="ANE28" s="119"/>
      <c r="ANF28" s="119"/>
      <c r="ANG28" s="119"/>
      <c r="ANH28" s="119"/>
      <c r="ANI28" s="119"/>
      <c r="ANJ28" s="119"/>
      <c r="ANK28" s="119"/>
      <c r="ANL28" s="119"/>
      <c r="ANM28" s="119"/>
      <c r="ANN28" s="119"/>
      <c r="ANO28" s="119"/>
      <c r="ANP28" s="119"/>
      <c r="ANQ28" s="119"/>
      <c r="ANR28" s="119"/>
      <c r="ANS28" s="119"/>
      <c r="ANT28" s="119"/>
      <c r="ANU28" s="119"/>
      <c r="ANV28" s="119"/>
      <c r="ANW28" s="119"/>
      <c r="ANX28" s="119"/>
      <c r="ANY28" s="119"/>
      <c r="ANZ28" s="119"/>
      <c r="AOA28" s="119"/>
      <c r="AOB28" s="119"/>
      <c r="AOC28" s="119"/>
      <c r="AOD28" s="119"/>
      <c r="AOE28" s="119"/>
      <c r="AOF28" s="119"/>
      <c r="AOG28" s="119"/>
      <c r="AOH28" s="119"/>
      <c r="AOI28" s="119"/>
      <c r="AOJ28" s="119"/>
      <c r="AOK28" s="119"/>
      <c r="AOL28" s="119"/>
      <c r="AOM28" s="119"/>
      <c r="AON28" s="119"/>
      <c r="AOO28" s="119"/>
      <c r="AOP28" s="119"/>
      <c r="AOQ28" s="119"/>
      <c r="AOR28" s="119"/>
      <c r="AOS28" s="119"/>
      <c r="AOT28" s="119"/>
      <c r="AOU28" s="119"/>
      <c r="AOV28" s="119"/>
      <c r="AOW28" s="119"/>
      <c r="AOX28" s="119"/>
      <c r="AOY28" s="119"/>
      <c r="AOZ28" s="119"/>
      <c r="APA28" s="119"/>
      <c r="APB28" s="119"/>
      <c r="APC28" s="119"/>
      <c r="APD28" s="119"/>
      <c r="APE28" s="119"/>
      <c r="APF28" s="119"/>
      <c r="APG28" s="119"/>
      <c r="APH28" s="119"/>
      <c r="API28" s="119"/>
      <c r="APJ28" s="119"/>
      <c r="APK28" s="119"/>
      <c r="APL28" s="119"/>
      <c r="APM28" s="119"/>
      <c r="APN28" s="119"/>
      <c r="APO28" s="119"/>
      <c r="APP28" s="119"/>
      <c r="APQ28" s="119"/>
      <c r="APR28" s="119"/>
      <c r="APS28" s="119"/>
      <c r="APT28" s="119"/>
      <c r="APU28" s="119"/>
      <c r="APV28" s="119"/>
      <c r="APW28" s="119"/>
      <c r="APX28" s="119"/>
      <c r="APY28" s="119"/>
      <c r="APZ28" s="119"/>
      <c r="AQA28" s="119"/>
      <c r="AQB28" s="119"/>
      <c r="AQC28" s="119"/>
      <c r="AQD28" s="119"/>
      <c r="AQE28" s="119"/>
      <c r="AQF28" s="119"/>
      <c r="AQG28" s="119"/>
      <c r="AQH28" s="119"/>
      <c r="AQI28" s="119"/>
      <c r="AQJ28" s="119"/>
      <c r="AQK28" s="119"/>
      <c r="AQL28" s="119"/>
      <c r="AQM28" s="119"/>
      <c r="AQN28" s="119"/>
      <c r="AQO28" s="119"/>
      <c r="AQP28" s="119"/>
      <c r="AQQ28" s="119"/>
      <c r="AQR28" s="119"/>
      <c r="AQS28" s="119"/>
      <c r="AQT28" s="119"/>
      <c r="AQU28" s="119"/>
      <c r="AQV28" s="119"/>
      <c r="AQW28" s="119"/>
      <c r="AQX28" s="119"/>
      <c r="AQY28" s="119"/>
      <c r="AQZ28" s="119"/>
      <c r="ARA28" s="119"/>
      <c r="ARB28" s="119"/>
      <c r="ARC28" s="119"/>
      <c r="ARD28" s="119"/>
      <c r="ARE28" s="119"/>
      <c r="ARF28" s="119"/>
      <c r="ARG28" s="119"/>
      <c r="ARH28" s="119"/>
      <c r="ARI28" s="119"/>
      <c r="ARJ28" s="119"/>
      <c r="ARK28" s="119"/>
      <c r="ARL28" s="119"/>
      <c r="ARM28" s="119"/>
      <c r="ARN28" s="119"/>
      <c r="ARO28" s="119"/>
      <c r="ARP28" s="119"/>
      <c r="ARQ28" s="119"/>
      <c r="ARR28" s="119"/>
      <c r="ARS28" s="119"/>
      <c r="ART28" s="119"/>
      <c r="ARU28" s="119"/>
      <c r="ARV28" s="119"/>
      <c r="ARW28" s="119"/>
      <c r="ARX28" s="119"/>
      <c r="ARY28" s="119"/>
      <c r="ARZ28" s="119"/>
      <c r="ASA28" s="119"/>
      <c r="ASB28" s="119"/>
      <c r="ASC28" s="119"/>
      <c r="ASD28" s="119"/>
      <c r="ASE28" s="119"/>
      <c r="ASF28" s="119"/>
      <c r="ASG28" s="119"/>
      <c r="ASH28" s="119"/>
      <c r="ASI28" s="119"/>
      <c r="ASJ28" s="119"/>
      <c r="ASK28" s="119"/>
      <c r="ASL28" s="119"/>
      <c r="ASM28" s="119"/>
      <c r="ASN28" s="119"/>
      <c r="ASO28" s="119"/>
      <c r="ASP28" s="119"/>
      <c r="ASQ28" s="119"/>
      <c r="ASR28" s="119"/>
      <c r="ASS28" s="119"/>
      <c r="AST28" s="119"/>
      <c r="ASU28" s="119"/>
      <c r="ASV28" s="119"/>
      <c r="ASW28" s="119"/>
      <c r="ASX28" s="119"/>
      <c r="ASY28" s="119"/>
      <c r="ASZ28" s="119"/>
      <c r="ATA28" s="119"/>
      <c r="ATB28" s="119"/>
      <c r="ATC28" s="119"/>
      <c r="ATD28" s="119"/>
      <c r="ATE28" s="119"/>
      <c r="ATF28" s="119"/>
      <c r="ATG28" s="119"/>
      <c r="ATH28" s="119"/>
      <c r="ATI28" s="119"/>
      <c r="ATJ28" s="119"/>
      <c r="ATK28" s="119"/>
      <c r="ATL28" s="119"/>
      <c r="ATM28" s="119"/>
      <c r="ATN28" s="119"/>
      <c r="ATO28" s="119"/>
      <c r="ATP28" s="119"/>
      <c r="ATQ28" s="119"/>
      <c r="ATR28" s="119"/>
      <c r="ATS28" s="119"/>
      <c r="ATT28" s="119"/>
      <c r="ATU28" s="119"/>
      <c r="ATV28" s="119"/>
      <c r="ATW28" s="119"/>
      <c r="ATX28" s="119"/>
      <c r="ATY28" s="119"/>
      <c r="ATZ28" s="119"/>
      <c r="AUA28" s="119"/>
      <c r="AUB28" s="119"/>
      <c r="AUC28" s="119"/>
      <c r="AUD28" s="119"/>
      <c r="AUE28" s="119"/>
      <c r="AUF28" s="119"/>
      <c r="AUG28" s="119"/>
      <c r="AUH28" s="119"/>
      <c r="AUI28" s="119"/>
      <c r="AUJ28" s="119"/>
      <c r="AUK28" s="119"/>
      <c r="AUL28" s="119"/>
      <c r="AUM28" s="119"/>
      <c r="AUN28" s="119"/>
      <c r="AUO28" s="119"/>
      <c r="AUP28" s="119"/>
      <c r="AUQ28" s="119"/>
      <c r="AUR28" s="119"/>
      <c r="AUS28" s="119"/>
      <c r="AUT28" s="119"/>
      <c r="AUU28" s="119"/>
      <c r="AUV28" s="119"/>
      <c r="AUW28" s="119"/>
      <c r="AUX28" s="119"/>
      <c r="AUY28" s="119"/>
      <c r="AUZ28" s="119"/>
      <c r="AVA28" s="119"/>
      <c r="AVB28" s="119"/>
      <c r="AVC28" s="119"/>
      <c r="AVD28" s="119"/>
      <c r="AVE28" s="119"/>
      <c r="AVF28" s="119"/>
      <c r="AVG28" s="119"/>
      <c r="AVH28" s="119"/>
      <c r="AVI28" s="119"/>
      <c r="AVJ28" s="119"/>
      <c r="AVK28" s="119"/>
      <c r="AVL28" s="119"/>
      <c r="AVM28" s="119"/>
      <c r="AVN28" s="119"/>
      <c r="AVO28" s="119"/>
      <c r="AVP28" s="119"/>
      <c r="AVQ28" s="119"/>
      <c r="AVR28" s="119"/>
      <c r="AVS28" s="119"/>
      <c r="AVT28" s="119"/>
      <c r="AVU28" s="119"/>
      <c r="AVV28" s="119"/>
      <c r="AVW28" s="119"/>
      <c r="AVX28" s="119"/>
      <c r="AVY28" s="119"/>
      <c r="AVZ28" s="119"/>
      <c r="AWA28" s="119"/>
      <c r="AWB28" s="119"/>
      <c r="AWC28" s="119"/>
      <c r="AWD28" s="119"/>
      <c r="AWE28" s="119"/>
      <c r="AWF28" s="119"/>
      <c r="AWG28" s="119"/>
      <c r="AWH28" s="119"/>
      <c r="AWI28" s="119"/>
      <c r="AWJ28" s="119"/>
      <c r="AWK28" s="119"/>
      <c r="AWL28" s="119"/>
      <c r="AWM28" s="119"/>
      <c r="AWN28" s="119"/>
      <c r="AWO28" s="119"/>
      <c r="AWP28" s="119"/>
      <c r="AWQ28" s="119"/>
      <c r="AWR28" s="119"/>
      <c r="AWS28" s="119"/>
      <c r="AWT28" s="119"/>
      <c r="AWU28" s="119"/>
      <c r="AWV28" s="119"/>
      <c r="AWW28" s="119"/>
      <c r="AWX28" s="119"/>
      <c r="AWY28" s="119"/>
      <c r="AWZ28" s="119"/>
      <c r="AXA28" s="119"/>
      <c r="AXB28" s="119"/>
      <c r="AXC28" s="119"/>
      <c r="AXD28" s="119"/>
      <c r="AXE28" s="119"/>
      <c r="AXF28" s="119"/>
      <c r="AXG28" s="119"/>
      <c r="AXH28" s="119"/>
      <c r="AXI28" s="119"/>
      <c r="AXJ28" s="119"/>
      <c r="AXK28" s="119"/>
      <c r="AXL28" s="119"/>
      <c r="AXM28" s="119"/>
      <c r="AXN28" s="119"/>
      <c r="AXO28" s="119"/>
      <c r="AXP28" s="119"/>
      <c r="AXQ28" s="119"/>
      <c r="AXR28" s="119"/>
      <c r="AXS28" s="119"/>
      <c r="AXT28" s="119"/>
      <c r="AXU28" s="119"/>
      <c r="AXV28" s="119"/>
      <c r="AXW28" s="119"/>
      <c r="AXX28" s="119"/>
      <c r="AXY28" s="119"/>
      <c r="AXZ28" s="119"/>
      <c r="AYA28" s="119"/>
      <c r="AYB28" s="119"/>
      <c r="AYC28" s="119"/>
      <c r="AYD28" s="119"/>
      <c r="AYE28" s="119"/>
      <c r="AYF28" s="119"/>
      <c r="AYG28" s="119"/>
      <c r="AYH28" s="119"/>
      <c r="AYI28" s="119"/>
      <c r="AYJ28" s="119"/>
      <c r="AYK28" s="119"/>
      <c r="AYL28" s="119"/>
      <c r="AYM28" s="119"/>
      <c r="AYN28" s="119"/>
      <c r="AYO28" s="119"/>
      <c r="AYP28" s="119"/>
      <c r="AYQ28" s="119"/>
      <c r="AYR28" s="119"/>
      <c r="AYS28" s="119"/>
      <c r="AYT28" s="119"/>
      <c r="AYU28" s="119"/>
      <c r="AYV28" s="119"/>
      <c r="AYW28" s="119"/>
      <c r="AYX28" s="119"/>
      <c r="AYY28" s="119"/>
      <c r="AYZ28" s="119"/>
      <c r="AZA28" s="119"/>
      <c r="AZB28" s="119"/>
      <c r="AZC28" s="119"/>
      <c r="AZD28" s="119"/>
      <c r="AZE28" s="119"/>
      <c r="AZF28" s="119"/>
      <c r="AZG28" s="119"/>
      <c r="AZH28" s="119"/>
      <c r="AZI28" s="119"/>
      <c r="AZJ28" s="119"/>
      <c r="AZK28" s="119"/>
      <c r="AZL28" s="119"/>
      <c r="AZM28" s="119"/>
      <c r="AZN28" s="119"/>
      <c r="AZO28" s="119"/>
      <c r="AZP28" s="119"/>
      <c r="AZQ28" s="119"/>
      <c r="AZR28" s="119"/>
      <c r="AZS28" s="119"/>
      <c r="AZT28" s="119"/>
      <c r="AZU28" s="119"/>
      <c r="AZV28" s="119"/>
      <c r="AZW28" s="119"/>
      <c r="AZX28" s="119"/>
      <c r="AZY28" s="119"/>
      <c r="AZZ28" s="119"/>
      <c r="BAA28" s="119"/>
      <c r="BAB28" s="119"/>
      <c r="BAC28" s="119"/>
      <c r="BAD28" s="119"/>
      <c r="BAE28" s="119"/>
      <c r="BAF28" s="119"/>
      <c r="BAG28" s="119"/>
      <c r="BAH28" s="119"/>
      <c r="BAI28" s="119"/>
      <c r="BAJ28" s="119"/>
      <c r="BAK28" s="119"/>
      <c r="BAL28" s="119"/>
      <c r="BAM28" s="119"/>
      <c r="BAN28" s="119"/>
      <c r="BAO28" s="119"/>
      <c r="BAP28" s="119"/>
      <c r="BAQ28" s="119"/>
      <c r="BAR28" s="119"/>
      <c r="BAS28" s="119"/>
      <c r="BAT28" s="119"/>
      <c r="BAU28" s="119"/>
      <c r="BAV28" s="119"/>
      <c r="BAW28" s="119"/>
      <c r="BAX28" s="119"/>
      <c r="BAY28" s="119"/>
      <c r="BAZ28" s="119"/>
      <c r="BBA28" s="119"/>
      <c r="BBB28" s="119"/>
      <c r="BBC28" s="119"/>
      <c r="BBD28" s="119"/>
      <c r="BBE28" s="119"/>
      <c r="BBF28" s="119"/>
      <c r="BBG28" s="119"/>
      <c r="BBH28" s="119"/>
      <c r="BBI28" s="119"/>
      <c r="BBJ28" s="119"/>
      <c r="BBK28" s="119"/>
      <c r="BBL28" s="119"/>
      <c r="BBM28" s="119"/>
      <c r="BBN28" s="119"/>
      <c r="BBO28" s="119"/>
      <c r="BBP28" s="119"/>
      <c r="BBQ28" s="119"/>
      <c r="BBR28" s="119"/>
      <c r="BBS28" s="119"/>
      <c r="BBT28" s="119"/>
      <c r="BBU28" s="119"/>
      <c r="BBV28" s="119"/>
      <c r="BBW28" s="119"/>
      <c r="BBX28" s="119"/>
      <c r="BBY28" s="119"/>
      <c r="BBZ28" s="119"/>
      <c r="BCA28" s="119"/>
      <c r="BCB28" s="119"/>
      <c r="BCC28" s="119"/>
      <c r="BCD28" s="119"/>
      <c r="BCE28" s="119"/>
      <c r="BCF28" s="119"/>
      <c r="BCG28" s="119"/>
      <c r="BCH28" s="119"/>
      <c r="BCI28" s="119"/>
      <c r="BCJ28" s="119"/>
      <c r="BCK28" s="119"/>
      <c r="BCL28" s="119"/>
      <c r="BCM28" s="119"/>
      <c r="BCN28" s="119"/>
      <c r="BCO28" s="119"/>
      <c r="BCP28" s="119"/>
      <c r="BCQ28" s="119"/>
      <c r="BCR28" s="119"/>
      <c r="BCS28" s="119"/>
      <c r="BCT28" s="119"/>
      <c r="BCU28" s="119"/>
      <c r="BCV28" s="119"/>
      <c r="BCW28" s="119"/>
      <c r="BCX28" s="119"/>
      <c r="BCY28" s="119"/>
      <c r="BCZ28" s="119"/>
      <c r="BDA28" s="119"/>
      <c r="BDB28" s="119"/>
      <c r="BDC28" s="119"/>
      <c r="BDD28" s="119"/>
      <c r="BDE28" s="119"/>
      <c r="BDF28" s="119"/>
      <c r="BDG28" s="119"/>
      <c r="BDH28" s="119"/>
      <c r="BDI28" s="119"/>
      <c r="BDJ28" s="119"/>
      <c r="BDK28" s="119"/>
      <c r="BDL28" s="119"/>
      <c r="BDM28" s="119"/>
      <c r="BDN28" s="119"/>
      <c r="BDO28" s="119"/>
      <c r="BDP28" s="119"/>
      <c r="BDQ28" s="119"/>
      <c r="BDR28" s="119"/>
      <c r="BDS28" s="119"/>
      <c r="BDT28" s="119"/>
      <c r="BDU28" s="119"/>
      <c r="BDV28" s="119"/>
      <c r="BDW28" s="119"/>
      <c r="BDX28" s="119"/>
      <c r="BDY28" s="119"/>
      <c r="BDZ28" s="119"/>
      <c r="BEA28" s="119"/>
      <c r="BEB28" s="119"/>
      <c r="BEC28" s="119"/>
      <c r="BED28" s="119"/>
      <c r="BEE28" s="119"/>
      <c r="BEF28" s="119"/>
      <c r="BEG28" s="119"/>
      <c r="BEH28" s="119"/>
      <c r="BEI28" s="119"/>
      <c r="BEJ28" s="119"/>
      <c r="BEK28" s="119"/>
      <c r="BEL28" s="119"/>
      <c r="BEM28" s="119"/>
      <c r="BEN28" s="119"/>
      <c r="BEO28" s="119"/>
      <c r="BEP28" s="119"/>
      <c r="BEQ28" s="119"/>
      <c r="BER28" s="119"/>
      <c r="BES28" s="119"/>
      <c r="BET28" s="119"/>
      <c r="BEU28" s="119"/>
      <c r="BEV28" s="119"/>
      <c r="BEW28" s="119"/>
      <c r="BEX28" s="119"/>
      <c r="BEY28" s="119"/>
      <c r="BEZ28" s="119"/>
      <c r="BFA28" s="119"/>
      <c r="BFB28" s="119"/>
      <c r="BFC28" s="119"/>
      <c r="BFD28" s="119"/>
      <c r="BFE28" s="119"/>
      <c r="BFF28" s="119"/>
      <c r="BFG28" s="119"/>
      <c r="BFH28" s="119"/>
      <c r="BFI28" s="119"/>
      <c r="BFJ28" s="119"/>
      <c r="BFK28" s="119"/>
      <c r="BFL28" s="119"/>
      <c r="BFM28" s="119"/>
      <c r="BFN28" s="119"/>
      <c r="BFO28" s="119"/>
      <c r="BFP28" s="119"/>
      <c r="BFQ28" s="119"/>
      <c r="BFR28" s="119"/>
      <c r="BFS28" s="119"/>
      <c r="BFT28" s="119"/>
      <c r="BFU28" s="119"/>
      <c r="BFV28" s="119"/>
      <c r="BFW28" s="119"/>
      <c r="BFX28" s="119"/>
      <c r="BFY28" s="119"/>
      <c r="BFZ28" s="119"/>
      <c r="BGA28" s="119"/>
      <c r="BGB28" s="119"/>
      <c r="BGC28" s="119"/>
      <c r="BGD28" s="119"/>
      <c r="BGE28" s="119"/>
      <c r="BGF28" s="119"/>
      <c r="BGG28" s="119"/>
      <c r="BGH28" s="119"/>
      <c r="BGI28" s="119"/>
      <c r="BGJ28" s="119"/>
      <c r="BGK28" s="119"/>
      <c r="BGL28" s="119"/>
      <c r="BGM28" s="119"/>
      <c r="BGN28" s="119"/>
      <c r="BGO28" s="119"/>
      <c r="BGP28" s="119"/>
      <c r="BGQ28" s="119"/>
      <c r="BGR28" s="119"/>
      <c r="BGS28" s="119"/>
      <c r="BGT28" s="119"/>
      <c r="BGU28" s="119"/>
      <c r="BGV28" s="119"/>
      <c r="BGW28" s="119"/>
      <c r="BGX28" s="119"/>
      <c r="BGY28" s="119"/>
      <c r="BGZ28" s="119"/>
      <c r="BHA28" s="119"/>
      <c r="BHB28" s="119"/>
      <c r="BHC28" s="119"/>
      <c r="BHD28" s="119"/>
      <c r="BHE28" s="119"/>
      <c r="BHF28" s="119"/>
      <c r="BHG28" s="119"/>
      <c r="BHH28" s="119"/>
      <c r="BHI28" s="119"/>
      <c r="BHJ28" s="119"/>
      <c r="BHK28" s="119"/>
      <c r="BHL28" s="119"/>
      <c r="BHM28" s="119"/>
      <c r="BHN28" s="119"/>
      <c r="BHO28" s="119"/>
      <c r="BHP28" s="119"/>
      <c r="BHQ28" s="119"/>
      <c r="BHR28" s="119"/>
      <c r="BHS28" s="119"/>
      <c r="BHT28" s="119"/>
      <c r="BHU28" s="119"/>
      <c r="BHV28" s="119"/>
      <c r="BHW28" s="119"/>
      <c r="BHX28" s="119"/>
      <c r="BHY28" s="119"/>
      <c r="BHZ28" s="119"/>
      <c r="BIA28" s="119"/>
      <c r="BIB28" s="119"/>
      <c r="BIC28" s="119"/>
      <c r="BID28" s="119"/>
      <c r="BIE28" s="119"/>
      <c r="BIF28" s="119"/>
      <c r="BIG28" s="119"/>
      <c r="BIH28" s="119"/>
      <c r="BII28" s="119"/>
      <c r="BIJ28" s="119"/>
      <c r="BIK28" s="119"/>
      <c r="BIL28" s="119"/>
      <c r="BIM28" s="119"/>
      <c r="BIN28" s="119"/>
      <c r="BIO28" s="119"/>
      <c r="BIP28" s="119"/>
      <c r="BIQ28" s="119"/>
      <c r="BIR28" s="119"/>
      <c r="BIS28" s="119"/>
      <c r="BIT28" s="119"/>
      <c r="BIU28" s="119"/>
      <c r="BIV28" s="119"/>
      <c r="BIW28" s="119"/>
      <c r="BIX28" s="119"/>
      <c r="BIY28" s="119"/>
      <c r="BIZ28" s="119"/>
      <c r="BJA28" s="119"/>
      <c r="BJB28" s="119"/>
      <c r="BJC28" s="119"/>
      <c r="BJD28" s="119"/>
      <c r="BJE28" s="119"/>
      <c r="BJF28" s="119"/>
      <c r="BJG28" s="119"/>
      <c r="BJH28" s="119"/>
      <c r="BJI28" s="119"/>
      <c r="BJJ28" s="119"/>
      <c r="BJK28" s="119"/>
      <c r="BJL28" s="119"/>
      <c r="BJM28" s="119"/>
      <c r="BJN28" s="119"/>
      <c r="BJO28" s="119"/>
      <c r="BJP28" s="119"/>
      <c r="BJQ28" s="119"/>
      <c r="BJR28" s="119"/>
      <c r="BJS28" s="119"/>
      <c r="BJT28" s="119"/>
      <c r="BJU28" s="119"/>
      <c r="BJV28" s="119"/>
      <c r="BJW28" s="119"/>
      <c r="BJX28" s="119"/>
      <c r="BJY28" s="119"/>
      <c r="BJZ28" s="119"/>
      <c r="BKA28" s="119"/>
      <c r="BKB28" s="119"/>
      <c r="BKC28" s="119"/>
      <c r="BKD28" s="119"/>
      <c r="BKE28" s="119"/>
      <c r="BKF28" s="119"/>
      <c r="BKG28" s="119"/>
      <c r="BKH28" s="119"/>
      <c r="BKI28" s="119"/>
      <c r="BKJ28" s="119"/>
      <c r="BKK28" s="119"/>
      <c r="BKL28" s="119"/>
      <c r="BKM28" s="119"/>
      <c r="BKN28" s="119"/>
      <c r="BKO28" s="119"/>
      <c r="BKP28" s="119"/>
      <c r="BKQ28" s="119"/>
      <c r="BKR28" s="119"/>
      <c r="BKS28" s="119"/>
      <c r="BKT28" s="119"/>
      <c r="BKU28" s="119"/>
      <c r="BKV28" s="119"/>
      <c r="BKW28" s="119"/>
      <c r="BKX28" s="119"/>
      <c r="BKY28" s="119"/>
      <c r="BKZ28" s="119"/>
      <c r="BLA28" s="119"/>
      <c r="BLB28" s="119"/>
      <c r="BLC28" s="119"/>
      <c r="BLD28" s="119"/>
      <c r="BLE28" s="119"/>
      <c r="BLF28" s="119"/>
      <c r="BLG28" s="119"/>
      <c r="BLH28" s="119"/>
      <c r="BLI28" s="119"/>
      <c r="BLJ28" s="119"/>
      <c r="BLK28" s="119"/>
      <c r="BLL28" s="119"/>
      <c r="BLM28" s="119"/>
      <c r="BLN28" s="119"/>
      <c r="BLO28" s="119"/>
      <c r="BLP28" s="119"/>
      <c r="BLQ28" s="119"/>
      <c r="BLR28" s="119"/>
      <c r="BLS28" s="119"/>
      <c r="BLT28" s="119"/>
      <c r="BLU28" s="119"/>
      <c r="BLV28" s="119"/>
      <c r="BLW28" s="119"/>
      <c r="BLX28" s="119"/>
      <c r="BLY28" s="119"/>
      <c r="BLZ28" s="119"/>
      <c r="BMA28" s="119"/>
      <c r="BMB28" s="119"/>
      <c r="BMC28" s="119"/>
      <c r="BMD28" s="119"/>
      <c r="BME28" s="119"/>
      <c r="BMF28" s="119"/>
      <c r="BMG28" s="119"/>
      <c r="BMH28" s="119"/>
      <c r="BMI28" s="119"/>
      <c r="BMJ28" s="119"/>
      <c r="BMK28" s="119"/>
      <c r="BML28" s="119"/>
      <c r="BMM28" s="119"/>
      <c r="BMN28" s="119"/>
      <c r="BMO28" s="119"/>
      <c r="BMP28" s="119"/>
      <c r="BMQ28" s="119"/>
      <c r="BMR28" s="119"/>
      <c r="BMS28" s="119"/>
      <c r="BMT28" s="119"/>
      <c r="BMU28" s="119"/>
      <c r="BMV28" s="119"/>
      <c r="BMW28" s="119"/>
      <c r="BMX28" s="119"/>
      <c r="BMY28" s="119"/>
      <c r="BMZ28" s="119"/>
      <c r="BNA28" s="119"/>
      <c r="BNB28" s="119"/>
      <c r="BNC28" s="119"/>
      <c r="BND28" s="119"/>
      <c r="BNE28" s="119"/>
      <c r="BNF28" s="119"/>
      <c r="BNG28" s="119"/>
      <c r="BNH28" s="119"/>
      <c r="BNI28" s="119"/>
      <c r="BNJ28" s="119"/>
      <c r="BNK28" s="119"/>
      <c r="BNL28" s="119"/>
      <c r="BNM28" s="119"/>
      <c r="BNN28" s="119"/>
      <c r="BNO28" s="119"/>
      <c r="BNP28" s="119"/>
      <c r="BNQ28" s="119"/>
      <c r="BNR28" s="119"/>
      <c r="BNS28" s="119"/>
      <c r="BNT28" s="119"/>
      <c r="BNU28" s="119"/>
      <c r="BNV28" s="119"/>
      <c r="BNW28" s="119"/>
      <c r="BNX28" s="119"/>
      <c r="BNY28" s="119"/>
      <c r="BNZ28" s="119"/>
      <c r="BOA28" s="119"/>
      <c r="BOB28" s="119"/>
      <c r="BOC28" s="119"/>
      <c r="BOD28" s="119"/>
      <c r="BOE28" s="119"/>
      <c r="BOF28" s="119"/>
      <c r="BOG28" s="119"/>
      <c r="BOH28" s="119"/>
      <c r="BOI28" s="119"/>
      <c r="BOJ28" s="119"/>
      <c r="BOK28" s="119"/>
      <c r="BOL28" s="119"/>
      <c r="BOM28" s="119"/>
      <c r="BON28" s="119"/>
      <c r="BOO28" s="119"/>
      <c r="BOP28" s="119"/>
      <c r="BOQ28" s="119"/>
      <c r="BOR28" s="119"/>
      <c r="BOS28" s="119"/>
      <c r="BOT28" s="119"/>
      <c r="BOU28" s="119"/>
      <c r="BOV28" s="119"/>
      <c r="BOW28" s="119"/>
      <c r="BOX28" s="119"/>
      <c r="BOY28" s="119"/>
      <c r="BOZ28" s="119"/>
      <c r="BPA28" s="119"/>
      <c r="BPB28" s="119"/>
      <c r="BPC28" s="119"/>
      <c r="BPD28" s="119"/>
      <c r="BPE28" s="119"/>
      <c r="BPF28" s="119"/>
      <c r="BPG28" s="119"/>
      <c r="BPH28" s="119"/>
      <c r="BPI28" s="119"/>
      <c r="BPJ28" s="119"/>
      <c r="BPK28" s="119"/>
      <c r="BPL28" s="119"/>
      <c r="BPM28" s="119"/>
      <c r="BPN28" s="119"/>
      <c r="BPO28" s="119"/>
      <c r="BPP28" s="119"/>
      <c r="BPQ28" s="119"/>
      <c r="BPR28" s="119"/>
      <c r="BPS28" s="119"/>
      <c r="BPT28" s="119"/>
      <c r="BPU28" s="119"/>
      <c r="BPV28" s="119"/>
      <c r="BPW28" s="119"/>
      <c r="BPX28" s="119"/>
      <c r="BPY28" s="119"/>
      <c r="BPZ28" s="119"/>
      <c r="BQA28" s="119"/>
      <c r="BQB28" s="119"/>
      <c r="BQC28" s="119"/>
      <c r="BQD28" s="119"/>
      <c r="BQE28" s="119"/>
      <c r="BQF28" s="119"/>
      <c r="BQG28" s="119"/>
      <c r="BQH28" s="119"/>
      <c r="BQI28" s="119"/>
      <c r="BQJ28" s="119"/>
      <c r="BQK28" s="119"/>
      <c r="BQL28" s="119"/>
      <c r="BQM28" s="119"/>
      <c r="BQN28" s="119"/>
      <c r="BQO28" s="119"/>
      <c r="BQP28" s="119"/>
      <c r="BQQ28" s="119"/>
      <c r="BQR28" s="119"/>
      <c r="BQS28" s="119"/>
      <c r="BQT28" s="119"/>
      <c r="BQU28" s="119"/>
      <c r="BQV28" s="119"/>
      <c r="BQW28" s="119"/>
      <c r="BQX28" s="119"/>
      <c r="BQY28" s="119"/>
      <c r="BQZ28" s="119"/>
      <c r="BRA28" s="119"/>
      <c r="BRB28" s="119"/>
      <c r="BRC28" s="119"/>
      <c r="BRD28" s="119"/>
      <c r="BRE28" s="119"/>
      <c r="BRF28" s="119"/>
      <c r="BRG28" s="119"/>
      <c r="BRH28" s="119"/>
      <c r="BRI28" s="119"/>
      <c r="BRJ28" s="119"/>
      <c r="BRK28" s="119"/>
      <c r="BRL28" s="119"/>
      <c r="BRM28" s="119"/>
      <c r="BRN28" s="119"/>
      <c r="BRO28" s="119"/>
      <c r="BRP28" s="119"/>
      <c r="BRQ28" s="119"/>
      <c r="BRR28" s="119"/>
      <c r="BRS28" s="119"/>
      <c r="BRT28" s="119"/>
      <c r="BRU28" s="119"/>
      <c r="BRV28" s="119"/>
      <c r="BRW28" s="119"/>
      <c r="BRX28" s="119"/>
      <c r="BRY28" s="119"/>
      <c r="BRZ28" s="119"/>
      <c r="BSA28" s="119"/>
      <c r="BSB28" s="119"/>
      <c r="BSC28" s="119"/>
      <c r="BSD28" s="119"/>
      <c r="BSE28" s="119"/>
      <c r="BSF28" s="119"/>
      <c r="BSG28" s="119"/>
      <c r="BSH28" s="119"/>
      <c r="BSI28" s="119"/>
      <c r="BSJ28" s="119"/>
      <c r="BSK28" s="119"/>
      <c r="BSL28" s="119"/>
      <c r="BSM28" s="119"/>
      <c r="BSN28" s="119"/>
      <c r="BSO28" s="119"/>
      <c r="BSP28" s="119"/>
      <c r="BSQ28" s="119"/>
      <c r="BSR28" s="119"/>
      <c r="BSS28" s="119"/>
      <c r="BST28" s="119"/>
      <c r="BSU28" s="119"/>
      <c r="BSV28" s="119"/>
      <c r="BSW28" s="119"/>
      <c r="BSX28" s="119"/>
      <c r="BSY28" s="119"/>
      <c r="BSZ28" s="119"/>
      <c r="BTA28" s="119"/>
      <c r="BTB28" s="119"/>
      <c r="BTC28" s="119"/>
      <c r="BTD28" s="119"/>
      <c r="BTE28" s="119"/>
      <c r="BTF28" s="119"/>
      <c r="BTG28" s="119"/>
      <c r="BTH28" s="119"/>
      <c r="BTI28" s="119"/>
      <c r="BTJ28" s="119"/>
      <c r="BTK28" s="119"/>
      <c r="BTL28" s="119"/>
      <c r="BTM28" s="119"/>
      <c r="BTN28" s="119"/>
      <c r="BTO28" s="119"/>
      <c r="BTP28" s="119"/>
      <c r="BTQ28" s="119"/>
      <c r="BTR28" s="119"/>
      <c r="BTS28" s="119"/>
      <c r="BTT28" s="119"/>
      <c r="BTU28" s="119"/>
      <c r="BTV28" s="119"/>
      <c r="BTW28" s="119"/>
      <c r="BTX28" s="119"/>
      <c r="BTY28" s="119"/>
      <c r="BTZ28" s="119"/>
      <c r="BUA28" s="119"/>
      <c r="BUB28" s="119"/>
      <c r="BUC28" s="119"/>
      <c r="BUD28" s="119"/>
      <c r="BUE28" s="119"/>
      <c r="BUF28" s="119"/>
      <c r="BUG28" s="119"/>
      <c r="BUH28" s="119"/>
      <c r="BUI28" s="119"/>
      <c r="BUJ28" s="119"/>
      <c r="BUK28" s="119"/>
      <c r="BUL28" s="119"/>
      <c r="BUM28" s="119"/>
      <c r="BUN28" s="119"/>
      <c r="BUO28" s="119"/>
      <c r="BUP28" s="119"/>
      <c r="BUQ28" s="119"/>
      <c r="BUR28" s="119"/>
      <c r="BUS28" s="119"/>
      <c r="BUT28" s="119"/>
      <c r="BUU28" s="119"/>
      <c r="BUV28" s="119"/>
      <c r="BUW28" s="119"/>
      <c r="BUX28" s="119"/>
      <c r="BUY28" s="119"/>
      <c r="BUZ28" s="119"/>
      <c r="BVA28" s="119"/>
      <c r="BVB28" s="119"/>
      <c r="BVC28" s="119"/>
      <c r="BVD28" s="119"/>
      <c r="BVE28" s="119"/>
      <c r="BVF28" s="119"/>
      <c r="BVG28" s="119"/>
      <c r="BVH28" s="119"/>
      <c r="BVI28" s="119"/>
      <c r="BVJ28" s="119"/>
      <c r="BVK28" s="119"/>
      <c r="BVL28" s="119"/>
      <c r="BVM28" s="119"/>
      <c r="BVN28" s="119"/>
      <c r="BVO28" s="119"/>
      <c r="BVP28" s="119"/>
      <c r="BVQ28" s="119"/>
      <c r="BVR28" s="119"/>
      <c r="BVS28" s="119"/>
      <c r="BVT28" s="119"/>
      <c r="BVU28" s="119"/>
      <c r="BVV28" s="119"/>
      <c r="BVW28" s="119"/>
      <c r="BVX28" s="119"/>
      <c r="BVY28" s="119"/>
      <c r="BVZ28" s="119"/>
      <c r="BWA28" s="119"/>
      <c r="BWB28" s="119"/>
      <c r="BWC28" s="119"/>
      <c r="BWD28" s="119"/>
      <c r="BWE28" s="119"/>
      <c r="BWF28" s="119"/>
      <c r="BWG28" s="119"/>
      <c r="BWH28" s="119"/>
      <c r="BWI28" s="119"/>
      <c r="BWJ28" s="119"/>
      <c r="BWK28" s="119"/>
      <c r="BWL28" s="119"/>
      <c r="BWM28" s="119"/>
      <c r="BWN28" s="119"/>
      <c r="BWO28" s="119"/>
      <c r="BWP28" s="119"/>
      <c r="BWQ28" s="119"/>
      <c r="BWR28" s="119"/>
      <c r="BWS28" s="119"/>
      <c r="BWT28" s="119"/>
      <c r="BWU28" s="119"/>
      <c r="BWV28" s="119"/>
      <c r="BWW28" s="119"/>
      <c r="BWX28" s="119"/>
      <c r="BWY28" s="119"/>
      <c r="BWZ28" s="119"/>
      <c r="BXA28" s="119"/>
      <c r="BXB28" s="119"/>
      <c r="BXC28" s="119"/>
      <c r="BXD28" s="119"/>
      <c r="BXE28" s="119"/>
      <c r="BXF28" s="119"/>
      <c r="BXG28" s="119"/>
      <c r="BXH28" s="119"/>
      <c r="BXI28" s="119"/>
      <c r="BXJ28" s="119"/>
      <c r="BXK28" s="119"/>
      <c r="BXL28" s="119"/>
      <c r="BXM28" s="119"/>
      <c r="BXN28" s="119"/>
      <c r="BXO28" s="119"/>
      <c r="BXP28" s="119"/>
      <c r="BXQ28" s="119"/>
      <c r="BXR28" s="119"/>
      <c r="BXS28" s="119"/>
      <c r="BXT28" s="119"/>
      <c r="BXU28" s="119"/>
      <c r="BXV28" s="119"/>
      <c r="BXW28" s="119"/>
      <c r="BXX28" s="119"/>
      <c r="BXY28" s="119"/>
      <c r="BXZ28" s="119"/>
      <c r="BYA28" s="119"/>
      <c r="BYB28" s="119"/>
      <c r="BYC28" s="119"/>
      <c r="BYD28" s="119"/>
      <c r="BYE28" s="119"/>
      <c r="BYF28" s="119"/>
      <c r="BYG28" s="119"/>
      <c r="BYH28" s="119"/>
      <c r="BYI28" s="119"/>
      <c r="BYJ28" s="119"/>
      <c r="BYK28" s="119"/>
      <c r="BYL28" s="119"/>
      <c r="BYM28" s="119"/>
      <c r="BYN28" s="119"/>
      <c r="BYO28" s="119"/>
      <c r="BYP28" s="119"/>
      <c r="BYQ28" s="119"/>
      <c r="BYR28" s="119"/>
      <c r="BYS28" s="119"/>
      <c r="BYT28" s="119"/>
      <c r="BYU28" s="119"/>
      <c r="BYV28" s="119"/>
      <c r="BYW28" s="119"/>
      <c r="BYX28" s="119"/>
      <c r="BYY28" s="119"/>
      <c r="BYZ28" s="119"/>
      <c r="BZA28" s="119"/>
      <c r="BZB28" s="119"/>
      <c r="BZC28" s="119"/>
      <c r="BZD28" s="119"/>
      <c r="BZE28" s="119"/>
      <c r="BZF28" s="119"/>
      <c r="BZG28" s="119"/>
      <c r="BZH28" s="119"/>
      <c r="BZI28" s="119"/>
      <c r="BZJ28" s="119"/>
      <c r="BZK28" s="119"/>
      <c r="BZL28" s="119"/>
      <c r="BZM28" s="119"/>
      <c r="BZN28" s="119"/>
      <c r="BZO28" s="119"/>
      <c r="BZP28" s="119"/>
      <c r="BZQ28" s="119"/>
      <c r="BZR28" s="119"/>
      <c r="BZS28" s="119"/>
      <c r="BZT28" s="119"/>
      <c r="BZU28" s="119"/>
      <c r="BZV28" s="119"/>
      <c r="BZW28" s="119"/>
      <c r="BZX28" s="119"/>
      <c r="BZY28" s="119"/>
      <c r="BZZ28" s="119"/>
      <c r="CAA28" s="119"/>
      <c r="CAB28" s="119"/>
      <c r="CAC28" s="119"/>
      <c r="CAD28" s="119"/>
      <c r="CAE28" s="119"/>
      <c r="CAF28" s="119"/>
      <c r="CAG28" s="119"/>
      <c r="CAH28" s="119"/>
      <c r="CAI28" s="119"/>
      <c r="CAJ28" s="119"/>
      <c r="CAK28" s="119"/>
      <c r="CAL28" s="119"/>
      <c r="CAM28" s="119"/>
      <c r="CAN28" s="119"/>
      <c r="CAO28" s="119"/>
      <c r="CAP28" s="119"/>
      <c r="CAQ28" s="119"/>
      <c r="CAR28" s="119"/>
      <c r="CAS28" s="119"/>
      <c r="CAT28" s="119"/>
      <c r="CAU28" s="119"/>
      <c r="CAV28" s="119"/>
      <c r="CAW28" s="119"/>
      <c r="CAX28" s="119"/>
      <c r="CAY28" s="119"/>
      <c r="CAZ28" s="119"/>
      <c r="CBA28" s="119"/>
      <c r="CBB28" s="119"/>
      <c r="CBC28" s="119"/>
      <c r="CBD28" s="119"/>
      <c r="CBE28" s="119"/>
      <c r="CBF28" s="119"/>
      <c r="CBG28" s="119"/>
      <c r="CBH28" s="119"/>
      <c r="CBI28" s="119"/>
      <c r="CBJ28" s="119"/>
      <c r="CBK28" s="119"/>
      <c r="CBL28" s="119"/>
      <c r="CBM28" s="119"/>
      <c r="CBN28" s="119"/>
      <c r="CBO28" s="119"/>
      <c r="CBP28" s="119"/>
      <c r="CBQ28" s="119"/>
      <c r="CBR28" s="119"/>
      <c r="CBS28" s="119"/>
      <c r="CBT28" s="119"/>
      <c r="CBU28" s="119"/>
      <c r="CBV28" s="119"/>
      <c r="CBW28" s="119"/>
      <c r="CBX28" s="119"/>
      <c r="CBY28" s="119"/>
      <c r="CBZ28" s="119"/>
      <c r="CCA28" s="119"/>
      <c r="CCB28" s="119"/>
      <c r="CCC28" s="119"/>
      <c r="CCD28" s="119"/>
      <c r="CCE28" s="119"/>
      <c r="CCF28" s="119"/>
      <c r="CCG28" s="119"/>
      <c r="CCH28" s="119"/>
      <c r="CCI28" s="119"/>
      <c r="CCJ28" s="119"/>
      <c r="CCK28" s="119"/>
      <c r="CCL28" s="119"/>
      <c r="CCM28" s="119"/>
      <c r="CCN28" s="119"/>
      <c r="CCO28" s="119"/>
      <c r="CCP28" s="119"/>
      <c r="CCQ28" s="119"/>
      <c r="CCR28" s="119"/>
      <c r="CCS28" s="119"/>
      <c r="CCT28" s="119"/>
      <c r="CCU28" s="119"/>
      <c r="CCV28" s="119"/>
      <c r="CCW28" s="119"/>
      <c r="CCX28" s="119"/>
      <c r="CCY28" s="119"/>
      <c r="CCZ28" s="119"/>
      <c r="CDA28" s="119"/>
      <c r="CDB28" s="119"/>
      <c r="CDC28" s="119"/>
      <c r="CDD28" s="119"/>
      <c r="CDE28" s="119"/>
      <c r="CDF28" s="119"/>
      <c r="CDG28" s="119"/>
      <c r="CDH28" s="119"/>
      <c r="CDI28" s="119"/>
      <c r="CDJ28" s="119"/>
      <c r="CDK28" s="119"/>
      <c r="CDL28" s="119"/>
      <c r="CDM28" s="119"/>
      <c r="CDN28" s="119"/>
      <c r="CDO28" s="119"/>
      <c r="CDP28" s="119"/>
      <c r="CDQ28" s="119"/>
      <c r="CDR28" s="119"/>
      <c r="CDS28" s="119"/>
      <c r="CDT28" s="119"/>
      <c r="CDU28" s="119"/>
      <c r="CDV28" s="119"/>
      <c r="CDW28" s="119"/>
      <c r="CDX28" s="119"/>
      <c r="CDY28" s="119"/>
      <c r="CDZ28" s="119"/>
      <c r="CEA28" s="119"/>
      <c r="CEB28" s="119"/>
      <c r="CEC28" s="119"/>
      <c r="CED28" s="119"/>
      <c r="CEE28" s="119"/>
      <c r="CEF28" s="119"/>
      <c r="CEG28" s="119"/>
      <c r="CEH28" s="119"/>
      <c r="CEI28" s="119"/>
      <c r="CEJ28" s="119"/>
      <c r="CEK28" s="119"/>
      <c r="CEL28" s="119"/>
      <c r="CEM28" s="119"/>
      <c r="CEN28" s="119"/>
      <c r="CEO28" s="119"/>
      <c r="CEP28" s="119"/>
      <c r="CEQ28" s="119"/>
      <c r="CER28" s="119"/>
      <c r="CES28" s="119"/>
      <c r="CET28" s="119"/>
      <c r="CEU28" s="119"/>
      <c r="CEV28" s="119"/>
      <c r="CEW28" s="119"/>
      <c r="CEX28" s="119"/>
      <c r="CEY28" s="119"/>
      <c r="CEZ28" s="119"/>
      <c r="CFA28" s="119"/>
      <c r="CFB28" s="119"/>
      <c r="CFC28" s="119"/>
      <c r="CFD28" s="119"/>
      <c r="CFE28" s="119"/>
      <c r="CFF28" s="119"/>
      <c r="CFG28" s="119"/>
      <c r="CFH28" s="119"/>
      <c r="CFI28" s="119"/>
      <c r="CFJ28" s="119"/>
      <c r="CFK28" s="119"/>
      <c r="CFL28" s="119"/>
      <c r="CFM28" s="119"/>
      <c r="CFN28" s="119"/>
      <c r="CFO28" s="119"/>
      <c r="CFP28" s="119"/>
      <c r="CFQ28" s="119"/>
      <c r="CFR28" s="119"/>
      <c r="CFS28" s="119"/>
      <c r="CFT28" s="119"/>
      <c r="CFU28" s="119"/>
      <c r="CFV28" s="119"/>
      <c r="CFW28" s="119"/>
      <c r="CFX28" s="119"/>
      <c r="CFY28" s="119"/>
      <c r="CFZ28" s="119"/>
      <c r="CGA28" s="119"/>
      <c r="CGB28" s="119"/>
      <c r="CGC28" s="119"/>
      <c r="CGD28" s="119"/>
      <c r="CGE28" s="119"/>
      <c r="CGF28" s="119"/>
      <c r="CGG28" s="119"/>
      <c r="CGH28" s="119"/>
      <c r="CGI28" s="119"/>
      <c r="CGJ28" s="119"/>
      <c r="CGK28" s="119"/>
      <c r="CGL28" s="119"/>
      <c r="CGM28" s="119"/>
      <c r="CGN28" s="119"/>
      <c r="CGO28" s="119"/>
      <c r="CGP28" s="119"/>
      <c r="CGQ28" s="119"/>
      <c r="CGR28" s="119"/>
      <c r="CGS28" s="119"/>
      <c r="CGT28" s="119"/>
      <c r="CGU28" s="119"/>
      <c r="CGV28" s="119"/>
      <c r="CGW28" s="119"/>
      <c r="CGX28" s="119"/>
      <c r="CGY28" s="119"/>
      <c r="CGZ28" s="119"/>
      <c r="CHA28" s="119"/>
      <c r="CHB28" s="119"/>
      <c r="CHC28" s="119"/>
      <c r="CHD28" s="119"/>
      <c r="CHE28" s="119"/>
      <c r="CHF28" s="119"/>
      <c r="CHG28" s="119"/>
      <c r="CHH28" s="119"/>
      <c r="CHI28" s="119"/>
      <c r="CHJ28" s="119"/>
      <c r="CHK28" s="119"/>
      <c r="CHL28" s="119"/>
      <c r="CHM28" s="119"/>
      <c r="CHN28" s="119"/>
      <c r="CHO28" s="119"/>
      <c r="CHP28" s="119"/>
      <c r="CHQ28" s="119"/>
      <c r="CHR28" s="119"/>
      <c r="CHS28" s="119"/>
      <c r="CHT28" s="119"/>
      <c r="CHU28" s="119"/>
      <c r="CHV28" s="119"/>
      <c r="CHW28" s="119"/>
      <c r="CHX28" s="119"/>
      <c r="CHY28" s="119"/>
      <c r="CHZ28" s="119"/>
      <c r="CIA28" s="119"/>
      <c r="CIB28" s="119"/>
      <c r="CIC28" s="119"/>
      <c r="CID28" s="119"/>
      <c r="CIE28" s="119"/>
      <c r="CIF28" s="119"/>
      <c r="CIG28" s="119"/>
      <c r="CIH28" s="119"/>
      <c r="CII28" s="119"/>
      <c r="CIJ28" s="119"/>
      <c r="CIK28" s="119"/>
      <c r="CIL28" s="119"/>
      <c r="CIM28" s="119"/>
      <c r="CIN28" s="119"/>
      <c r="CIO28" s="119"/>
      <c r="CIP28" s="119"/>
      <c r="CIQ28" s="119"/>
      <c r="CIR28" s="119"/>
      <c r="CIS28" s="119"/>
      <c r="CIT28" s="119"/>
      <c r="CIU28" s="119"/>
      <c r="CIV28" s="119"/>
      <c r="CIW28" s="119"/>
      <c r="CIX28" s="119"/>
      <c r="CIY28" s="119"/>
      <c r="CIZ28" s="119"/>
      <c r="CJA28" s="119"/>
      <c r="CJB28" s="119"/>
      <c r="CJC28" s="119"/>
      <c r="CJD28" s="119"/>
      <c r="CJE28" s="119"/>
      <c r="CJF28" s="119"/>
      <c r="CJG28" s="119"/>
      <c r="CJH28" s="119"/>
      <c r="CJI28" s="119"/>
      <c r="CJJ28" s="119"/>
      <c r="CJK28" s="119"/>
      <c r="CJL28" s="119"/>
      <c r="CJM28" s="119"/>
      <c r="CJN28" s="119"/>
      <c r="CJO28" s="119"/>
      <c r="CJP28" s="119"/>
      <c r="CJQ28" s="119"/>
      <c r="CJR28" s="119"/>
      <c r="CJS28" s="119"/>
      <c r="CJT28" s="119"/>
      <c r="CJU28" s="119"/>
      <c r="CJV28" s="119"/>
      <c r="CJW28" s="119"/>
      <c r="CJX28" s="119"/>
      <c r="CJY28" s="119"/>
      <c r="CJZ28" s="119"/>
      <c r="CKA28" s="119"/>
      <c r="CKB28" s="119"/>
      <c r="CKC28" s="119"/>
      <c r="CKD28" s="119"/>
      <c r="CKE28" s="119"/>
      <c r="CKF28" s="119"/>
      <c r="CKG28" s="119"/>
      <c r="CKH28" s="119"/>
      <c r="CKI28" s="119"/>
      <c r="CKJ28" s="119"/>
      <c r="CKK28" s="119"/>
      <c r="CKL28" s="119"/>
      <c r="CKM28" s="119"/>
      <c r="CKN28" s="119"/>
      <c r="CKO28" s="119"/>
      <c r="CKP28" s="119"/>
      <c r="CKQ28" s="119"/>
      <c r="CKR28" s="119"/>
      <c r="CKS28" s="119"/>
      <c r="CKT28" s="119"/>
      <c r="CKU28" s="119"/>
      <c r="CKV28" s="119"/>
      <c r="CKW28" s="119"/>
      <c r="CKX28" s="119"/>
      <c r="CKY28" s="119"/>
      <c r="CKZ28" s="119"/>
      <c r="CLA28" s="119"/>
      <c r="CLB28" s="119"/>
      <c r="CLC28" s="119"/>
      <c r="CLD28" s="119"/>
      <c r="CLE28" s="119"/>
      <c r="CLF28" s="119"/>
      <c r="CLG28" s="119"/>
      <c r="CLH28" s="119"/>
      <c r="CLI28" s="119"/>
      <c r="CLJ28" s="119"/>
      <c r="CLK28" s="119"/>
      <c r="CLL28" s="119"/>
      <c r="CLM28" s="119"/>
      <c r="CLN28" s="119"/>
      <c r="CLO28" s="119"/>
      <c r="CLP28" s="119"/>
      <c r="CLQ28" s="119"/>
      <c r="CLR28" s="119"/>
      <c r="CLS28" s="119"/>
      <c r="CLT28" s="119"/>
      <c r="CLU28" s="119"/>
      <c r="CLV28" s="119"/>
      <c r="CLW28" s="119"/>
      <c r="CLX28" s="119"/>
      <c r="CLY28" s="119"/>
      <c r="CLZ28" s="119"/>
      <c r="CMA28" s="119"/>
      <c r="CMB28" s="119"/>
      <c r="CMC28" s="119"/>
      <c r="CMD28" s="119"/>
      <c r="CME28" s="119"/>
      <c r="CMF28" s="119"/>
      <c r="CMG28" s="119"/>
      <c r="CMH28" s="119"/>
      <c r="CMI28" s="119"/>
      <c r="CMJ28" s="119"/>
      <c r="CMK28" s="119"/>
      <c r="CML28" s="119"/>
      <c r="CMM28" s="119"/>
      <c r="CMN28" s="119"/>
      <c r="CMO28" s="119"/>
      <c r="CMP28" s="119"/>
      <c r="CMQ28" s="119"/>
      <c r="CMR28" s="119"/>
      <c r="CMS28" s="119"/>
      <c r="CMT28" s="119"/>
      <c r="CMU28" s="119"/>
      <c r="CMV28" s="119"/>
      <c r="CMW28" s="119"/>
      <c r="CMX28" s="119"/>
      <c r="CMY28" s="119"/>
      <c r="CMZ28" s="119"/>
      <c r="CNA28" s="119"/>
      <c r="CNB28" s="119"/>
      <c r="CNC28" s="119"/>
      <c r="CND28" s="119"/>
      <c r="CNE28" s="119"/>
      <c r="CNF28" s="119"/>
      <c r="CNG28" s="119"/>
      <c r="CNH28" s="119"/>
      <c r="CNI28" s="119"/>
      <c r="CNJ28" s="119"/>
      <c r="CNK28" s="119"/>
      <c r="CNL28" s="119"/>
      <c r="CNM28" s="119"/>
      <c r="CNN28" s="119"/>
      <c r="CNO28" s="119"/>
      <c r="CNP28" s="119"/>
      <c r="CNQ28" s="119"/>
      <c r="CNR28" s="119"/>
      <c r="CNS28" s="119"/>
      <c r="CNT28" s="119"/>
      <c r="CNU28" s="119"/>
      <c r="CNV28" s="119"/>
      <c r="CNW28" s="119"/>
      <c r="CNX28" s="119"/>
      <c r="CNY28" s="119"/>
      <c r="CNZ28" s="119"/>
      <c r="COA28" s="119"/>
      <c r="COB28" s="119"/>
      <c r="COC28" s="119"/>
      <c r="COD28" s="119"/>
      <c r="COE28" s="119"/>
      <c r="COF28" s="119"/>
      <c r="COG28" s="119"/>
      <c r="COH28" s="119"/>
      <c r="COI28" s="119"/>
      <c r="COJ28" s="119"/>
      <c r="COK28" s="119"/>
      <c r="COL28" s="119"/>
      <c r="COM28" s="119"/>
      <c r="CON28" s="119"/>
      <c r="COO28" s="119"/>
      <c r="COP28" s="119"/>
      <c r="COQ28" s="119"/>
      <c r="COR28" s="119"/>
      <c r="COS28" s="119"/>
      <c r="COT28" s="119"/>
      <c r="COU28" s="119"/>
      <c r="COV28" s="119"/>
      <c r="COW28" s="119"/>
      <c r="COX28" s="119"/>
      <c r="COY28" s="119"/>
      <c r="COZ28" s="119"/>
      <c r="CPA28" s="119"/>
      <c r="CPB28" s="119"/>
      <c r="CPC28" s="119"/>
      <c r="CPD28" s="119"/>
      <c r="CPE28" s="119"/>
      <c r="CPF28" s="119"/>
      <c r="CPG28" s="119"/>
      <c r="CPH28" s="119"/>
      <c r="CPI28" s="119"/>
      <c r="CPJ28" s="119"/>
      <c r="CPK28" s="119"/>
      <c r="CPL28" s="119"/>
      <c r="CPM28" s="119"/>
      <c r="CPN28" s="119"/>
      <c r="CPO28" s="119"/>
      <c r="CPP28" s="119"/>
      <c r="CPQ28" s="119"/>
      <c r="CPR28" s="119"/>
      <c r="CPS28" s="119"/>
      <c r="CPT28" s="119"/>
      <c r="CPU28" s="119"/>
      <c r="CPV28" s="119"/>
      <c r="CPW28" s="119"/>
      <c r="CPX28" s="119"/>
      <c r="CPY28" s="119"/>
      <c r="CPZ28" s="119"/>
      <c r="CQA28" s="119"/>
      <c r="CQB28" s="119"/>
      <c r="CQC28" s="119"/>
      <c r="CQD28" s="119"/>
      <c r="CQE28" s="119"/>
      <c r="CQF28" s="119"/>
      <c r="CQG28" s="119"/>
      <c r="CQH28" s="119"/>
      <c r="CQI28" s="119"/>
      <c r="CQJ28" s="119"/>
      <c r="CQK28" s="119"/>
      <c r="CQL28" s="119"/>
      <c r="CQM28" s="119"/>
      <c r="CQN28" s="119"/>
      <c r="CQO28" s="119"/>
      <c r="CQP28" s="119"/>
      <c r="CQQ28" s="119"/>
      <c r="CQR28" s="119"/>
      <c r="CQS28" s="119"/>
      <c r="CQT28" s="119"/>
      <c r="CQU28" s="119"/>
      <c r="CQV28" s="119"/>
      <c r="CQW28" s="119"/>
      <c r="CQX28" s="119"/>
      <c r="CQY28" s="119"/>
      <c r="CQZ28" s="119"/>
      <c r="CRA28" s="119"/>
      <c r="CRB28" s="119"/>
      <c r="CRC28" s="119"/>
      <c r="CRD28" s="119"/>
      <c r="CRE28" s="119"/>
      <c r="CRF28" s="119"/>
      <c r="CRG28" s="119"/>
      <c r="CRH28" s="119"/>
      <c r="CRI28" s="119"/>
      <c r="CRJ28" s="119"/>
      <c r="CRK28" s="119"/>
      <c r="CRL28" s="119"/>
      <c r="CRM28" s="119"/>
      <c r="CRN28" s="119"/>
      <c r="CRO28" s="119"/>
      <c r="CRP28" s="119"/>
      <c r="CRQ28" s="119"/>
      <c r="CRR28" s="119"/>
      <c r="CRS28" s="119"/>
      <c r="CRT28" s="119"/>
      <c r="CRU28" s="119"/>
      <c r="CRV28" s="119"/>
      <c r="CRW28" s="119"/>
      <c r="CRX28" s="119"/>
      <c r="CRY28" s="119"/>
      <c r="CRZ28" s="119"/>
      <c r="CSA28" s="119"/>
      <c r="CSB28" s="119"/>
      <c r="CSC28" s="119"/>
      <c r="CSD28" s="119"/>
      <c r="CSE28" s="119"/>
      <c r="CSF28" s="119"/>
      <c r="CSG28" s="119"/>
      <c r="CSH28" s="119"/>
      <c r="CSI28" s="119"/>
      <c r="CSJ28" s="119"/>
      <c r="CSK28" s="119"/>
      <c r="CSL28" s="119"/>
      <c r="CSM28" s="119"/>
      <c r="CSN28" s="119"/>
      <c r="CSO28" s="119"/>
      <c r="CSP28" s="119"/>
      <c r="CSQ28" s="119"/>
      <c r="CSR28" s="119"/>
      <c r="CSS28" s="119"/>
      <c r="CST28" s="119"/>
      <c r="CSU28" s="119"/>
      <c r="CSV28" s="119"/>
      <c r="CSW28" s="119"/>
      <c r="CSX28" s="119"/>
      <c r="CSY28" s="119"/>
      <c r="CSZ28" s="119"/>
      <c r="CTA28" s="119"/>
      <c r="CTB28" s="119"/>
      <c r="CTC28" s="119"/>
      <c r="CTD28" s="119"/>
      <c r="CTE28" s="119"/>
      <c r="CTF28" s="119"/>
      <c r="CTG28" s="119"/>
      <c r="CTH28" s="119"/>
      <c r="CTI28" s="119"/>
      <c r="CTJ28" s="119"/>
      <c r="CTK28" s="119"/>
      <c r="CTL28" s="119"/>
      <c r="CTM28" s="119"/>
      <c r="CTN28" s="119"/>
      <c r="CTO28" s="119"/>
      <c r="CTP28" s="119"/>
      <c r="CTQ28" s="119"/>
      <c r="CTR28" s="119"/>
      <c r="CTS28" s="119"/>
      <c r="CTT28" s="119"/>
      <c r="CTU28" s="119"/>
      <c r="CTV28" s="119"/>
      <c r="CTW28" s="119"/>
      <c r="CTX28" s="119"/>
      <c r="CTY28" s="119"/>
      <c r="CTZ28" s="119"/>
      <c r="CUA28" s="119"/>
      <c r="CUB28" s="119"/>
      <c r="CUC28" s="119"/>
      <c r="CUD28" s="119"/>
      <c r="CUE28" s="119"/>
      <c r="CUF28" s="119"/>
      <c r="CUG28" s="119"/>
      <c r="CUH28" s="119"/>
      <c r="CUI28" s="119"/>
      <c r="CUJ28" s="119"/>
      <c r="CUK28" s="119"/>
      <c r="CUL28" s="119"/>
      <c r="CUM28" s="119"/>
      <c r="CUN28" s="119"/>
      <c r="CUO28" s="119"/>
      <c r="CUP28" s="119"/>
      <c r="CUQ28" s="119"/>
      <c r="CUR28" s="119"/>
      <c r="CUS28" s="119"/>
      <c r="CUT28" s="119"/>
      <c r="CUU28" s="119"/>
      <c r="CUV28" s="119"/>
      <c r="CUW28" s="119"/>
      <c r="CUX28" s="119"/>
      <c r="CUY28" s="119"/>
      <c r="CUZ28" s="119"/>
      <c r="CVA28" s="119"/>
      <c r="CVB28" s="119"/>
      <c r="CVC28" s="119"/>
      <c r="CVD28" s="119"/>
      <c r="CVE28" s="119"/>
      <c r="CVF28" s="119"/>
      <c r="CVG28" s="119"/>
      <c r="CVH28" s="119"/>
      <c r="CVI28" s="119"/>
      <c r="CVJ28" s="119"/>
      <c r="CVK28" s="119"/>
      <c r="CVL28" s="119"/>
      <c r="CVM28" s="119"/>
      <c r="CVN28" s="119"/>
      <c r="CVO28" s="119"/>
      <c r="CVP28" s="119"/>
      <c r="CVQ28" s="119"/>
      <c r="CVR28" s="119"/>
      <c r="CVS28" s="119"/>
      <c r="CVT28" s="119"/>
      <c r="CVU28" s="119"/>
      <c r="CVV28" s="119"/>
      <c r="CVW28" s="119"/>
      <c r="CVX28" s="119"/>
      <c r="CVY28" s="119"/>
      <c r="CVZ28" s="119"/>
      <c r="CWA28" s="119"/>
      <c r="CWB28" s="119"/>
      <c r="CWC28" s="119"/>
      <c r="CWD28" s="119"/>
      <c r="CWE28" s="119"/>
      <c r="CWF28" s="119"/>
      <c r="CWG28" s="119"/>
      <c r="CWH28" s="119"/>
      <c r="CWI28" s="119"/>
      <c r="CWJ28" s="119"/>
      <c r="CWK28" s="119"/>
      <c r="CWL28" s="119"/>
      <c r="CWM28" s="119"/>
      <c r="CWN28" s="119"/>
      <c r="CWO28" s="119"/>
      <c r="CWP28" s="119"/>
      <c r="CWQ28" s="119"/>
      <c r="CWR28" s="119"/>
      <c r="CWS28" s="119"/>
      <c r="CWT28" s="119"/>
      <c r="CWU28" s="119"/>
      <c r="CWV28" s="119"/>
      <c r="CWW28" s="119"/>
      <c r="CWX28" s="119"/>
      <c r="CWY28" s="119"/>
      <c r="CWZ28" s="119"/>
      <c r="CXA28" s="119"/>
      <c r="CXB28" s="119"/>
      <c r="CXC28" s="119"/>
      <c r="CXD28" s="119"/>
      <c r="CXE28" s="119"/>
      <c r="CXF28" s="119"/>
      <c r="CXG28" s="119"/>
      <c r="CXH28" s="119"/>
      <c r="CXI28" s="119"/>
      <c r="CXJ28" s="119"/>
      <c r="CXK28" s="119"/>
      <c r="CXL28" s="119"/>
      <c r="CXM28" s="119"/>
      <c r="CXN28" s="119"/>
      <c r="CXO28" s="119"/>
      <c r="CXP28" s="119"/>
      <c r="CXQ28" s="119"/>
      <c r="CXR28" s="119"/>
      <c r="CXS28" s="119"/>
      <c r="CXT28" s="119"/>
      <c r="CXU28" s="119"/>
      <c r="CXV28" s="119"/>
      <c r="CXW28" s="119"/>
      <c r="CXX28" s="119"/>
      <c r="CXY28" s="119"/>
      <c r="CXZ28" s="119"/>
      <c r="CYA28" s="119"/>
      <c r="CYB28" s="119"/>
      <c r="CYC28" s="119"/>
      <c r="CYD28" s="119"/>
      <c r="CYE28" s="119"/>
      <c r="CYF28" s="119"/>
      <c r="CYG28" s="119"/>
      <c r="CYH28" s="119"/>
      <c r="CYI28" s="119"/>
      <c r="CYJ28" s="119"/>
      <c r="CYK28" s="119"/>
      <c r="CYL28" s="119"/>
      <c r="CYM28" s="119"/>
      <c r="CYN28" s="119"/>
      <c r="CYO28" s="119"/>
      <c r="CYP28" s="119"/>
      <c r="CYQ28" s="119"/>
      <c r="CYR28" s="119"/>
      <c r="CYS28" s="119"/>
      <c r="CYT28" s="119"/>
      <c r="CYU28" s="119"/>
      <c r="CYV28" s="119"/>
      <c r="CYW28" s="119"/>
      <c r="CYX28" s="119"/>
      <c r="CYY28" s="119"/>
      <c r="CYZ28" s="119"/>
      <c r="CZA28" s="119"/>
      <c r="CZB28" s="119"/>
      <c r="CZC28" s="119"/>
      <c r="CZD28" s="119"/>
      <c r="CZE28" s="119"/>
      <c r="CZF28" s="119"/>
      <c r="CZG28" s="119"/>
      <c r="CZH28" s="119"/>
      <c r="CZI28" s="119"/>
      <c r="CZJ28" s="119"/>
      <c r="CZK28" s="119"/>
      <c r="CZL28" s="119"/>
      <c r="CZM28" s="119"/>
      <c r="CZN28" s="119"/>
      <c r="CZO28" s="119"/>
      <c r="CZP28" s="119"/>
      <c r="CZQ28" s="119"/>
      <c r="CZR28" s="119"/>
      <c r="CZS28" s="119"/>
      <c r="CZT28" s="119"/>
      <c r="CZU28" s="119"/>
      <c r="CZV28" s="119"/>
      <c r="CZW28" s="119"/>
      <c r="CZX28" s="119"/>
      <c r="CZY28" s="119"/>
      <c r="CZZ28" s="119"/>
      <c r="DAA28" s="119"/>
      <c r="DAB28" s="119"/>
      <c r="DAC28" s="119"/>
      <c r="DAD28" s="119"/>
      <c r="DAE28" s="119"/>
      <c r="DAF28" s="119"/>
      <c r="DAG28" s="119"/>
      <c r="DAH28" s="119"/>
      <c r="DAI28" s="119"/>
      <c r="DAJ28" s="119"/>
      <c r="DAK28" s="119"/>
      <c r="DAL28" s="119"/>
      <c r="DAM28" s="119"/>
      <c r="DAN28" s="119"/>
      <c r="DAO28" s="119"/>
      <c r="DAP28" s="119"/>
      <c r="DAQ28" s="119"/>
      <c r="DAR28" s="119"/>
      <c r="DAS28" s="119"/>
      <c r="DAT28" s="119"/>
      <c r="DAU28" s="119"/>
      <c r="DAV28" s="119"/>
      <c r="DAW28" s="119"/>
      <c r="DAX28" s="119"/>
      <c r="DAY28" s="119"/>
      <c r="DAZ28" s="119"/>
      <c r="DBA28" s="119"/>
      <c r="DBB28" s="119"/>
      <c r="DBC28" s="119"/>
      <c r="DBD28" s="119"/>
      <c r="DBE28" s="119"/>
      <c r="DBF28" s="119"/>
      <c r="DBG28" s="119"/>
      <c r="DBH28" s="119"/>
      <c r="DBI28" s="119"/>
      <c r="DBJ28" s="119"/>
      <c r="DBK28" s="119"/>
      <c r="DBL28" s="119"/>
      <c r="DBM28" s="119"/>
      <c r="DBN28" s="119"/>
      <c r="DBO28" s="119"/>
      <c r="DBP28" s="119"/>
      <c r="DBQ28" s="119"/>
      <c r="DBR28" s="119"/>
      <c r="DBS28" s="119"/>
      <c r="DBT28" s="119"/>
      <c r="DBU28" s="119"/>
      <c r="DBV28" s="119"/>
      <c r="DBW28" s="119"/>
      <c r="DBX28" s="119"/>
      <c r="DBY28" s="119"/>
      <c r="DBZ28" s="119"/>
      <c r="DCA28" s="119"/>
      <c r="DCB28" s="119"/>
      <c r="DCC28" s="119"/>
      <c r="DCD28" s="119"/>
      <c r="DCE28" s="119"/>
      <c r="DCF28" s="119"/>
      <c r="DCG28" s="119"/>
      <c r="DCH28" s="119"/>
      <c r="DCI28" s="119"/>
      <c r="DCJ28" s="119"/>
      <c r="DCK28" s="119"/>
      <c r="DCL28" s="119"/>
      <c r="DCM28" s="119"/>
      <c r="DCN28" s="119"/>
      <c r="DCO28" s="119"/>
      <c r="DCP28" s="119"/>
      <c r="DCQ28" s="119"/>
      <c r="DCR28" s="119"/>
      <c r="DCS28" s="119"/>
      <c r="DCT28" s="119"/>
      <c r="DCU28" s="119"/>
      <c r="DCV28" s="119"/>
      <c r="DCW28" s="119"/>
      <c r="DCX28" s="119"/>
      <c r="DCY28" s="119"/>
      <c r="DCZ28" s="119"/>
      <c r="DDA28" s="119"/>
      <c r="DDB28" s="119"/>
      <c r="DDC28" s="119"/>
      <c r="DDD28" s="119"/>
      <c r="DDE28" s="119"/>
      <c r="DDF28" s="119"/>
      <c r="DDG28" s="119"/>
      <c r="DDH28" s="119"/>
      <c r="DDI28" s="119"/>
      <c r="DDJ28" s="119"/>
      <c r="DDK28" s="119"/>
      <c r="DDL28" s="119"/>
      <c r="DDM28" s="119"/>
      <c r="DDN28" s="119"/>
      <c r="DDO28" s="119"/>
      <c r="DDP28" s="119"/>
      <c r="DDQ28" s="119"/>
      <c r="DDR28" s="119"/>
      <c r="DDS28" s="119"/>
      <c r="DDT28" s="119"/>
      <c r="DDU28" s="119"/>
      <c r="DDV28" s="119"/>
      <c r="DDW28" s="119"/>
      <c r="DDX28" s="119"/>
      <c r="DDY28" s="119"/>
      <c r="DDZ28" s="119"/>
      <c r="DEA28" s="119"/>
      <c r="DEB28" s="119"/>
      <c r="DEC28" s="119"/>
      <c r="DED28" s="119"/>
      <c r="DEE28" s="119"/>
      <c r="DEF28" s="119"/>
      <c r="DEG28" s="119"/>
      <c r="DEH28" s="119"/>
      <c r="DEI28" s="119"/>
      <c r="DEJ28" s="119"/>
      <c r="DEK28" s="119"/>
      <c r="DEL28" s="119"/>
      <c r="DEM28" s="119"/>
      <c r="DEN28" s="119"/>
      <c r="DEO28" s="119"/>
      <c r="DEP28" s="119"/>
      <c r="DEQ28" s="119"/>
      <c r="DER28" s="119"/>
      <c r="DES28" s="119"/>
      <c r="DET28" s="119"/>
      <c r="DEU28" s="119"/>
      <c r="DEV28" s="119"/>
      <c r="DEW28" s="119"/>
      <c r="DEX28" s="119"/>
      <c r="DEY28" s="119"/>
      <c r="DEZ28" s="119"/>
      <c r="DFA28" s="119"/>
      <c r="DFB28" s="119"/>
      <c r="DFC28" s="119"/>
      <c r="DFD28" s="119"/>
      <c r="DFE28" s="119"/>
      <c r="DFF28" s="119"/>
      <c r="DFG28" s="119"/>
      <c r="DFH28" s="119"/>
      <c r="DFI28" s="119"/>
      <c r="DFJ28" s="119"/>
      <c r="DFK28" s="119"/>
      <c r="DFL28" s="119"/>
      <c r="DFM28" s="119"/>
      <c r="DFN28" s="119"/>
      <c r="DFO28" s="119"/>
      <c r="DFP28" s="119"/>
      <c r="DFQ28" s="119"/>
      <c r="DFR28" s="119"/>
      <c r="DFS28" s="119"/>
      <c r="DFT28" s="119"/>
      <c r="DFU28" s="119"/>
      <c r="DFV28" s="119"/>
      <c r="DFW28" s="119"/>
      <c r="DFX28" s="119"/>
      <c r="DFY28" s="119"/>
      <c r="DFZ28" s="119"/>
      <c r="DGA28" s="119"/>
      <c r="DGB28" s="119"/>
      <c r="DGC28" s="119"/>
      <c r="DGD28" s="119"/>
      <c r="DGE28" s="119"/>
      <c r="DGF28" s="119"/>
      <c r="DGG28" s="119"/>
      <c r="DGH28" s="119"/>
      <c r="DGI28" s="119"/>
      <c r="DGJ28" s="119"/>
      <c r="DGK28" s="119"/>
      <c r="DGL28" s="119"/>
      <c r="DGM28" s="119"/>
      <c r="DGN28" s="119"/>
      <c r="DGO28" s="119"/>
      <c r="DGP28" s="119"/>
      <c r="DGQ28" s="119"/>
      <c r="DGR28" s="119"/>
      <c r="DGS28" s="119"/>
      <c r="DGT28" s="119"/>
      <c r="DGU28" s="119"/>
      <c r="DGV28" s="119"/>
      <c r="DGW28" s="119"/>
      <c r="DGX28" s="119"/>
      <c r="DGY28" s="119"/>
      <c r="DGZ28" s="119"/>
      <c r="DHA28" s="119"/>
      <c r="DHB28" s="119"/>
      <c r="DHC28" s="119"/>
      <c r="DHD28" s="119"/>
      <c r="DHE28" s="119"/>
      <c r="DHF28" s="119"/>
      <c r="DHG28" s="119"/>
      <c r="DHH28" s="119"/>
      <c r="DHI28" s="119"/>
      <c r="DHJ28" s="119"/>
      <c r="DHK28" s="119"/>
      <c r="DHL28" s="119"/>
      <c r="DHM28" s="119"/>
      <c r="DHN28" s="119"/>
      <c r="DHO28" s="119"/>
      <c r="DHP28" s="119"/>
      <c r="DHQ28" s="119"/>
      <c r="DHR28" s="119"/>
      <c r="DHS28" s="119"/>
      <c r="DHT28" s="119"/>
      <c r="DHU28" s="119"/>
      <c r="DHV28" s="119"/>
      <c r="DHW28" s="119"/>
      <c r="DHX28" s="119"/>
      <c r="DHY28" s="119"/>
      <c r="DHZ28" s="119"/>
      <c r="DIA28" s="119"/>
      <c r="DIB28" s="119"/>
      <c r="DIC28" s="119"/>
      <c r="DID28" s="119"/>
      <c r="DIE28" s="119"/>
      <c r="DIF28" s="119"/>
      <c r="DIG28" s="119"/>
      <c r="DIH28" s="119"/>
      <c r="DII28" s="119"/>
      <c r="DIJ28" s="119"/>
      <c r="DIK28" s="119"/>
      <c r="DIL28" s="119"/>
      <c r="DIM28" s="119"/>
      <c r="DIN28" s="119"/>
      <c r="DIO28" s="119"/>
      <c r="DIP28" s="119"/>
      <c r="DIQ28" s="119"/>
      <c r="DIR28" s="119"/>
      <c r="DIS28" s="119"/>
      <c r="DIT28" s="119"/>
      <c r="DIU28" s="119"/>
      <c r="DIV28" s="119"/>
      <c r="DIW28" s="119"/>
      <c r="DIX28" s="119"/>
      <c r="DIY28" s="119"/>
      <c r="DIZ28" s="119"/>
      <c r="DJA28" s="119"/>
      <c r="DJB28" s="119"/>
      <c r="DJC28" s="119"/>
      <c r="DJD28" s="119"/>
      <c r="DJE28" s="119"/>
      <c r="DJF28" s="119"/>
      <c r="DJG28" s="119"/>
      <c r="DJH28" s="119"/>
      <c r="DJI28" s="119"/>
      <c r="DJJ28" s="119"/>
      <c r="DJK28" s="119"/>
      <c r="DJL28" s="119"/>
      <c r="DJM28" s="119"/>
      <c r="DJN28" s="119"/>
      <c r="DJO28" s="119"/>
      <c r="DJP28" s="119"/>
      <c r="DJQ28" s="119"/>
      <c r="DJR28" s="119"/>
      <c r="DJS28" s="119"/>
      <c r="DJT28" s="119"/>
      <c r="DJU28" s="119"/>
      <c r="DJV28" s="119"/>
      <c r="DJW28" s="119"/>
      <c r="DJX28" s="119"/>
      <c r="DJY28" s="119"/>
      <c r="DJZ28" s="119"/>
      <c r="DKA28" s="119"/>
      <c r="DKB28" s="119"/>
      <c r="DKC28" s="119"/>
      <c r="DKD28" s="119"/>
      <c r="DKE28" s="119"/>
      <c r="DKF28" s="119"/>
      <c r="DKG28" s="119"/>
      <c r="DKH28" s="119"/>
      <c r="DKI28" s="119"/>
      <c r="DKJ28" s="119"/>
      <c r="DKK28" s="119"/>
      <c r="DKL28" s="119"/>
      <c r="DKM28" s="119"/>
      <c r="DKN28" s="119"/>
      <c r="DKO28" s="119"/>
      <c r="DKP28" s="119"/>
      <c r="DKQ28" s="119"/>
      <c r="DKR28" s="119"/>
      <c r="DKS28" s="119"/>
      <c r="DKT28" s="119"/>
      <c r="DKU28" s="119"/>
      <c r="DKV28" s="119"/>
      <c r="DKW28" s="119"/>
      <c r="DKX28" s="119"/>
      <c r="DKY28" s="119"/>
      <c r="DKZ28" s="119"/>
      <c r="DLA28" s="119"/>
      <c r="DLB28" s="119"/>
      <c r="DLC28" s="119"/>
      <c r="DLD28" s="119"/>
      <c r="DLE28" s="119"/>
      <c r="DLF28" s="119"/>
      <c r="DLG28" s="119"/>
      <c r="DLH28" s="119"/>
      <c r="DLI28" s="119"/>
      <c r="DLJ28" s="119"/>
      <c r="DLK28" s="119"/>
      <c r="DLL28" s="119"/>
      <c r="DLM28" s="119"/>
      <c r="DLN28" s="119"/>
      <c r="DLO28" s="119"/>
      <c r="DLP28" s="119"/>
      <c r="DLQ28" s="119"/>
      <c r="DLR28" s="119"/>
      <c r="DLS28" s="119"/>
      <c r="DLT28" s="119"/>
      <c r="DLU28" s="119"/>
      <c r="DLV28" s="119"/>
      <c r="DLW28" s="119"/>
      <c r="DLX28" s="119"/>
      <c r="DLY28" s="119"/>
      <c r="DLZ28" s="119"/>
      <c r="DMA28" s="119"/>
      <c r="DMB28" s="119"/>
      <c r="DMC28" s="119"/>
      <c r="DMD28" s="119"/>
      <c r="DME28" s="119"/>
      <c r="DMF28" s="119"/>
      <c r="DMG28" s="119"/>
      <c r="DMH28" s="119"/>
      <c r="DMI28" s="119"/>
      <c r="DMJ28" s="119"/>
      <c r="DMK28" s="119"/>
      <c r="DML28" s="119"/>
      <c r="DMM28" s="119"/>
      <c r="DMN28" s="119"/>
      <c r="DMO28" s="119"/>
      <c r="DMP28" s="119"/>
      <c r="DMQ28" s="119"/>
      <c r="DMR28" s="119"/>
      <c r="DMS28" s="119"/>
      <c r="DMT28" s="119"/>
      <c r="DMU28" s="119"/>
      <c r="DMV28" s="119"/>
      <c r="DMW28" s="119"/>
      <c r="DMX28" s="119"/>
      <c r="DMY28" s="119"/>
      <c r="DMZ28" s="119"/>
      <c r="DNA28" s="119"/>
      <c r="DNB28" s="119"/>
      <c r="DNC28" s="119"/>
      <c r="DND28" s="119"/>
      <c r="DNE28" s="119"/>
      <c r="DNF28" s="119"/>
      <c r="DNG28" s="119"/>
      <c r="DNH28" s="119"/>
      <c r="DNI28" s="119"/>
      <c r="DNJ28" s="119"/>
      <c r="DNK28" s="119"/>
      <c r="DNL28" s="119"/>
      <c r="DNM28" s="119"/>
      <c r="DNN28" s="119"/>
      <c r="DNO28" s="119"/>
      <c r="DNP28" s="119"/>
      <c r="DNQ28" s="119"/>
      <c r="DNR28" s="119"/>
      <c r="DNS28" s="119"/>
      <c r="DNT28" s="119"/>
      <c r="DNU28" s="119"/>
      <c r="DNV28" s="119"/>
      <c r="DNW28" s="119"/>
      <c r="DNX28" s="119"/>
      <c r="DNY28" s="119"/>
      <c r="DNZ28" s="119"/>
      <c r="DOA28" s="119"/>
      <c r="DOB28" s="119"/>
      <c r="DOC28" s="119"/>
      <c r="DOD28" s="119"/>
      <c r="DOE28" s="119"/>
      <c r="DOF28" s="119"/>
      <c r="DOG28" s="119"/>
      <c r="DOH28" s="119"/>
      <c r="DOI28" s="119"/>
      <c r="DOJ28" s="119"/>
      <c r="DOK28" s="119"/>
      <c r="DOL28" s="119"/>
      <c r="DOM28" s="119"/>
      <c r="DON28" s="119"/>
      <c r="DOO28" s="119"/>
      <c r="DOP28" s="119"/>
      <c r="DOQ28" s="119"/>
      <c r="DOR28" s="119"/>
      <c r="DOS28" s="119"/>
      <c r="DOT28" s="119"/>
      <c r="DOU28" s="119"/>
      <c r="DOV28" s="119"/>
      <c r="DOW28" s="119"/>
      <c r="DOX28" s="119"/>
      <c r="DOY28" s="119"/>
      <c r="DOZ28" s="119"/>
      <c r="DPA28" s="119"/>
      <c r="DPB28" s="119"/>
      <c r="DPC28" s="119"/>
      <c r="DPD28" s="119"/>
      <c r="DPE28" s="119"/>
      <c r="DPF28" s="119"/>
      <c r="DPG28" s="119"/>
      <c r="DPH28" s="119"/>
      <c r="DPI28" s="119"/>
      <c r="DPJ28" s="119"/>
      <c r="DPK28" s="119"/>
      <c r="DPL28" s="119"/>
      <c r="DPM28" s="119"/>
      <c r="DPN28" s="119"/>
      <c r="DPO28" s="119"/>
      <c r="DPP28" s="119"/>
      <c r="DPQ28" s="119"/>
      <c r="DPR28" s="119"/>
      <c r="DPS28" s="119"/>
      <c r="DPT28" s="119"/>
      <c r="DPU28" s="119"/>
      <c r="DPV28" s="119"/>
      <c r="DPW28" s="119"/>
      <c r="DPX28" s="119"/>
      <c r="DPY28" s="119"/>
      <c r="DPZ28" s="119"/>
      <c r="DQA28" s="119"/>
      <c r="DQB28" s="119"/>
      <c r="DQC28" s="119"/>
      <c r="DQD28" s="119"/>
      <c r="DQE28" s="119"/>
      <c r="DQF28" s="119"/>
      <c r="DQG28" s="119"/>
      <c r="DQH28" s="119"/>
      <c r="DQI28" s="119"/>
      <c r="DQJ28" s="119"/>
      <c r="DQK28" s="119"/>
      <c r="DQL28" s="119"/>
      <c r="DQM28" s="119"/>
      <c r="DQN28" s="119"/>
      <c r="DQO28" s="119"/>
      <c r="DQP28" s="119"/>
      <c r="DQQ28" s="119"/>
      <c r="DQR28" s="119"/>
      <c r="DQS28" s="119"/>
      <c r="DQT28" s="119"/>
      <c r="DQU28" s="119"/>
      <c r="DQV28" s="119"/>
      <c r="DQW28" s="119"/>
      <c r="DQX28" s="119"/>
      <c r="DQY28" s="119"/>
      <c r="DQZ28" s="119"/>
      <c r="DRA28" s="119"/>
      <c r="DRB28" s="119"/>
      <c r="DRC28" s="119"/>
      <c r="DRD28" s="119"/>
      <c r="DRE28" s="119"/>
      <c r="DRF28" s="119"/>
      <c r="DRG28" s="119"/>
      <c r="DRH28" s="119"/>
      <c r="DRI28" s="119"/>
      <c r="DRJ28" s="119"/>
      <c r="DRK28" s="119"/>
      <c r="DRL28" s="119"/>
      <c r="DRM28" s="119"/>
      <c r="DRN28" s="119"/>
      <c r="DRO28" s="119"/>
      <c r="DRP28" s="119"/>
      <c r="DRQ28" s="119"/>
      <c r="DRR28" s="119"/>
      <c r="DRS28" s="119"/>
      <c r="DRT28" s="119"/>
      <c r="DRU28" s="119"/>
      <c r="DRV28" s="119"/>
      <c r="DRW28" s="119"/>
      <c r="DRX28" s="119"/>
      <c r="DRY28" s="119"/>
      <c r="DRZ28" s="119"/>
      <c r="DSA28" s="119"/>
      <c r="DSB28" s="119"/>
      <c r="DSC28" s="119"/>
      <c r="DSD28" s="119"/>
      <c r="DSE28" s="119"/>
      <c r="DSF28" s="119"/>
      <c r="DSG28" s="119"/>
      <c r="DSH28" s="119"/>
      <c r="DSI28" s="119"/>
      <c r="DSJ28" s="119"/>
      <c r="DSK28" s="119"/>
      <c r="DSL28" s="119"/>
      <c r="DSM28" s="119"/>
      <c r="DSN28" s="119"/>
      <c r="DSO28" s="119"/>
      <c r="DSP28" s="119"/>
      <c r="DSQ28" s="119"/>
      <c r="DSR28" s="119"/>
      <c r="DSS28" s="119"/>
      <c r="DST28" s="119"/>
      <c r="DSU28" s="119"/>
      <c r="DSV28" s="119"/>
      <c r="DSW28" s="119"/>
      <c r="DSX28" s="119"/>
      <c r="DSY28" s="119"/>
      <c r="DSZ28" s="119"/>
      <c r="DTA28" s="119"/>
      <c r="DTB28" s="119"/>
      <c r="DTC28" s="119"/>
      <c r="DTD28" s="119"/>
      <c r="DTE28" s="119"/>
      <c r="DTF28" s="119"/>
      <c r="DTG28" s="119"/>
      <c r="DTH28" s="119"/>
      <c r="DTI28" s="119"/>
      <c r="DTJ28" s="119"/>
      <c r="DTK28" s="119"/>
      <c r="DTL28" s="119"/>
      <c r="DTM28" s="119"/>
      <c r="DTN28" s="119"/>
      <c r="DTO28" s="119"/>
      <c r="DTP28" s="119"/>
      <c r="DTQ28" s="119"/>
      <c r="DTR28" s="119"/>
      <c r="DTS28" s="119"/>
      <c r="DTT28" s="119"/>
      <c r="DTU28" s="119"/>
      <c r="DTV28" s="119"/>
      <c r="DTW28" s="119"/>
      <c r="DTX28" s="119"/>
      <c r="DTY28" s="119"/>
      <c r="DTZ28" s="119"/>
      <c r="DUA28" s="119"/>
      <c r="DUB28" s="119"/>
      <c r="DUC28" s="119"/>
      <c r="DUD28" s="119"/>
      <c r="DUE28" s="119"/>
      <c r="DUF28" s="119"/>
      <c r="DUG28" s="119"/>
      <c r="DUH28" s="119"/>
      <c r="DUI28" s="119"/>
      <c r="DUJ28" s="119"/>
      <c r="DUK28" s="119"/>
      <c r="DUL28" s="119"/>
      <c r="DUM28" s="119"/>
      <c r="DUN28" s="119"/>
      <c r="DUO28" s="119"/>
      <c r="DUP28" s="119"/>
      <c r="DUQ28" s="119"/>
      <c r="DUR28" s="119"/>
      <c r="DUS28" s="119"/>
      <c r="DUT28" s="119"/>
      <c r="DUU28" s="119"/>
      <c r="DUV28" s="119"/>
      <c r="DUW28" s="119"/>
      <c r="DUX28" s="119"/>
      <c r="DUY28" s="119"/>
      <c r="DUZ28" s="119"/>
      <c r="DVA28" s="119"/>
      <c r="DVB28" s="119"/>
      <c r="DVC28" s="119"/>
      <c r="DVD28" s="119"/>
      <c r="DVE28" s="119"/>
      <c r="DVF28" s="119"/>
      <c r="DVG28" s="119"/>
      <c r="DVH28" s="119"/>
      <c r="DVI28" s="119"/>
      <c r="DVJ28" s="119"/>
      <c r="DVK28" s="119"/>
      <c r="DVL28" s="119"/>
      <c r="DVM28" s="119"/>
      <c r="DVN28" s="119"/>
      <c r="DVO28" s="119"/>
      <c r="DVP28" s="119"/>
      <c r="DVQ28" s="119"/>
      <c r="DVR28" s="119"/>
      <c r="DVS28" s="119"/>
      <c r="DVT28" s="119"/>
      <c r="DVU28" s="119"/>
      <c r="DVV28" s="119"/>
      <c r="DVW28" s="119"/>
      <c r="DVX28" s="119"/>
      <c r="DVY28" s="119"/>
      <c r="DVZ28" s="119"/>
      <c r="DWA28" s="119"/>
      <c r="DWB28" s="119"/>
      <c r="DWC28" s="119"/>
      <c r="DWD28" s="119"/>
      <c r="DWE28" s="119"/>
      <c r="DWF28" s="119"/>
      <c r="DWG28" s="119"/>
      <c r="DWH28" s="119"/>
      <c r="DWI28" s="119"/>
      <c r="DWJ28" s="119"/>
      <c r="DWK28" s="119"/>
      <c r="DWL28" s="119"/>
      <c r="DWM28" s="119"/>
      <c r="DWN28" s="119"/>
      <c r="DWO28" s="119"/>
      <c r="DWP28" s="119"/>
      <c r="DWQ28" s="119"/>
      <c r="DWR28" s="119"/>
      <c r="DWS28" s="119"/>
      <c r="DWT28" s="119"/>
      <c r="DWU28" s="119"/>
      <c r="DWV28" s="119"/>
      <c r="DWW28" s="119"/>
      <c r="DWX28" s="119"/>
      <c r="DWY28" s="119"/>
      <c r="DWZ28" s="119"/>
      <c r="DXA28" s="119"/>
      <c r="DXB28" s="119"/>
      <c r="DXC28" s="119"/>
      <c r="DXD28" s="119"/>
      <c r="DXE28" s="119"/>
      <c r="DXF28" s="119"/>
      <c r="DXG28" s="119"/>
      <c r="DXH28" s="119"/>
      <c r="DXI28" s="119"/>
      <c r="DXJ28" s="119"/>
      <c r="DXK28" s="119"/>
      <c r="DXL28" s="119"/>
      <c r="DXM28" s="119"/>
      <c r="DXN28" s="119"/>
      <c r="DXO28" s="119"/>
      <c r="DXP28" s="119"/>
      <c r="DXQ28" s="119"/>
      <c r="DXR28" s="119"/>
      <c r="DXS28" s="119"/>
      <c r="DXT28" s="119"/>
      <c r="DXU28" s="119"/>
      <c r="DXV28" s="119"/>
      <c r="DXW28" s="119"/>
      <c r="DXX28" s="119"/>
      <c r="DXY28" s="119"/>
      <c r="DXZ28" s="119"/>
      <c r="DYA28" s="119"/>
      <c r="DYB28" s="119"/>
      <c r="DYC28" s="119"/>
      <c r="DYD28" s="119"/>
      <c r="DYE28" s="119"/>
      <c r="DYF28" s="119"/>
      <c r="DYG28" s="119"/>
      <c r="DYH28" s="119"/>
      <c r="DYI28" s="119"/>
      <c r="DYJ28" s="119"/>
      <c r="DYK28" s="119"/>
      <c r="DYL28" s="119"/>
      <c r="DYM28" s="119"/>
      <c r="DYN28" s="119"/>
      <c r="DYO28" s="119"/>
      <c r="DYP28" s="119"/>
      <c r="DYQ28" s="119"/>
      <c r="DYR28" s="119"/>
      <c r="DYS28" s="119"/>
      <c r="DYT28" s="119"/>
      <c r="DYU28" s="119"/>
      <c r="DYV28" s="119"/>
      <c r="DYW28" s="119"/>
      <c r="DYX28" s="119"/>
      <c r="DYY28" s="119"/>
      <c r="DYZ28" s="119"/>
      <c r="DZA28" s="119"/>
      <c r="DZB28" s="119"/>
      <c r="DZC28" s="119"/>
      <c r="DZD28" s="119"/>
      <c r="DZE28" s="119"/>
      <c r="DZF28" s="119"/>
      <c r="DZG28" s="119"/>
      <c r="DZH28" s="119"/>
      <c r="DZI28" s="119"/>
      <c r="DZJ28" s="119"/>
      <c r="DZK28" s="119"/>
      <c r="DZL28" s="119"/>
      <c r="DZM28" s="119"/>
      <c r="DZN28" s="119"/>
      <c r="DZO28" s="119"/>
      <c r="DZP28" s="119"/>
      <c r="DZQ28" s="119"/>
      <c r="DZR28" s="119"/>
      <c r="DZS28" s="119"/>
      <c r="DZT28" s="119"/>
      <c r="DZU28" s="119"/>
      <c r="DZV28" s="119"/>
      <c r="DZW28" s="119"/>
      <c r="DZX28" s="119"/>
      <c r="DZY28" s="119"/>
      <c r="DZZ28" s="119"/>
      <c r="EAA28" s="119"/>
      <c r="EAB28" s="119"/>
      <c r="EAC28" s="119"/>
      <c r="EAD28" s="119"/>
      <c r="EAE28" s="119"/>
      <c r="EAF28" s="119"/>
      <c r="EAG28" s="119"/>
      <c r="EAH28" s="119"/>
      <c r="EAI28" s="119"/>
      <c r="EAJ28" s="119"/>
      <c r="EAK28" s="119"/>
      <c r="EAL28" s="119"/>
      <c r="EAM28" s="119"/>
      <c r="EAN28" s="119"/>
      <c r="EAO28" s="119"/>
      <c r="EAP28" s="119"/>
      <c r="EAQ28" s="119"/>
      <c r="EAR28" s="119"/>
      <c r="EAS28" s="119"/>
      <c r="EAT28" s="119"/>
      <c r="EAU28" s="119"/>
      <c r="EAV28" s="119"/>
      <c r="EAW28" s="119"/>
      <c r="EAX28" s="119"/>
      <c r="EAY28" s="119"/>
      <c r="EAZ28" s="119"/>
      <c r="EBA28" s="119"/>
      <c r="EBB28" s="119"/>
      <c r="EBC28" s="119"/>
      <c r="EBD28" s="119"/>
      <c r="EBE28" s="119"/>
      <c r="EBF28" s="119"/>
      <c r="EBG28" s="119"/>
      <c r="EBH28" s="119"/>
      <c r="EBI28" s="119"/>
      <c r="EBJ28" s="119"/>
      <c r="EBK28" s="119"/>
      <c r="EBL28" s="119"/>
      <c r="EBM28" s="119"/>
      <c r="EBN28" s="119"/>
      <c r="EBO28" s="119"/>
      <c r="EBP28" s="119"/>
      <c r="EBQ28" s="119"/>
      <c r="EBR28" s="119"/>
      <c r="EBS28" s="119"/>
      <c r="EBT28" s="119"/>
      <c r="EBU28" s="119"/>
      <c r="EBV28" s="119"/>
      <c r="EBW28" s="119"/>
      <c r="EBX28" s="119"/>
      <c r="EBY28" s="119"/>
      <c r="EBZ28" s="119"/>
      <c r="ECA28" s="119"/>
      <c r="ECB28" s="119"/>
      <c r="ECC28" s="119"/>
      <c r="ECD28" s="119"/>
      <c r="ECE28" s="119"/>
      <c r="ECF28" s="119"/>
      <c r="ECG28" s="119"/>
      <c r="ECH28" s="119"/>
      <c r="ECI28" s="119"/>
      <c r="ECJ28" s="119"/>
      <c r="ECK28" s="119"/>
      <c r="ECL28" s="119"/>
      <c r="ECM28" s="119"/>
      <c r="ECN28" s="119"/>
      <c r="ECO28" s="119"/>
      <c r="ECP28" s="119"/>
      <c r="ECQ28" s="119"/>
      <c r="ECR28" s="119"/>
      <c r="ECS28" s="119"/>
      <c r="ECT28" s="119"/>
      <c r="ECU28" s="119"/>
      <c r="ECV28" s="119"/>
      <c r="ECW28" s="119"/>
      <c r="ECX28" s="119"/>
      <c r="ECY28" s="119"/>
      <c r="ECZ28" s="119"/>
      <c r="EDA28" s="119"/>
      <c r="EDB28" s="119"/>
      <c r="EDC28" s="119"/>
      <c r="EDD28" s="119"/>
      <c r="EDE28" s="119"/>
      <c r="EDF28" s="119"/>
      <c r="EDG28" s="119"/>
      <c r="EDH28" s="119"/>
      <c r="EDI28" s="119"/>
      <c r="EDJ28" s="119"/>
      <c r="EDK28" s="119"/>
      <c r="EDL28" s="119"/>
      <c r="EDM28" s="119"/>
      <c r="EDN28" s="119"/>
      <c r="EDO28" s="119"/>
      <c r="EDP28" s="119"/>
      <c r="EDQ28" s="119"/>
      <c r="EDR28" s="119"/>
      <c r="EDS28" s="119"/>
      <c r="EDT28" s="119"/>
      <c r="EDU28" s="119"/>
      <c r="EDV28" s="119"/>
      <c r="EDW28" s="119"/>
      <c r="EDX28" s="119"/>
      <c r="EDY28" s="119"/>
      <c r="EDZ28" s="119"/>
      <c r="EEA28" s="119"/>
      <c r="EEB28" s="119"/>
      <c r="EEC28" s="119"/>
      <c r="EED28" s="119"/>
      <c r="EEE28" s="119"/>
      <c r="EEF28" s="119"/>
      <c r="EEG28" s="119"/>
      <c r="EEH28" s="119"/>
      <c r="EEI28" s="119"/>
      <c r="EEJ28" s="119"/>
      <c r="EEK28" s="119"/>
      <c r="EEL28" s="119"/>
      <c r="EEM28" s="119"/>
      <c r="EEN28" s="119"/>
      <c r="EEO28" s="119"/>
      <c r="EEP28" s="119"/>
      <c r="EEQ28" s="119"/>
      <c r="EER28" s="119"/>
      <c r="EES28" s="119"/>
      <c r="EET28" s="119"/>
      <c r="EEU28" s="119"/>
      <c r="EEV28" s="119"/>
      <c r="EEW28" s="119"/>
      <c r="EEX28" s="119"/>
      <c r="EEY28" s="119"/>
      <c r="EEZ28" s="119"/>
      <c r="EFA28" s="119"/>
      <c r="EFB28" s="119"/>
      <c r="EFC28" s="119"/>
      <c r="EFD28" s="119"/>
      <c r="EFE28" s="119"/>
      <c r="EFF28" s="119"/>
      <c r="EFG28" s="119"/>
      <c r="EFH28" s="119"/>
      <c r="EFI28" s="119"/>
      <c r="EFJ28" s="119"/>
      <c r="EFK28" s="119"/>
      <c r="EFL28" s="119"/>
      <c r="EFM28" s="119"/>
      <c r="EFN28" s="119"/>
      <c r="EFO28" s="119"/>
      <c r="EFP28" s="119"/>
      <c r="EFQ28" s="119"/>
      <c r="EFR28" s="119"/>
      <c r="EFS28" s="119"/>
      <c r="EFT28" s="119"/>
      <c r="EFU28" s="119"/>
      <c r="EFV28" s="119"/>
      <c r="EFW28" s="119"/>
      <c r="EFX28" s="119"/>
      <c r="EFY28" s="119"/>
      <c r="EFZ28" s="119"/>
      <c r="EGA28" s="119"/>
      <c r="EGB28" s="119"/>
      <c r="EGC28" s="119"/>
      <c r="EGD28" s="119"/>
      <c r="EGE28" s="119"/>
      <c r="EGF28" s="119"/>
      <c r="EGG28" s="119"/>
      <c r="EGH28" s="119"/>
      <c r="EGI28" s="119"/>
      <c r="EGJ28" s="119"/>
      <c r="EGK28" s="119"/>
      <c r="EGL28" s="119"/>
      <c r="EGM28" s="119"/>
      <c r="EGN28" s="119"/>
      <c r="EGO28" s="119"/>
      <c r="EGP28" s="119"/>
      <c r="EGQ28" s="119"/>
      <c r="EGR28" s="119"/>
      <c r="EGS28" s="119"/>
      <c r="EGT28" s="119"/>
      <c r="EGU28" s="119"/>
      <c r="EGV28" s="119"/>
      <c r="EGW28" s="119"/>
      <c r="EGX28" s="119"/>
      <c r="EGY28" s="119"/>
      <c r="EGZ28" s="119"/>
      <c r="EHA28" s="119"/>
      <c r="EHB28" s="119"/>
      <c r="EHC28" s="119"/>
      <c r="EHD28" s="119"/>
      <c r="EHE28" s="119"/>
      <c r="EHF28" s="119"/>
      <c r="EHG28" s="119"/>
      <c r="EHH28" s="119"/>
      <c r="EHI28" s="119"/>
      <c r="EHJ28" s="119"/>
      <c r="EHK28" s="119"/>
      <c r="EHL28" s="119"/>
      <c r="EHM28" s="119"/>
      <c r="EHN28" s="119"/>
      <c r="EHO28" s="119"/>
      <c r="EHP28" s="119"/>
      <c r="EHQ28" s="119"/>
      <c r="EHR28" s="119"/>
      <c r="EHS28" s="119"/>
      <c r="EHT28" s="119"/>
      <c r="EHU28" s="119"/>
      <c r="EHV28" s="119"/>
      <c r="EHW28" s="119"/>
      <c r="EHX28" s="119"/>
      <c r="EHY28" s="119"/>
      <c r="EHZ28" s="119"/>
      <c r="EIA28" s="119"/>
      <c r="EIB28" s="119"/>
      <c r="EIC28" s="119"/>
      <c r="EID28" s="119"/>
      <c r="EIE28" s="119"/>
      <c r="EIF28" s="119"/>
      <c r="EIG28" s="119"/>
      <c r="EIH28" s="119"/>
      <c r="EII28" s="119"/>
      <c r="EIJ28" s="119"/>
      <c r="EIK28" s="119"/>
      <c r="EIL28" s="119"/>
      <c r="EIM28" s="119"/>
      <c r="EIN28" s="119"/>
      <c r="EIO28" s="119"/>
      <c r="EIP28" s="119"/>
      <c r="EIQ28" s="119"/>
      <c r="EIR28" s="119"/>
      <c r="EIS28" s="119"/>
      <c r="EIT28" s="119"/>
      <c r="EIU28" s="119"/>
      <c r="EIV28" s="119"/>
      <c r="EIW28" s="119"/>
      <c r="EIX28" s="119"/>
      <c r="EIY28" s="119"/>
      <c r="EIZ28" s="119"/>
      <c r="EJA28" s="119"/>
      <c r="EJB28" s="119"/>
      <c r="EJC28" s="119"/>
      <c r="EJD28" s="119"/>
      <c r="EJE28" s="119"/>
      <c r="EJF28" s="119"/>
      <c r="EJG28" s="119"/>
      <c r="EJH28" s="119"/>
      <c r="EJI28" s="119"/>
      <c r="EJJ28" s="119"/>
      <c r="EJK28" s="119"/>
      <c r="EJL28" s="119"/>
      <c r="EJM28" s="119"/>
      <c r="EJN28" s="119"/>
      <c r="EJO28" s="119"/>
      <c r="EJP28" s="119"/>
      <c r="EJQ28" s="119"/>
      <c r="EJR28" s="119"/>
      <c r="EJS28" s="119"/>
      <c r="EJT28" s="119"/>
      <c r="EJU28" s="119"/>
      <c r="EJV28" s="119"/>
      <c r="EJW28" s="119"/>
      <c r="EJX28" s="119"/>
      <c r="EJY28" s="119"/>
      <c r="EJZ28" s="119"/>
      <c r="EKA28" s="119"/>
      <c r="EKB28" s="119"/>
      <c r="EKC28" s="119"/>
      <c r="EKD28" s="119"/>
      <c r="EKE28" s="119"/>
      <c r="EKF28" s="119"/>
      <c r="EKG28" s="119"/>
      <c r="EKH28" s="119"/>
      <c r="EKI28" s="119"/>
      <c r="EKJ28" s="119"/>
      <c r="EKK28" s="119"/>
      <c r="EKL28" s="119"/>
      <c r="EKM28" s="119"/>
      <c r="EKN28" s="119"/>
      <c r="EKO28" s="119"/>
      <c r="EKP28" s="119"/>
      <c r="EKQ28" s="119"/>
      <c r="EKR28" s="119"/>
      <c r="EKS28" s="119"/>
      <c r="EKT28" s="119"/>
      <c r="EKU28" s="119"/>
      <c r="EKV28" s="119"/>
      <c r="EKW28" s="119"/>
      <c r="EKX28" s="119"/>
      <c r="EKY28" s="119"/>
      <c r="EKZ28" s="119"/>
      <c r="ELA28" s="119"/>
      <c r="ELB28" s="119"/>
      <c r="ELC28" s="119"/>
      <c r="ELD28" s="119"/>
      <c r="ELE28" s="119"/>
      <c r="ELF28" s="119"/>
      <c r="ELG28" s="119"/>
      <c r="ELH28" s="119"/>
      <c r="ELI28" s="119"/>
      <c r="ELJ28" s="119"/>
      <c r="ELK28" s="119"/>
      <c r="ELL28" s="119"/>
      <c r="ELM28" s="119"/>
      <c r="ELN28" s="119"/>
      <c r="ELO28" s="119"/>
      <c r="ELP28" s="119"/>
      <c r="ELQ28" s="119"/>
      <c r="ELR28" s="119"/>
      <c r="ELS28" s="119"/>
      <c r="ELT28" s="119"/>
      <c r="ELU28" s="119"/>
      <c r="ELV28" s="119"/>
      <c r="ELW28" s="119"/>
      <c r="ELX28" s="119"/>
      <c r="ELY28" s="119"/>
      <c r="ELZ28" s="119"/>
      <c r="EMA28" s="119"/>
      <c r="EMB28" s="119"/>
      <c r="EMC28" s="119"/>
      <c r="EMD28" s="119"/>
      <c r="EME28" s="119"/>
      <c r="EMF28" s="119"/>
      <c r="EMG28" s="119"/>
      <c r="EMH28" s="119"/>
      <c r="EMI28" s="119"/>
      <c r="EMJ28" s="119"/>
      <c r="EMK28" s="119"/>
      <c r="EML28" s="119"/>
      <c r="EMM28" s="119"/>
      <c r="EMN28" s="119"/>
      <c r="EMO28" s="119"/>
      <c r="EMP28" s="119"/>
      <c r="EMQ28" s="119"/>
      <c r="EMR28" s="119"/>
      <c r="EMS28" s="119"/>
      <c r="EMT28" s="119"/>
      <c r="EMU28" s="119"/>
      <c r="EMV28" s="119"/>
      <c r="EMW28" s="119"/>
      <c r="EMX28" s="119"/>
      <c r="EMY28" s="119"/>
      <c r="EMZ28" s="119"/>
      <c r="ENA28" s="119"/>
      <c r="ENB28" s="119"/>
      <c r="ENC28" s="119"/>
      <c r="END28" s="119"/>
      <c r="ENE28" s="119"/>
      <c r="ENF28" s="119"/>
      <c r="ENG28" s="119"/>
      <c r="ENH28" s="119"/>
      <c r="ENI28" s="119"/>
      <c r="ENJ28" s="119"/>
      <c r="ENK28" s="119"/>
      <c r="ENL28" s="119"/>
      <c r="ENM28" s="119"/>
      <c r="ENN28" s="119"/>
      <c r="ENO28" s="119"/>
      <c r="ENP28" s="119"/>
      <c r="ENQ28" s="119"/>
      <c r="ENR28" s="119"/>
      <c r="ENS28" s="119"/>
      <c r="ENT28" s="119"/>
      <c r="ENU28" s="119"/>
      <c r="ENV28" s="119"/>
      <c r="ENW28" s="119"/>
      <c r="ENX28" s="119"/>
      <c r="ENY28" s="119"/>
      <c r="ENZ28" s="119"/>
      <c r="EOA28" s="119"/>
      <c r="EOB28" s="119"/>
      <c r="EOC28" s="119"/>
      <c r="EOD28" s="119"/>
      <c r="EOE28" s="119"/>
      <c r="EOF28" s="119"/>
      <c r="EOG28" s="119"/>
      <c r="EOH28" s="119"/>
      <c r="EOI28" s="119"/>
      <c r="EOJ28" s="119"/>
      <c r="EOK28" s="119"/>
      <c r="EOL28" s="119"/>
      <c r="EOM28" s="119"/>
      <c r="EON28" s="119"/>
      <c r="EOO28" s="119"/>
      <c r="EOP28" s="119"/>
      <c r="EOQ28" s="119"/>
      <c r="EOR28" s="119"/>
      <c r="EOS28" s="119"/>
      <c r="EOT28" s="119"/>
      <c r="EOU28" s="119"/>
      <c r="EOV28" s="119"/>
      <c r="EOW28" s="119"/>
      <c r="EOX28" s="119"/>
      <c r="EOY28" s="119"/>
      <c r="EOZ28" s="119"/>
      <c r="EPA28" s="119"/>
      <c r="EPB28" s="119"/>
      <c r="EPC28" s="119"/>
      <c r="EPD28" s="119"/>
      <c r="EPE28" s="119"/>
      <c r="EPF28" s="119"/>
      <c r="EPG28" s="119"/>
      <c r="EPH28" s="119"/>
      <c r="EPI28" s="119"/>
      <c r="EPJ28" s="119"/>
      <c r="EPK28" s="119"/>
      <c r="EPL28" s="119"/>
      <c r="EPM28" s="119"/>
      <c r="EPN28" s="119"/>
      <c r="EPO28" s="119"/>
      <c r="EPP28" s="119"/>
      <c r="EPQ28" s="119"/>
      <c r="EPR28" s="119"/>
      <c r="EPS28" s="119"/>
      <c r="EPT28" s="119"/>
      <c r="EPU28" s="119"/>
      <c r="EPV28" s="119"/>
      <c r="EPW28" s="119"/>
      <c r="EPX28" s="119"/>
      <c r="EPY28" s="119"/>
      <c r="EPZ28" s="119"/>
      <c r="EQA28" s="119"/>
      <c r="EQB28" s="119"/>
      <c r="EQC28" s="119"/>
      <c r="EQD28" s="119"/>
      <c r="EQE28" s="119"/>
      <c r="EQF28" s="119"/>
      <c r="EQG28" s="119"/>
      <c r="EQH28" s="119"/>
      <c r="EQI28" s="119"/>
      <c r="EQJ28" s="119"/>
      <c r="EQK28" s="119"/>
      <c r="EQL28" s="119"/>
      <c r="EQM28" s="119"/>
      <c r="EQN28" s="119"/>
      <c r="EQO28" s="119"/>
      <c r="EQP28" s="119"/>
      <c r="EQQ28" s="119"/>
      <c r="EQR28" s="119"/>
      <c r="EQS28" s="119"/>
      <c r="EQT28" s="119"/>
      <c r="EQU28" s="119"/>
      <c r="EQV28" s="119"/>
      <c r="EQW28" s="119"/>
      <c r="EQX28" s="119"/>
      <c r="EQY28" s="119"/>
      <c r="EQZ28" s="119"/>
      <c r="ERA28" s="119"/>
      <c r="ERB28" s="119"/>
      <c r="ERC28" s="119"/>
      <c r="ERD28" s="119"/>
      <c r="ERE28" s="119"/>
      <c r="ERF28" s="119"/>
      <c r="ERG28" s="119"/>
      <c r="ERH28" s="119"/>
      <c r="ERI28" s="119"/>
      <c r="ERJ28" s="119"/>
      <c r="ERK28" s="119"/>
      <c r="ERL28" s="119"/>
      <c r="ERM28" s="119"/>
      <c r="ERN28" s="119"/>
      <c r="ERO28" s="119"/>
      <c r="ERP28" s="119"/>
      <c r="ERQ28" s="119"/>
      <c r="ERR28" s="119"/>
      <c r="ERS28" s="119"/>
      <c r="ERT28" s="119"/>
      <c r="ERU28" s="119"/>
      <c r="ERV28" s="119"/>
      <c r="ERW28" s="119"/>
      <c r="ERX28" s="119"/>
      <c r="ERY28" s="119"/>
      <c r="ERZ28" s="119"/>
      <c r="ESA28" s="119"/>
      <c r="ESB28" s="119"/>
      <c r="ESC28" s="119"/>
      <c r="ESD28" s="119"/>
      <c r="ESE28" s="119"/>
      <c r="ESF28" s="119"/>
      <c r="ESG28" s="119"/>
      <c r="ESH28" s="119"/>
      <c r="ESI28" s="119"/>
      <c r="ESJ28" s="119"/>
      <c r="ESK28" s="119"/>
      <c r="ESL28" s="119"/>
      <c r="ESM28" s="119"/>
      <c r="ESN28" s="119"/>
      <c r="ESO28" s="119"/>
      <c r="ESP28" s="119"/>
      <c r="ESQ28" s="119"/>
      <c r="ESR28" s="119"/>
      <c r="ESS28" s="119"/>
      <c r="EST28" s="119"/>
      <c r="ESU28" s="119"/>
      <c r="ESV28" s="119"/>
      <c r="ESW28" s="119"/>
      <c r="ESX28" s="119"/>
      <c r="ESY28" s="119"/>
      <c r="ESZ28" s="119"/>
      <c r="ETA28" s="119"/>
      <c r="ETB28" s="119"/>
      <c r="ETC28" s="119"/>
      <c r="ETD28" s="119"/>
      <c r="ETE28" s="119"/>
      <c r="ETF28" s="119"/>
      <c r="ETG28" s="119"/>
      <c r="ETH28" s="119"/>
      <c r="ETI28" s="119"/>
      <c r="ETJ28" s="119"/>
      <c r="ETK28" s="119"/>
      <c r="ETL28" s="119"/>
      <c r="ETM28" s="119"/>
      <c r="ETN28" s="119"/>
      <c r="ETO28" s="119"/>
      <c r="ETP28" s="119"/>
      <c r="ETQ28" s="119"/>
      <c r="ETR28" s="119"/>
      <c r="ETS28" s="119"/>
      <c r="ETT28" s="119"/>
      <c r="ETU28" s="119"/>
      <c r="ETV28" s="119"/>
      <c r="ETW28" s="119"/>
      <c r="ETX28" s="119"/>
      <c r="ETY28" s="119"/>
      <c r="ETZ28" s="119"/>
      <c r="EUA28" s="119"/>
      <c r="EUB28" s="119"/>
      <c r="EUC28" s="119"/>
      <c r="EUD28" s="119"/>
      <c r="EUE28" s="119"/>
      <c r="EUF28" s="119"/>
      <c r="EUG28" s="119"/>
      <c r="EUH28" s="119"/>
      <c r="EUI28" s="119"/>
      <c r="EUJ28" s="119"/>
      <c r="EUK28" s="119"/>
      <c r="EUL28" s="119"/>
      <c r="EUM28" s="119"/>
      <c r="EUN28" s="119"/>
      <c r="EUO28" s="119"/>
      <c r="EUP28" s="119"/>
      <c r="EUQ28" s="119"/>
      <c r="EUR28" s="119"/>
      <c r="EUS28" s="119"/>
      <c r="EUT28" s="119"/>
      <c r="EUU28" s="119"/>
      <c r="EUV28" s="119"/>
      <c r="EUW28" s="119"/>
      <c r="EUX28" s="119"/>
      <c r="EUY28" s="119"/>
      <c r="EUZ28" s="119"/>
      <c r="EVA28" s="119"/>
      <c r="EVB28" s="119"/>
      <c r="EVC28" s="119"/>
      <c r="EVD28" s="119"/>
      <c r="EVE28" s="119"/>
      <c r="EVF28" s="119"/>
      <c r="EVG28" s="119"/>
      <c r="EVH28" s="119"/>
      <c r="EVI28" s="119"/>
      <c r="EVJ28" s="119"/>
      <c r="EVK28" s="119"/>
      <c r="EVL28" s="119"/>
      <c r="EVM28" s="119"/>
      <c r="EVN28" s="119"/>
      <c r="EVO28" s="119"/>
      <c r="EVP28" s="119"/>
      <c r="EVQ28" s="119"/>
      <c r="EVR28" s="119"/>
      <c r="EVS28" s="119"/>
      <c r="EVT28" s="119"/>
      <c r="EVU28" s="119"/>
      <c r="EVV28" s="119"/>
      <c r="EVW28" s="119"/>
      <c r="EVX28" s="119"/>
      <c r="EVY28" s="119"/>
      <c r="EVZ28" s="119"/>
      <c r="EWA28" s="119"/>
      <c r="EWB28" s="119"/>
      <c r="EWC28" s="119"/>
      <c r="EWD28" s="119"/>
      <c r="EWE28" s="119"/>
      <c r="EWF28" s="119"/>
      <c r="EWG28" s="119"/>
      <c r="EWH28" s="119"/>
      <c r="EWI28" s="119"/>
      <c r="EWJ28" s="119"/>
      <c r="EWK28" s="119"/>
      <c r="EWL28" s="119"/>
      <c r="EWM28" s="119"/>
      <c r="EWN28" s="119"/>
      <c r="EWO28" s="119"/>
      <c r="EWP28" s="119"/>
      <c r="EWQ28" s="119"/>
      <c r="EWR28" s="119"/>
      <c r="EWS28" s="119"/>
      <c r="EWT28" s="119"/>
      <c r="EWU28" s="119"/>
      <c r="EWV28" s="119"/>
      <c r="EWW28" s="119"/>
      <c r="EWX28" s="119"/>
      <c r="EWY28" s="119"/>
      <c r="EWZ28" s="119"/>
      <c r="EXA28" s="119"/>
      <c r="EXB28" s="119"/>
      <c r="EXC28" s="119"/>
      <c r="EXD28" s="119"/>
      <c r="EXE28" s="119"/>
      <c r="EXF28" s="119"/>
      <c r="EXG28" s="119"/>
      <c r="EXH28" s="119"/>
      <c r="EXI28" s="119"/>
      <c r="EXJ28" s="119"/>
      <c r="EXK28" s="119"/>
      <c r="EXL28" s="119"/>
      <c r="EXM28" s="119"/>
      <c r="EXN28" s="119"/>
      <c r="EXO28" s="119"/>
      <c r="EXP28" s="119"/>
      <c r="EXQ28" s="119"/>
      <c r="EXR28" s="119"/>
      <c r="EXS28" s="119"/>
      <c r="EXT28" s="119"/>
      <c r="EXU28" s="119"/>
      <c r="EXV28" s="119"/>
      <c r="EXW28" s="119"/>
      <c r="EXX28" s="119"/>
      <c r="EXY28" s="119"/>
      <c r="EXZ28" s="119"/>
      <c r="EYA28" s="119"/>
      <c r="EYB28" s="119"/>
      <c r="EYC28" s="119"/>
      <c r="EYD28" s="119"/>
      <c r="EYE28" s="119"/>
      <c r="EYF28" s="119"/>
      <c r="EYG28" s="119"/>
      <c r="EYH28" s="119"/>
      <c r="EYI28" s="119"/>
      <c r="EYJ28" s="119"/>
      <c r="EYK28" s="119"/>
      <c r="EYL28" s="119"/>
      <c r="EYM28" s="119"/>
      <c r="EYN28" s="119"/>
      <c r="EYO28" s="119"/>
      <c r="EYP28" s="119"/>
      <c r="EYQ28" s="119"/>
      <c r="EYR28" s="119"/>
      <c r="EYS28" s="119"/>
      <c r="EYT28" s="119"/>
      <c r="EYU28" s="119"/>
      <c r="EYV28" s="119"/>
      <c r="EYW28" s="119"/>
      <c r="EYX28" s="119"/>
      <c r="EYY28" s="119"/>
      <c r="EYZ28" s="119"/>
      <c r="EZA28" s="119"/>
      <c r="EZB28" s="119"/>
      <c r="EZC28" s="119"/>
      <c r="EZD28" s="119"/>
      <c r="EZE28" s="119"/>
      <c r="EZF28" s="119"/>
      <c r="EZG28" s="119"/>
      <c r="EZH28" s="119"/>
      <c r="EZI28" s="119"/>
      <c r="EZJ28" s="119"/>
      <c r="EZK28" s="119"/>
      <c r="EZL28" s="119"/>
      <c r="EZM28" s="119"/>
      <c r="EZN28" s="119"/>
      <c r="EZO28" s="119"/>
      <c r="EZP28" s="119"/>
      <c r="EZQ28" s="119"/>
      <c r="EZR28" s="119"/>
      <c r="EZS28" s="119"/>
      <c r="EZT28" s="119"/>
      <c r="EZU28" s="119"/>
      <c r="EZV28" s="119"/>
      <c r="EZW28" s="119"/>
      <c r="EZX28" s="119"/>
      <c r="EZY28" s="119"/>
      <c r="EZZ28" s="119"/>
      <c r="FAA28" s="119"/>
      <c r="FAB28" s="119"/>
      <c r="FAC28" s="119"/>
      <c r="FAD28" s="119"/>
      <c r="FAE28" s="119"/>
      <c r="FAF28" s="119"/>
      <c r="FAG28" s="119"/>
      <c r="FAH28" s="119"/>
      <c r="FAI28" s="119"/>
      <c r="FAJ28" s="119"/>
      <c r="FAK28" s="119"/>
      <c r="FAL28" s="119"/>
      <c r="FAM28" s="119"/>
      <c r="FAN28" s="119"/>
      <c r="FAO28" s="119"/>
      <c r="FAP28" s="119"/>
      <c r="FAQ28" s="119"/>
      <c r="FAR28" s="119"/>
      <c r="FAS28" s="119"/>
      <c r="FAT28" s="119"/>
      <c r="FAU28" s="119"/>
      <c r="FAV28" s="119"/>
      <c r="FAW28" s="119"/>
      <c r="FAX28" s="119"/>
      <c r="FAY28" s="119"/>
      <c r="FAZ28" s="119"/>
      <c r="FBA28" s="119"/>
      <c r="FBB28" s="119"/>
      <c r="FBC28" s="119"/>
      <c r="FBD28" s="119"/>
      <c r="FBE28" s="119"/>
      <c r="FBF28" s="119"/>
      <c r="FBG28" s="119"/>
      <c r="FBH28" s="119"/>
      <c r="FBI28" s="119"/>
      <c r="FBJ28" s="119"/>
      <c r="FBK28" s="119"/>
      <c r="FBL28" s="119"/>
      <c r="FBM28" s="119"/>
      <c r="FBN28" s="119"/>
      <c r="FBO28" s="119"/>
      <c r="FBP28" s="119"/>
      <c r="FBQ28" s="119"/>
      <c r="FBR28" s="119"/>
      <c r="FBS28" s="119"/>
      <c r="FBT28" s="119"/>
      <c r="FBU28" s="119"/>
      <c r="FBV28" s="119"/>
      <c r="FBW28" s="119"/>
      <c r="FBX28" s="119"/>
      <c r="FBY28" s="119"/>
      <c r="FBZ28" s="119"/>
      <c r="FCA28" s="119"/>
      <c r="FCB28" s="119"/>
      <c r="FCC28" s="119"/>
      <c r="FCD28" s="119"/>
      <c r="FCE28" s="119"/>
      <c r="FCF28" s="119"/>
      <c r="FCG28" s="119"/>
      <c r="FCH28" s="119"/>
      <c r="FCI28" s="119"/>
      <c r="FCJ28" s="119"/>
      <c r="FCK28" s="119"/>
      <c r="FCL28" s="119"/>
      <c r="FCM28" s="119"/>
      <c r="FCN28" s="119"/>
      <c r="FCO28" s="119"/>
      <c r="FCP28" s="119"/>
      <c r="FCQ28" s="119"/>
      <c r="FCR28" s="119"/>
      <c r="FCS28" s="119"/>
      <c r="FCT28" s="119"/>
      <c r="FCU28" s="119"/>
      <c r="FCV28" s="119"/>
      <c r="FCW28" s="119"/>
      <c r="FCX28" s="119"/>
      <c r="FCY28" s="119"/>
      <c r="FCZ28" s="119"/>
      <c r="FDA28" s="119"/>
      <c r="FDB28" s="119"/>
      <c r="FDC28" s="119"/>
      <c r="FDD28" s="119"/>
      <c r="FDE28" s="119"/>
      <c r="FDF28" s="119"/>
      <c r="FDG28" s="119"/>
      <c r="FDH28" s="119"/>
      <c r="FDI28" s="119"/>
      <c r="FDJ28" s="119"/>
      <c r="FDK28" s="119"/>
      <c r="FDL28" s="119"/>
      <c r="FDM28" s="119"/>
      <c r="FDN28" s="119"/>
      <c r="FDO28" s="119"/>
      <c r="FDP28" s="119"/>
      <c r="FDQ28" s="119"/>
      <c r="FDR28" s="119"/>
      <c r="FDS28" s="119"/>
      <c r="FDT28" s="119"/>
      <c r="FDU28" s="119"/>
      <c r="FDV28" s="119"/>
      <c r="FDW28" s="119"/>
      <c r="FDX28" s="119"/>
      <c r="FDY28" s="119"/>
      <c r="FDZ28" s="119"/>
      <c r="FEA28" s="119"/>
      <c r="FEB28" s="119"/>
      <c r="FEC28" s="119"/>
      <c r="FED28" s="119"/>
      <c r="FEE28" s="119"/>
      <c r="FEF28" s="119"/>
      <c r="FEG28" s="119"/>
      <c r="FEH28" s="119"/>
      <c r="FEI28" s="119"/>
      <c r="FEJ28" s="119"/>
      <c r="FEK28" s="119"/>
      <c r="FEL28" s="119"/>
      <c r="FEM28" s="119"/>
      <c r="FEN28" s="119"/>
      <c r="FEO28" s="119"/>
      <c r="FEP28" s="119"/>
      <c r="FEQ28" s="119"/>
      <c r="FER28" s="119"/>
      <c r="FES28" s="119"/>
      <c r="FET28" s="119"/>
      <c r="FEU28" s="119"/>
      <c r="FEV28" s="119"/>
      <c r="FEW28" s="119"/>
      <c r="FEX28" s="119"/>
      <c r="FEY28" s="119"/>
      <c r="FEZ28" s="119"/>
      <c r="FFA28" s="119"/>
      <c r="FFB28" s="119"/>
      <c r="FFC28" s="119"/>
      <c r="FFD28" s="119"/>
      <c r="FFE28" s="119"/>
      <c r="FFF28" s="119"/>
      <c r="FFG28" s="119"/>
      <c r="FFH28" s="119"/>
      <c r="FFI28" s="119"/>
      <c r="FFJ28" s="119"/>
      <c r="FFK28" s="119"/>
      <c r="FFL28" s="119"/>
      <c r="FFM28" s="119"/>
      <c r="FFN28" s="119"/>
      <c r="FFO28" s="119"/>
      <c r="FFP28" s="119"/>
      <c r="FFQ28" s="119"/>
      <c r="FFR28" s="119"/>
      <c r="FFS28" s="119"/>
      <c r="FFT28" s="119"/>
      <c r="FFU28" s="119"/>
      <c r="FFV28" s="119"/>
      <c r="FFW28" s="119"/>
      <c r="FFX28" s="119"/>
      <c r="FFY28" s="119"/>
      <c r="FFZ28" s="119"/>
      <c r="FGA28" s="119"/>
      <c r="FGB28" s="119"/>
      <c r="FGC28" s="119"/>
      <c r="FGD28" s="119"/>
      <c r="FGE28" s="119"/>
      <c r="FGF28" s="119"/>
      <c r="FGG28" s="119"/>
      <c r="FGH28" s="119"/>
      <c r="FGI28" s="119"/>
      <c r="FGJ28" s="119"/>
      <c r="FGK28" s="119"/>
      <c r="FGL28" s="119"/>
      <c r="FGM28" s="119"/>
      <c r="FGN28" s="119"/>
      <c r="FGO28" s="119"/>
      <c r="FGP28" s="119"/>
      <c r="FGQ28" s="119"/>
      <c r="FGR28" s="119"/>
      <c r="FGS28" s="119"/>
      <c r="FGT28" s="119"/>
      <c r="FGU28" s="119"/>
      <c r="FGV28" s="119"/>
      <c r="FGW28" s="119"/>
      <c r="FGX28" s="119"/>
      <c r="FGY28" s="119"/>
      <c r="FGZ28" s="119"/>
      <c r="FHA28" s="119"/>
      <c r="FHB28" s="119"/>
      <c r="FHC28" s="119"/>
      <c r="FHD28" s="119"/>
      <c r="FHE28" s="119"/>
      <c r="FHF28" s="119"/>
      <c r="FHG28" s="119"/>
      <c r="FHH28" s="119"/>
      <c r="FHI28" s="119"/>
      <c r="FHJ28" s="119"/>
      <c r="FHK28" s="119"/>
      <c r="FHL28" s="119"/>
      <c r="FHM28" s="119"/>
      <c r="FHN28" s="119"/>
      <c r="FHO28" s="119"/>
      <c r="FHP28" s="119"/>
      <c r="FHQ28" s="119"/>
      <c r="FHR28" s="119"/>
      <c r="FHS28" s="119"/>
      <c r="FHT28" s="119"/>
      <c r="FHU28" s="119"/>
      <c r="FHV28" s="119"/>
      <c r="FHW28" s="119"/>
      <c r="FHX28" s="119"/>
      <c r="FHY28" s="119"/>
      <c r="FHZ28" s="119"/>
      <c r="FIA28" s="119"/>
      <c r="FIB28" s="119"/>
      <c r="FIC28" s="119"/>
      <c r="FID28" s="119"/>
      <c r="FIE28" s="119"/>
      <c r="FIF28" s="119"/>
      <c r="FIG28" s="119"/>
      <c r="FIH28" s="119"/>
      <c r="FII28" s="119"/>
      <c r="FIJ28" s="119"/>
      <c r="FIK28" s="119"/>
      <c r="FIL28" s="119"/>
      <c r="FIM28" s="119"/>
      <c r="FIN28" s="119"/>
      <c r="FIO28" s="119"/>
      <c r="FIP28" s="119"/>
      <c r="FIQ28" s="119"/>
      <c r="FIR28" s="119"/>
      <c r="FIS28" s="119"/>
      <c r="FIT28" s="119"/>
      <c r="FIU28" s="119"/>
      <c r="FIV28" s="119"/>
      <c r="FIW28" s="119"/>
      <c r="FIX28" s="119"/>
      <c r="FIY28" s="119"/>
      <c r="FIZ28" s="119"/>
      <c r="FJA28" s="119"/>
      <c r="FJB28" s="119"/>
      <c r="FJC28" s="119"/>
      <c r="FJD28" s="119"/>
      <c r="FJE28" s="119"/>
      <c r="FJF28" s="119"/>
      <c r="FJG28" s="119"/>
      <c r="FJH28" s="119"/>
      <c r="FJI28" s="119"/>
      <c r="FJJ28" s="119"/>
      <c r="FJK28" s="119"/>
      <c r="FJL28" s="119"/>
      <c r="FJM28" s="119"/>
      <c r="FJN28" s="119"/>
      <c r="FJO28" s="119"/>
      <c r="FJP28" s="119"/>
      <c r="FJQ28" s="119"/>
      <c r="FJR28" s="119"/>
      <c r="FJS28" s="119"/>
      <c r="FJT28" s="119"/>
      <c r="FJU28" s="119"/>
      <c r="FJV28" s="119"/>
      <c r="FJW28" s="119"/>
      <c r="FJX28" s="119"/>
      <c r="FJY28" s="119"/>
      <c r="FJZ28" s="119"/>
      <c r="FKA28" s="119"/>
      <c r="FKB28" s="119"/>
      <c r="FKC28" s="119"/>
      <c r="FKD28" s="119"/>
      <c r="FKE28" s="119"/>
      <c r="FKF28" s="119"/>
      <c r="FKG28" s="119"/>
      <c r="FKH28" s="119"/>
      <c r="FKI28" s="119"/>
      <c r="FKJ28" s="119"/>
      <c r="FKK28" s="119"/>
      <c r="FKL28" s="119"/>
      <c r="FKM28" s="119"/>
      <c r="FKN28" s="119"/>
      <c r="FKO28" s="119"/>
      <c r="FKP28" s="119"/>
      <c r="FKQ28" s="119"/>
      <c r="FKR28" s="119"/>
      <c r="FKS28" s="119"/>
      <c r="FKT28" s="119"/>
      <c r="FKU28" s="119"/>
      <c r="FKV28" s="119"/>
      <c r="FKW28" s="119"/>
      <c r="FKX28" s="119"/>
      <c r="FKY28" s="119"/>
      <c r="FKZ28" s="119"/>
      <c r="FLA28" s="119"/>
      <c r="FLB28" s="119"/>
      <c r="FLC28" s="119"/>
      <c r="FLD28" s="119"/>
      <c r="FLE28" s="119"/>
      <c r="FLF28" s="119"/>
      <c r="FLG28" s="119"/>
      <c r="FLH28" s="119"/>
      <c r="FLI28" s="119"/>
      <c r="FLJ28" s="119"/>
      <c r="FLK28" s="119"/>
      <c r="FLL28" s="119"/>
      <c r="FLM28" s="119"/>
      <c r="FLN28" s="119"/>
      <c r="FLO28" s="119"/>
      <c r="FLP28" s="119"/>
      <c r="FLQ28" s="119"/>
      <c r="FLR28" s="119"/>
      <c r="FLS28" s="119"/>
      <c r="FLT28" s="119"/>
      <c r="FLU28" s="119"/>
      <c r="FLV28" s="119"/>
      <c r="FLW28" s="119"/>
      <c r="FLX28" s="119"/>
      <c r="FLY28" s="119"/>
      <c r="FLZ28" s="119"/>
      <c r="FMA28" s="119"/>
      <c r="FMB28" s="119"/>
      <c r="FMC28" s="119"/>
      <c r="FMD28" s="119"/>
      <c r="FME28" s="119"/>
      <c r="FMF28" s="119"/>
      <c r="FMG28" s="119"/>
      <c r="FMH28" s="119"/>
      <c r="FMI28" s="119"/>
      <c r="FMJ28" s="119"/>
      <c r="FMK28" s="119"/>
      <c r="FML28" s="119"/>
      <c r="FMM28" s="119"/>
      <c r="FMN28" s="119"/>
      <c r="FMO28" s="119"/>
      <c r="FMP28" s="119"/>
      <c r="FMQ28" s="119"/>
      <c r="FMR28" s="119"/>
      <c r="FMS28" s="119"/>
      <c r="FMT28" s="119"/>
      <c r="FMU28" s="119"/>
      <c r="FMV28" s="119"/>
      <c r="FMW28" s="119"/>
      <c r="FMX28" s="119"/>
      <c r="FMY28" s="119"/>
      <c r="FMZ28" s="119"/>
      <c r="FNA28" s="119"/>
      <c r="FNB28" s="119"/>
      <c r="FNC28" s="119"/>
      <c r="FND28" s="119"/>
      <c r="FNE28" s="119"/>
      <c r="FNF28" s="119"/>
      <c r="FNG28" s="119"/>
      <c r="FNH28" s="119"/>
      <c r="FNI28" s="119"/>
      <c r="FNJ28" s="119"/>
      <c r="FNK28" s="119"/>
      <c r="FNL28" s="119"/>
      <c r="FNM28" s="119"/>
      <c r="FNN28" s="119"/>
      <c r="FNO28" s="119"/>
      <c r="FNP28" s="119"/>
      <c r="FNQ28" s="119"/>
      <c r="FNR28" s="119"/>
      <c r="FNS28" s="119"/>
      <c r="FNT28" s="119"/>
      <c r="FNU28" s="119"/>
      <c r="FNV28" s="119"/>
      <c r="FNW28" s="119"/>
      <c r="FNX28" s="119"/>
      <c r="FNY28" s="119"/>
      <c r="FNZ28" s="119"/>
      <c r="FOA28" s="119"/>
      <c r="FOB28" s="119"/>
      <c r="FOC28" s="119"/>
      <c r="FOD28" s="119"/>
      <c r="FOE28" s="119"/>
      <c r="FOF28" s="119"/>
      <c r="FOG28" s="119"/>
      <c r="FOH28" s="119"/>
      <c r="FOI28" s="119"/>
      <c r="FOJ28" s="119"/>
      <c r="FOK28" s="119"/>
      <c r="FOL28" s="119"/>
      <c r="FOM28" s="119"/>
      <c r="FON28" s="119"/>
      <c r="FOO28" s="119"/>
      <c r="FOP28" s="119"/>
      <c r="FOQ28" s="119"/>
      <c r="FOR28" s="119"/>
      <c r="FOS28" s="119"/>
      <c r="FOT28" s="119"/>
      <c r="FOU28" s="119"/>
      <c r="FOV28" s="119"/>
      <c r="FOW28" s="119"/>
      <c r="FOX28" s="119"/>
      <c r="FOY28" s="119"/>
      <c r="FOZ28" s="119"/>
      <c r="FPA28" s="119"/>
      <c r="FPB28" s="119"/>
      <c r="FPC28" s="119"/>
      <c r="FPD28" s="119"/>
      <c r="FPE28" s="119"/>
      <c r="FPF28" s="119"/>
      <c r="FPG28" s="119"/>
      <c r="FPH28" s="119"/>
      <c r="FPI28" s="119"/>
      <c r="FPJ28" s="119"/>
      <c r="FPK28" s="119"/>
      <c r="FPL28" s="119"/>
      <c r="FPM28" s="119"/>
      <c r="FPN28" s="119"/>
      <c r="FPO28" s="119"/>
      <c r="FPP28" s="119"/>
      <c r="FPQ28" s="119"/>
      <c r="FPR28" s="119"/>
      <c r="FPS28" s="119"/>
      <c r="FPT28" s="119"/>
      <c r="FPU28" s="119"/>
      <c r="FPV28" s="119"/>
      <c r="FPW28" s="119"/>
      <c r="FPX28" s="119"/>
      <c r="FPY28" s="119"/>
      <c r="FPZ28" s="119"/>
      <c r="FQA28" s="119"/>
      <c r="FQB28" s="119"/>
      <c r="FQC28" s="119"/>
      <c r="FQD28" s="119"/>
      <c r="FQE28" s="119"/>
      <c r="FQF28" s="119"/>
      <c r="FQG28" s="119"/>
      <c r="FQH28" s="119"/>
      <c r="FQI28" s="119"/>
      <c r="FQJ28" s="119"/>
      <c r="FQK28" s="119"/>
      <c r="FQL28" s="119"/>
      <c r="FQM28" s="119"/>
      <c r="FQN28" s="119"/>
      <c r="FQO28" s="119"/>
      <c r="FQP28" s="119"/>
      <c r="FQQ28" s="119"/>
      <c r="FQR28" s="119"/>
      <c r="FQS28" s="119"/>
      <c r="FQT28" s="119"/>
      <c r="FQU28" s="119"/>
      <c r="FQV28" s="119"/>
      <c r="FQW28" s="119"/>
      <c r="FQX28" s="119"/>
      <c r="FQY28" s="119"/>
      <c r="FQZ28" s="119"/>
      <c r="FRA28" s="119"/>
      <c r="FRB28" s="119"/>
      <c r="FRC28" s="119"/>
      <c r="FRD28" s="119"/>
      <c r="FRE28" s="119"/>
      <c r="FRF28" s="119"/>
      <c r="FRG28" s="119"/>
      <c r="FRH28" s="119"/>
      <c r="FRI28" s="119"/>
      <c r="FRJ28" s="119"/>
      <c r="FRK28" s="119"/>
      <c r="FRL28" s="119"/>
      <c r="FRM28" s="119"/>
      <c r="FRN28" s="119"/>
      <c r="FRO28" s="119"/>
      <c r="FRP28" s="119"/>
      <c r="FRQ28" s="119"/>
      <c r="FRR28" s="119"/>
      <c r="FRS28" s="119"/>
      <c r="FRT28" s="119"/>
      <c r="FRU28" s="119"/>
      <c r="FRV28" s="119"/>
      <c r="FRW28" s="119"/>
      <c r="FRX28" s="119"/>
      <c r="FRY28" s="119"/>
      <c r="FRZ28" s="119"/>
      <c r="FSA28" s="119"/>
      <c r="FSB28" s="119"/>
      <c r="FSC28" s="119"/>
      <c r="FSD28" s="119"/>
      <c r="FSE28" s="119"/>
      <c r="FSF28" s="119"/>
      <c r="FSG28" s="119"/>
      <c r="FSH28" s="119"/>
      <c r="FSI28" s="119"/>
      <c r="FSJ28" s="119"/>
      <c r="FSK28" s="119"/>
      <c r="FSL28" s="119"/>
      <c r="FSM28" s="119"/>
      <c r="FSN28" s="119"/>
      <c r="FSO28" s="119"/>
      <c r="FSP28" s="119"/>
      <c r="FSQ28" s="119"/>
      <c r="FSR28" s="119"/>
      <c r="FSS28" s="119"/>
      <c r="FST28" s="119"/>
      <c r="FSU28" s="119"/>
      <c r="FSV28" s="119"/>
      <c r="FSW28" s="119"/>
      <c r="FSX28" s="119"/>
      <c r="FSY28" s="119"/>
      <c r="FSZ28" s="119"/>
      <c r="FTA28" s="119"/>
      <c r="FTB28" s="119"/>
      <c r="FTC28" s="119"/>
      <c r="FTD28" s="119"/>
      <c r="FTE28" s="119"/>
      <c r="FTF28" s="119"/>
      <c r="FTG28" s="119"/>
      <c r="FTH28" s="119"/>
      <c r="FTI28" s="119"/>
      <c r="FTJ28" s="119"/>
      <c r="FTK28" s="119"/>
      <c r="FTL28" s="119"/>
      <c r="FTM28" s="119"/>
      <c r="FTN28" s="119"/>
      <c r="FTO28" s="119"/>
      <c r="FTP28" s="119"/>
      <c r="FTQ28" s="119"/>
      <c r="FTR28" s="119"/>
      <c r="FTS28" s="119"/>
      <c r="FTT28" s="119"/>
      <c r="FTU28" s="119"/>
      <c r="FTV28" s="119"/>
      <c r="FTW28" s="119"/>
      <c r="FTX28" s="119"/>
      <c r="FTY28" s="119"/>
      <c r="FTZ28" s="119"/>
      <c r="FUA28" s="119"/>
      <c r="FUB28" s="119"/>
      <c r="FUC28" s="119"/>
      <c r="FUD28" s="119"/>
      <c r="FUE28" s="119"/>
      <c r="FUF28" s="119"/>
      <c r="FUG28" s="119"/>
      <c r="FUH28" s="119"/>
      <c r="FUI28" s="119"/>
      <c r="FUJ28" s="119"/>
      <c r="FUK28" s="119"/>
      <c r="FUL28" s="119"/>
      <c r="FUM28" s="119"/>
      <c r="FUN28" s="119"/>
      <c r="FUO28" s="119"/>
      <c r="FUP28" s="119"/>
      <c r="FUQ28" s="119"/>
      <c r="FUR28" s="119"/>
      <c r="FUS28" s="119"/>
      <c r="FUT28" s="119"/>
      <c r="FUU28" s="119"/>
      <c r="FUV28" s="119"/>
      <c r="FUW28" s="119"/>
      <c r="FUX28" s="119"/>
      <c r="FUY28" s="119"/>
      <c r="FUZ28" s="119"/>
      <c r="FVA28" s="119"/>
      <c r="FVB28" s="119"/>
      <c r="FVC28" s="119"/>
      <c r="FVD28" s="119"/>
      <c r="FVE28" s="119"/>
      <c r="FVF28" s="119"/>
      <c r="FVG28" s="119"/>
      <c r="FVH28" s="119"/>
      <c r="FVI28" s="119"/>
      <c r="FVJ28" s="119"/>
      <c r="FVK28" s="119"/>
      <c r="FVL28" s="119"/>
      <c r="FVM28" s="119"/>
      <c r="FVN28" s="119"/>
      <c r="FVO28" s="119"/>
      <c r="FVP28" s="119"/>
      <c r="FVQ28" s="119"/>
      <c r="FVR28" s="119"/>
      <c r="FVS28" s="119"/>
      <c r="FVT28" s="119"/>
      <c r="FVU28" s="119"/>
      <c r="FVV28" s="119"/>
      <c r="FVW28" s="119"/>
      <c r="FVX28" s="119"/>
      <c r="FVY28" s="119"/>
      <c r="FVZ28" s="119"/>
      <c r="FWA28" s="119"/>
      <c r="FWB28" s="119"/>
      <c r="FWC28" s="119"/>
      <c r="FWD28" s="119"/>
      <c r="FWE28" s="119"/>
      <c r="FWF28" s="119"/>
      <c r="FWG28" s="119"/>
      <c r="FWH28" s="119"/>
      <c r="FWI28" s="119"/>
      <c r="FWJ28" s="119"/>
      <c r="FWK28" s="119"/>
      <c r="FWL28" s="119"/>
      <c r="FWM28" s="119"/>
      <c r="FWN28" s="119"/>
      <c r="FWO28" s="119"/>
      <c r="FWP28" s="119"/>
      <c r="FWQ28" s="119"/>
      <c r="FWR28" s="119"/>
      <c r="FWS28" s="119"/>
      <c r="FWT28" s="119"/>
      <c r="FWU28" s="119"/>
      <c r="FWV28" s="119"/>
      <c r="FWW28" s="119"/>
      <c r="FWX28" s="119"/>
      <c r="FWY28" s="119"/>
      <c r="FWZ28" s="119"/>
      <c r="FXA28" s="119"/>
      <c r="FXB28" s="119"/>
      <c r="FXC28" s="119"/>
      <c r="FXD28" s="119"/>
      <c r="FXE28" s="119"/>
      <c r="FXF28" s="119"/>
      <c r="FXG28" s="119"/>
      <c r="FXH28" s="119"/>
      <c r="FXI28" s="119"/>
      <c r="FXJ28" s="119"/>
      <c r="FXK28" s="119"/>
      <c r="FXL28" s="119"/>
      <c r="FXM28" s="119"/>
      <c r="FXN28" s="119"/>
      <c r="FXO28" s="119"/>
      <c r="FXP28" s="119"/>
      <c r="FXQ28" s="119"/>
      <c r="FXR28" s="119"/>
      <c r="FXS28" s="119"/>
      <c r="FXT28" s="119"/>
      <c r="FXU28" s="119"/>
      <c r="FXV28" s="119"/>
      <c r="FXW28" s="119"/>
      <c r="FXX28" s="119"/>
      <c r="FXY28" s="119"/>
      <c r="FXZ28" s="119"/>
      <c r="FYA28" s="119"/>
      <c r="FYB28" s="119"/>
      <c r="FYC28" s="119"/>
      <c r="FYD28" s="119"/>
      <c r="FYE28" s="119"/>
      <c r="FYF28" s="119"/>
      <c r="FYG28" s="119"/>
      <c r="FYH28" s="119"/>
      <c r="FYI28" s="119"/>
      <c r="FYJ28" s="119"/>
      <c r="FYK28" s="119"/>
      <c r="FYL28" s="119"/>
      <c r="FYM28" s="119"/>
      <c r="FYN28" s="119"/>
      <c r="FYO28" s="119"/>
      <c r="FYP28" s="119"/>
      <c r="FYQ28" s="119"/>
      <c r="FYR28" s="119"/>
      <c r="FYS28" s="119"/>
      <c r="FYT28" s="119"/>
      <c r="FYU28" s="119"/>
      <c r="FYV28" s="119"/>
      <c r="FYW28" s="119"/>
      <c r="FYX28" s="119"/>
      <c r="FYY28" s="119"/>
      <c r="FYZ28" s="119"/>
      <c r="FZA28" s="119"/>
      <c r="FZB28" s="119"/>
      <c r="FZC28" s="119"/>
      <c r="FZD28" s="119"/>
      <c r="FZE28" s="119"/>
      <c r="FZF28" s="119"/>
      <c r="FZG28" s="119"/>
      <c r="FZH28" s="119"/>
      <c r="FZI28" s="119"/>
      <c r="FZJ28" s="119"/>
      <c r="FZK28" s="119"/>
      <c r="FZL28" s="119"/>
      <c r="FZM28" s="119"/>
      <c r="FZN28" s="119"/>
      <c r="FZO28" s="119"/>
      <c r="FZP28" s="119"/>
      <c r="FZQ28" s="119"/>
      <c r="FZR28" s="119"/>
      <c r="FZS28" s="119"/>
      <c r="FZT28" s="119"/>
      <c r="FZU28" s="119"/>
      <c r="FZV28" s="119"/>
      <c r="FZW28" s="119"/>
      <c r="FZX28" s="119"/>
      <c r="FZY28" s="119"/>
      <c r="FZZ28" s="119"/>
      <c r="GAA28" s="119"/>
      <c r="GAB28" s="119"/>
      <c r="GAC28" s="119"/>
      <c r="GAD28" s="119"/>
      <c r="GAE28" s="119"/>
      <c r="GAF28" s="119"/>
      <c r="GAG28" s="119"/>
      <c r="GAH28" s="119"/>
      <c r="GAI28" s="119"/>
      <c r="GAJ28" s="119"/>
      <c r="GAK28" s="119"/>
      <c r="GAL28" s="119"/>
      <c r="GAM28" s="119"/>
      <c r="GAN28" s="119"/>
      <c r="GAO28" s="119"/>
      <c r="GAP28" s="119"/>
      <c r="GAQ28" s="119"/>
      <c r="GAR28" s="119"/>
      <c r="GAS28" s="119"/>
      <c r="GAT28" s="119"/>
      <c r="GAU28" s="119"/>
      <c r="GAV28" s="119"/>
      <c r="GAW28" s="119"/>
      <c r="GAX28" s="119"/>
      <c r="GAY28" s="119"/>
      <c r="GAZ28" s="119"/>
      <c r="GBA28" s="119"/>
      <c r="GBB28" s="119"/>
      <c r="GBC28" s="119"/>
      <c r="GBD28" s="119"/>
      <c r="GBE28" s="119"/>
      <c r="GBF28" s="119"/>
      <c r="GBG28" s="119"/>
      <c r="GBH28" s="119"/>
      <c r="GBI28" s="119"/>
      <c r="GBJ28" s="119"/>
      <c r="GBK28" s="119"/>
      <c r="GBL28" s="119"/>
      <c r="GBM28" s="119"/>
      <c r="GBN28" s="119"/>
      <c r="GBO28" s="119"/>
      <c r="GBP28" s="119"/>
      <c r="GBQ28" s="119"/>
      <c r="GBR28" s="119"/>
      <c r="GBS28" s="119"/>
      <c r="GBT28" s="119"/>
      <c r="GBU28" s="119"/>
      <c r="GBV28" s="119"/>
      <c r="GBW28" s="119"/>
      <c r="GBX28" s="119"/>
      <c r="GBY28" s="119"/>
      <c r="GBZ28" s="119"/>
      <c r="GCA28" s="119"/>
      <c r="GCB28" s="119"/>
      <c r="GCC28" s="119"/>
      <c r="GCD28" s="119"/>
      <c r="GCE28" s="119"/>
      <c r="GCF28" s="119"/>
      <c r="GCG28" s="119"/>
      <c r="GCH28" s="119"/>
      <c r="GCI28" s="119"/>
      <c r="GCJ28" s="119"/>
      <c r="GCK28" s="119"/>
      <c r="GCL28" s="119"/>
      <c r="GCM28" s="119"/>
      <c r="GCN28" s="119"/>
      <c r="GCO28" s="119"/>
      <c r="GCP28" s="119"/>
      <c r="GCQ28" s="119"/>
      <c r="GCR28" s="119"/>
      <c r="GCS28" s="119"/>
      <c r="GCT28" s="119"/>
      <c r="GCU28" s="119"/>
      <c r="GCV28" s="119"/>
      <c r="GCW28" s="119"/>
      <c r="GCX28" s="119"/>
      <c r="GCY28" s="119"/>
      <c r="GCZ28" s="119"/>
      <c r="GDA28" s="119"/>
      <c r="GDB28" s="119"/>
      <c r="GDC28" s="119"/>
      <c r="GDD28" s="119"/>
      <c r="GDE28" s="119"/>
      <c r="GDF28" s="119"/>
      <c r="GDG28" s="119"/>
      <c r="GDH28" s="119"/>
      <c r="GDI28" s="119"/>
      <c r="GDJ28" s="119"/>
      <c r="GDK28" s="119"/>
      <c r="GDL28" s="119"/>
      <c r="GDM28" s="119"/>
      <c r="GDN28" s="119"/>
      <c r="GDO28" s="119"/>
      <c r="GDP28" s="119"/>
      <c r="GDQ28" s="119"/>
      <c r="GDR28" s="119"/>
      <c r="GDS28" s="119"/>
      <c r="GDT28" s="119"/>
      <c r="GDU28" s="119"/>
      <c r="GDV28" s="119"/>
      <c r="GDW28" s="119"/>
      <c r="GDX28" s="119"/>
      <c r="GDY28" s="119"/>
      <c r="GDZ28" s="119"/>
      <c r="GEA28" s="119"/>
      <c r="GEB28" s="119"/>
      <c r="GEC28" s="119"/>
      <c r="GED28" s="119"/>
      <c r="GEE28" s="119"/>
      <c r="GEF28" s="119"/>
      <c r="GEG28" s="119"/>
      <c r="GEH28" s="119"/>
      <c r="GEI28" s="119"/>
      <c r="GEJ28" s="119"/>
      <c r="GEK28" s="119"/>
      <c r="GEL28" s="119"/>
      <c r="GEM28" s="119"/>
      <c r="GEN28" s="119"/>
      <c r="GEO28" s="119"/>
      <c r="GEP28" s="119"/>
      <c r="GEQ28" s="119"/>
      <c r="GER28" s="119"/>
      <c r="GES28" s="119"/>
      <c r="GET28" s="119"/>
      <c r="GEU28" s="119"/>
      <c r="GEV28" s="119"/>
      <c r="GEW28" s="119"/>
      <c r="GEX28" s="119"/>
      <c r="GEY28" s="119"/>
      <c r="GEZ28" s="119"/>
      <c r="GFA28" s="119"/>
      <c r="GFB28" s="119"/>
      <c r="GFC28" s="119"/>
      <c r="GFD28" s="119"/>
      <c r="GFE28" s="119"/>
      <c r="GFF28" s="119"/>
      <c r="GFG28" s="119"/>
      <c r="GFH28" s="119"/>
      <c r="GFI28" s="119"/>
      <c r="GFJ28" s="119"/>
      <c r="GFK28" s="119"/>
      <c r="GFL28" s="119"/>
      <c r="GFM28" s="119"/>
      <c r="GFN28" s="119"/>
      <c r="GFO28" s="119"/>
      <c r="GFP28" s="119"/>
      <c r="GFQ28" s="119"/>
      <c r="GFR28" s="119"/>
      <c r="GFS28" s="119"/>
      <c r="GFT28" s="119"/>
      <c r="GFU28" s="119"/>
      <c r="GFV28" s="119"/>
      <c r="GFW28" s="119"/>
      <c r="GFX28" s="119"/>
      <c r="GFY28" s="119"/>
      <c r="GFZ28" s="119"/>
      <c r="GGA28" s="119"/>
      <c r="GGB28" s="119"/>
      <c r="GGC28" s="119"/>
      <c r="GGD28" s="119"/>
      <c r="GGE28" s="119"/>
      <c r="GGF28" s="119"/>
      <c r="GGG28" s="119"/>
      <c r="GGH28" s="119"/>
      <c r="GGI28" s="119"/>
      <c r="GGJ28" s="119"/>
      <c r="GGK28" s="119"/>
      <c r="GGL28" s="119"/>
      <c r="GGM28" s="119"/>
      <c r="GGN28" s="119"/>
      <c r="GGO28" s="119"/>
      <c r="GGP28" s="119"/>
      <c r="GGQ28" s="119"/>
      <c r="GGR28" s="119"/>
      <c r="GGS28" s="119"/>
      <c r="GGT28" s="119"/>
      <c r="GGU28" s="119"/>
      <c r="GGV28" s="119"/>
      <c r="GGW28" s="119"/>
      <c r="GGX28" s="119"/>
      <c r="GGY28" s="119"/>
      <c r="GGZ28" s="119"/>
      <c r="GHA28" s="119"/>
      <c r="GHB28" s="119"/>
      <c r="GHC28" s="119"/>
      <c r="GHD28" s="119"/>
      <c r="GHE28" s="119"/>
      <c r="GHF28" s="119"/>
      <c r="GHG28" s="119"/>
      <c r="GHH28" s="119"/>
      <c r="GHI28" s="119"/>
      <c r="GHJ28" s="119"/>
      <c r="GHK28" s="119"/>
      <c r="GHL28" s="119"/>
      <c r="GHM28" s="119"/>
      <c r="GHN28" s="119"/>
      <c r="GHO28" s="119"/>
      <c r="GHP28" s="119"/>
      <c r="GHQ28" s="119"/>
      <c r="GHR28" s="119"/>
      <c r="GHS28" s="119"/>
      <c r="GHT28" s="119"/>
      <c r="GHU28" s="119"/>
      <c r="GHV28" s="119"/>
      <c r="GHW28" s="119"/>
      <c r="GHX28" s="119"/>
      <c r="GHY28" s="119"/>
      <c r="GHZ28" s="119"/>
      <c r="GIA28" s="119"/>
      <c r="GIB28" s="119"/>
      <c r="GIC28" s="119"/>
      <c r="GID28" s="119"/>
      <c r="GIE28" s="119"/>
      <c r="GIF28" s="119"/>
      <c r="GIG28" s="119"/>
      <c r="GIH28" s="119"/>
      <c r="GII28" s="119"/>
      <c r="GIJ28" s="119"/>
      <c r="GIK28" s="119"/>
      <c r="GIL28" s="119"/>
      <c r="GIM28" s="119"/>
      <c r="GIN28" s="119"/>
      <c r="GIO28" s="119"/>
      <c r="GIP28" s="119"/>
      <c r="GIQ28" s="119"/>
      <c r="GIR28" s="119"/>
      <c r="GIS28" s="119"/>
      <c r="GIT28" s="119"/>
      <c r="GIU28" s="119"/>
      <c r="GIV28" s="119"/>
      <c r="GIW28" s="119"/>
      <c r="GIX28" s="119"/>
      <c r="GIY28" s="119"/>
      <c r="GIZ28" s="119"/>
      <c r="GJA28" s="119"/>
      <c r="GJB28" s="119"/>
      <c r="GJC28" s="119"/>
      <c r="GJD28" s="119"/>
      <c r="GJE28" s="119"/>
      <c r="GJF28" s="119"/>
      <c r="GJG28" s="119"/>
      <c r="GJH28" s="119"/>
      <c r="GJI28" s="119"/>
      <c r="GJJ28" s="119"/>
      <c r="GJK28" s="119"/>
      <c r="GJL28" s="119"/>
      <c r="GJM28" s="119"/>
      <c r="GJN28" s="119"/>
      <c r="GJO28" s="119"/>
      <c r="GJP28" s="119"/>
      <c r="GJQ28" s="119"/>
      <c r="GJR28" s="119"/>
      <c r="GJS28" s="119"/>
      <c r="GJT28" s="119"/>
      <c r="GJU28" s="119"/>
      <c r="GJV28" s="119"/>
      <c r="GJW28" s="119"/>
      <c r="GJX28" s="119"/>
      <c r="GJY28" s="119"/>
      <c r="GJZ28" s="119"/>
      <c r="GKA28" s="119"/>
      <c r="GKB28" s="119"/>
      <c r="GKC28" s="119"/>
      <c r="GKD28" s="119"/>
      <c r="GKE28" s="119"/>
      <c r="GKF28" s="119"/>
      <c r="GKG28" s="119"/>
      <c r="GKH28" s="119"/>
      <c r="GKI28" s="119"/>
      <c r="GKJ28" s="119"/>
      <c r="GKK28" s="119"/>
      <c r="GKL28" s="119"/>
      <c r="GKM28" s="119"/>
      <c r="GKN28" s="119"/>
      <c r="GKO28" s="119"/>
      <c r="GKP28" s="119"/>
      <c r="GKQ28" s="119"/>
      <c r="GKR28" s="119"/>
      <c r="GKS28" s="119"/>
      <c r="GKT28" s="119"/>
      <c r="GKU28" s="119"/>
      <c r="GKV28" s="119"/>
      <c r="GKW28" s="119"/>
      <c r="GKX28" s="119"/>
      <c r="GKY28" s="119"/>
      <c r="GKZ28" s="119"/>
      <c r="GLA28" s="119"/>
      <c r="GLB28" s="119"/>
      <c r="GLC28" s="119"/>
      <c r="GLD28" s="119"/>
      <c r="GLE28" s="119"/>
      <c r="GLF28" s="119"/>
      <c r="GLG28" s="119"/>
      <c r="GLH28" s="119"/>
      <c r="GLI28" s="119"/>
      <c r="GLJ28" s="119"/>
      <c r="GLK28" s="119"/>
      <c r="GLL28" s="119"/>
      <c r="GLM28" s="119"/>
      <c r="GLN28" s="119"/>
      <c r="GLO28" s="119"/>
      <c r="GLP28" s="119"/>
      <c r="GLQ28" s="119"/>
      <c r="GLR28" s="119"/>
      <c r="GLS28" s="119"/>
      <c r="GLT28" s="119"/>
      <c r="GLU28" s="119"/>
      <c r="GLV28" s="119"/>
      <c r="GLW28" s="119"/>
      <c r="GLX28" s="119"/>
      <c r="GLY28" s="119"/>
      <c r="GLZ28" s="119"/>
      <c r="GMA28" s="119"/>
      <c r="GMB28" s="119"/>
      <c r="GMC28" s="119"/>
      <c r="GMD28" s="119"/>
      <c r="GME28" s="119"/>
      <c r="GMF28" s="119"/>
      <c r="GMG28" s="119"/>
      <c r="GMH28" s="119"/>
      <c r="GMI28" s="119"/>
      <c r="GMJ28" s="119"/>
      <c r="GMK28" s="119"/>
      <c r="GML28" s="119"/>
      <c r="GMM28" s="119"/>
      <c r="GMN28" s="119"/>
      <c r="GMO28" s="119"/>
      <c r="GMP28" s="119"/>
      <c r="GMQ28" s="119"/>
      <c r="GMR28" s="119"/>
      <c r="GMS28" s="119"/>
      <c r="GMT28" s="119"/>
      <c r="GMU28" s="119"/>
      <c r="GMV28" s="119"/>
      <c r="GMW28" s="119"/>
      <c r="GMX28" s="119"/>
      <c r="GMY28" s="119"/>
      <c r="GMZ28" s="119"/>
      <c r="GNA28" s="119"/>
      <c r="GNB28" s="119"/>
      <c r="GNC28" s="119"/>
      <c r="GND28" s="119"/>
      <c r="GNE28" s="119"/>
      <c r="GNF28" s="119"/>
      <c r="GNG28" s="119"/>
      <c r="GNH28" s="119"/>
      <c r="GNI28" s="119"/>
      <c r="GNJ28" s="119"/>
      <c r="GNK28" s="119"/>
      <c r="GNL28" s="119"/>
      <c r="GNM28" s="119"/>
      <c r="GNN28" s="119"/>
      <c r="GNO28" s="119"/>
      <c r="GNP28" s="119"/>
      <c r="GNQ28" s="119"/>
      <c r="GNR28" s="119"/>
      <c r="GNS28" s="119"/>
      <c r="GNT28" s="119"/>
      <c r="GNU28" s="119"/>
      <c r="GNV28" s="119"/>
      <c r="GNW28" s="119"/>
      <c r="GNX28" s="119"/>
      <c r="GNY28" s="119"/>
      <c r="GNZ28" s="119"/>
      <c r="GOA28" s="119"/>
      <c r="GOB28" s="119"/>
      <c r="GOC28" s="119"/>
      <c r="GOD28" s="119"/>
      <c r="GOE28" s="119"/>
      <c r="GOF28" s="119"/>
      <c r="GOG28" s="119"/>
      <c r="GOH28" s="119"/>
      <c r="GOI28" s="119"/>
      <c r="GOJ28" s="119"/>
      <c r="GOK28" s="119"/>
      <c r="GOL28" s="119"/>
      <c r="GOM28" s="119"/>
      <c r="GON28" s="119"/>
      <c r="GOO28" s="119"/>
      <c r="GOP28" s="119"/>
      <c r="GOQ28" s="119"/>
      <c r="GOR28" s="119"/>
      <c r="GOS28" s="119"/>
      <c r="GOT28" s="119"/>
      <c r="GOU28" s="119"/>
      <c r="GOV28" s="119"/>
      <c r="GOW28" s="119"/>
      <c r="GOX28" s="119"/>
      <c r="GOY28" s="119"/>
      <c r="GOZ28" s="119"/>
      <c r="GPA28" s="119"/>
      <c r="GPB28" s="119"/>
      <c r="GPC28" s="119"/>
      <c r="GPD28" s="119"/>
      <c r="GPE28" s="119"/>
      <c r="GPF28" s="119"/>
      <c r="GPG28" s="119"/>
      <c r="GPH28" s="119"/>
      <c r="GPI28" s="119"/>
      <c r="GPJ28" s="119"/>
      <c r="GPK28" s="119"/>
      <c r="GPL28" s="119"/>
      <c r="GPM28" s="119"/>
      <c r="GPN28" s="119"/>
      <c r="GPO28" s="119"/>
      <c r="GPP28" s="119"/>
      <c r="GPQ28" s="119"/>
      <c r="GPR28" s="119"/>
      <c r="GPS28" s="119"/>
      <c r="GPT28" s="119"/>
      <c r="GPU28" s="119"/>
      <c r="GPV28" s="119"/>
      <c r="GPW28" s="119"/>
      <c r="GPX28" s="119"/>
      <c r="GPY28" s="119"/>
      <c r="GPZ28" s="119"/>
      <c r="GQA28" s="119"/>
      <c r="GQB28" s="119"/>
      <c r="GQC28" s="119"/>
      <c r="GQD28" s="119"/>
      <c r="GQE28" s="119"/>
      <c r="GQF28" s="119"/>
      <c r="GQG28" s="119"/>
      <c r="GQH28" s="119"/>
      <c r="GQI28" s="119"/>
      <c r="GQJ28" s="119"/>
      <c r="GQK28" s="119"/>
      <c r="GQL28" s="119"/>
      <c r="GQM28" s="119"/>
      <c r="GQN28" s="119"/>
      <c r="GQO28" s="119"/>
      <c r="GQP28" s="119"/>
      <c r="GQQ28" s="119"/>
      <c r="GQR28" s="119"/>
      <c r="GQS28" s="119"/>
      <c r="GQT28" s="119"/>
      <c r="GQU28" s="119"/>
      <c r="GQV28" s="119"/>
      <c r="GQW28" s="119"/>
      <c r="GQX28" s="119"/>
      <c r="GQY28" s="119"/>
      <c r="GQZ28" s="119"/>
      <c r="GRA28" s="119"/>
      <c r="GRB28" s="119"/>
      <c r="GRC28" s="119"/>
      <c r="GRD28" s="119"/>
      <c r="GRE28" s="119"/>
      <c r="GRF28" s="119"/>
      <c r="GRG28" s="119"/>
      <c r="GRH28" s="119"/>
      <c r="GRI28" s="119"/>
      <c r="GRJ28" s="119"/>
      <c r="GRK28" s="119"/>
      <c r="GRL28" s="119"/>
      <c r="GRM28" s="119"/>
      <c r="GRN28" s="119"/>
      <c r="GRO28" s="119"/>
      <c r="GRP28" s="119"/>
      <c r="GRQ28" s="119"/>
      <c r="GRR28" s="119"/>
      <c r="GRS28" s="119"/>
      <c r="GRT28" s="119"/>
      <c r="GRU28" s="119"/>
      <c r="GRV28" s="119"/>
      <c r="GRW28" s="119"/>
      <c r="GRX28" s="119"/>
      <c r="GRY28" s="119"/>
      <c r="GRZ28" s="119"/>
      <c r="GSA28" s="119"/>
      <c r="GSB28" s="119"/>
      <c r="GSC28" s="119"/>
      <c r="GSD28" s="119"/>
      <c r="GSE28" s="119"/>
      <c r="GSF28" s="119"/>
      <c r="GSG28" s="119"/>
      <c r="GSH28" s="119"/>
      <c r="GSI28" s="119"/>
      <c r="GSJ28" s="119"/>
      <c r="GSK28" s="119"/>
      <c r="GSL28" s="119"/>
      <c r="GSM28" s="119"/>
      <c r="GSN28" s="119"/>
      <c r="GSO28" s="119"/>
      <c r="GSP28" s="119"/>
      <c r="GSQ28" s="119"/>
      <c r="GSR28" s="119"/>
      <c r="GSS28" s="119"/>
      <c r="GST28" s="119"/>
      <c r="GSU28" s="119"/>
      <c r="GSV28" s="119"/>
      <c r="GSW28" s="119"/>
      <c r="GSX28" s="119"/>
      <c r="GSY28" s="119"/>
      <c r="GSZ28" s="119"/>
      <c r="GTA28" s="119"/>
      <c r="GTB28" s="119"/>
      <c r="GTC28" s="119"/>
      <c r="GTD28" s="119"/>
      <c r="GTE28" s="119"/>
      <c r="GTF28" s="119"/>
      <c r="GTG28" s="119"/>
      <c r="GTH28" s="119"/>
      <c r="GTI28" s="119"/>
      <c r="GTJ28" s="119"/>
      <c r="GTK28" s="119"/>
      <c r="GTL28" s="119"/>
      <c r="GTM28" s="119"/>
      <c r="GTN28" s="119"/>
      <c r="GTO28" s="119"/>
      <c r="GTP28" s="119"/>
      <c r="GTQ28" s="119"/>
      <c r="GTR28" s="119"/>
      <c r="GTS28" s="119"/>
      <c r="GTT28" s="119"/>
      <c r="GTU28" s="119"/>
      <c r="GTV28" s="119"/>
      <c r="GTW28" s="119"/>
      <c r="GTX28" s="119"/>
      <c r="GTY28" s="119"/>
      <c r="GTZ28" s="119"/>
      <c r="GUA28" s="119"/>
      <c r="GUB28" s="119"/>
      <c r="GUC28" s="119"/>
      <c r="GUD28" s="119"/>
      <c r="GUE28" s="119"/>
      <c r="GUF28" s="119"/>
      <c r="GUG28" s="119"/>
      <c r="GUH28" s="119"/>
      <c r="GUI28" s="119"/>
      <c r="GUJ28" s="119"/>
      <c r="GUK28" s="119"/>
      <c r="GUL28" s="119"/>
      <c r="GUM28" s="119"/>
      <c r="GUN28" s="119"/>
      <c r="GUO28" s="119"/>
      <c r="GUP28" s="119"/>
      <c r="GUQ28" s="119"/>
      <c r="GUR28" s="119"/>
      <c r="GUS28" s="119"/>
      <c r="GUT28" s="119"/>
      <c r="GUU28" s="119"/>
      <c r="GUV28" s="119"/>
      <c r="GUW28" s="119"/>
      <c r="GUX28" s="119"/>
      <c r="GUY28" s="119"/>
      <c r="GUZ28" s="119"/>
      <c r="GVA28" s="119"/>
      <c r="GVB28" s="119"/>
      <c r="GVC28" s="119"/>
      <c r="GVD28" s="119"/>
      <c r="GVE28" s="119"/>
      <c r="GVF28" s="119"/>
      <c r="GVG28" s="119"/>
      <c r="GVH28" s="119"/>
      <c r="GVI28" s="119"/>
      <c r="GVJ28" s="119"/>
      <c r="GVK28" s="119"/>
      <c r="GVL28" s="119"/>
      <c r="GVM28" s="119"/>
      <c r="GVN28" s="119"/>
      <c r="GVO28" s="119"/>
      <c r="GVP28" s="119"/>
      <c r="GVQ28" s="119"/>
      <c r="GVR28" s="119"/>
      <c r="GVS28" s="119"/>
      <c r="GVT28" s="119"/>
      <c r="GVU28" s="119"/>
      <c r="GVV28" s="119"/>
      <c r="GVW28" s="119"/>
      <c r="GVX28" s="119"/>
      <c r="GVY28" s="119"/>
      <c r="GVZ28" s="119"/>
      <c r="GWA28" s="119"/>
      <c r="GWB28" s="119"/>
      <c r="GWC28" s="119"/>
      <c r="GWD28" s="119"/>
      <c r="GWE28" s="119"/>
      <c r="GWF28" s="119"/>
      <c r="GWG28" s="119"/>
      <c r="GWH28" s="119"/>
      <c r="GWI28" s="119"/>
      <c r="GWJ28" s="119"/>
      <c r="GWK28" s="119"/>
      <c r="GWL28" s="119"/>
      <c r="GWM28" s="119"/>
      <c r="GWN28" s="119"/>
      <c r="GWO28" s="119"/>
      <c r="GWP28" s="119"/>
      <c r="GWQ28" s="119"/>
      <c r="GWR28" s="119"/>
      <c r="GWS28" s="119"/>
      <c r="GWT28" s="119"/>
      <c r="GWU28" s="119"/>
      <c r="GWV28" s="119"/>
      <c r="GWW28" s="119"/>
      <c r="GWX28" s="119"/>
      <c r="GWY28" s="119"/>
      <c r="GWZ28" s="119"/>
      <c r="GXA28" s="119"/>
      <c r="GXB28" s="119"/>
      <c r="GXC28" s="119"/>
      <c r="GXD28" s="119"/>
      <c r="GXE28" s="119"/>
      <c r="GXF28" s="119"/>
      <c r="GXG28" s="119"/>
      <c r="GXH28" s="119"/>
      <c r="GXI28" s="119"/>
      <c r="GXJ28" s="119"/>
      <c r="GXK28" s="119"/>
      <c r="GXL28" s="119"/>
      <c r="GXM28" s="119"/>
      <c r="GXN28" s="119"/>
      <c r="GXO28" s="119"/>
      <c r="GXP28" s="119"/>
      <c r="GXQ28" s="119"/>
      <c r="GXR28" s="119"/>
      <c r="GXS28" s="119"/>
      <c r="GXT28" s="119"/>
      <c r="GXU28" s="119"/>
      <c r="GXV28" s="119"/>
      <c r="GXW28" s="119"/>
      <c r="GXX28" s="119"/>
      <c r="GXY28" s="119"/>
      <c r="GXZ28" s="119"/>
      <c r="GYA28" s="119"/>
      <c r="GYB28" s="119"/>
      <c r="GYC28" s="119"/>
      <c r="GYD28" s="119"/>
      <c r="GYE28" s="119"/>
      <c r="GYF28" s="119"/>
      <c r="GYG28" s="119"/>
      <c r="GYH28" s="119"/>
      <c r="GYI28" s="119"/>
      <c r="GYJ28" s="119"/>
      <c r="GYK28" s="119"/>
      <c r="GYL28" s="119"/>
      <c r="GYM28" s="119"/>
      <c r="GYN28" s="119"/>
      <c r="GYO28" s="119"/>
      <c r="GYP28" s="119"/>
      <c r="GYQ28" s="119"/>
      <c r="GYR28" s="119"/>
      <c r="GYS28" s="119"/>
      <c r="GYT28" s="119"/>
      <c r="GYU28" s="119"/>
      <c r="GYV28" s="119"/>
      <c r="GYW28" s="119"/>
      <c r="GYX28" s="119"/>
      <c r="GYY28" s="119"/>
      <c r="GYZ28" s="119"/>
      <c r="GZA28" s="119"/>
      <c r="GZB28" s="119"/>
      <c r="GZC28" s="119"/>
      <c r="GZD28" s="119"/>
      <c r="GZE28" s="119"/>
      <c r="GZF28" s="119"/>
      <c r="GZG28" s="119"/>
      <c r="GZH28" s="119"/>
      <c r="GZI28" s="119"/>
      <c r="GZJ28" s="119"/>
      <c r="GZK28" s="119"/>
      <c r="GZL28" s="119"/>
      <c r="GZM28" s="119"/>
      <c r="GZN28" s="119"/>
      <c r="GZO28" s="119"/>
      <c r="GZP28" s="119"/>
      <c r="GZQ28" s="119"/>
      <c r="GZR28" s="119"/>
      <c r="GZS28" s="119"/>
      <c r="GZT28" s="119"/>
      <c r="GZU28" s="119"/>
      <c r="GZV28" s="119"/>
      <c r="GZW28" s="119"/>
      <c r="GZX28" s="119"/>
      <c r="GZY28" s="119"/>
      <c r="GZZ28" s="119"/>
      <c r="HAA28" s="119"/>
      <c r="HAB28" s="119"/>
      <c r="HAC28" s="119"/>
      <c r="HAD28" s="119"/>
      <c r="HAE28" s="119"/>
      <c r="HAF28" s="119"/>
      <c r="HAG28" s="119"/>
      <c r="HAH28" s="119"/>
      <c r="HAI28" s="119"/>
      <c r="HAJ28" s="119"/>
      <c r="HAK28" s="119"/>
      <c r="HAL28" s="119"/>
      <c r="HAM28" s="119"/>
      <c r="HAN28" s="119"/>
      <c r="HAO28" s="119"/>
      <c r="HAP28" s="119"/>
      <c r="HAQ28" s="119"/>
      <c r="HAR28" s="119"/>
      <c r="HAS28" s="119"/>
      <c r="HAT28" s="119"/>
      <c r="HAU28" s="119"/>
      <c r="HAV28" s="119"/>
      <c r="HAW28" s="119"/>
      <c r="HAX28" s="119"/>
      <c r="HAY28" s="119"/>
      <c r="HAZ28" s="119"/>
      <c r="HBA28" s="119"/>
      <c r="HBB28" s="119"/>
      <c r="HBC28" s="119"/>
      <c r="HBD28" s="119"/>
      <c r="HBE28" s="119"/>
      <c r="HBF28" s="119"/>
      <c r="HBG28" s="119"/>
      <c r="HBH28" s="119"/>
      <c r="HBI28" s="119"/>
      <c r="HBJ28" s="119"/>
      <c r="HBK28" s="119"/>
      <c r="HBL28" s="119"/>
      <c r="HBM28" s="119"/>
      <c r="HBN28" s="119"/>
      <c r="HBO28" s="119"/>
      <c r="HBP28" s="119"/>
      <c r="HBQ28" s="119"/>
      <c r="HBR28" s="119"/>
      <c r="HBS28" s="119"/>
      <c r="HBT28" s="119"/>
      <c r="HBU28" s="119"/>
      <c r="HBV28" s="119"/>
      <c r="HBW28" s="119"/>
      <c r="HBX28" s="119"/>
      <c r="HBY28" s="119"/>
      <c r="HBZ28" s="119"/>
      <c r="HCA28" s="119"/>
      <c r="HCB28" s="119"/>
      <c r="HCC28" s="119"/>
      <c r="HCD28" s="119"/>
      <c r="HCE28" s="119"/>
      <c r="HCF28" s="119"/>
      <c r="HCG28" s="119"/>
      <c r="HCH28" s="119"/>
      <c r="HCI28" s="119"/>
      <c r="HCJ28" s="119"/>
      <c r="HCK28" s="119"/>
      <c r="HCL28" s="119"/>
      <c r="HCM28" s="119"/>
      <c r="HCN28" s="119"/>
      <c r="HCO28" s="119"/>
      <c r="HCP28" s="119"/>
      <c r="HCQ28" s="119"/>
      <c r="HCR28" s="119"/>
      <c r="HCS28" s="119"/>
      <c r="HCT28" s="119"/>
      <c r="HCU28" s="119"/>
      <c r="HCV28" s="119"/>
      <c r="HCW28" s="119"/>
      <c r="HCX28" s="119"/>
      <c r="HCY28" s="119"/>
      <c r="HCZ28" s="119"/>
      <c r="HDA28" s="119"/>
      <c r="HDB28" s="119"/>
      <c r="HDC28" s="119"/>
      <c r="HDD28" s="119"/>
      <c r="HDE28" s="119"/>
      <c r="HDF28" s="119"/>
      <c r="HDG28" s="119"/>
      <c r="HDH28" s="119"/>
      <c r="HDI28" s="119"/>
      <c r="HDJ28" s="119"/>
      <c r="HDK28" s="119"/>
      <c r="HDL28" s="119"/>
      <c r="HDM28" s="119"/>
      <c r="HDN28" s="119"/>
      <c r="HDO28" s="119"/>
      <c r="HDP28" s="119"/>
      <c r="HDQ28" s="119"/>
      <c r="HDR28" s="119"/>
      <c r="HDS28" s="119"/>
      <c r="HDT28" s="119"/>
      <c r="HDU28" s="119"/>
      <c r="HDV28" s="119"/>
      <c r="HDW28" s="119"/>
      <c r="HDX28" s="119"/>
      <c r="HDY28" s="119"/>
      <c r="HDZ28" s="119"/>
      <c r="HEA28" s="119"/>
      <c r="HEB28" s="119"/>
      <c r="HEC28" s="119"/>
      <c r="HED28" s="119"/>
      <c r="HEE28" s="119"/>
      <c r="HEF28" s="119"/>
      <c r="HEG28" s="119"/>
      <c r="HEH28" s="119"/>
      <c r="HEI28" s="119"/>
      <c r="HEJ28" s="119"/>
      <c r="HEK28" s="119"/>
      <c r="HEL28" s="119"/>
      <c r="HEM28" s="119"/>
      <c r="HEN28" s="119"/>
      <c r="HEO28" s="119"/>
      <c r="HEP28" s="119"/>
      <c r="HEQ28" s="119"/>
      <c r="HER28" s="119"/>
      <c r="HES28" s="119"/>
      <c r="HET28" s="119"/>
      <c r="HEU28" s="119"/>
      <c r="HEV28" s="119"/>
      <c r="HEW28" s="119"/>
      <c r="HEX28" s="119"/>
      <c r="HEY28" s="119"/>
      <c r="HEZ28" s="119"/>
      <c r="HFA28" s="119"/>
      <c r="HFB28" s="119"/>
      <c r="HFC28" s="119"/>
      <c r="HFD28" s="119"/>
      <c r="HFE28" s="119"/>
      <c r="HFF28" s="119"/>
      <c r="HFG28" s="119"/>
      <c r="HFH28" s="119"/>
      <c r="HFI28" s="119"/>
      <c r="HFJ28" s="119"/>
      <c r="HFK28" s="119"/>
      <c r="HFL28" s="119"/>
      <c r="HFM28" s="119"/>
      <c r="HFN28" s="119"/>
      <c r="HFO28" s="119"/>
      <c r="HFP28" s="119"/>
      <c r="HFQ28" s="119"/>
      <c r="HFR28" s="119"/>
      <c r="HFS28" s="119"/>
      <c r="HFT28" s="119"/>
      <c r="HFU28" s="119"/>
      <c r="HFV28" s="119"/>
      <c r="HFW28" s="119"/>
      <c r="HFX28" s="119"/>
      <c r="HFY28" s="119"/>
      <c r="HFZ28" s="119"/>
      <c r="HGA28" s="119"/>
      <c r="HGB28" s="119"/>
      <c r="HGC28" s="119"/>
      <c r="HGD28" s="119"/>
      <c r="HGE28" s="119"/>
      <c r="HGF28" s="119"/>
      <c r="HGG28" s="119"/>
      <c r="HGH28" s="119"/>
      <c r="HGI28" s="119"/>
      <c r="HGJ28" s="119"/>
      <c r="HGK28" s="119"/>
      <c r="HGL28" s="119"/>
      <c r="HGM28" s="119"/>
      <c r="HGN28" s="119"/>
      <c r="HGO28" s="119"/>
      <c r="HGP28" s="119"/>
      <c r="HGQ28" s="119"/>
      <c r="HGR28" s="119"/>
      <c r="HGS28" s="119"/>
      <c r="HGT28" s="119"/>
      <c r="HGU28" s="119"/>
      <c r="HGV28" s="119"/>
      <c r="HGW28" s="119"/>
      <c r="HGX28" s="119"/>
      <c r="HGY28" s="119"/>
      <c r="HGZ28" s="119"/>
      <c r="HHA28" s="119"/>
      <c r="HHB28" s="119"/>
      <c r="HHC28" s="119"/>
      <c r="HHD28" s="119"/>
      <c r="HHE28" s="119"/>
      <c r="HHF28" s="119"/>
      <c r="HHG28" s="119"/>
      <c r="HHH28" s="119"/>
      <c r="HHI28" s="119"/>
      <c r="HHJ28" s="119"/>
      <c r="HHK28" s="119"/>
      <c r="HHL28" s="119"/>
      <c r="HHM28" s="119"/>
      <c r="HHN28" s="119"/>
      <c r="HHO28" s="119"/>
      <c r="HHP28" s="119"/>
      <c r="HHQ28" s="119"/>
      <c r="HHR28" s="119"/>
      <c r="HHS28" s="119"/>
      <c r="HHT28" s="119"/>
      <c r="HHU28" s="119"/>
      <c r="HHV28" s="119"/>
      <c r="HHW28" s="119"/>
      <c r="HHX28" s="119"/>
      <c r="HHY28" s="119"/>
      <c r="HHZ28" s="119"/>
      <c r="HIA28" s="119"/>
      <c r="HIB28" s="119"/>
      <c r="HIC28" s="119"/>
      <c r="HID28" s="119"/>
      <c r="HIE28" s="119"/>
      <c r="HIF28" s="119"/>
      <c r="HIG28" s="119"/>
      <c r="HIH28" s="119"/>
      <c r="HII28" s="119"/>
      <c r="HIJ28" s="119"/>
      <c r="HIK28" s="119"/>
      <c r="HIL28" s="119"/>
      <c r="HIM28" s="119"/>
      <c r="HIN28" s="119"/>
      <c r="HIO28" s="119"/>
      <c r="HIP28" s="119"/>
      <c r="HIQ28" s="119"/>
      <c r="HIR28" s="119"/>
      <c r="HIS28" s="119"/>
      <c r="HIT28" s="119"/>
      <c r="HIU28" s="119"/>
      <c r="HIV28" s="119"/>
      <c r="HIW28" s="119"/>
      <c r="HIX28" s="119"/>
      <c r="HIY28" s="119"/>
      <c r="HIZ28" s="119"/>
      <c r="HJA28" s="119"/>
      <c r="HJB28" s="119"/>
      <c r="HJC28" s="119"/>
      <c r="HJD28" s="119"/>
      <c r="HJE28" s="119"/>
      <c r="HJF28" s="119"/>
      <c r="HJG28" s="119"/>
      <c r="HJH28" s="119"/>
      <c r="HJI28" s="119"/>
      <c r="HJJ28" s="119"/>
      <c r="HJK28" s="119"/>
      <c r="HJL28" s="119"/>
      <c r="HJM28" s="119"/>
      <c r="HJN28" s="119"/>
      <c r="HJO28" s="119"/>
      <c r="HJP28" s="119"/>
      <c r="HJQ28" s="119"/>
      <c r="HJR28" s="119"/>
      <c r="HJS28" s="119"/>
      <c r="HJT28" s="119"/>
      <c r="HJU28" s="119"/>
      <c r="HJV28" s="119"/>
      <c r="HJW28" s="119"/>
      <c r="HJX28" s="119"/>
      <c r="HJY28" s="119"/>
      <c r="HJZ28" s="119"/>
      <c r="HKA28" s="119"/>
      <c r="HKB28" s="119"/>
      <c r="HKC28" s="119"/>
      <c r="HKD28" s="119"/>
      <c r="HKE28" s="119"/>
      <c r="HKF28" s="119"/>
      <c r="HKG28" s="119"/>
      <c r="HKH28" s="119"/>
      <c r="HKI28" s="119"/>
      <c r="HKJ28" s="119"/>
      <c r="HKK28" s="119"/>
      <c r="HKL28" s="119"/>
      <c r="HKM28" s="119"/>
      <c r="HKN28" s="119"/>
      <c r="HKO28" s="119"/>
      <c r="HKP28" s="119"/>
      <c r="HKQ28" s="119"/>
      <c r="HKR28" s="119"/>
      <c r="HKS28" s="119"/>
      <c r="HKT28" s="119"/>
      <c r="HKU28" s="119"/>
      <c r="HKV28" s="119"/>
      <c r="HKW28" s="119"/>
      <c r="HKX28" s="119"/>
      <c r="HKY28" s="119"/>
      <c r="HKZ28" s="119"/>
      <c r="HLA28" s="119"/>
      <c r="HLB28" s="119"/>
      <c r="HLC28" s="119"/>
      <c r="HLD28" s="119"/>
      <c r="HLE28" s="119"/>
      <c r="HLF28" s="119"/>
      <c r="HLG28" s="119"/>
      <c r="HLH28" s="119"/>
      <c r="HLI28" s="119"/>
      <c r="HLJ28" s="119"/>
      <c r="HLK28" s="119"/>
      <c r="HLL28" s="119"/>
      <c r="HLM28" s="119"/>
      <c r="HLN28" s="119"/>
      <c r="HLO28" s="119"/>
      <c r="HLP28" s="119"/>
      <c r="HLQ28" s="119"/>
      <c r="HLR28" s="119"/>
      <c r="HLS28" s="119"/>
      <c r="HLT28" s="119"/>
      <c r="HLU28" s="119"/>
      <c r="HLV28" s="119"/>
      <c r="HLW28" s="119"/>
      <c r="HLX28" s="119"/>
      <c r="HLY28" s="119"/>
      <c r="HLZ28" s="119"/>
      <c r="HMA28" s="119"/>
      <c r="HMB28" s="119"/>
      <c r="HMC28" s="119"/>
      <c r="HMD28" s="119"/>
      <c r="HME28" s="119"/>
      <c r="HMF28" s="119"/>
      <c r="HMG28" s="119"/>
      <c r="HMH28" s="119"/>
      <c r="HMI28" s="119"/>
      <c r="HMJ28" s="119"/>
      <c r="HMK28" s="119"/>
      <c r="HML28" s="119"/>
      <c r="HMM28" s="119"/>
      <c r="HMN28" s="119"/>
      <c r="HMO28" s="119"/>
      <c r="HMP28" s="119"/>
      <c r="HMQ28" s="119"/>
      <c r="HMR28" s="119"/>
      <c r="HMS28" s="119"/>
      <c r="HMT28" s="119"/>
      <c r="HMU28" s="119"/>
      <c r="HMV28" s="119"/>
      <c r="HMW28" s="119"/>
      <c r="HMX28" s="119"/>
      <c r="HMY28" s="119"/>
      <c r="HMZ28" s="119"/>
      <c r="HNA28" s="119"/>
      <c r="HNB28" s="119"/>
      <c r="HNC28" s="119"/>
      <c r="HND28" s="119"/>
      <c r="HNE28" s="119"/>
      <c r="HNF28" s="119"/>
      <c r="HNG28" s="119"/>
      <c r="HNH28" s="119"/>
      <c r="HNI28" s="119"/>
      <c r="HNJ28" s="119"/>
      <c r="HNK28" s="119"/>
      <c r="HNL28" s="119"/>
      <c r="HNM28" s="119"/>
      <c r="HNN28" s="119"/>
      <c r="HNO28" s="119"/>
      <c r="HNP28" s="119"/>
      <c r="HNQ28" s="119"/>
      <c r="HNR28" s="119"/>
      <c r="HNS28" s="119"/>
      <c r="HNT28" s="119"/>
      <c r="HNU28" s="119"/>
      <c r="HNV28" s="119"/>
      <c r="HNW28" s="119"/>
      <c r="HNX28" s="119"/>
      <c r="HNY28" s="119"/>
      <c r="HNZ28" s="119"/>
      <c r="HOA28" s="119"/>
      <c r="HOB28" s="119"/>
      <c r="HOC28" s="119"/>
      <c r="HOD28" s="119"/>
      <c r="HOE28" s="119"/>
      <c r="HOF28" s="119"/>
      <c r="HOG28" s="119"/>
      <c r="HOH28" s="119"/>
      <c r="HOI28" s="119"/>
      <c r="HOJ28" s="119"/>
      <c r="HOK28" s="119"/>
      <c r="HOL28" s="119"/>
      <c r="HOM28" s="119"/>
      <c r="HON28" s="119"/>
      <c r="HOO28" s="119"/>
      <c r="HOP28" s="119"/>
      <c r="HOQ28" s="119"/>
      <c r="HOR28" s="119"/>
      <c r="HOS28" s="119"/>
      <c r="HOT28" s="119"/>
      <c r="HOU28" s="119"/>
      <c r="HOV28" s="119"/>
      <c r="HOW28" s="119"/>
      <c r="HOX28" s="119"/>
      <c r="HOY28" s="119"/>
      <c r="HOZ28" s="119"/>
      <c r="HPA28" s="119"/>
      <c r="HPB28" s="119"/>
      <c r="HPC28" s="119"/>
      <c r="HPD28" s="119"/>
      <c r="HPE28" s="119"/>
      <c r="HPF28" s="119"/>
      <c r="HPG28" s="119"/>
      <c r="HPH28" s="119"/>
      <c r="HPI28" s="119"/>
      <c r="HPJ28" s="119"/>
      <c r="HPK28" s="119"/>
      <c r="HPL28" s="119"/>
      <c r="HPM28" s="119"/>
      <c r="HPN28" s="119"/>
      <c r="HPO28" s="119"/>
      <c r="HPP28" s="119"/>
      <c r="HPQ28" s="119"/>
      <c r="HPR28" s="119"/>
      <c r="HPS28" s="119"/>
      <c r="HPT28" s="119"/>
      <c r="HPU28" s="119"/>
      <c r="HPV28" s="119"/>
      <c r="HPW28" s="119"/>
      <c r="HPX28" s="119"/>
      <c r="HPY28" s="119"/>
      <c r="HPZ28" s="119"/>
      <c r="HQA28" s="119"/>
      <c r="HQB28" s="119"/>
      <c r="HQC28" s="119"/>
      <c r="HQD28" s="119"/>
      <c r="HQE28" s="119"/>
      <c r="HQF28" s="119"/>
      <c r="HQG28" s="119"/>
      <c r="HQH28" s="119"/>
      <c r="HQI28" s="119"/>
      <c r="HQJ28" s="119"/>
      <c r="HQK28" s="119"/>
      <c r="HQL28" s="119"/>
      <c r="HQM28" s="119"/>
      <c r="HQN28" s="119"/>
      <c r="HQO28" s="119"/>
      <c r="HQP28" s="119"/>
      <c r="HQQ28" s="119"/>
      <c r="HQR28" s="119"/>
      <c r="HQS28" s="119"/>
      <c r="HQT28" s="119"/>
      <c r="HQU28" s="119"/>
      <c r="HQV28" s="119"/>
      <c r="HQW28" s="119"/>
      <c r="HQX28" s="119"/>
      <c r="HQY28" s="119"/>
      <c r="HQZ28" s="119"/>
      <c r="HRA28" s="119"/>
      <c r="HRB28" s="119"/>
      <c r="HRC28" s="119"/>
      <c r="HRD28" s="119"/>
      <c r="HRE28" s="119"/>
      <c r="HRF28" s="119"/>
      <c r="HRG28" s="119"/>
      <c r="HRH28" s="119"/>
      <c r="HRI28" s="119"/>
      <c r="HRJ28" s="119"/>
      <c r="HRK28" s="119"/>
      <c r="HRL28" s="119"/>
      <c r="HRM28" s="119"/>
      <c r="HRN28" s="119"/>
      <c r="HRO28" s="119"/>
      <c r="HRP28" s="119"/>
      <c r="HRQ28" s="119"/>
      <c r="HRR28" s="119"/>
      <c r="HRS28" s="119"/>
      <c r="HRT28" s="119"/>
      <c r="HRU28" s="119"/>
      <c r="HRV28" s="119"/>
      <c r="HRW28" s="119"/>
      <c r="HRX28" s="119"/>
      <c r="HRY28" s="119"/>
      <c r="HRZ28" s="119"/>
      <c r="HSA28" s="119"/>
      <c r="HSB28" s="119"/>
      <c r="HSC28" s="119"/>
      <c r="HSD28" s="119"/>
      <c r="HSE28" s="119"/>
      <c r="HSF28" s="119"/>
      <c r="HSG28" s="119"/>
      <c r="HSH28" s="119"/>
      <c r="HSI28" s="119"/>
      <c r="HSJ28" s="119"/>
      <c r="HSK28" s="119"/>
      <c r="HSL28" s="119"/>
      <c r="HSM28" s="119"/>
      <c r="HSN28" s="119"/>
      <c r="HSO28" s="119"/>
      <c r="HSP28" s="119"/>
      <c r="HSQ28" s="119"/>
      <c r="HSR28" s="119"/>
      <c r="HSS28" s="119"/>
      <c r="HST28" s="119"/>
      <c r="HSU28" s="119"/>
      <c r="HSV28" s="119"/>
      <c r="HSW28" s="119"/>
      <c r="HSX28" s="119"/>
      <c r="HSY28" s="119"/>
      <c r="HSZ28" s="119"/>
      <c r="HTA28" s="119"/>
      <c r="HTB28" s="119"/>
      <c r="HTC28" s="119"/>
      <c r="HTD28" s="119"/>
      <c r="HTE28" s="119"/>
      <c r="HTF28" s="119"/>
      <c r="HTG28" s="119"/>
      <c r="HTH28" s="119"/>
      <c r="HTI28" s="119"/>
      <c r="HTJ28" s="119"/>
      <c r="HTK28" s="119"/>
      <c r="HTL28" s="119"/>
      <c r="HTM28" s="119"/>
      <c r="HTN28" s="119"/>
      <c r="HTO28" s="119"/>
      <c r="HTP28" s="119"/>
      <c r="HTQ28" s="119"/>
      <c r="HTR28" s="119"/>
      <c r="HTS28" s="119"/>
      <c r="HTT28" s="119"/>
      <c r="HTU28" s="119"/>
      <c r="HTV28" s="119"/>
      <c r="HTW28" s="119"/>
      <c r="HTX28" s="119"/>
      <c r="HTY28" s="119"/>
      <c r="HTZ28" s="119"/>
      <c r="HUA28" s="119"/>
      <c r="HUB28" s="119"/>
      <c r="HUC28" s="119"/>
      <c r="HUD28" s="119"/>
      <c r="HUE28" s="119"/>
      <c r="HUF28" s="119"/>
      <c r="HUG28" s="119"/>
      <c r="HUH28" s="119"/>
      <c r="HUI28" s="119"/>
      <c r="HUJ28" s="119"/>
      <c r="HUK28" s="119"/>
      <c r="HUL28" s="119"/>
      <c r="HUM28" s="119"/>
      <c r="HUN28" s="119"/>
      <c r="HUO28" s="119"/>
      <c r="HUP28" s="119"/>
      <c r="HUQ28" s="119"/>
      <c r="HUR28" s="119"/>
      <c r="HUS28" s="119"/>
      <c r="HUT28" s="119"/>
      <c r="HUU28" s="119"/>
      <c r="HUV28" s="119"/>
      <c r="HUW28" s="119"/>
      <c r="HUX28" s="119"/>
      <c r="HUY28" s="119"/>
      <c r="HUZ28" s="119"/>
      <c r="HVA28" s="119"/>
      <c r="HVB28" s="119"/>
      <c r="HVC28" s="119"/>
      <c r="HVD28" s="119"/>
      <c r="HVE28" s="119"/>
      <c r="HVF28" s="119"/>
      <c r="HVG28" s="119"/>
      <c r="HVH28" s="119"/>
      <c r="HVI28" s="119"/>
      <c r="HVJ28" s="119"/>
      <c r="HVK28" s="119"/>
      <c r="HVL28" s="119"/>
      <c r="HVM28" s="119"/>
      <c r="HVN28" s="119"/>
      <c r="HVO28" s="119"/>
      <c r="HVP28" s="119"/>
      <c r="HVQ28" s="119"/>
      <c r="HVR28" s="119"/>
      <c r="HVS28" s="119"/>
      <c r="HVT28" s="119"/>
      <c r="HVU28" s="119"/>
      <c r="HVV28" s="119"/>
      <c r="HVW28" s="119"/>
      <c r="HVX28" s="119"/>
      <c r="HVY28" s="119"/>
      <c r="HVZ28" s="119"/>
      <c r="HWA28" s="119"/>
      <c r="HWB28" s="119"/>
      <c r="HWC28" s="119"/>
      <c r="HWD28" s="119"/>
      <c r="HWE28" s="119"/>
      <c r="HWF28" s="119"/>
      <c r="HWG28" s="119"/>
      <c r="HWH28" s="119"/>
      <c r="HWI28" s="119"/>
      <c r="HWJ28" s="119"/>
      <c r="HWK28" s="119"/>
      <c r="HWL28" s="119"/>
      <c r="HWM28" s="119"/>
      <c r="HWN28" s="119"/>
      <c r="HWO28" s="119"/>
      <c r="HWP28" s="119"/>
      <c r="HWQ28" s="119"/>
      <c r="HWR28" s="119"/>
      <c r="HWS28" s="119"/>
      <c r="HWT28" s="119"/>
      <c r="HWU28" s="119"/>
      <c r="HWV28" s="119"/>
      <c r="HWW28" s="119"/>
      <c r="HWX28" s="119"/>
      <c r="HWY28" s="119"/>
      <c r="HWZ28" s="119"/>
      <c r="HXA28" s="119"/>
      <c r="HXB28" s="119"/>
      <c r="HXC28" s="119"/>
      <c r="HXD28" s="119"/>
      <c r="HXE28" s="119"/>
      <c r="HXF28" s="119"/>
      <c r="HXG28" s="119"/>
      <c r="HXH28" s="119"/>
      <c r="HXI28" s="119"/>
      <c r="HXJ28" s="119"/>
      <c r="HXK28" s="119"/>
      <c r="HXL28" s="119"/>
      <c r="HXM28" s="119"/>
      <c r="HXN28" s="119"/>
      <c r="HXO28" s="119"/>
      <c r="HXP28" s="119"/>
      <c r="HXQ28" s="119"/>
      <c r="HXR28" s="119"/>
      <c r="HXS28" s="119"/>
      <c r="HXT28" s="119"/>
      <c r="HXU28" s="119"/>
      <c r="HXV28" s="119"/>
      <c r="HXW28" s="119"/>
      <c r="HXX28" s="119"/>
      <c r="HXY28" s="119"/>
      <c r="HXZ28" s="119"/>
      <c r="HYA28" s="119"/>
      <c r="HYB28" s="119"/>
      <c r="HYC28" s="119"/>
      <c r="HYD28" s="119"/>
      <c r="HYE28" s="119"/>
      <c r="HYF28" s="119"/>
      <c r="HYG28" s="119"/>
      <c r="HYH28" s="119"/>
      <c r="HYI28" s="119"/>
      <c r="HYJ28" s="119"/>
      <c r="HYK28" s="119"/>
      <c r="HYL28" s="119"/>
      <c r="HYM28" s="119"/>
      <c r="HYN28" s="119"/>
      <c r="HYO28" s="119"/>
      <c r="HYP28" s="119"/>
      <c r="HYQ28" s="119"/>
      <c r="HYR28" s="119"/>
      <c r="HYS28" s="119"/>
      <c r="HYT28" s="119"/>
      <c r="HYU28" s="119"/>
      <c r="HYV28" s="119"/>
      <c r="HYW28" s="119"/>
      <c r="HYX28" s="119"/>
      <c r="HYY28" s="119"/>
      <c r="HYZ28" s="119"/>
      <c r="HZA28" s="119"/>
      <c r="HZB28" s="119"/>
      <c r="HZC28" s="119"/>
      <c r="HZD28" s="119"/>
      <c r="HZE28" s="119"/>
      <c r="HZF28" s="119"/>
      <c r="HZG28" s="119"/>
      <c r="HZH28" s="119"/>
      <c r="HZI28" s="119"/>
      <c r="HZJ28" s="119"/>
      <c r="HZK28" s="119"/>
      <c r="HZL28" s="119"/>
      <c r="HZM28" s="119"/>
      <c r="HZN28" s="119"/>
      <c r="HZO28" s="119"/>
      <c r="HZP28" s="119"/>
      <c r="HZQ28" s="119"/>
      <c r="HZR28" s="119"/>
      <c r="HZS28" s="119"/>
      <c r="HZT28" s="119"/>
      <c r="HZU28" s="119"/>
      <c r="HZV28" s="119"/>
      <c r="HZW28" s="119"/>
      <c r="HZX28" s="119"/>
      <c r="HZY28" s="119"/>
      <c r="HZZ28" s="119"/>
      <c r="IAA28" s="119"/>
      <c r="IAB28" s="119"/>
      <c r="IAC28" s="119"/>
      <c r="IAD28" s="119"/>
      <c r="IAE28" s="119"/>
      <c r="IAF28" s="119"/>
      <c r="IAG28" s="119"/>
      <c r="IAH28" s="119"/>
      <c r="IAI28" s="119"/>
      <c r="IAJ28" s="119"/>
      <c r="IAK28" s="119"/>
      <c r="IAL28" s="119"/>
      <c r="IAM28" s="119"/>
      <c r="IAN28" s="119"/>
      <c r="IAO28" s="119"/>
      <c r="IAP28" s="119"/>
      <c r="IAQ28" s="119"/>
      <c r="IAR28" s="119"/>
      <c r="IAS28" s="119"/>
      <c r="IAT28" s="119"/>
      <c r="IAU28" s="119"/>
      <c r="IAV28" s="119"/>
      <c r="IAW28" s="119"/>
      <c r="IAX28" s="119"/>
      <c r="IAY28" s="119"/>
      <c r="IAZ28" s="119"/>
      <c r="IBA28" s="119"/>
      <c r="IBB28" s="119"/>
      <c r="IBC28" s="119"/>
      <c r="IBD28" s="119"/>
      <c r="IBE28" s="119"/>
      <c r="IBF28" s="119"/>
      <c r="IBG28" s="119"/>
      <c r="IBH28" s="119"/>
      <c r="IBI28" s="119"/>
      <c r="IBJ28" s="119"/>
      <c r="IBK28" s="119"/>
      <c r="IBL28" s="119"/>
      <c r="IBM28" s="119"/>
      <c r="IBN28" s="119"/>
      <c r="IBO28" s="119"/>
      <c r="IBP28" s="119"/>
      <c r="IBQ28" s="119"/>
      <c r="IBR28" s="119"/>
      <c r="IBS28" s="119"/>
      <c r="IBT28" s="119"/>
      <c r="IBU28" s="119"/>
      <c r="IBV28" s="119"/>
      <c r="IBW28" s="119"/>
      <c r="IBX28" s="119"/>
      <c r="IBY28" s="119"/>
      <c r="IBZ28" s="119"/>
      <c r="ICA28" s="119"/>
      <c r="ICB28" s="119"/>
      <c r="ICC28" s="119"/>
      <c r="ICD28" s="119"/>
      <c r="ICE28" s="119"/>
      <c r="ICF28" s="119"/>
      <c r="ICG28" s="119"/>
      <c r="ICH28" s="119"/>
      <c r="ICI28" s="119"/>
      <c r="ICJ28" s="119"/>
      <c r="ICK28" s="119"/>
      <c r="ICL28" s="119"/>
      <c r="ICM28" s="119"/>
      <c r="ICN28" s="119"/>
      <c r="ICO28" s="119"/>
      <c r="ICP28" s="119"/>
      <c r="ICQ28" s="119"/>
      <c r="ICR28" s="119"/>
      <c r="ICS28" s="119"/>
      <c r="ICT28" s="119"/>
      <c r="ICU28" s="119"/>
      <c r="ICV28" s="119"/>
      <c r="ICW28" s="119"/>
      <c r="ICX28" s="119"/>
      <c r="ICY28" s="119"/>
      <c r="ICZ28" s="119"/>
      <c r="IDA28" s="119"/>
      <c r="IDB28" s="119"/>
      <c r="IDC28" s="119"/>
      <c r="IDD28" s="119"/>
      <c r="IDE28" s="119"/>
      <c r="IDF28" s="119"/>
      <c r="IDG28" s="119"/>
      <c r="IDH28" s="119"/>
      <c r="IDI28" s="119"/>
      <c r="IDJ28" s="119"/>
      <c r="IDK28" s="119"/>
      <c r="IDL28" s="119"/>
      <c r="IDM28" s="119"/>
      <c r="IDN28" s="119"/>
      <c r="IDO28" s="119"/>
      <c r="IDP28" s="119"/>
      <c r="IDQ28" s="119"/>
      <c r="IDR28" s="119"/>
      <c r="IDS28" s="119"/>
      <c r="IDT28" s="119"/>
      <c r="IDU28" s="119"/>
      <c r="IDV28" s="119"/>
      <c r="IDW28" s="119"/>
      <c r="IDX28" s="119"/>
      <c r="IDY28" s="119"/>
      <c r="IDZ28" s="119"/>
      <c r="IEA28" s="119"/>
      <c r="IEB28" s="119"/>
      <c r="IEC28" s="119"/>
      <c r="IED28" s="119"/>
      <c r="IEE28" s="119"/>
      <c r="IEF28" s="119"/>
      <c r="IEG28" s="119"/>
      <c r="IEH28" s="119"/>
      <c r="IEI28" s="119"/>
      <c r="IEJ28" s="119"/>
      <c r="IEK28" s="119"/>
      <c r="IEL28" s="119"/>
      <c r="IEM28" s="119"/>
      <c r="IEN28" s="119"/>
      <c r="IEO28" s="119"/>
      <c r="IEP28" s="119"/>
      <c r="IEQ28" s="119"/>
      <c r="IER28" s="119"/>
      <c r="IES28" s="119"/>
      <c r="IET28" s="119"/>
      <c r="IEU28" s="119"/>
      <c r="IEV28" s="119"/>
      <c r="IEW28" s="119"/>
      <c r="IEX28" s="119"/>
      <c r="IEY28" s="119"/>
      <c r="IEZ28" s="119"/>
      <c r="IFA28" s="119"/>
      <c r="IFB28" s="119"/>
      <c r="IFC28" s="119"/>
      <c r="IFD28" s="119"/>
      <c r="IFE28" s="119"/>
      <c r="IFF28" s="119"/>
      <c r="IFG28" s="119"/>
      <c r="IFH28" s="119"/>
      <c r="IFI28" s="119"/>
      <c r="IFJ28" s="119"/>
      <c r="IFK28" s="119"/>
      <c r="IFL28" s="119"/>
      <c r="IFM28" s="119"/>
      <c r="IFN28" s="119"/>
      <c r="IFO28" s="119"/>
      <c r="IFP28" s="119"/>
      <c r="IFQ28" s="119"/>
      <c r="IFR28" s="119"/>
      <c r="IFS28" s="119"/>
      <c r="IFT28" s="119"/>
      <c r="IFU28" s="119"/>
      <c r="IFV28" s="119"/>
      <c r="IFW28" s="119"/>
      <c r="IFX28" s="119"/>
      <c r="IFY28" s="119"/>
      <c r="IFZ28" s="119"/>
      <c r="IGA28" s="119"/>
      <c r="IGB28" s="119"/>
      <c r="IGC28" s="119"/>
      <c r="IGD28" s="119"/>
      <c r="IGE28" s="119"/>
      <c r="IGF28" s="119"/>
      <c r="IGG28" s="119"/>
      <c r="IGH28" s="119"/>
      <c r="IGI28" s="119"/>
      <c r="IGJ28" s="119"/>
      <c r="IGK28" s="119"/>
      <c r="IGL28" s="119"/>
      <c r="IGM28" s="119"/>
      <c r="IGN28" s="119"/>
      <c r="IGO28" s="119"/>
      <c r="IGP28" s="119"/>
      <c r="IGQ28" s="119"/>
      <c r="IGR28" s="119"/>
      <c r="IGS28" s="119"/>
      <c r="IGT28" s="119"/>
      <c r="IGU28" s="119"/>
      <c r="IGV28" s="119"/>
      <c r="IGW28" s="119"/>
      <c r="IGX28" s="119"/>
      <c r="IGY28" s="119"/>
      <c r="IGZ28" s="119"/>
      <c r="IHA28" s="119"/>
      <c r="IHB28" s="119"/>
      <c r="IHC28" s="119"/>
      <c r="IHD28" s="119"/>
      <c r="IHE28" s="119"/>
      <c r="IHF28" s="119"/>
      <c r="IHG28" s="119"/>
      <c r="IHH28" s="119"/>
      <c r="IHI28" s="119"/>
      <c r="IHJ28" s="119"/>
      <c r="IHK28" s="119"/>
      <c r="IHL28" s="119"/>
      <c r="IHM28" s="119"/>
      <c r="IHN28" s="119"/>
      <c r="IHO28" s="119"/>
      <c r="IHP28" s="119"/>
      <c r="IHQ28" s="119"/>
      <c r="IHR28" s="119"/>
      <c r="IHS28" s="119"/>
      <c r="IHT28" s="119"/>
      <c r="IHU28" s="119"/>
      <c r="IHV28" s="119"/>
      <c r="IHW28" s="119"/>
      <c r="IHX28" s="119"/>
      <c r="IHY28" s="119"/>
      <c r="IHZ28" s="119"/>
      <c r="IIA28" s="119"/>
      <c r="IIB28" s="119"/>
      <c r="IIC28" s="119"/>
      <c r="IID28" s="119"/>
      <c r="IIE28" s="119"/>
      <c r="IIF28" s="119"/>
      <c r="IIG28" s="119"/>
      <c r="IIH28" s="119"/>
      <c r="III28" s="119"/>
      <c r="IIJ28" s="119"/>
      <c r="IIK28" s="119"/>
      <c r="IIL28" s="119"/>
      <c r="IIM28" s="119"/>
      <c r="IIN28" s="119"/>
      <c r="IIO28" s="119"/>
      <c r="IIP28" s="119"/>
      <c r="IIQ28" s="119"/>
      <c r="IIR28" s="119"/>
      <c r="IIS28" s="119"/>
      <c r="IIT28" s="119"/>
      <c r="IIU28" s="119"/>
      <c r="IIV28" s="119"/>
      <c r="IIW28" s="119"/>
      <c r="IIX28" s="119"/>
      <c r="IIY28" s="119"/>
      <c r="IIZ28" s="119"/>
      <c r="IJA28" s="119"/>
      <c r="IJB28" s="119"/>
      <c r="IJC28" s="119"/>
      <c r="IJD28" s="119"/>
      <c r="IJE28" s="119"/>
      <c r="IJF28" s="119"/>
      <c r="IJG28" s="119"/>
      <c r="IJH28" s="119"/>
      <c r="IJI28" s="119"/>
      <c r="IJJ28" s="119"/>
      <c r="IJK28" s="119"/>
      <c r="IJL28" s="119"/>
      <c r="IJM28" s="119"/>
      <c r="IJN28" s="119"/>
      <c r="IJO28" s="119"/>
      <c r="IJP28" s="119"/>
      <c r="IJQ28" s="119"/>
      <c r="IJR28" s="119"/>
      <c r="IJS28" s="119"/>
      <c r="IJT28" s="119"/>
      <c r="IJU28" s="119"/>
      <c r="IJV28" s="119"/>
      <c r="IJW28" s="119"/>
      <c r="IJX28" s="119"/>
      <c r="IJY28" s="119"/>
      <c r="IJZ28" s="119"/>
      <c r="IKA28" s="119"/>
      <c r="IKB28" s="119"/>
      <c r="IKC28" s="119"/>
      <c r="IKD28" s="119"/>
      <c r="IKE28" s="119"/>
      <c r="IKF28" s="119"/>
      <c r="IKG28" s="119"/>
      <c r="IKH28" s="119"/>
      <c r="IKI28" s="119"/>
      <c r="IKJ28" s="119"/>
      <c r="IKK28" s="119"/>
      <c r="IKL28" s="119"/>
      <c r="IKM28" s="119"/>
      <c r="IKN28" s="119"/>
      <c r="IKO28" s="119"/>
      <c r="IKP28" s="119"/>
      <c r="IKQ28" s="119"/>
      <c r="IKR28" s="119"/>
      <c r="IKS28" s="119"/>
      <c r="IKT28" s="119"/>
      <c r="IKU28" s="119"/>
      <c r="IKV28" s="119"/>
      <c r="IKW28" s="119"/>
      <c r="IKX28" s="119"/>
      <c r="IKY28" s="119"/>
      <c r="IKZ28" s="119"/>
      <c r="ILA28" s="119"/>
      <c r="ILB28" s="119"/>
      <c r="ILC28" s="119"/>
      <c r="ILD28" s="119"/>
      <c r="ILE28" s="119"/>
      <c r="ILF28" s="119"/>
      <c r="ILG28" s="119"/>
      <c r="ILH28" s="119"/>
      <c r="ILI28" s="119"/>
      <c r="ILJ28" s="119"/>
      <c r="ILK28" s="119"/>
      <c r="ILL28" s="119"/>
      <c r="ILM28" s="119"/>
      <c r="ILN28" s="119"/>
      <c r="ILO28" s="119"/>
      <c r="ILP28" s="119"/>
      <c r="ILQ28" s="119"/>
      <c r="ILR28" s="119"/>
      <c r="ILS28" s="119"/>
      <c r="ILT28" s="119"/>
      <c r="ILU28" s="119"/>
      <c r="ILV28" s="119"/>
      <c r="ILW28" s="119"/>
      <c r="ILX28" s="119"/>
      <c r="ILY28" s="119"/>
      <c r="ILZ28" s="119"/>
      <c r="IMA28" s="119"/>
      <c r="IMB28" s="119"/>
      <c r="IMC28" s="119"/>
      <c r="IMD28" s="119"/>
      <c r="IME28" s="119"/>
      <c r="IMF28" s="119"/>
      <c r="IMG28" s="119"/>
      <c r="IMH28" s="119"/>
      <c r="IMI28" s="119"/>
      <c r="IMJ28" s="119"/>
      <c r="IMK28" s="119"/>
      <c r="IML28" s="119"/>
      <c r="IMM28" s="119"/>
      <c r="IMN28" s="119"/>
      <c r="IMO28" s="119"/>
      <c r="IMP28" s="119"/>
      <c r="IMQ28" s="119"/>
      <c r="IMR28" s="119"/>
      <c r="IMS28" s="119"/>
      <c r="IMT28" s="119"/>
      <c r="IMU28" s="119"/>
      <c r="IMV28" s="119"/>
      <c r="IMW28" s="119"/>
      <c r="IMX28" s="119"/>
      <c r="IMY28" s="119"/>
      <c r="IMZ28" s="119"/>
      <c r="INA28" s="119"/>
      <c r="INB28" s="119"/>
      <c r="INC28" s="119"/>
      <c r="IND28" s="119"/>
      <c r="INE28" s="119"/>
      <c r="INF28" s="119"/>
      <c r="ING28" s="119"/>
      <c r="INH28" s="119"/>
      <c r="INI28" s="119"/>
      <c r="INJ28" s="119"/>
      <c r="INK28" s="119"/>
      <c r="INL28" s="119"/>
      <c r="INM28" s="119"/>
      <c r="INN28" s="119"/>
      <c r="INO28" s="119"/>
      <c r="INP28" s="119"/>
      <c r="INQ28" s="119"/>
      <c r="INR28" s="119"/>
      <c r="INS28" s="119"/>
      <c r="INT28" s="119"/>
      <c r="INU28" s="119"/>
      <c r="INV28" s="119"/>
      <c r="INW28" s="119"/>
      <c r="INX28" s="119"/>
      <c r="INY28" s="119"/>
      <c r="INZ28" s="119"/>
      <c r="IOA28" s="119"/>
      <c r="IOB28" s="119"/>
      <c r="IOC28" s="119"/>
      <c r="IOD28" s="119"/>
      <c r="IOE28" s="119"/>
      <c r="IOF28" s="119"/>
      <c r="IOG28" s="119"/>
      <c r="IOH28" s="119"/>
      <c r="IOI28" s="119"/>
      <c r="IOJ28" s="119"/>
      <c r="IOK28" s="119"/>
      <c r="IOL28" s="119"/>
      <c r="IOM28" s="119"/>
      <c r="ION28" s="119"/>
      <c r="IOO28" s="119"/>
      <c r="IOP28" s="119"/>
      <c r="IOQ28" s="119"/>
      <c r="IOR28" s="119"/>
      <c r="IOS28" s="119"/>
      <c r="IOT28" s="119"/>
      <c r="IOU28" s="119"/>
      <c r="IOV28" s="119"/>
      <c r="IOW28" s="119"/>
      <c r="IOX28" s="119"/>
      <c r="IOY28" s="119"/>
      <c r="IOZ28" s="119"/>
      <c r="IPA28" s="119"/>
      <c r="IPB28" s="119"/>
      <c r="IPC28" s="119"/>
      <c r="IPD28" s="119"/>
      <c r="IPE28" s="119"/>
      <c r="IPF28" s="119"/>
      <c r="IPG28" s="119"/>
      <c r="IPH28" s="119"/>
      <c r="IPI28" s="119"/>
      <c r="IPJ28" s="119"/>
      <c r="IPK28" s="119"/>
      <c r="IPL28" s="119"/>
      <c r="IPM28" s="119"/>
      <c r="IPN28" s="119"/>
      <c r="IPO28" s="119"/>
      <c r="IPP28" s="119"/>
      <c r="IPQ28" s="119"/>
      <c r="IPR28" s="119"/>
      <c r="IPS28" s="119"/>
      <c r="IPT28" s="119"/>
      <c r="IPU28" s="119"/>
      <c r="IPV28" s="119"/>
      <c r="IPW28" s="119"/>
      <c r="IPX28" s="119"/>
      <c r="IPY28" s="119"/>
      <c r="IPZ28" s="119"/>
      <c r="IQA28" s="119"/>
      <c r="IQB28" s="119"/>
      <c r="IQC28" s="119"/>
      <c r="IQD28" s="119"/>
      <c r="IQE28" s="119"/>
      <c r="IQF28" s="119"/>
      <c r="IQG28" s="119"/>
      <c r="IQH28" s="119"/>
      <c r="IQI28" s="119"/>
      <c r="IQJ28" s="119"/>
      <c r="IQK28" s="119"/>
      <c r="IQL28" s="119"/>
      <c r="IQM28" s="119"/>
      <c r="IQN28" s="119"/>
      <c r="IQO28" s="119"/>
      <c r="IQP28" s="119"/>
      <c r="IQQ28" s="119"/>
      <c r="IQR28" s="119"/>
      <c r="IQS28" s="119"/>
      <c r="IQT28" s="119"/>
      <c r="IQU28" s="119"/>
      <c r="IQV28" s="119"/>
      <c r="IQW28" s="119"/>
      <c r="IQX28" s="119"/>
      <c r="IQY28" s="119"/>
      <c r="IQZ28" s="119"/>
      <c r="IRA28" s="119"/>
      <c r="IRB28" s="119"/>
      <c r="IRC28" s="119"/>
      <c r="IRD28" s="119"/>
      <c r="IRE28" s="119"/>
      <c r="IRF28" s="119"/>
      <c r="IRG28" s="119"/>
      <c r="IRH28" s="119"/>
      <c r="IRI28" s="119"/>
      <c r="IRJ28" s="119"/>
      <c r="IRK28" s="119"/>
      <c r="IRL28" s="119"/>
      <c r="IRM28" s="119"/>
      <c r="IRN28" s="119"/>
      <c r="IRO28" s="119"/>
      <c r="IRP28" s="119"/>
      <c r="IRQ28" s="119"/>
      <c r="IRR28" s="119"/>
      <c r="IRS28" s="119"/>
      <c r="IRT28" s="119"/>
      <c r="IRU28" s="119"/>
      <c r="IRV28" s="119"/>
      <c r="IRW28" s="119"/>
      <c r="IRX28" s="119"/>
      <c r="IRY28" s="119"/>
      <c r="IRZ28" s="119"/>
      <c r="ISA28" s="119"/>
      <c r="ISB28" s="119"/>
      <c r="ISC28" s="119"/>
      <c r="ISD28" s="119"/>
      <c r="ISE28" s="119"/>
      <c r="ISF28" s="119"/>
      <c r="ISG28" s="119"/>
      <c r="ISH28" s="119"/>
      <c r="ISI28" s="119"/>
      <c r="ISJ28" s="119"/>
      <c r="ISK28" s="119"/>
      <c r="ISL28" s="119"/>
      <c r="ISM28" s="119"/>
      <c r="ISN28" s="119"/>
      <c r="ISO28" s="119"/>
      <c r="ISP28" s="119"/>
      <c r="ISQ28" s="119"/>
      <c r="ISR28" s="119"/>
      <c r="ISS28" s="119"/>
      <c r="IST28" s="119"/>
      <c r="ISU28" s="119"/>
      <c r="ISV28" s="119"/>
      <c r="ISW28" s="119"/>
      <c r="ISX28" s="119"/>
      <c r="ISY28" s="119"/>
      <c r="ISZ28" s="119"/>
      <c r="ITA28" s="119"/>
      <c r="ITB28" s="119"/>
      <c r="ITC28" s="119"/>
      <c r="ITD28" s="119"/>
      <c r="ITE28" s="119"/>
      <c r="ITF28" s="119"/>
      <c r="ITG28" s="119"/>
      <c r="ITH28" s="119"/>
      <c r="ITI28" s="119"/>
      <c r="ITJ28" s="119"/>
      <c r="ITK28" s="119"/>
      <c r="ITL28" s="119"/>
      <c r="ITM28" s="119"/>
      <c r="ITN28" s="119"/>
      <c r="ITO28" s="119"/>
      <c r="ITP28" s="119"/>
      <c r="ITQ28" s="119"/>
      <c r="ITR28" s="119"/>
      <c r="ITS28" s="119"/>
      <c r="ITT28" s="119"/>
      <c r="ITU28" s="119"/>
      <c r="ITV28" s="119"/>
      <c r="ITW28" s="119"/>
      <c r="ITX28" s="119"/>
      <c r="ITY28" s="119"/>
      <c r="ITZ28" s="119"/>
      <c r="IUA28" s="119"/>
      <c r="IUB28" s="119"/>
      <c r="IUC28" s="119"/>
      <c r="IUD28" s="119"/>
      <c r="IUE28" s="119"/>
      <c r="IUF28" s="119"/>
      <c r="IUG28" s="119"/>
      <c r="IUH28" s="119"/>
      <c r="IUI28" s="119"/>
      <c r="IUJ28" s="119"/>
      <c r="IUK28" s="119"/>
      <c r="IUL28" s="119"/>
      <c r="IUM28" s="119"/>
      <c r="IUN28" s="119"/>
      <c r="IUO28" s="119"/>
      <c r="IUP28" s="119"/>
      <c r="IUQ28" s="119"/>
      <c r="IUR28" s="119"/>
      <c r="IUS28" s="119"/>
      <c r="IUT28" s="119"/>
      <c r="IUU28" s="119"/>
      <c r="IUV28" s="119"/>
      <c r="IUW28" s="119"/>
      <c r="IUX28" s="119"/>
      <c r="IUY28" s="119"/>
      <c r="IUZ28" s="119"/>
      <c r="IVA28" s="119"/>
      <c r="IVB28" s="119"/>
      <c r="IVC28" s="119"/>
      <c r="IVD28" s="119"/>
      <c r="IVE28" s="119"/>
      <c r="IVF28" s="119"/>
      <c r="IVG28" s="119"/>
      <c r="IVH28" s="119"/>
      <c r="IVI28" s="119"/>
      <c r="IVJ28" s="119"/>
      <c r="IVK28" s="119"/>
      <c r="IVL28" s="119"/>
      <c r="IVM28" s="119"/>
      <c r="IVN28" s="119"/>
      <c r="IVO28" s="119"/>
      <c r="IVP28" s="119"/>
      <c r="IVQ28" s="119"/>
      <c r="IVR28" s="119"/>
      <c r="IVS28" s="119"/>
      <c r="IVT28" s="119"/>
      <c r="IVU28" s="119"/>
      <c r="IVV28" s="119"/>
      <c r="IVW28" s="119"/>
      <c r="IVX28" s="119"/>
      <c r="IVY28" s="119"/>
      <c r="IVZ28" s="119"/>
      <c r="IWA28" s="119"/>
      <c r="IWB28" s="119"/>
      <c r="IWC28" s="119"/>
      <c r="IWD28" s="119"/>
      <c r="IWE28" s="119"/>
      <c r="IWF28" s="119"/>
      <c r="IWG28" s="119"/>
      <c r="IWH28" s="119"/>
      <c r="IWI28" s="119"/>
      <c r="IWJ28" s="119"/>
      <c r="IWK28" s="119"/>
      <c r="IWL28" s="119"/>
      <c r="IWM28" s="119"/>
      <c r="IWN28" s="119"/>
      <c r="IWO28" s="119"/>
      <c r="IWP28" s="119"/>
      <c r="IWQ28" s="119"/>
      <c r="IWR28" s="119"/>
      <c r="IWS28" s="119"/>
      <c r="IWT28" s="119"/>
      <c r="IWU28" s="119"/>
      <c r="IWV28" s="119"/>
      <c r="IWW28" s="119"/>
      <c r="IWX28" s="119"/>
      <c r="IWY28" s="119"/>
      <c r="IWZ28" s="119"/>
      <c r="IXA28" s="119"/>
      <c r="IXB28" s="119"/>
      <c r="IXC28" s="119"/>
      <c r="IXD28" s="119"/>
      <c r="IXE28" s="119"/>
      <c r="IXF28" s="119"/>
      <c r="IXG28" s="119"/>
      <c r="IXH28" s="119"/>
      <c r="IXI28" s="119"/>
      <c r="IXJ28" s="119"/>
      <c r="IXK28" s="119"/>
      <c r="IXL28" s="119"/>
      <c r="IXM28" s="119"/>
      <c r="IXN28" s="119"/>
      <c r="IXO28" s="119"/>
      <c r="IXP28" s="119"/>
      <c r="IXQ28" s="119"/>
      <c r="IXR28" s="119"/>
      <c r="IXS28" s="119"/>
      <c r="IXT28" s="119"/>
      <c r="IXU28" s="119"/>
      <c r="IXV28" s="119"/>
      <c r="IXW28" s="119"/>
      <c r="IXX28" s="119"/>
      <c r="IXY28" s="119"/>
      <c r="IXZ28" s="119"/>
      <c r="IYA28" s="119"/>
      <c r="IYB28" s="119"/>
      <c r="IYC28" s="119"/>
      <c r="IYD28" s="119"/>
      <c r="IYE28" s="119"/>
      <c r="IYF28" s="119"/>
      <c r="IYG28" s="119"/>
      <c r="IYH28" s="119"/>
      <c r="IYI28" s="119"/>
      <c r="IYJ28" s="119"/>
      <c r="IYK28" s="119"/>
      <c r="IYL28" s="119"/>
      <c r="IYM28" s="119"/>
      <c r="IYN28" s="119"/>
      <c r="IYO28" s="119"/>
      <c r="IYP28" s="119"/>
      <c r="IYQ28" s="119"/>
      <c r="IYR28" s="119"/>
      <c r="IYS28" s="119"/>
      <c r="IYT28" s="119"/>
      <c r="IYU28" s="119"/>
      <c r="IYV28" s="119"/>
      <c r="IYW28" s="119"/>
      <c r="IYX28" s="119"/>
      <c r="IYY28" s="119"/>
      <c r="IYZ28" s="119"/>
      <c r="IZA28" s="119"/>
      <c r="IZB28" s="119"/>
      <c r="IZC28" s="119"/>
      <c r="IZD28" s="119"/>
      <c r="IZE28" s="119"/>
      <c r="IZF28" s="119"/>
      <c r="IZG28" s="119"/>
      <c r="IZH28" s="119"/>
      <c r="IZI28" s="119"/>
      <c r="IZJ28" s="119"/>
      <c r="IZK28" s="119"/>
      <c r="IZL28" s="119"/>
      <c r="IZM28" s="119"/>
      <c r="IZN28" s="119"/>
      <c r="IZO28" s="119"/>
      <c r="IZP28" s="119"/>
      <c r="IZQ28" s="119"/>
      <c r="IZR28" s="119"/>
      <c r="IZS28" s="119"/>
      <c r="IZT28" s="119"/>
      <c r="IZU28" s="119"/>
      <c r="IZV28" s="119"/>
      <c r="IZW28" s="119"/>
      <c r="IZX28" s="119"/>
      <c r="IZY28" s="119"/>
      <c r="IZZ28" s="119"/>
      <c r="JAA28" s="119"/>
      <c r="JAB28" s="119"/>
      <c r="JAC28" s="119"/>
      <c r="JAD28" s="119"/>
      <c r="JAE28" s="119"/>
      <c r="JAF28" s="119"/>
      <c r="JAG28" s="119"/>
      <c r="JAH28" s="119"/>
      <c r="JAI28" s="119"/>
      <c r="JAJ28" s="119"/>
      <c r="JAK28" s="119"/>
      <c r="JAL28" s="119"/>
      <c r="JAM28" s="119"/>
      <c r="JAN28" s="119"/>
      <c r="JAO28" s="119"/>
      <c r="JAP28" s="119"/>
      <c r="JAQ28" s="119"/>
      <c r="JAR28" s="119"/>
      <c r="JAS28" s="119"/>
      <c r="JAT28" s="119"/>
      <c r="JAU28" s="119"/>
      <c r="JAV28" s="119"/>
      <c r="JAW28" s="119"/>
      <c r="JAX28" s="119"/>
      <c r="JAY28" s="119"/>
      <c r="JAZ28" s="119"/>
      <c r="JBA28" s="119"/>
      <c r="JBB28" s="119"/>
      <c r="JBC28" s="119"/>
      <c r="JBD28" s="119"/>
      <c r="JBE28" s="119"/>
      <c r="JBF28" s="119"/>
      <c r="JBG28" s="119"/>
      <c r="JBH28" s="119"/>
      <c r="JBI28" s="119"/>
      <c r="JBJ28" s="119"/>
      <c r="JBK28" s="119"/>
      <c r="JBL28" s="119"/>
      <c r="JBM28" s="119"/>
      <c r="JBN28" s="119"/>
      <c r="JBO28" s="119"/>
      <c r="JBP28" s="119"/>
      <c r="JBQ28" s="119"/>
      <c r="JBR28" s="119"/>
      <c r="JBS28" s="119"/>
      <c r="JBT28" s="119"/>
      <c r="JBU28" s="119"/>
      <c r="JBV28" s="119"/>
      <c r="JBW28" s="119"/>
      <c r="JBX28" s="119"/>
      <c r="JBY28" s="119"/>
      <c r="JBZ28" s="119"/>
      <c r="JCA28" s="119"/>
      <c r="JCB28" s="119"/>
      <c r="JCC28" s="119"/>
      <c r="JCD28" s="119"/>
      <c r="JCE28" s="119"/>
      <c r="JCF28" s="119"/>
      <c r="JCG28" s="119"/>
      <c r="JCH28" s="119"/>
      <c r="JCI28" s="119"/>
      <c r="JCJ28" s="119"/>
      <c r="JCK28" s="119"/>
      <c r="JCL28" s="119"/>
      <c r="JCM28" s="119"/>
      <c r="JCN28" s="119"/>
      <c r="JCO28" s="119"/>
      <c r="JCP28" s="119"/>
      <c r="JCQ28" s="119"/>
      <c r="JCR28" s="119"/>
      <c r="JCS28" s="119"/>
      <c r="JCT28" s="119"/>
      <c r="JCU28" s="119"/>
      <c r="JCV28" s="119"/>
      <c r="JCW28" s="119"/>
      <c r="JCX28" s="119"/>
      <c r="JCY28" s="119"/>
      <c r="JCZ28" s="119"/>
      <c r="JDA28" s="119"/>
      <c r="JDB28" s="119"/>
      <c r="JDC28" s="119"/>
      <c r="JDD28" s="119"/>
      <c r="JDE28" s="119"/>
      <c r="JDF28" s="119"/>
      <c r="JDG28" s="119"/>
      <c r="JDH28" s="119"/>
      <c r="JDI28" s="119"/>
      <c r="JDJ28" s="119"/>
      <c r="JDK28" s="119"/>
      <c r="JDL28" s="119"/>
      <c r="JDM28" s="119"/>
      <c r="JDN28" s="119"/>
      <c r="JDO28" s="119"/>
      <c r="JDP28" s="119"/>
      <c r="JDQ28" s="119"/>
      <c r="JDR28" s="119"/>
      <c r="JDS28" s="119"/>
      <c r="JDT28" s="119"/>
      <c r="JDU28" s="119"/>
      <c r="JDV28" s="119"/>
      <c r="JDW28" s="119"/>
      <c r="JDX28" s="119"/>
      <c r="JDY28" s="119"/>
      <c r="JDZ28" s="119"/>
      <c r="JEA28" s="119"/>
      <c r="JEB28" s="119"/>
      <c r="JEC28" s="119"/>
      <c r="JED28" s="119"/>
      <c r="JEE28" s="119"/>
      <c r="JEF28" s="119"/>
      <c r="JEG28" s="119"/>
      <c r="JEH28" s="119"/>
      <c r="JEI28" s="119"/>
      <c r="JEJ28" s="119"/>
      <c r="JEK28" s="119"/>
      <c r="JEL28" s="119"/>
      <c r="JEM28" s="119"/>
      <c r="JEN28" s="119"/>
      <c r="JEO28" s="119"/>
      <c r="JEP28" s="119"/>
      <c r="JEQ28" s="119"/>
      <c r="JER28" s="119"/>
      <c r="JES28" s="119"/>
      <c r="JET28" s="119"/>
      <c r="JEU28" s="119"/>
      <c r="JEV28" s="119"/>
      <c r="JEW28" s="119"/>
      <c r="JEX28" s="119"/>
      <c r="JEY28" s="119"/>
      <c r="JEZ28" s="119"/>
      <c r="JFA28" s="119"/>
      <c r="JFB28" s="119"/>
      <c r="JFC28" s="119"/>
      <c r="JFD28" s="119"/>
      <c r="JFE28" s="119"/>
      <c r="JFF28" s="119"/>
      <c r="JFG28" s="119"/>
      <c r="JFH28" s="119"/>
      <c r="JFI28" s="119"/>
      <c r="JFJ28" s="119"/>
      <c r="JFK28" s="119"/>
      <c r="JFL28" s="119"/>
      <c r="JFM28" s="119"/>
      <c r="JFN28" s="119"/>
      <c r="JFO28" s="119"/>
      <c r="JFP28" s="119"/>
      <c r="JFQ28" s="119"/>
      <c r="JFR28" s="119"/>
      <c r="JFS28" s="119"/>
      <c r="JFT28" s="119"/>
      <c r="JFU28" s="119"/>
      <c r="JFV28" s="119"/>
      <c r="JFW28" s="119"/>
      <c r="JFX28" s="119"/>
      <c r="JFY28" s="119"/>
      <c r="JFZ28" s="119"/>
      <c r="JGA28" s="119"/>
      <c r="JGB28" s="119"/>
      <c r="JGC28" s="119"/>
      <c r="JGD28" s="119"/>
      <c r="JGE28" s="119"/>
      <c r="JGF28" s="119"/>
      <c r="JGG28" s="119"/>
      <c r="JGH28" s="119"/>
      <c r="JGI28" s="119"/>
      <c r="JGJ28" s="119"/>
      <c r="JGK28" s="119"/>
      <c r="JGL28" s="119"/>
      <c r="JGM28" s="119"/>
      <c r="JGN28" s="119"/>
      <c r="JGO28" s="119"/>
      <c r="JGP28" s="119"/>
      <c r="JGQ28" s="119"/>
      <c r="JGR28" s="119"/>
      <c r="JGS28" s="119"/>
      <c r="JGT28" s="119"/>
      <c r="JGU28" s="119"/>
      <c r="JGV28" s="119"/>
      <c r="JGW28" s="119"/>
      <c r="JGX28" s="119"/>
      <c r="JGY28" s="119"/>
      <c r="JGZ28" s="119"/>
      <c r="JHA28" s="119"/>
      <c r="JHB28" s="119"/>
      <c r="JHC28" s="119"/>
      <c r="JHD28" s="119"/>
      <c r="JHE28" s="119"/>
      <c r="JHF28" s="119"/>
      <c r="JHG28" s="119"/>
      <c r="JHH28" s="119"/>
      <c r="JHI28" s="119"/>
      <c r="JHJ28" s="119"/>
      <c r="JHK28" s="119"/>
      <c r="JHL28" s="119"/>
      <c r="JHM28" s="119"/>
      <c r="JHN28" s="119"/>
      <c r="JHO28" s="119"/>
      <c r="JHP28" s="119"/>
      <c r="JHQ28" s="119"/>
      <c r="JHR28" s="119"/>
      <c r="JHS28" s="119"/>
      <c r="JHT28" s="119"/>
      <c r="JHU28" s="119"/>
      <c r="JHV28" s="119"/>
      <c r="JHW28" s="119"/>
      <c r="JHX28" s="119"/>
      <c r="JHY28" s="119"/>
      <c r="JHZ28" s="119"/>
      <c r="JIA28" s="119"/>
      <c r="JIB28" s="119"/>
      <c r="JIC28" s="119"/>
      <c r="JID28" s="119"/>
      <c r="JIE28" s="119"/>
      <c r="JIF28" s="119"/>
      <c r="JIG28" s="119"/>
      <c r="JIH28" s="119"/>
      <c r="JII28" s="119"/>
      <c r="JIJ28" s="119"/>
      <c r="JIK28" s="119"/>
      <c r="JIL28" s="119"/>
      <c r="JIM28" s="119"/>
      <c r="JIN28" s="119"/>
      <c r="JIO28" s="119"/>
      <c r="JIP28" s="119"/>
      <c r="JIQ28" s="119"/>
      <c r="JIR28" s="119"/>
      <c r="JIS28" s="119"/>
      <c r="JIT28" s="119"/>
      <c r="JIU28" s="119"/>
      <c r="JIV28" s="119"/>
      <c r="JIW28" s="119"/>
      <c r="JIX28" s="119"/>
      <c r="JIY28" s="119"/>
      <c r="JIZ28" s="119"/>
      <c r="JJA28" s="119"/>
      <c r="JJB28" s="119"/>
      <c r="JJC28" s="119"/>
      <c r="JJD28" s="119"/>
      <c r="JJE28" s="119"/>
      <c r="JJF28" s="119"/>
      <c r="JJG28" s="119"/>
      <c r="JJH28" s="119"/>
      <c r="JJI28" s="119"/>
      <c r="JJJ28" s="119"/>
      <c r="JJK28" s="119"/>
      <c r="JJL28" s="119"/>
      <c r="JJM28" s="119"/>
      <c r="JJN28" s="119"/>
      <c r="JJO28" s="119"/>
      <c r="JJP28" s="119"/>
      <c r="JJQ28" s="119"/>
      <c r="JJR28" s="119"/>
      <c r="JJS28" s="119"/>
      <c r="JJT28" s="119"/>
      <c r="JJU28" s="119"/>
      <c r="JJV28" s="119"/>
      <c r="JJW28" s="119"/>
      <c r="JJX28" s="119"/>
      <c r="JJY28" s="119"/>
      <c r="JJZ28" s="119"/>
      <c r="JKA28" s="119"/>
      <c r="JKB28" s="119"/>
      <c r="JKC28" s="119"/>
      <c r="JKD28" s="119"/>
      <c r="JKE28" s="119"/>
      <c r="JKF28" s="119"/>
      <c r="JKG28" s="119"/>
      <c r="JKH28" s="119"/>
      <c r="JKI28" s="119"/>
      <c r="JKJ28" s="119"/>
      <c r="JKK28" s="119"/>
      <c r="JKL28" s="119"/>
      <c r="JKM28" s="119"/>
      <c r="JKN28" s="119"/>
      <c r="JKO28" s="119"/>
      <c r="JKP28" s="119"/>
      <c r="JKQ28" s="119"/>
      <c r="JKR28" s="119"/>
      <c r="JKS28" s="119"/>
      <c r="JKT28" s="119"/>
      <c r="JKU28" s="119"/>
      <c r="JKV28" s="119"/>
      <c r="JKW28" s="119"/>
      <c r="JKX28" s="119"/>
      <c r="JKY28" s="119"/>
      <c r="JKZ28" s="119"/>
      <c r="JLA28" s="119"/>
      <c r="JLB28" s="119"/>
      <c r="JLC28" s="119"/>
      <c r="JLD28" s="119"/>
      <c r="JLE28" s="119"/>
      <c r="JLF28" s="119"/>
      <c r="JLG28" s="119"/>
      <c r="JLH28" s="119"/>
      <c r="JLI28" s="119"/>
      <c r="JLJ28" s="119"/>
      <c r="JLK28" s="119"/>
      <c r="JLL28" s="119"/>
      <c r="JLM28" s="119"/>
      <c r="JLN28" s="119"/>
      <c r="JLO28" s="119"/>
      <c r="JLP28" s="119"/>
      <c r="JLQ28" s="119"/>
      <c r="JLR28" s="119"/>
      <c r="JLS28" s="119"/>
      <c r="JLT28" s="119"/>
      <c r="JLU28" s="119"/>
      <c r="JLV28" s="119"/>
      <c r="JLW28" s="119"/>
      <c r="JLX28" s="119"/>
      <c r="JLY28" s="119"/>
      <c r="JLZ28" s="119"/>
      <c r="JMA28" s="119"/>
      <c r="JMB28" s="119"/>
      <c r="JMC28" s="119"/>
      <c r="JMD28" s="119"/>
      <c r="JME28" s="119"/>
      <c r="JMF28" s="119"/>
      <c r="JMG28" s="119"/>
      <c r="JMH28" s="119"/>
      <c r="JMI28" s="119"/>
      <c r="JMJ28" s="119"/>
      <c r="JMK28" s="119"/>
      <c r="JML28" s="119"/>
      <c r="JMM28" s="119"/>
      <c r="JMN28" s="119"/>
      <c r="JMO28" s="119"/>
      <c r="JMP28" s="119"/>
      <c r="JMQ28" s="119"/>
      <c r="JMR28" s="119"/>
      <c r="JMS28" s="119"/>
      <c r="JMT28" s="119"/>
      <c r="JMU28" s="119"/>
      <c r="JMV28" s="119"/>
      <c r="JMW28" s="119"/>
      <c r="JMX28" s="119"/>
      <c r="JMY28" s="119"/>
      <c r="JMZ28" s="119"/>
      <c r="JNA28" s="119"/>
      <c r="JNB28" s="119"/>
      <c r="JNC28" s="119"/>
      <c r="JND28" s="119"/>
      <c r="JNE28" s="119"/>
      <c r="JNF28" s="119"/>
      <c r="JNG28" s="119"/>
      <c r="JNH28" s="119"/>
      <c r="JNI28" s="119"/>
      <c r="JNJ28" s="119"/>
      <c r="JNK28" s="119"/>
      <c r="JNL28" s="119"/>
      <c r="JNM28" s="119"/>
      <c r="JNN28" s="119"/>
      <c r="JNO28" s="119"/>
      <c r="JNP28" s="119"/>
      <c r="JNQ28" s="119"/>
      <c r="JNR28" s="119"/>
      <c r="JNS28" s="119"/>
      <c r="JNT28" s="119"/>
      <c r="JNU28" s="119"/>
      <c r="JNV28" s="119"/>
      <c r="JNW28" s="119"/>
      <c r="JNX28" s="119"/>
      <c r="JNY28" s="119"/>
      <c r="JNZ28" s="119"/>
      <c r="JOA28" s="119"/>
      <c r="JOB28" s="119"/>
      <c r="JOC28" s="119"/>
      <c r="JOD28" s="119"/>
      <c r="JOE28" s="119"/>
      <c r="JOF28" s="119"/>
      <c r="JOG28" s="119"/>
      <c r="JOH28" s="119"/>
      <c r="JOI28" s="119"/>
      <c r="JOJ28" s="119"/>
      <c r="JOK28" s="119"/>
      <c r="JOL28" s="119"/>
      <c r="JOM28" s="119"/>
      <c r="JON28" s="119"/>
      <c r="JOO28" s="119"/>
      <c r="JOP28" s="119"/>
      <c r="JOQ28" s="119"/>
      <c r="JOR28" s="119"/>
      <c r="JOS28" s="119"/>
      <c r="JOT28" s="119"/>
      <c r="JOU28" s="119"/>
      <c r="JOV28" s="119"/>
      <c r="JOW28" s="119"/>
      <c r="JOX28" s="119"/>
      <c r="JOY28" s="119"/>
      <c r="JOZ28" s="119"/>
      <c r="JPA28" s="119"/>
      <c r="JPB28" s="119"/>
      <c r="JPC28" s="119"/>
      <c r="JPD28" s="119"/>
      <c r="JPE28" s="119"/>
      <c r="JPF28" s="119"/>
      <c r="JPG28" s="119"/>
      <c r="JPH28" s="119"/>
      <c r="JPI28" s="119"/>
      <c r="JPJ28" s="119"/>
      <c r="JPK28" s="119"/>
      <c r="JPL28" s="119"/>
      <c r="JPM28" s="119"/>
      <c r="JPN28" s="119"/>
      <c r="JPO28" s="119"/>
      <c r="JPP28" s="119"/>
      <c r="JPQ28" s="119"/>
      <c r="JPR28" s="119"/>
      <c r="JPS28" s="119"/>
      <c r="JPT28" s="119"/>
      <c r="JPU28" s="119"/>
      <c r="JPV28" s="119"/>
      <c r="JPW28" s="119"/>
      <c r="JPX28" s="119"/>
      <c r="JPY28" s="119"/>
      <c r="JPZ28" s="119"/>
      <c r="JQA28" s="119"/>
      <c r="JQB28" s="119"/>
      <c r="JQC28" s="119"/>
      <c r="JQD28" s="119"/>
      <c r="JQE28" s="119"/>
      <c r="JQF28" s="119"/>
      <c r="JQG28" s="119"/>
      <c r="JQH28" s="119"/>
      <c r="JQI28" s="119"/>
      <c r="JQJ28" s="119"/>
      <c r="JQK28" s="119"/>
      <c r="JQL28" s="119"/>
      <c r="JQM28" s="119"/>
      <c r="JQN28" s="119"/>
      <c r="JQO28" s="119"/>
      <c r="JQP28" s="119"/>
      <c r="JQQ28" s="119"/>
      <c r="JQR28" s="119"/>
      <c r="JQS28" s="119"/>
      <c r="JQT28" s="119"/>
      <c r="JQU28" s="119"/>
      <c r="JQV28" s="119"/>
      <c r="JQW28" s="119"/>
      <c r="JQX28" s="119"/>
      <c r="JQY28" s="119"/>
      <c r="JQZ28" s="119"/>
      <c r="JRA28" s="119"/>
      <c r="JRB28" s="119"/>
      <c r="JRC28" s="119"/>
      <c r="JRD28" s="119"/>
      <c r="JRE28" s="119"/>
      <c r="JRF28" s="119"/>
      <c r="JRG28" s="119"/>
      <c r="JRH28" s="119"/>
      <c r="JRI28" s="119"/>
      <c r="JRJ28" s="119"/>
      <c r="JRK28" s="119"/>
      <c r="JRL28" s="119"/>
      <c r="JRM28" s="119"/>
      <c r="JRN28" s="119"/>
      <c r="JRO28" s="119"/>
      <c r="JRP28" s="119"/>
      <c r="JRQ28" s="119"/>
      <c r="JRR28" s="119"/>
      <c r="JRS28" s="119"/>
      <c r="JRT28" s="119"/>
      <c r="JRU28" s="119"/>
      <c r="JRV28" s="119"/>
      <c r="JRW28" s="119"/>
      <c r="JRX28" s="119"/>
      <c r="JRY28" s="119"/>
      <c r="JRZ28" s="119"/>
      <c r="JSA28" s="119"/>
      <c r="JSB28" s="119"/>
      <c r="JSC28" s="119"/>
      <c r="JSD28" s="119"/>
      <c r="JSE28" s="119"/>
      <c r="JSF28" s="119"/>
      <c r="JSG28" s="119"/>
      <c r="JSH28" s="119"/>
      <c r="JSI28" s="119"/>
      <c r="JSJ28" s="119"/>
      <c r="JSK28" s="119"/>
      <c r="JSL28" s="119"/>
      <c r="JSM28" s="119"/>
      <c r="JSN28" s="119"/>
      <c r="JSO28" s="119"/>
      <c r="JSP28" s="119"/>
      <c r="JSQ28" s="119"/>
      <c r="JSR28" s="119"/>
      <c r="JSS28" s="119"/>
      <c r="JST28" s="119"/>
      <c r="JSU28" s="119"/>
      <c r="JSV28" s="119"/>
      <c r="JSW28" s="119"/>
      <c r="JSX28" s="119"/>
      <c r="JSY28" s="119"/>
      <c r="JSZ28" s="119"/>
      <c r="JTA28" s="119"/>
      <c r="JTB28" s="119"/>
      <c r="JTC28" s="119"/>
      <c r="JTD28" s="119"/>
      <c r="JTE28" s="119"/>
      <c r="JTF28" s="119"/>
      <c r="JTG28" s="119"/>
      <c r="JTH28" s="119"/>
      <c r="JTI28" s="119"/>
      <c r="JTJ28" s="119"/>
      <c r="JTK28" s="119"/>
      <c r="JTL28" s="119"/>
      <c r="JTM28" s="119"/>
      <c r="JTN28" s="119"/>
      <c r="JTO28" s="119"/>
      <c r="JTP28" s="119"/>
      <c r="JTQ28" s="119"/>
      <c r="JTR28" s="119"/>
      <c r="JTS28" s="119"/>
      <c r="JTT28" s="119"/>
      <c r="JTU28" s="119"/>
      <c r="JTV28" s="119"/>
      <c r="JTW28" s="119"/>
      <c r="JTX28" s="119"/>
      <c r="JTY28" s="119"/>
      <c r="JTZ28" s="119"/>
      <c r="JUA28" s="119"/>
      <c r="JUB28" s="119"/>
      <c r="JUC28" s="119"/>
      <c r="JUD28" s="119"/>
      <c r="JUE28" s="119"/>
      <c r="JUF28" s="119"/>
      <c r="JUG28" s="119"/>
      <c r="JUH28" s="119"/>
      <c r="JUI28" s="119"/>
      <c r="JUJ28" s="119"/>
      <c r="JUK28" s="119"/>
      <c r="JUL28" s="119"/>
      <c r="JUM28" s="119"/>
      <c r="JUN28" s="119"/>
      <c r="JUO28" s="119"/>
      <c r="JUP28" s="119"/>
      <c r="JUQ28" s="119"/>
      <c r="JUR28" s="119"/>
      <c r="JUS28" s="119"/>
      <c r="JUT28" s="119"/>
      <c r="JUU28" s="119"/>
      <c r="JUV28" s="119"/>
      <c r="JUW28" s="119"/>
      <c r="JUX28" s="119"/>
      <c r="JUY28" s="119"/>
      <c r="JUZ28" s="119"/>
      <c r="JVA28" s="119"/>
      <c r="JVB28" s="119"/>
      <c r="JVC28" s="119"/>
      <c r="JVD28" s="119"/>
      <c r="JVE28" s="119"/>
      <c r="JVF28" s="119"/>
      <c r="JVG28" s="119"/>
      <c r="JVH28" s="119"/>
      <c r="JVI28" s="119"/>
      <c r="JVJ28" s="119"/>
      <c r="JVK28" s="119"/>
      <c r="JVL28" s="119"/>
      <c r="JVM28" s="119"/>
      <c r="JVN28" s="119"/>
      <c r="JVO28" s="119"/>
      <c r="JVP28" s="119"/>
      <c r="JVQ28" s="119"/>
      <c r="JVR28" s="119"/>
      <c r="JVS28" s="119"/>
      <c r="JVT28" s="119"/>
      <c r="JVU28" s="119"/>
      <c r="JVV28" s="119"/>
      <c r="JVW28" s="119"/>
      <c r="JVX28" s="119"/>
      <c r="JVY28" s="119"/>
      <c r="JVZ28" s="119"/>
      <c r="JWA28" s="119"/>
      <c r="JWB28" s="119"/>
      <c r="JWC28" s="119"/>
      <c r="JWD28" s="119"/>
      <c r="JWE28" s="119"/>
      <c r="JWF28" s="119"/>
      <c r="JWG28" s="119"/>
      <c r="JWH28" s="119"/>
      <c r="JWI28" s="119"/>
      <c r="JWJ28" s="119"/>
      <c r="JWK28" s="119"/>
      <c r="JWL28" s="119"/>
      <c r="JWM28" s="119"/>
      <c r="JWN28" s="119"/>
      <c r="JWO28" s="119"/>
      <c r="JWP28" s="119"/>
      <c r="JWQ28" s="119"/>
      <c r="JWR28" s="119"/>
      <c r="JWS28" s="119"/>
      <c r="JWT28" s="119"/>
      <c r="JWU28" s="119"/>
      <c r="JWV28" s="119"/>
      <c r="JWW28" s="119"/>
      <c r="JWX28" s="119"/>
      <c r="JWY28" s="119"/>
      <c r="JWZ28" s="119"/>
      <c r="JXA28" s="119"/>
      <c r="JXB28" s="119"/>
      <c r="JXC28" s="119"/>
      <c r="JXD28" s="119"/>
      <c r="JXE28" s="119"/>
      <c r="JXF28" s="119"/>
      <c r="JXG28" s="119"/>
      <c r="JXH28" s="119"/>
      <c r="JXI28" s="119"/>
      <c r="JXJ28" s="119"/>
      <c r="JXK28" s="119"/>
      <c r="JXL28" s="119"/>
      <c r="JXM28" s="119"/>
      <c r="JXN28" s="119"/>
      <c r="JXO28" s="119"/>
      <c r="JXP28" s="119"/>
      <c r="JXQ28" s="119"/>
      <c r="JXR28" s="119"/>
      <c r="JXS28" s="119"/>
      <c r="JXT28" s="119"/>
      <c r="JXU28" s="119"/>
      <c r="JXV28" s="119"/>
      <c r="JXW28" s="119"/>
      <c r="JXX28" s="119"/>
      <c r="JXY28" s="119"/>
      <c r="JXZ28" s="119"/>
      <c r="JYA28" s="119"/>
      <c r="JYB28" s="119"/>
      <c r="JYC28" s="119"/>
      <c r="JYD28" s="119"/>
      <c r="JYE28" s="119"/>
      <c r="JYF28" s="119"/>
      <c r="JYG28" s="119"/>
      <c r="JYH28" s="119"/>
      <c r="JYI28" s="119"/>
      <c r="JYJ28" s="119"/>
      <c r="JYK28" s="119"/>
      <c r="JYL28" s="119"/>
      <c r="JYM28" s="119"/>
      <c r="JYN28" s="119"/>
      <c r="JYO28" s="119"/>
      <c r="JYP28" s="119"/>
      <c r="JYQ28" s="119"/>
      <c r="JYR28" s="119"/>
      <c r="JYS28" s="119"/>
      <c r="JYT28" s="119"/>
      <c r="JYU28" s="119"/>
      <c r="JYV28" s="119"/>
      <c r="JYW28" s="119"/>
      <c r="JYX28" s="119"/>
      <c r="JYY28" s="119"/>
      <c r="JYZ28" s="119"/>
      <c r="JZA28" s="119"/>
      <c r="JZB28" s="119"/>
      <c r="JZC28" s="119"/>
      <c r="JZD28" s="119"/>
      <c r="JZE28" s="119"/>
      <c r="JZF28" s="119"/>
      <c r="JZG28" s="119"/>
      <c r="JZH28" s="119"/>
      <c r="JZI28" s="119"/>
      <c r="JZJ28" s="119"/>
      <c r="JZK28" s="119"/>
      <c r="JZL28" s="119"/>
      <c r="JZM28" s="119"/>
      <c r="JZN28" s="119"/>
      <c r="JZO28" s="119"/>
      <c r="JZP28" s="119"/>
      <c r="JZQ28" s="119"/>
      <c r="JZR28" s="119"/>
      <c r="JZS28" s="119"/>
      <c r="JZT28" s="119"/>
      <c r="JZU28" s="119"/>
      <c r="JZV28" s="119"/>
      <c r="JZW28" s="119"/>
      <c r="JZX28" s="119"/>
      <c r="JZY28" s="119"/>
      <c r="JZZ28" s="119"/>
      <c r="KAA28" s="119"/>
      <c r="KAB28" s="119"/>
      <c r="KAC28" s="119"/>
      <c r="KAD28" s="119"/>
      <c r="KAE28" s="119"/>
      <c r="KAF28" s="119"/>
      <c r="KAG28" s="119"/>
      <c r="KAH28" s="119"/>
      <c r="KAI28" s="119"/>
      <c r="KAJ28" s="119"/>
      <c r="KAK28" s="119"/>
      <c r="KAL28" s="119"/>
      <c r="KAM28" s="119"/>
      <c r="KAN28" s="119"/>
      <c r="KAO28" s="119"/>
      <c r="KAP28" s="119"/>
      <c r="KAQ28" s="119"/>
      <c r="KAR28" s="119"/>
      <c r="KAS28" s="119"/>
      <c r="KAT28" s="119"/>
      <c r="KAU28" s="119"/>
      <c r="KAV28" s="119"/>
      <c r="KAW28" s="119"/>
      <c r="KAX28" s="119"/>
      <c r="KAY28" s="119"/>
      <c r="KAZ28" s="119"/>
      <c r="KBA28" s="119"/>
      <c r="KBB28" s="119"/>
      <c r="KBC28" s="119"/>
      <c r="KBD28" s="119"/>
      <c r="KBE28" s="119"/>
      <c r="KBF28" s="119"/>
      <c r="KBG28" s="119"/>
      <c r="KBH28" s="119"/>
      <c r="KBI28" s="119"/>
      <c r="KBJ28" s="119"/>
      <c r="KBK28" s="119"/>
      <c r="KBL28" s="119"/>
      <c r="KBM28" s="119"/>
      <c r="KBN28" s="119"/>
      <c r="KBO28" s="119"/>
      <c r="KBP28" s="119"/>
      <c r="KBQ28" s="119"/>
      <c r="KBR28" s="119"/>
      <c r="KBS28" s="119"/>
      <c r="KBT28" s="119"/>
      <c r="KBU28" s="119"/>
      <c r="KBV28" s="119"/>
      <c r="KBW28" s="119"/>
      <c r="KBX28" s="119"/>
      <c r="KBY28" s="119"/>
      <c r="KBZ28" s="119"/>
      <c r="KCA28" s="119"/>
      <c r="KCB28" s="119"/>
      <c r="KCC28" s="119"/>
      <c r="KCD28" s="119"/>
      <c r="KCE28" s="119"/>
      <c r="KCF28" s="119"/>
      <c r="KCG28" s="119"/>
      <c r="KCH28" s="119"/>
      <c r="KCI28" s="119"/>
      <c r="KCJ28" s="119"/>
      <c r="KCK28" s="119"/>
      <c r="KCL28" s="119"/>
      <c r="KCM28" s="119"/>
      <c r="KCN28" s="119"/>
      <c r="KCO28" s="119"/>
      <c r="KCP28" s="119"/>
      <c r="KCQ28" s="119"/>
      <c r="KCR28" s="119"/>
      <c r="KCS28" s="119"/>
      <c r="KCT28" s="119"/>
      <c r="KCU28" s="119"/>
      <c r="KCV28" s="119"/>
      <c r="KCW28" s="119"/>
      <c r="KCX28" s="119"/>
      <c r="KCY28" s="119"/>
      <c r="KCZ28" s="119"/>
      <c r="KDA28" s="119"/>
      <c r="KDB28" s="119"/>
      <c r="KDC28" s="119"/>
      <c r="KDD28" s="119"/>
      <c r="KDE28" s="119"/>
      <c r="KDF28" s="119"/>
      <c r="KDG28" s="119"/>
      <c r="KDH28" s="119"/>
      <c r="KDI28" s="119"/>
      <c r="KDJ28" s="119"/>
      <c r="KDK28" s="119"/>
      <c r="KDL28" s="119"/>
      <c r="KDM28" s="119"/>
      <c r="KDN28" s="119"/>
      <c r="KDO28" s="119"/>
      <c r="KDP28" s="119"/>
      <c r="KDQ28" s="119"/>
      <c r="KDR28" s="119"/>
      <c r="KDS28" s="119"/>
      <c r="KDT28" s="119"/>
      <c r="KDU28" s="119"/>
      <c r="KDV28" s="119"/>
      <c r="KDW28" s="119"/>
      <c r="KDX28" s="119"/>
      <c r="KDY28" s="119"/>
      <c r="KDZ28" s="119"/>
      <c r="KEA28" s="119"/>
      <c r="KEB28" s="119"/>
      <c r="KEC28" s="119"/>
      <c r="KED28" s="119"/>
      <c r="KEE28" s="119"/>
      <c r="KEF28" s="119"/>
      <c r="KEG28" s="119"/>
      <c r="KEH28" s="119"/>
      <c r="KEI28" s="119"/>
      <c r="KEJ28" s="119"/>
      <c r="KEK28" s="119"/>
      <c r="KEL28" s="119"/>
      <c r="KEM28" s="119"/>
      <c r="KEN28" s="119"/>
      <c r="KEO28" s="119"/>
      <c r="KEP28" s="119"/>
      <c r="KEQ28" s="119"/>
      <c r="KER28" s="119"/>
      <c r="KES28" s="119"/>
      <c r="KET28" s="119"/>
      <c r="KEU28" s="119"/>
      <c r="KEV28" s="119"/>
      <c r="KEW28" s="119"/>
      <c r="KEX28" s="119"/>
      <c r="KEY28" s="119"/>
      <c r="KEZ28" s="119"/>
      <c r="KFA28" s="119"/>
      <c r="KFB28" s="119"/>
      <c r="KFC28" s="119"/>
      <c r="KFD28" s="119"/>
      <c r="KFE28" s="119"/>
      <c r="KFF28" s="119"/>
      <c r="KFG28" s="119"/>
      <c r="KFH28" s="119"/>
      <c r="KFI28" s="119"/>
      <c r="KFJ28" s="119"/>
      <c r="KFK28" s="119"/>
      <c r="KFL28" s="119"/>
      <c r="KFM28" s="119"/>
      <c r="KFN28" s="119"/>
      <c r="KFO28" s="119"/>
      <c r="KFP28" s="119"/>
      <c r="KFQ28" s="119"/>
      <c r="KFR28" s="119"/>
      <c r="KFS28" s="119"/>
      <c r="KFT28" s="119"/>
      <c r="KFU28" s="119"/>
      <c r="KFV28" s="119"/>
      <c r="KFW28" s="119"/>
      <c r="KFX28" s="119"/>
      <c r="KFY28" s="119"/>
      <c r="KFZ28" s="119"/>
      <c r="KGA28" s="119"/>
      <c r="KGB28" s="119"/>
      <c r="KGC28" s="119"/>
      <c r="KGD28" s="119"/>
      <c r="KGE28" s="119"/>
      <c r="KGF28" s="119"/>
      <c r="KGG28" s="119"/>
      <c r="KGH28" s="119"/>
      <c r="KGI28" s="119"/>
      <c r="KGJ28" s="119"/>
      <c r="KGK28" s="119"/>
      <c r="KGL28" s="119"/>
      <c r="KGM28" s="119"/>
      <c r="KGN28" s="119"/>
      <c r="KGO28" s="119"/>
      <c r="KGP28" s="119"/>
      <c r="KGQ28" s="119"/>
      <c r="KGR28" s="119"/>
      <c r="KGS28" s="119"/>
      <c r="KGT28" s="119"/>
      <c r="KGU28" s="119"/>
      <c r="KGV28" s="119"/>
      <c r="KGW28" s="119"/>
      <c r="KGX28" s="119"/>
      <c r="KGY28" s="119"/>
      <c r="KGZ28" s="119"/>
      <c r="KHA28" s="119"/>
      <c r="KHB28" s="119"/>
      <c r="KHC28" s="119"/>
      <c r="KHD28" s="119"/>
      <c r="KHE28" s="119"/>
      <c r="KHF28" s="119"/>
      <c r="KHG28" s="119"/>
      <c r="KHH28" s="119"/>
      <c r="KHI28" s="119"/>
      <c r="KHJ28" s="119"/>
      <c r="KHK28" s="119"/>
      <c r="KHL28" s="119"/>
      <c r="KHM28" s="119"/>
      <c r="KHN28" s="119"/>
      <c r="KHO28" s="119"/>
      <c r="KHP28" s="119"/>
      <c r="KHQ28" s="119"/>
      <c r="KHR28" s="119"/>
      <c r="KHS28" s="119"/>
      <c r="KHT28" s="119"/>
      <c r="KHU28" s="119"/>
      <c r="KHV28" s="119"/>
      <c r="KHW28" s="119"/>
      <c r="KHX28" s="119"/>
      <c r="KHY28" s="119"/>
      <c r="KHZ28" s="119"/>
      <c r="KIA28" s="119"/>
      <c r="KIB28" s="119"/>
      <c r="KIC28" s="119"/>
      <c r="KID28" s="119"/>
      <c r="KIE28" s="119"/>
      <c r="KIF28" s="119"/>
      <c r="KIG28" s="119"/>
      <c r="KIH28" s="119"/>
      <c r="KII28" s="119"/>
      <c r="KIJ28" s="119"/>
      <c r="KIK28" s="119"/>
      <c r="KIL28" s="119"/>
      <c r="KIM28" s="119"/>
      <c r="KIN28" s="119"/>
      <c r="KIO28" s="119"/>
      <c r="KIP28" s="119"/>
      <c r="KIQ28" s="119"/>
      <c r="KIR28" s="119"/>
      <c r="KIS28" s="119"/>
      <c r="KIT28" s="119"/>
      <c r="KIU28" s="119"/>
      <c r="KIV28" s="119"/>
      <c r="KIW28" s="119"/>
      <c r="KIX28" s="119"/>
      <c r="KIY28" s="119"/>
      <c r="KIZ28" s="119"/>
      <c r="KJA28" s="119"/>
      <c r="KJB28" s="119"/>
      <c r="KJC28" s="119"/>
      <c r="KJD28" s="119"/>
      <c r="KJE28" s="119"/>
      <c r="KJF28" s="119"/>
      <c r="KJG28" s="119"/>
      <c r="KJH28" s="119"/>
      <c r="KJI28" s="119"/>
      <c r="KJJ28" s="119"/>
      <c r="KJK28" s="119"/>
      <c r="KJL28" s="119"/>
      <c r="KJM28" s="119"/>
      <c r="KJN28" s="119"/>
      <c r="KJO28" s="119"/>
      <c r="KJP28" s="119"/>
      <c r="KJQ28" s="119"/>
      <c r="KJR28" s="119"/>
      <c r="KJS28" s="119"/>
      <c r="KJT28" s="119"/>
      <c r="KJU28" s="119"/>
      <c r="KJV28" s="119"/>
      <c r="KJW28" s="119"/>
      <c r="KJX28" s="119"/>
      <c r="KJY28" s="119"/>
      <c r="KJZ28" s="119"/>
      <c r="KKA28" s="119"/>
      <c r="KKB28" s="119"/>
      <c r="KKC28" s="119"/>
      <c r="KKD28" s="119"/>
      <c r="KKE28" s="119"/>
      <c r="KKF28" s="119"/>
      <c r="KKG28" s="119"/>
      <c r="KKH28" s="119"/>
      <c r="KKI28" s="119"/>
      <c r="KKJ28" s="119"/>
      <c r="KKK28" s="119"/>
      <c r="KKL28" s="119"/>
      <c r="KKM28" s="119"/>
      <c r="KKN28" s="119"/>
      <c r="KKO28" s="119"/>
      <c r="KKP28" s="119"/>
      <c r="KKQ28" s="119"/>
      <c r="KKR28" s="119"/>
      <c r="KKS28" s="119"/>
      <c r="KKT28" s="119"/>
      <c r="KKU28" s="119"/>
      <c r="KKV28" s="119"/>
      <c r="KKW28" s="119"/>
      <c r="KKX28" s="119"/>
      <c r="KKY28" s="119"/>
      <c r="KKZ28" s="119"/>
      <c r="KLA28" s="119"/>
      <c r="KLB28" s="119"/>
      <c r="KLC28" s="119"/>
      <c r="KLD28" s="119"/>
      <c r="KLE28" s="119"/>
      <c r="KLF28" s="119"/>
      <c r="KLG28" s="119"/>
      <c r="KLH28" s="119"/>
      <c r="KLI28" s="119"/>
      <c r="KLJ28" s="119"/>
      <c r="KLK28" s="119"/>
      <c r="KLL28" s="119"/>
      <c r="KLM28" s="119"/>
      <c r="KLN28" s="119"/>
      <c r="KLO28" s="119"/>
      <c r="KLP28" s="119"/>
      <c r="KLQ28" s="119"/>
      <c r="KLR28" s="119"/>
      <c r="KLS28" s="119"/>
      <c r="KLT28" s="119"/>
      <c r="KLU28" s="119"/>
      <c r="KLV28" s="119"/>
      <c r="KLW28" s="119"/>
      <c r="KLX28" s="119"/>
      <c r="KLY28" s="119"/>
      <c r="KLZ28" s="119"/>
      <c r="KMA28" s="119"/>
      <c r="KMB28" s="119"/>
      <c r="KMC28" s="119"/>
      <c r="KMD28" s="119"/>
      <c r="KME28" s="119"/>
      <c r="KMF28" s="119"/>
      <c r="KMG28" s="119"/>
      <c r="KMH28" s="119"/>
      <c r="KMI28" s="119"/>
      <c r="KMJ28" s="119"/>
      <c r="KMK28" s="119"/>
      <c r="KML28" s="119"/>
      <c r="KMM28" s="119"/>
      <c r="KMN28" s="119"/>
      <c r="KMO28" s="119"/>
      <c r="KMP28" s="119"/>
      <c r="KMQ28" s="119"/>
      <c r="KMR28" s="119"/>
      <c r="KMS28" s="119"/>
      <c r="KMT28" s="119"/>
      <c r="KMU28" s="119"/>
      <c r="KMV28" s="119"/>
      <c r="KMW28" s="119"/>
      <c r="KMX28" s="119"/>
      <c r="KMY28" s="119"/>
      <c r="KMZ28" s="119"/>
      <c r="KNA28" s="119"/>
      <c r="KNB28" s="119"/>
      <c r="KNC28" s="119"/>
      <c r="KND28" s="119"/>
      <c r="KNE28" s="119"/>
      <c r="KNF28" s="119"/>
      <c r="KNG28" s="119"/>
      <c r="KNH28" s="119"/>
      <c r="KNI28" s="119"/>
      <c r="KNJ28" s="119"/>
      <c r="KNK28" s="119"/>
      <c r="KNL28" s="119"/>
      <c r="KNM28" s="119"/>
      <c r="KNN28" s="119"/>
      <c r="KNO28" s="119"/>
      <c r="KNP28" s="119"/>
      <c r="KNQ28" s="119"/>
      <c r="KNR28" s="119"/>
      <c r="KNS28" s="119"/>
      <c r="KNT28" s="119"/>
      <c r="KNU28" s="119"/>
      <c r="KNV28" s="119"/>
      <c r="KNW28" s="119"/>
      <c r="KNX28" s="119"/>
      <c r="KNY28" s="119"/>
      <c r="KNZ28" s="119"/>
      <c r="KOA28" s="119"/>
      <c r="KOB28" s="119"/>
      <c r="KOC28" s="119"/>
      <c r="KOD28" s="119"/>
      <c r="KOE28" s="119"/>
      <c r="KOF28" s="119"/>
      <c r="KOG28" s="119"/>
      <c r="KOH28" s="119"/>
      <c r="KOI28" s="119"/>
      <c r="KOJ28" s="119"/>
      <c r="KOK28" s="119"/>
      <c r="KOL28" s="119"/>
      <c r="KOM28" s="119"/>
      <c r="KON28" s="119"/>
      <c r="KOO28" s="119"/>
      <c r="KOP28" s="119"/>
      <c r="KOQ28" s="119"/>
      <c r="KOR28" s="119"/>
      <c r="KOS28" s="119"/>
      <c r="KOT28" s="119"/>
      <c r="KOU28" s="119"/>
      <c r="KOV28" s="119"/>
      <c r="KOW28" s="119"/>
      <c r="KOX28" s="119"/>
      <c r="KOY28" s="119"/>
      <c r="KOZ28" s="119"/>
      <c r="KPA28" s="119"/>
      <c r="KPB28" s="119"/>
      <c r="KPC28" s="119"/>
      <c r="KPD28" s="119"/>
      <c r="KPE28" s="119"/>
      <c r="KPF28" s="119"/>
      <c r="KPG28" s="119"/>
      <c r="KPH28" s="119"/>
      <c r="KPI28" s="119"/>
      <c r="KPJ28" s="119"/>
      <c r="KPK28" s="119"/>
      <c r="KPL28" s="119"/>
      <c r="KPM28" s="119"/>
      <c r="KPN28" s="119"/>
      <c r="KPO28" s="119"/>
      <c r="KPP28" s="119"/>
      <c r="KPQ28" s="119"/>
      <c r="KPR28" s="119"/>
      <c r="KPS28" s="119"/>
      <c r="KPT28" s="119"/>
      <c r="KPU28" s="119"/>
      <c r="KPV28" s="119"/>
      <c r="KPW28" s="119"/>
      <c r="KPX28" s="119"/>
      <c r="KPY28" s="119"/>
      <c r="KPZ28" s="119"/>
      <c r="KQA28" s="119"/>
      <c r="KQB28" s="119"/>
      <c r="KQC28" s="119"/>
      <c r="KQD28" s="119"/>
      <c r="KQE28" s="119"/>
      <c r="KQF28" s="119"/>
      <c r="KQG28" s="119"/>
      <c r="KQH28" s="119"/>
      <c r="KQI28" s="119"/>
      <c r="KQJ28" s="119"/>
      <c r="KQK28" s="119"/>
      <c r="KQL28" s="119"/>
      <c r="KQM28" s="119"/>
      <c r="KQN28" s="119"/>
      <c r="KQO28" s="119"/>
      <c r="KQP28" s="119"/>
      <c r="KQQ28" s="119"/>
      <c r="KQR28" s="119"/>
      <c r="KQS28" s="119"/>
      <c r="KQT28" s="119"/>
      <c r="KQU28" s="119"/>
      <c r="KQV28" s="119"/>
      <c r="KQW28" s="119"/>
      <c r="KQX28" s="119"/>
      <c r="KQY28" s="119"/>
      <c r="KQZ28" s="119"/>
      <c r="KRA28" s="119"/>
      <c r="KRB28" s="119"/>
      <c r="KRC28" s="119"/>
      <c r="KRD28" s="119"/>
      <c r="KRE28" s="119"/>
      <c r="KRF28" s="119"/>
      <c r="KRG28" s="119"/>
      <c r="KRH28" s="119"/>
      <c r="KRI28" s="119"/>
      <c r="KRJ28" s="119"/>
      <c r="KRK28" s="119"/>
      <c r="KRL28" s="119"/>
      <c r="KRM28" s="119"/>
      <c r="KRN28" s="119"/>
      <c r="KRO28" s="119"/>
      <c r="KRP28" s="119"/>
      <c r="KRQ28" s="119"/>
      <c r="KRR28" s="119"/>
      <c r="KRS28" s="119"/>
      <c r="KRT28" s="119"/>
      <c r="KRU28" s="119"/>
      <c r="KRV28" s="119"/>
      <c r="KRW28" s="119"/>
      <c r="KRX28" s="119"/>
      <c r="KRY28" s="119"/>
      <c r="KRZ28" s="119"/>
      <c r="KSA28" s="119"/>
      <c r="KSB28" s="119"/>
      <c r="KSC28" s="119"/>
      <c r="KSD28" s="119"/>
      <c r="KSE28" s="119"/>
      <c r="KSF28" s="119"/>
      <c r="KSG28" s="119"/>
      <c r="KSH28" s="119"/>
      <c r="KSI28" s="119"/>
      <c r="KSJ28" s="119"/>
      <c r="KSK28" s="119"/>
      <c r="KSL28" s="119"/>
      <c r="KSM28" s="119"/>
      <c r="KSN28" s="119"/>
      <c r="KSO28" s="119"/>
      <c r="KSP28" s="119"/>
      <c r="KSQ28" s="119"/>
      <c r="KSR28" s="119"/>
      <c r="KSS28" s="119"/>
      <c r="KST28" s="119"/>
      <c r="KSU28" s="119"/>
      <c r="KSV28" s="119"/>
      <c r="KSW28" s="119"/>
      <c r="KSX28" s="119"/>
      <c r="KSY28" s="119"/>
      <c r="KSZ28" s="119"/>
      <c r="KTA28" s="119"/>
      <c r="KTB28" s="119"/>
      <c r="KTC28" s="119"/>
      <c r="KTD28" s="119"/>
      <c r="KTE28" s="119"/>
      <c r="KTF28" s="119"/>
      <c r="KTG28" s="119"/>
      <c r="KTH28" s="119"/>
      <c r="KTI28" s="119"/>
      <c r="KTJ28" s="119"/>
      <c r="KTK28" s="119"/>
      <c r="KTL28" s="119"/>
      <c r="KTM28" s="119"/>
      <c r="KTN28" s="119"/>
      <c r="KTO28" s="119"/>
      <c r="KTP28" s="119"/>
      <c r="KTQ28" s="119"/>
      <c r="KTR28" s="119"/>
      <c r="KTS28" s="119"/>
      <c r="KTT28" s="119"/>
      <c r="KTU28" s="119"/>
      <c r="KTV28" s="119"/>
      <c r="KTW28" s="119"/>
      <c r="KTX28" s="119"/>
      <c r="KTY28" s="119"/>
      <c r="KTZ28" s="119"/>
      <c r="KUA28" s="119"/>
      <c r="KUB28" s="119"/>
      <c r="KUC28" s="119"/>
      <c r="KUD28" s="119"/>
      <c r="KUE28" s="119"/>
      <c r="KUF28" s="119"/>
      <c r="KUG28" s="119"/>
      <c r="KUH28" s="119"/>
      <c r="KUI28" s="119"/>
      <c r="KUJ28" s="119"/>
      <c r="KUK28" s="119"/>
      <c r="KUL28" s="119"/>
      <c r="KUM28" s="119"/>
      <c r="KUN28" s="119"/>
      <c r="KUO28" s="119"/>
      <c r="KUP28" s="119"/>
      <c r="KUQ28" s="119"/>
      <c r="KUR28" s="119"/>
      <c r="KUS28" s="119"/>
      <c r="KUT28" s="119"/>
      <c r="KUU28" s="119"/>
      <c r="KUV28" s="119"/>
      <c r="KUW28" s="119"/>
      <c r="KUX28" s="119"/>
      <c r="KUY28" s="119"/>
      <c r="KUZ28" s="119"/>
      <c r="KVA28" s="119"/>
      <c r="KVB28" s="119"/>
      <c r="KVC28" s="119"/>
      <c r="KVD28" s="119"/>
      <c r="KVE28" s="119"/>
      <c r="KVF28" s="119"/>
      <c r="KVG28" s="119"/>
      <c r="KVH28" s="119"/>
      <c r="KVI28" s="119"/>
      <c r="KVJ28" s="119"/>
      <c r="KVK28" s="119"/>
      <c r="KVL28" s="119"/>
      <c r="KVM28" s="119"/>
      <c r="KVN28" s="119"/>
      <c r="KVO28" s="119"/>
      <c r="KVP28" s="119"/>
      <c r="KVQ28" s="119"/>
      <c r="KVR28" s="119"/>
      <c r="KVS28" s="119"/>
      <c r="KVT28" s="119"/>
      <c r="KVU28" s="119"/>
      <c r="KVV28" s="119"/>
      <c r="KVW28" s="119"/>
      <c r="KVX28" s="119"/>
      <c r="KVY28" s="119"/>
      <c r="KVZ28" s="119"/>
      <c r="KWA28" s="119"/>
      <c r="KWB28" s="119"/>
      <c r="KWC28" s="119"/>
      <c r="KWD28" s="119"/>
      <c r="KWE28" s="119"/>
      <c r="KWF28" s="119"/>
      <c r="KWG28" s="119"/>
      <c r="KWH28" s="119"/>
      <c r="KWI28" s="119"/>
      <c r="KWJ28" s="119"/>
      <c r="KWK28" s="119"/>
      <c r="KWL28" s="119"/>
      <c r="KWM28" s="119"/>
      <c r="KWN28" s="119"/>
      <c r="KWO28" s="119"/>
      <c r="KWP28" s="119"/>
      <c r="KWQ28" s="119"/>
      <c r="KWR28" s="119"/>
      <c r="KWS28" s="119"/>
      <c r="KWT28" s="119"/>
      <c r="KWU28" s="119"/>
      <c r="KWV28" s="119"/>
      <c r="KWW28" s="119"/>
      <c r="KWX28" s="119"/>
      <c r="KWY28" s="119"/>
      <c r="KWZ28" s="119"/>
      <c r="KXA28" s="119"/>
      <c r="KXB28" s="119"/>
      <c r="KXC28" s="119"/>
      <c r="KXD28" s="119"/>
      <c r="KXE28" s="119"/>
      <c r="KXF28" s="119"/>
      <c r="KXG28" s="119"/>
      <c r="KXH28" s="119"/>
      <c r="KXI28" s="119"/>
      <c r="KXJ28" s="119"/>
      <c r="KXK28" s="119"/>
      <c r="KXL28" s="119"/>
      <c r="KXM28" s="119"/>
      <c r="KXN28" s="119"/>
      <c r="KXO28" s="119"/>
      <c r="KXP28" s="119"/>
      <c r="KXQ28" s="119"/>
      <c r="KXR28" s="119"/>
      <c r="KXS28" s="119"/>
      <c r="KXT28" s="119"/>
      <c r="KXU28" s="119"/>
      <c r="KXV28" s="119"/>
      <c r="KXW28" s="119"/>
      <c r="KXX28" s="119"/>
      <c r="KXY28" s="119"/>
      <c r="KXZ28" s="119"/>
      <c r="KYA28" s="119"/>
      <c r="KYB28" s="119"/>
      <c r="KYC28" s="119"/>
      <c r="KYD28" s="119"/>
      <c r="KYE28" s="119"/>
      <c r="KYF28" s="119"/>
      <c r="KYG28" s="119"/>
      <c r="KYH28" s="119"/>
      <c r="KYI28" s="119"/>
      <c r="KYJ28" s="119"/>
      <c r="KYK28" s="119"/>
      <c r="KYL28" s="119"/>
      <c r="KYM28" s="119"/>
      <c r="KYN28" s="119"/>
      <c r="KYO28" s="119"/>
      <c r="KYP28" s="119"/>
      <c r="KYQ28" s="119"/>
      <c r="KYR28" s="119"/>
      <c r="KYS28" s="119"/>
      <c r="KYT28" s="119"/>
      <c r="KYU28" s="119"/>
      <c r="KYV28" s="119"/>
      <c r="KYW28" s="119"/>
      <c r="KYX28" s="119"/>
      <c r="KYY28" s="119"/>
      <c r="KYZ28" s="119"/>
      <c r="KZA28" s="119"/>
      <c r="KZB28" s="119"/>
      <c r="KZC28" s="119"/>
      <c r="KZD28" s="119"/>
      <c r="KZE28" s="119"/>
      <c r="KZF28" s="119"/>
      <c r="KZG28" s="119"/>
      <c r="KZH28" s="119"/>
      <c r="KZI28" s="119"/>
      <c r="KZJ28" s="119"/>
      <c r="KZK28" s="119"/>
      <c r="KZL28" s="119"/>
      <c r="KZM28" s="119"/>
      <c r="KZN28" s="119"/>
      <c r="KZO28" s="119"/>
      <c r="KZP28" s="119"/>
      <c r="KZQ28" s="119"/>
      <c r="KZR28" s="119"/>
      <c r="KZS28" s="119"/>
      <c r="KZT28" s="119"/>
      <c r="KZU28" s="119"/>
      <c r="KZV28" s="119"/>
      <c r="KZW28" s="119"/>
      <c r="KZX28" s="119"/>
      <c r="KZY28" s="119"/>
      <c r="KZZ28" s="119"/>
      <c r="LAA28" s="119"/>
      <c r="LAB28" s="119"/>
      <c r="LAC28" s="119"/>
      <c r="LAD28" s="119"/>
      <c r="LAE28" s="119"/>
      <c r="LAF28" s="119"/>
      <c r="LAG28" s="119"/>
      <c r="LAH28" s="119"/>
      <c r="LAI28" s="119"/>
      <c r="LAJ28" s="119"/>
      <c r="LAK28" s="119"/>
      <c r="LAL28" s="119"/>
      <c r="LAM28" s="119"/>
      <c r="LAN28" s="119"/>
      <c r="LAO28" s="119"/>
      <c r="LAP28" s="119"/>
      <c r="LAQ28" s="119"/>
      <c r="LAR28" s="119"/>
      <c r="LAS28" s="119"/>
      <c r="LAT28" s="119"/>
      <c r="LAU28" s="119"/>
      <c r="LAV28" s="119"/>
      <c r="LAW28" s="119"/>
      <c r="LAX28" s="119"/>
      <c r="LAY28" s="119"/>
      <c r="LAZ28" s="119"/>
      <c r="LBA28" s="119"/>
      <c r="LBB28" s="119"/>
      <c r="LBC28" s="119"/>
      <c r="LBD28" s="119"/>
      <c r="LBE28" s="119"/>
      <c r="LBF28" s="119"/>
      <c r="LBG28" s="119"/>
      <c r="LBH28" s="119"/>
      <c r="LBI28" s="119"/>
      <c r="LBJ28" s="119"/>
      <c r="LBK28" s="119"/>
      <c r="LBL28" s="119"/>
      <c r="LBM28" s="119"/>
      <c r="LBN28" s="119"/>
      <c r="LBO28" s="119"/>
      <c r="LBP28" s="119"/>
      <c r="LBQ28" s="119"/>
      <c r="LBR28" s="119"/>
      <c r="LBS28" s="119"/>
      <c r="LBT28" s="119"/>
      <c r="LBU28" s="119"/>
      <c r="LBV28" s="119"/>
      <c r="LBW28" s="119"/>
      <c r="LBX28" s="119"/>
      <c r="LBY28" s="119"/>
      <c r="LBZ28" s="119"/>
      <c r="LCA28" s="119"/>
      <c r="LCB28" s="119"/>
      <c r="LCC28" s="119"/>
      <c r="LCD28" s="119"/>
      <c r="LCE28" s="119"/>
      <c r="LCF28" s="119"/>
      <c r="LCG28" s="119"/>
      <c r="LCH28" s="119"/>
      <c r="LCI28" s="119"/>
      <c r="LCJ28" s="119"/>
      <c r="LCK28" s="119"/>
      <c r="LCL28" s="119"/>
      <c r="LCM28" s="119"/>
      <c r="LCN28" s="119"/>
      <c r="LCO28" s="119"/>
      <c r="LCP28" s="119"/>
      <c r="LCQ28" s="119"/>
      <c r="LCR28" s="119"/>
      <c r="LCS28" s="119"/>
      <c r="LCT28" s="119"/>
      <c r="LCU28" s="119"/>
      <c r="LCV28" s="119"/>
      <c r="LCW28" s="119"/>
      <c r="LCX28" s="119"/>
      <c r="LCY28" s="119"/>
      <c r="LCZ28" s="119"/>
      <c r="LDA28" s="119"/>
      <c r="LDB28" s="119"/>
      <c r="LDC28" s="119"/>
      <c r="LDD28" s="119"/>
      <c r="LDE28" s="119"/>
      <c r="LDF28" s="119"/>
      <c r="LDG28" s="119"/>
      <c r="LDH28" s="119"/>
      <c r="LDI28" s="119"/>
      <c r="LDJ28" s="119"/>
      <c r="LDK28" s="119"/>
      <c r="LDL28" s="119"/>
      <c r="LDM28" s="119"/>
      <c r="LDN28" s="119"/>
      <c r="LDO28" s="119"/>
      <c r="LDP28" s="119"/>
      <c r="LDQ28" s="119"/>
      <c r="LDR28" s="119"/>
      <c r="LDS28" s="119"/>
      <c r="LDT28" s="119"/>
      <c r="LDU28" s="119"/>
      <c r="LDV28" s="119"/>
      <c r="LDW28" s="119"/>
      <c r="LDX28" s="119"/>
      <c r="LDY28" s="119"/>
      <c r="LDZ28" s="119"/>
      <c r="LEA28" s="119"/>
      <c r="LEB28" s="119"/>
      <c r="LEC28" s="119"/>
      <c r="LED28" s="119"/>
      <c r="LEE28" s="119"/>
      <c r="LEF28" s="119"/>
      <c r="LEG28" s="119"/>
      <c r="LEH28" s="119"/>
      <c r="LEI28" s="119"/>
      <c r="LEJ28" s="119"/>
      <c r="LEK28" s="119"/>
      <c r="LEL28" s="119"/>
      <c r="LEM28" s="119"/>
      <c r="LEN28" s="119"/>
      <c r="LEO28" s="119"/>
      <c r="LEP28" s="119"/>
      <c r="LEQ28" s="119"/>
      <c r="LER28" s="119"/>
      <c r="LES28" s="119"/>
      <c r="LET28" s="119"/>
      <c r="LEU28" s="119"/>
      <c r="LEV28" s="119"/>
      <c r="LEW28" s="119"/>
      <c r="LEX28" s="119"/>
      <c r="LEY28" s="119"/>
      <c r="LEZ28" s="119"/>
      <c r="LFA28" s="119"/>
      <c r="LFB28" s="119"/>
      <c r="LFC28" s="119"/>
      <c r="LFD28" s="119"/>
      <c r="LFE28" s="119"/>
      <c r="LFF28" s="119"/>
      <c r="LFG28" s="119"/>
      <c r="LFH28" s="119"/>
      <c r="LFI28" s="119"/>
      <c r="LFJ28" s="119"/>
      <c r="LFK28" s="119"/>
      <c r="LFL28" s="119"/>
      <c r="LFM28" s="119"/>
      <c r="LFN28" s="119"/>
      <c r="LFO28" s="119"/>
      <c r="LFP28" s="119"/>
      <c r="LFQ28" s="119"/>
      <c r="LFR28" s="119"/>
      <c r="LFS28" s="119"/>
      <c r="LFT28" s="119"/>
      <c r="LFU28" s="119"/>
      <c r="LFV28" s="119"/>
      <c r="LFW28" s="119"/>
      <c r="LFX28" s="119"/>
      <c r="LFY28" s="119"/>
      <c r="LFZ28" s="119"/>
      <c r="LGA28" s="119"/>
      <c r="LGB28" s="119"/>
      <c r="LGC28" s="119"/>
      <c r="LGD28" s="119"/>
      <c r="LGE28" s="119"/>
      <c r="LGF28" s="119"/>
      <c r="LGG28" s="119"/>
      <c r="LGH28" s="119"/>
      <c r="LGI28" s="119"/>
      <c r="LGJ28" s="119"/>
      <c r="LGK28" s="119"/>
      <c r="LGL28" s="119"/>
      <c r="LGM28" s="119"/>
      <c r="LGN28" s="119"/>
      <c r="LGO28" s="119"/>
      <c r="LGP28" s="119"/>
      <c r="LGQ28" s="119"/>
      <c r="LGR28" s="119"/>
      <c r="LGS28" s="119"/>
      <c r="LGT28" s="119"/>
      <c r="LGU28" s="119"/>
      <c r="LGV28" s="119"/>
      <c r="LGW28" s="119"/>
      <c r="LGX28" s="119"/>
      <c r="LGY28" s="119"/>
      <c r="LGZ28" s="119"/>
      <c r="LHA28" s="119"/>
      <c r="LHB28" s="119"/>
      <c r="LHC28" s="119"/>
      <c r="LHD28" s="119"/>
      <c r="LHE28" s="119"/>
      <c r="LHF28" s="119"/>
      <c r="LHG28" s="119"/>
      <c r="LHH28" s="119"/>
      <c r="LHI28" s="119"/>
      <c r="LHJ28" s="119"/>
      <c r="LHK28" s="119"/>
      <c r="LHL28" s="119"/>
      <c r="LHM28" s="119"/>
      <c r="LHN28" s="119"/>
      <c r="LHO28" s="119"/>
      <c r="LHP28" s="119"/>
      <c r="LHQ28" s="119"/>
      <c r="LHR28" s="119"/>
      <c r="LHS28" s="119"/>
      <c r="LHT28" s="119"/>
      <c r="LHU28" s="119"/>
      <c r="LHV28" s="119"/>
      <c r="LHW28" s="119"/>
      <c r="LHX28" s="119"/>
      <c r="LHY28" s="119"/>
      <c r="LHZ28" s="119"/>
      <c r="LIA28" s="119"/>
      <c r="LIB28" s="119"/>
      <c r="LIC28" s="119"/>
      <c r="LID28" s="119"/>
      <c r="LIE28" s="119"/>
      <c r="LIF28" s="119"/>
      <c r="LIG28" s="119"/>
      <c r="LIH28" s="119"/>
      <c r="LII28" s="119"/>
      <c r="LIJ28" s="119"/>
      <c r="LIK28" s="119"/>
      <c r="LIL28" s="119"/>
      <c r="LIM28" s="119"/>
      <c r="LIN28" s="119"/>
      <c r="LIO28" s="119"/>
      <c r="LIP28" s="119"/>
      <c r="LIQ28" s="119"/>
      <c r="LIR28" s="119"/>
      <c r="LIS28" s="119"/>
      <c r="LIT28" s="119"/>
      <c r="LIU28" s="119"/>
      <c r="LIV28" s="119"/>
      <c r="LIW28" s="119"/>
      <c r="LIX28" s="119"/>
      <c r="LIY28" s="119"/>
      <c r="LIZ28" s="119"/>
      <c r="LJA28" s="119"/>
      <c r="LJB28" s="119"/>
      <c r="LJC28" s="119"/>
      <c r="LJD28" s="119"/>
      <c r="LJE28" s="119"/>
      <c r="LJF28" s="119"/>
      <c r="LJG28" s="119"/>
      <c r="LJH28" s="119"/>
      <c r="LJI28" s="119"/>
      <c r="LJJ28" s="119"/>
      <c r="LJK28" s="119"/>
      <c r="LJL28" s="119"/>
      <c r="LJM28" s="119"/>
      <c r="LJN28" s="119"/>
      <c r="LJO28" s="119"/>
      <c r="LJP28" s="119"/>
      <c r="LJQ28" s="119"/>
      <c r="LJR28" s="119"/>
      <c r="LJS28" s="119"/>
      <c r="LJT28" s="119"/>
      <c r="LJU28" s="119"/>
      <c r="LJV28" s="119"/>
      <c r="LJW28" s="119"/>
      <c r="LJX28" s="119"/>
      <c r="LJY28" s="119"/>
      <c r="LJZ28" s="119"/>
      <c r="LKA28" s="119"/>
      <c r="LKB28" s="119"/>
      <c r="LKC28" s="119"/>
      <c r="LKD28" s="119"/>
      <c r="LKE28" s="119"/>
      <c r="LKF28" s="119"/>
      <c r="LKG28" s="119"/>
      <c r="LKH28" s="119"/>
      <c r="LKI28" s="119"/>
      <c r="LKJ28" s="119"/>
      <c r="LKK28" s="119"/>
      <c r="LKL28" s="119"/>
      <c r="LKM28" s="119"/>
      <c r="LKN28" s="119"/>
      <c r="LKO28" s="119"/>
      <c r="LKP28" s="119"/>
      <c r="LKQ28" s="119"/>
      <c r="LKR28" s="119"/>
      <c r="LKS28" s="119"/>
      <c r="LKT28" s="119"/>
      <c r="LKU28" s="119"/>
      <c r="LKV28" s="119"/>
      <c r="LKW28" s="119"/>
      <c r="LKX28" s="119"/>
      <c r="LKY28" s="119"/>
      <c r="LKZ28" s="119"/>
      <c r="LLA28" s="119"/>
      <c r="LLB28" s="119"/>
      <c r="LLC28" s="119"/>
      <c r="LLD28" s="119"/>
      <c r="LLE28" s="119"/>
      <c r="LLF28" s="119"/>
      <c r="LLG28" s="119"/>
      <c r="LLH28" s="119"/>
      <c r="LLI28" s="119"/>
      <c r="LLJ28" s="119"/>
      <c r="LLK28" s="119"/>
      <c r="LLL28" s="119"/>
      <c r="LLM28" s="119"/>
      <c r="LLN28" s="119"/>
      <c r="LLO28" s="119"/>
      <c r="LLP28" s="119"/>
      <c r="LLQ28" s="119"/>
      <c r="LLR28" s="119"/>
      <c r="LLS28" s="119"/>
      <c r="LLT28" s="119"/>
      <c r="LLU28" s="119"/>
      <c r="LLV28" s="119"/>
      <c r="LLW28" s="119"/>
      <c r="LLX28" s="119"/>
      <c r="LLY28" s="119"/>
      <c r="LLZ28" s="119"/>
      <c r="LMA28" s="119"/>
      <c r="LMB28" s="119"/>
      <c r="LMC28" s="119"/>
      <c r="LMD28" s="119"/>
      <c r="LME28" s="119"/>
      <c r="LMF28" s="119"/>
      <c r="LMG28" s="119"/>
      <c r="LMH28" s="119"/>
      <c r="LMI28" s="119"/>
      <c r="LMJ28" s="119"/>
      <c r="LMK28" s="119"/>
      <c r="LML28" s="119"/>
      <c r="LMM28" s="119"/>
      <c r="LMN28" s="119"/>
      <c r="LMO28" s="119"/>
      <c r="LMP28" s="119"/>
      <c r="LMQ28" s="119"/>
      <c r="LMR28" s="119"/>
      <c r="LMS28" s="119"/>
      <c r="LMT28" s="119"/>
      <c r="LMU28" s="119"/>
      <c r="LMV28" s="119"/>
      <c r="LMW28" s="119"/>
      <c r="LMX28" s="119"/>
      <c r="LMY28" s="119"/>
      <c r="LMZ28" s="119"/>
      <c r="LNA28" s="119"/>
      <c r="LNB28" s="119"/>
      <c r="LNC28" s="119"/>
      <c r="LND28" s="119"/>
      <c r="LNE28" s="119"/>
      <c r="LNF28" s="119"/>
      <c r="LNG28" s="119"/>
      <c r="LNH28" s="119"/>
      <c r="LNI28" s="119"/>
      <c r="LNJ28" s="119"/>
      <c r="LNK28" s="119"/>
      <c r="LNL28" s="119"/>
      <c r="LNM28" s="119"/>
      <c r="LNN28" s="119"/>
      <c r="LNO28" s="119"/>
      <c r="LNP28" s="119"/>
      <c r="LNQ28" s="119"/>
      <c r="LNR28" s="119"/>
      <c r="LNS28" s="119"/>
      <c r="LNT28" s="119"/>
      <c r="LNU28" s="119"/>
      <c r="LNV28" s="119"/>
      <c r="LNW28" s="119"/>
      <c r="LNX28" s="119"/>
      <c r="LNY28" s="119"/>
      <c r="LNZ28" s="119"/>
      <c r="LOA28" s="119"/>
      <c r="LOB28" s="119"/>
      <c r="LOC28" s="119"/>
      <c r="LOD28" s="119"/>
      <c r="LOE28" s="119"/>
      <c r="LOF28" s="119"/>
      <c r="LOG28" s="119"/>
      <c r="LOH28" s="119"/>
      <c r="LOI28" s="119"/>
      <c r="LOJ28" s="119"/>
      <c r="LOK28" s="119"/>
      <c r="LOL28" s="119"/>
      <c r="LOM28" s="119"/>
      <c r="LON28" s="119"/>
      <c r="LOO28" s="119"/>
      <c r="LOP28" s="119"/>
      <c r="LOQ28" s="119"/>
      <c r="LOR28" s="119"/>
      <c r="LOS28" s="119"/>
      <c r="LOT28" s="119"/>
      <c r="LOU28" s="119"/>
      <c r="LOV28" s="119"/>
      <c r="LOW28" s="119"/>
      <c r="LOX28" s="119"/>
      <c r="LOY28" s="119"/>
      <c r="LOZ28" s="119"/>
      <c r="LPA28" s="119"/>
      <c r="LPB28" s="119"/>
      <c r="LPC28" s="119"/>
      <c r="LPD28" s="119"/>
      <c r="LPE28" s="119"/>
      <c r="LPF28" s="119"/>
      <c r="LPG28" s="119"/>
      <c r="LPH28" s="119"/>
      <c r="LPI28" s="119"/>
      <c r="LPJ28" s="119"/>
      <c r="LPK28" s="119"/>
      <c r="LPL28" s="119"/>
      <c r="LPM28" s="119"/>
      <c r="LPN28" s="119"/>
      <c r="LPO28" s="119"/>
      <c r="LPP28" s="119"/>
      <c r="LPQ28" s="119"/>
      <c r="LPR28" s="119"/>
      <c r="LPS28" s="119"/>
      <c r="LPT28" s="119"/>
      <c r="LPU28" s="119"/>
      <c r="LPV28" s="119"/>
      <c r="LPW28" s="119"/>
      <c r="LPX28" s="119"/>
      <c r="LPY28" s="119"/>
      <c r="LPZ28" s="119"/>
      <c r="LQA28" s="119"/>
      <c r="LQB28" s="119"/>
      <c r="LQC28" s="119"/>
      <c r="LQD28" s="119"/>
      <c r="LQE28" s="119"/>
      <c r="LQF28" s="119"/>
      <c r="LQG28" s="119"/>
      <c r="LQH28" s="119"/>
      <c r="LQI28" s="119"/>
      <c r="LQJ28" s="119"/>
      <c r="LQK28" s="119"/>
      <c r="LQL28" s="119"/>
      <c r="LQM28" s="119"/>
      <c r="LQN28" s="119"/>
      <c r="LQO28" s="119"/>
      <c r="LQP28" s="119"/>
      <c r="LQQ28" s="119"/>
      <c r="LQR28" s="119"/>
      <c r="LQS28" s="119"/>
      <c r="LQT28" s="119"/>
      <c r="LQU28" s="119"/>
      <c r="LQV28" s="119"/>
      <c r="LQW28" s="119"/>
      <c r="LQX28" s="119"/>
      <c r="LQY28" s="119"/>
      <c r="LQZ28" s="119"/>
      <c r="LRA28" s="119"/>
      <c r="LRB28" s="119"/>
      <c r="LRC28" s="119"/>
      <c r="LRD28" s="119"/>
      <c r="LRE28" s="119"/>
      <c r="LRF28" s="119"/>
      <c r="LRG28" s="119"/>
      <c r="LRH28" s="119"/>
      <c r="LRI28" s="119"/>
      <c r="LRJ28" s="119"/>
      <c r="LRK28" s="119"/>
      <c r="LRL28" s="119"/>
      <c r="LRM28" s="119"/>
      <c r="LRN28" s="119"/>
      <c r="LRO28" s="119"/>
      <c r="LRP28" s="119"/>
      <c r="LRQ28" s="119"/>
      <c r="LRR28" s="119"/>
      <c r="LRS28" s="119"/>
      <c r="LRT28" s="119"/>
      <c r="LRU28" s="119"/>
      <c r="LRV28" s="119"/>
      <c r="LRW28" s="119"/>
      <c r="LRX28" s="119"/>
      <c r="LRY28" s="119"/>
      <c r="LRZ28" s="119"/>
      <c r="LSA28" s="119"/>
      <c r="LSB28" s="119"/>
      <c r="LSC28" s="119"/>
      <c r="LSD28" s="119"/>
      <c r="LSE28" s="119"/>
      <c r="LSF28" s="119"/>
      <c r="LSG28" s="119"/>
      <c r="LSH28" s="119"/>
      <c r="LSI28" s="119"/>
      <c r="LSJ28" s="119"/>
      <c r="LSK28" s="119"/>
      <c r="LSL28" s="119"/>
      <c r="LSM28" s="119"/>
      <c r="LSN28" s="119"/>
      <c r="LSO28" s="119"/>
      <c r="LSP28" s="119"/>
      <c r="LSQ28" s="119"/>
      <c r="LSR28" s="119"/>
      <c r="LSS28" s="119"/>
      <c r="LST28" s="119"/>
      <c r="LSU28" s="119"/>
      <c r="LSV28" s="119"/>
      <c r="LSW28" s="119"/>
      <c r="LSX28" s="119"/>
      <c r="LSY28" s="119"/>
      <c r="LSZ28" s="119"/>
      <c r="LTA28" s="119"/>
      <c r="LTB28" s="119"/>
      <c r="LTC28" s="119"/>
      <c r="LTD28" s="119"/>
      <c r="LTE28" s="119"/>
      <c r="LTF28" s="119"/>
      <c r="LTG28" s="119"/>
      <c r="LTH28" s="119"/>
      <c r="LTI28" s="119"/>
      <c r="LTJ28" s="119"/>
      <c r="LTK28" s="119"/>
      <c r="LTL28" s="119"/>
      <c r="LTM28" s="119"/>
      <c r="LTN28" s="119"/>
      <c r="LTO28" s="119"/>
      <c r="LTP28" s="119"/>
      <c r="LTQ28" s="119"/>
      <c r="LTR28" s="119"/>
      <c r="LTS28" s="119"/>
      <c r="LTT28" s="119"/>
      <c r="LTU28" s="119"/>
      <c r="LTV28" s="119"/>
      <c r="LTW28" s="119"/>
      <c r="LTX28" s="119"/>
      <c r="LTY28" s="119"/>
      <c r="LTZ28" s="119"/>
      <c r="LUA28" s="119"/>
      <c r="LUB28" s="119"/>
      <c r="LUC28" s="119"/>
      <c r="LUD28" s="119"/>
      <c r="LUE28" s="119"/>
      <c r="LUF28" s="119"/>
      <c r="LUG28" s="119"/>
      <c r="LUH28" s="119"/>
      <c r="LUI28" s="119"/>
      <c r="LUJ28" s="119"/>
      <c r="LUK28" s="119"/>
      <c r="LUL28" s="119"/>
      <c r="LUM28" s="119"/>
      <c r="LUN28" s="119"/>
      <c r="LUO28" s="119"/>
      <c r="LUP28" s="119"/>
      <c r="LUQ28" s="119"/>
      <c r="LUR28" s="119"/>
      <c r="LUS28" s="119"/>
      <c r="LUT28" s="119"/>
      <c r="LUU28" s="119"/>
      <c r="LUV28" s="119"/>
      <c r="LUW28" s="119"/>
      <c r="LUX28" s="119"/>
      <c r="LUY28" s="119"/>
      <c r="LUZ28" s="119"/>
      <c r="LVA28" s="119"/>
      <c r="LVB28" s="119"/>
      <c r="LVC28" s="119"/>
      <c r="LVD28" s="119"/>
      <c r="LVE28" s="119"/>
      <c r="LVF28" s="119"/>
      <c r="LVG28" s="119"/>
      <c r="LVH28" s="119"/>
      <c r="LVI28" s="119"/>
      <c r="LVJ28" s="119"/>
      <c r="LVK28" s="119"/>
      <c r="LVL28" s="119"/>
      <c r="LVM28" s="119"/>
      <c r="LVN28" s="119"/>
      <c r="LVO28" s="119"/>
      <c r="LVP28" s="119"/>
      <c r="LVQ28" s="119"/>
      <c r="LVR28" s="119"/>
      <c r="LVS28" s="119"/>
      <c r="LVT28" s="119"/>
      <c r="LVU28" s="119"/>
      <c r="LVV28" s="119"/>
      <c r="LVW28" s="119"/>
      <c r="LVX28" s="119"/>
      <c r="LVY28" s="119"/>
      <c r="LVZ28" s="119"/>
      <c r="LWA28" s="119"/>
      <c r="LWB28" s="119"/>
      <c r="LWC28" s="119"/>
      <c r="LWD28" s="119"/>
      <c r="LWE28" s="119"/>
      <c r="LWF28" s="119"/>
      <c r="LWG28" s="119"/>
      <c r="LWH28" s="119"/>
      <c r="LWI28" s="119"/>
      <c r="LWJ28" s="119"/>
      <c r="LWK28" s="119"/>
      <c r="LWL28" s="119"/>
      <c r="LWM28" s="119"/>
      <c r="LWN28" s="119"/>
      <c r="LWO28" s="119"/>
      <c r="LWP28" s="119"/>
      <c r="LWQ28" s="119"/>
      <c r="LWR28" s="119"/>
      <c r="LWS28" s="119"/>
      <c r="LWT28" s="119"/>
      <c r="LWU28" s="119"/>
      <c r="LWV28" s="119"/>
      <c r="LWW28" s="119"/>
      <c r="LWX28" s="119"/>
      <c r="LWY28" s="119"/>
      <c r="LWZ28" s="119"/>
      <c r="LXA28" s="119"/>
      <c r="LXB28" s="119"/>
      <c r="LXC28" s="119"/>
      <c r="LXD28" s="119"/>
      <c r="LXE28" s="119"/>
      <c r="LXF28" s="119"/>
      <c r="LXG28" s="119"/>
      <c r="LXH28" s="119"/>
      <c r="LXI28" s="119"/>
      <c r="LXJ28" s="119"/>
      <c r="LXK28" s="119"/>
      <c r="LXL28" s="119"/>
      <c r="LXM28" s="119"/>
      <c r="LXN28" s="119"/>
      <c r="LXO28" s="119"/>
      <c r="LXP28" s="119"/>
      <c r="LXQ28" s="119"/>
      <c r="LXR28" s="119"/>
      <c r="LXS28" s="119"/>
      <c r="LXT28" s="119"/>
      <c r="LXU28" s="119"/>
      <c r="LXV28" s="119"/>
      <c r="LXW28" s="119"/>
      <c r="LXX28" s="119"/>
      <c r="LXY28" s="119"/>
      <c r="LXZ28" s="119"/>
      <c r="LYA28" s="119"/>
      <c r="LYB28" s="119"/>
      <c r="LYC28" s="119"/>
      <c r="LYD28" s="119"/>
      <c r="LYE28" s="119"/>
      <c r="LYF28" s="119"/>
      <c r="LYG28" s="119"/>
      <c r="LYH28" s="119"/>
      <c r="LYI28" s="119"/>
      <c r="LYJ28" s="119"/>
      <c r="LYK28" s="119"/>
      <c r="LYL28" s="119"/>
      <c r="LYM28" s="119"/>
      <c r="LYN28" s="119"/>
      <c r="LYO28" s="119"/>
      <c r="LYP28" s="119"/>
      <c r="LYQ28" s="119"/>
      <c r="LYR28" s="119"/>
      <c r="LYS28" s="119"/>
      <c r="LYT28" s="119"/>
      <c r="LYU28" s="119"/>
      <c r="LYV28" s="119"/>
      <c r="LYW28" s="119"/>
      <c r="LYX28" s="119"/>
      <c r="LYY28" s="119"/>
      <c r="LYZ28" s="119"/>
      <c r="LZA28" s="119"/>
      <c r="LZB28" s="119"/>
      <c r="LZC28" s="119"/>
      <c r="LZD28" s="119"/>
      <c r="LZE28" s="119"/>
      <c r="LZF28" s="119"/>
      <c r="LZG28" s="119"/>
      <c r="LZH28" s="119"/>
      <c r="LZI28" s="119"/>
      <c r="LZJ28" s="119"/>
      <c r="LZK28" s="119"/>
      <c r="LZL28" s="119"/>
      <c r="LZM28" s="119"/>
      <c r="LZN28" s="119"/>
      <c r="LZO28" s="119"/>
      <c r="LZP28" s="119"/>
      <c r="LZQ28" s="119"/>
      <c r="LZR28" s="119"/>
      <c r="LZS28" s="119"/>
      <c r="LZT28" s="119"/>
      <c r="LZU28" s="119"/>
      <c r="LZV28" s="119"/>
      <c r="LZW28" s="119"/>
      <c r="LZX28" s="119"/>
      <c r="LZY28" s="119"/>
      <c r="LZZ28" s="119"/>
      <c r="MAA28" s="119"/>
      <c r="MAB28" s="119"/>
      <c r="MAC28" s="119"/>
      <c r="MAD28" s="119"/>
      <c r="MAE28" s="119"/>
      <c r="MAF28" s="119"/>
      <c r="MAG28" s="119"/>
      <c r="MAH28" s="119"/>
      <c r="MAI28" s="119"/>
      <c r="MAJ28" s="119"/>
      <c r="MAK28" s="119"/>
      <c r="MAL28" s="119"/>
      <c r="MAM28" s="119"/>
      <c r="MAN28" s="119"/>
      <c r="MAO28" s="119"/>
      <c r="MAP28" s="119"/>
      <c r="MAQ28" s="119"/>
      <c r="MAR28" s="119"/>
      <c r="MAS28" s="119"/>
      <c r="MAT28" s="119"/>
      <c r="MAU28" s="119"/>
      <c r="MAV28" s="119"/>
      <c r="MAW28" s="119"/>
      <c r="MAX28" s="119"/>
      <c r="MAY28" s="119"/>
      <c r="MAZ28" s="119"/>
      <c r="MBA28" s="119"/>
      <c r="MBB28" s="119"/>
      <c r="MBC28" s="119"/>
      <c r="MBD28" s="119"/>
      <c r="MBE28" s="119"/>
      <c r="MBF28" s="119"/>
      <c r="MBG28" s="119"/>
      <c r="MBH28" s="119"/>
      <c r="MBI28" s="119"/>
      <c r="MBJ28" s="119"/>
      <c r="MBK28" s="119"/>
      <c r="MBL28" s="119"/>
      <c r="MBM28" s="119"/>
      <c r="MBN28" s="119"/>
      <c r="MBO28" s="119"/>
      <c r="MBP28" s="119"/>
      <c r="MBQ28" s="119"/>
      <c r="MBR28" s="119"/>
      <c r="MBS28" s="119"/>
      <c r="MBT28" s="119"/>
      <c r="MBU28" s="119"/>
      <c r="MBV28" s="119"/>
      <c r="MBW28" s="119"/>
      <c r="MBX28" s="119"/>
      <c r="MBY28" s="119"/>
      <c r="MBZ28" s="119"/>
      <c r="MCA28" s="119"/>
      <c r="MCB28" s="119"/>
      <c r="MCC28" s="119"/>
      <c r="MCD28" s="119"/>
      <c r="MCE28" s="119"/>
      <c r="MCF28" s="119"/>
      <c r="MCG28" s="119"/>
      <c r="MCH28" s="119"/>
      <c r="MCI28" s="119"/>
      <c r="MCJ28" s="119"/>
      <c r="MCK28" s="119"/>
      <c r="MCL28" s="119"/>
      <c r="MCM28" s="119"/>
      <c r="MCN28" s="119"/>
      <c r="MCO28" s="119"/>
      <c r="MCP28" s="119"/>
      <c r="MCQ28" s="119"/>
      <c r="MCR28" s="119"/>
      <c r="MCS28" s="119"/>
      <c r="MCT28" s="119"/>
      <c r="MCU28" s="119"/>
      <c r="MCV28" s="119"/>
      <c r="MCW28" s="119"/>
      <c r="MCX28" s="119"/>
      <c r="MCY28" s="119"/>
      <c r="MCZ28" s="119"/>
      <c r="MDA28" s="119"/>
      <c r="MDB28" s="119"/>
      <c r="MDC28" s="119"/>
      <c r="MDD28" s="119"/>
      <c r="MDE28" s="119"/>
      <c r="MDF28" s="119"/>
      <c r="MDG28" s="119"/>
      <c r="MDH28" s="119"/>
      <c r="MDI28" s="119"/>
      <c r="MDJ28" s="119"/>
      <c r="MDK28" s="119"/>
      <c r="MDL28" s="119"/>
      <c r="MDM28" s="119"/>
      <c r="MDN28" s="119"/>
      <c r="MDO28" s="119"/>
      <c r="MDP28" s="119"/>
      <c r="MDQ28" s="119"/>
      <c r="MDR28" s="119"/>
      <c r="MDS28" s="119"/>
      <c r="MDT28" s="119"/>
      <c r="MDU28" s="119"/>
      <c r="MDV28" s="119"/>
      <c r="MDW28" s="119"/>
      <c r="MDX28" s="119"/>
      <c r="MDY28" s="119"/>
      <c r="MDZ28" s="119"/>
      <c r="MEA28" s="119"/>
      <c r="MEB28" s="119"/>
      <c r="MEC28" s="119"/>
      <c r="MED28" s="119"/>
      <c r="MEE28" s="119"/>
      <c r="MEF28" s="119"/>
      <c r="MEG28" s="119"/>
      <c r="MEH28" s="119"/>
      <c r="MEI28" s="119"/>
      <c r="MEJ28" s="119"/>
      <c r="MEK28" s="119"/>
      <c r="MEL28" s="119"/>
      <c r="MEM28" s="119"/>
      <c r="MEN28" s="119"/>
      <c r="MEO28" s="119"/>
      <c r="MEP28" s="119"/>
      <c r="MEQ28" s="119"/>
      <c r="MER28" s="119"/>
      <c r="MES28" s="119"/>
      <c r="MET28" s="119"/>
      <c r="MEU28" s="119"/>
      <c r="MEV28" s="119"/>
      <c r="MEW28" s="119"/>
      <c r="MEX28" s="119"/>
      <c r="MEY28" s="119"/>
      <c r="MEZ28" s="119"/>
      <c r="MFA28" s="119"/>
      <c r="MFB28" s="119"/>
      <c r="MFC28" s="119"/>
      <c r="MFD28" s="119"/>
      <c r="MFE28" s="119"/>
      <c r="MFF28" s="119"/>
      <c r="MFG28" s="119"/>
      <c r="MFH28" s="119"/>
      <c r="MFI28" s="119"/>
      <c r="MFJ28" s="119"/>
      <c r="MFK28" s="119"/>
      <c r="MFL28" s="119"/>
      <c r="MFM28" s="119"/>
      <c r="MFN28" s="119"/>
      <c r="MFO28" s="119"/>
      <c r="MFP28" s="119"/>
      <c r="MFQ28" s="119"/>
      <c r="MFR28" s="119"/>
      <c r="MFS28" s="119"/>
      <c r="MFT28" s="119"/>
      <c r="MFU28" s="119"/>
      <c r="MFV28" s="119"/>
      <c r="MFW28" s="119"/>
      <c r="MFX28" s="119"/>
      <c r="MFY28" s="119"/>
      <c r="MFZ28" s="119"/>
      <c r="MGA28" s="119"/>
      <c r="MGB28" s="119"/>
      <c r="MGC28" s="119"/>
      <c r="MGD28" s="119"/>
      <c r="MGE28" s="119"/>
      <c r="MGF28" s="119"/>
      <c r="MGG28" s="119"/>
      <c r="MGH28" s="119"/>
      <c r="MGI28" s="119"/>
      <c r="MGJ28" s="119"/>
      <c r="MGK28" s="119"/>
      <c r="MGL28" s="119"/>
      <c r="MGM28" s="119"/>
      <c r="MGN28" s="119"/>
      <c r="MGO28" s="119"/>
      <c r="MGP28" s="119"/>
      <c r="MGQ28" s="119"/>
      <c r="MGR28" s="119"/>
      <c r="MGS28" s="119"/>
      <c r="MGT28" s="119"/>
      <c r="MGU28" s="119"/>
      <c r="MGV28" s="119"/>
      <c r="MGW28" s="119"/>
      <c r="MGX28" s="119"/>
      <c r="MGY28" s="119"/>
      <c r="MGZ28" s="119"/>
      <c r="MHA28" s="119"/>
      <c r="MHB28" s="119"/>
      <c r="MHC28" s="119"/>
      <c r="MHD28" s="119"/>
      <c r="MHE28" s="119"/>
      <c r="MHF28" s="119"/>
      <c r="MHG28" s="119"/>
      <c r="MHH28" s="119"/>
      <c r="MHI28" s="119"/>
      <c r="MHJ28" s="119"/>
      <c r="MHK28" s="119"/>
      <c r="MHL28" s="119"/>
      <c r="MHM28" s="119"/>
      <c r="MHN28" s="119"/>
      <c r="MHO28" s="119"/>
      <c r="MHP28" s="119"/>
      <c r="MHQ28" s="119"/>
      <c r="MHR28" s="119"/>
      <c r="MHS28" s="119"/>
      <c r="MHT28" s="119"/>
      <c r="MHU28" s="119"/>
      <c r="MHV28" s="119"/>
      <c r="MHW28" s="119"/>
      <c r="MHX28" s="119"/>
      <c r="MHY28" s="119"/>
      <c r="MHZ28" s="119"/>
      <c r="MIA28" s="119"/>
      <c r="MIB28" s="119"/>
      <c r="MIC28" s="119"/>
      <c r="MID28" s="119"/>
      <c r="MIE28" s="119"/>
      <c r="MIF28" s="119"/>
      <c r="MIG28" s="119"/>
      <c r="MIH28" s="119"/>
      <c r="MII28" s="119"/>
      <c r="MIJ28" s="119"/>
      <c r="MIK28" s="119"/>
      <c r="MIL28" s="119"/>
      <c r="MIM28" s="119"/>
      <c r="MIN28" s="119"/>
      <c r="MIO28" s="119"/>
      <c r="MIP28" s="119"/>
      <c r="MIQ28" s="119"/>
      <c r="MIR28" s="119"/>
      <c r="MIS28" s="119"/>
      <c r="MIT28" s="119"/>
      <c r="MIU28" s="119"/>
      <c r="MIV28" s="119"/>
      <c r="MIW28" s="119"/>
      <c r="MIX28" s="119"/>
      <c r="MIY28" s="119"/>
      <c r="MIZ28" s="119"/>
      <c r="MJA28" s="119"/>
      <c r="MJB28" s="119"/>
      <c r="MJC28" s="119"/>
      <c r="MJD28" s="119"/>
      <c r="MJE28" s="119"/>
      <c r="MJF28" s="119"/>
      <c r="MJG28" s="119"/>
      <c r="MJH28" s="119"/>
      <c r="MJI28" s="119"/>
      <c r="MJJ28" s="119"/>
      <c r="MJK28" s="119"/>
      <c r="MJL28" s="119"/>
      <c r="MJM28" s="119"/>
      <c r="MJN28" s="119"/>
      <c r="MJO28" s="119"/>
      <c r="MJP28" s="119"/>
      <c r="MJQ28" s="119"/>
      <c r="MJR28" s="119"/>
      <c r="MJS28" s="119"/>
      <c r="MJT28" s="119"/>
      <c r="MJU28" s="119"/>
      <c r="MJV28" s="119"/>
      <c r="MJW28" s="119"/>
      <c r="MJX28" s="119"/>
      <c r="MJY28" s="119"/>
      <c r="MJZ28" s="119"/>
      <c r="MKA28" s="119"/>
      <c r="MKB28" s="119"/>
      <c r="MKC28" s="119"/>
      <c r="MKD28" s="119"/>
      <c r="MKE28" s="119"/>
      <c r="MKF28" s="119"/>
      <c r="MKG28" s="119"/>
      <c r="MKH28" s="119"/>
      <c r="MKI28" s="119"/>
      <c r="MKJ28" s="119"/>
      <c r="MKK28" s="119"/>
      <c r="MKL28" s="119"/>
      <c r="MKM28" s="119"/>
      <c r="MKN28" s="119"/>
      <c r="MKO28" s="119"/>
      <c r="MKP28" s="119"/>
      <c r="MKQ28" s="119"/>
      <c r="MKR28" s="119"/>
      <c r="MKS28" s="119"/>
      <c r="MKT28" s="119"/>
      <c r="MKU28" s="119"/>
      <c r="MKV28" s="119"/>
      <c r="MKW28" s="119"/>
      <c r="MKX28" s="119"/>
      <c r="MKY28" s="119"/>
      <c r="MKZ28" s="119"/>
      <c r="MLA28" s="119"/>
      <c r="MLB28" s="119"/>
      <c r="MLC28" s="119"/>
      <c r="MLD28" s="119"/>
      <c r="MLE28" s="119"/>
      <c r="MLF28" s="119"/>
      <c r="MLG28" s="119"/>
      <c r="MLH28" s="119"/>
      <c r="MLI28" s="119"/>
      <c r="MLJ28" s="119"/>
      <c r="MLK28" s="119"/>
      <c r="MLL28" s="119"/>
      <c r="MLM28" s="119"/>
      <c r="MLN28" s="119"/>
      <c r="MLO28" s="119"/>
      <c r="MLP28" s="119"/>
      <c r="MLQ28" s="119"/>
      <c r="MLR28" s="119"/>
      <c r="MLS28" s="119"/>
      <c r="MLT28" s="119"/>
      <c r="MLU28" s="119"/>
      <c r="MLV28" s="119"/>
      <c r="MLW28" s="119"/>
      <c r="MLX28" s="119"/>
      <c r="MLY28" s="119"/>
      <c r="MLZ28" s="119"/>
      <c r="MMA28" s="119"/>
      <c r="MMB28" s="119"/>
      <c r="MMC28" s="119"/>
      <c r="MMD28" s="119"/>
      <c r="MME28" s="119"/>
      <c r="MMF28" s="119"/>
      <c r="MMG28" s="119"/>
      <c r="MMH28" s="119"/>
      <c r="MMI28" s="119"/>
      <c r="MMJ28" s="119"/>
      <c r="MMK28" s="119"/>
      <c r="MML28" s="119"/>
      <c r="MMM28" s="119"/>
      <c r="MMN28" s="119"/>
      <c r="MMO28" s="119"/>
      <c r="MMP28" s="119"/>
      <c r="MMQ28" s="119"/>
      <c r="MMR28" s="119"/>
      <c r="MMS28" s="119"/>
      <c r="MMT28" s="119"/>
      <c r="MMU28" s="119"/>
      <c r="MMV28" s="119"/>
      <c r="MMW28" s="119"/>
      <c r="MMX28" s="119"/>
      <c r="MMY28" s="119"/>
      <c r="MMZ28" s="119"/>
      <c r="MNA28" s="119"/>
      <c r="MNB28" s="119"/>
      <c r="MNC28" s="119"/>
      <c r="MND28" s="119"/>
      <c r="MNE28" s="119"/>
      <c r="MNF28" s="119"/>
      <c r="MNG28" s="119"/>
      <c r="MNH28" s="119"/>
      <c r="MNI28" s="119"/>
      <c r="MNJ28" s="119"/>
      <c r="MNK28" s="119"/>
      <c r="MNL28" s="119"/>
      <c r="MNM28" s="119"/>
      <c r="MNN28" s="119"/>
      <c r="MNO28" s="119"/>
      <c r="MNP28" s="119"/>
      <c r="MNQ28" s="119"/>
      <c r="MNR28" s="119"/>
      <c r="MNS28" s="119"/>
      <c r="MNT28" s="119"/>
      <c r="MNU28" s="119"/>
      <c r="MNV28" s="119"/>
      <c r="MNW28" s="119"/>
      <c r="MNX28" s="119"/>
      <c r="MNY28" s="119"/>
      <c r="MNZ28" s="119"/>
      <c r="MOA28" s="119"/>
      <c r="MOB28" s="119"/>
      <c r="MOC28" s="119"/>
      <c r="MOD28" s="119"/>
      <c r="MOE28" s="119"/>
      <c r="MOF28" s="119"/>
      <c r="MOG28" s="119"/>
      <c r="MOH28" s="119"/>
      <c r="MOI28" s="119"/>
      <c r="MOJ28" s="119"/>
      <c r="MOK28" s="119"/>
      <c r="MOL28" s="119"/>
      <c r="MOM28" s="119"/>
      <c r="MON28" s="119"/>
      <c r="MOO28" s="119"/>
      <c r="MOP28" s="119"/>
      <c r="MOQ28" s="119"/>
      <c r="MOR28" s="119"/>
      <c r="MOS28" s="119"/>
      <c r="MOT28" s="119"/>
      <c r="MOU28" s="119"/>
      <c r="MOV28" s="119"/>
      <c r="MOW28" s="119"/>
      <c r="MOX28" s="119"/>
      <c r="MOY28" s="119"/>
      <c r="MOZ28" s="119"/>
      <c r="MPA28" s="119"/>
      <c r="MPB28" s="119"/>
      <c r="MPC28" s="119"/>
      <c r="MPD28" s="119"/>
      <c r="MPE28" s="119"/>
      <c r="MPF28" s="119"/>
      <c r="MPG28" s="119"/>
      <c r="MPH28" s="119"/>
      <c r="MPI28" s="119"/>
      <c r="MPJ28" s="119"/>
      <c r="MPK28" s="119"/>
      <c r="MPL28" s="119"/>
      <c r="MPM28" s="119"/>
      <c r="MPN28" s="119"/>
      <c r="MPO28" s="119"/>
      <c r="MPP28" s="119"/>
      <c r="MPQ28" s="119"/>
      <c r="MPR28" s="119"/>
      <c r="MPS28" s="119"/>
      <c r="MPT28" s="119"/>
      <c r="MPU28" s="119"/>
      <c r="MPV28" s="119"/>
      <c r="MPW28" s="119"/>
      <c r="MPX28" s="119"/>
      <c r="MPY28" s="119"/>
      <c r="MPZ28" s="119"/>
      <c r="MQA28" s="119"/>
      <c r="MQB28" s="119"/>
      <c r="MQC28" s="119"/>
      <c r="MQD28" s="119"/>
      <c r="MQE28" s="119"/>
      <c r="MQF28" s="119"/>
      <c r="MQG28" s="119"/>
      <c r="MQH28" s="119"/>
      <c r="MQI28" s="119"/>
      <c r="MQJ28" s="119"/>
      <c r="MQK28" s="119"/>
      <c r="MQL28" s="119"/>
      <c r="MQM28" s="119"/>
      <c r="MQN28" s="119"/>
      <c r="MQO28" s="119"/>
      <c r="MQP28" s="119"/>
      <c r="MQQ28" s="119"/>
      <c r="MQR28" s="119"/>
      <c r="MQS28" s="119"/>
      <c r="MQT28" s="119"/>
      <c r="MQU28" s="119"/>
      <c r="MQV28" s="119"/>
      <c r="MQW28" s="119"/>
      <c r="MQX28" s="119"/>
      <c r="MQY28" s="119"/>
      <c r="MQZ28" s="119"/>
      <c r="MRA28" s="119"/>
      <c r="MRB28" s="119"/>
      <c r="MRC28" s="119"/>
      <c r="MRD28" s="119"/>
      <c r="MRE28" s="119"/>
      <c r="MRF28" s="119"/>
      <c r="MRG28" s="119"/>
      <c r="MRH28" s="119"/>
      <c r="MRI28" s="119"/>
      <c r="MRJ28" s="119"/>
      <c r="MRK28" s="119"/>
      <c r="MRL28" s="119"/>
      <c r="MRM28" s="119"/>
      <c r="MRN28" s="119"/>
      <c r="MRO28" s="119"/>
      <c r="MRP28" s="119"/>
      <c r="MRQ28" s="119"/>
      <c r="MRR28" s="119"/>
      <c r="MRS28" s="119"/>
      <c r="MRT28" s="119"/>
      <c r="MRU28" s="119"/>
      <c r="MRV28" s="119"/>
      <c r="MRW28" s="119"/>
      <c r="MRX28" s="119"/>
      <c r="MRY28" s="119"/>
      <c r="MRZ28" s="119"/>
      <c r="MSA28" s="119"/>
      <c r="MSB28" s="119"/>
      <c r="MSC28" s="119"/>
      <c r="MSD28" s="119"/>
      <c r="MSE28" s="119"/>
      <c r="MSF28" s="119"/>
      <c r="MSG28" s="119"/>
      <c r="MSH28" s="119"/>
      <c r="MSI28" s="119"/>
      <c r="MSJ28" s="119"/>
      <c r="MSK28" s="119"/>
      <c r="MSL28" s="119"/>
      <c r="MSM28" s="119"/>
      <c r="MSN28" s="119"/>
      <c r="MSO28" s="119"/>
      <c r="MSP28" s="119"/>
      <c r="MSQ28" s="119"/>
      <c r="MSR28" s="119"/>
      <c r="MSS28" s="119"/>
      <c r="MST28" s="119"/>
      <c r="MSU28" s="119"/>
      <c r="MSV28" s="119"/>
      <c r="MSW28" s="119"/>
      <c r="MSX28" s="119"/>
      <c r="MSY28" s="119"/>
      <c r="MSZ28" s="119"/>
      <c r="MTA28" s="119"/>
      <c r="MTB28" s="119"/>
      <c r="MTC28" s="119"/>
      <c r="MTD28" s="119"/>
      <c r="MTE28" s="119"/>
      <c r="MTF28" s="119"/>
      <c r="MTG28" s="119"/>
      <c r="MTH28" s="119"/>
      <c r="MTI28" s="119"/>
      <c r="MTJ28" s="119"/>
      <c r="MTK28" s="119"/>
      <c r="MTL28" s="119"/>
      <c r="MTM28" s="119"/>
      <c r="MTN28" s="119"/>
      <c r="MTO28" s="119"/>
      <c r="MTP28" s="119"/>
      <c r="MTQ28" s="119"/>
      <c r="MTR28" s="119"/>
      <c r="MTS28" s="119"/>
      <c r="MTT28" s="119"/>
      <c r="MTU28" s="119"/>
      <c r="MTV28" s="119"/>
      <c r="MTW28" s="119"/>
      <c r="MTX28" s="119"/>
      <c r="MTY28" s="119"/>
      <c r="MTZ28" s="119"/>
      <c r="MUA28" s="119"/>
      <c r="MUB28" s="119"/>
      <c r="MUC28" s="119"/>
      <c r="MUD28" s="119"/>
      <c r="MUE28" s="119"/>
      <c r="MUF28" s="119"/>
      <c r="MUG28" s="119"/>
      <c r="MUH28" s="119"/>
      <c r="MUI28" s="119"/>
      <c r="MUJ28" s="119"/>
      <c r="MUK28" s="119"/>
      <c r="MUL28" s="119"/>
      <c r="MUM28" s="119"/>
      <c r="MUN28" s="119"/>
      <c r="MUO28" s="119"/>
      <c r="MUP28" s="119"/>
      <c r="MUQ28" s="119"/>
      <c r="MUR28" s="119"/>
      <c r="MUS28" s="119"/>
      <c r="MUT28" s="119"/>
      <c r="MUU28" s="119"/>
      <c r="MUV28" s="119"/>
      <c r="MUW28" s="119"/>
      <c r="MUX28" s="119"/>
      <c r="MUY28" s="119"/>
      <c r="MUZ28" s="119"/>
      <c r="MVA28" s="119"/>
      <c r="MVB28" s="119"/>
      <c r="MVC28" s="119"/>
      <c r="MVD28" s="119"/>
      <c r="MVE28" s="119"/>
      <c r="MVF28" s="119"/>
      <c r="MVG28" s="119"/>
      <c r="MVH28" s="119"/>
      <c r="MVI28" s="119"/>
      <c r="MVJ28" s="119"/>
      <c r="MVK28" s="119"/>
      <c r="MVL28" s="119"/>
      <c r="MVM28" s="119"/>
      <c r="MVN28" s="119"/>
      <c r="MVO28" s="119"/>
      <c r="MVP28" s="119"/>
      <c r="MVQ28" s="119"/>
      <c r="MVR28" s="119"/>
      <c r="MVS28" s="119"/>
      <c r="MVT28" s="119"/>
      <c r="MVU28" s="119"/>
      <c r="MVV28" s="119"/>
      <c r="MVW28" s="119"/>
      <c r="MVX28" s="119"/>
      <c r="MVY28" s="119"/>
      <c r="MVZ28" s="119"/>
      <c r="MWA28" s="119"/>
      <c r="MWB28" s="119"/>
      <c r="MWC28" s="119"/>
      <c r="MWD28" s="119"/>
      <c r="MWE28" s="119"/>
      <c r="MWF28" s="119"/>
      <c r="MWG28" s="119"/>
      <c r="MWH28" s="119"/>
      <c r="MWI28" s="119"/>
      <c r="MWJ28" s="119"/>
      <c r="MWK28" s="119"/>
      <c r="MWL28" s="119"/>
      <c r="MWM28" s="119"/>
      <c r="MWN28" s="119"/>
      <c r="MWO28" s="119"/>
      <c r="MWP28" s="119"/>
      <c r="MWQ28" s="119"/>
      <c r="MWR28" s="119"/>
      <c r="MWS28" s="119"/>
      <c r="MWT28" s="119"/>
      <c r="MWU28" s="119"/>
      <c r="MWV28" s="119"/>
      <c r="MWW28" s="119"/>
      <c r="MWX28" s="119"/>
      <c r="MWY28" s="119"/>
      <c r="MWZ28" s="119"/>
      <c r="MXA28" s="119"/>
      <c r="MXB28" s="119"/>
      <c r="MXC28" s="119"/>
      <c r="MXD28" s="119"/>
      <c r="MXE28" s="119"/>
      <c r="MXF28" s="119"/>
      <c r="MXG28" s="119"/>
      <c r="MXH28" s="119"/>
      <c r="MXI28" s="119"/>
      <c r="MXJ28" s="119"/>
      <c r="MXK28" s="119"/>
      <c r="MXL28" s="119"/>
      <c r="MXM28" s="119"/>
      <c r="MXN28" s="119"/>
      <c r="MXO28" s="119"/>
      <c r="MXP28" s="119"/>
      <c r="MXQ28" s="119"/>
      <c r="MXR28" s="119"/>
      <c r="MXS28" s="119"/>
      <c r="MXT28" s="119"/>
      <c r="MXU28" s="119"/>
      <c r="MXV28" s="119"/>
      <c r="MXW28" s="119"/>
      <c r="MXX28" s="119"/>
      <c r="MXY28" s="119"/>
      <c r="MXZ28" s="119"/>
      <c r="MYA28" s="119"/>
      <c r="MYB28" s="119"/>
      <c r="MYC28" s="119"/>
      <c r="MYD28" s="119"/>
      <c r="MYE28" s="119"/>
      <c r="MYF28" s="119"/>
      <c r="MYG28" s="119"/>
      <c r="MYH28" s="119"/>
      <c r="MYI28" s="119"/>
      <c r="MYJ28" s="119"/>
      <c r="MYK28" s="119"/>
      <c r="MYL28" s="119"/>
      <c r="MYM28" s="119"/>
      <c r="MYN28" s="119"/>
      <c r="MYO28" s="119"/>
      <c r="MYP28" s="119"/>
      <c r="MYQ28" s="119"/>
      <c r="MYR28" s="119"/>
      <c r="MYS28" s="119"/>
      <c r="MYT28" s="119"/>
      <c r="MYU28" s="119"/>
      <c r="MYV28" s="119"/>
      <c r="MYW28" s="119"/>
      <c r="MYX28" s="119"/>
      <c r="MYY28" s="119"/>
      <c r="MYZ28" s="119"/>
      <c r="MZA28" s="119"/>
      <c r="MZB28" s="119"/>
      <c r="MZC28" s="119"/>
      <c r="MZD28" s="119"/>
      <c r="MZE28" s="119"/>
      <c r="MZF28" s="119"/>
      <c r="MZG28" s="119"/>
      <c r="MZH28" s="119"/>
      <c r="MZI28" s="119"/>
      <c r="MZJ28" s="119"/>
      <c r="MZK28" s="119"/>
      <c r="MZL28" s="119"/>
      <c r="MZM28" s="119"/>
      <c r="MZN28" s="119"/>
      <c r="MZO28" s="119"/>
      <c r="MZP28" s="119"/>
      <c r="MZQ28" s="119"/>
      <c r="MZR28" s="119"/>
      <c r="MZS28" s="119"/>
      <c r="MZT28" s="119"/>
      <c r="MZU28" s="119"/>
      <c r="MZV28" s="119"/>
      <c r="MZW28" s="119"/>
      <c r="MZX28" s="119"/>
      <c r="MZY28" s="119"/>
      <c r="MZZ28" s="119"/>
      <c r="NAA28" s="119"/>
      <c r="NAB28" s="119"/>
      <c r="NAC28" s="119"/>
      <c r="NAD28" s="119"/>
      <c r="NAE28" s="119"/>
      <c r="NAF28" s="119"/>
      <c r="NAG28" s="119"/>
      <c r="NAH28" s="119"/>
      <c r="NAI28" s="119"/>
      <c r="NAJ28" s="119"/>
      <c r="NAK28" s="119"/>
      <c r="NAL28" s="119"/>
      <c r="NAM28" s="119"/>
      <c r="NAN28" s="119"/>
      <c r="NAO28" s="119"/>
      <c r="NAP28" s="119"/>
      <c r="NAQ28" s="119"/>
      <c r="NAR28" s="119"/>
      <c r="NAS28" s="119"/>
      <c r="NAT28" s="119"/>
      <c r="NAU28" s="119"/>
      <c r="NAV28" s="119"/>
      <c r="NAW28" s="119"/>
      <c r="NAX28" s="119"/>
      <c r="NAY28" s="119"/>
      <c r="NAZ28" s="119"/>
      <c r="NBA28" s="119"/>
      <c r="NBB28" s="119"/>
      <c r="NBC28" s="119"/>
      <c r="NBD28" s="119"/>
      <c r="NBE28" s="119"/>
      <c r="NBF28" s="119"/>
      <c r="NBG28" s="119"/>
      <c r="NBH28" s="119"/>
      <c r="NBI28" s="119"/>
      <c r="NBJ28" s="119"/>
      <c r="NBK28" s="119"/>
      <c r="NBL28" s="119"/>
      <c r="NBM28" s="119"/>
      <c r="NBN28" s="119"/>
      <c r="NBO28" s="119"/>
      <c r="NBP28" s="119"/>
      <c r="NBQ28" s="119"/>
      <c r="NBR28" s="119"/>
      <c r="NBS28" s="119"/>
      <c r="NBT28" s="119"/>
      <c r="NBU28" s="119"/>
      <c r="NBV28" s="119"/>
      <c r="NBW28" s="119"/>
      <c r="NBX28" s="119"/>
      <c r="NBY28" s="119"/>
      <c r="NBZ28" s="119"/>
      <c r="NCA28" s="119"/>
      <c r="NCB28" s="119"/>
      <c r="NCC28" s="119"/>
      <c r="NCD28" s="119"/>
      <c r="NCE28" s="119"/>
      <c r="NCF28" s="119"/>
      <c r="NCG28" s="119"/>
      <c r="NCH28" s="119"/>
      <c r="NCI28" s="119"/>
      <c r="NCJ28" s="119"/>
      <c r="NCK28" s="119"/>
      <c r="NCL28" s="119"/>
      <c r="NCM28" s="119"/>
      <c r="NCN28" s="119"/>
      <c r="NCO28" s="119"/>
      <c r="NCP28" s="119"/>
      <c r="NCQ28" s="119"/>
      <c r="NCR28" s="119"/>
      <c r="NCS28" s="119"/>
      <c r="NCT28" s="119"/>
      <c r="NCU28" s="119"/>
      <c r="NCV28" s="119"/>
      <c r="NCW28" s="119"/>
      <c r="NCX28" s="119"/>
      <c r="NCY28" s="119"/>
      <c r="NCZ28" s="119"/>
      <c r="NDA28" s="119"/>
      <c r="NDB28" s="119"/>
      <c r="NDC28" s="119"/>
      <c r="NDD28" s="119"/>
      <c r="NDE28" s="119"/>
      <c r="NDF28" s="119"/>
      <c r="NDG28" s="119"/>
      <c r="NDH28" s="119"/>
      <c r="NDI28" s="119"/>
      <c r="NDJ28" s="119"/>
      <c r="NDK28" s="119"/>
      <c r="NDL28" s="119"/>
      <c r="NDM28" s="119"/>
      <c r="NDN28" s="119"/>
      <c r="NDO28" s="119"/>
      <c r="NDP28" s="119"/>
      <c r="NDQ28" s="119"/>
      <c r="NDR28" s="119"/>
      <c r="NDS28" s="119"/>
      <c r="NDT28" s="119"/>
      <c r="NDU28" s="119"/>
      <c r="NDV28" s="119"/>
      <c r="NDW28" s="119"/>
      <c r="NDX28" s="119"/>
      <c r="NDY28" s="119"/>
      <c r="NDZ28" s="119"/>
      <c r="NEA28" s="119"/>
      <c r="NEB28" s="119"/>
      <c r="NEC28" s="119"/>
      <c r="NED28" s="119"/>
      <c r="NEE28" s="119"/>
      <c r="NEF28" s="119"/>
      <c r="NEG28" s="119"/>
      <c r="NEH28" s="119"/>
      <c r="NEI28" s="119"/>
      <c r="NEJ28" s="119"/>
      <c r="NEK28" s="119"/>
      <c r="NEL28" s="119"/>
      <c r="NEM28" s="119"/>
      <c r="NEN28" s="119"/>
      <c r="NEO28" s="119"/>
      <c r="NEP28" s="119"/>
      <c r="NEQ28" s="119"/>
      <c r="NER28" s="119"/>
      <c r="NES28" s="119"/>
      <c r="NET28" s="119"/>
      <c r="NEU28" s="119"/>
      <c r="NEV28" s="119"/>
      <c r="NEW28" s="119"/>
      <c r="NEX28" s="119"/>
      <c r="NEY28" s="119"/>
      <c r="NEZ28" s="119"/>
      <c r="NFA28" s="119"/>
      <c r="NFB28" s="119"/>
      <c r="NFC28" s="119"/>
      <c r="NFD28" s="119"/>
      <c r="NFE28" s="119"/>
      <c r="NFF28" s="119"/>
      <c r="NFG28" s="119"/>
      <c r="NFH28" s="119"/>
      <c r="NFI28" s="119"/>
      <c r="NFJ28" s="119"/>
      <c r="NFK28" s="119"/>
      <c r="NFL28" s="119"/>
      <c r="NFM28" s="119"/>
      <c r="NFN28" s="119"/>
      <c r="NFO28" s="119"/>
      <c r="NFP28" s="119"/>
      <c r="NFQ28" s="119"/>
      <c r="NFR28" s="119"/>
      <c r="NFS28" s="119"/>
      <c r="NFT28" s="119"/>
      <c r="NFU28" s="119"/>
      <c r="NFV28" s="119"/>
      <c r="NFW28" s="119"/>
      <c r="NFX28" s="119"/>
      <c r="NFY28" s="119"/>
      <c r="NFZ28" s="119"/>
      <c r="NGA28" s="119"/>
      <c r="NGB28" s="119"/>
      <c r="NGC28" s="119"/>
      <c r="NGD28" s="119"/>
      <c r="NGE28" s="119"/>
      <c r="NGF28" s="119"/>
      <c r="NGG28" s="119"/>
      <c r="NGH28" s="119"/>
      <c r="NGI28" s="119"/>
      <c r="NGJ28" s="119"/>
      <c r="NGK28" s="119"/>
      <c r="NGL28" s="119"/>
      <c r="NGM28" s="119"/>
      <c r="NGN28" s="119"/>
      <c r="NGO28" s="119"/>
      <c r="NGP28" s="119"/>
      <c r="NGQ28" s="119"/>
      <c r="NGR28" s="119"/>
      <c r="NGS28" s="119"/>
      <c r="NGT28" s="119"/>
      <c r="NGU28" s="119"/>
      <c r="NGV28" s="119"/>
      <c r="NGW28" s="119"/>
      <c r="NGX28" s="119"/>
      <c r="NGY28" s="119"/>
      <c r="NGZ28" s="119"/>
      <c r="NHA28" s="119"/>
      <c r="NHB28" s="119"/>
      <c r="NHC28" s="119"/>
      <c r="NHD28" s="119"/>
      <c r="NHE28" s="119"/>
      <c r="NHF28" s="119"/>
      <c r="NHG28" s="119"/>
      <c r="NHH28" s="119"/>
      <c r="NHI28" s="119"/>
      <c r="NHJ28" s="119"/>
      <c r="NHK28" s="119"/>
      <c r="NHL28" s="119"/>
      <c r="NHM28" s="119"/>
      <c r="NHN28" s="119"/>
      <c r="NHO28" s="119"/>
      <c r="NHP28" s="119"/>
      <c r="NHQ28" s="119"/>
      <c r="NHR28" s="119"/>
      <c r="NHS28" s="119"/>
      <c r="NHT28" s="119"/>
      <c r="NHU28" s="119"/>
      <c r="NHV28" s="119"/>
      <c r="NHW28" s="119"/>
      <c r="NHX28" s="119"/>
      <c r="NHY28" s="119"/>
      <c r="NHZ28" s="119"/>
      <c r="NIA28" s="119"/>
      <c r="NIB28" s="119"/>
      <c r="NIC28" s="119"/>
      <c r="NID28" s="119"/>
      <c r="NIE28" s="119"/>
      <c r="NIF28" s="119"/>
      <c r="NIG28" s="119"/>
      <c r="NIH28" s="119"/>
      <c r="NII28" s="119"/>
      <c r="NIJ28" s="119"/>
      <c r="NIK28" s="119"/>
      <c r="NIL28" s="119"/>
      <c r="NIM28" s="119"/>
      <c r="NIN28" s="119"/>
      <c r="NIO28" s="119"/>
      <c r="NIP28" s="119"/>
      <c r="NIQ28" s="119"/>
      <c r="NIR28" s="119"/>
      <c r="NIS28" s="119"/>
      <c r="NIT28" s="119"/>
      <c r="NIU28" s="119"/>
      <c r="NIV28" s="119"/>
      <c r="NIW28" s="119"/>
      <c r="NIX28" s="119"/>
      <c r="NIY28" s="119"/>
      <c r="NIZ28" s="119"/>
      <c r="NJA28" s="119"/>
      <c r="NJB28" s="119"/>
      <c r="NJC28" s="119"/>
      <c r="NJD28" s="119"/>
      <c r="NJE28" s="119"/>
      <c r="NJF28" s="119"/>
      <c r="NJG28" s="119"/>
      <c r="NJH28" s="119"/>
      <c r="NJI28" s="119"/>
      <c r="NJJ28" s="119"/>
      <c r="NJK28" s="119"/>
      <c r="NJL28" s="119"/>
      <c r="NJM28" s="119"/>
      <c r="NJN28" s="119"/>
      <c r="NJO28" s="119"/>
      <c r="NJP28" s="119"/>
      <c r="NJQ28" s="119"/>
      <c r="NJR28" s="119"/>
      <c r="NJS28" s="119"/>
      <c r="NJT28" s="119"/>
      <c r="NJU28" s="119"/>
      <c r="NJV28" s="119"/>
      <c r="NJW28" s="119"/>
      <c r="NJX28" s="119"/>
      <c r="NJY28" s="119"/>
      <c r="NJZ28" s="119"/>
      <c r="NKA28" s="119"/>
      <c r="NKB28" s="119"/>
      <c r="NKC28" s="119"/>
      <c r="NKD28" s="119"/>
      <c r="NKE28" s="119"/>
      <c r="NKF28" s="119"/>
      <c r="NKG28" s="119"/>
      <c r="NKH28" s="119"/>
      <c r="NKI28" s="119"/>
      <c r="NKJ28" s="119"/>
      <c r="NKK28" s="119"/>
      <c r="NKL28" s="119"/>
      <c r="NKM28" s="119"/>
      <c r="NKN28" s="119"/>
      <c r="NKO28" s="119"/>
      <c r="NKP28" s="119"/>
      <c r="NKQ28" s="119"/>
      <c r="NKR28" s="119"/>
      <c r="NKS28" s="119"/>
      <c r="NKT28" s="119"/>
      <c r="NKU28" s="119"/>
      <c r="NKV28" s="119"/>
      <c r="NKW28" s="119"/>
      <c r="NKX28" s="119"/>
      <c r="NKY28" s="119"/>
      <c r="NKZ28" s="119"/>
      <c r="NLA28" s="119"/>
      <c r="NLB28" s="119"/>
      <c r="NLC28" s="119"/>
      <c r="NLD28" s="119"/>
      <c r="NLE28" s="119"/>
      <c r="NLF28" s="119"/>
      <c r="NLG28" s="119"/>
      <c r="NLH28" s="119"/>
      <c r="NLI28" s="119"/>
      <c r="NLJ28" s="119"/>
      <c r="NLK28" s="119"/>
      <c r="NLL28" s="119"/>
      <c r="NLM28" s="119"/>
      <c r="NLN28" s="119"/>
      <c r="NLO28" s="119"/>
      <c r="NLP28" s="119"/>
      <c r="NLQ28" s="119"/>
      <c r="NLR28" s="119"/>
      <c r="NLS28" s="119"/>
      <c r="NLT28" s="119"/>
      <c r="NLU28" s="119"/>
      <c r="NLV28" s="119"/>
      <c r="NLW28" s="119"/>
      <c r="NLX28" s="119"/>
      <c r="NLY28" s="119"/>
      <c r="NLZ28" s="119"/>
      <c r="NMA28" s="119"/>
      <c r="NMB28" s="119"/>
      <c r="NMC28" s="119"/>
      <c r="NMD28" s="119"/>
      <c r="NME28" s="119"/>
      <c r="NMF28" s="119"/>
      <c r="NMG28" s="119"/>
      <c r="NMH28" s="119"/>
      <c r="NMI28" s="119"/>
      <c r="NMJ28" s="119"/>
      <c r="NMK28" s="119"/>
      <c r="NML28" s="119"/>
      <c r="NMM28" s="119"/>
      <c r="NMN28" s="119"/>
      <c r="NMO28" s="119"/>
      <c r="NMP28" s="119"/>
      <c r="NMQ28" s="119"/>
      <c r="NMR28" s="119"/>
      <c r="NMS28" s="119"/>
      <c r="NMT28" s="119"/>
      <c r="NMU28" s="119"/>
      <c r="NMV28" s="119"/>
      <c r="NMW28" s="119"/>
      <c r="NMX28" s="119"/>
      <c r="NMY28" s="119"/>
      <c r="NMZ28" s="119"/>
      <c r="NNA28" s="119"/>
      <c r="NNB28" s="119"/>
      <c r="NNC28" s="119"/>
      <c r="NND28" s="119"/>
      <c r="NNE28" s="119"/>
      <c r="NNF28" s="119"/>
      <c r="NNG28" s="119"/>
      <c r="NNH28" s="119"/>
      <c r="NNI28" s="119"/>
      <c r="NNJ28" s="119"/>
      <c r="NNK28" s="119"/>
      <c r="NNL28" s="119"/>
      <c r="NNM28" s="119"/>
      <c r="NNN28" s="119"/>
      <c r="NNO28" s="119"/>
      <c r="NNP28" s="119"/>
      <c r="NNQ28" s="119"/>
      <c r="NNR28" s="119"/>
      <c r="NNS28" s="119"/>
      <c r="NNT28" s="119"/>
      <c r="NNU28" s="119"/>
      <c r="NNV28" s="119"/>
      <c r="NNW28" s="119"/>
      <c r="NNX28" s="119"/>
      <c r="NNY28" s="119"/>
      <c r="NNZ28" s="119"/>
      <c r="NOA28" s="119"/>
      <c r="NOB28" s="119"/>
      <c r="NOC28" s="119"/>
      <c r="NOD28" s="119"/>
      <c r="NOE28" s="119"/>
      <c r="NOF28" s="119"/>
      <c r="NOG28" s="119"/>
      <c r="NOH28" s="119"/>
      <c r="NOI28" s="119"/>
      <c r="NOJ28" s="119"/>
      <c r="NOK28" s="119"/>
      <c r="NOL28" s="119"/>
      <c r="NOM28" s="119"/>
      <c r="NON28" s="119"/>
      <c r="NOO28" s="119"/>
      <c r="NOP28" s="119"/>
      <c r="NOQ28" s="119"/>
      <c r="NOR28" s="119"/>
      <c r="NOS28" s="119"/>
      <c r="NOT28" s="119"/>
      <c r="NOU28" s="119"/>
      <c r="NOV28" s="119"/>
      <c r="NOW28" s="119"/>
      <c r="NOX28" s="119"/>
      <c r="NOY28" s="119"/>
      <c r="NOZ28" s="119"/>
      <c r="NPA28" s="119"/>
      <c r="NPB28" s="119"/>
      <c r="NPC28" s="119"/>
      <c r="NPD28" s="119"/>
      <c r="NPE28" s="119"/>
      <c r="NPF28" s="119"/>
      <c r="NPG28" s="119"/>
      <c r="NPH28" s="119"/>
      <c r="NPI28" s="119"/>
      <c r="NPJ28" s="119"/>
      <c r="NPK28" s="119"/>
      <c r="NPL28" s="119"/>
      <c r="NPM28" s="119"/>
      <c r="NPN28" s="119"/>
      <c r="NPO28" s="119"/>
      <c r="NPP28" s="119"/>
      <c r="NPQ28" s="119"/>
      <c r="NPR28" s="119"/>
      <c r="NPS28" s="119"/>
      <c r="NPT28" s="119"/>
      <c r="NPU28" s="119"/>
      <c r="NPV28" s="119"/>
      <c r="NPW28" s="119"/>
      <c r="NPX28" s="119"/>
      <c r="NPY28" s="119"/>
      <c r="NPZ28" s="119"/>
      <c r="NQA28" s="119"/>
      <c r="NQB28" s="119"/>
      <c r="NQC28" s="119"/>
      <c r="NQD28" s="119"/>
      <c r="NQE28" s="119"/>
      <c r="NQF28" s="119"/>
      <c r="NQG28" s="119"/>
      <c r="NQH28" s="119"/>
      <c r="NQI28" s="119"/>
      <c r="NQJ28" s="119"/>
      <c r="NQK28" s="119"/>
      <c r="NQL28" s="119"/>
      <c r="NQM28" s="119"/>
      <c r="NQN28" s="119"/>
      <c r="NQO28" s="119"/>
      <c r="NQP28" s="119"/>
      <c r="NQQ28" s="119"/>
      <c r="NQR28" s="119"/>
      <c r="NQS28" s="119"/>
      <c r="NQT28" s="119"/>
      <c r="NQU28" s="119"/>
      <c r="NQV28" s="119"/>
      <c r="NQW28" s="119"/>
      <c r="NQX28" s="119"/>
      <c r="NQY28" s="119"/>
      <c r="NQZ28" s="119"/>
      <c r="NRA28" s="119"/>
      <c r="NRB28" s="119"/>
      <c r="NRC28" s="119"/>
      <c r="NRD28" s="119"/>
      <c r="NRE28" s="119"/>
      <c r="NRF28" s="119"/>
      <c r="NRG28" s="119"/>
      <c r="NRH28" s="119"/>
      <c r="NRI28" s="119"/>
      <c r="NRJ28" s="119"/>
      <c r="NRK28" s="119"/>
      <c r="NRL28" s="119"/>
      <c r="NRM28" s="119"/>
      <c r="NRN28" s="119"/>
      <c r="NRO28" s="119"/>
      <c r="NRP28" s="119"/>
      <c r="NRQ28" s="119"/>
      <c r="NRR28" s="119"/>
      <c r="NRS28" s="119"/>
      <c r="NRT28" s="119"/>
      <c r="NRU28" s="119"/>
      <c r="NRV28" s="119"/>
      <c r="NRW28" s="119"/>
      <c r="NRX28" s="119"/>
      <c r="NRY28" s="119"/>
      <c r="NRZ28" s="119"/>
      <c r="NSA28" s="119"/>
      <c r="NSB28" s="119"/>
      <c r="NSC28" s="119"/>
      <c r="NSD28" s="119"/>
      <c r="NSE28" s="119"/>
      <c r="NSF28" s="119"/>
      <c r="NSG28" s="119"/>
      <c r="NSH28" s="119"/>
      <c r="NSI28" s="119"/>
      <c r="NSJ28" s="119"/>
      <c r="NSK28" s="119"/>
      <c r="NSL28" s="119"/>
      <c r="NSM28" s="119"/>
      <c r="NSN28" s="119"/>
      <c r="NSO28" s="119"/>
      <c r="NSP28" s="119"/>
      <c r="NSQ28" s="119"/>
      <c r="NSR28" s="119"/>
      <c r="NSS28" s="119"/>
      <c r="NST28" s="119"/>
      <c r="NSU28" s="119"/>
      <c r="NSV28" s="119"/>
      <c r="NSW28" s="119"/>
      <c r="NSX28" s="119"/>
      <c r="NSY28" s="119"/>
      <c r="NSZ28" s="119"/>
      <c r="NTA28" s="119"/>
      <c r="NTB28" s="119"/>
      <c r="NTC28" s="119"/>
      <c r="NTD28" s="119"/>
      <c r="NTE28" s="119"/>
      <c r="NTF28" s="119"/>
      <c r="NTG28" s="119"/>
      <c r="NTH28" s="119"/>
      <c r="NTI28" s="119"/>
      <c r="NTJ28" s="119"/>
      <c r="NTK28" s="119"/>
      <c r="NTL28" s="119"/>
      <c r="NTM28" s="119"/>
      <c r="NTN28" s="119"/>
      <c r="NTO28" s="119"/>
      <c r="NTP28" s="119"/>
      <c r="NTQ28" s="119"/>
      <c r="NTR28" s="119"/>
      <c r="NTS28" s="119"/>
      <c r="NTT28" s="119"/>
      <c r="NTU28" s="119"/>
      <c r="NTV28" s="119"/>
      <c r="NTW28" s="119"/>
      <c r="NTX28" s="119"/>
      <c r="NTY28" s="119"/>
      <c r="NTZ28" s="119"/>
      <c r="NUA28" s="119"/>
      <c r="NUB28" s="119"/>
      <c r="NUC28" s="119"/>
      <c r="NUD28" s="119"/>
      <c r="NUE28" s="119"/>
      <c r="NUF28" s="119"/>
      <c r="NUG28" s="119"/>
      <c r="NUH28" s="119"/>
      <c r="NUI28" s="119"/>
      <c r="NUJ28" s="119"/>
      <c r="NUK28" s="119"/>
      <c r="NUL28" s="119"/>
      <c r="NUM28" s="119"/>
      <c r="NUN28" s="119"/>
      <c r="NUO28" s="119"/>
      <c r="NUP28" s="119"/>
      <c r="NUQ28" s="119"/>
      <c r="NUR28" s="119"/>
      <c r="NUS28" s="119"/>
      <c r="NUT28" s="119"/>
      <c r="NUU28" s="119"/>
      <c r="NUV28" s="119"/>
      <c r="NUW28" s="119"/>
      <c r="NUX28" s="119"/>
      <c r="NUY28" s="119"/>
      <c r="NUZ28" s="119"/>
      <c r="NVA28" s="119"/>
      <c r="NVB28" s="119"/>
      <c r="NVC28" s="119"/>
      <c r="NVD28" s="119"/>
      <c r="NVE28" s="119"/>
      <c r="NVF28" s="119"/>
      <c r="NVG28" s="119"/>
      <c r="NVH28" s="119"/>
      <c r="NVI28" s="119"/>
      <c r="NVJ28" s="119"/>
      <c r="NVK28" s="119"/>
      <c r="NVL28" s="119"/>
      <c r="NVM28" s="119"/>
      <c r="NVN28" s="119"/>
      <c r="NVO28" s="119"/>
      <c r="NVP28" s="119"/>
      <c r="NVQ28" s="119"/>
      <c r="NVR28" s="119"/>
      <c r="NVS28" s="119"/>
      <c r="NVT28" s="119"/>
      <c r="NVU28" s="119"/>
      <c r="NVV28" s="119"/>
      <c r="NVW28" s="119"/>
      <c r="NVX28" s="119"/>
      <c r="NVY28" s="119"/>
      <c r="NVZ28" s="119"/>
      <c r="NWA28" s="119"/>
      <c r="NWB28" s="119"/>
      <c r="NWC28" s="119"/>
      <c r="NWD28" s="119"/>
      <c r="NWE28" s="119"/>
      <c r="NWF28" s="119"/>
      <c r="NWG28" s="119"/>
      <c r="NWH28" s="119"/>
      <c r="NWI28" s="119"/>
      <c r="NWJ28" s="119"/>
      <c r="NWK28" s="119"/>
      <c r="NWL28" s="119"/>
      <c r="NWM28" s="119"/>
      <c r="NWN28" s="119"/>
      <c r="NWO28" s="119"/>
      <c r="NWP28" s="119"/>
      <c r="NWQ28" s="119"/>
      <c r="NWR28" s="119"/>
      <c r="NWS28" s="119"/>
      <c r="NWT28" s="119"/>
      <c r="NWU28" s="119"/>
      <c r="NWV28" s="119"/>
      <c r="NWW28" s="119"/>
      <c r="NWX28" s="119"/>
      <c r="NWY28" s="119"/>
      <c r="NWZ28" s="119"/>
      <c r="NXA28" s="119"/>
      <c r="NXB28" s="119"/>
      <c r="NXC28" s="119"/>
      <c r="NXD28" s="119"/>
      <c r="NXE28" s="119"/>
      <c r="NXF28" s="119"/>
      <c r="NXG28" s="119"/>
      <c r="NXH28" s="119"/>
      <c r="NXI28" s="119"/>
      <c r="NXJ28" s="119"/>
      <c r="NXK28" s="119"/>
      <c r="NXL28" s="119"/>
      <c r="NXM28" s="119"/>
      <c r="NXN28" s="119"/>
      <c r="NXO28" s="119"/>
      <c r="NXP28" s="119"/>
      <c r="NXQ28" s="119"/>
      <c r="NXR28" s="119"/>
      <c r="NXS28" s="119"/>
      <c r="NXT28" s="119"/>
      <c r="NXU28" s="119"/>
      <c r="NXV28" s="119"/>
      <c r="NXW28" s="119"/>
      <c r="NXX28" s="119"/>
      <c r="NXY28" s="119"/>
      <c r="NXZ28" s="119"/>
      <c r="NYA28" s="119"/>
      <c r="NYB28" s="119"/>
      <c r="NYC28" s="119"/>
      <c r="NYD28" s="119"/>
      <c r="NYE28" s="119"/>
      <c r="NYF28" s="119"/>
      <c r="NYG28" s="119"/>
      <c r="NYH28" s="119"/>
      <c r="NYI28" s="119"/>
      <c r="NYJ28" s="119"/>
      <c r="NYK28" s="119"/>
      <c r="NYL28" s="119"/>
      <c r="NYM28" s="119"/>
      <c r="NYN28" s="119"/>
      <c r="NYO28" s="119"/>
      <c r="NYP28" s="119"/>
      <c r="NYQ28" s="119"/>
      <c r="NYR28" s="119"/>
      <c r="NYS28" s="119"/>
      <c r="NYT28" s="119"/>
      <c r="NYU28" s="119"/>
      <c r="NYV28" s="119"/>
      <c r="NYW28" s="119"/>
      <c r="NYX28" s="119"/>
      <c r="NYY28" s="119"/>
      <c r="NYZ28" s="119"/>
      <c r="NZA28" s="119"/>
      <c r="NZB28" s="119"/>
      <c r="NZC28" s="119"/>
      <c r="NZD28" s="119"/>
      <c r="NZE28" s="119"/>
      <c r="NZF28" s="119"/>
      <c r="NZG28" s="119"/>
      <c r="NZH28" s="119"/>
      <c r="NZI28" s="119"/>
      <c r="NZJ28" s="119"/>
      <c r="NZK28" s="119"/>
      <c r="NZL28" s="119"/>
      <c r="NZM28" s="119"/>
      <c r="NZN28" s="119"/>
      <c r="NZO28" s="119"/>
      <c r="NZP28" s="119"/>
      <c r="NZQ28" s="119"/>
      <c r="NZR28" s="119"/>
      <c r="NZS28" s="119"/>
      <c r="NZT28" s="119"/>
      <c r="NZU28" s="119"/>
      <c r="NZV28" s="119"/>
      <c r="NZW28" s="119"/>
      <c r="NZX28" s="119"/>
      <c r="NZY28" s="119"/>
      <c r="NZZ28" s="119"/>
      <c r="OAA28" s="119"/>
      <c r="OAB28" s="119"/>
      <c r="OAC28" s="119"/>
      <c r="OAD28" s="119"/>
      <c r="OAE28" s="119"/>
      <c r="OAF28" s="119"/>
      <c r="OAG28" s="119"/>
      <c r="OAH28" s="119"/>
      <c r="OAI28" s="119"/>
      <c r="OAJ28" s="119"/>
      <c r="OAK28" s="119"/>
      <c r="OAL28" s="119"/>
      <c r="OAM28" s="119"/>
      <c r="OAN28" s="119"/>
      <c r="OAO28" s="119"/>
      <c r="OAP28" s="119"/>
      <c r="OAQ28" s="119"/>
      <c r="OAR28" s="119"/>
      <c r="OAS28" s="119"/>
      <c r="OAT28" s="119"/>
      <c r="OAU28" s="119"/>
      <c r="OAV28" s="119"/>
      <c r="OAW28" s="119"/>
      <c r="OAX28" s="119"/>
      <c r="OAY28" s="119"/>
      <c r="OAZ28" s="119"/>
      <c r="OBA28" s="119"/>
      <c r="OBB28" s="119"/>
      <c r="OBC28" s="119"/>
      <c r="OBD28" s="119"/>
      <c r="OBE28" s="119"/>
      <c r="OBF28" s="119"/>
      <c r="OBG28" s="119"/>
      <c r="OBH28" s="119"/>
      <c r="OBI28" s="119"/>
      <c r="OBJ28" s="119"/>
      <c r="OBK28" s="119"/>
      <c r="OBL28" s="119"/>
      <c r="OBM28" s="119"/>
      <c r="OBN28" s="119"/>
      <c r="OBO28" s="119"/>
      <c r="OBP28" s="119"/>
      <c r="OBQ28" s="119"/>
      <c r="OBR28" s="119"/>
      <c r="OBS28" s="119"/>
      <c r="OBT28" s="119"/>
      <c r="OBU28" s="119"/>
      <c r="OBV28" s="119"/>
      <c r="OBW28" s="119"/>
      <c r="OBX28" s="119"/>
      <c r="OBY28" s="119"/>
      <c r="OBZ28" s="119"/>
      <c r="OCA28" s="119"/>
      <c r="OCB28" s="119"/>
      <c r="OCC28" s="119"/>
      <c r="OCD28" s="119"/>
      <c r="OCE28" s="119"/>
      <c r="OCF28" s="119"/>
      <c r="OCG28" s="119"/>
      <c r="OCH28" s="119"/>
      <c r="OCI28" s="119"/>
      <c r="OCJ28" s="119"/>
      <c r="OCK28" s="119"/>
      <c r="OCL28" s="119"/>
      <c r="OCM28" s="119"/>
      <c r="OCN28" s="119"/>
      <c r="OCO28" s="119"/>
      <c r="OCP28" s="119"/>
      <c r="OCQ28" s="119"/>
      <c r="OCR28" s="119"/>
      <c r="OCS28" s="119"/>
      <c r="OCT28" s="119"/>
      <c r="OCU28" s="119"/>
      <c r="OCV28" s="119"/>
      <c r="OCW28" s="119"/>
      <c r="OCX28" s="119"/>
      <c r="OCY28" s="119"/>
      <c r="OCZ28" s="119"/>
      <c r="ODA28" s="119"/>
      <c r="ODB28" s="119"/>
      <c r="ODC28" s="119"/>
      <c r="ODD28" s="119"/>
      <c r="ODE28" s="119"/>
      <c r="ODF28" s="119"/>
      <c r="ODG28" s="119"/>
      <c r="ODH28" s="119"/>
      <c r="ODI28" s="119"/>
      <c r="ODJ28" s="119"/>
      <c r="ODK28" s="119"/>
      <c r="ODL28" s="119"/>
      <c r="ODM28" s="119"/>
      <c r="ODN28" s="119"/>
      <c r="ODO28" s="119"/>
      <c r="ODP28" s="119"/>
      <c r="ODQ28" s="119"/>
      <c r="ODR28" s="119"/>
      <c r="ODS28" s="119"/>
      <c r="ODT28" s="119"/>
      <c r="ODU28" s="119"/>
      <c r="ODV28" s="119"/>
      <c r="ODW28" s="119"/>
      <c r="ODX28" s="119"/>
      <c r="ODY28" s="119"/>
      <c r="ODZ28" s="119"/>
      <c r="OEA28" s="119"/>
      <c r="OEB28" s="119"/>
      <c r="OEC28" s="119"/>
      <c r="OED28" s="119"/>
      <c r="OEE28" s="119"/>
      <c r="OEF28" s="119"/>
      <c r="OEG28" s="119"/>
      <c r="OEH28" s="119"/>
      <c r="OEI28" s="119"/>
      <c r="OEJ28" s="119"/>
      <c r="OEK28" s="119"/>
      <c r="OEL28" s="119"/>
      <c r="OEM28" s="119"/>
      <c r="OEN28" s="119"/>
      <c r="OEO28" s="119"/>
      <c r="OEP28" s="119"/>
      <c r="OEQ28" s="119"/>
      <c r="OER28" s="119"/>
      <c r="OES28" s="119"/>
      <c r="OET28" s="119"/>
      <c r="OEU28" s="119"/>
      <c r="OEV28" s="119"/>
      <c r="OEW28" s="119"/>
      <c r="OEX28" s="119"/>
      <c r="OEY28" s="119"/>
      <c r="OEZ28" s="119"/>
      <c r="OFA28" s="119"/>
      <c r="OFB28" s="119"/>
      <c r="OFC28" s="119"/>
      <c r="OFD28" s="119"/>
      <c r="OFE28" s="119"/>
      <c r="OFF28" s="119"/>
      <c r="OFG28" s="119"/>
      <c r="OFH28" s="119"/>
      <c r="OFI28" s="119"/>
      <c r="OFJ28" s="119"/>
      <c r="OFK28" s="119"/>
      <c r="OFL28" s="119"/>
      <c r="OFM28" s="119"/>
      <c r="OFN28" s="119"/>
      <c r="OFO28" s="119"/>
      <c r="OFP28" s="119"/>
      <c r="OFQ28" s="119"/>
      <c r="OFR28" s="119"/>
      <c r="OFS28" s="119"/>
      <c r="OFT28" s="119"/>
      <c r="OFU28" s="119"/>
      <c r="OFV28" s="119"/>
      <c r="OFW28" s="119"/>
      <c r="OFX28" s="119"/>
      <c r="OFY28" s="119"/>
      <c r="OFZ28" s="119"/>
      <c r="OGA28" s="119"/>
      <c r="OGB28" s="119"/>
      <c r="OGC28" s="119"/>
      <c r="OGD28" s="119"/>
      <c r="OGE28" s="119"/>
      <c r="OGF28" s="119"/>
      <c r="OGG28" s="119"/>
      <c r="OGH28" s="119"/>
      <c r="OGI28" s="119"/>
      <c r="OGJ28" s="119"/>
      <c r="OGK28" s="119"/>
      <c r="OGL28" s="119"/>
      <c r="OGM28" s="119"/>
      <c r="OGN28" s="119"/>
      <c r="OGO28" s="119"/>
      <c r="OGP28" s="119"/>
      <c r="OGQ28" s="119"/>
      <c r="OGR28" s="119"/>
      <c r="OGS28" s="119"/>
      <c r="OGT28" s="119"/>
      <c r="OGU28" s="119"/>
      <c r="OGV28" s="119"/>
      <c r="OGW28" s="119"/>
      <c r="OGX28" s="119"/>
      <c r="OGY28" s="119"/>
      <c r="OGZ28" s="119"/>
      <c r="OHA28" s="119"/>
      <c r="OHB28" s="119"/>
      <c r="OHC28" s="119"/>
      <c r="OHD28" s="119"/>
      <c r="OHE28" s="119"/>
      <c r="OHF28" s="119"/>
      <c r="OHG28" s="119"/>
      <c r="OHH28" s="119"/>
      <c r="OHI28" s="119"/>
      <c r="OHJ28" s="119"/>
      <c r="OHK28" s="119"/>
      <c r="OHL28" s="119"/>
      <c r="OHM28" s="119"/>
      <c r="OHN28" s="119"/>
      <c r="OHO28" s="119"/>
      <c r="OHP28" s="119"/>
      <c r="OHQ28" s="119"/>
      <c r="OHR28" s="119"/>
      <c r="OHS28" s="119"/>
      <c r="OHT28" s="119"/>
      <c r="OHU28" s="119"/>
      <c r="OHV28" s="119"/>
      <c r="OHW28" s="119"/>
      <c r="OHX28" s="119"/>
      <c r="OHY28" s="119"/>
      <c r="OHZ28" s="119"/>
      <c r="OIA28" s="119"/>
      <c r="OIB28" s="119"/>
      <c r="OIC28" s="119"/>
      <c r="OID28" s="119"/>
      <c r="OIE28" s="119"/>
      <c r="OIF28" s="119"/>
      <c r="OIG28" s="119"/>
      <c r="OIH28" s="119"/>
      <c r="OII28" s="119"/>
      <c r="OIJ28" s="119"/>
      <c r="OIK28" s="119"/>
      <c r="OIL28" s="119"/>
      <c r="OIM28" s="119"/>
      <c r="OIN28" s="119"/>
      <c r="OIO28" s="119"/>
      <c r="OIP28" s="119"/>
      <c r="OIQ28" s="119"/>
      <c r="OIR28" s="119"/>
      <c r="OIS28" s="119"/>
      <c r="OIT28" s="119"/>
      <c r="OIU28" s="119"/>
      <c r="OIV28" s="119"/>
      <c r="OIW28" s="119"/>
      <c r="OIX28" s="119"/>
      <c r="OIY28" s="119"/>
      <c r="OIZ28" s="119"/>
      <c r="OJA28" s="119"/>
      <c r="OJB28" s="119"/>
      <c r="OJC28" s="119"/>
      <c r="OJD28" s="119"/>
      <c r="OJE28" s="119"/>
      <c r="OJF28" s="119"/>
      <c r="OJG28" s="119"/>
      <c r="OJH28" s="119"/>
      <c r="OJI28" s="119"/>
      <c r="OJJ28" s="119"/>
      <c r="OJK28" s="119"/>
      <c r="OJL28" s="119"/>
      <c r="OJM28" s="119"/>
      <c r="OJN28" s="119"/>
      <c r="OJO28" s="119"/>
      <c r="OJP28" s="119"/>
      <c r="OJQ28" s="119"/>
      <c r="OJR28" s="119"/>
      <c r="OJS28" s="119"/>
      <c r="OJT28" s="119"/>
      <c r="OJU28" s="119"/>
      <c r="OJV28" s="119"/>
      <c r="OJW28" s="119"/>
      <c r="OJX28" s="119"/>
      <c r="OJY28" s="119"/>
      <c r="OJZ28" s="119"/>
      <c r="OKA28" s="119"/>
      <c r="OKB28" s="119"/>
      <c r="OKC28" s="119"/>
      <c r="OKD28" s="119"/>
      <c r="OKE28" s="119"/>
      <c r="OKF28" s="119"/>
      <c r="OKG28" s="119"/>
      <c r="OKH28" s="119"/>
      <c r="OKI28" s="119"/>
      <c r="OKJ28" s="119"/>
      <c r="OKK28" s="119"/>
      <c r="OKL28" s="119"/>
      <c r="OKM28" s="119"/>
      <c r="OKN28" s="119"/>
      <c r="OKO28" s="119"/>
      <c r="OKP28" s="119"/>
      <c r="OKQ28" s="119"/>
      <c r="OKR28" s="119"/>
      <c r="OKS28" s="119"/>
      <c r="OKT28" s="119"/>
      <c r="OKU28" s="119"/>
      <c r="OKV28" s="119"/>
      <c r="OKW28" s="119"/>
      <c r="OKX28" s="119"/>
      <c r="OKY28" s="119"/>
      <c r="OKZ28" s="119"/>
      <c r="OLA28" s="119"/>
      <c r="OLB28" s="119"/>
      <c r="OLC28" s="119"/>
      <c r="OLD28" s="119"/>
      <c r="OLE28" s="119"/>
      <c r="OLF28" s="119"/>
      <c r="OLG28" s="119"/>
      <c r="OLH28" s="119"/>
      <c r="OLI28" s="119"/>
      <c r="OLJ28" s="119"/>
      <c r="OLK28" s="119"/>
      <c r="OLL28" s="119"/>
      <c r="OLM28" s="119"/>
      <c r="OLN28" s="119"/>
      <c r="OLO28" s="119"/>
      <c r="OLP28" s="119"/>
      <c r="OLQ28" s="119"/>
      <c r="OLR28" s="119"/>
      <c r="OLS28" s="119"/>
      <c r="OLT28" s="119"/>
      <c r="OLU28" s="119"/>
      <c r="OLV28" s="119"/>
      <c r="OLW28" s="119"/>
      <c r="OLX28" s="119"/>
      <c r="OLY28" s="119"/>
      <c r="OLZ28" s="119"/>
      <c r="OMA28" s="119"/>
      <c r="OMB28" s="119"/>
      <c r="OMC28" s="119"/>
      <c r="OMD28" s="119"/>
      <c r="OME28" s="119"/>
      <c r="OMF28" s="119"/>
      <c r="OMG28" s="119"/>
      <c r="OMH28" s="119"/>
      <c r="OMI28" s="119"/>
      <c r="OMJ28" s="119"/>
      <c r="OMK28" s="119"/>
      <c r="OML28" s="119"/>
      <c r="OMM28" s="119"/>
      <c r="OMN28" s="119"/>
      <c r="OMO28" s="119"/>
      <c r="OMP28" s="119"/>
      <c r="OMQ28" s="119"/>
      <c r="OMR28" s="119"/>
      <c r="OMS28" s="119"/>
      <c r="OMT28" s="119"/>
      <c r="OMU28" s="119"/>
      <c r="OMV28" s="119"/>
      <c r="OMW28" s="119"/>
      <c r="OMX28" s="119"/>
      <c r="OMY28" s="119"/>
      <c r="OMZ28" s="119"/>
      <c r="ONA28" s="119"/>
      <c r="ONB28" s="119"/>
      <c r="ONC28" s="119"/>
      <c r="OND28" s="119"/>
      <c r="ONE28" s="119"/>
      <c r="ONF28" s="119"/>
      <c r="ONG28" s="119"/>
      <c r="ONH28" s="119"/>
      <c r="ONI28" s="119"/>
      <c r="ONJ28" s="119"/>
      <c r="ONK28" s="119"/>
      <c r="ONL28" s="119"/>
      <c r="ONM28" s="119"/>
      <c r="ONN28" s="119"/>
      <c r="ONO28" s="119"/>
      <c r="ONP28" s="119"/>
      <c r="ONQ28" s="119"/>
      <c r="ONR28" s="119"/>
      <c r="ONS28" s="119"/>
      <c r="ONT28" s="119"/>
      <c r="ONU28" s="119"/>
      <c r="ONV28" s="119"/>
      <c r="ONW28" s="119"/>
      <c r="ONX28" s="119"/>
      <c r="ONY28" s="119"/>
      <c r="ONZ28" s="119"/>
      <c r="OOA28" s="119"/>
      <c r="OOB28" s="119"/>
      <c r="OOC28" s="119"/>
      <c r="OOD28" s="119"/>
      <c r="OOE28" s="119"/>
      <c r="OOF28" s="119"/>
      <c r="OOG28" s="119"/>
      <c r="OOH28" s="119"/>
      <c r="OOI28" s="119"/>
      <c r="OOJ28" s="119"/>
      <c r="OOK28" s="119"/>
      <c r="OOL28" s="119"/>
      <c r="OOM28" s="119"/>
      <c r="OON28" s="119"/>
      <c r="OOO28" s="119"/>
      <c r="OOP28" s="119"/>
      <c r="OOQ28" s="119"/>
      <c r="OOR28" s="119"/>
      <c r="OOS28" s="119"/>
      <c r="OOT28" s="119"/>
      <c r="OOU28" s="119"/>
      <c r="OOV28" s="119"/>
      <c r="OOW28" s="119"/>
      <c r="OOX28" s="119"/>
      <c r="OOY28" s="119"/>
      <c r="OOZ28" s="119"/>
      <c r="OPA28" s="119"/>
      <c r="OPB28" s="119"/>
      <c r="OPC28" s="119"/>
      <c r="OPD28" s="119"/>
      <c r="OPE28" s="119"/>
      <c r="OPF28" s="119"/>
      <c r="OPG28" s="119"/>
      <c r="OPH28" s="119"/>
      <c r="OPI28" s="119"/>
      <c r="OPJ28" s="119"/>
      <c r="OPK28" s="119"/>
      <c r="OPL28" s="119"/>
      <c r="OPM28" s="119"/>
      <c r="OPN28" s="119"/>
      <c r="OPO28" s="119"/>
      <c r="OPP28" s="119"/>
      <c r="OPQ28" s="119"/>
      <c r="OPR28" s="119"/>
      <c r="OPS28" s="119"/>
      <c r="OPT28" s="119"/>
      <c r="OPU28" s="119"/>
      <c r="OPV28" s="119"/>
      <c r="OPW28" s="119"/>
      <c r="OPX28" s="119"/>
      <c r="OPY28" s="119"/>
      <c r="OPZ28" s="119"/>
      <c r="OQA28" s="119"/>
      <c r="OQB28" s="119"/>
      <c r="OQC28" s="119"/>
      <c r="OQD28" s="119"/>
      <c r="OQE28" s="119"/>
      <c r="OQF28" s="119"/>
      <c r="OQG28" s="119"/>
      <c r="OQH28" s="119"/>
      <c r="OQI28" s="119"/>
      <c r="OQJ28" s="119"/>
      <c r="OQK28" s="119"/>
      <c r="OQL28" s="119"/>
      <c r="OQM28" s="119"/>
      <c r="OQN28" s="119"/>
      <c r="OQO28" s="119"/>
      <c r="OQP28" s="119"/>
      <c r="OQQ28" s="119"/>
      <c r="OQR28" s="119"/>
      <c r="OQS28" s="119"/>
      <c r="OQT28" s="119"/>
      <c r="OQU28" s="119"/>
      <c r="OQV28" s="119"/>
      <c r="OQW28" s="119"/>
      <c r="OQX28" s="119"/>
      <c r="OQY28" s="119"/>
      <c r="OQZ28" s="119"/>
      <c r="ORA28" s="119"/>
      <c r="ORB28" s="119"/>
      <c r="ORC28" s="119"/>
      <c r="ORD28" s="119"/>
      <c r="ORE28" s="119"/>
      <c r="ORF28" s="119"/>
      <c r="ORG28" s="119"/>
      <c r="ORH28" s="119"/>
      <c r="ORI28" s="119"/>
      <c r="ORJ28" s="119"/>
      <c r="ORK28" s="119"/>
      <c r="ORL28" s="119"/>
      <c r="ORM28" s="119"/>
      <c r="ORN28" s="119"/>
      <c r="ORO28" s="119"/>
      <c r="ORP28" s="119"/>
      <c r="ORQ28" s="119"/>
      <c r="ORR28" s="119"/>
      <c r="ORS28" s="119"/>
      <c r="ORT28" s="119"/>
      <c r="ORU28" s="119"/>
      <c r="ORV28" s="119"/>
      <c r="ORW28" s="119"/>
      <c r="ORX28" s="119"/>
      <c r="ORY28" s="119"/>
      <c r="ORZ28" s="119"/>
      <c r="OSA28" s="119"/>
      <c r="OSB28" s="119"/>
      <c r="OSC28" s="119"/>
      <c r="OSD28" s="119"/>
      <c r="OSE28" s="119"/>
      <c r="OSF28" s="119"/>
      <c r="OSG28" s="119"/>
      <c r="OSH28" s="119"/>
      <c r="OSI28" s="119"/>
      <c r="OSJ28" s="119"/>
      <c r="OSK28" s="119"/>
      <c r="OSL28" s="119"/>
      <c r="OSM28" s="119"/>
      <c r="OSN28" s="119"/>
      <c r="OSO28" s="119"/>
      <c r="OSP28" s="119"/>
      <c r="OSQ28" s="119"/>
      <c r="OSR28" s="119"/>
      <c r="OSS28" s="119"/>
      <c r="OST28" s="119"/>
      <c r="OSU28" s="119"/>
      <c r="OSV28" s="119"/>
      <c r="OSW28" s="119"/>
      <c r="OSX28" s="119"/>
      <c r="OSY28" s="119"/>
      <c r="OSZ28" s="119"/>
      <c r="OTA28" s="119"/>
      <c r="OTB28" s="119"/>
      <c r="OTC28" s="119"/>
      <c r="OTD28" s="119"/>
      <c r="OTE28" s="119"/>
      <c r="OTF28" s="119"/>
      <c r="OTG28" s="119"/>
      <c r="OTH28" s="119"/>
      <c r="OTI28" s="119"/>
      <c r="OTJ28" s="119"/>
      <c r="OTK28" s="119"/>
      <c r="OTL28" s="119"/>
      <c r="OTM28" s="119"/>
      <c r="OTN28" s="119"/>
      <c r="OTO28" s="119"/>
      <c r="OTP28" s="119"/>
      <c r="OTQ28" s="119"/>
      <c r="OTR28" s="119"/>
      <c r="OTS28" s="119"/>
      <c r="OTT28" s="119"/>
      <c r="OTU28" s="119"/>
      <c r="OTV28" s="119"/>
      <c r="OTW28" s="119"/>
      <c r="OTX28" s="119"/>
      <c r="OTY28" s="119"/>
      <c r="OTZ28" s="119"/>
      <c r="OUA28" s="119"/>
      <c r="OUB28" s="119"/>
      <c r="OUC28" s="119"/>
      <c r="OUD28" s="119"/>
      <c r="OUE28" s="119"/>
      <c r="OUF28" s="119"/>
      <c r="OUG28" s="119"/>
      <c r="OUH28" s="119"/>
      <c r="OUI28" s="119"/>
      <c r="OUJ28" s="119"/>
      <c r="OUK28" s="119"/>
      <c r="OUL28" s="119"/>
      <c r="OUM28" s="119"/>
      <c r="OUN28" s="119"/>
      <c r="OUO28" s="119"/>
      <c r="OUP28" s="119"/>
      <c r="OUQ28" s="119"/>
      <c r="OUR28" s="119"/>
      <c r="OUS28" s="119"/>
      <c r="OUT28" s="119"/>
      <c r="OUU28" s="119"/>
      <c r="OUV28" s="119"/>
      <c r="OUW28" s="119"/>
      <c r="OUX28" s="119"/>
      <c r="OUY28" s="119"/>
      <c r="OUZ28" s="119"/>
      <c r="OVA28" s="119"/>
      <c r="OVB28" s="119"/>
      <c r="OVC28" s="119"/>
      <c r="OVD28" s="119"/>
      <c r="OVE28" s="119"/>
      <c r="OVF28" s="119"/>
      <c r="OVG28" s="119"/>
      <c r="OVH28" s="119"/>
      <c r="OVI28" s="119"/>
      <c r="OVJ28" s="119"/>
      <c r="OVK28" s="119"/>
      <c r="OVL28" s="119"/>
      <c r="OVM28" s="119"/>
      <c r="OVN28" s="119"/>
      <c r="OVO28" s="119"/>
      <c r="OVP28" s="119"/>
      <c r="OVQ28" s="119"/>
      <c r="OVR28" s="119"/>
      <c r="OVS28" s="119"/>
      <c r="OVT28" s="119"/>
      <c r="OVU28" s="119"/>
      <c r="OVV28" s="119"/>
      <c r="OVW28" s="119"/>
      <c r="OVX28" s="119"/>
      <c r="OVY28" s="119"/>
      <c r="OVZ28" s="119"/>
      <c r="OWA28" s="119"/>
      <c r="OWB28" s="119"/>
      <c r="OWC28" s="119"/>
      <c r="OWD28" s="119"/>
      <c r="OWE28" s="119"/>
      <c r="OWF28" s="119"/>
      <c r="OWG28" s="119"/>
      <c r="OWH28" s="119"/>
      <c r="OWI28" s="119"/>
      <c r="OWJ28" s="119"/>
      <c r="OWK28" s="119"/>
      <c r="OWL28" s="119"/>
      <c r="OWM28" s="119"/>
      <c r="OWN28" s="119"/>
      <c r="OWO28" s="119"/>
      <c r="OWP28" s="119"/>
      <c r="OWQ28" s="119"/>
      <c r="OWR28" s="119"/>
      <c r="OWS28" s="119"/>
      <c r="OWT28" s="119"/>
      <c r="OWU28" s="119"/>
      <c r="OWV28" s="119"/>
      <c r="OWW28" s="119"/>
      <c r="OWX28" s="119"/>
      <c r="OWY28" s="119"/>
      <c r="OWZ28" s="119"/>
      <c r="OXA28" s="119"/>
      <c r="OXB28" s="119"/>
      <c r="OXC28" s="119"/>
      <c r="OXD28" s="119"/>
      <c r="OXE28" s="119"/>
      <c r="OXF28" s="119"/>
      <c r="OXG28" s="119"/>
      <c r="OXH28" s="119"/>
      <c r="OXI28" s="119"/>
      <c r="OXJ28" s="119"/>
      <c r="OXK28" s="119"/>
      <c r="OXL28" s="119"/>
      <c r="OXM28" s="119"/>
      <c r="OXN28" s="119"/>
      <c r="OXO28" s="119"/>
      <c r="OXP28" s="119"/>
      <c r="OXQ28" s="119"/>
      <c r="OXR28" s="119"/>
      <c r="OXS28" s="119"/>
      <c r="OXT28" s="119"/>
      <c r="OXU28" s="119"/>
      <c r="OXV28" s="119"/>
      <c r="OXW28" s="119"/>
      <c r="OXX28" s="119"/>
      <c r="OXY28" s="119"/>
      <c r="OXZ28" s="119"/>
      <c r="OYA28" s="119"/>
      <c r="OYB28" s="119"/>
      <c r="OYC28" s="119"/>
      <c r="OYD28" s="119"/>
      <c r="OYE28" s="119"/>
      <c r="OYF28" s="119"/>
      <c r="OYG28" s="119"/>
      <c r="OYH28" s="119"/>
      <c r="OYI28" s="119"/>
      <c r="OYJ28" s="119"/>
      <c r="OYK28" s="119"/>
      <c r="OYL28" s="119"/>
      <c r="OYM28" s="119"/>
      <c r="OYN28" s="119"/>
      <c r="OYO28" s="119"/>
      <c r="OYP28" s="119"/>
      <c r="OYQ28" s="119"/>
      <c r="OYR28" s="119"/>
      <c r="OYS28" s="119"/>
      <c r="OYT28" s="119"/>
      <c r="OYU28" s="119"/>
      <c r="OYV28" s="119"/>
      <c r="OYW28" s="119"/>
      <c r="OYX28" s="119"/>
      <c r="OYY28" s="119"/>
      <c r="OYZ28" s="119"/>
      <c r="OZA28" s="119"/>
      <c r="OZB28" s="119"/>
      <c r="OZC28" s="119"/>
      <c r="OZD28" s="119"/>
      <c r="OZE28" s="119"/>
      <c r="OZF28" s="119"/>
      <c r="OZG28" s="119"/>
      <c r="OZH28" s="119"/>
      <c r="OZI28" s="119"/>
      <c r="OZJ28" s="119"/>
      <c r="OZK28" s="119"/>
      <c r="OZL28" s="119"/>
      <c r="OZM28" s="119"/>
      <c r="OZN28" s="119"/>
      <c r="OZO28" s="119"/>
      <c r="OZP28" s="119"/>
      <c r="OZQ28" s="119"/>
      <c r="OZR28" s="119"/>
      <c r="OZS28" s="119"/>
      <c r="OZT28" s="119"/>
      <c r="OZU28" s="119"/>
      <c r="OZV28" s="119"/>
      <c r="OZW28" s="119"/>
      <c r="OZX28" s="119"/>
      <c r="OZY28" s="119"/>
      <c r="OZZ28" s="119"/>
      <c r="PAA28" s="119"/>
      <c r="PAB28" s="119"/>
      <c r="PAC28" s="119"/>
      <c r="PAD28" s="119"/>
      <c r="PAE28" s="119"/>
      <c r="PAF28" s="119"/>
      <c r="PAG28" s="119"/>
      <c r="PAH28" s="119"/>
      <c r="PAI28" s="119"/>
      <c r="PAJ28" s="119"/>
      <c r="PAK28" s="119"/>
      <c r="PAL28" s="119"/>
      <c r="PAM28" s="119"/>
      <c r="PAN28" s="119"/>
      <c r="PAO28" s="119"/>
      <c r="PAP28" s="119"/>
      <c r="PAQ28" s="119"/>
      <c r="PAR28" s="119"/>
      <c r="PAS28" s="119"/>
      <c r="PAT28" s="119"/>
      <c r="PAU28" s="119"/>
      <c r="PAV28" s="119"/>
      <c r="PAW28" s="119"/>
      <c r="PAX28" s="119"/>
      <c r="PAY28" s="119"/>
      <c r="PAZ28" s="119"/>
      <c r="PBA28" s="119"/>
      <c r="PBB28" s="119"/>
      <c r="PBC28" s="119"/>
      <c r="PBD28" s="119"/>
      <c r="PBE28" s="119"/>
      <c r="PBF28" s="119"/>
      <c r="PBG28" s="119"/>
      <c r="PBH28" s="119"/>
      <c r="PBI28" s="119"/>
      <c r="PBJ28" s="119"/>
      <c r="PBK28" s="119"/>
      <c r="PBL28" s="119"/>
      <c r="PBM28" s="119"/>
      <c r="PBN28" s="119"/>
      <c r="PBO28" s="119"/>
      <c r="PBP28" s="119"/>
      <c r="PBQ28" s="119"/>
      <c r="PBR28" s="119"/>
      <c r="PBS28" s="119"/>
      <c r="PBT28" s="119"/>
      <c r="PBU28" s="119"/>
      <c r="PBV28" s="119"/>
      <c r="PBW28" s="119"/>
      <c r="PBX28" s="119"/>
      <c r="PBY28" s="119"/>
      <c r="PBZ28" s="119"/>
      <c r="PCA28" s="119"/>
      <c r="PCB28" s="119"/>
      <c r="PCC28" s="119"/>
      <c r="PCD28" s="119"/>
      <c r="PCE28" s="119"/>
      <c r="PCF28" s="119"/>
      <c r="PCG28" s="119"/>
      <c r="PCH28" s="119"/>
      <c r="PCI28" s="119"/>
      <c r="PCJ28" s="119"/>
      <c r="PCK28" s="119"/>
      <c r="PCL28" s="119"/>
      <c r="PCM28" s="119"/>
      <c r="PCN28" s="119"/>
      <c r="PCO28" s="119"/>
      <c r="PCP28" s="119"/>
      <c r="PCQ28" s="119"/>
      <c r="PCR28" s="119"/>
      <c r="PCS28" s="119"/>
      <c r="PCT28" s="119"/>
      <c r="PCU28" s="119"/>
      <c r="PCV28" s="119"/>
      <c r="PCW28" s="119"/>
      <c r="PCX28" s="119"/>
      <c r="PCY28" s="119"/>
      <c r="PCZ28" s="119"/>
      <c r="PDA28" s="119"/>
      <c r="PDB28" s="119"/>
      <c r="PDC28" s="119"/>
      <c r="PDD28" s="119"/>
      <c r="PDE28" s="119"/>
      <c r="PDF28" s="119"/>
      <c r="PDG28" s="119"/>
      <c r="PDH28" s="119"/>
      <c r="PDI28" s="119"/>
      <c r="PDJ28" s="119"/>
      <c r="PDK28" s="119"/>
      <c r="PDL28" s="119"/>
      <c r="PDM28" s="119"/>
      <c r="PDN28" s="119"/>
      <c r="PDO28" s="119"/>
      <c r="PDP28" s="119"/>
      <c r="PDQ28" s="119"/>
      <c r="PDR28" s="119"/>
      <c r="PDS28" s="119"/>
      <c r="PDT28" s="119"/>
      <c r="PDU28" s="119"/>
      <c r="PDV28" s="119"/>
      <c r="PDW28" s="119"/>
      <c r="PDX28" s="119"/>
      <c r="PDY28" s="119"/>
      <c r="PDZ28" s="119"/>
      <c r="PEA28" s="119"/>
      <c r="PEB28" s="119"/>
      <c r="PEC28" s="119"/>
      <c r="PED28" s="119"/>
      <c r="PEE28" s="119"/>
      <c r="PEF28" s="119"/>
      <c r="PEG28" s="119"/>
      <c r="PEH28" s="119"/>
      <c r="PEI28" s="119"/>
      <c r="PEJ28" s="119"/>
      <c r="PEK28" s="119"/>
      <c r="PEL28" s="119"/>
      <c r="PEM28" s="119"/>
      <c r="PEN28" s="119"/>
      <c r="PEO28" s="119"/>
      <c r="PEP28" s="119"/>
      <c r="PEQ28" s="119"/>
      <c r="PER28" s="119"/>
      <c r="PES28" s="119"/>
      <c r="PET28" s="119"/>
      <c r="PEU28" s="119"/>
      <c r="PEV28" s="119"/>
      <c r="PEW28" s="119"/>
      <c r="PEX28" s="119"/>
      <c r="PEY28" s="119"/>
      <c r="PEZ28" s="119"/>
      <c r="PFA28" s="119"/>
      <c r="PFB28" s="119"/>
      <c r="PFC28" s="119"/>
      <c r="PFD28" s="119"/>
      <c r="PFE28" s="119"/>
      <c r="PFF28" s="119"/>
      <c r="PFG28" s="119"/>
      <c r="PFH28" s="119"/>
      <c r="PFI28" s="119"/>
      <c r="PFJ28" s="119"/>
      <c r="PFK28" s="119"/>
      <c r="PFL28" s="119"/>
      <c r="PFM28" s="119"/>
      <c r="PFN28" s="119"/>
      <c r="PFO28" s="119"/>
      <c r="PFP28" s="119"/>
      <c r="PFQ28" s="119"/>
      <c r="PFR28" s="119"/>
      <c r="PFS28" s="119"/>
      <c r="PFT28" s="119"/>
      <c r="PFU28" s="119"/>
      <c r="PFV28" s="119"/>
      <c r="PFW28" s="119"/>
      <c r="PFX28" s="119"/>
      <c r="PFY28" s="119"/>
      <c r="PFZ28" s="119"/>
      <c r="PGA28" s="119"/>
      <c r="PGB28" s="119"/>
      <c r="PGC28" s="119"/>
      <c r="PGD28" s="119"/>
      <c r="PGE28" s="119"/>
      <c r="PGF28" s="119"/>
      <c r="PGG28" s="119"/>
      <c r="PGH28" s="119"/>
      <c r="PGI28" s="119"/>
      <c r="PGJ28" s="119"/>
      <c r="PGK28" s="119"/>
      <c r="PGL28" s="119"/>
      <c r="PGM28" s="119"/>
      <c r="PGN28" s="119"/>
      <c r="PGO28" s="119"/>
      <c r="PGP28" s="119"/>
      <c r="PGQ28" s="119"/>
      <c r="PGR28" s="119"/>
      <c r="PGS28" s="119"/>
      <c r="PGT28" s="119"/>
      <c r="PGU28" s="119"/>
      <c r="PGV28" s="119"/>
      <c r="PGW28" s="119"/>
      <c r="PGX28" s="119"/>
      <c r="PGY28" s="119"/>
      <c r="PGZ28" s="119"/>
      <c r="PHA28" s="119"/>
      <c r="PHB28" s="119"/>
      <c r="PHC28" s="119"/>
      <c r="PHD28" s="119"/>
      <c r="PHE28" s="119"/>
      <c r="PHF28" s="119"/>
      <c r="PHG28" s="119"/>
      <c r="PHH28" s="119"/>
      <c r="PHI28" s="119"/>
      <c r="PHJ28" s="119"/>
      <c r="PHK28" s="119"/>
      <c r="PHL28" s="119"/>
      <c r="PHM28" s="119"/>
      <c r="PHN28" s="119"/>
      <c r="PHO28" s="119"/>
      <c r="PHP28" s="119"/>
      <c r="PHQ28" s="119"/>
      <c r="PHR28" s="119"/>
      <c r="PHS28" s="119"/>
      <c r="PHT28" s="119"/>
      <c r="PHU28" s="119"/>
      <c r="PHV28" s="119"/>
      <c r="PHW28" s="119"/>
      <c r="PHX28" s="119"/>
      <c r="PHY28" s="119"/>
      <c r="PHZ28" s="119"/>
      <c r="PIA28" s="119"/>
      <c r="PIB28" s="119"/>
      <c r="PIC28" s="119"/>
      <c r="PID28" s="119"/>
      <c r="PIE28" s="119"/>
      <c r="PIF28" s="119"/>
      <c r="PIG28" s="119"/>
      <c r="PIH28" s="119"/>
      <c r="PII28" s="119"/>
      <c r="PIJ28" s="119"/>
      <c r="PIK28" s="119"/>
      <c r="PIL28" s="119"/>
      <c r="PIM28" s="119"/>
      <c r="PIN28" s="119"/>
      <c r="PIO28" s="119"/>
      <c r="PIP28" s="119"/>
      <c r="PIQ28" s="119"/>
      <c r="PIR28" s="119"/>
      <c r="PIS28" s="119"/>
      <c r="PIT28" s="119"/>
      <c r="PIU28" s="119"/>
      <c r="PIV28" s="119"/>
      <c r="PIW28" s="119"/>
      <c r="PIX28" s="119"/>
      <c r="PIY28" s="119"/>
      <c r="PIZ28" s="119"/>
      <c r="PJA28" s="119"/>
      <c r="PJB28" s="119"/>
      <c r="PJC28" s="119"/>
      <c r="PJD28" s="119"/>
      <c r="PJE28" s="119"/>
      <c r="PJF28" s="119"/>
      <c r="PJG28" s="119"/>
      <c r="PJH28" s="119"/>
      <c r="PJI28" s="119"/>
      <c r="PJJ28" s="119"/>
      <c r="PJK28" s="119"/>
      <c r="PJL28" s="119"/>
      <c r="PJM28" s="119"/>
      <c r="PJN28" s="119"/>
      <c r="PJO28" s="119"/>
      <c r="PJP28" s="119"/>
      <c r="PJQ28" s="119"/>
      <c r="PJR28" s="119"/>
      <c r="PJS28" s="119"/>
      <c r="PJT28" s="119"/>
      <c r="PJU28" s="119"/>
      <c r="PJV28" s="119"/>
      <c r="PJW28" s="119"/>
      <c r="PJX28" s="119"/>
      <c r="PJY28" s="119"/>
      <c r="PJZ28" s="119"/>
      <c r="PKA28" s="119"/>
      <c r="PKB28" s="119"/>
      <c r="PKC28" s="119"/>
      <c r="PKD28" s="119"/>
      <c r="PKE28" s="119"/>
      <c r="PKF28" s="119"/>
      <c r="PKG28" s="119"/>
      <c r="PKH28" s="119"/>
      <c r="PKI28" s="119"/>
      <c r="PKJ28" s="119"/>
      <c r="PKK28" s="119"/>
      <c r="PKL28" s="119"/>
      <c r="PKM28" s="119"/>
      <c r="PKN28" s="119"/>
      <c r="PKO28" s="119"/>
      <c r="PKP28" s="119"/>
      <c r="PKQ28" s="119"/>
      <c r="PKR28" s="119"/>
      <c r="PKS28" s="119"/>
      <c r="PKT28" s="119"/>
      <c r="PKU28" s="119"/>
      <c r="PKV28" s="119"/>
      <c r="PKW28" s="119"/>
      <c r="PKX28" s="119"/>
      <c r="PKY28" s="119"/>
      <c r="PKZ28" s="119"/>
      <c r="PLA28" s="119"/>
      <c r="PLB28" s="119"/>
      <c r="PLC28" s="119"/>
      <c r="PLD28" s="119"/>
      <c r="PLE28" s="119"/>
      <c r="PLF28" s="119"/>
      <c r="PLG28" s="119"/>
      <c r="PLH28" s="119"/>
      <c r="PLI28" s="119"/>
      <c r="PLJ28" s="119"/>
      <c r="PLK28" s="119"/>
      <c r="PLL28" s="119"/>
      <c r="PLM28" s="119"/>
      <c r="PLN28" s="119"/>
      <c r="PLO28" s="119"/>
      <c r="PLP28" s="119"/>
      <c r="PLQ28" s="119"/>
      <c r="PLR28" s="119"/>
      <c r="PLS28" s="119"/>
      <c r="PLT28" s="119"/>
      <c r="PLU28" s="119"/>
      <c r="PLV28" s="119"/>
      <c r="PLW28" s="119"/>
      <c r="PLX28" s="119"/>
      <c r="PLY28" s="119"/>
      <c r="PLZ28" s="119"/>
      <c r="PMA28" s="119"/>
      <c r="PMB28" s="119"/>
      <c r="PMC28" s="119"/>
      <c r="PMD28" s="119"/>
      <c r="PME28" s="119"/>
      <c r="PMF28" s="119"/>
      <c r="PMG28" s="119"/>
      <c r="PMH28" s="119"/>
      <c r="PMI28" s="119"/>
      <c r="PMJ28" s="119"/>
      <c r="PMK28" s="119"/>
      <c r="PML28" s="119"/>
      <c r="PMM28" s="119"/>
      <c r="PMN28" s="119"/>
      <c r="PMO28" s="119"/>
      <c r="PMP28" s="119"/>
      <c r="PMQ28" s="119"/>
      <c r="PMR28" s="119"/>
      <c r="PMS28" s="119"/>
      <c r="PMT28" s="119"/>
      <c r="PMU28" s="119"/>
      <c r="PMV28" s="119"/>
      <c r="PMW28" s="119"/>
      <c r="PMX28" s="119"/>
      <c r="PMY28" s="119"/>
      <c r="PMZ28" s="119"/>
      <c r="PNA28" s="119"/>
      <c r="PNB28" s="119"/>
      <c r="PNC28" s="119"/>
      <c r="PND28" s="119"/>
      <c r="PNE28" s="119"/>
      <c r="PNF28" s="119"/>
      <c r="PNG28" s="119"/>
      <c r="PNH28" s="119"/>
      <c r="PNI28" s="119"/>
      <c r="PNJ28" s="119"/>
      <c r="PNK28" s="119"/>
      <c r="PNL28" s="119"/>
      <c r="PNM28" s="119"/>
      <c r="PNN28" s="119"/>
      <c r="PNO28" s="119"/>
      <c r="PNP28" s="119"/>
      <c r="PNQ28" s="119"/>
      <c r="PNR28" s="119"/>
      <c r="PNS28" s="119"/>
      <c r="PNT28" s="119"/>
      <c r="PNU28" s="119"/>
      <c r="PNV28" s="119"/>
      <c r="PNW28" s="119"/>
      <c r="PNX28" s="119"/>
      <c r="PNY28" s="119"/>
      <c r="PNZ28" s="119"/>
      <c r="POA28" s="119"/>
      <c r="POB28" s="119"/>
      <c r="POC28" s="119"/>
      <c r="POD28" s="119"/>
      <c r="POE28" s="119"/>
      <c r="POF28" s="119"/>
      <c r="POG28" s="119"/>
      <c r="POH28" s="119"/>
      <c r="POI28" s="119"/>
      <c r="POJ28" s="119"/>
      <c r="POK28" s="119"/>
      <c r="POL28" s="119"/>
      <c r="POM28" s="119"/>
      <c r="PON28" s="119"/>
      <c r="POO28" s="119"/>
      <c r="POP28" s="119"/>
      <c r="POQ28" s="119"/>
      <c r="POR28" s="119"/>
      <c r="POS28" s="119"/>
      <c r="POT28" s="119"/>
      <c r="POU28" s="119"/>
      <c r="POV28" s="119"/>
      <c r="POW28" s="119"/>
      <c r="POX28" s="119"/>
      <c r="POY28" s="119"/>
      <c r="POZ28" s="119"/>
      <c r="PPA28" s="119"/>
      <c r="PPB28" s="119"/>
      <c r="PPC28" s="119"/>
      <c r="PPD28" s="119"/>
      <c r="PPE28" s="119"/>
      <c r="PPF28" s="119"/>
      <c r="PPG28" s="119"/>
      <c r="PPH28" s="119"/>
      <c r="PPI28" s="119"/>
      <c r="PPJ28" s="119"/>
      <c r="PPK28" s="119"/>
      <c r="PPL28" s="119"/>
      <c r="PPM28" s="119"/>
      <c r="PPN28" s="119"/>
      <c r="PPO28" s="119"/>
      <c r="PPP28" s="119"/>
      <c r="PPQ28" s="119"/>
      <c r="PPR28" s="119"/>
      <c r="PPS28" s="119"/>
      <c r="PPT28" s="119"/>
      <c r="PPU28" s="119"/>
      <c r="PPV28" s="119"/>
      <c r="PPW28" s="119"/>
      <c r="PPX28" s="119"/>
      <c r="PPY28" s="119"/>
      <c r="PPZ28" s="119"/>
      <c r="PQA28" s="119"/>
      <c r="PQB28" s="119"/>
      <c r="PQC28" s="119"/>
      <c r="PQD28" s="119"/>
      <c r="PQE28" s="119"/>
      <c r="PQF28" s="119"/>
      <c r="PQG28" s="119"/>
      <c r="PQH28" s="119"/>
      <c r="PQI28" s="119"/>
      <c r="PQJ28" s="119"/>
      <c r="PQK28" s="119"/>
      <c r="PQL28" s="119"/>
      <c r="PQM28" s="119"/>
      <c r="PQN28" s="119"/>
      <c r="PQO28" s="119"/>
      <c r="PQP28" s="119"/>
      <c r="PQQ28" s="119"/>
      <c r="PQR28" s="119"/>
      <c r="PQS28" s="119"/>
      <c r="PQT28" s="119"/>
      <c r="PQU28" s="119"/>
      <c r="PQV28" s="119"/>
      <c r="PQW28" s="119"/>
      <c r="PQX28" s="119"/>
      <c r="PQY28" s="119"/>
      <c r="PQZ28" s="119"/>
      <c r="PRA28" s="119"/>
      <c r="PRB28" s="119"/>
      <c r="PRC28" s="119"/>
      <c r="PRD28" s="119"/>
      <c r="PRE28" s="119"/>
      <c r="PRF28" s="119"/>
      <c r="PRG28" s="119"/>
      <c r="PRH28" s="119"/>
      <c r="PRI28" s="119"/>
      <c r="PRJ28" s="119"/>
      <c r="PRK28" s="119"/>
      <c r="PRL28" s="119"/>
      <c r="PRM28" s="119"/>
      <c r="PRN28" s="119"/>
      <c r="PRO28" s="119"/>
      <c r="PRP28" s="119"/>
      <c r="PRQ28" s="119"/>
      <c r="PRR28" s="119"/>
      <c r="PRS28" s="119"/>
      <c r="PRT28" s="119"/>
      <c r="PRU28" s="119"/>
      <c r="PRV28" s="119"/>
      <c r="PRW28" s="119"/>
      <c r="PRX28" s="119"/>
      <c r="PRY28" s="119"/>
      <c r="PRZ28" s="119"/>
      <c r="PSA28" s="119"/>
      <c r="PSB28" s="119"/>
      <c r="PSC28" s="119"/>
      <c r="PSD28" s="119"/>
      <c r="PSE28" s="119"/>
      <c r="PSF28" s="119"/>
      <c r="PSG28" s="119"/>
      <c r="PSH28" s="119"/>
      <c r="PSI28" s="119"/>
      <c r="PSJ28" s="119"/>
      <c r="PSK28" s="119"/>
      <c r="PSL28" s="119"/>
      <c r="PSM28" s="119"/>
      <c r="PSN28" s="119"/>
      <c r="PSO28" s="119"/>
      <c r="PSP28" s="119"/>
      <c r="PSQ28" s="119"/>
      <c r="PSR28" s="119"/>
      <c r="PSS28" s="119"/>
      <c r="PST28" s="119"/>
      <c r="PSU28" s="119"/>
      <c r="PSV28" s="119"/>
      <c r="PSW28" s="119"/>
      <c r="PSX28" s="119"/>
      <c r="PSY28" s="119"/>
      <c r="PSZ28" s="119"/>
      <c r="PTA28" s="119"/>
      <c r="PTB28" s="119"/>
      <c r="PTC28" s="119"/>
      <c r="PTD28" s="119"/>
      <c r="PTE28" s="119"/>
      <c r="PTF28" s="119"/>
      <c r="PTG28" s="119"/>
      <c r="PTH28" s="119"/>
      <c r="PTI28" s="119"/>
      <c r="PTJ28" s="119"/>
      <c r="PTK28" s="119"/>
      <c r="PTL28" s="119"/>
      <c r="PTM28" s="119"/>
      <c r="PTN28" s="119"/>
      <c r="PTO28" s="119"/>
      <c r="PTP28" s="119"/>
      <c r="PTQ28" s="119"/>
      <c r="PTR28" s="119"/>
      <c r="PTS28" s="119"/>
      <c r="PTT28" s="119"/>
      <c r="PTU28" s="119"/>
      <c r="PTV28" s="119"/>
      <c r="PTW28" s="119"/>
      <c r="PTX28" s="119"/>
      <c r="PTY28" s="119"/>
      <c r="PTZ28" s="119"/>
      <c r="PUA28" s="119"/>
      <c r="PUB28" s="119"/>
      <c r="PUC28" s="119"/>
      <c r="PUD28" s="119"/>
      <c r="PUE28" s="119"/>
      <c r="PUF28" s="119"/>
      <c r="PUG28" s="119"/>
      <c r="PUH28" s="119"/>
      <c r="PUI28" s="119"/>
      <c r="PUJ28" s="119"/>
      <c r="PUK28" s="119"/>
      <c r="PUL28" s="119"/>
      <c r="PUM28" s="119"/>
      <c r="PUN28" s="119"/>
      <c r="PUO28" s="119"/>
      <c r="PUP28" s="119"/>
      <c r="PUQ28" s="119"/>
      <c r="PUR28" s="119"/>
      <c r="PUS28" s="119"/>
      <c r="PUT28" s="119"/>
      <c r="PUU28" s="119"/>
      <c r="PUV28" s="119"/>
      <c r="PUW28" s="119"/>
      <c r="PUX28" s="119"/>
      <c r="PUY28" s="119"/>
      <c r="PUZ28" s="119"/>
      <c r="PVA28" s="119"/>
      <c r="PVB28" s="119"/>
      <c r="PVC28" s="119"/>
      <c r="PVD28" s="119"/>
      <c r="PVE28" s="119"/>
      <c r="PVF28" s="119"/>
      <c r="PVG28" s="119"/>
      <c r="PVH28" s="119"/>
      <c r="PVI28" s="119"/>
      <c r="PVJ28" s="119"/>
      <c r="PVK28" s="119"/>
      <c r="PVL28" s="119"/>
      <c r="PVM28" s="119"/>
      <c r="PVN28" s="119"/>
      <c r="PVO28" s="119"/>
      <c r="PVP28" s="119"/>
      <c r="PVQ28" s="119"/>
      <c r="PVR28" s="119"/>
      <c r="PVS28" s="119"/>
      <c r="PVT28" s="119"/>
      <c r="PVU28" s="119"/>
      <c r="PVV28" s="119"/>
      <c r="PVW28" s="119"/>
      <c r="PVX28" s="119"/>
      <c r="PVY28" s="119"/>
      <c r="PVZ28" s="119"/>
      <c r="PWA28" s="119"/>
      <c r="PWB28" s="119"/>
      <c r="PWC28" s="119"/>
      <c r="PWD28" s="119"/>
      <c r="PWE28" s="119"/>
      <c r="PWF28" s="119"/>
      <c r="PWG28" s="119"/>
      <c r="PWH28" s="119"/>
      <c r="PWI28" s="119"/>
      <c r="PWJ28" s="119"/>
      <c r="PWK28" s="119"/>
      <c r="PWL28" s="119"/>
      <c r="PWM28" s="119"/>
      <c r="PWN28" s="119"/>
      <c r="PWO28" s="119"/>
      <c r="PWP28" s="119"/>
      <c r="PWQ28" s="119"/>
      <c r="PWR28" s="119"/>
      <c r="PWS28" s="119"/>
      <c r="PWT28" s="119"/>
      <c r="PWU28" s="119"/>
      <c r="PWV28" s="119"/>
      <c r="PWW28" s="119"/>
      <c r="PWX28" s="119"/>
      <c r="PWY28" s="119"/>
      <c r="PWZ28" s="119"/>
      <c r="PXA28" s="119"/>
      <c r="PXB28" s="119"/>
      <c r="PXC28" s="119"/>
      <c r="PXD28" s="119"/>
      <c r="PXE28" s="119"/>
      <c r="PXF28" s="119"/>
      <c r="PXG28" s="119"/>
      <c r="PXH28" s="119"/>
      <c r="PXI28" s="119"/>
      <c r="PXJ28" s="119"/>
      <c r="PXK28" s="119"/>
      <c r="PXL28" s="119"/>
      <c r="PXM28" s="119"/>
      <c r="PXN28" s="119"/>
      <c r="PXO28" s="119"/>
      <c r="PXP28" s="119"/>
      <c r="PXQ28" s="119"/>
      <c r="PXR28" s="119"/>
      <c r="PXS28" s="119"/>
      <c r="PXT28" s="119"/>
      <c r="PXU28" s="119"/>
      <c r="PXV28" s="119"/>
      <c r="PXW28" s="119"/>
      <c r="PXX28" s="119"/>
      <c r="PXY28" s="119"/>
      <c r="PXZ28" s="119"/>
      <c r="PYA28" s="119"/>
      <c r="PYB28" s="119"/>
      <c r="PYC28" s="119"/>
      <c r="PYD28" s="119"/>
      <c r="PYE28" s="119"/>
      <c r="PYF28" s="119"/>
      <c r="PYG28" s="119"/>
      <c r="PYH28" s="119"/>
      <c r="PYI28" s="119"/>
      <c r="PYJ28" s="119"/>
      <c r="PYK28" s="119"/>
      <c r="PYL28" s="119"/>
      <c r="PYM28" s="119"/>
      <c r="PYN28" s="119"/>
      <c r="PYO28" s="119"/>
      <c r="PYP28" s="119"/>
      <c r="PYQ28" s="119"/>
      <c r="PYR28" s="119"/>
      <c r="PYS28" s="119"/>
      <c r="PYT28" s="119"/>
      <c r="PYU28" s="119"/>
      <c r="PYV28" s="119"/>
      <c r="PYW28" s="119"/>
      <c r="PYX28" s="119"/>
      <c r="PYY28" s="119"/>
      <c r="PYZ28" s="119"/>
      <c r="PZA28" s="119"/>
      <c r="PZB28" s="119"/>
      <c r="PZC28" s="119"/>
      <c r="PZD28" s="119"/>
      <c r="PZE28" s="119"/>
      <c r="PZF28" s="119"/>
      <c r="PZG28" s="119"/>
      <c r="PZH28" s="119"/>
      <c r="PZI28" s="119"/>
      <c r="PZJ28" s="119"/>
      <c r="PZK28" s="119"/>
      <c r="PZL28" s="119"/>
      <c r="PZM28" s="119"/>
      <c r="PZN28" s="119"/>
      <c r="PZO28" s="119"/>
      <c r="PZP28" s="119"/>
      <c r="PZQ28" s="119"/>
      <c r="PZR28" s="119"/>
      <c r="PZS28" s="119"/>
      <c r="PZT28" s="119"/>
      <c r="PZU28" s="119"/>
      <c r="PZV28" s="119"/>
      <c r="PZW28" s="119"/>
      <c r="PZX28" s="119"/>
      <c r="PZY28" s="119"/>
      <c r="PZZ28" s="119"/>
      <c r="QAA28" s="119"/>
      <c r="QAB28" s="119"/>
      <c r="QAC28" s="119"/>
      <c r="QAD28" s="119"/>
      <c r="QAE28" s="119"/>
      <c r="QAF28" s="119"/>
      <c r="QAG28" s="119"/>
      <c r="QAH28" s="119"/>
      <c r="QAI28" s="119"/>
      <c r="QAJ28" s="119"/>
      <c r="QAK28" s="119"/>
      <c r="QAL28" s="119"/>
      <c r="QAM28" s="119"/>
      <c r="QAN28" s="119"/>
      <c r="QAO28" s="119"/>
      <c r="QAP28" s="119"/>
      <c r="QAQ28" s="119"/>
      <c r="QAR28" s="119"/>
      <c r="QAS28" s="119"/>
      <c r="QAT28" s="119"/>
      <c r="QAU28" s="119"/>
      <c r="QAV28" s="119"/>
      <c r="QAW28" s="119"/>
      <c r="QAX28" s="119"/>
      <c r="QAY28" s="119"/>
      <c r="QAZ28" s="119"/>
      <c r="QBA28" s="119"/>
      <c r="QBB28" s="119"/>
      <c r="QBC28" s="119"/>
      <c r="QBD28" s="119"/>
      <c r="QBE28" s="119"/>
      <c r="QBF28" s="119"/>
      <c r="QBG28" s="119"/>
      <c r="QBH28" s="119"/>
      <c r="QBI28" s="119"/>
      <c r="QBJ28" s="119"/>
      <c r="QBK28" s="119"/>
      <c r="QBL28" s="119"/>
      <c r="QBM28" s="119"/>
      <c r="QBN28" s="119"/>
      <c r="QBO28" s="119"/>
      <c r="QBP28" s="119"/>
      <c r="QBQ28" s="119"/>
      <c r="QBR28" s="119"/>
      <c r="QBS28" s="119"/>
      <c r="QBT28" s="119"/>
      <c r="QBU28" s="119"/>
      <c r="QBV28" s="119"/>
      <c r="QBW28" s="119"/>
      <c r="QBX28" s="119"/>
      <c r="QBY28" s="119"/>
      <c r="QBZ28" s="119"/>
      <c r="QCA28" s="119"/>
      <c r="QCB28" s="119"/>
      <c r="QCC28" s="119"/>
      <c r="QCD28" s="119"/>
      <c r="QCE28" s="119"/>
      <c r="QCF28" s="119"/>
      <c r="QCG28" s="119"/>
      <c r="QCH28" s="119"/>
      <c r="QCI28" s="119"/>
      <c r="QCJ28" s="119"/>
      <c r="QCK28" s="119"/>
      <c r="QCL28" s="119"/>
      <c r="QCM28" s="119"/>
      <c r="QCN28" s="119"/>
      <c r="QCO28" s="119"/>
      <c r="QCP28" s="119"/>
      <c r="QCQ28" s="119"/>
      <c r="QCR28" s="119"/>
      <c r="QCS28" s="119"/>
      <c r="QCT28" s="119"/>
      <c r="QCU28" s="119"/>
      <c r="QCV28" s="119"/>
      <c r="QCW28" s="119"/>
      <c r="QCX28" s="119"/>
      <c r="QCY28" s="119"/>
      <c r="QCZ28" s="119"/>
      <c r="QDA28" s="119"/>
      <c r="QDB28" s="119"/>
      <c r="QDC28" s="119"/>
      <c r="QDD28" s="119"/>
      <c r="QDE28" s="119"/>
      <c r="QDF28" s="119"/>
      <c r="QDG28" s="119"/>
      <c r="QDH28" s="119"/>
      <c r="QDI28" s="119"/>
      <c r="QDJ28" s="119"/>
      <c r="QDK28" s="119"/>
      <c r="QDL28" s="119"/>
      <c r="QDM28" s="119"/>
      <c r="QDN28" s="119"/>
      <c r="QDO28" s="119"/>
      <c r="QDP28" s="119"/>
      <c r="QDQ28" s="119"/>
      <c r="QDR28" s="119"/>
      <c r="QDS28" s="119"/>
      <c r="QDT28" s="119"/>
      <c r="QDU28" s="119"/>
      <c r="QDV28" s="119"/>
      <c r="QDW28" s="119"/>
      <c r="QDX28" s="119"/>
      <c r="QDY28" s="119"/>
      <c r="QDZ28" s="119"/>
      <c r="QEA28" s="119"/>
      <c r="QEB28" s="119"/>
      <c r="QEC28" s="119"/>
      <c r="QED28" s="119"/>
      <c r="QEE28" s="119"/>
      <c r="QEF28" s="119"/>
      <c r="QEG28" s="119"/>
      <c r="QEH28" s="119"/>
      <c r="QEI28" s="119"/>
      <c r="QEJ28" s="119"/>
      <c r="QEK28" s="119"/>
      <c r="QEL28" s="119"/>
      <c r="QEM28" s="119"/>
      <c r="QEN28" s="119"/>
      <c r="QEO28" s="119"/>
      <c r="QEP28" s="119"/>
      <c r="QEQ28" s="119"/>
      <c r="QER28" s="119"/>
      <c r="QES28" s="119"/>
      <c r="QET28" s="119"/>
      <c r="QEU28" s="119"/>
      <c r="QEV28" s="119"/>
      <c r="QEW28" s="119"/>
      <c r="QEX28" s="119"/>
      <c r="QEY28" s="119"/>
      <c r="QEZ28" s="119"/>
      <c r="QFA28" s="119"/>
      <c r="QFB28" s="119"/>
      <c r="QFC28" s="119"/>
      <c r="QFD28" s="119"/>
      <c r="QFE28" s="119"/>
      <c r="QFF28" s="119"/>
      <c r="QFG28" s="119"/>
      <c r="QFH28" s="119"/>
      <c r="QFI28" s="119"/>
      <c r="QFJ28" s="119"/>
      <c r="QFK28" s="119"/>
      <c r="QFL28" s="119"/>
      <c r="QFM28" s="119"/>
      <c r="QFN28" s="119"/>
      <c r="QFO28" s="119"/>
      <c r="QFP28" s="119"/>
      <c r="QFQ28" s="119"/>
      <c r="QFR28" s="119"/>
      <c r="QFS28" s="119"/>
      <c r="QFT28" s="119"/>
      <c r="QFU28" s="119"/>
      <c r="QFV28" s="119"/>
      <c r="QFW28" s="119"/>
      <c r="QFX28" s="119"/>
      <c r="QFY28" s="119"/>
      <c r="QFZ28" s="119"/>
      <c r="QGA28" s="119"/>
      <c r="QGB28" s="119"/>
      <c r="QGC28" s="119"/>
      <c r="QGD28" s="119"/>
      <c r="QGE28" s="119"/>
      <c r="QGF28" s="119"/>
      <c r="QGG28" s="119"/>
      <c r="QGH28" s="119"/>
      <c r="QGI28" s="119"/>
      <c r="QGJ28" s="119"/>
      <c r="QGK28" s="119"/>
      <c r="QGL28" s="119"/>
      <c r="QGM28" s="119"/>
      <c r="QGN28" s="119"/>
      <c r="QGO28" s="119"/>
      <c r="QGP28" s="119"/>
      <c r="QGQ28" s="119"/>
      <c r="QGR28" s="119"/>
      <c r="QGS28" s="119"/>
      <c r="QGT28" s="119"/>
      <c r="QGU28" s="119"/>
      <c r="QGV28" s="119"/>
      <c r="QGW28" s="119"/>
      <c r="QGX28" s="119"/>
      <c r="QGY28" s="119"/>
      <c r="QGZ28" s="119"/>
      <c r="QHA28" s="119"/>
      <c r="QHB28" s="119"/>
      <c r="QHC28" s="119"/>
      <c r="QHD28" s="119"/>
      <c r="QHE28" s="119"/>
      <c r="QHF28" s="119"/>
      <c r="QHG28" s="119"/>
      <c r="QHH28" s="119"/>
      <c r="QHI28" s="119"/>
      <c r="QHJ28" s="119"/>
      <c r="QHK28" s="119"/>
      <c r="QHL28" s="119"/>
      <c r="QHM28" s="119"/>
      <c r="QHN28" s="119"/>
      <c r="QHO28" s="119"/>
      <c r="QHP28" s="119"/>
      <c r="QHQ28" s="119"/>
      <c r="QHR28" s="119"/>
      <c r="QHS28" s="119"/>
      <c r="QHT28" s="119"/>
      <c r="QHU28" s="119"/>
      <c r="QHV28" s="119"/>
      <c r="QHW28" s="119"/>
      <c r="QHX28" s="119"/>
      <c r="QHY28" s="119"/>
      <c r="QHZ28" s="119"/>
      <c r="QIA28" s="119"/>
      <c r="QIB28" s="119"/>
      <c r="QIC28" s="119"/>
      <c r="QID28" s="119"/>
      <c r="QIE28" s="119"/>
      <c r="QIF28" s="119"/>
      <c r="QIG28" s="119"/>
      <c r="QIH28" s="119"/>
      <c r="QII28" s="119"/>
      <c r="QIJ28" s="119"/>
      <c r="QIK28" s="119"/>
      <c r="QIL28" s="119"/>
      <c r="QIM28" s="119"/>
      <c r="QIN28" s="119"/>
      <c r="QIO28" s="119"/>
      <c r="QIP28" s="119"/>
      <c r="QIQ28" s="119"/>
      <c r="QIR28" s="119"/>
      <c r="QIS28" s="119"/>
      <c r="QIT28" s="119"/>
      <c r="QIU28" s="119"/>
      <c r="QIV28" s="119"/>
      <c r="QIW28" s="119"/>
      <c r="QIX28" s="119"/>
      <c r="QIY28" s="119"/>
      <c r="QIZ28" s="119"/>
      <c r="QJA28" s="119"/>
      <c r="QJB28" s="119"/>
      <c r="QJC28" s="119"/>
      <c r="QJD28" s="119"/>
      <c r="QJE28" s="119"/>
      <c r="QJF28" s="119"/>
      <c r="QJG28" s="119"/>
      <c r="QJH28" s="119"/>
      <c r="QJI28" s="119"/>
      <c r="QJJ28" s="119"/>
      <c r="QJK28" s="119"/>
      <c r="QJL28" s="119"/>
      <c r="QJM28" s="119"/>
      <c r="QJN28" s="119"/>
      <c r="QJO28" s="119"/>
      <c r="QJP28" s="119"/>
      <c r="QJQ28" s="119"/>
      <c r="QJR28" s="119"/>
      <c r="QJS28" s="119"/>
      <c r="QJT28" s="119"/>
      <c r="QJU28" s="119"/>
      <c r="QJV28" s="119"/>
      <c r="QJW28" s="119"/>
      <c r="QJX28" s="119"/>
      <c r="QJY28" s="119"/>
      <c r="QJZ28" s="119"/>
      <c r="QKA28" s="119"/>
      <c r="QKB28" s="119"/>
      <c r="QKC28" s="119"/>
      <c r="QKD28" s="119"/>
      <c r="QKE28" s="119"/>
      <c r="QKF28" s="119"/>
      <c r="QKG28" s="119"/>
      <c r="QKH28" s="119"/>
      <c r="QKI28" s="119"/>
      <c r="QKJ28" s="119"/>
      <c r="QKK28" s="119"/>
      <c r="QKL28" s="119"/>
      <c r="QKM28" s="119"/>
      <c r="QKN28" s="119"/>
      <c r="QKO28" s="119"/>
      <c r="QKP28" s="119"/>
      <c r="QKQ28" s="119"/>
      <c r="QKR28" s="119"/>
      <c r="QKS28" s="119"/>
      <c r="QKT28" s="119"/>
      <c r="QKU28" s="119"/>
      <c r="QKV28" s="119"/>
      <c r="QKW28" s="119"/>
      <c r="QKX28" s="119"/>
      <c r="QKY28" s="119"/>
      <c r="QKZ28" s="119"/>
      <c r="QLA28" s="119"/>
      <c r="QLB28" s="119"/>
      <c r="QLC28" s="119"/>
      <c r="QLD28" s="119"/>
      <c r="QLE28" s="119"/>
      <c r="QLF28" s="119"/>
      <c r="QLG28" s="119"/>
      <c r="QLH28" s="119"/>
      <c r="QLI28" s="119"/>
      <c r="QLJ28" s="119"/>
      <c r="QLK28" s="119"/>
      <c r="QLL28" s="119"/>
      <c r="QLM28" s="119"/>
      <c r="QLN28" s="119"/>
      <c r="QLO28" s="119"/>
      <c r="QLP28" s="119"/>
      <c r="QLQ28" s="119"/>
      <c r="QLR28" s="119"/>
      <c r="QLS28" s="119"/>
      <c r="QLT28" s="119"/>
      <c r="QLU28" s="119"/>
      <c r="QLV28" s="119"/>
      <c r="QLW28" s="119"/>
      <c r="QLX28" s="119"/>
      <c r="QLY28" s="119"/>
      <c r="QLZ28" s="119"/>
      <c r="QMA28" s="119"/>
      <c r="QMB28" s="119"/>
      <c r="QMC28" s="119"/>
      <c r="QMD28" s="119"/>
      <c r="QME28" s="119"/>
      <c r="QMF28" s="119"/>
      <c r="QMG28" s="119"/>
      <c r="QMH28" s="119"/>
      <c r="QMI28" s="119"/>
      <c r="QMJ28" s="119"/>
      <c r="QMK28" s="119"/>
      <c r="QML28" s="119"/>
      <c r="QMM28" s="119"/>
      <c r="QMN28" s="119"/>
      <c r="QMO28" s="119"/>
      <c r="QMP28" s="119"/>
      <c r="QMQ28" s="119"/>
      <c r="QMR28" s="119"/>
      <c r="QMS28" s="119"/>
      <c r="QMT28" s="119"/>
      <c r="QMU28" s="119"/>
      <c r="QMV28" s="119"/>
      <c r="QMW28" s="119"/>
      <c r="QMX28" s="119"/>
      <c r="QMY28" s="119"/>
      <c r="QMZ28" s="119"/>
      <c r="QNA28" s="119"/>
      <c r="QNB28" s="119"/>
      <c r="QNC28" s="119"/>
      <c r="QND28" s="119"/>
      <c r="QNE28" s="119"/>
      <c r="QNF28" s="119"/>
      <c r="QNG28" s="119"/>
      <c r="QNH28" s="119"/>
      <c r="QNI28" s="119"/>
      <c r="QNJ28" s="119"/>
      <c r="QNK28" s="119"/>
      <c r="QNL28" s="119"/>
      <c r="QNM28" s="119"/>
      <c r="QNN28" s="119"/>
      <c r="QNO28" s="119"/>
      <c r="QNP28" s="119"/>
      <c r="QNQ28" s="119"/>
      <c r="QNR28" s="119"/>
      <c r="QNS28" s="119"/>
      <c r="QNT28" s="119"/>
      <c r="QNU28" s="119"/>
      <c r="QNV28" s="119"/>
      <c r="QNW28" s="119"/>
      <c r="QNX28" s="119"/>
      <c r="QNY28" s="119"/>
      <c r="QNZ28" s="119"/>
      <c r="QOA28" s="119"/>
      <c r="QOB28" s="119"/>
      <c r="QOC28" s="119"/>
      <c r="QOD28" s="119"/>
      <c r="QOE28" s="119"/>
      <c r="QOF28" s="119"/>
      <c r="QOG28" s="119"/>
      <c r="QOH28" s="119"/>
      <c r="QOI28" s="119"/>
      <c r="QOJ28" s="119"/>
      <c r="QOK28" s="119"/>
      <c r="QOL28" s="119"/>
      <c r="QOM28" s="119"/>
      <c r="QON28" s="119"/>
      <c r="QOO28" s="119"/>
      <c r="QOP28" s="119"/>
      <c r="QOQ28" s="119"/>
      <c r="QOR28" s="119"/>
      <c r="QOS28" s="119"/>
      <c r="QOT28" s="119"/>
      <c r="QOU28" s="119"/>
      <c r="QOV28" s="119"/>
      <c r="QOW28" s="119"/>
      <c r="QOX28" s="119"/>
      <c r="QOY28" s="119"/>
      <c r="QOZ28" s="119"/>
      <c r="QPA28" s="119"/>
      <c r="QPB28" s="119"/>
      <c r="QPC28" s="119"/>
      <c r="QPD28" s="119"/>
      <c r="QPE28" s="119"/>
      <c r="QPF28" s="119"/>
      <c r="QPG28" s="119"/>
      <c r="QPH28" s="119"/>
      <c r="QPI28" s="119"/>
      <c r="QPJ28" s="119"/>
      <c r="QPK28" s="119"/>
      <c r="QPL28" s="119"/>
      <c r="QPM28" s="119"/>
      <c r="QPN28" s="119"/>
      <c r="QPO28" s="119"/>
      <c r="QPP28" s="119"/>
      <c r="QPQ28" s="119"/>
      <c r="QPR28" s="119"/>
      <c r="QPS28" s="119"/>
      <c r="QPT28" s="119"/>
      <c r="QPU28" s="119"/>
      <c r="QPV28" s="119"/>
      <c r="QPW28" s="119"/>
      <c r="QPX28" s="119"/>
      <c r="QPY28" s="119"/>
      <c r="QPZ28" s="119"/>
      <c r="QQA28" s="119"/>
      <c r="QQB28" s="119"/>
      <c r="QQC28" s="119"/>
      <c r="QQD28" s="119"/>
      <c r="QQE28" s="119"/>
      <c r="QQF28" s="119"/>
      <c r="QQG28" s="119"/>
      <c r="QQH28" s="119"/>
      <c r="QQI28" s="119"/>
      <c r="QQJ28" s="119"/>
      <c r="QQK28" s="119"/>
      <c r="QQL28" s="119"/>
      <c r="QQM28" s="119"/>
      <c r="QQN28" s="119"/>
      <c r="QQO28" s="119"/>
      <c r="QQP28" s="119"/>
      <c r="QQQ28" s="119"/>
      <c r="QQR28" s="119"/>
      <c r="QQS28" s="119"/>
      <c r="QQT28" s="119"/>
      <c r="QQU28" s="119"/>
      <c r="QQV28" s="119"/>
      <c r="QQW28" s="119"/>
      <c r="QQX28" s="119"/>
      <c r="QQY28" s="119"/>
      <c r="QQZ28" s="119"/>
      <c r="QRA28" s="119"/>
      <c r="QRB28" s="119"/>
      <c r="QRC28" s="119"/>
      <c r="QRD28" s="119"/>
      <c r="QRE28" s="119"/>
      <c r="QRF28" s="119"/>
      <c r="QRG28" s="119"/>
      <c r="QRH28" s="119"/>
      <c r="QRI28" s="119"/>
      <c r="QRJ28" s="119"/>
      <c r="QRK28" s="119"/>
      <c r="QRL28" s="119"/>
      <c r="QRM28" s="119"/>
      <c r="QRN28" s="119"/>
      <c r="QRO28" s="119"/>
      <c r="QRP28" s="119"/>
      <c r="QRQ28" s="119"/>
      <c r="QRR28" s="119"/>
      <c r="QRS28" s="119"/>
      <c r="QRT28" s="119"/>
      <c r="QRU28" s="119"/>
      <c r="QRV28" s="119"/>
      <c r="QRW28" s="119"/>
      <c r="QRX28" s="119"/>
      <c r="QRY28" s="119"/>
      <c r="QRZ28" s="119"/>
      <c r="QSA28" s="119"/>
      <c r="QSB28" s="119"/>
      <c r="QSC28" s="119"/>
      <c r="QSD28" s="119"/>
      <c r="QSE28" s="119"/>
      <c r="QSF28" s="119"/>
      <c r="QSG28" s="119"/>
      <c r="QSH28" s="119"/>
      <c r="QSI28" s="119"/>
      <c r="QSJ28" s="119"/>
      <c r="QSK28" s="119"/>
      <c r="QSL28" s="119"/>
      <c r="QSM28" s="119"/>
      <c r="QSN28" s="119"/>
      <c r="QSO28" s="119"/>
      <c r="QSP28" s="119"/>
      <c r="QSQ28" s="119"/>
      <c r="QSR28" s="119"/>
      <c r="QSS28" s="119"/>
      <c r="QST28" s="119"/>
      <c r="QSU28" s="119"/>
      <c r="QSV28" s="119"/>
      <c r="QSW28" s="119"/>
      <c r="QSX28" s="119"/>
      <c r="QSY28" s="119"/>
      <c r="QSZ28" s="119"/>
      <c r="QTA28" s="119"/>
      <c r="QTB28" s="119"/>
      <c r="QTC28" s="119"/>
      <c r="QTD28" s="119"/>
      <c r="QTE28" s="119"/>
      <c r="QTF28" s="119"/>
      <c r="QTG28" s="119"/>
      <c r="QTH28" s="119"/>
      <c r="QTI28" s="119"/>
      <c r="QTJ28" s="119"/>
      <c r="QTK28" s="119"/>
      <c r="QTL28" s="119"/>
      <c r="QTM28" s="119"/>
      <c r="QTN28" s="119"/>
      <c r="QTO28" s="119"/>
      <c r="QTP28" s="119"/>
      <c r="QTQ28" s="119"/>
      <c r="QTR28" s="119"/>
      <c r="QTS28" s="119"/>
      <c r="QTT28" s="119"/>
      <c r="QTU28" s="119"/>
      <c r="QTV28" s="119"/>
      <c r="QTW28" s="119"/>
      <c r="QTX28" s="119"/>
      <c r="QTY28" s="119"/>
      <c r="QTZ28" s="119"/>
      <c r="QUA28" s="119"/>
      <c r="QUB28" s="119"/>
      <c r="QUC28" s="119"/>
      <c r="QUD28" s="119"/>
      <c r="QUE28" s="119"/>
      <c r="QUF28" s="119"/>
      <c r="QUG28" s="119"/>
      <c r="QUH28" s="119"/>
      <c r="QUI28" s="119"/>
      <c r="QUJ28" s="119"/>
      <c r="QUK28" s="119"/>
      <c r="QUL28" s="119"/>
      <c r="QUM28" s="119"/>
      <c r="QUN28" s="119"/>
      <c r="QUO28" s="119"/>
      <c r="QUP28" s="119"/>
      <c r="QUQ28" s="119"/>
      <c r="QUR28" s="119"/>
      <c r="QUS28" s="119"/>
      <c r="QUT28" s="119"/>
      <c r="QUU28" s="119"/>
      <c r="QUV28" s="119"/>
      <c r="QUW28" s="119"/>
      <c r="QUX28" s="119"/>
      <c r="QUY28" s="119"/>
      <c r="QUZ28" s="119"/>
      <c r="QVA28" s="119"/>
      <c r="QVB28" s="119"/>
      <c r="QVC28" s="119"/>
      <c r="QVD28" s="119"/>
      <c r="QVE28" s="119"/>
      <c r="QVF28" s="119"/>
      <c r="QVG28" s="119"/>
      <c r="QVH28" s="119"/>
      <c r="QVI28" s="119"/>
      <c r="QVJ28" s="119"/>
      <c r="QVK28" s="119"/>
      <c r="QVL28" s="119"/>
      <c r="QVM28" s="119"/>
      <c r="QVN28" s="119"/>
      <c r="QVO28" s="119"/>
      <c r="QVP28" s="119"/>
      <c r="QVQ28" s="119"/>
      <c r="QVR28" s="119"/>
      <c r="QVS28" s="119"/>
      <c r="QVT28" s="119"/>
      <c r="QVU28" s="119"/>
      <c r="QVV28" s="119"/>
      <c r="QVW28" s="119"/>
      <c r="QVX28" s="119"/>
      <c r="QVY28" s="119"/>
      <c r="QVZ28" s="119"/>
      <c r="QWA28" s="119"/>
      <c r="QWB28" s="119"/>
      <c r="QWC28" s="119"/>
      <c r="QWD28" s="119"/>
      <c r="QWE28" s="119"/>
      <c r="QWF28" s="119"/>
      <c r="QWG28" s="119"/>
      <c r="QWH28" s="119"/>
      <c r="QWI28" s="119"/>
      <c r="QWJ28" s="119"/>
      <c r="QWK28" s="119"/>
      <c r="QWL28" s="119"/>
      <c r="QWM28" s="119"/>
      <c r="QWN28" s="119"/>
      <c r="QWO28" s="119"/>
      <c r="QWP28" s="119"/>
      <c r="QWQ28" s="119"/>
      <c r="QWR28" s="119"/>
      <c r="QWS28" s="119"/>
      <c r="QWT28" s="119"/>
      <c r="QWU28" s="119"/>
      <c r="QWV28" s="119"/>
      <c r="QWW28" s="119"/>
      <c r="QWX28" s="119"/>
      <c r="QWY28" s="119"/>
      <c r="QWZ28" s="119"/>
      <c r="QXA28" s="119"/>
      <c r="QXB28" s="119"/>
      <c r="QXC28" s="119"/>
      <c r="QXD28" s="119"/>
      <c r="QXE28" s="119"/>
      <c r="QXF28" s="119"/>
      <c r="QXG28" s="119"/>
      <c r="QXH28" s="119"/>
      <c r="QXI28" s="119"/>
      <c r="QXJ28" s="119"/>
      <c r="QXK28" s="119"/>
      <c r="QXL28" s="119"/>
      <c r="QXM28" s="119"/>
      <c r="QXN28" s="119"/>
      <c r="QXO28" s="119"/>
      <c r="QXP28" s="119"/>
      <c r="QXQ28" s="119"/>
      <c r="QXR28" s="119"/>
      <c r="QXS28" s="119"/>
      <c r="QXT28" s="119"/>
      <c r="QXU28" s="119"/>
      <c r="QXV28" s="119"/>
      <c r="QXW28" s="119"/>
      <c r="QXX28" s="119"/>
      <c r="QXY28" s="119"/>
      <c r="QXZ28" s="119"/>
      <c r="QYA28" s="119"/>
      <c r="QYB28" s="119"/>
      <c r="QYC28" s="119"/>
      <c r="QYD28" s="119"/>
      <c r="QYE28" s="119"/>
      <c r="QYF28" s="119"/>
      <c r="QYG28" s="119"/>
      <c r="QYH28" s="119"/>
      <c r="QYI28" s="119"/>
      <c r="QYJ28" s="119"/>
      <c r="QYK28" s="119"/>
      <c r="QYL28" s="119"/>
      <c r="QYM28" s="119"/>
      <c r="QYN28" s="119"/>
      <c r="QYO28" s="119"/>
      <c r="QYP28" s="119"/>
      <c r="QYQ28" s="119"/>
      <c r="QYR28" s="119"/>
      <c r="QYS28" s="119"/>
      <c r="QYT28" s="119"/>
      <c r="QYU28" s="119"/>
      <c r="QYV28" s="119"/>
      <c r="QYW28" s="119"/>
      <c r="QYX28" s="119"/>
      <c r="QYY28" s="119"/>
      <c r="QYZ28" s="119"/>
      <c r="QZA28" s="119"/>
      <c r="QZB28" s="119"/>
      <c r="QZC28" s="119"/>
      <c r="QZD28" s="119"/>
      <c r="QZE28" s="119"/>
      <c r="QZF28" s="119"/>
      <c r="QZG28" s="119"/>
      <c r="QZH28" s="119"/>
      <c r="QZI28" s="119"/>
      <c r="QZJ28" s="119"/>
      <c r="QZK28" s="119"/>
      <c r="QZL28" s="119"/>
      <c r="QZM28" s="119"/>
      <c r="QZN28" s="119"/>
      <c r="QZO28" s="119"/>
      <c r="QZP28" s="119"/>
      <c r="QZQ28" s="119"/>
      <c r="QZR28" s="119"/>
      <c r="QZS28" s="119"/>
      <c r="QZT28" s="119"/>
      <c r="QZU28" s="119"/>
      <c r="QZV28" s="119"/>
      <c r="QZW28" s="119"/>
      <c r="QZX28" s="119"/>
      <c r="QZY28" s="119"/>
      <c r="QZZ28" s="119"/>
      <c r="RAA28" s="119"/>
      <c r="RAB28" s="119"/>
      <c r="RAC28" s="119"/>
      <c r="RAD28" s="119"/>
      <c r="RAE28" s="119"/>
      <c r="RAF28" s="119"/>
      <c r="RAG28" s="119"/>
      <c r="RAH28" s="119"/>
      <c r="RAI28" s="119"/>
      <c r="RAJ28" s="119"/>
      <c r="RAK28" s="119"/>
      <c r="RAL28" s="119"/>
      <c r="RAM28" s="119"/>
      <c r="RAN28" s="119"/>
      <c r="RAO28" s="119"/>
      <c r="RAP28" s="119"/>
      <c r="RAQ28" s="119"/>
      <c r="RAR28" s="119"/>
      <c r="RAS28" s="119"/>
      <c r="RAT28" s="119"/>
      <c r="RAU28" s="119"/>
      <c r="RAV28" s="119"/>
      <c r="RAW28" s="119"/>
      <c r="RAX28" s="119"/>
      <c r="RAY28" s="119"/>
      <c r="RAZ28" s="119"/>
      <c r="RBA28" s="119"/>
      <c r="RBB28" s="119"/>
      <c r="RBC28" s="119"/>
      <c r="RBD28" s="119"/>
      <c r="RBE28" s="119"/>
      <c r="RBF28" s="119"/>
      <c r="RBG28" s="119"/>
      <c r="RBH28" s="119"/>
      <c r="RBI28" s="119"/>
      <c r="RBJ28" s="119"/>
      <c r="RBK28" s="119"/>
      <c r="RBL28" s="119"/>
      <c r="RBM28" s="119"/>
      <c r="RBN28" s="119"/>
      <c r="RBO28" s="119"/>
      <c r="RBP28" s="119"/>
      <c r="RBQ28" s="119"/>
      <c r="RBR28" s="119"/>
      <c r="RBS28" s="119"/>
      <c r="RBT28" s="119"/>
      <c r="RBU28" s="119"/>
      <c r="RBV28" s="119"/>
      <c r="RBW28" s="119"/>
      <c r="RBX28" s="119"/>
      <c r="RBY28" s="119"/>
      <c r="RBZ28" s="119"/>
      <c r="RCA28" s="119"/>
      <c r="RCB28" s="119"/>
      <c r="RCC28" s="119"/>
      <c r="RCD28" s="119"/>
      <c r="RCE28" s="119"/>
      <c r="RCF28" s="119"/>
      <c r="RCG28" s="119"/>
      <c r="RCH28" s="119"/>
      <c r="RCI28" s="119"/>
      <c r="RCJ28" s="119"/>
      <c r="RCK28" s="119"/>
      <c r="RCL28" s="119"/>
      <c r="RCM28" s="119"/>
      <c r="RCN28" s="119"/>
      <c r="RCO28" s="119"/>
      <c r="RCP28" s="119"/>
      <c r="RCQ28" s="119"/>
      <c r="RCR28" s="119"/>
      <c r="RCS28" s="119"/>
      <c r="RCT28" s="119"/>
      <c r="RCU28" s="119"/>
      <c r="RCV28" s="119"/>
      <c r="RCW28" s="119"/>
      <c r="RCX28" s="119"/>
      <c r="RCY28" s="119"/>
      <c r="RCZ28" s="119"/>
      <c r="RDA28" s="119"/>
      <c r="RDB28" s="119"/>
      <c r="RDC28" s="119"/>
      <c r="RDD28" s="119"/>
      <c r="RDE28" s="119"/>
      <c r="RDF28" s="119"/>
      <c r="RDG28" s="119"/>
      <c r="RDH28" s="119"/>
      <c r="RDI28" s="119"/>
      <c r="RDJ28" s="119"/>
      <c r="RDK28" s="119"/>
      <c r="RDL28" s="119"/>
      <c r="RDM28" s="119"/>
      <c r="RDN28" s="119"/>
      <c r="RDO28" s="119"/>
      <c r="RDP28" s="119"/>
      <c r="RDQ28" s="119"/>
      <c r="RDR28" s="119"/>
      <c r="RDS28" s="119"/>
      <c r="RDT28" s="119"/>
      <c r="RDU28" s="119"/>
      <c r="RDV28" s="119"/>
      <c r="RDW28" s="119"/>
      <c r="RDX28" s="119"/>
      <c r="RDY28" s="119"/>
      <c r="RDZ28" s="119"/>
      <c r="REA28" s="119"/>
      <c r="REB28" s="119"/>
      <c r="REC28" s="119"/>
      <c r="RED28" s="119"/>
      <c r="REE28" s="119"/>
      <c r="REF28" s="119"/>
      <c r="REG28" s="119"/>
      <c r="REH28" s="119"/>
      <c r="REI28" s="119"/>
      <c r="REJ28" s="119"/>
      <c r="REK28" s="119"/>
      <c r="REL28" s="119"/>
      <c r="REM28" s="119"/>
      <c r="REN28" s="119"/>
      <c r="REO28" s="119"/>
      <c r="REP28" s="119"/>
      <c r="REQ28" s="119"/>
      <c r="RER28" s="119"/>
      <c r="RES28" s="119"/>
      <c r="RET28" s="119"/>
      <c r="REU28" s="119"/>
      <c r="REV28" s="119"/>
      <c r="REW28" s="119"/>
      <c r="REX28" s="119"/>
      <c r="REY28" s="119"/>
      <c r="REZ28" s="119"/>
      <c r="RFA28" s="119"/>
      <c r="RFB28" s="119"/>
      <c r="RFC28" s="119"/>
      <c r="RFD28" s="119"/>
      <c r="RFE28" s="119"/>
      <c r="RFF28" s="119"/>
      <c r="RFG28" s="119"/>
      <c r="RFH28" s="119"/>
      <c r="RFI28" s="119"/>
      <c r="RFJ28" s="119"/>
      <c r="RFK28" s="119"/>
      <c r="RFL28" s="119"/>
      <c r="RFM28" s="119"/>
      <c r="RFN28" s="119"/>
      <c r="RFO28" s="119"/>
      <c r="RFP28" s="119"/>
      <c r="RFQ28" s="119"/>
      <c r="RFR28" s="119"/>
      <c r="RFS28" s="119"/>
      <c r="RFT28" s="119"/>
      <c r="RFU28" s="119"/>
      <c r="RFV28" s="119"/>
      <c r="RFW28" s="119"/>
      <c r="RFX28" s="119"/>
      <c r="RFY28" s="119"/>
      <c r="RFZ28" s="119"/>
      <c r="RGA28" s="119"/>
      <c r="RGB28" s="119"/>
      <c r="RGC28" s="119"/>
      <c r="RGD28" s="119"/>
      <c r="RGE28" s="119"/>
      <c r="RGF28" s="119"/>
      <c r="RGG28" s="119"/>
      <c r="RGH28" s="119"/>
      <c r="RGI28" s="119"/>
      <c r="RGJ28" s="119"/>
      <c r="RGK28" s="119"/>
      <c r="RGL28" s="119"/>
      <c r="RGM28" s="119"/>
      <c r="RGN28" s="119"/>
      <c r="RGO28" s="119"/>
      <c r="RGP28" s="119"/>
      <c r="RGQ28" s="119"/>
      <c r="RGR28" s="119"/>
      <c r="RGS28" s="119"/>
      <c r="RGT28" s="119"/>
      <c r="RGU28" s="119"/>
      <c r="RGV28" s="119"/>
      <c r="RGW28" s="119"/>
      <c r="RGX28" s="119"/>
      <c r="RGY28" s="119"/>
      <c r="RGZ28" s="119"/>
      <c r="RHA28" s="119"/>
      <c r="RHB28" s="119"/>
      <c r="RHC28" s="119"/>
      <c r="RHD28" s="119"/>
      <c r="RHE28" s="119"/>
      <c r="RHF28" s="119"/>
      <c r="RHG28" s="119"/>
      <c r="RHH28" s="119"/>
      <c r="RHI28" s="119"/>
      <c r="RHJ28" s="119"/>
      <c r="RHK28" s="119"/>
      <c r="RHL28" s="119"/>
      <c r="RHM28" s="119"/>
      <c r="RHN28" s="119"/>
      <c r="RHO28" s="119"/>
      <c r="RHP28" s="119"/>
      <c r="RHQ28" s="119"/>
      <c r="RHR28" s="119"/>
      <c r="RHS28" s="119"/>
      <c r="RHT28" s="119"/>
      <c r="RHU28" s="119"/>
      <c r="RHV28" s="119"/>
      <c r="RHW28" s="119"/>
      <c r="RHX28" s="119"/>
      <c r="RHY28" s="119"/>
      <c r="RHZ28" s="119"/>
      <c r="RIA28" s="119"/>
      <c r="RIB28" s="119"/>
      <c r="RIC28" s="119"/>
      <c r="RID28" s="119"/>
      <c r="RIE28" s="119"/>
      <c r="RIF28" s="119"/>
      <c r="RIG28" s="119"/>
      <c r="RIH28" s="119"/>
      <c r="RII28" s="119"/>
      <c r="RIJ28" s="119"/>
      <c r="RIK28" s="119"/>
      <c r="RIL28" s="119"/>
      <c r="RIM28" s="119"/>
      <c r="RIN28" s="119"/>
      <c r="RIO28" s="119"/>
      <c r="RIP28" s="119"/>
      <c r="RIQ28" s="119"/>
      <c r="RIR28" s="119"/>
      <c r="RIS28" s="119"/>
      <c r="RIT28" s="119"/>
      <c r="RIU28" s="119"/>
      <c r="RIV28" s="119"/>
      <c r="RIW28" s="119"/>
      <c r="RIX28" s="119"/>
      <c r="RIY28" s="119"/>
      <c r="RIZ28" s="119"/>
      <c r="RJA28" s="119"/>
      <c r="RJB28" s="119"/>
      <c r="RJC28" s="119"/>
      <c r="RJD28" s="119"/>
      <c r="RJE28" s="119"/>
      <c r="RJF28" s="119"/>
      <c r="RJG28" s="119"/>
      <c r="RJH28" s="119"/>
      <c r="RJI28" s="119"/>
      <c r="RJJ28" s="119"/>
      <c r="RJK28" s="119"/>
      <c r="RJL28" s="119"/>
      <c r="RJM28" s="119"/>
      <c r="RJN28" s="119"/>
      <c r="RJO28" s="119"/>
      <c r="RJP28" s="119"/>
      <c r="RJQ28" s="119"/>
      <c r="RJR28" s="119"/>
      <c r="RJS28" s="119"/>
      <c r="RJT28" s="119"/>
      <c r="RJU28" s="119"/>
      <c r="RJV28" s="119"/>
      <c r="RJW28" s="119"/>
      <c r="RJX28" s="119"/>
      <c r="RJY28" s="119"/>
      <c r="RJZ28" s="119"/>
      <c r="RKA28" s="119"/>
      <c r="RKB28" s="119"/>
      <c r="RKC28" s="119"/>
      <c r="RKD28" s="119"/>
      <c r="RKE28" s="119"/>
      <c r="RKF28" s="119"/>
      <c r="RKG28" s="119"/>
      <c r="RKH28" s="119"/>
      <c r="RKI28" s="119"/>
      <c r="RKJ28" s="119"/>
      <c r="RKK28" s="119"/>
      <c r="RKL28" s="119"/>
      <c r="RKM28" s="119"/>
      <c r="RKN28" s="119"/>
      <c r="RKO28" s="119"/>
      <c r="RKP28" s="119"/>
      <c r="RKQ28" s="119"/>
      <c r="RKR28" s="119"/>
      <c r="RKS28" s="119"/>
      <c r="RKT28" s="119"/>
      <c r="RKU28" s="119"/>
      <c r="RKV28" s="119"/>
      <c r="RKW28" s="119"/>
      <c r="RKX28" s="119"/>
      <c r="RKY28" s="119"/>
      <c r="RKZ28" s="119"/>
      <c r="RLA28" s="119"/>
      <c r="RLB28" s="119"/>
      <c r="RLC28" s="119"/>
      <c r="RLD28" s="119"/>
      <c r="RLE28" s="119"/>
      <c r="RLF28" s="119"/>
      <c r="RLG28" s="119"/>
      <c r="RLH28" s="119"/>
      <c r="RLI28" s="119"/>
      <c r="RLJ28" s="119"/>
      <c r="RLK28" s="119"/>
      <c r="RLL28" s="119"/>
      <c r="RLM28" s="119"/>
      <c r="RLN28" s="119"/>
      <c r="RLO28" s="119"/>
      <c r="RLP28" s="119"/>
      <c r="RLQ28" s="119"/>
      <c r="RLR28" s="119"/>
      <c r="RLS28" s="119"/>
      <c r="RLT28" s="119"/>
      <c r="RLU28" s="119"/>
      <c r="RLV28" s="119"/>
      <c r="RLW28" s="119"/>
      <c r="RLX28" s="119"/>
      <c r="RLY28" s="119"/>
      <c r="RLZ28" s="119"/>
      <c r="RMA28" s="119"/>
      <c r="RMB28" s="119"/>
      <c r="RMC28" s="119"/>
      <c r="RMD28" s="119"/>
      <c r="RME28" s="119"/>
      <c r="RMF28" s="119"/>
      <c r="RMG28" s="119"/>
      <c r="RMH28" s="119"/>
      <c r="RMI28" s="119"/>
      <c r="RMJ28" s="119"/>
      <c r="RMK28" s="119"/>
      <c r="RML28" s="119"/>
      <c r="RMM28" s="119"/>
      <c r="RMN28" s="119"/>
      <c r="RMO28" s="119"/>
      <c r="RMP28" s="119"/>
      <c r="RMQ28" s="119"/>
      <c r="RMR28" s="119"/>
      <c r="RMS28" s="119"/>
      <c r="RMT28" s="119"/>
      <c r="RMU28" s="119"/>
      <c r="RMV28" s="119"/>
      <c r="RMW28" s="119"/>
      <c r="RMX28" s="119"/>
      <c r="RMY28" s="119"/>
      <c r="RMZ28" s="119"/>
      <c r="RNA28" s="119"/>
      <c r="RNB28" s="119"/>
      <c r="RNC28" s="119"/>
      <c r="RND28" s="119"/>
      <c r="RNE28" s="119"/>
      <c r="RNF28" s="119"/>
      <c r="RNG28" s="119"/>
      <c r="RNH28" s="119"/>
      <c r="RNI28" s="119"/>
      <c r="RNJ28" s="119"/>
      <c r="RNK28" s="119"/>
      <c r="RNL28" s="119"/>
      <c r="RNM28" s="119"/>
      <c r="RNN28" s="119"/>
      <c r="RNO28" s="119"/>
      <c r="RNP28" s="119"/>
      <c r="RNQ28" s="119"/>
      <c r="RNR28" s="119"/>
      <c r="RNS28" s="119"/>
      <c r="RNT28" s="119"/>
      <c r="RNU28" s="119"/>
      <c r="RNV28" s="119"/>
      <c r="RNW28" s="119"/>
      <c r="RNX28" s="119"/>
      <c r="RNY28" s="119"/>
      <c r="RNZ28" s="119"/>
      <c r="ROA28" s="119"/>
      <c r="ROB28" s="119"/>
      <c r="ROC28" s="119"/>
      <c r="ROD28" s="119"/>
      <c r="ROE28" s="119"/>
      <c r="ROF28" s="119"/>
      <c r="ROG28" s="119"/>
      <c r="ROH28" s="119"/>
      <c r="ROI28" s="119"/>
      <c r="ROJ28" s="119"/>
      <c r="ROK28" s="119"/>
      <c r="ROL28" s="119"/>
      <c r="ROM28" s="119"/>
      <c r="RON28" s="119"/>
      <c r="ROO28" s="119"/>
      <c r="ROP28" s="119"/>
      <c r="ROQ28" s="119"/>
      <c r="ROR28" s="119"/>
      <c r="ROS28" s="119"/>
      <c r="ROT28" s="119"/>
      <c r="ROU28" s="119"/>
      <c r="ROV28" s="119"/>
      <c r="ROW28" s="119"/>
      <c r="ROX28" s="119"/>
      <c r="ROY28" s="119"/>
      <c r="ROZ28" s="119"/>
      <c r="RPA28" s="119"/>
      <c r="RPB28" s="119"/>
      <c r="RPC28" s="119"/>
      <c r="RPD28" s="119"/>
      <c r="RPE28" s="119"/>
      <c r="RPF28" s="119"/>
      <c r="RPG28" s="119"/>
      <c r="RPH28" s="119"/>
      <c r="RPI28" s="119"/>
      <c r="RPJ28" s="119"/>
      <c r="RPK28" s="119"/>
      <c r="RPL28" s="119"/>
      <c r="RPM28" s="119"/>
      <c r="RPN28" s="119"/>
      <c r="RPO28" s="119"/>
      <c r="RPP28" s="119"/>
      <c r="RPQ28" s="119"/>
      <c r="RPR28" s="119"/>
      <c r="RPS28" s="119"/>
      <c r="RPT28" s="119"/>
      <c r="RPU28" s="119"/>
      <c r="RPV28" s="119"/>
      <c r="RPW28" s="119"/>
      <c r="RPX28" s="119"/>
      <c r="RPY28" s="119"/>
      <c r="RPZ28" s="119"/>
      <c r="RQA28" s="119"/>
      <c r="RQB28" s="119"/>
      <c r="RQC28" s="119"/>
      <c r="RQD28" s="119"/>
      <c r="RQE28" s="119"/>
      <c r="RQF28" s="119"/>
      <c r="RQG28" s="119"/>
      <c r="RQH28" s="119"/>
      <c r="RQI28" s="119"/>
      <c r="RQJ28" s="119"/>
      <c r="RQK28" s="119"/>
      <c r="RQL28" s="119"/>
      <c r="RQM28" s="119"/>
      <c r="RQN28" s="119"/>
      <c r="RQO28" s="119"/>
      <c r="RQP28" s="119"/>
      <c r="RQQ28" s="119"/>
      <c r="RQR28" s="119"/>
      <c r="RQS28" s="119"/>
      <c r="RQT28" s="119"/>
      <c r="RQU28" s="119"/>
      <c r="RQV28" s="119"/>
      <c r="RQW28" s="119"/>
      <c r="RQX28" s="119"/>
      <c r="RQY28" s="119"/>
      <c r="RQZ28" s="119"/>
      <c r="RRA28" s="119"/>
      <c r="RRB28" s="119"/>
      <c r="RRC28" s="119"/>
      <c r="RRD28" s="119"/>
      <c r="RRE28" s="119"/>
      <c r="RRF28" s="119"/>
      <c r="RRG28" s="119"/>
      <c r="RRH28" s="119"/>
      <c r="RRI28" s="119"/>
      <c r="RRJ28" s="119"/>
      <c r="RRK28" s="119"/>
      <c r="RRL28" s="119"/>
      <c r="RRM28" s="119"/>
      <c r="RRN28" s="119"/>
      <c r="RRO28" s="119"/>
      <c r="RRP28" s="119"/>
      <c r="RRQ28" s="119"/>
      <c r="RRR28" s="119"/>
      <c r="RRS28" s="119"/>
      <c r="RRT28" s="119"/>
      <c r="RRU28" s="119"/>
      <c r="RRV28" s="119"/>
      <c r="RRW28" s="119"/>
      <c r="RRX28" s="119"/>
      <c r="RRY28" s="119"/>
      <c r="RRZ28" s="119"/>
      <c r="RSA28" s="119"/>
      <c r="RSB28" s="119"/>
      <c r="RSC28" s="119"/>
      <c r="RSD28" s="119"/>
      <c r="RSE28" s="119"/>
      <c r="RSF28" s="119"/>
      <c r="RSG28" s="119"/>
      <c r="RSH28" s="119"/>
      <c r="RSI28" s="119"/>
      <c r="RSJ28" s="119"/>
      <c r="RSK28" s="119"/>
      <c r="RSL28" s="119"/>
      <c r="RSM28" s="119"/>
      <c r="RSN28" s="119"/>
      <c r="RSO28" s="119"/>
      <c r="RSP28" s="119"/>
      <c r="RSQ28" s="119"/>
      <c r="RSR28" s="119"/>
      <c r="RSS28" s="119"/>
      <c r="RST28" s="119"/>
      <c r="RSU28" s="119"/>
      <c r="RSV28" s="119"/>
      <c r="RSW28" s="119"/>
      <c r="RSX28" s="119"/>
      <c r="RSY28" s="119"/>
      <c r="RSZ28" s="119"/>
      <c r="RTA28" s="119"/>
      <c r="RTB28" s="119"/>
      <c r="RTC28" s="119"/>
      <c r="RTD28" s="119"/>
      <c r="RTE28" s="119"/>
      <c r="RTF28" s="119"/>
      <c r="RTG28" s="119"/>
      <c r="RTH28" s="119"/>
      <c r="RTI28" s="119"/>
      <c r="RTJ28" s="119"/>
      <c r="RTK28" s="119"/>
      <c r="RTL28" s="119"/>
      <c r="RTM28" s="119"/>
      <c r="RTN28" s="119"/>
      <c r="RTO28" s="119"/>
      <c r="RTP28" s="119"/>
      <c r="RTQ28" s="119"/>
      <c r="RTR28" s="119"/>
      <c r="RTS28" s="119"/>
      <c r="RTT28" s="119"/>
      <c r="RTU28" s="119"/>
      <c r="RTV28" s="119"/>
      <c r="RTW28" s="119"/>
      <c r="RTX28" s="119"/>
      <c r="RTY28" s="119"/>
      <c r="RTZ28" s="119"/>
      <c r="RUA28" s="119"/>
      <c r="RUB28" s="119"/>
      <c r="RUC28" s="119"/>
      <c r="RUD28" s="119"/>
      <c r="RUE28" s="119"/>
      <c r="RUF28" s="119"/>
      <c r="RUG28" s="119"/>
      <c r="RUH28" s="119"/>
      <c r="RUI28" s="119"/>
      <c r="RUJ28" s="119"/>
      <c r="RUK28" s="119"/>
      <c r="RUL28" s="119"/>
      <c r="RUM28" s="119"/>
      <c r="RUN28" s="119"/>
      <c r="RUO28" s="119"/>
      <c r="RUP28" s="119"/>
      <c r="RUQ28" s="119"/>
      <c r="RUR28" s="119"/>
      <c r="RUS28" s="119"/>
      <c r="RUT28" s="119"/>
      <c r="RUU28" s="119"/>
      <c r="RUV28" s="119"/>
      <c r="RUW28" s="119"/>
      <c r="RUX28" s="119"/>
      <c r="RUY28" s="119"/>
      <c r="RUZ28" s="119"/>
      <c r="RVA28" s="119"/>
      <c r="RVB28" s="119"/>
      <c r="RVC28" s="119"/>
      <c r="RVD28" s="119"/>
      <c r="RVE28" s="119"/>
      <c r="RVF28" s="119"/>
      <c r="RVG28" s="119"/>
      <c r="RVH28" s="119"/>
      <c r="RVI28" s="119"/>
      <c r="RVJ28" s="119"/>
      <c r="RVK28" s="119"/>
      <c r="RVL28" s="119"/>
      <c r="RVM28" s="119"/>
      <c r="RVN28" s="119"/>
      <c r="RVO28" s="119"/>
      <c r="RVP28" s="119"/>
      <c r="RVQ28" s="119"/>
      <c r="RVR28" s="119"/>
      <c r="RVS28" s="119"/>
      <c r="RVT28" s="119"/>
      <c r="RVU28" s="119"/>
      <c r="RVV28" s="119"/>
      <c r="RVW28" s="119"/>
      <c r="RVX28" s="119"/>
      <c r="RVY28" s="119"/>
      <c r="RVZ28" s="119"/>
      <c r="RWA28" s="119"/>
      <c r="RWB28" s="119"/>
      <c r="RWC28" s="119"/>
      <c r="RWD28" s="119"/>
      <c r="RWE28" s="119"/>
      <c r="RWF28" s="119"/>
      <c r="RWG28" s="119"/>
      <c r="RWH28" s="119"/>
      <c r="RWI28" s="119"/>
      <c r="RWJ28" s="119"/>
      <c r="RWK28" s="119"/>
      <c r="RWL28" s="119"/>
      <c r="RWM28" s="119"/>
      <c r="RWN28" s="119"/>
      <c r="RWO28" s="119"/>
      <c r="RWP28" s="119"/>
      <c r="RWQ28" s="119"/>
      <c r="RWR28" s="119"/>
      <c r="RWS28" s="119"/>
      <c r="RWT28" s="119"/>
      <c r="RWU28" s="119"/>
      <c r="RWV28" s="119"/>
      <c r="RWW28" s="119"/>
      <c r="RWX28" s="119"/>
      <c r="RWY28" s="119"/>
      <c r="RWZ28" s="119"/>
      <c r="RXA28" s="119"/>
      <c r="RXB28" s="119"/>
      <c r="RXC28" s="119"/>
      <c r="RXD28" s="119"/>
      <c r="RXE28" s="119"/>
      <c r="RXF28" s="119"/>
      <c r="RXG28" s="119"/>
      <c r="RXH28" s="119"/>
      <c r="RXI28" s="119"/>
      <c r="RXJ28" s="119"/>
      <c r="RXK28" s="119"/>
      <c r="RXL28" s="119"/>
      <c r="RXM28" s="119"/>
      <c r="RXN28" s="119"/>
      <c r="RXO28" s="119"/>
      <c r="RXP28" s="119"/>
      <c r="RXQ28" s="119"/>
      <c r="RXR28" s="119"/>
      <c r="RXS28" s="119"/>
      <c r="RXT28" s="119"/>
      <c r="RXU28" s="119"/>
      <c r="RXV28" s="119"/>
      <c r="RXW28" s="119"/>
      <c r="RXX28" s="119"/>
      <c r="RXY28" s="119"/>
      <c r="RXZ28" s="119"/>
      <c r="RYA28" s="119"/>
      <c r="RYB28" s="119"/>
      <c r="RYC28" s="119"/>
      <c r="RYD28" s="119"/>
      <c r="RYE28" s="119"/>
      <c r="RYF28" s="119"/>
      <c r="RYG28" s="119"/>
      <c r="RYH28" s="119"/>
      <c r="RYI28" s="119"/>
      <c r="RYJ28" s="119"/>
      <c r="RYK28" s="119"/>
      <c r="RYL28" s="119"/>
      <c r="RYM28" s="119"/>
      <c r="RYN28" s="119"/>
      <c r="RYO28" s="119"/>
      <c r="RYP28" s="119"/>
      <c r="RYQ28" s="119"/>
      <c r="RYR28" s="119"/>
      <c r="RYS28" s="119"/>
      <c r="RYT28" s="119"/>
      <c r="RYU28" s="119"/>
      <c r="RYV28" s="119"/>
      <c r="RYW28" s="119"/>
      <c r="RYX28" s="119"/>
      <c r="RYY28" s="119"/>
      <c r="RYZ28" s="119"/>
      <c r="RZA28" s="119"/>
      <c r="RZB28" s="119"/>
      <c r="RZC28" s="119"/>
      <c r="RZD28" s="119"/>
      <c r="RZE28" s="119"/>
      <c r="RZF28" s="119"/>
      <c r="RZG28" s="119"/>
      <c r="RZH28" s="119"/>
      <c r="RZI28" s="119"/>
      <c r="RZJ28" s="119"/>
      <c r="RZK28" s="119"/>
      <c r="RZL28" s="119"/>
      <c r="RZM28" s="119"/>
      <c r="RZN28" s="119"/>
      <c r="RZO28" s="119"/>
      <c r="RZP28" s="119"/>
      <c r="RZQ28" s="119"/>
      <c r="RZR28" s="119"/>
      <c r="RZS28" s="119"/>
      <c r="RZT28" s="119"/>
      <c r="RZU28" s="119"/>
      <c r="RZV28" s="119"/>
      <c r="RZW28" s="119"/>
      <c r="RZX28" s="119"/>
      <c r="RZY28" s="119"/>
      <c r="RZZ28" s="119"/>
      <c r="SAA28" s="119"/>
      <c r="SAB28" s="119"/>
      <c r="SAC28" s="119"/>
      <c r="SAD28" s="119"/>
      <c r="SAE28" s="119"/>
      <c r="SAF28" s="119"/>
      <c r="SAG28" s="119"/>
      <c r="SAH28" s="119"/>
      <c r="SAI28" s="119"/>
      <c r="SAJ28" s="119"/>
      <c r="SAK28" s="119"/>
      <c r="SAL28" s="119"/>
      <c r="SAM28" s="119"/>
      <c r="SAN28" s="119"/>
      <c r="SAO28" s="119"/>
      <c r="SAP28" s="119"/>
      <c r="SAQ28" s="119"/>
      <c r="SAR28" s="119"/>
      <c r="SAS28" s="119"/>
      <c r="SAT28" s="119"/>
      <c r="SAU28" s="119"/>
      <c r="SAV28" s="119"/>
      <c r="SAW28" s="119"/>
      <c r="SAX28" s="119"/>
      <c r="SAY28" s="119"/>
      <c r="SAZ28" s="119"/>
      <c r="SBA28" s="119"/>
      <c r="SBB28" s="119"/>
      <c r="SBC28" s="119"/>
      <c r="SBD28" s="119"/>
      <c r="SBE28" s="119"/>
      <c r="SBF28" s="119"/>
      <c r="SBG28" s="119"/>
      <c r="SBH28" s="119"/>
      <c r="SBI28" s="119"/>
      <c r="SBJ28" s="119"/>
      <c r="SBK28" s="119"/>
      <c r="SBL28" s="119"/>
      <c r="SBM28" s="119"/>
      <c r="SBN28" s="119"/>
      <c r="SBO28" s="119"/>
      <c r="SBP28" s="119"/>
      <c r="SBQ28" s="119"/>
      <c r="SBR28" s="119"/>
      <c r="SBS28" s="119"/>
      <c r="SBT28" s="119"/>
      <c r="SBU28" s="119"/>
      <c r="SBV28" s="119"/>
      <c r="SBW28" s="119"/>
      <c r="SBX28" s="119"/>
      <c r="SBY28" s="119"/>
      <c r="SBZ28" s="119"/>
      <c r="SCA28" s="119"/>
      <c r="SCB28" s="119"/>
      <c r="SCC28" s="119"/>
      <c r="SCD28" s="119"/>
      <c r="SCE28" s="119"/>
      <c r="SCF28" s="119"/>
      <c r="SCG28" s="119"/>
      <c r="SCH28" s="119"/>
      <c r="SCI28" s="119"/>
      <c r="SCJ28" s="119"/>
      <c r="SCK28" s="119"/>
      <c r="SCL28" s="119"/>
      <c r="SCM28" s="119"/>
      <c r="SCN28" s="119"/>
      <c r="SCO28" s="119"/>
      <c r="SCP28" s="119"/>
      <c r="SCQ28" s="119"/>
      <c r="SCR28" s="119"/>
      <c r="SCS28" s="119"/>
      <c r="SCT28" s="119"/>
      <c r="SCU28" s="119"/>
      <c r="SCV28" s="119"/>
      <c r="SCW28" s="119"/>
      <c r="SCX28" s="119"/>
      <c r="SCY28" s="119"/>
      <c r="SCZ28" s="119"/>
      <c r="SDA28" s="119"/>
      <c r="SDB28" s="119"/>
      <c r="SDC28" s="119"/>
      <c r="SDD28" s="119"/>
      <c r="SDE28" s="119"/>
      <c r="SDF28" s="119"/>
      <c r="SDG28" s="119"/>
      <c r="SDH28" s="119"/>
      <c r="SDI28" s="119"/>
      <c r="SDJ28" s="119"/>
      <c r="SDK28" s="119"/>
      <c r="SDL28" s="119"/>
      <c r="SDM28" s="119"/>
      <c r="SDN28" s="119"/>
      <c r="SDO28" s="119"/>
      <c r="SDP28" s="119"/>
      <c r="SDQ28" s="119"/>
      <c r="SDR28" s="119"/>
      <c r="SDS28" s="119"/>
      <c r="SDT28" s="119"/>
      <c r="SDU28" s="119"/>
      <c r="SDV28" s="119"/>
      <c r="SDW28" s="119"/>
      <c r="SDX28" s="119"/>
      <c r="SDY28" s="119"/>
      <c r="SDZ28" s="119"/>
      <c r="SEA28" s="119"/>
      <c r="SEB28" s="119"/>
      <c r="SEC28" s="119"/>
      <c r="SED28" s="119"/>
      <c r="SEE28" s="119"/>
      <c r="SEF28" s="119"/>
      <c r="SEG28" s="119"/>
      <c r="SEH28" s="119"/>
      <c r="SEI28" s="119"/>
      <c r="SEJ28" s="119"/>
      <c r="SEK28" s="119"/>
      <c r="SEL28" s="119"/>
      <c r="SEM28" s="119"/>
      <c r="SEN28" s="119"/>
      <c r="SEO28" s="119"/>
      <c r="SEP28" s="119"/>
      <c r="SEQ28" s="119"/>
      <c r="SER28" s="119"/>
      <c r="SES28" s="119"/>
      <c r="SET28" s="119"/>
      <c r="SEU28" s="119"/>
      <c r="SEV28" s="119"/>
      <c r="SEW28" s="119"/>
      <c r="SEX28" s="119"/>
      <c r="SEY28" s="119"/>
      <c r="SEZ28" s="119"/>
      <c r="SFA28" s="119"/>
      <c r="SFB28" s="119"/>
      <c r="SFC28" s="119"/>
      <c r="SFD28" s="119"/>
      <c r="SFE28" s="119"/>
      <c r="SFF28" s="119"/>
      <c r="SFG28" s="119"/>
      <c r="SFH28" s="119"/>
      <c r="SFI28" s="119"/>
      <c r="SFJ28" s="119"/>
      <c r="SFK28" s="119"/>
      <c r="SFL28" s="119"/>
      <c r="SFM28" s="119"/>
      <c r="SFN28" s="119"/>
      <c r="SFO28" s="119"/>
      <c r="SFP28" s="119"/>
      <c r="SFQ28" s="119"/>
      <c r="SFR28" s="119"/>
      <c r="SFS28" s="119"/>
      <c r="SFT28" s="119"/>
      <c r="SFU28" s="119"/>
      <c r="SFV28" s="119"/>
      <c r="SFW28" s="119"/>
      <c r="SFX28" s="119"/>
      <c r="SFY28" s="119"/>
      <c r="SFZ28" s="119"/>
      <c r="SGA28" s="119"/>
      <c r="SGB28" s="119"/>
      <c r="SGC28" s="119"/>
      <c r="SGD28" s="119"/>
      <c r="SGE28" s="119"/>
      <c r="SGF28" s="119"/>
      <c r="SGG28" s="119"/>
      <c r="SGH28" s="119"/>
      <c r="SGI28" s="119"/>
      <c r="SGJ28" s="119"/>
      <c r="SGK28" s="119"/>
      <c r="SGL28" s="119"/>
      <c r="SGM28" s="119"/>
      <c r="SGN28" s="119"/>
      <c r="SGO28" s="119"/>
      <c r="SGP28" s="119"/>
      <c r="SGQ28" s="119"/>
      <c r="SGR28" s="119"/>
      <c r="SGS28" s="119"/>
      <c r="SGT28" s="119"/>
      <c r="SGU28" s="119"/>
      <c r="SGV28" s="119"/>
      <c r="SGW28" s="119"/>
      <c r="SGX28" s="119"/>
      <c r="SGY28" s="119"/>
      <c r="SGZ28" s="119"/>
      <c r="SHA28" s="119"/>
      <c r="SHB28" s="119"/>
      <c r="SHC28" s="119"/>
      <c r="SHD28" s="119"/>
      <c r="SHE28" s="119"/>
      <c r="SHF28" s="119"/>
      <c r="SHG28" s="119"/>
      <c r="SHH28" s="119"/>
      <c r="SHI28" s="119"/>
      <c r="SHJ28" s="119"/>
      <c r="SHK28" s="119"/>
      <c r="SHL28" s="119"/>
      <c r="SHM28" s="119"/>
      <c r="SHN28" s="119"/>
      <c r="SHO28" s="119"/>
      <c r="SHP28" s="119"/>
      <c r="SHQ28" s="119"/>
      <c r="SHR28" s="119"/>
      <c r="SHS28" s="119"/>
      <c r="SHT28" s="119"/>
      <c r="SHU28" s="119"/>
      <c r="SHV28" s="119"/>
      <c r="SHW28" s="119"/>
      <c r="SHX28" s="119"/>
      <c r="SHY28" s="119"/>
      <c r="SHZ28" s="119"/>
      <c r="SIA28" s="119"/>
      <c r="SIB28" s="119"/>
      <c r="SIC28" s="119"/>
      <c r="SID28" s="119"/>
      <c r="SIE28" s="119"/>
      <c r="SIF28" s="119"/>
      <c r="SIG28" s="119"/>
      <c r="SIH28" s="119"/>
      <c r="SII28" s="119"/>
      <c r="SIJ28" s="119"/>
      <c r="SIK28" s="119"/>
      <c r="SIL28" s="119"/>
      <c r="SIM28" s="119"/>
      <c r="SIN28" s="119"/>
      <c r="SIO28" s="119"/>
      <c r="SIP28" s="119"/>
      <c r="SIQ28" s="119"/>
      <c r="SIR28" s="119"/>
      <c r="SIS28" s="119"/>
      <c r="SIT28" s="119"/>
      <c r="SIU28" s="119"/>
      <c r="SIV28" s="119"/>
      <c r="SIW28" s="119"/>
      <c r="SIX28" s="119"/>
      <c r="SIY28" s="119"/>
      <c r="SIZ28" s="119"/>
      <c r="SJA28" s="119"/>
      <c r="SJB28" s="119"/>
      <c r="SJC28" s="119"/>
      <c r="SJD28" s="119"/>
      <c r="SJE28" s="119"/>
      <c r="SJF28" s="119"/>
      <c r="SJG28" s="119"/>
      <c r="SJH28" s="119"/>
      <c r="SJI28" s="119"/>
      <c r="SJJ28" s="119"/>
      <c r="SJK28" s="119"/>
      <c r="SJL28" s="119"/>
      <c r="SJM28" s="119"/>
      <c r="SJN28" s="119"/>
      <c r="SJO28" s="119"/>
      <c r="SJP28" s="119"/>
      <c r="SJQ28" s="119"/>
      <c r="SJR28" s="119"/>
      <c r="SJS28" s="119"/>
      <c r="SJT28" s="119"/>
      <c r="SJU28" s="119"/>
      <c r="SJV28" s="119"/>
      <c r="SJW28" s="119"/>
      <c r="SJX28" s="119"/>
      <c r="SJY28" s="119"/>
      <c r="SJZ28" s="119"/>
      <c r="SKA28" s="119"/>
      <c r="SKB28" s="119"/>
      <c r="SKC28" s="119"/>
      <c r="SKD28" s="119"/>
      <c r="SKE28" s="119"/>
      <c r="SKF28" s="119"/>
      <c r="SKG28" s="119"/>
      <c r="SKH28" s="119"/>
      <c r="SKI28" s="119"/>
      <c r="SKJ28" s="119"/>
      <c r="SKK28" s="119"/>
      <c r="SKL28" s="119"/>
      <c r="SKM28" s="119"/>
      <c r="SKN28" s="119"/>
      <c r="SKO28" s="119"/>
      <c r="SKP28" s="119"/>
      <c r="SKQ28" s="119"/>
      <c r="SKR28" s="119"/>
      <c r="SKS28" s="119"/>
      <c r="SKT28" s="119"/>
      <c r="SKU28" s="119"/>
      <c r="SKV28" s="119"/>
      <c r="SKW28" s="119"/>
      <c r="SKX28" s="119"/>
      <c r="SKY28" s="119"/>
      <c r="SKZ28" s="119"/>
      <c r="SLA28" s="119"/>
      <c r="SLB28" s="119"/>
      <c r="SLC28" s="119"/>
      <c r="SLD28" s="119"/>
      <c r="SLE28" s="119"/>
      <c r="SLF28" s="119"/>
      <c r="SLG28" s="119"/>
      <c r="SLH28" s="119"/>
      <c r="SLI28" s="119"/>
      <c r="SLJ28" s="119"/>
      <c r="SLK28" s="119"/>
      <c r="SLL28" s="119"/>
      <c r="SLM28" s="119"/>
      <c r="SLN28" s="119"/>
      <c r="SLO28" s="119"/>
      <c r="SLP28" s="119"/>
      <c r="SLQ28" s="119"/>
      <c r="SLR28" s="119"/>
      <c r="SLS28" s="119"/>
      <c r="SLT28" s="119"/>
      <c r="SLU28" s="119"/>
      <c r="SLV28" s="119"/>
      <c r="SLW28" s="119"/>
      <c r="SLX28" s="119"/>
      <c r="SLY28" s="119"/>
      <c r="SLZ28" s="119"/>
      <c r="SMA28" s="119"/>
      <c r="SMB28" s="119"/>
      <c r="SMC28" s="119"/>
      <c r="SMD28" s="119"/>
      <c r="SME28" s="119"/>
      <c r="SMF28" s="119"/>
      <c r="SMG28" s="119"/>
      <c r="SMH28" s="119"/>
      <c r="SMI28" s="119"/>
      <c r="SMJ28" s="119"/>
      <c r="SMK28" s="119"/>
      <c r="SML28" s="119"/>
      <c r="SMM28" s="119"/>
      <c r="SMN28" s="119"/>
      <c r="SMO28" s="119"/>
      <c r="SMP28" s="119"/>
      <c r="SMQ28" s="119"/>
      <c r="SMR28" s="119"/>
      <c r="SMS28" s="119"/>
      <c r="SMT28" s="119"/>
      <c r="SMU28" s="119"/>
      <c r="SMV28" s="119"/>
      <c r="SMW28" s="119"/>
      <c r="SMX28" s="119"/>
      <c r="SMY28" s="119"/>
      <c r="SMZ28" s="119"/>
      <c r="SNA28" s="119"/>
      <c r="SNB28" s="119"/>
      <c r="SNC28" s="119"/>
      <c r="SND28" s="119"/>
      <c r="SNE28" s="119"/>
      <c r="SNF28" s="119"/>
      <c r="SNG28" s="119"/>
      <c r="SNH28" s="119"/>
      <c r="SNI28" s="119"/>
      <c r="SNJ28" s="119"/>
      <c r="SNK28" s="119"/>
      <c r="SNL28" s="119"/>
      <c r="SNM28" s="119"/>
      <c r="SNN28" s="119"/>
      <c r="SNO28" s="119"/>
      <c r="SNP28" s="119"/>
      <c r="SNQ28" s="119"/>
      <c r="SNR28" s="119"/>
      <c r="SNS28" s="119"/>
      <c r="SNT28" s="119"/>
      <c r="SNU28" s="119"/>
      <c r="SNV28" s="119"/>
      <c r="SNW28" s="119"/>
      <c r="SNX28" s="119"/>
      <c r="SNY28" s="119"/>
      <c r="SNZ28" s="119"/>
      <c r="SOA28" s="119"/>
      <c r="SOB28" s="119"/>
      <c r="SOC28" s="119"/>
      <c r="SOD28" s="119"/>
      <c r="SOE28" s="119"/>
      <c r="SOF28" s="119"/>
      <c r="SOG28" s="119"/>
      <c r="SOH28" s="119"/>
      <c r="SOI28" s="119"/>
      <c r="SOJ28" s="119"/>
      <c r="SOK28" s="119"/>
      <c r="SOL28" s="119"/>
      <c r="SOM28" s="119"/>
      <c r="SON28" s="119"/>
      <c r="SOO28" s="119"/>
      <c r="SOP28" s="119"/>
      <c r="SOQ28" s="119"/>
      <c r="SOR28" s="119"/>
      <c r="SOS28" s="119"/>
      <c r="SOT28" s="119"/>
      <c r="SOU28" s="119"/>
      <c r="SOV28" s="119"/>
      <c r="SOW28" s="119"/>
      <c r="SOX28" s="119"/>
      <c r="SOY28" s="119"/>
      <c r="SOZ28" s="119"/>
      <c r="SPA28" s="119"/>
      <c r="SPB28" s="119"/>
      <c r="SPC28" s="119"/>
      <c r="SPD28" s="119"/>
      <c r="SPE28" s="119"/>
      <c r="SPF28" s="119"/>
      <c r="SPG28" s="119"/>
      <c r="SPH28" s="119"/>
      <c r="SPI28" s="119"/>
      <c r="SPJ28" s="119"/>
      <c r="SPK28" s="119"/>
      <c r="SPL28" s="119"/>
      <c r="SPM28" s="119"/>
      <c r="SPN28" s="119"/>
      <c r="SPO28" s="119"/>
      <c r="SPP28" s="119"/>
      <c r="SPQ28" s="119"/>
      <c r="SPR28" s="119"/>
      <c r="SPS28" s="119"/>
      <c r="SPT28" s="119"/>
      <c r="SPU28" s="119"/>
      <c r="SPV28" s="119"/>
      <c r="SPW28" s="119"/>
      <c r="SPX28" s="119"/>
      <c r="SPY28" s="119"/>
      <c r="SPZ28" s="119"/>
      <c r="SQA28" s="119"/>
      <c r="SQB28" s="119"/>
      <c r="SQC28" s="119"/>
      <c r="SQD28" s="119"/>
      <c r="SQE28" s="119"/>
      <c r="SQF28" s="119"/>
      <c r="SQG28" s="119"/>
      <c r="SQH28" s="119"/>
      <c r="SQI28" s="119"/>
      <c r="SQJ28" s="119"/>
      <c r="SQK28" s="119"/>
      <c r="SQL28" s="119"/>
      <c r="SQM28" s="119"/>
      <c r="SQN28" s="119"/>
      <c r="SQO28" s="119"/>
      <c r="SQP28" s="119"/>
      <c r="SQQ28" s="119"/>
      <c r="SQR28" s="119"/>
      <c r="SQS28" s="119"/>
      <c r="SQT28" s="119"/>
      <c r="SQU28" s="119"/>
      <c r="SQV28" s="119"/>
      <c r="SQW28" s="119"/>
      <c r="SQX28" s="119"/>
      <c r="SQY28" s="119"/>
      <c r="SQZ28" s="119"/>
      <c r="SRA28" s="119"/>
      <c r="SRB28" s="119"/>
      <c r="SRC28" s="119"/>
      <c r="SRD28" s="119"/>
      <c r="SRE28" s="119"/>
      <c r="SRF28" s="119"/>
      <c r="SRG28" s="119"/>
      <c r="SRH28" s="119"/>
      <c r="SRI28" s="119"/>
      <c r="SRJ28" s="119"/>
      <c r="SRK28" s="119"/>
      <c r="SRL28" s="119"/>
      <c r="SRM28" s="119"/>
      <c r="SRN28" s="119"/>
      <c r="SRO28" s="119"/>
      <c r="SRP28" s="119"/>
      <c r="SRQ28" s="119"/>
      <c r="SRR28" s="119"/>
      <c r="SRS28" s="119"/>
      <c r="SRT28" s="119"/>
      <c r="SRU28" s="119"/>
      <c r="SRV28" s="119"/>
      <c r="SRW28" s="119"/>
      <c r="SRX28" s="119"/>
      <c r="SRY28" s="119"/>
      <c r="SRZ28" s="119"/>
      <c r="SSA28" s="119"/>
      <c r="SSB28" s="119"/>
      <c r="SSC28" s="119"/>
      <c r="SSD28" s="119"/>
      <c r="SSE28" s="119"/>
      <c r="SSF28" s="119"/>
      <c r="SSG28" s="119"/>
      <c r="SSH28" s="119"/>
      <c r="SSI28" s="119"/>
      <c r="SSJ28" s="119"/>
      <c r="SSK28" s="119"/>
      <c r="SSL28" s="119"/>
      <c r="SSM28" s="119"/>
      <c r="SSN28" s="119"/>
      <c r="SSO28" s="119"/>
      <c r="SSP28" s="119"/>
      <c r="SSQ28" s="119"/>
      <c r="SSR28" s="119"/>
      <c r="SSS28" s="119"/>
      <c r="SST28" s="119"/>
      <c r="SSU28" s="119"/>
      <c r="SSV28" s="119"/>
      <c r="SSW28" s="119"/>
      <c r="SSX28" s="119"/>
      <c r="SSY28" s="119"/>
      <c r="SSZ28" s="119"/>
      <c r="STA28" s="119"/>
      <c r="STB28" s="119"/>
      <c r="STC28" s="119"/>
      <c r="STD28" s="119"/>
      <c r="STE28" s="119"/>
      <c r="STF28" s="119"/>
      <c r="STG28" s="119"/>
      <c r="STH28" s="119"/>
      <c r="STI28" s="119"/>
      <c r="STJ28" s="119"/>
      <c r="STK28" s="119"/>
      <c r="STL28" s="119"/>
      <c r="STM28" s="119"/>
      <c r="STN28" s="119"/>
      <c r="STO28" s="119"/>
      <c r="STP28" s="119"/>
      <c r="STQ28" s="119"/>
      <c r="STR28" s="119"/>
      <c r="STS28" s="119"/>
      <c r="STT28" s="119"/>
      <c r="STU28" s="119"/>
      <c r="STV28" s="119"/>
      <c r="STW28" s="119"/>
      <c r="STX28" s="119"/>
      <c r="STY28" s="119"/>
      <c r="STZ28" s="119"/>
      <c r="SUA28" s="119"/>
      <c r="SUB28" s="119"/>
      <c r="SUC28" s="119"/>
      <c r="SUD28" s="119"/>
      <c r="SUE28" s="119"/>
      <c r="SUF28" s="119"/>
      <c r="SUG28" s="119"/>
      <c r="SUH28" s="119"/>
      <c r="SUI28" s="119"/>
      <c r="SUJ28" s="119"/>
      <c r="SUK28" s="119"/>
      <c r="SUL28" s="119"/>
      <c r="SUM28" s="119"/>
      <c r="SUN28" s="119"/>
      <c r="SUO28" s="119"/>
      <c r="SUP28" s="119"/>
      <c r="SUQ28" s="119"/>
      <c r="SUR28" s="119"/>
      <c r="SUS28" s="119"/>
      <c r="SUT28" s="119"/>
      <c r="SUU28" s="119"/>
      <c r="SUV28" s="119"/>
      <c r="SUW28" s="119"/>
      <c r="SUX28" s="119"/>
      <c r="SUY28" s="119"/>
      <c r="SUZ28" s="119"/>
      <c r="SVA28" s="119"/>
      <c r="SVB28" s="119"/>
      <c r="SVC28" s="119"/>
      <c r="SVD28" s="119"/>
      <c r="SVE28" s="119"/>
      <c r="SVF28" s="119"/>
      <c r="SVG28" s="119"/>
      <c r="SVH28" s="119"/>
      <c r="SVI28" s="119"/>
      <c r="SVJ28" s="119"/>
      <c r="SVK28" s="119"/>
      <c r="SVL28" s="119"/>
      <c r="SVM28" s="119"/>
      <c r="SVN28" s="119"/>
      <c r="SVO28" s="119"/>
      <c r="SVP28" s="119"/>
      <c r="SVQ28" s="119"/>
      <c r="SVR28" s="119"/>
      <c r="SVS28" s="119"/>
      <c r="SVT28" s="119"/>
      <c r="SVU28" s="119"/>
      <c r="SVV28" s="119"/>
      <c r="SVW28" s="119"/>
      <c r="SVX28" s="119"/>
      <c r="SVY28" s="119"/>
      <c r="SVZ28" s="119"/>
      <c r="SWA28" s="119"/>
      <c r="SWB28" s="119"/>
      <c r="SWC28" s="119"/>
      <c r="SWD28" s="119"/>
      <c r="SWE28" s="119"/>
      <c r="SWF28" s="119"/>
      <c r="SWG28" s="119"/>
      <c r="SWH28" s="119"/>
      <c r="SWI28" s="119"/>
      <c r="SWJ28" s="119"/>
      <c r="SWK28" s="119"/>
      <c r="SWL28" s="119"/>
      <c r="SWM28" s="119"/>
      <c r="SWN28" s="119"/>
      <c r="SWO28" s="119"/>
      <c r="SWP28" s="119"/>
      <c r="SWQ28" s="119"/>
      <c r="SWR28" s="119"/>
      <c r="SWS28" s="119"/>
      <c r="SWT28" s="119"/>
      <c r="SWU28" s="119"/>
      <c r="SWV28" s="119"/>
      <c r="SWW28" s="119"/>
      <c r="SWX28" s="119"/>
      <c r="SWY28" s="119"/>
      <c r="SWZ28" s="119"/>
      <c r="SXA28" s="119"/>
      <c r="SXB28" s="119"/>
      <c r="SXC28" s="119"/>
      <c r="SXD28" s="119"/>
      <c r="SXE28" s="119"/>
      <c r="SXF28" s="119"/>
      <c r="SXG28" s="119"/>
      <c r="SXH28" s="119"/>
      <c r="SXI28" s="119"/>
      <c r="SXJ28" s="119"/>
      <c r="SXK28" s="119"/>
      <c r="SXL28" s="119"/>
      <c r="SXM28" s="119"/>
      <c r="SXN28" s="119"/>
      <c r="SXO28" s="119"/>
      <c r="SXP28" s="119"/>
      <c r="SXQ28" s="119"/>
      <c r="SXR28" s="119"/>
      <c r="SXS28" s="119"/>
      <c r="SXT28" s="119"/>
      <c r="SXU28" s="119"/>
      <c r="SXV28" s="119"/>
      <c r="SXW28" s="119"/>
      <c r="SXX28" s="119"/>
      <c r="SXY28" s="119"/>
      <c r="SXZ28" s="119"/>
      <c r="SYA28" s="119"/>
      <c r="SYB28" s="119"/>
      <c r="SYC28" s="119"/>
      <c r="SYD28" s="119"/>
      <c r="SYE28" s="119"/>
      <c r="SYF28" s="119"/>
      <c r="SYG28" s="119"/>
      <c r="SYH28" s="119"/>
      <c r="SYI28" s="119"/>
      <c r="SYJ28" s="119"/>
      <c r="SYK28" s="119"/>
      <c r="SYL28" s="119"/>
      <c r="SYM28" s="119"/>
      <c r="SYN28" s="119"/>
      <c r="SYO28" s="119"/>
      <c r="SYP28" s="119"/>
      <c r="SYQ28" s="119"/>
      <c r="SYR28" s="119"/>
      <c r="SYS28" s="119"/>
      <c r="SYT28" s="119"/>
      <c r="SYU28" s="119"/>
      <c r="SYV28" s="119"/>
      <c r="SYW28" s="119"/>
      <c r="SYX28" s="119"/>
      <c r="SYY28" s="119"/>
      <c r="SYZ28" s="119"/>
      <c r="SZA28" s="119"/>
      <c r="SZB28" s="119"/>
      <c r="SZC28" s="119"/>
      <c r="SZD28" s="119"/>
      <c r="SZE28" s="119"/>
      <c r="SZF28" s="119"/>
      <c r="SZG28" s="119"/>
      <c r="SZH28" s="119"/>
      <c r="SZI28" s="119"/>
      <c r="SZJ28" s="119"/>
      <c r="SZK28" s="119"/>
      <c r="SZL28" s="119"/>
      <c r="SZM28" s="119"/>
      <c r="SZN28" s="119"/>
      <c r="SZO28" s="119"/>
      <c r="SZP28" s="119"/>
      <c r="SZQ28" s="119"/>
      <c r="SZR28" s="119"/>
      <c r="SZS28" s="119"/>
      <c r="SZT28" s="119"/>
      <c r="SZU28" s="119"/>
      <c r="SZV28" s="119"/>
      <c r="SZW28" s="119"/>
      <c r="SZX28" s="119"/>
      <c r="SZY28" s="119"/>
      <c r="SZZ28" s="119"/>
      <c r="TAA28" s="119"/>
      <c r="TAB28" s="119"/>
      <c r="TAC28" s="119"/>
      <c r="TAD28" s="119"/>
      <c r="TAE28" s="119"/>
      <c r="TAF28" s="119"/>
      <c r="TAG28" s="119"/>
      <c r="TAH28" s="119"/>
      <c r="TAI28" s="119"/>
      <c r="TAJ28" s="119"/>
      <c r="TAK28" s="119"/>
      <c r="TAL28" s="119"/>
      <c r="TAM28" s="119"/>
      <c r="TAN28" s="119"/>
      <c r="TAO28" s="119"/>
      <c r="TAP28" s="119"/>
      <c r="TAQ28" s="119"/>
      <c r="TAR28" s="119"/>
      <c r="TAS28" s="119"/>
      <c r="TAT28" s="119"/>
      <c r="TAU28" s="119"/>
      <c r="TAV28" s="119"/>
      <c r="TAW28" s="119"/>
      <c r="TAX28" s="119"/>
      <c r="TAY28" s="119"/>
      <c r="TAZ28" s="119"/>
      <c r="TBA28" s="119"/>
      <c r="TBB28" s="119"/>
      <c r="TBC28" s="119"/>
      <c r="TBD28" s="119"/>
      <c r="TBE28" s="119"/>
      <c r="TBF28" s="119"/>
      <c r="TBG28" s="119"/>
      <c r="TBH28" s="119"/>
      <c r="TBI28" s="119"/>
      <c r="TBJ28" s="119"/>
      <c r="TBK28" s="119"/>
      <c r="TBL28" s="119"/>
      <c r="TBM28" s="119"/>
      <c r="TBN28" s="119"/>
      <c r="TBO28" s="119"/>
      <c r="TBP28" s="119"/>
      <c r="TBQ28" s="119"/>
      <c r="TBR28" s="119"/>
      <c r="TBS28" s="119"/>
      <c r="TBT28" s="119"/>
      <c r="TBU28" s="119"/>
      <c r="TBV28" s="119"/>
      <c r="TBW28" s="119"/>
      <c r="TBX28" s="119"/>
      <c r="TBY28" s="119"/>
      <c r="TBZ28" s="119"/>
      <c r="TCA28" s="119"/>
      <c r="TCB28" s="119"/>
      <c r="TCC28" s="119"/>
      <c r="TCD28" s="119"/>
      <c r="TCE28" s="119"/>
      <c r="TCF28" s="119"/>
      <c r="TCG28" s="119"/>
      <c r="TCH28" s="119"/>
      <c r="TCI28" s="119"/>
      <c r="TCJ28" s="119"/>
      <c r="TCK28" s="119"/>
      <c r="TCL28" s="119"/>
      <c r="TCM28" s="119"/>
      <c r="TCN28" s="119"/>
      <c r="TCO28" s="119"/>
      <c r="TCP28" s="119"/>
      <c r="TCQ28" s="119"/>
      <c r="TCR28" s="119"/>
      <c r="TCS28" s="119"/>
      <c r="TCT28" s="119"/>
      <c r="TCU28" s="119"/>
      <c r="TCV28" s="119"/>
      <c r="TCW28" s="119"/>
      <c r="TCX28" s="119"/>
      <c r="TCY28" s="119"/>
      <c r="TCZ28" s="119"/>
      <c r="TDA28" s="119"/>
      <c r="TDB28" s="119"/>
      <c r="TDC28" s="119"/>
      <c r="TDD28" s="119"/>
      <c r="TDE28" s="119"/>
      <c r="TDF28" s="119"/>
      <c r="TDG28" s="119"/>
      <c r="TDH28" s="119"/>
      <c r="TDI28" s="119"/>
      <c r="TDJ28" s="119"/>
      <c r="TDK28" s="119"/>
      <c r="TDL28" s="119"/>
      <c r="TDM28" s="119"/>
      <c r="TDN28" s="119"/>
      <c r="TDO28" s="119"/>
      <c r="TDP28" s="119"/>
      <c r="TDQ28" s="119"/>
      <c r="TDR28" s="119"/>
      <c r="TDS28" s="119"/>
      <c r="TDT28" s="119"/>
      <c r="TDU28" s="119"/>
      <c r="TDV28" s="119"/>
      <c r="TDW28" s="119"/>
      <c r="TDX28" s="119"/>
      <c r="TDY28" s="119"/>
      <c r="TDZ28" s="119"/>
      <c r="TEA28" s="119"/>
      <c r="TEB28" s="119"/>
      <c r="TEC28" s="119"/>
      <c r="TED28" s="119"/>
      <c r="TEE28" s="119"/>
      <c r="TEF28" s="119"/>
      <c r="TEG28" s="119"/>
      <c r="TEH28" s="119"/>
      <c r="TEI28" s="119"/>
      <c r="TEJ28" s="119"/>
      <c r="TEK28" s="119"/>
      <c r="TEL28" s="119"/>
      <c r="TEM28" s="119"/>
      <c r="TEN28" s="119"/>
      <c r="TEO28" s="119"/>
      <c r="TEP28" s="119"/>
      <c r="TEQ28" s="119"/>
      <c r="TER28" s="119"/>
      <c r="TES28" s="119"/>
      <c r="TET28" s="119"/>
      <c r="TEU28" s="119"/>
      <c r="TEV28" s="119"/>
      <c r="TEW28" s="119"/>
      <c r="TEX28" s="119"/>
      <c r="TEY28" s="119"/>
      <c r="TEZ28" s="119"/>
      <c r="TFA28" s="119"/>
      <c r="TFB28" s="119"/>
      <c r="TFC28" s="119"/>
      <c r="TFD28" s="119"/>
      <c r="TFE28" s="119"/>
      <c r="TFF28" s="119"/>
      <c r="TFG28" s="119"/>
      <c r="TFH28" s="119"/>
      <c r="TFI28" s="119"/>
      <c r="TFJ28" s="119"/>
      <c r="TFK28" s="119"/>
      <c r="TFL28" s="119"/>
      <c r="TFM28" s="119"/>
      <c r="TFN28" s="119"/>
      <c r="TFO28" s="119"/>
      <c r="TFP28" s="119"/>
      <c r="TFQ28" s="119"/>
      <c r="TFR28" s="119"/>
      <c r="TFS28" s="119"/>
      <c r="TFT28" s="119"/>
      <c r="TFU28" s="119"/>
      <c r="TFV28" s="119"/>
      <c r="TFW28" s="119"/>
      <c r="TFX28" s="119"/>
      <c r="TFY28" s="119"/>
      <c r="TFZ28" s="119"/>
      <c r="TGA28" s="119"/>
      <c r="TGB28" s="119"/>
      <c r="TGC28" s="119"/>
      <c r="TGD28" s="119"/>
      <c r="TGE28" s="119"/>
      <c r="TGF28" s="119"/>
      <c r="TGG28" s="119"/>
      <c r="TGH28" s="119"/>
      <c r="TGI28" s="119"/>
      <c r="TGJ28" s="119"/>
      <c r="TGK28" s="119"/>
      <c r="TGL28" s="119"/>
      <c r="TGM28" s="119"/>
      <c r="TGN28" s="119"/>
      <c r="TGO28" s="119"/>
      <c r="TGP28" s="119"/>
      <c r="TGQ28" s="119"/>
      <c r="TGR28" s="119"/>
      <c r="TGS28" s="119"/>
      <c r="TGT28" s="119"/>
      <c r="TGU28" s="119"/>
      <c r="TGV28" s="119"/>
      <c r="TGW28" s="119"/>
      <c r="TGX28" s="119"/>
      <c r="TGY28" s="119"/>
      <c r="TGZ28" s="119"/>
      <c r="THA28" s="119"/>
      <c r="THB28" s="119"/>
      <c r="THC28" s="119"/>
      <c r="THD28" s="119"/>
      <c r="THE28" s="119"/>
      <c r="THF28" s="119"/>
      <c r="THG28" s="119"/>
      <c r="THH28" s="119"/>
      <c r="THI28" s="119"/>
      <c r="THJ28" s="119"/>
      <c r="THK28" s="119"/>
      <c r="THL28" s="119"/>
      <c r="THM28" s="119"/>
      <c r="THN28" s="119"/>
      <c r="THO28" s="119"/>
      <c r="THP28" s="119"/>
      <c r="THQ28" s="119"/>
      <c r="THR28" s="119"/>
      <c r="THS28" s="119"/>
      <c r="THT28" s="119"/>
      <c r="THU28" s="119"/>
      <c r="THV28" s="119"/>
      <c r="THW28" s="119"/>
      <c r="THX28" s="119"/>
      <c r="THY28" s="119"/>
      <c r="THZ28" s="119"/>
      <c r="TIA28" s="119"/>
      <c r="TIB28" s="119"/>
      <c r="TIC28" s="119"/>
      <c r="TID28" s="119"/>
      <c r="TIE28" s="119"/>
      <c r="TIF28" s="119"/>
      <c r="TIG28" s="119"/>
      <c r="TIH28" s="119"/>
      <c r="TII28" s="119"/>
      <c r="TIJ28" s="119"/>
      <c r="TIK28" s="119"/>
      <c r="TIL28" s="119"/>
      <c r="TIM28" s="119"/>
      <c r="TIN28" s="119"/>
      <c r="TIO28" s="119"/>
      <c r="TIP28" s="119"/>
      <c r="TIQ28" s="119"/>
      <c r="TIR28" s="119"/>
      <c r="TIS28" s="119"/>
      <c r="TIT28" s="119"/>
      <c r="TIU28" s="119"/>
      <c r="TIV28" s="119"/>
      <c r="TIW28" s="119"/>
      <c r="TIX28" s="119"/>
      <c r="TIY28" s="119"/>
      <c r="TIZ28" s="119"/>
      <c r="TJA28" s="119"/>
      <c r="TJB28" s="119"/>
      <c r="TJC28" s="119"/>
      <c r="TJD28" s="119"/>
      <c r="TJE28" s="119"/>
      <c r="TJF28" s="119"/>
      <c r="TJG28" s="119"/>
      <c r="TJH28" s="119"/>
      <c r="TJI28" s="119"/>
      <c r="TJJ28" s="119"/>
      <c r="TJK28" s="119"/>
      <c r="TJL28" s="119"/>
      <c r="TJM28" s="119"/>
      <c r="TJN28" s="119"/>
      <c r="TJO28" s="119"/>
      <c r="TJP28" s="119"/>
      <c r="TJQ28" s="119"/>
      <c r="TJR28" s="119"/>
      <c r="TJS28" s="119"/>
      <c r="TJT28" s="119"/>
      <c r="TJU28" s="119"/>
      <c r="TJV28" s="119"/>
      <c r="TJW28" s="119"/>
      <c r="TJX28" s="119"/>
      <c r="TJY28" s="119"/>
      <c r="TJZ28" s="119"/>
      <c r="TKA28" s="119"/>
      <c r="TKB28" s="119"/>
      <c r="TKC28" s="119"/>
      <c r="TKD28" s="119"/>
      <c r="TKE28" s="119"/>
      <c r="TKF28" s="119"/>
      <c r="TKG28" s="119"/>
      <c r="TKH28" s="119"/>
      <c r="TKI28" s="119"/>
      <c r="TKJ28" s="119"/>
      <c r="TKK28" s="119"/>
      <c r="TKL28" s="119"/>
      <c r="TKM28" s="119"/>
      <c r="TKN28" s="119"/>
      <c r="TKO28" s="119"/>
      <c r="TKP28" s="119"/>
      <c r="TKQ28" s="119"/>
      <c r="TKR28" s="119"/>
      <c r="TKS28" s="119"/>
      <c r="TKT28" s="119"/>
      <c r="TKU28" s="119"/>
      <c r="TKV28" s="119"/>
      <c r="TKW28" s="119"/>
      <c r="TKX28" s="119"/>
      <c r="TKY28" s="119"/>
      <c r="TKZ28" s="119"/>
      <c r="TLA28" s="119"/>
      <c r="TLB28" s="119"/>
      <c r="TLC28" s="119"/>
      <c r="TLD28" s="119"/>
      <c r="TLE28" s="119"/>
      <c r="TLF28" s="119"/>
      <c r="TLG28" s="119"/>
      <c r="TLH28" s="119"/>
      <c r="TLI28" s="119"/>
      <c r="TLJ28" s="119"/>
      <c r="TLK28" s="119"/>
      <c r="TLL28" s="119"/>
      <c r="TLM28" s="119"/>
      <c r="TLN28" s="119"/>
      <c r="TLO28" s="119"/>
      <c r="TLP28" s="119"/>
      <c r="TLQ28" s="119"/>
      <c r="TLR28" s="119"/>
      <c r="TLS28" s="119"/>
      <c r="TLT28" s="119"/>
      <c r="TLU28" s="119"/>
      <c r="TLV28" s="119"/>
      <c r="TLW28" s="119"/>
      <c r="TLX28" s="119"/>
      <c r="TLY28" s="119"/>
      <c r="TLZ28" s="119"/>
      <c r="TMA28" s="119"/>
      <c r="TMB28" s="119"/>
      <c r="TMC28" s="119"/>
      <c r="TMD28" s="119"/>
      <c r="TME28" s="119"/>
      <c r="TMF28" s="119"/>
      <c r="TMG28" s="119"/>
      <c r="TMH28" s="119"/>
      <c r="TMI28" s="119"/>
      <c r="TMJ28" s="119"/>
      <c r="TMK28" s="119"/>
      <c r="TML28" s="119"/>
      <c r="TMM28" s="119"/>
      <c r="TMN28" s="119"/>
      <c r="TMO28" s="119"/>
      <c r="TMP28" s="119"/>
      <c r="TMQ28" s="119"/>
      <c r="TMR28" s="119"/>
      <c r="TMS28" s="119"/>
      <c r="TMT28" s="119"/>
      <c r="TMU28" s="119"/>
      <c r="TMV28" s="119"/>
      <c r="TMW28" s="119"/>
      <c r="TMX28" s="119"/>
      <c r="TMY28" s="119"/>
      <c r="TMZ28" s="119"/>
      <c r="TNA28" s="119"/>
      <c r="TNB28" s="119"/>
      <c r="TNC28" s="119"/>
      <c r="TND28" s="119"/>
      <c r="TNE28" s="119"/>
      <c r="TNF28" s="119"/>
      <c r="TNG28" s="119"/>
      <c r="TNH28" s="119"/>
      <c r="TNI28" s="119"/>
      <c r="TNJ28" s="119"/>
      <c r="TNK28" s="119"/>
      <c r="TNL28" s="119"/>
      <c r="TNM28" s="119"/>
      <c r="TNN28" s="119"/>
      <c r="TNO28" s="119"/>
      <c r="TNP28" s="119"/>
      <c r="TNQ28" s="119"/>
      <c r="TNR28" s="119"/>
      <c r="TNS28" s="119"/>
      <c r="TNT28" s="119"/>
      <c r="TNU28" s="119"/>
      <c r="TNV28" s="119"/>
      <c r="TNW28" s="119"/>
      <c r="TNX28" s="119"/>
      <c r="TNY28" s="119"/>
      <c r="TNZ28" s="119"/>
      <c r="TOA28" s="119"/>
      <c r="TOB28" s="119"/>
      <c r="TOC28" s="119"/>
      <c r="TOD28" s="119"/>
      <c r="TOE28" s="119"/>
      <c r="TOF28" s="119"/>
      <c r="TOG28" s="119"/>
      <c r="TOH28" s="119"/>
      <c r="TOI28" s="119"/>
      <c r="TOJ28" s="119"/>
      <c r="TOK28" s="119"/>
      <c r="TOL28" s="119"/>
      <c r="TOM28" s="119"/>
      <c r="TON28" s="119"/>
      <c r="TOO28" s="119"/>
      <c r="TOP28" s="119"/>
      <c r="TOQ28" s="119"/>
      <c r="TOR28" s="119"/>
      <c r="TOS28" s="119"/>
      <c r="TOT28" s="119"/>
      <c r="TOU28" s="119"/>
      <c r="TOV28" s="119"/>
      <c r="TOW28" s="119"/>
      <c r="TOX28" s="119"/>
      <c r="TOY28" s="119"/>
      <c r="TOZ28" s="119"/>
      <c r="TPA28" s="119"/>
      <c r="TPB28" s="119"/>
      <c r="TPC28" s="119"/>
      <c r="TPD28" s="119"/>
      <c r="TPE28" s="119"/>
      <c r="TPF28" s="119"/>
      <c r="TPG28" s="119"/>
      <c r="TPH28" s="119"/>
      <c r="TPI28" s="119"/>
      <c r="TPJ28" s="119"/>
      <c r="TPK28" s="119"/>
      <c r="TPL28" s="119"/>
      <c r="TPM28" s="119"/>
      <c r="TPN28" s="119"/>
      <c r="TPO28" s="119"/>
      <c r="TPP28" s="119"/>
      <c r="TPQ28" s="119"/>
      <c r="TPR28" s="119"/>
      <c r="TPS28" s="119"/>
      <c r="TPT28" s="119"/>
      <c r="TPU28" s="119"/>
      <c r="TPV28" s="119"/>
      <c r="TPW28" s="119"/>
      <c r="TPX28" s="119"/>
      <c r="TPY28" s="119"/>
      <c r="TPZ28" s="119"/>
      <c r="TQA28" s="119"/>
      <c r="TQB28" s="119"/>
      <c r="TQC28" s="119"/>
      <c r="TQD28" s="119"/>
      <c r="TQE28" s="119"/>
      <c r="TQF28" s="119"/>
      <c r="TQG28" s="119"/>
      <c r="TQH28" s="119"/>
      <c r="TQI28" s="119"/>
      <c r="TQJ28" s="119"/>
      <c r="TQK28" s="119"/>
      <c r="TQL28" s="119"/>
      <c r="TQM28" s="119"/>
      <c r="TQN28" s="119"/>
      <c r="TQO28" s="119"/>
      <c r="TQP28" s="119"/>
      <c r="TQQ28" s="119"/>
      <c r="TQR28" s="119"/>
      <c r="TQS28" s="119"/>
      <c r="TQT28" s="119"/>
      <c r="TQU28" s="119"/>
      <c r="TQV28" s="119"/>
      <c r="TQW28" s="119"/>
      <c r="TQX28" s="119"/>
      <c r="TQY28" s="119"/>
      <c r="TQZ28" s="119"/>
      <c r="TRA28" s="119"/>
      <c r="TRB28" s="119"/>
      <c r="TRC28" s="119"/>
      <c r="TRD28" s="119"/>
      <c r="TRE28" s="119"/>
      <c r="TRF28" s="119"/>
      <c r="TRG28" s="119"/>
      <c r="TRH28" s="119"/>
      <c r="TRI28" s="119"/>
      <c r="TRJ28" s="119"/>
      <c r="TRK28" s="119"/>
      <c r="TRL28" s="119"/>
      <c r="TRM28" s="119"/>
      <c r="TRN28" s="119"/>
      <c r="TRO28" s="119"/>
      <c r="TRP28" s="119"/>
      <c r="TRQ28" s="119"/>
      <c r="TRR28" s="119"/>
      <c r="TRS28" s="119"/>
      <c r="TRT28" s="119"/>
      <c r="TRU28" s="119"/>
      <c r="TRV28" s="119"/>
      <c r="TRW28" s="119"/>
      <c r="TRX28" s="119"/>
      <c r="TRY28" s="119"/>
      <c r="TRZ28" s="119"/>
      <c r="TSA28" s="119"/>
      <c r="TSB28" s="119"/>
      <c r="TSC28" s="119"/>
      <c r="TSD28" s="119"/>
      <c r="TSE28" s="119"/>
      <c r="TSF28" s="119"/>
      <c r="TSG28" s="119"/>
      <c r="TSH28" s="119"/>
      <c r="TSI28" s="119"/>
      <c r="TSJ28" s="119"/>
      <c r="TSK28" s="119"/>
      <c r="TSL28" s="119"/>
      <c r="TSM28" s="119"/>
      <c r="TSN28" s="119"/>
      <c r="TSO28" s="119"/>
      <c r="TSP28" s="119"/>
      <c r="TSQ28" s="119"/>
      <c r="TSR28" s="119"/>
      <c r="TSS28" s="119"/>
      <c r="TST28" s="119"/>
      <c r="TSU28" s="119"/>
      <c r="TSV28" s="119"/>
      <c r="TSW28" s="119"/>
      <c r="TSX28" s="119"/>
      <c r="TSY28" s="119"/>
      <c r="TSZ28" s="119"/>
      <c r="TTA28" s="119"/>
      <c r="TTB28" s="119"/>
      <c r="TTC28" s="119"/>
      <c r="TTD28" s="119"/>
      <c r="TTE28" s="119"/>
      <c r="TTF28" s="119"/>
      <c r="TTG28" s="119"/>
      <c r="TTH28" s="119"/>
      <c r="TTI28" s="119"/>
      <c r="TTJ28" s="119"/>
      <c r="TTK28" s="119"/>
      <c r="TTL28" s="119"/>
      <c r="TTM28" s="119"/>
      <c r="TTN28" s="119"/>
      <c r="TTO28" s="119"/>
      <c r="TTP28" s="119"/>
      <c r="TTQ28" s="119"/>
      <c r="TTR28" s="119"/>
      <c r="TTS28" s="119"/>
      <c r="TTT28" s="119"/>
      <c r="TTU28" s="119"/>
      <c r="TTV28" s="119"/>
      <c r="TTW28" s="119"/>
      <c r="TTX28" s="119"/>
      <c r="TTY28" s="119"/>
      <c r="TTZ28" s="119"/>
      <c r="TUA28" s="119"/>
      <c r="TUB28" s="119"/>
      <c r="TUC28" s="119"/>
      <c r="TUD28" s="119"/>
      <c r="TUE28" s="119"/>
      <c r="TUF28" s="119"/>
      <c r="TUG28" s="119"/>
      <c r="TUH28" s="119"/>
      <c r="TUI28" s="119"/>
      <c r="TUJ28" s="119"/>
      <c r="TUK28" s="119"/>
      <c r="TUL28" s="119"/>
      <c r="TUM28" s="119"/>
      <c r="TUN28" s="119"/>
      <c r="TUO28" s="119"/>
      <c r="TUP28" s="119"/>
      <c r="TUQ28" s="119"/>
      <c r="TUR28" s="119"/>
      <c r="TUS28" s="119"/>
      <c r="TUT28" s="119"/>
      <c r="TUU28" s="119"/>
      <c r="TUV28" s="119"/>
      <c r="TUW28" s="119"/>
      <c r="TUX28" s="119"/>
      <c r="TUY28" s="119"/>
      <c r="TUZ28" s="119"/>
      <c r="TVA28" s="119"/>
      <c r="TVB28" s="119"/>
      <c r="TVC28" s="119"/>
      <c r="TVD28" s="119"/>
      <c r="TVE28" s="119"/>
      <c r="TVF28" s="119"/>
      <c r="TVG28" s="119"/>
      <c r="TVH28" s="119"/>
      <c r="TVI28" s="119"/>
      <c r="TVJ28" s="119"/>
      <c r="TVK28" s="119"/>
      <c r="TVL28" s="119"/>
      <c r="TVM28" s="119"/>
      <c r="TVN28" s="119"/>
      <c r="TVO28" s="119"/>
      <c r="TVP28" s="119"/>
      <c r="TVQ28" s="119"/>
      <c r="TVR28" s="119"/>
      <c r="TVS28" s="119"/>
      <c r="TVT28" s="119"/>
      <c r="TVU28" s="119"/>
      <c r="TVV28" s="119"/>
      <c r="TVW28" s="119"/>
      <c r="TVX28" s="119"/>
      <c r="TVY28" s="119"/>
      <c r="TVZ28" s="119"/>
      <c r="TWA28" s="119"/>
      <c r="TWB28" s="119"/>
      <c r="TWC28" s="119"/>
      <c r="TWD28" s="119"/>
      <c r="TWE28" s="119"/>
      <c r="TWF28" s="119"/>
      <c r="TWG28" s="119"/>
      <c r="TWH28" s="119"/>
      <c r="TWI28" s="119"/>
      <c r="TWJ28" s="119"/>
      <c r="TWK28" s="119"/>
      <c r="TWL28" s="119"/>
      <c r="TWM28" s="119"/>
      <c r="TWN28" s="119"/>
      <c r="TWO28" s="119"/>
      <c r="TWP28" s="119"/>
      <c r="TWQ28" s="119"/>
      <c r="TWR28" s="119"/>
      <c r="TWS28" s="119"/>
      <c r="TWT28" s="119"/>
      <c r="TWU28" s="119"/>
      <c r="TWV28" s="119"/>
      <c r="TWW28" s="119"/>
      <c r="TWX28" s="119"/>
      <c r="TWY28" s="119"/>
      <c r="TWZ28" s="119"/>
      <c r="TXA28" s="119"/>
      <c r="TXB28" s="119"/>
      <c r="TXC28" s="119"/>
      <c r="TXD28" s="119"/>
      <c r="TXE28" s="119"/>
      <c r="TXF28" s="119"/>
      <c r="TXG28" s="119"/>
      <c r="TXH28" s="119"/>
      <c r="TXI28" s="119"/>
      <c r="TXJ28" s="119"/>
      <c r="TXK28" s="119"/>
      <c r="TXL28" s="119"/>
      <c r="TXM28" s="119"/>
      <c r="TXN28" s="119"/>
      <c r="TXO28" s="119"/>
      <c r="TXP28" s="119"/>
      <c r="TXQ28" s="119"/>
      <c r="TXR28" s="119"/>
      <c r="TXS28" s="119"/>
      <c r="TXT28" s="119"/>
      <c r="TXU28" s="119"/>
      <c r="TXV28" s="119"/>
      <c r="TXW28" s="119"/>
      <c r="TXX28" s="119"/>
      <c r="TXY28" s="119"/>
      <c r="TXZ28" s="119"/>
      <c r="TYA28" s="119"/>
      <c r="TYB28" s="119"/>
      <c r="TYC28" s="119"/>
      <c r="TYD28" s="119"/>
      <c r="TYE28" s="119"/>
      <c r="TYF28" s="119"/>
      <c r="TYG28" s="119"/>
      <c r="TYH28" s="119"/>
      <c r="TYI28" s="119"/>
      <c r="TYJ28" s="119"/>
      <c r="TYK28" s="119"/>
      <c r="TYL28" s="119"/>
      <c r="TYM28" s="119"/>
      <c r="TYN28" s="119"/>
      <c r="TYO28" s="119"/>
      <c r="TYP28" s="119"/>
      <c r="TYQ28" s="119"/>
      <c r="TYR28" s="119"/>
      <c r="TYS28" s="119"/>
      <c r="TYT28" s="119"/>
      <c r="TYU28" s="119"/>
      <c r="TYV28" s="119"/>
      <c r="TYW28" s="119"/>
      <c r="TYX28" s="119"/>
      <c r="TYY28" s="119"/>
      <c r="TYZ28" s="119"/>
      <c r="TZA28" s="119"/>
      <c r="TZB28" s="119"/>
      <c r="TZC28" s="119"/>
      <c r="TZD28" s="119"/>
      <c r="TZE28" s="119"/>
      <c r="TZF28" s="119"/>
      <c r="TZG28" s="119"/>
      <c r="TZH28" s="119"/>
      <c r="TZI28" s="119"/>
      <c r="TZJ28" s="119"/>
      <c r="TZK28" s="119"/>
      <c r="TZL28" s="119"/>
      <c r="TZM28" s="119"/>
      <c r="TZN28" s="119"/>
      <c r="TZO28" s="119"/>
      <c r="TZP28" s="119"/>
      <c r="TZQ28" s="119"/>
      <c r="TZR28" s="119"/>
      <c r="TZS28" s="119"/>
      <c r="TZT28" s="119"/>
      <c r="TZU28" s="119"/>
      <c r="TZV28" s="119"/>
      <c r="TZW28" s="119"/>
      <c r="TZX28" s="119"/>
      <c r="TZY28" s="119"/>
      <c r="TZZ28" s="119"/>
      <c r="UAA28" s="119"/>
      <c r="UAB28" s="119"/>
      <c r="UAC28" s="119"/>
      <c r="UAD28" s="119"/>
      <c r="UAE28" s="119"/>
      <c r="UAF28" s="119"/>
      <c r="UAG28" s="119"/>
      <c r="UAH28" s="119"/>
      <c r="UAI28" s="119"/>
      <c r="UAJ28" s="119"/>
      <c r="UAK28" s="119"/>
      <c r="UAL28" s="119"/>
      <c r="UAM28" s="119"/>
      <c r="UAN28" s="119"/>
      <c r="UAO28" s="119"/>
      <c r="UAP28" s="119"/>
      <c r="UAQ28" s="119"/>
      <c r="UAR28" s="119"/>
      <c r="UAS28" s="119"/>
      <c r="UAT28" s="119"/>
      <c r="UAU28" s="119"/>
      <c r="UAV28" s="119"/>
      <c r="UAW28" s="119"/>
      <c r="UAX28" s="119"/>
      <c r="UAY28" s="119"/>
      <c r="UAZ28" s="119"/>
      <c r="UBA28" s="119"/>
      <c r="UBB28" s="119"/>
      <c r="UBC28" s="119"/>
      <c r="UBD28" s="119"/>
      <c r="UBE28" s="119"/>
      <c r="UBF28" s="119"/>
      <c r="UBG28" s="119"/>
      <c r="UBH28" s="119"/>
      <c r="UBI28" s="119"/>
      <c r="UBJ28" s="119"/>
      <c r="UBK28" s="119"/>
      <c r="UBL28" s="119"/>
      <c r="UBM28" s="119"/>
      <c r="UBN28" s="119"/>
      <c r="UBO28" s="119"/>
      <c r="UBP28" s="119"/>
      <c r="UBQ28" s="119"/>
      <c r="UBR28" s="119"/>
      <c r="UBS28" s="119"/>
      <c r="UBT28" s="119"/>
      <c r="UBU28" s="119"/>
      <c r="UBV28" s="119"/>
      <c r="UBW28" s="119"/>
      <c r="UBX28" s="119"/>
      <c r="UBY28" s="119"/>
      <c r="UBZ28" s="119"/>
      <c r="UCA28" s="119"/>
      <c r="UCB28" s="119"/>
      <c r="UCC28" s="119"/>
      <c r="UCD28" s="119"/>
      <c r="UCE28" s="119"/>
      <c r="UCF28" s="119"/>
      <c r="UCG28" s="119"/>
      <c r="UCH28" s="119"/>
      <c r="UCI28" s="119"/>
      <c r="UCJ28" s="119"/>
      <c r="UCK28" s="119"/>
      <c r="UCL28" s="119"/>
      <c r="UCM28" s="119"/>
      <c r="UCN28" s="119"/>
      <c r="UCO28" s="119"/>
      <c r="UCP28" s="119"/>
      <c r="UCQ28" s="119"/>
      <c r="UCR28" s="119"/>
      <c r="UCS28" s="119"/>
      <c r="UCT28" s="119"/>
      <c r="UCU28" s="119"/>
      <c r="UCV28" s="119"/>
      <c r="UCW28" s="119"/>
      <c r="UCX28" s="119"/>
      <c r="UCY28" s="119"/>
      <c r="UCZ28" s="119"/>
      <c r="UDA28" s="119"/>
      <c r="UDB28" s="119"/>
      <c r="UDC28" s="119"/>
      <c r="UDD28" s="119"/>
      <c r="UDE28" s="119"/>
      <c r="UDF28" s="119"/>
      <c r="UDG28" s="119"/>
      <c r="UDH28" s="119"/>
      <c r="UDI28" s="119"/>
      <c r="UDJ28" s="119"/>
      <c r="UDK28" s="119"/>
      <c r="UDL28" s="119"/>
      <c r="UDM28" s="119"/>
      <c r="UDN28" s="119"/>
      <c r="UDO28" s="119"/>
      <c r="UDP28" s="119"/>
      <c r="UDQ28" s="119"/>
      <c r="UDR28" s="119"/>
      <c r="UDS28" s="119"/>
      <c r="UDT28" s="119"/>
      <c r="UDU28" s="119"/>
      <c r="UDV28" s="119"/>
      <c r="UDW28" s="119"/>
      <c r="UDX28" s="119"/>
      <c r="UDY28" s="119"/>
      <c r="UDZ28" s="119"/>
      <c r="UEA28" s="119"/>
      <c r="UEB28" s="119"/>
      <c r="UEC28" s="119"/>
      <c r="UED28" s="119"/>
      <c r="UEE28" s="119"/>
      <c r="UEF28" s="119"/>
      <c r="UEG28" s="119"/>
      <c r="UEH28" s="119"/>
      <c r="UEI28" s="119"/>
      <c r="UEJ28" s="119"/>
      <c r="UEK28" s="119"/>
      <c r="UEL28" s="119"/>
      <c r="UEM28" s="119"/>
      <c r="UEN28" s="119"/>
      <c r="UEO28" s="119"/>
      <c r="UEP28" s="119"/>
      <c r="UEQ28" s="119"/>
      <c r="UER28" s="119"/>
      <c r="UES28" s="119"/>
      <c r="UET28" s="119"/>
      <c r="UEU28" s="119"/>
      <c r="UEV28" s="119"/>
      <c r="UEW28" s="119"/>
      <c r="UEX28" s="119"/>
      <c r="UEY28" s="119"/>
      <c r="UEZ28" s="119"/>
      <c r="UFA28" s="119"/>
      <c r="UFB28" s="119"/>
      <c r="UFC28" s="119"/>
      <c r="UFD28" s="119"/>
      <c r="UFE28" s="119"/>
      <c r="UFF28" s="119"/>
      <c r="UFG28" s="119"/>
      <c r="UFH28" s="119"/>
      <c r="UFI28" s="119"/>
      <c r="UFJ28" s="119"/>
      <c r="UFK28" s="119"/>
      <c r="UFL28" s="119"/>
      <c r="UFM28" s="119"/>
      <c r="UFN28" s="119"/>
      <c r="UFO28" s="119"/>
      <c r="UFP28" s="119"/>
      <c r="UFQ28" s="119"/>
      <c r="UFR28" s="119"/>
      <c r="UFS28" s="119"/>
      <c r="UFT28" s="119"/>
      <c r="UFU28" s="119"/>
      <c r="UFV28" s="119"/>
      <c r="UFW28" s="119"/>
      <c r="UFX28" s="119"/>
      <c r="UFY28" s="119"/>
      <c r="UFZ28" s="119"/>
      <c r="UGA28" s="119"/>
      <c r="UGB28" s="119"/>
      <c r="UGC28" s="119"/>
      <c r="UGD28" s="119"/>
      <c r="UGE28" s="119"/>
      <c r="UGF28" s="119"/>
      <c r="UGG28" s="119"/>
      <c r="UGH28" s="119"/>
      <c r="UGI28" s="119"/>
      <c r="UGJ28" s="119"/>
      <c r="UGK28" s="119"/>
      <c r="UGL28" s="119"/>
      <c r="UGM28" s="119"/>
      <c r="UGN28" s="119"/>
      <c r="UGO28" s="119"/>
      <c r="UGP28" s="119"/>
      <c r="UGQ28" s="119"/>
      <c r="UGR28" s="119"/>
      <c r="UGS28" s="119"/>
      <c r="UGT28" s="119"/>
      <c r="UGU28" s="119"/>
      <c r="UGV28" s="119"/>
      <c r="UGW28" s="119"/>
      <c r="UGX28" s="119"/>
      <c r="UGY28" s="119"/>
      <c r="UGZ28" s="119"/>
      <c r="UHA28" s="119"/>
      <c r="UHB28" s="119"/>
      <c r="UHC28" s="119"/>
      <c r="UHD28" s="119"/>
      <c r="UHE28" s="119"/>
      <c r="UHF28" s="119"/>
      <c r="UHG28" s="119"/>
      <c r="UHH28" s="119"/>
      <c r="UHI28" s="119"/>
      <c r="UHJ28" s="119"/>
      <c r="UHK28" s="119"/>
      <c r="UHL28" s="119"/>
      <c r="UHM28" s="119"/>
      <c r="UHN28" s="119"/>
      <c r="UHO28" s="119"/>
      <c r="UHP28" s="119"/>
      <c r="UHQ28" s="119"/>
      <c r="UHR28" s="119"/>
      <c r="UHS28" s="119"/>
      <c r="UHT28" s="119"/>
      <c r="UHU28" s="119"/>
      <c r="UHV28" s="119"/>
      <c r="UHW28" s="119"/>
      <c r="UHX28" s="119"/>
      <c r="UHY28" s="119"/>
      <c r="UHZ28" s="119"/>
      <c r="UIA28" s="119"/>
      <c r="UIB28" s="119"/>
      <c r="UIC28" s="119"/>
      <c r="UID28" s="119"/>
      <c r="UIE28" s="119"/>
      <c r="UIF28" s="119"/>
      <c r="UIG28" s="119"/>
      <c r="UIH28" s="119"/>
      <c r="UII28" s="119"/>
      <c r="UIJ28" s="119"/>
      <c r="UIK28" s="119"/>
      <c r="UIL28" s="119"/>
      <c r="UIM28" s="119"/>
      <c r="UIN28" s="119"/>
      <c r="UIO28" s="119"/>
      <c r="UIP28" s="119"/>
      <c r="UIQ28" s="119"/>
      <c r="UIR28" s="119"/>
      <c r="UIS28" s="119"/>
      <c r="UIT28" s="119"/>
      <c r="UIU28" s="119"/>
      <c r="UIV28" s="119"/>
      <c r="UIW28" s="119"/>
      <c r="UIX28" s="119"/>
      <c r="UIY28" s="119"/>
      <c r="UIZ28" s="119"/>
      <c r="UJA28" s="119"/>
      <c r="UJB28" s="119"/>
      <c r="UJC28" s="119"/>
      <c r="UJD28" s="119"/>
      <c r="UJE28" s="119"/>
      <c r="UJF28" s="119"/>
      <c r="UJG28" s="119"/>
      <c r="UJH28" s="119"/>
      <c r="UJI28" s="119"/>
      <c r="UJJ28" s="119"/>
      <c r="UJK28" s="119"/>
      <c r="UJL28" s="119"/>
      <c r="UJM28" s="119"/>
      <c r="UJN28" s="119"/>
      <c r="UJO28" s="119"/>
      <c r="UJP28" s="119"/>
      <c r="UJQ28" s="119"/>
      <c r="UJR28" s="119"/>
      <c r="UJS28" s="119"/>
      <c r="UJT28" s="119"/>
      <c r="UJU28" s="119"/>
      <c r="UJV28" s="119"/>
      <c r="UJW28" s="119"/>
      <c r="UJX28" s="119"/>
      <c r="UJY28" s="119"/>
      <c r="UJZ28" s="119"/>
      <c r="UKA28" s="119"/>
      <c r="UKB28" s="119"/>
      <c r="UKC28" s="119"/>
      <c r="UKD28" s="119"/>
      <c r="UKE28" s="119"/>
      <c r="UKF28" s="119"/>
      <c r="UKG28" s="119"/>
      <c r="UKH28" s="119"/>
      <c r="UKI28" s="119"/>
      <c r="UKJ28" s="119"/>
      <c r="UKK28" s="119"/>
      <c r="UKL28" s="119"/>
      <c r="UKM28" s="119"/>
      <c r="UKN28" s="119"/>
      <c r="UKO28" s="119"/>
      <c r="UKP28" s="119"/>
      <c r="UKQ28" s="119"/>
      <c r="UKR28" s="119"/>
      <c r="UKS28" s="119"/>
      <c r="UKT28" s="119"/>
      <c r="UKU28" s="119"/>
      <c r="UKV28" s="119"/>
      <c r="UKW28" s="119"/>
      <c r="UKX28" s="119"/>
      <c r="UKY28" s="119"/>
      <c r="UKZ28" s="119"/>
      <c r="ULA28" s="119"/>
      <c r="ULB28" s="119"/>
      <c r="ULC28" s="119"/>
      <c r="ULD28" s="119"/>
      <c r="ULE28" s="119"/>
      <c r="ULF28" s="119"/>
      <c r="ULG28" s="119"/>
      <c r="ULH28" s="119"/>
      <c r="ULI28" s="119"/>
      <c r="ULJ28" s="119"/>
      <c r="ULK28" s="119"/>
      <c r="ULL28" s="119"/>
      <c r="ULM28" s="119"/>
      <c r="ULN28" s="119"/>
      <c r="ULO28" s="119"/>
      <c r="ULP28" s="119"/>
      <c r="ULQ28" s="119"/>
      <c r="ULR28" s="119"/>
      <c r="ULS28" s="119"/>
      <c r="ULT28" s="119"/>
      <c r="ULU28" s="119"/>
      <c r="ULV28" s="119"/>
      <c r="ULW28" s="119"/>
      <c r="ULX28" s="119"/>
      <c r="ULY28" s="119"/>
      <c r="ULZ28" s="119"/>
      <c r="UMA28" s="119"/>
      <c r="UMB28" s="119"/>
      <c r="UMC28" s="119"/>
      <c r="UMD28" s="119"/>
      <c r="UME28" s="119"/>
      <c r="UMF28" s="119"/>
      <c r="UMG28" s="119"/>
      <c r="UMH28" s="119"/>
      <c r="UMI28" s="119"/>
      <c r="UMJ28" s="119"/>
      <c r="UMK28" s="119"/>
      <c r="UML28" s="119"/>
      <c r="UMM28" s="119"/>
      <c r="UMN28" s="119"/>
      <c r="UMO28" s="119"/>
      <c r="UMP28" s="119"/>
      <c r="UMQ28" s="119"/>
      <c r="UMR28" s="119"/>
      <c r="UMS28" s="119"/>
      <c r="UMT28" s="119"/>
      <c r="UMU28" s="119"/>
      <c r="UMV28" s="119"/>
      <c r="UMW28" s="119"/>
      <c r="UMX28" s="119"/>
      <c r="UMY28" s="119"/>
      <c r="UMZ28" s="119"/>
      <c r="UNA28" s="119"/>
      <c r="UNB28" s="119"/>
      <c r="UNC28" s="119"/>
      <c r="UND28" s="119"/>
      <c r="UNE28" s="119"/>
      <c r="UNF28" s="119"/>
      <c r="UNG28" s="119"/>
      <c r="UNH28" s="119"/>
      <c r="UNI28" s="119"/>
      <c r="UNJ28" s="119"/>
      <c r="UNK28" s="119"/>
      <c r="UNL28" s="119"/>
      <c r="UNM28" s="119"/>
      <c r="UNN28" s="119"/>
      <c r="UNO28" s="119"/>
      <c r="UNP28" s="119"/>
      <c r="UNQ28" s="119"/>
      <c r="UNR28" s="119"/>
      <c r="UNS28" s="119"/>
      <c r="UNT28" s="119"/>
      <c r="UNU28" s="119"/>
      <c r="UNV28" s="119"/>
      <c r="UNW28" s="119"/>
      <c r="UNX28" s="119"/>
      <c r="UNY28" s="119"/>
      <c r="UNZ28" s="119"/>
      <c r="UOA28" s="119"/>
      <c r="UOB28" s="119"/>
      <c r="UOC28" s="119"/>
      <c r="UOD28" s="119"/>
      <c r="UOE28" s="119"/>
      <c r="UOF28" s="119"/>
      <c r="UOG28" s="119"/>
      <c r="UOH28" s="119"/>
      <c r="UOI28" s="119"/>
      <c r="UOJ28" s="119"/>
      <c r="UOK28" s="119"/>
      <c r="UOL28" s="119"/>
      <c r="UOM28" s="119"/>
      <c r="UON28" s="119"/>
      <c r="UOO28" s="119"/>
      <c r="UOP28" s="119"/>
      <c r="UOQ28" s="119"/>
      <c r="UOR28" s="119"/>
      <c r="UOS28" s="119"/>
      <c r="UOT28" s="119"/>
      <c r="UOU28" s="119"/>
      <c r="UOV28" s="119"/>
      <c r="UOW28" s="119"/>
      <c r="UOX28" s="119"/>
      <c r="UOY28" s="119"/>
      <c r="UOZ28" s="119"/>
      <c r="UPA28" s="119"/>
      <c r="UPB28" s="119"/>
      <c r="UPC28" s="119"/>
      <c r="UPD28" s="119"/>
      <c r="UPE28" s="119"/>
      <c r="UPF28" s="119"/>
      <c r="UPG28" s="119"/>
      <c r="UPH28" s="119"/>
      <c r="UPI28" s="119"/>
      <c r="UPJ28" s="119"/>
      <c r="UPK28" s="119"/>
      <c r="UPL28" s="119"/>
      <c r="UPM28" s="119"/>
      <c r="UPN28" s="119"/>
      <c r="UPO28" s="119"/>
      <c r="UPP28" s="119"/>
      <c r="UPQ28" s="119"/>
      <c r="UPR28" s="119"/>
      <c r="UPS28" s="119"/>
      <c r="UPT28" s="119"/>
      <c r="UPU28" s="119"/>
      <c r="UPV28" s="119"/>
      <c r="UPW28" s="119"/>
      <c r="UPX28" s="119"/>
      <c r="UPY28" s="119"/>
      <c r="UPZ28" s="119"/>
      <c r="UQA28" s="119"/>
      <c r="UQB28" s="119"/>
      <c r="UQC28" s="119"/>
      <c r="UQD28" s="119"/>
      <c r="UQE28" s="119"/>
      <c r="UQF28" s="119"/>
      <c r="UQG28" s="119"/>
      <c r="UQH28" s="119"/>
      <c r="UQI28" s="119"/>
      <c r="UQJ28" s="119"/>
      <c r="UQK28" s="119"/>
      <c r="UQL28" s="119"/>
      <c r="UQM28" s="119"/>
      <c r="UQN28" s="119"/>
      <c r="UQO28" s="119"/>
      <c r="UQP28" s="119"/>
      <c r="UQQ28" s="119"/>
      <c r="UQR28" s="119"/>
      <c r="UQS28" s="119"/>
      <c r="UQT28" s="119"/>
      <c r="UQU28" s="119"/>
      <c r="UQV28" s="119"/>
      <c r="UQW28" s="119"/>
      <c r="UQX28" s="119"/>
      <c r="UQY28" s="119"/>
      <c r="UQZ28" s="119"/>
      <c r="URA28" s="119"/>
      <c r="URB28" s="119"/>
      <c r="URC28" s="119"/>
      <c r="URD28" s="119"/>
      <c r="URE28" s="119"/>
      <c r="URF28" s="119"/>
      <c r="URG28" s="119"/>
      <c r="URH28" s="119"/>
      <c r="URI28" s="119"/>
      <c r="URJ28" s="119"/>
      <c r="URK28" s="119"/>
      <c r="URL28" s="119"/>
      <c r="URM28" s="119"/>
      <c r="URN28" s="119"/>
      <c r="URO28" s="119"/>
      <c r="URP28" s="119"/>
      <c r="URQ28" s="119"/>
      <c r="URR28" s="119"/>
      <c r="URS28" s="119"/>
      <c r="URT28" s="119"/>
      <c r="URU28" s="119"/>
      <c r="URV28" s="119"/>
      <c r="URW28" s="119"/>
      <c r="URX28" s="119"/>
      <c r="URY28" s="119"/>
      <c r="URZ28" s="119"/>
      <c r="USA28" s="119"/>
      <c r="USB28" s="119"/>
      <c r="USC28" s="119"/>
      <c r="USD28" s="119"/>
      <c r="USE28" s="119"/>
      <c r="USF28" s="119"/>
      <c r="USG28" s="119"/>
      <c r="USH28" s="119"/>
      <c r="USI28" s="119"/>
      <c r="USJ28" s="119"/>
      <c r="USK28" s="119"/>
      <c r="USL28" s="119"/>
      <c r="USM28" s="119"/>
      <c r="USN28" s="119"/>
      <c r="USO28" s="119"/>
      <c r="USP28" s="119"/>
      <c r="USQ28" s="119"/>
      <c r="USR28" s="119"/>
      <c r="USS28" s="119"/>
      <c r="UST28" s="119"/>
      <c r="USU28" s="119"/>
      <c r="USV28" s="119"/>
      <c r="USW28" s="119"/>
      <c r="USX28" s="119"/>
      <c r="USY28" s="119"/>
      <c r="USZ28" s="119"/>
      <c r="UTA28" s="119"/>
      <c r="UTB28" s="119"/>
      <c r="UTC28" s="119"/>
      <c r="UTD28" s="119"/>
      <c r="UTE28" s="119"/>
      <c r="UTF28" s="119"/>
      <c r="UTG28" s="119"/>
      <c r="UTH28" s="119"/>
      <c r="UTI28" s="119"/>
      <c r="UTJ28" s="119"/>
      <c r="UTK28" s="119"/>
      <c r="UTL28" s="119"/>
      <c r="UTM28" s="119"/>
      <c r="UTN28" s="119"/>
      <c r="UTO28" s="119"/>
      <c r="UTP28" s="119"/>
      <c r="UTQ28" s="119"/>
      <c r="UTR28" s="119"/>
      <c r="UTS28" s="119"/>
      <c r="UTT28" s="119"/>
      <c r="UTU28" s="119"/>
      <c r="UTV28" s="119"/>
      <c r="UTW28" s="119"/>
      <c r="UTX28" s="119"/>
      <c r="UTY28" s="119"/>
      <c r="UTZ28" s="119"/>
      <c r="UUA28" s="119"/>
      <c r="UUB28" s="119"/>
      <c r="UUC28" s="119"/>
      <c r="UUD28" s="119"/>
      <c r="UUE28" s="119"/>
      <c r="UUF28" s="119"/>
      <c r="UUG28" s="119"/>
      <c r="UUH28" s="119"/>
      <c r="UUI28" s="119"/>
      <c r="UUJ28" s="119"/>
      <c r="UUK28" s="119"/>
      <c r="UUL28" s="119"/>
      <c r="UUM28" s="119"/>
      <c r="UUN28" s="119"/>
      <c r="UUO28" s="119"/>
      <c r="UUP28" s="119"/>
      <c r="UUQ28" s="119"/>
      <c r="UUR28" s="119"/>
      <c r="UUS28" s="119"/>
      <c r="UUT28" s="119"/>
      <c r="UUU28" s="119"/>
      <c r="UUV28" s="119"/>
      <c r="UUW28" s="119"/>
      <c r="UUX28" s="119"/>
      <c r="UUY28" s="119"/>
      <c r="UUZ28" s="119"/>
      <c r="UVA28" s="119"/>
      <c r="UVB28" s="119"/>
      <c r="UVC28" s="119"/>
      <c r="UVD28" s="119"/>
      <c r="UVE28" s="119"/>
      <c r="UVF28" s="119"/>
      <c r="UVG28" s="119"/>
      <c r="UVH28" s="119"/>
      <c r="UVI28" s="119"/>
      <c r="UVJ28" s="119"/>
      <c r="UVK28" s="119"/>
      <c r="UVL28" s="119"/>
      <c r="UVM28" s="119"/>
      <c r="UVN28" s="119"/>
      <c r="UVO28" s="119"/>
      <c r="UVP28" s="119"/>
      <c r="UVQ28" s="119"/>
      <c r="UVR28" s="119"/>
      <c r="UVS28" s="119"/>
      <c r="UVT28" s="119"/>
      <c r="UVU28" s="119"/>
      <c r="UVV28" s="119"/>
      <c r="UVW28" s="119"/>
      <c r="UVX28" s="119"/>
      <c r="UVY28" s="119"/>
      <c r="UVZ28" s="119"/>
      <c r="UWA28" s="119"/>
      <c r="UWB28" s="119"/>
      <c r="UWC28" s="119"/>
      <c r="UWD28" s="119"/>
      <c r="UWE28" s="119"/>
      <c r="UWF28" s="119"/>
      <c r="UWG28" s="119"/>
      <c r="UWH28" s="119"/>
      <c r="UWI28" s="119"/>
      <c r="UWJ28" s="119"/>
      <c r="UWK28" s="119"/>
      <c r="UWL28" s="119"/>
      <c r="UWM28" s="119"/>
      <c r="UWN28" s="119"/>
      <c r="UWO28" s="119"/>
      <c r="UWP28" s="119"/>
      <c r="UWQ28" s="119"/>
      <c r="UWR28" s="119"/>
      <c r="UWS28" s="119"/>
      <c r="UWT28" s="119"/>
      <c r="UWU28" s="119"/>
      <c r="UWV28" s="119"/>
      <c r="UWW28" s="119"/>
      <c r="UWX28" s="119"/>
      <c r="UWY28" s="119"/>
      <c r="UWZ28" s="119"/>
      <c r="UXA28" s="119"/>
      <c r="UXB28" s="119"/>
      <c r="UXC28" s="119"/>
      <c r="UXD28" s="119"/>
      <c r="UXE28" s="119"/>
      <c r="UXF28" s="119"/>
      <c r="UXG28" s="119"/>
      <c r="UXH28" s="119"/>
      <c r="UXI28" s="119"/>
      <c r="UXJ28" s="119"/>
      <c r="UXK28" s="119"/>
      <c r="UXL28" s="119"/>
      <c r="UXM28" s="119"/>
      <c r="UXN28" s="119"/>
      <c r="UXO28" s="119"/>
      <c r="UXP28" s="119"/>
      <c r="UXQ28" s="119"/>
      <c r="UXR28" s="119"/>
      <c r="UXS28" s="119"/>
      <c r="UXT28" s="119"/>
      <c r="UXU28" s="119"/>
      <c r="UXV28" s="119"/>
      <c r="UXW28" s="119"/>
      <c r="UXX28" s="119"/>
      <c r="UXY28" s="119"/>
      <c r="UXZ28" s="119"/>
      <c r="UYA28" s="119"/>
      <c r="UYB28" s="119"/>
      <c r="UYC28" s="119"/>
      <c r="UYD28" s="119"/>
      <c r="UYE28" s="119"/>
      <c r="UYF28" s="119"/>
      <c r="UYG28" s="119"/>
      <c r="UYH28" s="119"/>
      <c r="UYI28" s="119"/>
      <c r="UYJ28" s="119"/>
      <c r="UYK28" s="119"/>
      <c r="UYL28" s="119"/>
      <c r="UYM28" s="119"/>
      <c r="UYN28" s="119"/>
      <c r="UYO28" s="119"/>
      <c r="UYP28" s="119"/>
      <c r="UYQ28" s="119"/>
      <c r="UYR28" s="119"/>
      <c r="UYS28" s="119"/>
      <c r="UYT28" s="119"/>
      <c r="UYU28" s="119"/>
      <c r="UYV28" s="119"/>
      <c r="UYW28" s="119"/>
      <c r="UYX28" s="119"/>
      <c r="UYY28" s="119"/>
      <c r="UYZ28" s="119"/>
      <c r="UZA28" s="119"/>
      <c r="UZB28" s="119"/>
      <c r="UZC28" s="119"/>
      <c r="UZD28" s="119"/>
      <c r="UZE28" s="119"/>
      <c r="UZF28" s="119"/>
      <c r="UZG28" s="119"/>
      <c r="UZH28" s="119"/>
      <c r="UZI28" s="119"/>
      <c r="UZJ28" s="119"/>
      <c r="UZK28" s="119"/>
      <c r="UZL28" s="119"/>
      <c r="UZM28" s="119"/>
      <c r="UZN28" s="119"/>
      <c r="UZO28" s="119"/>
      <c r="UZP28" s="119"/>
      <c r="UZQ28" s="119"/>
      <c r="UZR28" s="119"/>
      <c r="UZS28" s="119"/>
      <c r="UZT28" s="119"/>
      <c r="UZU28" s="119"/>
      <c r="UZV28" s="119"/>
      <c r="UZW28" s="119"/>
      <c r="UZX28" s="119"/>
      <c r="UZY28" s="119"/>
      <c r="UZZ28" s="119"/>
      <c r="VAA28" s="119"/>
      <c r="VAB28" s="119"/>
      <c r="VAC28" s="119"/>
      <c r="VAD28" s="119"/>
      <c r="VAE28" s="119"/>
      <c r="VAF28" s="119"/>
      <c r="VAG28" s="119"/>
      <c r="VAH28" s="119"/>
      <c r="VAI28" s="119"/>
      <c r="VAJ28" s="119"/>
      <c r="VAK28" s="119"/>
      <c r="VAL28" s="119"/>
      <c r="VAM28" s="119"/>
      <c r="VAN28" s="119"/>
      <c r="VAO28" s="119"/>
      <c r="VAP28" s="119"/>
      <c r="VAQ28" s="119"/>
      <c r="VAR28" s="119"/>
      <c r="VAS28" s="119"/>
      <c r="VAT28" s="119"/>
      <c r="VAU28" s="119"/>
      <c r="VAV28" s="119"/>
      <c r="VAW28" s="119"/>
      <c r="VAX28" s="119"/>
      <c r="VAY28" s="119"/>
      <c r="VAZ28" s="119"/>
      <c r="VBA28" s="119"/>
      <c r="VBB28" s="119"/>
      <c r="VBC28" s="119"/>
      <c r="VBD28" s="119"/>
      <c r="VBE28" s="119"/>
      <c r="VBF28" s="119"/>
      <c r="VBG28" s="119"/>
      <c r="VBH28" s="119"/>
      <c r="VBI28" s="119"/>
      <c r="VBJ28" s="119"/>
      <c r="VBK28" s="119"/>
      <c r="VBL28" s="119"/>
      <c r="VBM28" s="119"/>
      <c r="VBN28" s="119"/>
      <c r="VBO28" s="119"/>
      <c r="VBP28" s="119"/>
      <c r="VBQ28" s="119"/>
      <c r="VBR28" s="119"/>
      <c r="VBS28" s="119"/>
      <c r="VBT28" s="119"/>
      <c r="VBU28" s="119"/>
      <c r="VBV28" s="119"/>
      <c r="VBW28" s="119"/>
      <c r="VBX28" s="119"/>
      <c r="VBY28" s="119"/>
      <c r="VBZ28" s="119"/>
      <c r="VCA28" s="119"/>
      <c r="VCB28" s="119"/>
      <c r="VCC28" s="119"/>
      <c r="VCD28" s="119"/>
      <c r="VCE28" s="119"/>
      <c r="VCF28" s="119"/>
      <c r="VCG28" s="119"/>
      <c r="VCH28" s="119"/>
      <c r="VCI28" s="119"/>
      <c r="VCJ28" s="119"/>
      <c r="VCK28" s="119"/>
      <c r="VCL28" s="119"/>
      <c r="VCM28" s="119"/>
      <c r="VCN28" s="119"/>
      <c r="VCO28" s="119"/>
      <c r="VCP28" s="119"/>
      <c r="VCQ28" s="119"/>
      <c r="VCR28" s="119"/>
      <c r="VCS28" s="119"/>
      <c r="VCT28" s="119"/>
      <c r="VCU28" s="119"/>
      <c r="VCV28" s="119"/>
      <c r="VCW28" s="119"/>
      <c r="VCX28" s="119"/>
      <c r="VCY28" s="119"/>
      <c r="VCZ28" s="119"/>
      <c r="VDA28" s="119"/>
      <c r="VDB28" s="119"/>
      <c r="VDC28" s="119"/>
      <c r="VDD28" s="119"/>
      <c r="VDE28" s="119"/>
      <c r="VDF28" s="119"/>
      <c r="VDG28" s="119"/>
      <c r="VDH28" s="119"/>
      <c r="VDI28" s="119"/>
      <c r="VDJ28" s="119"/>
      <c r="VDK28" s="119"/>
      <c r="VDL28" s="119"/>
      <c r="VDM28" s="119"/>
      <c r="VDN28" s="119"/>
      <c r="VDO28" s="119"/>
      <c r="VDP28" s="119"/>
      <c r="VDQ28" s="119"/>
      <c r="VDR28" s="119"/>
      <c r="VDS28" s="119"/>
      <c r="VDT28" s="119"/>
      <c r="VDU28" s="119"/>
      <c r="VDV28" s="119"/>
      <c r="VDW28" s="119"/>
      <c r="VDX28" s="119"/>
      <c r="VDY28" s="119"/>
      <c r="VDZ28" s="119"/>
      <c r="VEA28" s="119"/>
      <c r="VEB28" s="119"/>
      <c r="VEC28" s="119"/>
      <c r="VED28" s="119"/>
      <c r="VEE28" s="119"/>
      <c r="VEF28" s="119"/>
      <c r="VEG28" s="119"/>
      <c r="VEH28" s="119"/>
      <c r="VEI28" s="119"/>
      <c r="VEJ28" s="119"/>
      <c r="VEK28" s="119"/>
      <c r="VEL28" s="119"/>
      <c r="VEM28" s="119"/>
      <c r="VEN28" s="119"/>
      <c r="VEO28" s="119"/>
      <c r="VEP28" s="119"/>
      <c r="VEQ28" s="119"/>
      <c r="VER28" s="119"/>
      <c r="VES28" s="119"/>
      <c r="VET28" s="119"/>
      <c r="VEU28" s="119"/>
      <c r="VEV28" s="119"/>
      <c r="VEW28" s="119"/>
      <c r="VEX28" s="119"/>
      <c r="VEY28" s="119"/>
      <c r="VEZ28" s="119"/>
      <c r="VFA28" s="119"/>
      <c r="VFB28" s="119"/>
      <c r="VFC28" s="119"/>
      <c r="VFD28" s="119"/>
      <c r="VFE28" s="119"/>
      <c r="VFF28" s="119"/>
      <c r="VFG28" s="119"/>
      <c r="VFH28" s="119"/>
      <c r="VFI28" s="119"/>
      <c r="VFJ28" s="119"/>
      <c r="VFK28" s="119"/>
      <c r="VFL28" s="119"/>
      <c r="VFM28" s="119"/>
      <c r="VFN28" s="119"/>
      <c r="VFO28" s="119"/>
      <c r="VFP28" s="119"/>
      <c r="VFQ28" s="119"/>
      <c r="VFR28" s="119"/>
      <c r="VFS28" s="119"/>
      <c r="VFT28" s="119"/>
      <c r="VFU28" s="119"/>
      <c r="VFV28" s="119"/>
      <c r="VFW28" s="119"/>
      <c r="VFX28" s="119"/>
      <c r="VFY28" s="119"/>
      <c r="VFZ28" s="119"/>
      <c r="VGA28" s="119"/>
      <c r="VGB28" s="119"/>
      <c r="VGC28" s="119"/>
      <c r="VGD28" s="119"/>
      <c r="VGE28" s="119"/>
      <c r="VGF28" s="119"/>
      <c r="VGG28" s="119"/>
      <c r="VGH28" s="119"/>
      <c r="VGI28" s="119"/>
      <c r="VGJ28" s="119"/>
      <c r="VGK28" s="119"/>
      <c r="VGL28" s="119"/>
      <c r="VGM28" s="119"/>
      <c r="VGN28" s="119"/>
    </row>
    <row r="29" spans="1:15116">
      <c r="B29" s="121"/>
      <c r="C29" s="122" t="s">
        <v>85</v>
      </c>
      <c r="D29" s="127">
        <f>SUM(D30:D31)</f>
        <v>0</v>
      </c>
      <c r="E29" s="25" t="s">
        <v>16</v>
      </c>
      <c r="F29" s="107">
        <f>F30+F31</f>
        <v>0</v>
      </c>
      <c r="G29" s="107">
        <f t="shared" ref="G29:Y29" si="7">G30+G31</f>
        <v>190090</v>
      </c>
      <c r="H29" s="107">
        <f t="shared" si="7"/>
        <v>418549</v>
      </c>
      <c r="I29" s="107">
        <f t="shared" si="7"/>
        <v>0</v>
      </c>
      <c r="J29" s="107">
        <f t="shared" si="7"/>
        <v>0</v>
      </c>
      <c r="K29" s="107">
        <f t="shared" si="7"/>
        <v>0</v>
      </c>
      <c r="L29" s="107">
        <f t="shared" si="7"/>
        <v>0</v>
      </c>
      <c r="M29" s="107">
        <f t="shared" si="7"/>
        <v>0</v>
      </c>
      <c r="N29" s="107">
        <f t="shared" si="7"/>
        <v>141260</v>
      </c>
      <c r="O29" s="107">
        <f t="shared" si="7"/>
        <v>1462390</v>
      </c>
      <c r="P29" s="107">
        <f t="shared" si="7"/>
        <v>0</v>
      </c>
      <c r="Q29" s="107">
        <f t="shared" si="7"/>
        <v>434759.66899999999</v>
      </c>
      <c r="R29" s="107">
        <f t="shared" si="7"/>
        <v>474391</v>
      </c>
      <c r="S29" s="107">
        <f t="shared" si="7"/>
        <v>503175</v>
      </c>
      <c r="T29" s="107">
        <f t="shared" si="7"/>
        <v>629952</v>
      </c>
      <c r="U29" s="107">
        <f t="shared" si="7"/>
        <v>398966</v>
      </c>
      <c r="V29" s="107">
        <f t="shared" si="7"/>
        <v>1452942</v>
      </c>
      <c r="W29" s="107">
        <f t="shared" si="7"/>
        <v>1453332</v>
      </c>
      <c r="X29" s="107">
        <f t="shared" si="7"/>
        <v>0</v>
      </c>
      <c r="Y29" s="107">
        <f t="shared" si="7"/>
        <v>0</v>
      </c>
      <c r="Z29" s="107"/>
      <c r="AA29" s="107"/>
      <c r="AB29" s="107"/>
      <c r="AC29" s="107"/>
      <c r="AD29" s="107"/>
      <c r="AE29" s="107"/>
      <c r="AF29" s="107"/>
      <c r="AG29" s="108"/>
      <c r="AH29" s="108"/>
      <c r="AI29" s="108"/>
      <c r="AJ29" s="109"/>
      <c r="AL29" s="110">
        <f>SUM(F29:AJ29)</f>
        <v>7559806.6689999998</v>
      </c>
    </row>
    <row r="30" spans="1:15116">
      <c r="B30" s="121"/>
      <c r="C30" s="122" t="s">
        <v>135</v>
      </c>
      <c r="D30" s="127"/>
      <c r="E30" s="25" t="s">
        <v>16</v>
      </c>
      <c r="F30" s="107"/>
      <c r="G30" s="107">
        <v>133190</v>
      </c>
      <c r="H30" s="107">
        <v>314153</v>
      </c>
      <c r="I30" s="107"/>
      <c r="J30" s="107"/>
      <c r="K30" s="107"/>
      <c r="L30" s="107"/>
      <c r="M30" s="107"/>
      <c r="N30" s="107">
        <v>105980</v>
      </c>
      <c r="O30" s="107">
        <v>1096946</v>
      </c>
      <c r="P30" s="107"/>
      <c r="Q30" s="107">
        <v>326360</v>
      </c>
      <c r="R30" s="107">
        <v>356032</v>
      </c>
      <c r="S30" s="107">
        <v>386365</v>
      </c>
      <c r="T30" s="107">
        <v>472607</v>
      </c>
      <c r="U30" s="107">
        <v>299357</v>
      </c>
      <c r="V30" s="107">
        <v>1090177</v>
      </c>
      <c r="W30" s="107">
        <v>1090330</v>
      </c>
      <c r="X30" s="107"/>
      <c r="Y30" s="107"/>
      <c r="Z30" s="107"/>
      <c r="AA30" s="107"/>
      <c r="AB30" s="107"/>
      <c r="AC30" s="107"/>
      <c r="AD30" s="107"/>
      <c r="AE30" s="107"/>
      <c r="AF30" s="107"/>
      <c r="AG30" s="108"/>
      <c r="AH30" s="108"/>
      <c r="AI30" s="108"/>
      <c r="AJ30" s="109"/>
      <c r="AL30" s="110">
        <f>SUM(F30:AJ30)</f>
        <v>5671497</v>
      </c>
    </row>
    <row r="31" spans="1:15116">
      <c r="B31" s="121"/>
      <c r="C31" s="122" t="s">
        <v>83</v>
      </c>
      <c r="D31" s="127"/>
      <c r="E31" s="25" t="s">
        <v>16</v>
      </c>
      <c r="F31" s="107"/>
      <c r="G31" s="107">
        <v>56900</v>
      </c>
      <c r="H31" s="107">
        <v>104396</v>
      </c>
      <c r="I31" s="107"/>
      <c r="J31" s="107"/>
      <c r="K31" s="107"/>
      <c r="L31" s="107"/>
      <c r="M31" s="107"/>
      <c r="N31" s="107">
        <v>35280</v>
      </c>
      <c r="O31" s="107">
        <v>365444</v>
      </c>
      <c r="P31" s="107"/>
      <c r="Q31" s="107">
        <v>108399.66899999999</v>
      </c>
      <c r="R31" s="107">
        <v>118359</v>
      </c>
      <c r="S31" s="107">
        <v>116810</v>
      </c>
      <c r="T31" s="107">
        <v>157345</v>
      </c>
      <c r="U31" s="107">
        <f>311406-203987-7810</f>
        <v>99609</v>
      </c>
      <c r="V31" s="107">
        <v>362765</v>
      </c>
      <c r="W31" s="107">
        <f>371922-8920</f>
        <v>363002</v>
      </c>
      <c r="X31" s="107"/>
      <c r="Y31" s="107"/>
      <c r="Z31" s="107"/>
      <c r="AA31" s="128"/>
      <c r="AB31" s="107"/>
      <c r="AC31" s="107"/>
      <c r="AD31" s="107"/>
      <c r="AE31" s="107"/>
      <c r="AF31" s="107"/>
      <c r="AG31" s="108"/>
      <c r="AH31" s="108"/>
      <c r="AI31" s="108"/>
      <c r="AJ31" s="109"/>
      <c r="AL31" s="110">
        <f>SUM(F31:AJ31)</f>
        <v>1888309.669</v>
      </c>
    </row>
    <row r="32" spans="1:15116">
      <c r="B32" s="121"/>
      <c r="C32" s="123" t="s">
        <v>136</v>
      </c>
      <c r="D32" s="137"/>
      <c r="E32" s="125"/>
      <c r="F32" s="94"/>
      <c r="G32" s="94"/>
      <c r="H32" s="94"/>
      <c r="I32" s="138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139"/>
      <c r="Z32" s="140"/>
      <c r="AA32" s="134"/>
      <c r="AB32" s="139"/>
      <c r="AC32" s="139"/>
      <c r="AD32" s="139"/>
      <c r="AE32" s="139"/>
      <c r="AF32" s="139"/>
      <c r="AG32" s="141"/>
      <c r="AH32" s="141"/>
      <c r="AI32" s="141"/>
      <c r="AJ32" s="142"/>
      <c r="AL32" s="126" t="s">
        <v>124</v>
      </c>
    </row>
    <row r="33" spans="1:15068" s="350" customFormat="1">
      <c r="A33" s="66"/>
      <c r="B33" s="143"/>
      <c r="C33" s="78" t="s">
        <v>81</v>
      </c>
      <c r="D33" s="144"/>
      <c r="E33" s="145" t="s">
        <v>16</v>
      </c>
      <c r="F33" s="107">
        <f>F34/F45*100</f>
        <v>0</v>
      </c>
      <c r="G33" s="107">
        <f t="shared" ref="G33:I33" si="8">G34/G45*100</f>
        <v>0</v>
      </c>
      <c r="H33" s="107">
        <f t="shared" si="8"/>
        <v>0</v>
      </c>
      <c r="I33" s="107">
        <f t="shared" si="8"/>
        <v>0</v>
      </c>
      <c r="J33" s="107"/>
      <c r="K33" s="107"/>
      <c r="L33" s="107"/>
      <c r="M33" s="107"/>
      <c r="N33" s="107"/>
      <c r="O33" s="107"/>
      <c r="P33" s="107"/>
      <c r="Q33" s="349"/>
      <c r="R33" s="107"/>
      <c r="S33" s="107"/>
      <c r="T33" s="107"/>
      <c r="U33" s="107"/>
      <c r="V33" s="107"/>
      <c r="W33" s="107">
        <f>W34/W45*100</f>
        <v>37477.110269285695</v>
      </c>
      <c r="X33" s="107">
        <f>X34/X45*100</f>
        <v>690452.88950140763</v>
      </c>
      <c r="Y33" s="107"/>
      <c r="Z33" s="107"/>
      <c r="AA33" s="107"/>
      <c r="AB33" s="107"/>
      <c r="AC33" s="107">
        <f>AC34/AC45*100</f>
        <v>399621.75924730394</v>
      </c>
      <c r="AD33" s="107">
        <f>AD34/AD45*100</f>
        <v>304446.28766746662</v>
      </c>
      <c r="AE33" s="321"/>
      <c r="AF33" s="321"/>
      <c r="AG33" s="322"/>
      <c r="AH33" s="322"/>
      <c r="AI33" s="322">
        <f>AI34/AI45*100</f>
        <v>261203.34389592445</v>
      </c>
      <c r="AJ33" s="323">
        <f>AJ34/AJ45*100</f>
        <v>68384.101258707859</v>
      </c>
      <c r="AK33" s="66"/>
      <c r="AL33" s="146">
        <f>SUM(F33:AJ33)</f>
        <v>1761585.4918400964</v>
      </c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6"/>
      <c r="CF33" s="66"/>
      <c r="CG33" s="66"/>
      <c r="CH33" s="66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CS33" s="66"/>
      <c r="CT33" s="66"/>
      <c r="CU33" s="66"/>
      <c r="CV33" s="66"/>
      <c r="CW33" s="66"/>
      <c r="CX33" s="66"/>
      <c r="CY33" s="306"/>
      <c r="CZ33" s="66"/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/>
      <c r="DL33" s="66"/>
      <c r="DM33" s="66"/>
      <c r="DN33" s="66"/>
      <c r="DO33" s="66"/>
      <c r="DP33" s="66"/>
      <c r="DQ33" s="66"/>
      <c r="DR33" s="66"/>
      <c r="DS33" s="66"/>
      <c r="DT33" s="66"/>
      <c r="DU33" s="66"/>
      <c r="DV33" s="66"/>
      <c r="DW33" s="66"/>
      <c r="DX33" s="66"/>
      <c r="DY33" s="66"/>
      <c r="DZ33" s="66"/>
      <c r="EA33" s="66"/>
      <c r="EB33" s="66"/>
      <c r="EC33" s="66"/>
      <c r="ED33" s="66"/>
      <c r="EE33" s="66"/>
      <c r="EF33" s="66"/>
      <c r="EG33" s="66"/>
      <c r="EH33" s="66"/>
      <c r="EI33" s="66"/>
      <c r="EJ33" s="66"/>
      <c r="EK33" s="66"/>
      <c r="EL33" s="66"/>
      <c r="EM33" s="66"/>
      <c r="EN33" s="66"/>
      <c r="EO33" s="66"/>
      <c r="EP33" s="66"/>
      <c r="EQ33" s="66"/>
      <c r="ER33" s="66"/>
      <c r="ES33" s="66"/>
      <c r="ET33" s="66"/>
      <c r="EU33" s="66"/>
      <c r="EV33" s="66"/>
      <c r="EW33" s="66"/>
      <c r="EX33" s="66"/>
      <c r="EY33" s="66"/>
      <c r="EZ33" s="66"/>
      <c r="FA33" s="66"/>
      <c r="FB33" s="66"/>
      <c r="FC33" s="66"/>
      <c r="FD33" s="66"/>
      <c r="FE33" s="66"/>
      <c r="FF33" s="66"/>
      <c r="FG33" s="66"/>
      <c r="FH33" s="66"/>
      <c r="FI33" s="66"/>
      <c r="FJ33" s="66"/>
      <c r="FK33" s="66"/>
      <c r="FL33" s="66"/>
      <c r="FM33" s="66"/>
      <c r="FN33" s="66"/>
      <c r="FO33" s="66"/>
      <c r="FP33" s="66"/>
      <c r="FQ33" s="66"/>
      <c r="FR33" s="66"/>
      <c r="FS33" s="66"/>
      <c r="FT33" s="66"/>
      <c r="FU33" s="66"/>
      <c r="FV33" s="66"/>
      <c r="FW33" s="66"/>
      <c r="FX33" s="66"/>
      <c r="FY33" s="66"/>
      <c r="FZ33" s="66"/>
      <c r="GA33" s="66"/>
      <c r="GB33" s="66"/>
      <c r="GC33" s="66"/>
      <c r="GD33" s="66"/>
      <c r="GE33" s="66"/>
      <c r="GF33" s="66"/>
      <c r="GG33" s="66"/>
      <c r="GH33" s="66"/>
      <c r="GI33" s="66"/>
      <c r="GJ33" s="66"/>
      <c r="GK33" s="66"/>
      <c r="GL33" s="66"/>
      <c r="GM33" s="66"/>
      <c r="GN33" s="66"/>
      <c r="GO33" s="66"/>
      <c r="GP33" s="66"/>
      <c r="GQ33" s="66"/>
      <c r="GR33" s="66"/>
      <c r="GS33" s="66"/>
      <c r="GT33" s="66"/>
      <c r="GU33" s="66"/>
      <c r="GV33" s="66"/>
      <c r="GW33" s="66"/>
      <c r="GX33" s="66"/>
      <c r="GY33" s="66"/>
      <c r="GZ33" s="66"/>
      <c r="HA33" s="66"/>
      <c r="HB33" s="66"/>
      <c r="HC33" s="66"/>
      <c r="HD33" s="66"/>
      <c r="HE33" s="66"/>
      <c r="HF33" s="66"/>
      <c r="HG33" s="66"/>
      <c r="HH33" s="66"/>
      <c r="HI33" s="66"/>
      <c r="HJ33" s="66"/>
      <c r="HK33" s="66"/>
      <c r="HL33" s="66"/>
      <c r="HM33" s="66"/>
      <c r="HN33" s="66"/>
      <c r="HO33" s="66"/>
      <c r="HP33" s="66"/>
      <c r="HQ33" s="66"/>
      <c r="HR33" s="66"/>
      <c r="HS33" s="66"/>
      <c r="HT33" s="66"/>
      <c r="HU33" s="66"/>
      <c r="HV33" s="66"/>
      <c r="HW33" s="66"/>
      <c r="HX33" s="66"/>
      <c r="HY33" s="66"/>
      <c r="HZ33" s="66"/>
      <c r="IA33" s="66"/>
      <c r="IB33" s="66"/>
      <c r="IC33" s="66"/>
      <c r="ID33" s="66"/>
      <c r="IE33" s="66"/>
      <c r="IF33" s="66"/>
      <c r="IG33" s="66"/>
      <c r="IH33" s="66"/>
      <c r="II33" s="66"/>
      <c r="IJ33" s="66"/>
      <c r="IK33" s="66"/>
      <c r="IL33" s="66"/>
      <c r="IM33" s="66"/>
      <c r="IN33" s="66"/>
      <c r="IO33" s="66"/>
      <c r="IP33" s="66"/>
      <c r="IQ33" s="66"/>
      <c r="IR33" s="66"/>
      <c r="IS33" s="66"/>
      <c r="IT33" s="66"/>
      <c r="IU33" s="66"/>
      <c r="IV33" s="66"/>
      <c r="IW33" s="66"/>
      <c r="IX33" s="66"/>
      <c r="IY33" s="66"/>
      <c r="IZ33" s="66"/>
      <c r="JA33" s="66"/>
      <c r="JB33" s="66"/>
      <c r="JC33" s="66"/>
      <c r="JD33" s="66"/>
      <c r="JE33" s="66"/>
      <c r="JF33" s="66"/>
      <c r="JG33" s="66"/>
      <c r="JH33" s="66"/>
      <c r="JI33" s="66"/>
      <c r="JJ33" s="66"/>
      <c r="JK33" s="66"/>
      <c r="JL33" s="66"/>
      <c r="JM33" s="66"/>
      <c r="JN33" s="66"/>
      <c r="JO33" s="66"/>
      <c r="JP33" s="66"/>
      <c r="JQ33" s="66"/>
      <c r="JR33" s="66"/>
      <c r="JS33" s="66"/>
      <c r="JT33" s="66"/>
      <c r="JU33" s="66"/>
      <c r="JV33" s="66"/>
      <c r="JW33" s="66"/>
      <c r="JX33" s="66"/>
      <c r="JY33" s="66"/>
      <c r="JZ33" s="66"/>
      <c r="KA33" s="66"/>
      <c r="KB33" s="66"/>
      <c r="KC33" s="66"/>
      <c r="KD33" s="66"/>
      <c r="KE33" s="66"/>
      <c r="KF33" s="66"/>
      <c r="KG33" s="66"/>
      <c r="KH33" s="66"/>
      <c r="KI33" s="66"/>
      <c r="KJ33" s="66"/>
      <c r="KK33" s="66"/>
      <c r="KL33" s="66"/>
      <c r="KM33" s="66"/>
      <c r="KN33" s="66"/>
      <c r="KO33" s="66"/>
      <c r="KP33" s="66"/>
      <c r="KQ33" s="66"/>
      <c r="KR33" s="66"/>
      <c r="KS33" s="66"/>
      <c r="KT33" s="66"/>
      <c r="KU33" s="66"/>
      <c r="KV33" s="66"/>
      <c r="KW33" s="66"/>
      <c r="KX33" s="66"/>
      <c r="KY33" s="66"/>
      <c r="KZ33" s="66"/>
      <c r="LA33" s="66"/>
      <c r="LB33" s="66"/>
      <c r="LC33" s="66"/>
      <c r="LD33" s="66"/>
      <c r="LE33" s="66"/>
      <c r="LF33" s="66"/>
      <c r="LG33" s="66"/>
      <c r="LH33" s="66"/>
      <c r="LI33" s="66"/>
      <c r="LJ33" s="66"/>
      <c r="LK33" s="66"/>
      <c r="LL33" s="66"/>
      <c r="LM33" s="66"/>
      <c r="LN33" s="66"/>
      <c r="LO33" s="66"/>
      <c r="LP33" s="66"/>
      <c r="LQ33" s="66"/>
      <c r="LR33" s="66"/>
      <c r="LS33" s="66"/>
      <c r="LT33" s="66"/>
      <c r="LU33" s="66"/>
      <c r="LV33" s="66"/>
      <c r="LW33" s="66"/>
      <c r="LX33" s="66"/>
      <c r="LY33" s="66"/>
      <c r="LZ33" s="66"/>
      <c r="MA33" s="66"/>
      <c r="MB33" s="66"/>
      <c r="MC33" s="66"/>
      <c r="MD33" s="66"/>
      <c r="ME33" s="66"/>
      <c r="MF33" s="66"/>
      <c r="MG33" s="66"/>
      <c r="MH33" s="66"/>
      <c r="MI33" s="66"/>
      <c r="MJ33" s="66"/>
      <c r="MK33" s="66"/>
      <c r="ML33" s="66"/>
      <c r="MM33" s="66"/>
      <c r="MN33" s="66"/>
      <c r="MO33" s="66"/>
      <c r="MP33" s="66"/>
      <c r="MQ33" s="66"/>
      <c r="MR33" s="66"/>
      <c r="MS33" s="66"/>
      <c r="MT33" s="66"/>
      <c r="MU33" s="66"/>
      <c r="MV33" s="66"/>
      <c r="MW33" s="66"/>
      <c r="MX33" s="66"/>
      <c r="MY33" s="66"/>
      <c r="MZ33" s="66"/>
      <c r="NA33" s="66"/>
      <c r="NB33" s="66"/>
      <c r="NC33" s="66"/>
      <c r="ND33" s="66"/>
      <c r="NE33" s="66"/>
      <c r="NF33" s="66"/>
      <c r="NG33" s="66"/>
      <c r="NH33" s="66"/>
      <c r="NI33" s="66"/>
      <c r="NJ33" s="66"/>
      <c r="NK33" s="66"/>
      <c r="NL33" s="66"/>
      <c r="NM33" s="66"/>
      <c r="NN33" s="66"/>
      <c r="NO33" s="66"/>
      <c r="NP33" s="66"/>
      <c r="NQ33" s="66"/>
      <c r="NR33" s="66"/>
      <c r="NS33" s="66"/>
      <c r="NT33" s="66"/>
      <c r="NU33" s="66"/>
      <c r="NV33" s="66"/>
      <c r="NW33" s="66"/>
      <c r="NX33" s="66"/>
      <c r="NY33" s="66"/>
      <c r="NZ33" s="66"/>
      <c r="OA33" s="66"/>
      <c r="OB33" s="66"/>
      <c r="OC33" s="66"/>
      <c r="OD33" s="66"/>
      <c r="OE33" s="66"/>
      <c r="OF33" s="66"/>
      <c r="OG33" s="66"/>
      <c r="OH33" s="66"/>
      <c r="OI33" s="66"/>
      <c r="OJ33" s="66"/>
      <c r="OK33" s="66"/>
      <c r="OL33" s="66"/>
      <c r="OM33" s="66"/>
      <c r="ON33" s="66"/>
      <c r="OO33" s="66"/>
      <c r="OP33" s="66"/>
      <c r="OQ33" s="66"/>
      <c r="OR33" s="66"/>
      <c r="OS33" s="66"/>
      <c r="OT33" s="66"/>
      <c r="OU33" s="66"/>
      <c r="OV33" s="66"/>
      <c r="OW33" s="66"/>
      <c r="OX33" s="66"/>
      <c r="OY33" s="66"/>
      <c r="OZ33" s="66"/>
      <c r="PA33" s="66"/>
      <c r="PB33" s="66"/>
      <c r="PC33" s="66"/>
      <c r="PD33" s="66"/>
      <c r="PE33" s="66"/>
      <c r="PF33" s="66"/>
      <c r="PG33" s="66"/>
      <c r="PH33" s="66"/>
      <c r="PI33" s="66"/>
      <c r="PJ33" s="66"/>
      <c r="PK33" s="66"/>
      <c r="PL33" s="66"/>
      <c r="PM33" s="66"/>
      <c r="PN33" s="66"/>
      <c r="PO33" s="66"/>
      <c r="PP33" s="66"/>
      <c r="PQ33" s="66"/>
      <c r="PR33" s="66"/>
      <c r="PS33" s="66"/>
      <c r="PT33" s="66"/>
      <c r="PU33" s="66"/>
      <c r="PV33" s="66"/>
      <c r="PW33" s="66"/>
      <c r="PX33" s="66"/>
      <c r="PY33" s="66"/>
      <c r="PZ33" s="66"/>
      <c r="QA33" s="66"/>
      <c r="QB33" s="66"/>
      <c r="QC33" s="66"/>
      <c r="QD33" s="66"/>
      <c r="QE33" s="66"/>
      <c r="QF33" s="66"/>
      <c r="QG33" s="66"/>
      <c r="QH33" s="66"/>
      <c r="QI33" s="66"/>
      <c r="QJ33" s="66"/>
      <c r="QK33" s="66"/>
      <c r="QL33" s="66"/>
      <c r="QM33" s="66"/>
      <c r="QN33" s="66"/>
      <c r="QO33" s="66"/>
      <c r="QP33" s="66"/>
      <c r="QQ33" s="66"/>
      <c r="QR33" s="66"/>
      <c r="QS33" s="66"/>
      <c r="QT33" s="66"/>
      <c r="QU33" s="66"/>
      <c r="QV33" s="66"/>
      <c r="QW33" s="66"/>
      <c r="QX33" s="66"/>
      <c r="QY33" s="66"/>
      <c r="QZ33" s="66"/>
      <c r="RA33" s="66"/>
      <c r="RB33" s="66"/>
      <c r="RC33" s="66"/>
      <c r="RD33" s="66"/>
      <c r="RE33" s="66"/>
      <c r="RF33" s="66"/>
      <c r="RG33" s="66"/>
      <c r="RH33" s="66"/>
      <c r="RI33" s="66"/>
      <c r="RJ33" s="66"/>
      <c r="RK33" s="66"/>
      <c r="RL33" s="66"/>
      <c r="RM33" s="66"/>
      <c r="RN33" s="66"/>
      <c r="RO33" s="66"/>
      <c r="RP33" s="66"/>
      <c r="RQ33" s="66"/>
      <c r="RR33" s="66"/>
      <c r="RS33" s="66"/>
      <c r="RT33" s="66"/>
      <c r="RU33" s="66"/>
      <c r="RV33" s="66"/>
      <c r="RW33" s="66"/>
      <c r="RX33" s="66"/>
      <c r="RY33" s="66"/>
      <c r="RZ33" s="66"/>
      <c r="SA33" s="66"/>
      <c r="SB33" s="66"/>
      <c r="SC33" s="66"/>
      <c r="SD33" s="66"/>
      <c r="SE33" s="66"/>
      <c r="SF33" s="66"/>
      <c r="SG33" s="66"/>
      <c r="SH33" s="66"/>
      <c r="SI33" s="66"/>
      <c r="SJ33" s="66"/>
      <c r="SK33" s="66"/>
      <c r="SL33" s="66"/>
      <c r="SM33" s="66"/>
      <c r="SN33" s="66"/>
      <c r="SO33" s="66"/>
      <c r="SP33" s="66"/>
      <c r="SQ33" s="66"/>
      <c r="SR33" s="66"/>
      <c r="SS33" s="66"/>
      <c r="ST33" s="66"/>
      <c r="SU33" s="66"/>
      <c r="SV33" s="66"/>
      <c r="SW33" s="66"/>
      <c r="SX33" s="66"/>
      <c r="SY33" s="66"/>
      <c r="SZ33" s="66"/>
      <c r="TA33" s="66"/>
      <c r="TB33" s="66"/>
      <c r="TC33" s="66"/>
      <c r="TD33" s="66"/>
      <c r="TE33" s="66"/>
      <c r="TF33" s="66"/>
      <c r="TG33" s="66"/>
      <c r="TH33" s="66"/>
      <c r="TI33" s="66"/>
      <c r="TJ33" s="66"/>
      <c r="TK33" s="66"/>
      <c r="TL33" s="66"/>
      <c r="TM33" s="66"/>
      <c r="TN33" s="66"/>
      <c r="TO33" s="66"/>
      <c r="TP33" s="66"/>
      <c r="TQ33" s="66"/>
      <c r="TR33" s="66"/>
      <c r="TS33" s="66"/>
      <c r="TT33" s="66"/>
      <c r="TU33" s="66"/>
      <c r="TV33" s="66"/>
      <c r="TW33" s="66"/>
      <c r="TX33" s="66"/>
      <c r="TY33" s="66"/>
      <c r="TZ33" s="66"/>
      <c r="UA33" s="66"/>
      <c r="UB33" s="66"/>
      <c r="UC33" s="66"/>
      <c r="UD33" s="66"/>
      <c r="UE33" s="66"/>
      <c r="UF33" s="66"/>
      <c r="UG33" s="66"/>
      <c r="UH33" s="66"/>
      <c r="UI33" s="66"/>
      <c r="UJ33" s="66"/>
      <c r="UK33" s="66"/>
      <c r="UL33" s="66"/>
      <c r="UM33" s="66"/>
      <c r="UN33" s="66"/>
      <c r="UO33" s="66"/>
      <c r="UP33" s="66"/>
      <c r="UQ33" s="66"/>
      <c r="UR33" s="66"/>
      <c r="US33" s="66"/>
      <c r="UT33" s="66"/>
      <c r="UU33" s="66"/>
      <c r="UV33" s="66"/>
      <c r="UW33" s="66"/>
      <c r="UX33" s="66"/>
      <c r="UY33" s="66"/>
      <c r="UZ33" s="66"/>
      <c r="VA33" s="66"/>
      <c r="VB33" s="66"/>
      <c r="VC33" s="66"/>
      <c r="VD33" s="66"/>
      <c r="VE33" s="66"/>
      <c r="VF33" s="66"/>
      <c r="VG33" s="66"/>
      <c r="VH33" s="66"/>
      <c r="VI33" s="66"/>
      <c r="VJ33" s="66"/>
      <c r="VK33" s="66"/>
      <c r="VL33" s="66"/>
      <c r="VM33" s="66"/>
      <c r="VN33" s="66"/>
      <c r="VO33" s="66"/>
      <c r="VP33" s="66"/>
      <c r="VQ33" s="66"/>
      <c r="VR33" s="66"/>
      <c r="VS33" s="66"/>
      <c r="VT33" s="66"/>
      <c r="VU33" s="66"/>
      <c r="VV33" s="66"/>
      <c r="VW33" s="66"/>
      <c r="VX33" s="66"/>
      <c r="VY33" s="66"/>
      <c r="VZ33" s="66"/>
      <c r="WA33" s="66"/>
      <c r="WB33" s="66"/>
      <c r="WC33" s="66"/>
      <c r="WD33" s="66"/>
      <c r="WE33" s="66"/>
      <c r="WF33" s="66"/>
      <c r="WG33" s="66"/>
      <c r="WH33" s="66"/>
      <c r="WI33" s="66"/>
      <c r="WJ33" s="66"/>
      <c r="WK33" s="66"/>
      <c r="WL33" s="66"/>
      <c r="WM33" s="66"/>
      <c r="WN33" s="66"/>
      <c r="WO33" s="66"/>
      <c r="WP33" s="66"/>
      <c r="WQ33" s="66"/>
      <c r="WR33" s="66"/>
      <c r="WS33" s="66"/>
      <c r="WT33" s="66"/>
      <c r="WU33" s="66"/>
      <c r="WV33" s="66"/>
      <c r="WW33" s="66"/>
      <c r="WX33" s="66"/>
      <c r="WY33" s="66"/>
      <c r="WZ33" s="66"/>
      <c r="XA33" s="66"/>
      <c r="XB33" s="66"/>
      <c r="XC33" s="66"/>
      <c r="XD33" s="66"/>
      <c r="XE33" s="66"/>
      <c r="XF33" s="66"/>
      <c r="XG33" s="66"/>
      <c r="XH33" s="66"/>
      <c r="XI33" s="66"/>
      <c r="XJ33" s="66"/>
      <c r="XK33" s="66"/>
      <c r="XL33" s="66"/>
      <c r="XM33" s="66"/>
      <c r="XN33" s="66"/>
      <c r="XO33" s="66"/>
      <c r="XP33" s="66"/>
      <c r="XQ33" s="66"/>
      <c r="XR33" s="66"/>
      <c r="XS33" s="66"/>
      <c r="XT33" s="66"/>
      <c r="XU33" s="66"/>
      <c r="XV33" s="66"/>
      <c r="XW33" s="66"/>
      <c r="XX33" s="66"/>
      <c r="XY33" s="66"/>
      <c r="XZ33" s="66"/>
      <c r="YA33" s="66"/>
      <c r="YB33" s="66"/>
      <c r="YC33" s="66"/>
      <c r="YD33" s="66"/>
      <c r="YE33" s="66"/>
      <c r="YF33" s="66"/>
      <c r="YG33" s="66"/>
      <c r="YH33" s="66"/>
      <c r="YI33" s="66"/>
      <c r="YJ33" s="66"/>
      <c r="YK33" s="66"/>
      <c r="YL33" s="66"/>
      <c r="YM33" s="66"/>
      <c r="YN33" s="66"/>
      <c r="YO33" s="66"/>
      <c r="YP33" s="66"/>
      <c r="YQ33" s="66"/>
      <c r="YR33" s="66"/>
      <c r="YS33" s="66"/>
      <c r="YT33" s="66"/>
      <c r="YU33" s="66"/>
      <c r="YV33" s="66"/>
      <c r="YW33" s="66"/>
      <c r="YX33" s="66"/>
      <c r="YY33" s="66"/>
      <c r="YZ33" s="66"/>
      <c r="ZA33" s="66"/>
      <c r="ZB33" s="66"/>
      <c r="ZC33" s="66"/>
      <c r="ZD33" s="66"/>
      <c r="ZE33" s="66"/>
      <c r="ZF33" s="66"/>
      <c r="ZG33" s="66"/>
      <c r="ZH33" s="66"/>
      <c r="ZI33" s="66"/>
      <c r="ZJ33" s="66"/>
      <c r="ZK33" s="66"/>
      <c r="ZL33" s="66"/>
      <c r="ZM33" s="66"/>
      <c r="ZN33" s="66"/>
      <c r="ZO33" s="66"/>
      <c r="ZP33" s="66"/>
      <c r="ZQ33" s="66"/>
      <c r="ZR33" s="66"/>
      <c r="ZS33" s="66"/>
      <c r="ZT33" s="66"/>
      <c r="ZU33" s="66"/>
      <c r="ZV33" s="66"/>
      <c r="ZW33" s="66"/>
      <c r="ZX33" s="66"/>
      <c r="ZY33" s="66"/>
      <c r="ZZ33" s="66"/>
      <c r="AAA33" s="66"/>
      <c r="AAB33" s="66"/>
      <c r="AAC33" s="66"/>
      <c r="AAD33" s="66"/>
      <c r="AAE33" s="66"/>
      <c r="AAF33" s="66"/>
      <c r="AAG33" s="66"/>
      <c r="AAH33" s="66"/>
      <c r="AAI33" s="66"/>
      <c r="AAJ33" s="66"/>
      <c r="AAK33" s="66"/>
      <c r="AAL33" s="66"/>
      <c r="AAM33" s="66"/>
      <c r="AAN33" s="66"/>
      <c r="AAO33" s="66"/>
      <c r="AAP33" s="66"/>
      <c r="AAQ33" s="66"/>
      <c r="AAR33" s="66"/>
      <c r="AAS33" s="66"/>
      <c r="AAT33" s="66"/>
      <c r="AAU33" s="66"/>
      <c r="AAV33" s="66"/>
      <c r="AAW33" s="66"/>
      <c r="AAX33" s="66"/>
      <c r="AAY33" s="66"/>
      <c r="AAZ33" s="66"/>
      <c r="ABA33" s="66"/>
      <c r="ABB33" s="66"/>
      <c r="ABC33" s="66"/>
      <c r="ABD33" s="66"/>
      <c r="ABE33" s="66"/>
      <c r="ABF33" s="66"/>
      <c r="ABG33" s="66"/>
      <c r="ABH33" s="66"/>
      <c r="ABI33" s="66"/>
      <c r="ABJ33" s="66"/>
      <c r="ABK33" s="66"/>
      <c r="ABL33" s="66"/>
      <c r="ABM33" s="66"/>
      <c r="ABN33" s="66"/>
      <c r="ABO33" s="66"/>
      <c r="ABP33" s="66"/>
      <c r="ABQ33" s="66"/>
      <c r="ABR33" s="66"/>
      <c r="ABS33" s="66"/>
      <c r="ABT33" s="66"/>
      <c r="ABU33" s="66"/>
      <c r="ABV33" s="66"/>
      <c r="ABW33" s="66"/>
      <c r="ABX33" s="66"/>
      <c r="ABY33" s="66"/>
      <c r="ABZ33" s="66"/>
      <c r="ACA33" s="66"/>
      <c r="ACB33" s="66"/>
      <c r="ACC33" s="66"/>
      <c r="ACD33" s="66"/>
      <c r="ACE33" s="66"/>
      <c r="ACF33" s="66"/>
      <c r="ACG33" s="66"/>
      <c r="ACH33" s="66"/>
      <c r="ACI33" s="66"/>
      <c r="ACJ33" s="66"/>
      <c r="ACK33" s="66"/>
      <c r="ACL33" s="66"/>
      <c r="ACM33" s="66"/>
      <c r="ACN33" s="66"/>
      <c r="ACO33" s="66"/>
      <c r="ACP33" s="66"/>
      <c r="ACQ33" s="66"/>
      <c r="ACR33" s="66"/>
      <c r="ACS33" s="66"/>
      <c r="ACT33" s="66"/>
      <c r="ACU33" s="66"/>
      <c r="ACV33" s="66"/>
      <c r="ACW33" s="66"/>
      <c r="ACX33" s="66"/>
      <c r="ACY33" s="66"/>
      <c r="ACZ33" s="66"/>
      <c r="ADA33" s="66"/>
      <c r="ADB33" s="66"/>
      <c r="ADC33" s="66"/>
      <c r="ADD33" s="66"/>
      <c r="ADE33" s="66"/>
      <c r="ADF33" s="66"/>
      <c r="ADG33" s="66"/>
      <c r="ADH33" s="66"/>
      <c r="ADI33" s="66"/>
      <c r="ADJ33" s="66"/>
      <c r="ADK33" s="66"/>
      <c r="ADL33" s="66"/>
      <c r="ADM33" s="66"/>
      <c r="ADN33" s="66"/>
      <c r="ADO33" s="66"/>
      <c r="ADP33" s="66"/>
      <c r="ADQ33" s="66"/>
      <c r="ADR33" s="66"/>
      <c r="ADS33" s="66"/>
      <c r="ADT33" s="66"/>
      <c r="ADU33" s="66"/>
      <c r="ADV33" s="66"/>
      <c r="ADW33" s="66"/>
      <c r="ADX33" s="66"/>
      <c r="ADY33" s="66"/>
      <c r="ADZ33" s="66"/>
      <c r="AEA33" s="66"/>
      <c r="AEB33" s="66"/>
      <c r="AEC33" s="66"/>
      <c r="AED33" s="66"/>
      <c r="AEE33" s="66"/>
      <c r="AEF33" s="66"/>
      <c r="AEG33" s="66"/>
      <c r="AEH33" s="66"/>
      <c r="AEI33" s="66"/>
      <c r="AEJ33" s="66"/>
      <c r="AEK33" s="66"/>
      <c r="AEL33" s="66"/>
      <c r="AEM33" s="66"/>
      <c r="AEN33" s="66"/>
      <c r="AEO33" s="66"/>
      <c r="AEP33" s="66"/>
      <c r="AEQ33" s="66"/>
      <c r="AER33" s="66"/>
      <c r="AES33" s="66"/>
      <c r="AET33" s="66"/>
      <c r="AEU33" s="66"/>
      <c r="AEV33" s="66"/>
      <c r="AEW33" s="66"/>
      <c r="AEX33" s="66"/>
      <c r="AEY33" s="66"/>
      <c r="AEZ33" s="66"/>
      <c r="AFA33" s="66"/>
      <c r="AFB33" s="66"/>
      <c r="AFC33" s="66"/>
      <c r="AFD33" s="66"/>
      <c r="AFE33" s="66"/>
      <c r="AFF33" s="66"/>
      <c r="AFG33" s="66"/>
      <c r="AFH33" s="66"/>
      <c r="AFI33" s="66"/>
      <c r="AFJ33" s="66"/>
      <c r="AFK33" s="66"/>
      <c r="AFL33" s="66"/>
      <c r="AFM33" s="66"/>
      <c r="AFN33" s="66"/>
      <c r="AFO33" s="66"/>
      <c r="AFP33" s="66"/>
      <c r="AFQ33" s="66"/>
      <c r="AFR33" s="66"/>
      <c r="AFS33" s="66"/>
      <c r="AFT33" s="66"/>
      <c r="AFU33" s="66"/>
      <c r="AFV33" s="66"/>
      <c r="AFW33" s="66"/>
      <c r="AFX33" s="66"/>
      <c r="AFY33" s="66"/>
      <c r="AFZ33" s="66"/>
      <c r="AGA33" s="66"/>
      <c r="AGB33" s="66"/>
      <c r="AGC33" s="66"/>
      <c r="AGD33" s="66"/>
      <c r="AGE33" s="66"/>
      <c r="AGF33" s="66"/>
      <c r="AGG33" s="66"/>
      <c r="AGH33" s="66"/>
      <c r="AGI33" s="66"/>
      <c r="AGJ33" s="66"/>
      <c r="AGK33" s="66"/>
      <c r="AGL33" s="66"/>
      <c r="AGM33" s="66"/>
      <c r="AGN33" s="66"/>
      <c r="AGO33" s="66"/>
      <c r="AGP33" s="66"/>
      <c r="AGQ33" s="66"/>
      <c r="AGR33" s="66"/>
      <c r="AGS33" s="66"/>
      <c r="AGT33" s="66"/>
      <c r="AGU33" s="66"/>
      <c r="AGV33" s="66"/>
      <c r="AGW33" s="66"/>
      <c r="AGX33" s="66"/>
      <c r="AGY33" s="66"/>
      <c r="AGZ33" s="66"/>
      <c r="AHA33" s="66"/>
      <c r="AHB33" s="66"/>
      <c r="AHC33" s="66"/>
      <c r="AHD33" s="66"/>
      <c r="AHE33" s="66"/>
      <c r="AHF33" s="66"/>
      <c r="AHG33" s="66"/>
      <c r="AHH33" s="66"/>
      <c r="AHI33" s="66"/>
      <c r="AHJ33" s="66"/>
      <c r="AHK33" s="66"/>
      <c r="AHL33" s="66"/>
      <c r="AHM33" s="66"/>
      <c r="AHN33" s="66"/>
      <c r="AHO33" s="66"/>
      <c r="AHP33" s="66"/>
      <c r="AHQ33" s="66"/>
      <c r="AHR33" s="66"/>
      <c r="AHS33" s="66"/>
      <c r="AHT33" s="66"/>
      <c r="AHU33" s="66"/>
      <c r="AHV33" s="66"/>
      <c r="AHW33" s="66"/>
      <c r="AHX33" s="66"/>
      <c r="AHY33" s="66"/>
      <c r="AHZ33" s="66"/>
      <c r="AIA33" s="66"/>
      <c r="AIB33" s="66"/>
      <c r="AIC33" s="66"/>
      <c r="AID33" s="66"/>
      <c r="AIE33" s="66"/>
      <c r="AIF33" s="66"/>
      <c r="AIG33" s="66"/>
      <c r="AIH33" s="66"/>
      <c r="AII33" s="66"/>
      <c r="AIJ33" s="66"/>
      <c r="AIK33" s="66"/>
      <c r="AIL33" s="66"/>
      <c r="AIM33" s="66"/>
      <c r="AIN33" s="66"/>
      <c r="AIO33" s="66"/>
      <c r="AIP33" s="66"/>
      <c r="AIQ33" s="66"/>
      <c r="AIR33" s="66"/>
      <c r="AIS33" s="66"/>
      <c r="AIT33" s="66"/>
      <c r="AIU33" s="66"/>
      <c r="AIV33" s="66"/>
      <c r="AIW33" s="66"/>
      <c r="AIX33" s="66"/>
      <c r="AIY33" s="66"/>
      <c r="AIZ33" s="66"/>
      <c r="AJA33" s="66"/>
      <c r="AJB33" s="66"/>
      <c r="AJC33" s="66"/>
      <c r="AJD33" s="66"/>
      <c r="AJE33" s="66"/>
      <c r="AJF33" s="66"/>
      <c r="AJG33" s="66"/>
      <c r="AJH33" s="66"/>
      <c r="AJI33" s="66"/>
      <c r="AJJ33" s="66"/>
      <c r="AJK33" s="66"/>
      <c r="AJL33" s="66"/>
      <c r="AJM33" s="66"/>
      <c r="AJN33" s="66"/>
      <c r="AJO33" s="66"/>
      <c r="AJP33" s="66"/>
      <c r="AJQ33" s="66"/>
      <c r="AJR33" s="66"/>
      <c r="AJS33" s="66"/>
      <c r="AJT33" s="66"/>
      <c r="AJU33" s="66"/>
      <c r="AJV33" s="66"/>
      <c r="AJW33" s="66"/>
      <c r="AJX33" s="66"/>
      <c r="AJY33" s="66"/>
      <c r="AJZ33" s="66"/>
      <c r="AKA33" s="66"/>
      <c r="AKB33" s="66"/>
      <c r="AKC33" s="66"/>
      <c r="AKD33" s="66"/>
      <c r="AKE33" s="66"/>
      <c r="AKF33" s="66"/>
      <c r="AKG33" s="66"/>
      <c r="AKH33" s="66"/>
      <c r="AKI33" s="66"/>
      <c r="AKJ33" s="66"/>
      <c r="AKK33" s="66"/>
      <c r="AKL33" s="66"/>
      <c r="AKM33" s="66"/>
      <c r="AKN33" s="66"/>
      <c r="AKO33" s="66"/>
      <c r="AKP33" s="66"/>
      <c r="AKQ33" s="66"/>
      <c r="AKR33" s="66"/>
      <c r="AKS33" s="66"/>
      <c r="AKT33" s="66"/>
      <c r="AKU33" s="66"/>
      <c r="AKV33" s="66"/>
      <c r="AKW33" s="66"/>
      <c r="AKX33" s="66"/>
      <c r="AKY33" s="66"/>
      <c r="AKZ33" s="66"/>
      <c r="ALA33" s="66"/>
      <c r="ALB33" s="66"/>
      <c r="ALC33" s="66"/>
      <c r="ALD33" s="66"/>
      <c r="ALE33" s="66"/>
      <c r="ALF33" s="66"/>
      <c r="ALG33" s="66"/>
      <c r="ALH33" s="66"/>
      <c r="ALI33" s="66"/>
      <c r="ALJ33" s="66"/>
      <c r="ALK33" s="66"/>
      <c r="ALL33" s="66"/>
      <c r="ALM33" s="66"/>
      <c r="ALN33" s="66"/>
      <c r="ALO33" s="66"/>
      <c r="ALP33" s="66"/>
      <c r="ALQ33" s="66"/>
      <c r="ALR33" s="66"/>
      <c r="ALS33" s="66"/>
      <c r="ALT33" s="66"/>
      <c r="ALU33" s="66"/>
      <c r="ALV33" s="66"/>
      <c r="ALW33" s="66"/>
      <c r="ALX33" s="66"/>
      <c r="ALY33" s="66"/>
      <c r="ALZ33" s="66"/>
      <c r="AMA33" s="66"/>
      <c r="AMB33" s="66"/>
      <c r="AMC33" s="66"/>
      <c r="AMD33" s="66"/>
      <c r="AME33" s="66"/>
      <c r="AMF33" s="66"/>
      <c r="AMG33" s="66"/>
      <c r="AMH33" s="66"/>
      <c r="AMI33" s="66"/>
      <c r="AMJ33" s="66"/>
      <c r="AMK33" s="66"/>
      <c r="AML33" s="66"/>
      <c r="AMM33" s="66"/>
      <c r="AMN33" s="66"/>
      <c r="AMO33" s="66"/>
      <c r="AMP33" s="66"/>
      <c r="AMQ33" s="66"/>
      <c r="AMR33" s="66"/>
      <c r="AMS33" s="66"/>
      <c r="AMT33" s="66"/>
      <c r="AMU33" s="66"/>
      <c r="AMV33" s="66"/>
      <c r="AMW33" s="66"/>
      <c r="AMX33" s="66"/>
      <c r="AMY33" s="66"/>
      <c r="AMZ33" s="66"/>
      <c r="ANA33" s="66"/>
      <c r="ANB33" s="66"/>
      <c r="ANC33" s="66"/>
      <c r="AND33" s="66"/>
      <c r="ANE33" s="66"/>
      <c r="ANF33" s="66"/>
      <c r="ANG33" s="66"/>
      <c r="ANH33" s="66"/>
      <c r="ANI33" s="66"/>
      <c r="ANJ33" s="66"/>
      <c r="ANK33" s="66"/>
      <c r="ANL33" s="66"/>
      <c r="ANM33" s="66"/>
      <c r="ANN33" s="66"/>
      <c r="ANO33" s="66"/>
      <c r="ANP33" s="66"/>
      <c r="ANQ33" s="66"/>
      <c r="ANR33" s="66"/>
      <c r="ANS33" s="66"/>
      <c r="ANT33" s="66"/>
      <c r="ANU33" s="66"/>
      <c r="ANV33" s="66"/>
      <c r="ANW33" s="66"/>
      <c r="ANX33" s="66"/>
      <c r="ANY33" s="66"/>
      <c r="ANZ33" s="66"/>
      <c r="AOA33" s="66"/>
      <c r="AOB33" s="66"/>
      <c r="AOC33" s="66"/>
      <c r="AOD33" s="66"/>
      <c r="AOE33" s="66"/>
      <c r="AOF33" s="66"/>
      <c r="AOG33" s="66"/>
      <c r="AOH33" s="66"/>
      <c r="AOI33" s="66"/>
      <c r="AOJ33" s="66"/>
      <c r="AOK33" s="66"/>
      <c r="AOL33" s="66"/>
      <c r="AOM33" s="66"/>
      <c r="AON33" s="66"/>
      <c r="AOO33" s="66"/>
      <c r="AOP33" s="66"/>
      <c r="AOQ33" s="66"/>
      <c r="AOR33" s="66"/>
      <c r="AOS33" s="66"/>
      <c r="AOT33" s="66"/>
      <c r="AOU33" s="66"/>
      <c r="AOV33" s="66"/>
      <c r="AOW33" s="66"/>
      <c r="AOX33" s="66"/>
      <c r="AOY33" s="66"/>
      <c r="AOZ33" s="66"/>
      <c r="APA33" s="66"/>
      <c r="APB33" s="66"/>
      <c r="APC33" s="66"/>
      <c r="APD33" s="66"/>
      <c r="APE33" s="66"/>
      <c r="APF33" s="66"/>
      <c r="APG33" s="66"/>
      <c r="APH33" s="66"/>
      <c r="API33" s="66"/>
      <c r="APJ33" s="66"/>
      <c r="APK33" s="66"/>
      <c r="APL33" s="66"/>
      <c r="APM33" s="66"/>
      <c r="APN33" s="66"/>
      <c r="APO33" s="66"/>
      <c r="APP33" s="66"/>
      <c r="APQ33" s="66"/>
      <c r="APR33" s="66"/>
      <c r="APS33" s="66"/>
      <c r="APT33" s="66"/>
      <c r="APU33" s="66"/>
      <c r="APV33" s="66"/>
      <c r="APW33" s="66"/>
      <c r="APX33" s="66"/>
      <c r="APY33" s="66"/>
      <c r="APZ33" s="66"/>
      <c r="AQA33" s="66"/>
      <c r="AQB33" s="66"/>
      <c r="AQC33" s="66"/>
      <c r="AQD33" s="66"/>
      <c r="AQE33" s="66"/>
      <c r="AQF33" s="66"/>
      <c r="AQG33" s="66"/>
      <c r="AQH33" s="66"/>
      <c r="AQI33" s="66"/>
      <c r="AQJ33" s="66"/>
      <c r="AQK33" s="66"/>
      <c r="AQL33" s="66"/>
      <c r="AQM33" s="66"/>
      <c r="AQN33" s="66"/>
      <c r="AQO33" s="66"/>
      <c r="AQP33" s="66"/>
      <c r="AQQ33" s="66"/>
      <c r="AQR33" s="66"/>
      <c r="AQS33" s="66"/>
      <c r="AQT33" s="66"/>
      <c r="AQU33" s="66"/>
      <c r="AQV33" s="66"/>
      <c r="AQW33" s="66"/>
      <c r="AQX33" s="66"/>
      <c r="AQY33" s="66"/>
      <c r="AQZ33" s="66"/>
      <c r="ARA33" s="66"/>
      <c r="ARB33" s="66"/>
      <c r="ARC33" s="66"/>
      <c r="ARD33" s="66"/>
      <c r="ARE33" s="66"/>
      <c r="ARF33" s="66"/>
      <c r="ARG33" s="66"/>
      <c r="ARH33" s="66"/>
      <c r="ARI33" s="66"/>
      <c r="ARJ33" s="66"/>
      <c r="ARK33" s="66"/>
      <c r="ARL33" s="66"/>
      <c r="ARM33" s="66"/>
      <c r="ARN33" s="66"/>
      <c r="ARO33" s="66"/>
      <c r="ARP33" s="66"/>
      <c r="ARQ33" s="66"/>
      <c r="ARR33" s="66"/>
      <c r="ARS33" s="66"/>
      <c r="ART33" s="66"/>
      <c r="ARU33" s="66"/>
      <c r="ARV33" s="66"/>
      <c r="ARW33" s="66"/>
      <c r="ARX33" s="66"/>
      <c r="ARY33" s="66"/>
      <c r="ARZ33" s="66"/>
      <c r="ASA33" s="66"/>
      <c r="ASB33" s="66"/>
      <c r="ASC33" s="66"/>
      <c r="ASD33" s="66"/>
      <c r="ASE33" s="66"/>
      <c r="ASF33" s="66"/>
      <c r="ASG33" s="66"/>
      <c r="ASH33" s="66"/>
      <c r="ASI33" s="66"/>
      <c r="ASJ33" s="66"/>
      <c r="ASK33" s="66"/>
      <c r="ASL33" s="66"/>
      <c r="ASM33" s="66"/>
      <c r="ASN33" s="66"/>
      <c r="ASO33" s="66"/>
      <c r="ASP33" s="66"/>
      <c r="ASQ33" s="66"/>
      <c r="ASR33" s="66"/>
      <c r="ASS33" s="66"/>
      <c r="AST33" s="66"/>
      <c r="ASU33" s="66"/>
      <c r="ASV33" s="66"/>
      <c r="ASW33" s="66"/>
      <c r="ASX33" s="66"/>
      <c r="ASY33" s="66"/>
      <c r="ASZ33" s="66"/>
      <c r="ATA33" s="66"/>
      <c r="ATB33" s="66"/>
      <c r="ATC33" s="66"/>
      <c r="ATD33" s="66"/>
      <c r="ATE33" s="66"/>
      <c r="ATF33" s="66"/>
      <c r="ATG33" s="66"/>
      <c r="ATH33" s="66"/>
      <c r="ATI33" s="66"/>
      <c r="ATJ33" s="66"/>
      <c r="ATK33" s="66"/>
      <c r="ATL33" s="66"/>
      <c r="ATM33" s="66"/>
      <c r="ATN33" s="66"/>
      <c r="ATO33" s="66"/>
      <c r="ATP33" s="66"/>
      <c r="ATQ33" s="66"/>
      <c r="ATR33" s="66"/>
      <c r="ATS33" s="66"/>
      <c r="ATT33" s="66"/>
      <c r="ATU33" s="66"/>
      <c r="ATV33" s="66"/>
      <c r="ATW33" s="66"/>
      <c r="ATX33" s="66"/>
      <c r="ATY33" s="66"/>
      <c r="ATZ33" s="66"/>
      <c r="AUA33" s="66"/>
      <c r="AUB33" s="66"/>
      <c r="AUC33" s="66"/>
      <c r="AUD33" s="66"/>
      <c r="AUE33" s="66"/>
      <c r="AUF33" s="66"/>
      <c r="AUG33" s="66"/>
      <c r="AUH33" s="66"/>
      <c r="AUI33" s="66"/>
      <c r="AUJ33" s="66"/>
      <c r="AUK33" s="66"/>
      <c r="AUL33" s="66"/>
      <c r="AUM33" s="66"/>
      <c r="AUN33" s="66"/>
      <c r="AUO33" s="66"/>
      <c r="AUP33" s="66"/>
      <c r="AUQ33" s="66"/>
      <c r="AUR33" s="66"/>
      <c r="AUS33" s="66"/>
      <c r="AUT33" s="66"/>
      <c r="AUU33" s="66"/>
      <c r="AUV33" s="66"/>
      <c r="AUW33" s="66"/>
      <c r="AUX33" s="66"/>
      <c r="AUY33" s="66"/>
      <c r="AUZ33" s="66"/>
      <c r="AVA33" s="66"/>
      <c r="AVB33" s="66"/>
      <c r="AVC33" s="66"/>
      <c r="AVD33" s="66"/>
      <c r="AVE33" s="66"/>
      <c r="AVF33" s="66"/>
      <c r="AVG33" s="66"/>
      <c r="AVH33" s="66"/>
      <c r="AVI33" s="66"/>
      <c r="AVJ33" s="66"/>
      <c r="AVK33" s="66"/>
      <c r="AVL33" s="66"/>
      <c r="AVM33" s="66"/>
      <c r="AVN33" s="66"/>
      <c r="AVO33" s="66"/>
      <c r="AVP33" s="66"/>
      <c r="AVQ33" s="66"/>
      <c r="AVR33" s="66"/>
      <c r="AVS33" s="66"/>
      <c r="AVT33" s="66"/>
      <c r="AVU33" s="66"/>
      <c r="AVV33" s="66"/>
      <c r="AVW33" s="66"/>
      <c r="AVX33" s="66"/>
      <c r="AVY33" s="66"/>
      <c r="AVZ33" s="66"/>
      <c r="AWA33" s="66"/>
      <c r="AWB33" s="66"/>
      <c r="AWC33" s="66"/>
      <c r="AWD33" s="66"/>
      <c r="AWE33" s="66"/>
      <c r="AWF33" s="66"/>
      <c r="AWG33" s="66"/>
      <c r="AWH33" s="66"/>
      <c r="AWI33" s="66"/>
      <c r="AWJ33" s="66"/>
      <c r="AWK33" s="66"/>
      <c r="AWL33" s="66"/>
      <c r="AWM33" s="66"/>
      <c r="AWN33" s="66"/>
      <c r="AWO33" s="66"/>
      <c r="AWP33" s="66"/>
      <c r="AWQ33" s="66"/>
      <c r="AWR33" s="66"/>
      <c r="AWS33" s="66"/>
      <c r="AWT33" s="66"/>
      <c r="AWU33" s="66"/>
      <c r="AWV33" s="66"/>
      <c r="AWW33" s="66"/>
      <c r="AWX33" s="66"/>
      <c r="AWY33" s="66"/>
      <c r="AWZ33" s="66"/>
      <c r="AXA33" s="66"/>
      <c r="AXB33" s="66"/>
      <c r="AXC33" s="66"/>
      <c r="AXD33" s="66"/>
      <c r="AXE33" s="66"/>
      <c r="AXF33" s="66"/>
      <c r="AXG33" s="66"/>
      <c r="AXH33" s="66"/>
      <c r="AXI33" s="66"/>
      <c r="AXJ33" s="66"/>
      <c r="AXK33" s="66"/>
      <c r="AXL33" s="66"/>
      <c r="AXM33" s="66"/>
      <c r="AXN33" s="66"/>
      <c r="AXO33" s="66"/>
      <c r="AXP33" s="66"/>
      <c r="AXQ33" s="66"/>
      <c r="AXR33" s="66"/>
      <c r="AXS33" s="66"/>
      <c r="AXT33" s="66"/>
      <c r="AXU33" s="66"/>
      <c r="AXV33" s="66"/>
      <c r="AXW33" s="66"/>
      <c r="AXX33" s="66"/>
      <c r="AXY33" s="66"/>
      <c r="AXZ33" s="66"/>
      <c r="AYA33" s="66"/>
      <c r="AYB33" s="66"/>
      <c r="AYC33" s="66"/>
      <c r="AYD33" s="66"/>
      <c r="AYE33" s="66"/>
      <c r="AYF33" s="66"/>
      <c r="AYG33" s="66"/>
      <c r="AYH33" s="66"/>
      <c r="AYI33" s="66"/>
      <c r="AYJ33" s="66"/>
      <c r="AYK33" s="66"/>
      <c r="AYL33" s="66"/>
      <c r="AYM33" s="66"/>
      <c r="AYN33" s="66"/>
      <c r="AYO33" s="66"/>
      <c r="AYP33" s="66"/>
      <c r="AYQ33" s="66"/>
      <c r="AYR33" s="66"/>
      <c r="AYS33" s="66"/>
      <c r="AYT33" s="66"/>
      <c r="AYU33" s="66"/>
      <c r="AYV33" s="66"/>
      <c r="AYW33" s="66"/>
      <c r="AYX33" s="66"/>
      <c r="AYY33" s="66"/>
      <c r="AYZ33" s="66"/>
      <c r="AZA33" s="66"/>
      <c r="AZB33" s="66"/>
      <c r="AZC33" s="66"/>
      <c r="AZD33" s="66"/>
      <c r="AZE33" s="66"/>
      <c r="AZF33" s="66"/>
      <c r="AZG33" s="66"/>
      <c r="AZH33" s="66"/>
      <c r="AZI33" s="66"/>
      <c r="AZJ33" s="66"/>
      <c r="AZK33" s="66"/>
      <c r="AZL33" s="66"/>
      <c r="AZM33" s="66"/>
      <c r="AZN33" s="66"/>
      <c r="AZO33" s="66"/>
      <c r="AZP33" s="66"/>
      <c r="AZQ33" s="66"/>
      <c r="AZR33" s="66"/>
      <c r="AZS33" s="66"/>
      <c r="AZT33" s="66"/>
      <c r="AZU33" s="66"/>
      <c r="AZV33" s="66"/>
      <c r="AZW33" s="66"/>
      <c r="AZX33" s="66"/>
      <c r="AZY33" s="66"/>
      <c r="AZZ33" s="66"/>
      <c r="BAA33" s="66"/>
      <c r="BAB33" s="66"/>
      <c r="BAC33" s="66"/>
      <c r="BAD33" s="66"/>
      <c r="BAE33" s="66"/>
      <c r="BAF33" s="66"/>
      <c r="BAG33" s="66"/>
      <c r="BAH33" s="66"/>
      <c r="BAI33" s="66"/>
      <c r="BAJ33" s="66"/>
      <c r="BAK33" s="66"/>
      <c r="BAL33" s="66"/>
      <c r="BAM33" s="66"/>
      <c r="BAN33" s="66"/>
      <c r="BAO33" s="66"/>
      <c r="BAP33" s="66"/>
      <c r="BAQ33" s="66"/>
      <c r="BAR33" s="66"/>
      <c r="BAS33" s="66"/>
      <c r="BAT33" s="66"/>
      <c r="BAU33" s="66"/>
      <c r="BAV33" s="66"/>
      <c r="BAW33" s="66"/>
      <c r="BAX33" s="66"/>
      <c r="BAY33" s="66"/>
      <c r="BAZ33" s="66"/>
      <c r="BBA33" s="66"/>
      <c r="BBB33" s="66"/>
      <c r="BBC33" s="66"/>
      <c r="BBD33" s="66"/>
      <c r="BBE33" s="66"/>
      <c r="BBF33" s="66"/>
      <c r="BBG33" s="66"/>
      <c r="BBH33" s="66"/>
      <c r="BBI33" s="66"/>
      <c r="BBJ33" s="66"/>
      <c r="BBK33" s="66"/>
      <c r="BBL33" s="66"/>
      <c r="BBM33" s="66"/>
      <c r="BBN33" s="66"/>
      <c r="BBO33" s="66"/>
      <c r="BBP33" s="66"/>
      <c r="BBQ33" s="66"/>
      <c r="BBR33" s="66"/>
      <c r="BBS33" s="66"/>
      <c r="BBT33" s="66"/>
      <c r="BBU33" s="66"/>
      <c r="BBV33" s="66"/>
      <c r="BBW33" s="66"/>
      <c r="BBX33" s="66"/>
      <c r="BBY33" s="66"/>
      <c r="BBZ33" s="66"/>
      <c r="BCA33" s="66"/>
      <c r="BCB33" s="66"/>
      <c r="BCC33" s="66"/>
      <c r="BCD33" s="66"/>
      <c r="BCE33" s="66"/>
      <c r="BCF33" s="66"/>
      <c r="BCG33" s="66"/>
      <c r="BCH33" s="66"/>
      <c r="BCI33" s="66"/>
      <c r="BCJ33" s="66"/>
      <c r="BCK33" s="66"/>
      <c r="BCL33" s="66"/>
      <c r="BCM33" s="66"/>
      <c r="BCN33" s="66"/>
      <c r="BCO33" s="66"/>
      <c r="BCP33" s="66"/>
      <c r="BCQ33" s="66"/>
      <c r="BCR33" s="66"/>
      <c r="BCS33" s="66"/>
      <c r="BCT33" s="66"/>
      <c r="BCU33" s="66"/>
      <c r="BCV33" s="66"/>
      <c r="BCW33" s="66"/>
      <c r="BCX33" s="66"/>
      <c r="BCY33" s="66"/>
      <c r="BCZ33" s="66"/>
      <c r="BDA33" s="66"/>
      <c r="BDB33" s="66"/>
      <c r="BDC33" s="66"/>
      <c r="BDD33" s="66"/>
      <c r="BDE33" s="66"/>
      <c r="BDF33" s="66"/>
      <c r="BDG33" s="66"/>
      <c r="BDH33" s="66"/>
      <c r="BDI33" s="66"/>
      <c r="BDJ33" s="66"/>
      <c r="BDK33" s="66"/>
      <c r="BDL33" s="66"/>
      <c r="BDM33" s="66"/>
      <c r="BDN33" s="66"/>
      <c r="BDO33" s="66"/>
      <c r="BDP33" s="66"/>
      <c r="BDQ33" s="66"/>
      <c r="BDR33" s="66"/>
      <c r="BDS33" s="66"/>
      <c r="BDT33" s="66"/>
      <c r="BDU33" s="66"/>
      <c r="BDV33" s="66"/>
      <c r="BDW33" s="66"/>
      <c r="BDX33" s="66"/>
      <c r="BDY33" s="66"/>
      <c r="BDZ33" s="66"/>
      <c r="BEA33" s="66"/>
      <c r="BEB33" s="66"/>
      <c r="BEC33" s="66"/>
      <c r="BED33" s="66"/>
      <c r="BEE33" s="66"/>
      <c r="BEF33" s="66"/>
      <c r="BEG33" s="66"/>
      <c r="BEH33" s="66"/>
      <c r="BEI33" s="66"/>
      <c r="BEJ33" s="66"/>
      <c r="BEK33" s="66"/>
      <c r="BEL33" s="66"/>
      <c r="BEM33" s="66"/>
      <c r="BEN33" s="66"/>
      <c r="BEO33" s="66"/>
      <c r="BEP33" s="66"/>
      <c r="BEQ33" s="66"/>
      <c r="BER33" s="66"/>
      <c r="BES33" s="66"/>
      <c r="BET33" s="66"/>
      <c r="BEU33" s="66"/>
      <c r="BEV33" s="66"/>
      <c r="BEW33" s="66"/>
      <c r="BEX33" s="66"/>
      <c r="BEY33" s="66"/>
      <c r="BEZ33" s="66"/>
      <c r="BFA33" s="66"/>
      <c r="BFB33" s="66"/>
      <c r="BFC33" s="66"/>
      <c r="BFD33" s="66"/>
      <c r="BFE33" s="66"/>
      <c r="BFF33" s="66"/>
      <c r="BFG33" s="66"/>
      <c r="BFH33" s="66"/>
      <c r="BFI33" s="66"/>
      <c r="BFJ33" s="66"/>
      <c r="BFK33" s="66"/>
      <c r="BFL33" s="66"/>
      <c r="BFM33" s="66"/>
      <c r="BFN33" s="66"/>
      <c r="BFO33" s="66"/>
      <c r="BFP33" s="66"/>
      <c r="BFQ33" s="66"/>
      <c r="BFR33" s="66"/>
      <c r="BFS33" s="66"/>
      <c r="BFT33" s="66"/>
      <c r="BFU33" s="66"/>
      <c r="BFV33" s="66"/>
      <c r="BFW33" s="66"/>
      <c r="BFX33" s="66"/>
      <c r="BFY33" s="66"/>
      <c r="BFZ33" s="66"/>
      <c r="BGA33" s="66"/>
      <c r="BGB33" s="66"/>
      <c r="BGC33" s="66"/>
      <c r="BGD33" s="66"/>
      <c r="BGE33" s="66"/>
      <c r="BGF33" s="66"/>
      <c r="BGG33" s="66"/>
      <c r="BGH33" s="66"/>
      <c r="BGI33" s="66"/>
      <c r="BGJ33" s="66"/>
      <c r="BGK33" s="66"/>
      <c r="BGL33" s="66"/>
      <c r="BGM33" s="66"/>
      <c r="BGN33" s="66"/>
      <c r="BGO33" s="66"/>
      <c r="BGP33" s="66"/>
      <c r="BGQ33" s="66"/>
      <c r="BGR33" s="66"/>
      <c r="BGS33" s="66"/>
      <c r="BGT33" s="66"/>
      <c r="BGU33" s="66"/>
      <c r="BGV33" s="66"/>
      <c r="BGW33" s="66"/>
      <c r="BGX33" s="66"/>
      <c r="BGY33" s="66"/>
      <c r="BGZ33" s="66"/>
      <c r="BHA33" s="66"/>
      <c r="BHB33" s="66"/>
      <c r="BHC33" s="66"/>
      <c r="BHD33" s="66"/>
      <c r="BHE33" s="66"/>
      <c r="BHF33" s="66"/>
      <c r="BHG33" s="66"/>
      <c r="BHH33" s="66"/>
      <c r="BHI33" s="66"/>
      <c r="BHJ33" s="66"/>
      <c r="BHK33" s="66"/>
      <c r="BHL33" s="66"/>
      <c r="BHM33" s="66"/>
      <c r="BHN33" s="66"/>
      <c r="BHO33" s="66"/>
      <c r="BHP33" s="66"/>
      <c r="BHQ33" s="66"/>
      <c r="BHR33" s="66"/>
      <c r="BHS33" s="66"/>
      <c r="BHT33" s="66"/>
      <c r="BHU33" s="66"/>
      <c r="BHV33" s="66"/>
      <c r="BHW33" s="66"/>
      <c r="BHX33" s="66"/>
      <c r="BHY33" s="66"/>
      <c r="BHZ33" s="66"/>
      <c r="BIA33" s="66"/>
      <c r="BIB33" s="66"/>
      <c r="BIC33" s="66"/>
      <c r="BID33" s="66"/>
      <c r="BIE33" s="66"/>
      <c r="BIF33" s="66"/>
      <c r="BIG33" s="66"/>
      <c r="BIH33" s="66"/>
      <c r="BII33" s="66"/>
      <c r="BIJ33" s="66"/>
      <c r="BIK33" s="66"/>
      <c r="BIL33" s="66"/>
      <c r="BIM33" s="66"/>
      <c r="BIN33" s="66"/>
      <c r="BIO33" s="66"/>
      <c r="BIP33" s="66"/>
      <c r="BIQ33" s="66"/>
      <c r="BIR33" s="66"/>
      <c r="BIS33" s="66"/>
      <c r="BIT33" s="66"/>
      <c r="BIU33" s="66"/>
      <c r="BIV33" s="66"/>
      <c r="BIW33" s="66"/>
      <c r="BIX33" s="66"/>
      <c r="BIY33" s="66"/>
      <c r="BIZ33" s="66"/>
      <c r="BJA33" s="66"/>
      <c r="BJB33" s="66"/>
      <c r="BJC33" s="66"/>
      <c r="BJD33" s="66"/>
      <c r="BJE33" s="66"/>
      <c r="BJF33" s="66"/>
      <c r="BJG33" s="66"/>
      <c r="BJH33" s="66"/>
      <c r="BJI33" s="66"/>
      <c r="BJJ33" s="66"/>
      <c r="BJK33" s="66"/>
      <c r="BJL33" s="66"/>
      <c r="BJM33" s="66"/>
      <c r="BJN33" s="66"/>
      <c r="BJO33" s="66"/>
      <c r="BJP33" s="66"/>
      <c r="BJQ33" s="66"/>
      <c r="BJR33" s="66"/>
      <c r="BJS33" s="66"/>
      <c r="BJT33" s="66"/>
      <c r="BJU33" s="66"/>
      <c r="BJV33" s="66"/>
      <c r="BJW33" s="66"/>
      <c r="BJX33" s="66"/>
      <c r="BJY33" s="66"/>
      <c r="BJZ33" s="66"/>
      <c r="BKA33" s="66"/>
      <c r="BKB33" s="66"/>
      <c r="BKC33" s="66"/>
      <c r="BKD33" s="66"/>
      <c r="BKE33" s="66"/>
      <c r="BKF33" s="66"/>
      <c r="BKG33" s="66"/>
      <c r="BKH33" s="66"/>
      <c r="BKI33" s="66"/>
      <c r="BKJ33" s="66"/>
      <c r="BKK33" s="66"/>
      <c r="BKL33" s="66"/>
      <c r="BKM33" s="66"/>
      <c r="BKN33" s="66"/>
      <c r="BKO33" s="66"/>
      <c r="BKP33" s="66"/>
      <c r="BKQ33" s="66"/>
      <c r="BKR33" s="66"/>
      <c r="BKS33" s="66"/>
      <c r="BKT33" s="66"/>
      <c r="BKU33" s="66"/>
      <c r="BKV33" s="66"/>
      <c r="BKW33" s="66"/>
      <c r="BKX33" s="66"/>
      <c r="BKY33" s="66"/>
      <c r="BKZ33" s="66"/>
      <c r="BLA33" s="66"/>
      <c r="BLB33" s="66"/>
      <c r="BLC33" s="66"/>
      <c r="BLD33" s="66"/>
      <c r="BLE33" s="66"/>
      <c r="BLF33" s="66"/>
      <c r="BLG33" s="66"/>
      <c r="BLH33" s="66"/>
      <c r="BLI33" s="66"/>
      <c r="BLJ33" s="66"/>
      <c r="BLK33" s="66"/>
      <c r="BLL33" s="66"/>
      <c r="BLM33" s="66"/>
      <c r="BLN33" s="66"/>
      <c r="BLO33" s="66"/>
      <c r="BLP33" s="66"/>
      <c r="BLQ33" s="66"/>
      <c r="BLR33" s="66"/>
      <c r="BLS33" s="66"/>
      <c r="BLT33" s="66"/>
      <c r="BLU33" s="66"/>
      <c r="BLV33" s="66"/>
      <c r="BLW33" s="66"/>
      <c r="BLX33" s="66"/>
      <c r="BLY33" s="66"/>
      <c r="BLZ33" s="66"/>
      <c r="BMA33" s="66"/>
      <c r="BMB33" s="66"/>
      <c r="BMC33" s="66"/>
      <c r="BMD33" s="66"/>
      <c r="BME33" s="66"/>
      <c r="BMF33" s="66"/>
      <c r="BMG33" s="66"/>
      <c r="BMH33" s="66"/>
      <c r="BMI33" s="66"/>
      <c r="BMJ33" s="66"/>
      <c r="BMK33" s="66"/>
      <c r="BML33" s="66"/>
      <c r="BMM33" s="66"/>
      <c r="BMN33" s="66"/>
      <c r="BMO33" s="66"/>
      <c r="BMP33" s="66"/>
      <c r="BMQ33" s="66"/>
      <c r="BMR33" s="66"/>
      <c r="BMS33" s="66"/>
      <c r="BMT33" s="66"/>
      <c r="BMU33" s="66"/>
      <c r="BMV33" s="66"/>
      <c r="BMW33" s="66"/>
      <c r="BMX33" s="66"/>
      <c r="BMY33" s="66"/>
      <c r="BMZ33" s="66"/>
      <c r="BNA33" s="66"/>
      <c r="BNB33" s="66"/>
      <c r="BNC33" s="66"/>
      <c r="BND33" s="66"/>
      <c r="BNE33" s="66"/>
      <c r="BNF33" s="66"/>
      <c r="BNG33" s="66"/>
      <c r="BNH33" s="66"/>
      <c r="BNI33" s="66"/>
      <c r="BNJ33" s="66"/>
      <c r="BNK33" s="66"/>
      <c r="BNL33" s="66"/>
      <c r="BNM33" s="66"/>
      <c r="BNN33" s="66"/>
      <c r="BNO33" s="66"/>
      <c r="BNP33" s="66"/>
      <c r="BNQ33" s="66"/>
      <c r="BNR33" s="66"/>
      <c r="BNS33" s="66"/>
      <c r="BNT33" s="66"/>
      <c r="BNU33" s="66"/>
      <c r="BNV33" s="66"/>
      <c r="BNW33" s="66"/>
      <c r="BNX33" s="66"/>
      <c r="BNY33" s="66"/>
      <c r="BNZ33" s="66"/>
      <c r="BOA33" s="66"/>
      <c r="BOB33" s="66"/>
      <c r="BOC33" s="66"/>
      <c r="BOD33" s="66"/>
      <c r="BOE33" s="66"/>
      <c r="BOF33" s="66"/>
      <c r="BOG33" s="66"/>
      <c r="BOH33" s="66"/>
      <c r="BOI33" s="66"/>
      <c r="BOJ33" s="66"/>
      <c r="BOK33" s="66"/>
      <c r="BOL33" s="66"/>
      <c r="BOM33" s="66"/>
      <c r="BON33" s="66"/>
      <c r="BOO33" s="66"/>
      <c r="BOP33" s="66"/>
      <c r="BOQ33" s="66"/>
      <c r="BOR33" s="66"/>
      <c r="BOS33" s="66"/>
      <c r="BOT33" s="66"/>
      <c r="BOU33" s="66"/>
      <c r="BOV33" s="66"/>
      <c r="BOW33" s="66"/>
      <c r="BOX33" s="66"/>
      <c r="BOY33" s="66"/>
      <c r="BOZ33" s="66"/>
      <c r="BPA33" s="66"/>
      <c r="BPB33" s="66"/>
      <c r="BPC33" s="66"/>
      <c r="BPD33" s="66"/>
      <c r="BPE33" s="66"/>
      <c r="BPF33" s="66"/>
      <c r="BPG33" s="66"/>
      <c r="BPH33" s="66"/>
      <c r="BPI33" s="66"/>
      <c r="BPJ33" s="66"/>
      <c r="BPK33" s="66"/>
      <c r="BPL33" s="66"/>
      <c r="BPM33" s="66"/>
      <c r="BPN33" s="66"/>
      <c r="BPO33" s="66"/>
      <c r="BPP33" s="66"/>
      <c r="BPQ33" s="66"/>
      <c r="BPR33" s="66"/>
      <c r="BPS33" s="66"/>
      <c r="BPT33" s="66"/>
      <c r="BPU33" s="66"/>
      <c r="BPV33" s="66"/>
      <c r="BPW33" s="66"/>
      <c r="BPX33" s="66"/>
      <c r="BPY33" s="66"/>
      <c r="BPZ33" s="66"/>
      <c r="BQA33" s="66"/>
      <c r="BQB33" s="66"/>
      <c r="BQC33" s="66"/>
      <c r="BQD33" s="66"/>
      <c r="BQE33" s="66"/>
      <c r="BQF33" s="66"/>
      <c r="BQG33" s="66"/>
      <c r="BQH33" s="66"/>
      <c r="BQI33" s="66"/>
      <c r="BQJ33" s="66"/>
      <c r="BQK33" s="66"/>
      <c r="BQL33" s="66"/>
      <c r="BQM33" s="66"/>
      <c r="BQN33" s="66"/>
      <c r="BQO33" s="66"/>
      <c r="BQP33" s="66"/>
      <c r="BQQ33" s="66"/>
      <c r="BQR33" s="66"/>
      <c r="BQS33" s="66"/>
      <c r="BQT33" s="66"/>
      <c r="BQU33" s="66"/>
      <c r="BQV33" s="66"/>
      <c r="BQW33" s="66"/>
      <c r="BQX33" s="66"/>
      <c r="BQY33" s="66"/>
      <c r="BQZ33" s="66"/>
      <c r="BRA33" s="66"/>
      <c r="BRB33" s="66"/>
      <c r="BRC33" s="66"/>
      <c r="BRD33" s="66"/>
      <c r="BRE33" s="66"/>
      <c r="BRF33" s="66"/>
      <c r="BRG33" s="66"/>
      <c r="BRH33" s="66"/>
      <c r="BRI33" s="66"/>
      <c r="BRJ33" s="66"/>
      <c r="BRK33" s="66"/>
      <c r="BRL33" s="66"/>
      <c r="BRM33" s="66"/>
      <c r="BRN33" s="66"/>
      <c r="BRO33" s="66"/>
      <c r="BRP33" s="66"/>
      <c r="BRQ33" s="66"/>
      <c r="BRR33" s="66"/>
      <c r="BRS33" s="66"/>
      <c r="BRT33" s="66"/>
      <c r="BRU33" s="66"/>
      <c r="BRV33" s="66"/>
      <c r="BRW33" s="66"/>
      <c r="BRX33" s="66"/>
      <c r="BRY33" s="66"/>
      <c r="BRZ33" s="66"/>
      <c r="BSA33" s="66"/>
      <c r="BSB33" s="66"/>
      <c r="BSC33" s="66"/>
      <c r="BSD33" s="66"/>
      <c r="BSE33" s="66"/>
      <c r="BSF33" s="66"/>
      <c r="BSG33" s="66"/>
      <c r="BSH33" s="66"/>
      <c r="BSI33" s="66"/>
      <c r="BSJ33" s="66"/>
      <c r="BSK33" s="66"/>
      <c r="BSL33" s="66"/>
      <c r="BSM33" s="66"/>
      <c r="BSN33" s="66"/>
      <c r="BSO33" s="66"/>
      <c r="BSP33" s="66"/>
      <c r="BSQ33" s="66"/>
      <c r="BSR33" s="66"/>
      <c r="BSS33" s="66"/>
      <c r="BST33" s="66"/>
      <c r="BSU33" s="66"/>
      <c r="BSV33" s="66"/>
      <c r="BSW33" s="66"/>
      <c r="BSX33" s="66"/>
      <c r="BSY33" s="66"/>
      <c r="BSZ33" s="66"/>
      <c r="BTA33" s="66"/>
      <c r="BTB33" s="66"/>
      <c r="BTC33" s="66"/>
      <c r="BTD33" s="66"/>
      <c r="BTE33" s="66"/>
      <c r="BTF33" s="66"/>
      <c r="BTG33" s="66"/>
      <c r="BTH33" s="66"/>
      <c r="BTI33" s="66"/>
      <c r="BTJ33" s="66"/>
      <c r="BTK33" s="66"/>
      <c r="BTL33" s="66"/>
      <c r="BTM33" s="66"/>
      <c r="BTN33" s="66"/>
      <c r="BTO33" s="66"/>
      <c r="BTP33" s="66"/>
      <c r="BTQ33" s="66"/>
      <c r="BTR33" s="66"/>
      <c r="BTS33" s="66"/>
      <c r="BTT33" s="66"/>
      <c r="BTU33" s="66"/>
      <c r="BTV33" s="66"/>
      <c r="BTW33" s="66"/>
      <c r="BTX33" s="66"/>
      <c r="BTY33" s="66"/>
      <c r="BTZ33" s="66"/>
      <c r="BUA33" s="66"/>
      <c r="BUB33" s="66"/>
      <c r="BUC33" s="66"/>
      <c r="BUD33" s="66"/>
      <c r="BUE33" s="66"/>
      <c r="BUF33" s="66"/>
      <c r="BUG33" s="66"/>
      <c r="BUH33" s="66"/>
      <c r="BUI33" s="66"/>
      <c r="BUJ33" s="66"/>
      <c r="BUK33" s="66"/>
      <c r="BUL33" s="66"/>
      <c r="BUM33" s="66"/>
      <c r="BUN33" s="66"/>
      <c r="BUO33" s="66"/>
      <c r="BUP33" s="66"/>
      <c r="BUQ33" s="66"/>
      <c r="BUR33" s="66"/>
      <c r="BUS33" s="66"/>
      <c r="BUT33" s="66"/>
      <c r="BUU33" s="66"/>
      <c r="BUV33" s="66"/>
      <c r="BUW33" s="66"/>
      <c r="BUX33" s="66"/>
      <c r="BUY33" s="66"/>
      <c r="BUZ33" s="66"/>
      <c r="BVA33" s="66"/>
      <c r="BVB33" s="66"/>
      <c r="BVC33" s="66"/>
      <c r="BVD33" s="66"/>
      <c r="BVE33" s="66"/>
      <c r="BVF33" s="66"/>
      <c r="BVG33" s="66"/>
      <c r="BVH33" s="66"/>
      <c r="BVI33" s="66"/>
      <c r="BVJ33" s="66"/>
      <c r="BVK33" s="66"/>
      <c r="BVL33" s="66"/>
      <c r="BVM33" s="66"/>
      <c r="BVN33" s="66"/>
      <c r="BVO33" s="66"/>
      <c r="BVP33" s="66"/>
      <c r="BVQ33" s="66"/>
      <c r="BVR33" s="66"/>
      <c r="BVS33" s="66"/>
      <c r="BVT33" s="66"/>
      <c r="BVU33" s="66"/>
      <c r="BVV33" s="66"/>
      <c r="BVW33" s="66"/>
      <c r="BVX33" s="66"/>
      <c r="BVY33" s="66"/>
      <c r="BVZ33" s="66"/>
      <c r="BWA33" s="66"/>
      <c r="BWB33" s="66"/>
      <c r="BWC33" s="66"/>
      <c r="BWD33" s="66"/>
      <c r="BWE33" s="66"/>
      <c r="BWF33" s="66"/>
      <c r="BWG33" s="66"/>
      <c r="BWH33" s="66"/>
      <c r="BWI33" s="66"/>
      <c r="BWJ33" s="66"/>
      <c r="BWK33" s="66"/>
      <c r="BWL33" s="66"/>
      <c r="BWM33" s="66"/>
      <c r="BWN33" s="66"/>
      <c r="BWO33" s="66"/>
      <c r="BWP33" s="66"/>
      <c r="BWQ33" s="66"/>
      <c r="BWR33" s="66"/>
      <c r="BWS33" s="66"/>
      <c r="BWT33" s="66"/>
      <c r="BWU33" s="66"/>
      <c r="BWV33" s="66"/>
      <c r="BWW33" s="66"/>
      <c r="BWX33" s="66"/>
      <c r="BWY33" s="66"/>
      <c r="BWZ33" s="66"/>
      <c r="BXA33" s="66"/>
      <c r="BXB33" s="66"/>
      <c r="BXC33" s="66"/>
      <c r="BXD33" s="66"/>
      <c r="BXE33" s="66"/>
      <c r="BXF33" s="66"/>
      <c r="BXG33" s="66"/>
      <c r="BXH33" s="66"/>
      <c r="BXI33" s="66"/>
      <c r="BXJ33" s="66"/>
      <c r="BXK33" s="66"/>
      <c r="BXL33" s="66"/>
      <c r="BXM33" s="66"/>
      <c r="BXN33" s="66"/>
      <c r="BXO33" s="66"/>
      <c r="BXP33" s="66"/>
      <c r="BXQ33" s="66"/>
      <c r="BXR33" s="66"/>
      <c r="BXS33" s="66"/>
      <c r="BXT33" s="66"/>
      <c r="BXU33" s="66"/>
      <c r="BXV33" s="66"/>
      <c r="BXW33" s="66"/>
      <c r="BXX33" s="66"/>
      <c r="BXY33" s="66"/>
      <c r="BXZ33" s="66"/>
      <c r="BYA33" s="66"/>
      <c r="BYB33" s="66"/>
      <c r="BYC33" s="66"/>
      <c r="BYD33" s="66"/>
      <c r="BYE33" s="66"/>
      <c r="BYF33" s="66"/>
      <c r="BYG33" s="66"/>
      <c r="BYH33" s="66"/>
      <c r="BYI33" s="66"/>
      <c r="BYJ33" s="66"/>
      <c r="BYK33" s="66"/>
      <c r="BYL33" s="66"/>
      <c r="BYM33" s="66"/>
      <c r="BYN33" s="66"/>
      <c r="BYO33" s="66"/>
      <c r="BYP33" s="66"/>
      <c r="BYQ33" s="66"/>
      <c r="BYR33" s="66"/>
      <c r="BYS33" s="66"/>
      <c r="BYT33" s="66"/>
      <c r="BYU33" s="66"/>
      <c r="BYV33" s="66"/>
      <c r="BYW33" s="66"/>
      <c r="BYX33" s="66"/>
      <c r="BYY33" s="66"/>
      <c r="BYZ33" s="66"/>
      <c r="BZA33" s="66"/>
      <c r="BZB33" s="66"/>
      <c r="BZC33" s="66"/>
      <c r="BZD33" s="66"/>
      <c r="BZE33" s="66"/>
      <c r="BZF33" s="66"/>
      <c r="BZG33" s="66"/>
      <c r="BZH33" s="66"/>
      <c r="BZI33" s="66"/>
      <c r="BZJ33" s="66"/>
      <c r="BZK33" s="66"/>
      <c r="BZL33" s="66"/>
      <c r="BZM33" s="66"/>
      <c r="BZN33" s="66"/>
      <c r="BZO33" s="66"/>
      <c r="BZP33" s="66"/>
      <c r="BZQ33" s="66"/>
      <c r="BZR33" s="66"/>
      <c r="BZS33" s="66"/>
      <c r="BZT33" s="66"/>
      <c r="BZU33" s="66"/>
      <c r="BZV33" s="66"/>
      <c r="BZW33" s="66"/>
      <c r="BZX33" s="66"/>
      <c r="BZY33" s="66"/>
      <c r="BZZ33" s="66"/>
      <c r="CAA33" s="66"/>
      <c r="CAB33" s="66"/>
      <c r="CAC33" s="66"/>
      <c r="CAD33" s="66"/>
      <c r="CAE33" s="66"/>
      <c r="CAF33" s="66"/>
      <c r="CAG33" s="66"/>
      <c r="CAH33" s="66"/>
      <c r="CAI33" s="66"/>
      <c r="CAJ33" s="66"/>
      <c r="CAK33" s="66"/>
      <c r="CAL33" s="66"/>
      <c r="CAM33" s="66"/>
      <c r="CAN33" s="66"/>
      <c r="CAO33" s="66"/>
      <c r="CAP33" s="66"/>
      <c r="CAQ33" s="66"/>
      <c r="CAR33" s="66"/>
      <c r="CAS33" s="66"/>
      <c r="CAT33" s="66"/>
      <c r="CAU33" s="66"/>
      <c r="CAV33" s="66"/>
      <c r="CAW33" s="66"/>
      <c r="CAX33" s="66"/>
      <c r="CAY33" s="66"/>
      <c r="CAZ33" s="66"/>
      <c r="CBA33" s="66"/>
      <c r="CBB33" s="66"/>
      <c r="CBC33" s="66"/>
      <c r="CBD33" s="66"/>
      <c r="CBE33" s="66"/>
      <c r="CBF33" s="66"/>
      <c r="CBG33" s="66"/>
      <c r="CBH33" s="66"/>
      <c r="CBI33" s="66"/>
      <c r="CBJ33" s="66"/>
      <c r="CBK33" s="66"/>
      <c r="CBL33" s="66"/>
      <c r="CBM33" s="66"/>
      <c r="CBN33" s="66"/>
      <c r="CBO33" s="66"/>
      <c r="CBP33" s="66"/>
      <c r="CBQ33" s="66"/>
      <c r="CBR33" s="66"/>
      <c r="CBS33" s="66"/>
      <c r="CBT33" s="66"/>
      <c r="CBU33" s="66"/>
      <c r="CBV33" s="66"/>
      <c r="CBW33" s="66"/>
      <c r="CBX33" s="66"/>
      <c r="CBY33" s="66"/>
      <c r="CBZ33" s="66"/>
      <c r="CCA33" s="66"/>
      <c r="CCB33" s="66"/>
      <c r="CCC33" s="66"/>
      <c r="CCD33" s="66"/>
      <c r="CCE33" s="66"/>
      <c r="CCF33" s="66"/>
      <c r="CCG33" s="66"/>
      <c r="CCH33" s="66"/>
      <c r="CCI33" s="66"/>
      <c r="CCJ33" s="66"/>
      <c r="CCK33" s="66"/>
      <c r="CCL33" s="66"/>
      <c r="CCM33" s="66"/>
      <c r="CCN33" s="66"/>
      <c r="CCO33" s="66"/>
      <c r="CCP33" s="66"/>
      <c r="CCQ33" s="66"/>
      <c r="CCR33" s="66"/>
      <c r="CCS33" s="66"/>
      <c r="CCT33" s="66"/>
      <c r="CCU33" s="66"/>
      <c r="CCV33" s="66"/>
      <c r="CCW33" s="66"/>
      <c r="CCX33" s="66"/>
      <c r="CCY33" s="66"/>
      <c r="CCZ33" s="66"/>
      <c r="CDA33" s="66"/>
      <c r="CDB33" s="66"/>
      <c r="CDC33" s="66"/>
      <c r="CDD33" s="66"/>
      <c r="CDE33" s="66"/>
      <c r="CDF33" s="66"/>
      <c r="CDG33" s="66"/>
      <c r="CDH33" s="66"/>
      <c r="CDI33" s="66"/>
      <c r="CDJ33" s="66"/>
      <c r="CDK33" s="66"/>
      <c r="CDL33" s="66"/>
      <c r="CDM33" s="66"/>
      <c r="CDN33" s="66"/>
      <c r="CDO33" s="66"/>
      <c r="CDP33" s="66"/>
      <c r="CDQ33" s="66"/>
      <c r="CDR33" s="66"/>
      <c r="CDS33" s="66"/>
      <c r="CDT33" s="66"/>
      <c r="CDU33" s="66"/>
      <c r="CDV33" s="66"/>
      <c r="CDW33" s="66"/>
      <c r="CDX33" s="66"/>
      <c r="CDY33" s="66"/>
      <c r="CDZ33" s="66"/>
      <c r="CEA33" s="66"/>
      <c r="CEB33" s="66"/>
      <c r="CEC33" s="66"/>
      <c r="CED33" s="66"/>
      <c r="CEE33" s="66"/>
      <c r="CEF33" s="66"/>
      <c r="CEG33" s="66"/>
      <c r="CEH33" s="66"/>
      <c r="CEI33" s="66"/>
      <c r="CEJ33" s="66"/>
      <c r="CEK33" s="66"/>
      <c r="CEL33" s="66"/>
      <c r="CEM33" s="66"/>
      <c r="CEN33" s="66"/>
      <c r="CEO33" s="66"/>
      <c r="CEP33" s="66"/>
      <c r="CEQ33" s="66"/>
      <c r="CER33" s="66"/>
      <c r="CES33" s="66"/>
      <c r="CET33" s="66"/>
      <c r="CEU33" s="66"/>
      <c r="CEV33" s="66"/>
      <c r="CEW33" s="66"/>
      <c r="CEX33" s="66"/>
      <c r="CEY33" s="66"/>
      <c r="CEZ33" s="66"/>
      <c r="CFA33" s="66"/>
      <c r="CFB33" s="66"/>
      <c r="CFC33" s="66"/>
      <c r="CFD33" s="66"/>
      <c r="CFE33" s="66"/>
      <c r="CFF33" s="66"/>
      <c r="CFG33" s="66"/>
      <c r="CFH33" s="66"/>
      <c r="CFI33" s="66"/>
      <c r="CFJ33" s="66"/>
      <c r="CFK33" s="66"/>
      <c r="CFL33" s="66"/>
      <c r="CFM33" s="66"/>
      <c r="CFN33" s="66"/>
      <c r="CFO33" s="66"/>
      <c r="CFP33" s="66"/>
      <c r="CFQ33" s="66"/>
      <c r="CFR33" s="66"/>
      <c r="CFS33" s="66"/>
      <c r="CFT33" s="66"/>
      <c r="CFU33" s="66"/>
      <c r="CFV33" s="66"/>
      <c r="CFW33" s="66"/>
      <c r="CFX33" s="66"/>
      <c r="CFY33" s="66"/>
      <c r="CFZ33" s="66"/>
      <c r="CGA33" s="66"/>
      <c r="CGB33" s="66"/>
      <c r="CGC33" s="66"/>
      <c r="CGD33" s="66"/>
      <c r="CGE33" s="66"/>
      <c r="CGF33" s="66"/>
      <c r="CGG33" s="66"/>
      <c r="CGH33" s="66"/>
      <c r="CGI33" s="66"/>
      <c r="CGJ33" s="66"/>
      <c r="CGK33" s="66"/>
      <c r="CGL33" s="66"/>
      <c r="CGM33" s="66"/>
      <c r="CGN33" s="66"/>
      <c r="CGO33" s="66"/>
      <c r="CGP33" s="66"/>
      <c r="CGQ33" s="66"/>
      <c r="CGR33" s="66"/>
      <c r="CGS33" s="66"/>
      <c r="CGT33" s="66"/>
      <c r="CGU33" s="66"/>
      <c r="CGV33" s="66"/>
      <c r="CGW33" s="66"/>
      <c r="CGX33" s="66"/>
      <c r="CGY33" s="66"/>
      <c r="CGZ33" s="66"/>
      <c r="CHA33" s="66"/>
      <c r="CHB33" s="66"/>
      <c r="CHC33" s="66"/>
      <c r="CHD33" s="66"/>
      <c r="CHE33" s="66"/>
      <c r="CHF33" s="66"/>
      <c r="CHG33" s="66"/>
      <c r="CHH33" s="66"/>
      <c r="CHI33" s="66"/>
      <c r="CHJ33" s="66"/>
      <c r="CHK33" s="66"/>
      <c r="CHL33" s="66"/>
      <c r="CHM33" s="66"/>
      <c r="CHN33" s="66"/>
      <c r="CHO33" s="66"/>
      <c r="CHP33" s="66"/>
      <c r="CHQ33" s="66"/>
      <c r="CHR33" s="66"/>
      <c r="CHS33" s="66"/>
      <c r="CHT33" s="66"/>
      <c r="CHU33" s="66"/>
      <c r="CHV33" s="66"/>
      <c r="CHW33" s="66"/>
      <c r="CHX33" s="66"/>
      <c r="CHY33" s="66"/>
      <c r="CHZ33" s="66"/>
      <c r="CIA33" s="66"/>
      <c r="CIB33" s="66"/>
      <c r="CIC33" s="66"/>
      <c r="CID33" s="66"/>
      <c r="CIE33" s="66"/>
      <c r="CIF33" s="66"/>
      <c r="CIG33" s="66"/>
      <c r="CIH33" s="66"/>
      <c r="CII33" s="66"/>
      <c r="CIJ33" s="66"/>
      <c r="CIK33" s="66"/>
      <c r="CIL33" s="66"/>
      <c r="CIM33" s="66"/>
      <c r="CIN33" s="66"/>
      <c r="CIO33" s="66"/>
      <c r="CIP33" s="66"/>
      <c r="CIQ33" s="66"/>
      <c r="CIR33" s="66"/>
      <c r="CIS33" s="66"/>
      <c r="CIT33" s="66"/>
      <c r="CIU33" s="66"/>
      <c r="CIV33" s="66"/>
      <c r="CIW33" s="66"/>
      <c r="CIX33" s="66"/>
      <c r="CIY33" s="66"/>
      <c r="CIZ33" s="66"/>
      <c r="CJA33" s="66"/>
      <c r="CJB33" s="66"/>
      <c r="CJC33" s="66"/>
      <c r="CJD33" s="66"/>
      <c r="CJE33" s="66"/>
      <c r="CJF33" s="66"/>
      <c r="CJG33" s="66"/>
      <c r="CJH33" s="66"/>
      <c r="CJI33" s="66"/>
      <c r="CJJ33" s="66"/>
      <c r="CJK33" s="66"/>
      <c r="CJL33" s="66"/>
      <c r="CJM33" s="66"/>
      <c r="CJN33" s="66"/>
      <c r="CJO33" s="66"/>
      <c r="CJP33" s="66"/>
      <c r="CJQ33" s="66"/>
      <c r="CJR33" s="66"/>
      <c r="CJS33" s="66"/>
      <c r="CJT33" s="66"/>
      <c r="CJU33" s="66"/>
      <c r="CJV33" s="66"/>
      <c r="CJW33" s="66"/>
      <c r="CJX33" s="66"/>
      <c r="CJY33" s="66"/>
      <c r="CJZ33" s="66"/>
      <c r="CKA33" s="66"/>
      <c r="CKB33" s="66"/>
      <c r="CKC33" s="66"/>
      <c r="CKD33" s="66"/>
      <c r="CKE33" s="66"/>
      <c r="CKF33" s="66"/>
      <c r="CKG33" s="66"/>
      <c r="CKH33" s="66"/>
      <c r="CKI33" s="66"/>
      <c r="CKJ33" s="66"/>
      <c r="CKK33" s="66"/>
      <c r="CKL33" s="66"/>
      <c r="CKM33" s="66"/>
      <c r="CKN33" s="66"/>
      <c r="CKO33" s="66"/>
      <c r="CKP33" s="66"/>
      <c r="CKQ33" s="66"/>
      <c r="CKR33" s="66"/>
      <c r="CKS33" s="66"/>
      <c r="CKT33" s="66"/>
      <c r="CKU33" s="66"/>
      <c r="CKV33" s="66"/>
      <c r="CKW33" s="66"/>
      <c r="CKX33" s="66"/>
      <c r="CKY33" s="66"/>
      <c r="CKZ33" s="66"/>
      <c r="CLA33" s="66"/>
      <c r="CLB33" s="66"/>
      <c r="CLC33" s="66"/>
      <c r="CLD33" s="66"/>
      <c r="CLE33" s="66"/>
      <c r="CLF33" s="66"/>
      <c r="CLG33" s="66"/>
      <c r="CLH33" s="66"/>
      <c r="CLI33" s="66"/>
      <c r="CLJ33" s="66"/>
      <c r="CLK33" s="66"/>
      <c r="CLL33" s="66"/>
      <c r="CLM33" s="66"/>
      <c r="CLN33" s="66"/>
      <c r="CLO33" s="66"/>
      <c r="CLP33" s="66"/>
      <c r="CLQ33" s="66"/>
      <c r="CLR33" s="66"/>
      <c r="CLS33" s="66"/>
      <c r="CLT33" s="66"/>
      <c r="CLU33" s="66"/>
      <c r="CLV33" s="66"/>
      <c r="CLW33" s="66"/>
      <c r="CLX33" s="66"/>
      <c r="CLY33" s="66"/>
      <c r="CLZ33" s="66"/>
      <c r="CMA33" s="66"/>
      <c r="CMB33" s="66"/>
      <c r="CMC33" s="66"/>
      <c r="CMD33" s="66"/>
      <c r="CME33" s="66"/>
      <c r="CMF33" s="66"/>
      <c r="CMG33" s="66"/>
      <c r="CMH33" s="66"/>
      <c r="CMI33" s="66"/>
      <c r="CMJ33" s="66"/>
      <c r="CMK33" s="66"/>
      <c r="CML33" s="66"/>
      <c r="CMM33" s="66"/>
      <c r="CMN33" s="66"/>
      <c r="CMO33" s="66"/>
      <c r="CMP33" s="66"/>
      <c r="CMQ33" s="66"/>
      <c r="CMR33" s="66"/>
      <c r="CMS33" s="66"/>
      <c r="CMT33" s="66"/>
      <c r="CMU33" s="66"/>
      <c r="CMV33" s="66"/>
      <c r="CMW33" s="66"/>
      <c r="CMX33" s="66"/>
      <c r="CMY33" s="66"/>
      <c r="CMZ33" s="66"/>
      <c r="CNA33" s="66"/>
      <c r="CNB33" s="66"/>
      <c r="CNC33" s="66"/>
      <c r="CND33" s="66"/>
      <c r="CNE33" s="66"/>
      <c r="CNF33" s="66"/>
      <c r="CNG33" s="66"/>
      <c r="CNH33" s="66"/>
      <c r="CNI33" s="66"/>
      <c r="CNJ33" s="66"/>
      <c r="CNK33" s="66"/>
      <c r="CNL33" s="66"/>
      <c r="CNM33" s="66"/>
      <c r="CNN33" s="66"/>
      <c r="CNO33" s="66"/>
      <c r="CNP33" s="66"/>
      <c r="CNQ33" s="66"/>
      <c r="CNR33" s="66"/>
      <c r="CNS33" s="66"/>
      <c r="CNT33" s="66"/>
      <c r="CNU33" s="66"/>
      <c r="CNV33" s="66"/>
      <c r="CNW33" s="66"/>
      <c r="CNX33" s="66"/>
      <c r="CNY33" s="66"/>
      <c r="CNZ33" s="66"/>
      <c r="COA33" s="66"/>
      <c r="COB33" s="66"/>
      <c r="COC33" s="66"/>
      <c r="COD33" s="66"/>
      <c r="COE33" s="66"/>
      <c r="COF33" s="66"/>
      <c r="COG33" s="66"/>
      <c r="COH33" s="66"/>
      <c r="COI33" s="66"/>
      <c r="COJ33" s="66"/>
      <c r="COK33" s="66"/>
      <c r="COL33" s="66"/>
      <c r="COM33" s="66"/>
      <c r="CON33" s="66"/>
      <c r="COO33" s="66"/>
      <c r="COP33" s="66"/>
      <c r="COQ33" s="66"/>
      <c r="COR33" s="66"/>
      <c r="COS33" s="66"/>
      <c r="COT33" s="66"/>
      <c r="COU33" s="66"/>
      <c r="COV33" s="66"/>
      <c r="COW33" s="66"/>
      <c r="COX33" s="66"/>
      <c r="COY33" s="66"/>
      <c r="COZ33" s="66"/>
      <c r="CPA33" s="66"/>
      <c r="CPB33" s="66"/>
      <c r="CPC33" s="66"/>
      <c r="CPD33" s="66"/>
      <c r="CPE33" s="66"/>
      <c r="CPF33" s="66"/>
      <c r="CPG33" s="66"/>
      <c r="CPH33" s="66"/>
      <c r="CPI33" s="66"/>
      <c r="CPJ33" s="66"/>
      <c r="CPK33" s="66"/>
      <c r="CPL33" s="66"/>
      <c r="CPM33" s="66"/>
      <c r="CPN33" s="66"/>
      <c r="CPO33" s="66"/>
      <c r="CPP33" s="66"/>
      <c r="CPQ33" s="66"/>
      <c r="CPR33" s="66"/>
      <c r="CPS33" s="66"/>
      <c r="CPT33" s="66"/>
      <c r="CPU33" s="66"/>
      <c r="CPV33" s="66"/>
      <c r="CPW33" s="66"/>
      <c r="CPX33" s="66"/>
      <c r="CPY33" s="66"/>
      <c r="CPZ33" s="66"/>
      <c r="CQA33" s="66"/>
      <c r="CQB33" s="66"/>
      <c r="CQC33" s="66"/>
      <c r="CQD33" s="66"/>
      <c r="CQE33" s="66"/>
      <c r="CQF33" s="66"/>
      <c r="CQG33" s="66"/>
      <c r="CQH33" s="66"/>
      <c r="CQI33" s="66"/>
      <c r="CQJ33" s="66"/>
      <c r="CQK33" s="66"/>
      <c r="CQL33" s="66"/>
      <c r="CQM33" s="66"/>
      <c r="CQN33" s="66"/>
      <c r="CQO33" s="66"/>
      <c r="CQP33" s="66"/>
      <c r="CQQ33" s="66"/>
      <c r="CQR33" s="66"/>
      <c r="CQS33" s="66"/>
      <c r="CQT33" s="66"/>
      <c r="CQU33" s="66"/>
      <c r="CQV33" s="66"/>
      <c r="CQW33" s="66"/>
      <c r="CQX33" s="66"/>
      <c r="CQY33" s="66"/>
      <c r="CQZ33" s="66"/>
      <c r="CRA33" s="66"/>
      <c r="CRB33" s="66"/>
      <c r="CRC33" s="66"/>
      <c r="CRD33" s="66"/>
      <c r="CRE33" s="66"/>
      <c r="CRF33" s="66"/>
      <c r="CRG33" s="66"/>
      <c r="CRH33" s="66"/>
      <c r="CRI33" s="66"/>
      <c r="CRJ33" s="66"/>
      <c r="CRK33" s="66"/>
      <c r="CRL33" s="66"/>
      <c r="CRM33" s="66"/>
      <c r="CRN33" s="66"/>
      <c r="CRO33" s="66"/>
      <c r="CRP33" s="66"/>
      <c r="CRQ33" s="66"/>
      <c r="CRR33" s="66"/>
      <c r="CRS33" s="66"/>
      <c r="CRT33" s="66"/>
      <c r="CRU33" s="66"/>
      <c r="CRV33" s="66"/>
      <c r="CRW33" s="66"/>
      <c r="CRX33" s="66"/>
      <c r="CRY33" s="66"/>
      <c r="CRZ33" s="66"/>
      <c r="CSA33" s="66"/>
      <c r="CSB33" s="66"/>
      <c r="CSC33" s="66"/>
      <c r="CSD33" s="66"/>
      <c r="CSE33" s="66"/>
      <c r="CSF33" s="66"/>
      <c r="CSG33" s="66"/>
      <c r="CSH33" s="66"/>
      <c r="CSI33" s="66"/>
      <c r="CSJ33" s="66"/>
      <c r="CSK33" s="66"/>
      <c r="CSL33" s="66"/>
      <c r="CSM33" s="66"/>
      <c r="CSN33" s="66"/>
      <c r="CSO33" s="66"/>
      <c r="CSP33" s="66"/>
      <c r="CSQ33" s="66"/>
      <c r="CSR33" s="66"/>
      <c r="CSS33" s="66"/>
      <c r="CST33" s="66"/>
      <c r="CSU33" s="66"/>
      <c r="CSV33" s="66"/>
      <c r="CSW33" s="66"/>
      <c r="CSX33" s="66"/>
      <c r="CSY33" s="66"/>
      <c r="CSZ33" s="66"/>
      <c r="CTA33" s="66"/>
      <c r="CTB33" s="66"/>
      <c r="CTC33" s="66"/>
      <c r="CTD33" s="66"/>
      <c r="CTE33" s="66"/>
      <c r="CTF33" s="66"/>
      <c r="CTG33" s="66"/>
      <c r="CTH33" s="66"/>
      <c r="CTI33" s="66"/>
      <c r="CTJ33" s="66"/>
      <c r="CTK33" s="66"/>
      <c r="CTL33" s="66"/>
      <c r="CTM33" s="66"/>
      <c r="CTN33" s="66"/>
      <c r="CTO33" s="66"/>
      <c r="CTP33" s="66"/>
      <c r="CTQ33" s="66"/>
      <c r="CTR33" s="66"/>
      <c r="CTS33" s="66"/>
      <c r="CTT33" s="66"/>
      <c r="CTU33" s="66"/>
      <c r="CTV33" s="66"/>
      <c r="CTW33" s="66"/>
      <c r="CTX33" s="66"/>
      <c r="CTY33" s="66"/>
      <c r="CTZ33" s="66"/>
      <c r="CUA33" s="66"/>
      <c r="CUB33" s="66"/>
      <c r="CUC33" s="66"/>
      <c r="CUD33" s="66"/>
      <c r="CUE33" s="66"/>
      <c r="CUF33" s="66"/>
      <c r="CUG33" s="66"/>
      <c r="CUH33" s="66"/>
      <c r="CUI33" s="66"/>
      <c r="CUJ33" s="66"/>
      <c r="CUK33" s="66"/>
      <c r="CUL33" s="66"/>
      <c r="CUM33" s="66"/>
      <c r="CUN33" s="66"/>
      <c r="CUO33" s="66"/>
      <c r="CUP33" s="66"/>
      <c r="CUQ33" s="66"/>
      <c r="CUR33" s="66"/>
      <c r="CUS33" s="66"/>
      <c r="CUT33" s="66"/>
      <c r="CUU33" s="66"/>
      <c r="CUV33" s="66"/>
      <c r="CUW33" s="66"/>
      <c r="CUX33" s="66"/>
      <c r="CUY33" s="66"/>
      <c r="CUZ33" s="66"/>
      <c r="CVA33" s="66"/>
      <c r="CVB33" s="66"/>
      <c r="CVC33" s="66"/>
      <c r="CVD33" s="66"/>
      <c r="CVE33" s="66"/>
      <c r="CVF33" s="66"/>
      <c r="CVG33" s="66"/>
      <c r="CVH33" s="66"/>
      <c r="CVI33" s="66"/>
      <c r="CVJ33" s="66"/>
      <c r="CVK33" s="66"/>
      <c r="CVL33" s="66"/>
      <c r="CVM33" s="66"/>
      <c r="CVN33" s="66"/>
      <c r="CVO33" s="66"/>
      <c r="CVP33" s="66"/>
      <c r="CVQ33" s="66"/>
      <c r="CVR33" s="66"/>
      <c r="CVS33" s="66"/>
      <c r="CVT33" s="66"/>
      <c r="CVU33" s="66"/>
      <c r="CVV33" s="66"/>
      <c r="CVW33" s="66"/>
      <c r="CVX33" s="66"/>
      <c r="CVY33" s="66"/>
      <c r="CVZ33" s="66"/>
      <c r="CWA33" s="66"/>
      <c r="CWB33" s="66"/>
      <c r="CWC33" s="66"/>
      <c r="CWD33" s="66"/>
      <c r="CWE33" s="66"/>
      <c r="CWF33" s="66"/>
      <c r="CWG33" s="66"/>
      <c r="CWH33" s="66"/>
      <c r="CWI33" s="66"/>
      <c r="CWJ33" s="66"/>
      <c r="CWK33" s="66"/>
      <c r="CWL33" s="66"/>
      <c r="CWM33" s="66"/>
      <c r="CWN33" s="66"/>
      <c r="CWO33" s="66"/>
      <c r="CWP33" s="66"/>
      <c r="CWQ33" s="66"/>
      <c r="CWR33" s="66"/>
      <c r="CWS33" s="66"/>
      <c r="CWT33" s="66"/>
      <c r="CWU33" s="66"/>
      <c r="CWV33" s="66"/>
      <c r="CWW33" s="66"/>
      <c r="CWX33" s="66"/>
      <c r="CWY33" s="66"/>
      <c r="CWZ33" s="66"/>
      <c r="CXA33" s="66"/>
      <c r="CXB33" s="66"/>
      <c r="CXC33" s="66"/>
      <c r="CXD33" s="66"/>
      <c r="CXE33" s="66"/>
      <c r="CXF33" s="66"/>
      <c r="CXG33" s="66"/>
      <c r="CXH33" s="66"/>
      <c r="CXI33" s="66"/>
      <c r="CXJ33" s="66"/>
      <c r="CXK33" s="66"/>
      <c r="CXL33" s="66"/>
      <c r="CXM33" s="66"/>
      <c r="CXN33" s="66"/>
      <c r="CXO33" s="66"/>
      <c r="CXP33" s="66"/>
      <c r="CXQ33" s="66"/>
      <c r="CXR33" s="66"/>
      <c r="CXS33" s="66"/>
      <c r="CXT33" s="66"/>
      <c r="CXU33" s="66"/>
      <c r="CXV33" s="66"/>
      <c r="CXW33" s="66"/>
      <c r="CXX33" s="66"/>
      <c r="CXY33" s="66"/>
      <c r="CXZ33" s="66"/>
      <c r="CYA33" s="66"/>
      <c r="CYB33" s="66"/>
      <c r="CYC33" s="66"/>
      <c r="CYD33" s="66"/>
      <c r="CYE33" s="66"/>
      <c r="CYF33" s="66"/>
      <c r="CYG33" s="66"/>
      <c r="CYH33" s="66"/>
      <c r="CYI33" s="66"/>
      <c r="CYJ33" s="66"/>
      <c r="CYK33" s="66"/>
      <c r="CYL33" s="66"/>
      <c r="CYM33" s="66"/>
      <c r="CYN33" s="66"/>
      <c r="CYO33" s="66"/>
      <c r="CYP33" s="66"/>
      <c r="CYQ33" s="66"/>
      <c r="CYR33" s="66"/>
      <c r="CYS33" s="66"/>
      <c r="CYT33" s="66"/>
      <c r="CYU33" s="66"/>
      <c r="CYV33" s="66"/>
      <c r="CYW33" s="66"/>
      <c r="CYX33" s="66"/>
      <c r="CYY33" s="66"/>
      <c r="CYZ33" s="66"/>
      <c r="CZA33" s="66"/>
      <c r="CZB33" s="66"/>
      <c r="CZC33" s="66"/>
      <c r="CZD33" s="66"/>
      <c r="CZE33" s="66"/>
      <c r="CZF33" s="66"/>
      <c r="CZG33" s="66"/>
      <c r="CZH33" s="66"/>
      <c r="CZI33" s="66"/>
      <c r="CZJ33" s="66"/>
      <c r="CZK33" s="66"/>
      <c r="CZL33" s="66"/>
      <c r="CZM33" s="66"/>
      <c r="CZN33" s="66"/>
      <c r="CZO33" s="66"/>
      <c r="CZP33" s="66"/>
      <c r="CZQ33" s="66"/>
      <c r="CZR33" s="66"/>
      <c r="CZS33" s="66"/>
      <c r="CZT33" s="66"/>
      <c r="CZU33" s="66"/>
      <c r="CZV33" s="66"/>
      <c r="CZW33" s="66"/>
      <c r="CZX33" s="66"/>
      <c r="CZY33" s="66"/>
      <c r="CZZ33" s="66"/>
      <c r="DAA33" s="66"/>
      <c r="DAB33" s="66"/>
      <c r="DAC33" s="66"/>
      <c r="DAD33" s="66"/>
      <c r="DAE33" s="66"/>
      <c r="DAF33" s="66"/>
      <c r="DAG33" s="66"/>
      <c r="DAH33" s="66"/>
      <c r="DAI33" s="66"/>
      <c r="DAJ33" s="66"/>
      <c r="DAK33" s="66"/>
      <c r="DAL33" s="66"/>
      <c r="DAM33" s="66"/>
      <c r="DAN33" s="66"/>
      <c r="DAO33" s="66"/>
      <c r="DAP33" s="66"/>
      <c r="DAQ33" s="66"/>
      <c r="DAR33" s="66"/>
      <c r="DAS33" s="66"/>
      <c r="DAT33" s="66"/>
      <c r="DAU33" s="66"/>
      <c r="DAV33" s="66"/>
      <c r="DAW33" s="66"/>
      <c r="DAX33" s="66"/>
      <c r="DAY33" s="66"/>
      <c r="DAZ33" s="66"/>
      <c r="DBA33" s="66"/>
      <c r="DBB33" s="66"/>
      <c r="DBC33" s="66"/>
      <c r="DBD33" s="66"/>
      <c r="DBE33" s="66"/>
      <c r="DBF33" s="66"/>
      <c r="DBG33" s="66"/>
      <c r="DBH33" s="66"/>
      <c r="DBI33" s="66"/>
      <c r="DBJ33" s="66"/>
      <c r="DBK33" s="66"/>
      <c r="DBL33" s="66"/>
      <c r="DBM33" s="66"/>
      <c r="DBN33" s="66"/>
      <c r="DBO33" s="66"/>
      <c r="DBP33" s="66"/>
      <c r="DBQ33" s="66"/>
      <c r="DBR33" s="66"/>
      <c r="DBS33" s="66"/>
      <c r="DBT33" s="66"/>
      <c r="DBU33" s="66"/>
      <c r="DBV33" s="66"/>
      <c r="DBW33" s="66"/>
      <c r="DBX33" s="66"/>
      <c r="DBY33" s="66"/>
      <c r="DBZ33" s="66"/>
      <c r="DCA33" s="66"/>
      <c r="DCB33" s="66"/>
      <c r="DCC33" s="66"/>
      <c r="DCD33" s="66"/>
      <c r="DCE33" s="66"/>
      <c r="DCF33" s="66"/>
      <c r="DCG33" s="66"/>
      <c r="DCH33" s="66"/>
      <c r="DCI33" s="66"/>
      <c r="DCJ33" s="66"/>
      <c r="DCK33" s="66"/>
      <c r="DCL33" s="66"/>
      <c r="DCM33" s="66"/>
      <c r="DCN33" s="66"/>
      <c r="DCO33" s="66"/>
      <c r="DCP33" s="66"/>
      <c r="DCQ33" s="66"/>
      <c r="DCR33" s="66"/>
      <c r="DCS33" s="66"/>
      <c r="DCT33" s="66"/>
      <c r="DCU33" s="66"/>
      <c r="DCV33" s="66"/>
      <c r="DCW33" s="66"/>
      <c r="DCX33" s="66"/>
      <c r="DCY33" s="66"/>
      <c r="DCZ33" s="66"/>
      <c r="DDA33" s="66"/>
      <c r="DDB33" s="66"/>
      <c r="DDC33" s="66"/>
      <c r="DDD33" s="66"/>
      <c r="DDE33" s="66"/>
      <c r="DDF33" s="66"/>
      <c r="DDG33" s="66"/>
      <c r="DDH33" s="66"/>
      <c r="DDI33" s="66"/>
      <c r="DDJ33" s="66"/>
      <c r="DDK33" s="66"/>
      <c r="DDL33" s="66"/>
      <c r="DDM33" s="66"/>
      <c r="DDN33" s="66"/>
      <c r="DDO33" s="66"/>
      <c r="DDP33" s="66"/>
      <c r="DDQ33" s="66"/>
      <c r="DDR33" s="66"/>
      <c r="DDS33" s="66"/>
      <c r="DDT33" s="66"/>
      <c r="DDU33" s="66"/>
      <c r="DDV33" s="66"/>
      <c r="DDW33" s="66"/>
      <c r="DDX33" s="66"/>
      <c r="DDY33" s="66"/>
      <c r="DDZ33" s="66"/>
      <c r="DEA33" s="66"/>
      <c r="DEB33" s="66"/>
      <c r="DEC33" s="66"/>
      <c r="DED33" s="66"/>
      <c r="DEE33" s="66"/>
      <c r="DEF33" s="66"/>
      <c r="DEG33" s="66"/>
      <c r="DEH33" s="66"/>
      <c r="DEI33" s="66"/>
      <c r="DEJ33" s="66"/>
      <c r="DEK33" s="66"/>
      <c r="DEL33" s="66"/>
      <c r="DEM33" s="66"/>
      <c r="DEN33" s="66"/>
      <c r="DEO33" s="66"/>
      <c r="DEP33" s="66"/>
      <c r="DEQ33" s="66"/>
      <c r="DER33" s="66"/>
      <c r="DES33" s="66"/>
      <c r="DET33" s="66"/>
      <c r="DEU33" s="66"/>
      <c r="DEV33" s="66"/>
      <c r="DEW33" s="66"/>
      <c r="DEX33" s="66"/>
      <c r="DEY33" s="66"/>
      <c r="DEZ33" s="66"/>
      <c r="DFA33" s="66"/>
      <c r="DFB33" s="66"/>
      <c r="DFC33" s="66"/>
      <c r="DFD33" s="66"/>
      <c r="DFE33" s="66"/>
      <c r="DFF33" s="66"/>
      <c r="DFG33" s="66"/>
      <c r="DFH33" s="66"/>
      <c r="DFI33" s="66"/>
      <c r="DFJ33" s="66"/>
      <c r="DFK33" s="66"/>
      <c r="DFL33" s="66"/>
      <c r="DFM33" s="66"/>
      <c r="DFN33" s="66"/>
      <c r="DFO33" s="66"/>
      <c r="DFP33" s="66"/>
      <c r="DFQ33" s="66"/>
      <c r="DFR33" s="66"/>
      <c r="DFS33" s="66"/>
      <c r="DFT33" s="66"/>
      <c r="DFU33" s="66"/>
      <c r="DFV33" s="66"/>
      <c r="DFW33" s="66"/>
      <c r="DFX33" s="66"/>
      <c r="DFY33" s="66"/>
      <c r="DFZ33" s="66"/>
      <c r="DGA33" s="66"/>
      <c r="DGB33" s="66"/>
      <c r="DGC33" s="66"/>
      <c r="DGD33" s="66"/>
      <c r="DGE33" s="66"/>
      <c r="DGF33" s="66"/>
      <c r="DGG33" s="66"/>
      <c r="DGH33" s="66"/>
      <c r="DGI33" s="66"/>
      <c r="DGJ33" s="66"/>
      <c r="DGK33" s="66"/>
      <c r="DGL33" s="66"/>
      <c r="DGM33" s="66"/>
      <c r="DGN33" s="66"/>
      <c r="DGO33" s="66"/>
      <c r="DGP33" s="66"/>
      <c r="DGQ33" s="66"/>
      <c r="DGR33" s="66"/>
      <c r="DGS33" s="66"/>
      <c r="DGT33" s="66"/>
      <c r="DGU33" s="66"/>
      <c r="DGV33" s="66"/>
      <c r="DGW33" s="66"/>
      <c r="DGX33" s="66"/>
      <c r="DGY33" s="66"/>
      <c r="DGZ33" s="66"/>
      <c r="DHA33" s="66"/>
      <c r="DHB33" s="66"/>
      <c r="DHC33" s="66"/>
      <c r="DHD33" s="66"/>
      <c r="DHE33" s="66"/>
      <c r="DHF33" s="66"/>
      <c r="DHG33" s="66"/>
      <c r="DHH33" s="66"/>
      <c r="DHI33" s="66"/>
      <c r="DHJ33" s="66"/>
      <c r="DHK33" s="66"/>
      <c r="DHL33" s="66"/>
      <c r="DHM33" s="66"/>
      <c r="DHN33" s="66"/>
      <c r="DHO33" s="66"/>
      <c r="DHP33" s="66"/>
      <c r="DHQ33" s="66"/>
      <c r="DHR33" s="66"/>
      <c r="DHS33" s="66"/>
      <c r="DHT33" s="66"/>
      <c r="DHU33" s="66"/>
      <c r="DHV33" s="66"/>
      <c r="DHW33" s="66"/>
      <c r="DHX33" s="66"/>
      <c r="DHY33" s="66"/>
      <c r="DHZ33" s="66"/>
      <c r="DIA33" s="66"/>
      <c r="DIB33" s="66"/>
      <c r="DIC33" s="66"/>
      <c r="DID33" s="66"/>
      <c r="DIE33" s="66"/>
      <c r="DIF33" s="66"/>
      <c r="DIG33" s="66"/>
      <c r="DIH33" s="66"/>
      <c r="DII33" s="66"/>
      <c r="DIJ33" s="66"/>
      <c r="DIK33" s="66"/>
      <c r="DIL33" s="66"/>
      <c r="DIM33" s="66"/>
      <c r="DIN33" s="66"/>
      <c r="DIO33" s="66"/>
      <c r="DIP33" s="66"/>
      <c r="DIQ33" s="66"/>
      <c r="DIR33" s="66"/>
      <c r="DIS33" s="66"/>
      <c r="DIT33" s="66"/>
      <c r="DIU33" s="66"/>
      <c r="DIV33" s="66"/>
      <c r="DIW33" s="66"/>
      <c r="DIX33" s="66"/>
      <c r="DIY33" s="66"/>
      <c r="DIZ33" s="66"/>
      <c r="DJA33" s="66"/>
      <c r="DJB33" s="66"/>
      <c r="DJC33" s="66"/>
      <c r="DJD33" s="66"/>
      <c r="DJE33" s="66"/>
      <c r="DJF33" s="66"/>
      <c r="DJG33" s="66"/>
      <c r="DJH33" s="66"/>
      <c r="DJI33" s="66"/>
      <c r="DJJ33" s="66"/>
      <c r="DJK33" s="66"/>
      <c r="DJL33" s="66"/>
      <c r="DJM33" s="66"/>
      <c r="DJN33" s="66"/>
      <c r="DJO33" s="66"/>
      <c r="DJP33" s="66"/>
      <c r="DJQ33" s="66"/>
      <c r="DJR33" s="66"/>
      <c r="DJS33" s="66"/>
      <c r="DJT33" s="66"/>
      <c r="DJU33" s="66"/>
      <c r="DJV33" s="66"/>
      <c r="DJW33" s="66"/>
      <c r="DJX33" s="66"/>
      <c r="DJY33" s="66"/>
      <c r="DJZ33" s="66"/>
      <c r="DKA33" s="66"/>
      <c r="DKB33" s="66"/>
      <c r="DKC33" s="66"/>
      <c r="DKD33" s="66"/>
      <c r="DKE33" s="66"/>
      <c r="DKF33" s="66"/>
      <c r="DKG33" s="66"/>
      <c r="DKH33" s="66"/>
      <c r="DKI33" s="66"/>
      <c r="DKJ33" s="66"/>
      <c r="DKK33" s="66"/>
      <c r="DKL33" s="66"/>
      <c r="DKM33" s="66"/>
      <c r="DKN33" s="66"/>
      <c r="DKO33" s="66"/>
      <c r="DKP33" s="66"/>
      <c r="DKQ33" s="66"/>
      <c r="DKR33" s="66"/>
      <c r="DKS33" s="66"/>
      <c r="DKT33" s="66"/>
      <c r="DKU33" s="66"/>
      <c r="DKV33" s="66"/>
      <c r="DKW33" s="66"/>
      <c r="DKX33" s="66"/>
      <c r="DKY33" s="66"/>
      <c r="DKZ33" s="66"/>
      <c r="DLA33" s="66"/>
      <c r="DLB33" s="66"/>
      <c r="DLC33" s="66"/>
      <c r="DLD33" s="66"/>
      <c r="DLE33" s="66"/>
      <c r="DLF33" s="66"/>
      <c r="DLG33" s="66"/>
      <c r="DLH33" s="66"/>
      <c r="DLI33" s="66"/>
      <c r="DLJ33" s="66"/>
      <c r="DLK33" s="66"/>
      <c r="DLL33" s="66"/>
      <c r="DLM33" s="66"/>
      <c r="DLN33" s="66"/>
      <c r="DLO33" s="66"/>
      <c r="DLP33" s="66"/>
      <c r="DLQ33" s="66"/>
      <c r="DLR33" s="66"/>
      <c r="DLS33" s="66"/>
      <c r="DLT33" s="66"/>
      <c r="DLU33" s="66"/>
      <c r="DLV33" s="66"/>
      <c r="DLW33" s="66"/>
      <c r="DLX33" s="66"/>
      <c r="DLY33" s="66"/>
      <c r="DLZ33" s="66"/>
      <c r="DMA33" s="66"/>
      <c r="DMB33" s="66"/>
      <c r="DMC33" s="66"/>
      <c r="DMD33" s="66"/>
      <c r="DME33" s="66"/>
      <c r="DMF33" s="66"/>
      <c r="DMG33" s="66"/>
      <c r="DMH33" s="66"/>
      <c r="DMI33" s="66"/>
      <c r="DMJ33" s="66"/>
      <c r="DMK33" s="66"/>
      <c r="DML33" s="66"/>
      <c r="DMM33" s="66"/>
      <c r="DMN33" s="66"/>
      <c r="DMO33" s="66"/>
      <c r="DMP33" s="66"/>
      <c r="DMQ33" s="66"/>
      <c r="DMR33" s="66"/>
      <c r="DMS33" s="66"/>
      <c r="DMT33" s="66"/>
      <c r="DMU33" s="66"/>
      <c r="DMV33" s="66"/>
      <c r="DMW33" s="66"/>
      <c r="DMX33" s="66"/>
      <c r="DMY33" s="66"/>
      <c r="DMZ33" s="66"/>
      <c r="DNA33" s="66"/>
      <c r="DNB33" s="66"/>
      <c r="DNC33" s="66"/>
      <c r="DND33" s="66"/>
      <c r="DNE33" s="66"/>
      <c r="DNF33" s="66"/>
      <c r="DNG33" s="66"/>
      <c r="DNH33" s="66"/>
      <c r="DNI33" s="66"/>
      <c r="DNJ33" s="66"/>
      <c r="DNK33" s="66"/>
      <c r="DNL33" s="66"/>
      <c r="DNM33" s="66"/>
      <c r="DNN33" s="66"/>
      <c r="DNO33" s="66"/>
      <c r="DNP33" s="66"/>
      <c r="DNQ33" s="66"/>
      <c r="DNR33" s="66"/>
      <c r="DNS33" s="66"/>
      <c r="DNT33" s="66"/>
      <c r="DNU33" s="66"/>
      <c r="DNV33" s="66"/>
      <c r="DNW33" s="66"/>
      <c r="DNX33" s="66"/>
      <c r="DNY33" s="66"/>
      <c r="DNZ33" s="66"/>
      <c r="DOA33" s="66"/>
      <c r="DOB33" s="66"/>
      <c r="DOC33" s="66"/>
      <c r="DOD33" s="66"/>
      <c r="DOE33" s="66"/>
      <c r="DOF33" s="66"/>
      <c r="DOG33" s="66"/>
      <c r="DOH33" s="66"/>
      <c r="DOI33" s="66"/>
      <c r="DOJ33" s="66"/>
      <c r="DOK33" s="66"/>
      <c r="DOL33" s="66"/>
      <c r="DOM33" s="66"/>
      <c r="DON33" s="66"/>
      <c r="DOO33" s="66"/>
      <c r="DOP33" s="66"/>
      <c r="DOQ33" s="66"/>
      <c r="DOR33" s="66"/>
      <c r="DOS33" s="66"/>
      <c r="DOT33" s="66"/>
      <c r="DOU33" s="66"/>
      <c r="DOV33" s="66"/>
      <c r="DOW33" s="66"/>
      <c r="DOX33" s="66"/>
      <c r="DOY33" s="66"/>
      <c r="DOZ33" s="66"/>
      <c r="DPA33" s="66"/>
      <c r="DPB33" s="66"/>
      <c r="DPC33" s="66"/>
      <c r="DPD33" s="66"/>
      <c r="DPE33" s="66"/>
      <c r="DPF33" s="66"/>
      <c r="DPG33" s="66"/>
      <c r="DPH33" s="66"/>
      <c r="DPI33" s="66"/>
      <c r="DPJ33" s="66"/>
      <c r="DPK33" s="66"/>
      <c r="DPL33" s="66"/>
      <c r="DPM33" s="66"/>
      <c r="DPN33" s="66"/>
      <c r="DPO33" s="66"/>
      <c r="DPP33" s="66"/>
      <c r="DPQ33" s="66"/>
      <c r="DPR33" s="66"/>
      <c r="DPS33" s="66"/>
      <c r="DPT33" s="66"/>
      <c r="DPU33" s="66"/>
      <c r="DPV33" s="66"/>
      <c r="DPW33" s="66"/>
      <c r="DPX33" s="66"/>
      <c r="DPY33" s="66"/>
      <c r="DPZ33" s="66"/>
      <c r="DQA33" s="66"/>
      <c r="DQB33" s="66"/>
      <c r="DQC33" s="66"/>
      <c r="DQD33" s="66"/>
      <c r="DQE33" s="66"/>
      <c r="DQF33" s="66"/>
      <c r="DQG33" s="66"/>
      <c r="DQH33" s="66"/>
      <c r="DQI33" s="66"/>
      <c r="DQJ33" s="66"/>
      <c r="DQK33" s="66"/>
      <c r="DQL33" s="66"/>
      <c r="DQM33" s="66"/>
      <c r="DQN33" s="66"/>
      <c r="DQO33" s="66"/>
      <c r="DQP33" s="66"/>
      <c r="DQQ33" s="66"/>
      <c r="DQR33" s="66"/>
      <c r="DQS33" s="66"/>
      <c r="DQT33" s="66"/>
      <c r="DQU33" s="66"/>
      <c r="DQV33" s="66"/>
      <c r="DQW33" s="66"/>
      <c r="DQX33" s="66"/>
      <c r="DQY33" s="66"/>
      <c r="DQZ33" s="66"/>
      <c r="DRA33" s="66"/>
      <c r="DRB33" s="66"/>
      <c r="DRC33" s="66"/>
      <c r="DRD33" s="66"/>
      <c r="DRE33" s="66"/>
      <c r="DRF33" s="66"/>
      <c r="DRG33" s="66"/>
      <c r="DRH33" s="66"/>
      <c r="DRI33" s="66"/>
      <c r="DRJ33" s="66"/>
      <c r="DRK33" s="66"/>
      <c r="DRL33" s="66"/>
      <c r="DRM33" s="66"/>
      <c r="DRN33" s="66"/>
      <c r="DRO33" s="66"/>
      <c r="DRP33" s="66"/>
      <c r="DRQ33" s="66"/>
      <c r="DRR33" s="66"/>
      <c r="DRS33" s="66"/>
      <c r="DRT33" s="66"/>
      <c r="DRU33" s="66"/>
      <c r="DRV33" s="66"/>
      <c r="DRW33" s="66"/>
      <c r="DRX33" s="66"/>
      <c r="DRY33" s="66"/>
      <c r="DRZ33" s="66"/>
      <c r="DSA33" s="66"/>
      <c r="DSB33" s="66"/>
      <c r="DSC33" s="66"/>
      <c r="DSD33" s="66"/>
      <c r="DSE33" s="66"/>
      <c r="DSF33" s="66"/>
      <c r="DSG33" s="66"/>
      <c r="DSH33" s="66"/>
      <c r="DSI33" s="66"/>
      <c r="DSJ33" s="66"/>
      <c r="DSK33" s="66"/>
      <c r="DSL33" s="66"/>
      <c r="DSM33" s="66"/>
      <c r="DSN33" s="66"/>
      <c r="DSO33" s="66"/>
      <c r="DSP33" s="66"/>
      <c r="DSQ33" s="66"/>
      <c r="DSR33" s="66"/>
      <c r="DSS33" s="66"/>
      <c r="DST33" s="66"/>
      <c r="DSU33" s="66"/>
      <c r="DSV33" s="66"/>
      <c r="DSW33" s="66"/>
      <c r="DSX33" s="66"/>
      <c r="DSY33" s="66"/>
      <c r="DSZ33" s="66"/>
      <c r="DTA33" s="66"/>
      <c r="DTB33" s="66"/>
      <c r="DTC33" s="66"/>
      <c r="DTD33" s="66"/>
      <c r="DTE33" s="66"/>
      <c r="DTF33" s="66"/>
      <c r="DTG33" s="66"/>
      <c r="DTH33" s="66"/>
      <c r="DTI33" s="66"/>
      <c r="DTJ33" s="66"/>
      <c r="DTK33" s="66"/>
      <c r="DTL33" s="66"/>
      <c r="DTM33" s="66"/>
      <c r="DTN33" s="66"/>
      <c r="DTO33" s="66"/>
      <c r="DTP33" s="66"/>
      <c r="DTQ33" s="66"/>
      <c r="DTR33" s="66"/>
      <c r="DTS33" s="66"/>
      <c r="DTT33" s="66"/>
      <c r="DTU33" s="66"/>
      <c r="DTV33" s="66"/>
      <c r="DTW33" s="66"/>
      <c r="DTX33" s="66"/>
      <c r="DTY33" s="66"/>
      <c r="DTZ33" s="66"/>
      <c r="DUA33" s="66"/>
      <c r="DUB33" s="66"/>
      <c r="DUC33" s="66"/>
      <c r="DUD33" s="66"/>
      <c r="DUE33" s="66"/>
      <c r="DUF33" s="66"/>
      <c r="DUG33" s="66"/>
      <c r="DUH33" s="66"/>
      <c r="DUI33" s="66"/>
      <c r="DUJ33" s="66"/>
      <c r="DUK33" s="66"/>
      <c r="DUL33" s="66"/>
      <c r="DUM33" s="66"/>
      <c r="DUN33" s="66"/>
      <c r="DUO33" s="66"/>
      <c r="DUP33" s="66"/>
      <c r="DUQ33" s="66"/>
      <c r="DUR33" s="66"/>
      <c r="DUS33" s="66"/>
      <c r="DUT33" s="66"/>
      <c r="DUU33" s="66"/>
      <c r="DUV33" s="66"/>
      <c r="DUW33" s="66"/>
      <c r="DUX33" s="66"/>
      <c r="DUY33" s="66"/>
      <c r="DUZ33" s="66"/>
      <c r="DVA33" s="66"/>
      <c r="DVB33" s="66"/>
      <c r="DVC33" s="66"/>
      <c r="DVD33" s="66"/>
      <c r="DVE33" s="66"/>
      <c r="DVF33" s="66"/>
      <c r="DVG33" s="66"/>
      <c r="DVH33" s="66"/>
      <c r="DVI33" s="66"/>
      <c r="DVJ33" s="66"/>
      <c r="DVK33" s="66"/>
      <c r="DVL33" s="66"/>
      <c r="DVM33" s="66"/>
      <c r="DVN33" s="66"/>
      <c r="DVO33" s="66"/>
      <c r="DVP33" s="66"/>
      <c r="DVQ33" s="66"/>
      <c r="DVR33" s="66"/>
      <c r="DVS33" s="66"/>
      <c r="DVT33" s="66"/>
      <c r="DVU33" s="66"/>
      <c r="DVV33" s="66"/>
      <c r="DVW33" s="66"/>
      <c r="DVX33" s="66"/>
      <c r="DVY33" s="66"/>
      <c r="DVZ33" s="66"/>
      <c r="DWA33" s="66"/>
      <c r="DWB33" s="66"/>
      <c r="DWC33" s="66"/>
      <c r="DWD33" s="66"/>
      <c r="DWE33" s="66"/>
      <c r="DWF33" s="66"/>
      <c r="DWG33" s="66"/>
      <c r="DWH33" s="66"/>
      <c r="DWI33" s="66"/>
      <c r="DWJ33" s="66"/>
      <c r="DWK33" s="66"/>
      <c r="DWL33" s="66"/>
      <c r="DWM33" s="66"/>
      <c r="DWN33" s="66"/>
      <c r="DWO33" s="66"/>
      <c r="DWP33" s="66"/>
      <c r="DWQ33" s="66"/>
      <c r="DWR33" s="66"/>
      <c r="DWS33" s="66"/>
      <c r="DWT33" s="66"/>
      <c r="DWU33" s="66"/>
      <c r="DWV33" s="66"/>
      <c r="DWW33" s="66"/>
      <c r="DWX33" s="66"/>
      <c r="DWY33" s="66"/>
      <c r="DWZ33" s="66"/>
      <c r="DXA33" s="66"/>
      <c r="DXB33" s="66"/>
      <c r="DXC33" s="66"/>
      <c r="DXD33" s="66"/>
      <c r="DXE33" s="66"/>
      <c r="DXF33" s="66"/>
      <c r="DXG33" s="66"/>
      <c r="DXH33" s="66"/>
      <c r="DXI33" s="66"/>
      <c r="DXJ33" s="66"/>
      <c r="DXK33" s="66"/>
      <c r="DXL33" s="66"/>
      <c r="DXM33" s="66"/>
      <c r="DXN33" s="66"/>
      <c r="DXO33" s="66"/>
      <c r="DXP33" s="66"/>
      <c r="DXQ33" s="66"/>
      <c r="DXR33" s="66"/>
      <c r="DXS33" s="66"/>
      <c r="DXT33" s="66"/>
      <c r="DXU33" s="66"/>
      <c r="DXV33" s="66"/>
      <c r="DXW33" s="66"/>
      <c r="DXX33" s="66"/>
      <c r="DXY33" s="66"/>
      <c r="DXZ33" s="66"/>
      <c r="DYA33" s="66"/>
      <c r="DYB33" s="66"/>
      <c r="DYC33" s="66"/>
      <c r="DYD33" s="66"/>
      <c r="DYE33" s="66"/>
      <c r="DYF33" s="66"/>
      <c r="DYG33" s="66"/>
      <c r="DYH33" s="66"/>
      <c r="DYI33" s="66"/>
      <c r="DYJ33" s="66"/>
      <c r="DYK33" s="66"/>
      <c r="DYL33" s="66"/>
      <c r="DYM33" s="66"/>
      <c r="DYN33" s="66"/>
      <c r="DYO33" s="66"/>
      <c r="DYP33" s="66"/>
      <c r="DYQ33" s="66"/>
      <c r="DYR33" s="66"/>
      <c r="DYS33" s="66"/>
      <c r="DYT33" s="66"/>
      <c r="DYU33" s="66"/>
      <c r="DYV33" s="66"/>
      <c r="DYW33" s="66"/>
      <c r="DYX33" s="66"/>
      <c r="DYY33" s="66"/>
      <c r="DYZ33" s="66"/>
      <c r="DZA33" s="66"/>
      <c r="DZB33" s="66"/>
      <c r="DZC33" s="66"/>
      <c r="DZD33" s="66"/>
      <c r="DZE33" s="66"/>
      <c r="DZF33" s="66"/>
      <c r="DZG33" s="66"/>
      <c r="DZH33" s="66"/>
      <c r="DZI33" s="66"/>
      <c r="DZJ33" s="66"/>
      <c r="DZK33" s="66"/>
      <c r="DZL33" s="66"/>
      <c r="DZM33" s="66"/>
      <c r="DZN33" s="66"/>
      <c r="DZO33" s="66"/>
      <c r="DZP33" s="66"/>
      <c r="DZQ33" s="66"/>
      <c r="DZR33" s="66"/>
      <c r="DZS33" s="66"/>
      <c r="DZT33" s="66"/>
      <c r="DZU33" s="66"/>
      <c r="DZV33" s="66"/>
      <c r="DZW33" s="66"/>
      <c r="DZX33" s="66"/>
      <c r="DZY33" s="66"/>
      <c r="DZZ33" s="66"/>
      <c r="EAA33" s="66"/>
      <c r="EAB33" s="66"/>
      <c r="EAC33" s="66"/>
      <c r="EAD33" s="66"/>
      <c r="EAE33" s="66"/>
      <c r="EAF33" s="66"/>
      <c r="EAG33" s="66"/>
      <c r="EAH33" s="66"/>
      <c r="EAI33" s="66"/>
      <c r="EAJ33" s="66"/>
      <c r="EAK33" s="66"/>
      <c r="EAL33" s="66"/>
      <c r="EAM33" s="66"/>
      <c r="EAN33" s="66"/>
      <c r="EAO33" s="66"/>
      <c r="EAP33" s="66"/>
      <c r="EAQ33" s="66"/>
      <c r="EAR33" s="66"/>
      <c r="EAS33" s="66"/>
      <c r="EAT33" s="66"/>
      <c r="EAU33" s="66"/>
      <c r="EAV33" s="66"/>
      <c r="EAW33" s="66"/>
      <c r="EAX33" s="66"/>
      <c r="EAY33" s="66"/>
      <c r="EAZ33" s="66"/>
      <c r="EBA33" s="66"/>
      <c r="EBB33" s="66"/>
      <c r="EBC33" s="66"/>
      <c r="EBD33" s="66"/>
      <c r="EBE33" s="66"/>
      <c r="EBF33" s="66"/>
      <c r="EBG33" s="66"/>
      <c r="EBH33" s="66"/>
      <c r="EBI33" s="66"/>
      <c r="EBJ33" s="66"/>
      <c r="EBK33" s="66"/>
      <c r="EBL33" s="66"/>
      <c r="EBM33" s="66"/>
      <c r="EBN33" s="66"/>
      <c r="EBO33" s="66"/>
      <c r="EBP33" s="66"/>
      <c r="EBQ33" s="66"/>
      <c r="EBR33" s="66"/>
      <c r="EBS33" s="66"/>
      <c r="EBT33" s="66"/>
      <c r="EBU33" s="66"/>
      <c r="EBV33" s="66"/>
      <c r="EBW33" s="66"/>
      <c r="EBX33" s="66"/>
      <c r="EBY33" s="66"/>
      <c r="EBZ33" s="66"/>
      <c r="ECA33" s="66"/>
      <c r="ECB33" s="66"/>
      <c r="ECC33" s="66"/>
      <c r="ECD33" s="66"/>
      <c r="ECE33" s="66"/>
      <c r="ECF33" s="66"/>
      <c r="ECG33" s="66"/>
      <c r="ECH33" s="66"/>
      <c r="ECI33" s="66"/>
      <c r="ECJ33" s="66"/>
      <c r="ECK33" s="66"/>
      <c r="ECL33" s="66"/>
      <c r="ECM33" s="66"/>
      <c r="ECN33" s="66"/>
      <c r="ECO33" s="66"/>
      <c r="ECP33" s="66"/>
      <c r="ECQ33" s="66"/>
      <c r="ECR33" s="66"/>
      <c r="ECS33" s="66"/>
      <c r="ECT33" s="66"/>
      <c r="ECU33" s="66"/>
      <c r="ECV33" s="66"/>
      <c r="ECW33" s="66"/>
      <c r="ECX33" s="66"/>
      <c r="ECY33" s="66"/>
      <c r="ECZ33" s="66"/>
      <c r="EDA33" s="66"/>
      <c r="EDB33" s="66"/>
      <c r="EDC33" s="66"/>
      <c r="EDD33" s="66"/>
      <c r="EDE33" s="66"/>
      <c r="EDF33" s="66"/>
      <c r="EDG33" s="66"/>
      <c r="EDH33" s="66"/>
      <c r="EDI33" s="66"/>
      <c r="EDJ33" s="66"/>
      <c r="EDK33" s="66"/>
      <c r="EDL33" s="66"/>
      <c r="EDM33" s="66"/>
      <c r="EDN33" s="66"/>
      <c r="EDO33" s="66"/>
      <c r="EDP33" s="66"/>
      <c r="EDQ33" s="66"/>
      <c r="EDR33" s="66"/>
      <c r="EDS33" s="66"/>
      <c r="EDT33" s="66"/>
      <c r="EDU33" s="66"/>
      <c r="EDV33" s="66"/>
      <c r="EDW33" s="66"/>
      <c r="EDX33" s="66"/>
      <c r="EDY33" s="66"/>
      <c r="EDZ33" s="66"/>
      <c r="EEA33" s="66"/>
      <c r="EEB33" s="66"/>
      <c r="EEC33" s="66"/>
      <c r="EED33" s="66"/>
      <c r="EEE33" s="66"/>
      <c r="EEF33" s="66"/>
      <c r="EEG33" s="66"/>
      <c r="EEH33" s="66"/>
      <c r="EEI33" s="66"/>
      <c r="EEJ33" s="66"/>
      <c r="EEK33" s="66"/>
      <c r="EEL33" s="66"/>
      <c r="EEM33" s="66"/>
      <c r="EEN33" s="66"/>
      <c r="EEO33" s="66"/>
      <c r="EEP33" s="66"/>
      <c r="EEQ33" s="66"/>
      <c r="EER33" s="66"/>
      <c r="EES33" s="66"/>
      <c r="EET33" s="66"/>
      <c r="EEU33" s="66"/>
      <c r="EEV33" s="66"/>
      <c r="EEW33" s="66"/>
      <c r="EEX33" s="66"/>
      <c r="EEY33" s="66"/>
      <c r="EEZ33" s="66"/>
      <c r="EFA33" s="66"/>
      <c r="EFB33" s="66"/>
      <c r="EFC33" s="66"/>
      <c r="EFD33" s="66"/>
      <c r="EFE33" s="66"/>
      <c r="EFF33" s="66"/>
      <c r="EFG33" s="66"/>
      <c r="EFH33" s="66"/>
      <c r="EFI33" s="66"/>
      <c r="EFJ33" s="66"/>
      <c r="EFK33" s="66"/>
      <c r="EFL33" s="66"/>
      <c r="EFM33" s="66"/>
      <c r="EFN33" s="66"/>
      <c r="EFO33" s="66"/>
      <c r="EFP33" s="66"/>
      <c r="EFQ33" s="66"/>
      <c r="EFR33" s="66"/>
      <c r="EFS33" s="66"/>
      <c r="EFT33" s="66"/>
      <c r="EFU33" s="66"/>
      <c r="EFV33" s="66"/>
      <c r="EFW33" s="66"/>
      <c r="EFX33" s="66"/>
      <c r="EFY33" s="66"/>
      <c r="EFZ33" s="66"/>
      <c r="EGA33" s="66"/>
      <c r="EGB33" s="66"/>
      <c r="EGC33" s="66"/>
      <c r="EGD33" s="66"/>
      <c r="EGE33" s="66"/>
      <c r="EGF33" s="66"/>
      <c r="EGG33" s="66"/>
      <c r="EGH33" s="66"/>
      <c r="EGI33" s="66"/>
      <c r="EGJ33" s="66"/>
      <c r="EGK33" s="66"/>
      <c r="EGL33" s="66"/>
      <c r="EGM33" s="66"/>
      <c r="EGN33" s="66"/>
      <c r="EGO33" s="66"/>
      <c r="EGP33" s="66"/>
      <c r="EGQ33" s="66"/>
      <c r="EGR33" s="66"/>
      <c r="EGS33" s="66"/>
      <c r="EGT33" s="66"/>
      <c r="EGU33" s="66"/>
      <c r="EGV33" s="66"/>
      <c r="EGW33" s="66"/>
      <c r="EGX33" s="66"/>
      <c r="EGY33" s="66"/>
      <c r="EGZ33" s="66"/>
      <c r="EHA33" s="66"/>
      <c r="EHB33" s="66"/>
      <c r="EHC33" s="66"/>
      <c r="EHD33" s="66"/>
      <c r="EHE33" s="66"/>
      <c r="EHF33" s="66"/>
      <c r="EHG33" s="66"/>
      <c r="EHH33" s="66"/>
      <c r="EHI33" s="66"/>
      <c r="EHJ33" s="66"/>
      <c r="EHK33" s="66"/>
      <c r="EHL33" s="66"/>
      <c r="EHM33" s="66"/>
      <c r="EHN33" s="66"/>
      <c r="EHO33" s="66"/>
      <c r="EHP33" s="66"/>
      <c r="EHQ33" s="66"/>
      <c r="EHR33" s="66"/>
      <c r="EHS33" s="66"/>
      <c r="EHT33" s="66"/>
      <c r="EHU33" s="66"/>
      <c r="EHV33" s="66"/>
      <c r="EHW33" s="66"/>
      <c r="EHX33" s="66"/>
      <c r="EHY33" s="66"/>
      <c r="EHZ33" s="66"/>
      <c r="EIA33" s="66"/>
      <c r="EIB33" s="66"/>
      <c r="EIC33" s="66"/>
      <c r="EID33" s="66"/>
      <c r="EIE33" s="66"/>
      <c r="EIF33" s="66"/>
      <c r="EIG33" s="66"/>
      <c r="EIH33" s="66"/>
      <c r="EII33" s="66"/>
      <c r="EIJ33" s="66"/>
      <c r="EIK33" s="66"/>
      <c r="EIL33" s="66"/>
      <c r="EIM33" s="66"/>
      <c r="EIN33" s="66"/>
      <c r="EIO33" s="66"/>
      <c r="EIP33" s="66"/>
      <c r="EIQ33" s="66"/>
      <c r="EIR33" s="66"/>
      <c r="EIS33" s="66"/>
      <c r="EIT33" s="66"/>
      <c r="EIU33" s="66"/>
      <c r="EIV33" s="66"/>
      <c r="EIW33" s="66"/>
      <c r="EIX33" s="66"/>
      <c r="EIY33" s="66"/>
      <c r="EIZ33" s="66"/>
      <c r="EJA33" s="66"/>
      <c r="EJB33" s="66"/>
      <c r="EJC33" s="66"/>
      <c r="EJD33" s="66"/>
      <c r="EJE33" s="66"/>
      <c r="EJF33" s="66"/>
      <c r="EJG33" s="66"/>
      <c r="EJH33" s="66"/>
      <c r="EJI33" s="66"/>
      <c r="EJJ33" s="66"/>
      <c r="EJK33" s="66"/>
      <c r="EJL33" s="66"/>
      <c r="EJM33" s="66"/>
      <c r="EJN33" s="66"/>
      <c r="EJO33" s="66"/>
      <c r="EJP33" s="66"/>
      <c r="EJQ33" s="66"/>
      <c r="EJR33" s="66"/>
      <c r="EJS33" s="66"/>
      <c r="EJT33" s="66"/>
      <c r="EJU33" s="66"/>
      <c r="EJV33" s="66"/>
      <c r="EJW33" s="66"/>
      <c r="EJX33" s="66"/>
      <c r="EJY33" s="66"/>
      <c r="EJZ33" s="66"/>
      <c r="EKA33" s="66"/>
      <c r="EKB33" s="66"/>
      <c r="EKC33" s="66"/>
      <c r="EKD33" s="66"/>
      <c r="EKE33" s="66"/>
      <c r="EKF33" s="66"/>
      <c r="EKG33" s="66"/>
      <c r="EKH33" s="66"/>
      <c r="EKI33" s="66"/>
      <c r="EKJ33" s="66"/>
      <c r="EKK33" s="66"/>
      <c r="EKL33" s="66"/>
      <c r="EKM33" s="66"/>
      <c r="EKN33" s="66"/>
      <c r="EKO33" s="66"/>
      <c r="EKP33" s="66"/>
      <c r="EKQ33" s="66"/>
      <c r="EKR33" s="66"/>
      <c r="EKS33" s="66"/>
      <c r="EKT33" s="66"/>
      <c r="EKU33" s="66"/>
      <c r="EKV33" s="66"/>
      <c r="EKW33" s="66"/>
      <c r="EKX33" s="66"/>
      <c r="EKY33" s="66"/>
      <c r="EKZ33" s="66"/>
      <c r="ELA33" s="66"/>
      <c r="ELB33" s="66"/>
      <c r="ELC33" s="66"/>
      <c r="ELD33" s="66"/>
      <c r="ELE33" s="66"/>
      <c r="ELF33" s="66"/>
      <c r="ELG33" s="66"/>
      <c r="ELH33" s="66"/>
      <c r="ELI33" s="66"/>
      <c r="ELJ33" s="66"/>
      <c r="ELK33" s="66"/>
      <c r="ELL33" s="66"/>
      <c r="ELM33" s="66"/>
      <c r="ELN33" s="66"/>
      <c r="ELO33" s="66"/>
      <c r="ELP33" s="66"/>
      <c r="ELQ33" s="66"/>
      <c r="ELR33" s="66"/>
      <c r="ELS33" s="66"/>
      <c r="ELT33" s="66"/>
      <c r="ELU33" s="66"/>
      <c r="ELV33" s="66"/>
      <c r="ELW33" s="66"/>
      <c r="ELX33" s="66"/>
      <c r="ELY33" s="66"/>
      <c r="ELZ33" s="66"/>
      <c r="EMA33" s="66"/>
      <c r="EMB33" s="66"/>
      <c r="EMC33" s="66"/>
      <c r="EMD33" s="66"/>
      <c r="EME33" s="66"/>
      <c r="EMF33" s="66"/>
      <c r="EMG33" s="66"/>
      <c r="EMH33" s="66"/>
      <c r="EMI33" s="66"/>
      <c r="EMJ33" s="66"/>
      <c r="EMK33" s="66"/>
      <c r="EML33" s="66"/>
      <c r="EMM33" s="66"/>
      <c r="EMN33" s="66"/>
      <c r="EMO33" s="66"/>
      <c r="EMP33" s="66"/>
      <c r="EMQ33" s="66"/>
      <c r="EMR33" s="66"/>
      <c r="EMS33" s="66"/>
      <c r="EMT33" s="66"/>
      <c r="EMU33" s="66"/>
      <c r="EMV33" s="66"/>
      <c r="EMW33" s="66"/>
      <c r="EMX33" s="66"/>
      <c r="EMY33" s="66"/>
      <c r="EMZ33" s="66"/>
      <c r="ENA33" s="66"/>
      <c r="ENB33" s="66"/>
      <c r="ENC33" s="66"/>
      <c r="END33" s="66"/>
      <c r="ENE33" s="66"/>
      <c r="ENF33" s="66"/>
      <c r="ENG33" s="66"/>
      <c r="ENH33" s="66"/>
      <c r="ENI33" s="66"/>
      <c r="ENJ33" s="66"/>
      <c r="ENK33" s="66"/>
      <c r="ENL33" s="66"/>
      <c r="ENM33" s="66"/>
      <c r="ENN33" s="66"/>
      <c r="ENO33" s="66"/>
      <c r="ENP33" s="66"/>
      <c r="ENQ33" s="66"/>
      <c r="ENR33" s="66"/>
      <c r="ENS33" s="66"/>
      <c r="ENT33" s="66"/>
      <c r="ENU33" s="66"/>
      <c r="ENV33" s="66"/>
      <c r="ENW33" s="66"/>
      <c r="ENX33" s="66"/>
      <c r="ENY33" s="66"/>
      <c r="ENZ33" s="66"/>
      <c r="EOA33" s="66"/>
      <c r="EOB33" s="66"/>
      <c r="EOC33" s="66"/>
      <c r="EOD33" s="66"/>
      <c r="EOE33" s="66"/>
      <c r="EOF33" s="66"/>
      <c r="EOG33" s="66"/>
      <c r="EOH33" s="66"/>
      <c r="EOI33" s="66"/>
      <c r="EOJ33" s="66"/>
      <c r="EOK33" s="66"/>
      <c r="EOL33" s="66"/>
      <c r="EOM33" s="66"/>
      <c r="EON33" s="66"/>
      <c r="EOO33" s="66"/>
      <c r="EOP33" s="66"/>
      <c r="EOQ33" s="66"/>
      <c r="EOR33" s="66"/>
      <c r="EOS33" s="66"/>
      <c r="EOT33" s="66"/>
      <c r="EOU33" s="66"/>
      <c r="EOV33" s="66"/>
      <c r="EOW33" s="66"/>
      <c r="EOX33" s="66"/>
      <c r="EOY33" s="66"/>
      <c r="EOZ33" s="66"/>
      <c r="EPA33" s="66"/>
      <c r="EPB33" s="66"/>
      <c r="EPC33" s="66"/>
      <c r="EPD33" s="66"/>
      <c r="EPE33" s="66"/>
      <c r="EPF33" s="66"/>
      <c r="EPG33" s="66"/>
      <c r="EPH33" s="66"/>
      <c r="EPI33" s="66"/>
      <c r="EPJ33" s="66"/>
      <c r="EPK33" s="66"/>
      <c r="EPL33" s="66"/>
      <c r="EPM33" s="66"/>
      <c r="EPN33" s="66"/>
      <c r="EPO33" s="66"/>
      <c r="EPP33" s="66"/>
      <c r="EPQ33" s="66"/>
      <c r="EPR33" s="66"/>
      <c r="EPS33" s="66"/>
      <c r="EPT33" s="66"/>
      <c r="EPU33" s="66"/>
      <c r="EPV33" s="66"/>
      <c r="EPW33" s="66"/>
      <c r="EPX33" s="66"/>
      <c r="EPY33" s="66"/>
      <c r="EPZ33" s="66"/>
      <c r="EQA33" s="66"/>
      <c r="EQB33" s="66"/>
      <c r="EQC33" s="66"/>
      <c r="EQD33" s="66"/>
      <c r="EQE33" s="66"/>
      <c r="EQF33" s="66"/>
      <c r="EQG33" s="66"/>
      <c r="EQH33" s="66"/>
      <c r="EQI33" s="66"/>
      <c r="EQJ33" s="66"/>
      <c r="EQK33" s="66"/>
      <c r="EQL33" s="66"/>
      <c r="EQM33" s="66"/>
      <c r="EQN33" s="66"/>
      <c r="EQO33" s="66"/>
      <c r="EQP33" s="66"/>
      <c r="EQQ33" s="66"/>
      <c r="EQR33" s="66"/>
      <c r="EQS33" s="66"/>
      <c r="EQT33" s="66"/>
      <c r="EQU33" s="66"/>
      <c r="EQV33" s="66"/>
      <c r="EQW33" s="66"/>
      <c r="EQX33" s="66"/>
      <c r="EQY33" s="66"/>
      <c r="EQZ33" s="66"/>
      <c r="ERA33" s="66"/>
      <c r="ERB33" s="66"/>
      <c r="ERC33" s="66"/>
      <c r="ERD33" s="66"/>
      <c r="ERE33" s="66"/>
      <c r="ERF33" s="66"/>
      <c r="ERG33" s="66"/>
      <c r="ERH33" s="66"/>
      <c r="ERI33" s="66"/>
      <c r="ERJ33" s="66"/>
      <c r="ERK33" s="66"/>
      <c r="ERL33" s="66"/>
      <c r="ERM33" s="66"/>
      <c r="ERN33" s="66"/>
      <c r="ERO33" s="66"/>
      <c r="ERP33" s="66"/>
      <c r="ERQ33" s="66"/>
      <c r="ERR33" s="66"/>
      <c r="ERS33" s="66"/>
      <c r="ERT33" s="66"/>
      <c r="ERU33" s="66"/>
      <c r="ERV33" s="66"/>
      <c r="ERW33" s="66"/>
      <c r="ERX33" s="66"/>
      <c r="ERY33" s="66"/>
      <c r="ERZ33" s="66"/>
      <c r="ESA33" s="66"/>
      <c r="ESB33" s="66"/>
      <c r="ESC33" s="66"/>
      <c r="ESD33" s="66"/>
      <c r="ESE33" s="66"/>
      <c r="ESF33" s="66"/>
      <c r="ESG33" s="66"/>
      <c r="ESH33" s="66"/>
      <c r="ESI33" s="66"/>
      <c r="ESJ33" s="66"/>
      <c r="ESK33" s="66"/>
      <c r="ESL33" s="66"/>
      <c r="ESM33" s="66"/>
      <c r="ESN33" s="66"/>
      <c r="ESO33" s="66"/>
      <c r="ESP33" s="66"/>
      <c r="ESQ33" s="66"/>
      <c r="ESR33" s="66"/>
      <c r="ESS33" s="66"/>
      <c r="EST33" s="66"/>
      <c r="ESU33" s="66"/>
      <c r="ESV33" s="66"/>
      <c r="ESW33" s="66"/>
      <c r="ESX33" s="66"/>
      <c r="ESY33" s="66"/>
      <c r="ESZ33" s="66"/>
      <c r="ETA33" s="66"/>
      <c r="ETB33" s="66"/>
      <c r="ETC33" s="66"/>
      <c r="ETD33" s="66"/>
      <c r="ETE33" s="66"/>
      <c r="ETF33" s="66"/>
      <c r="ETG33" s="66"/>
      <c r="ETH33" s="66"/>
      <c r="ETI33" s="66"/>
      <c r="ETJ33" s="66"/>
      <c r="ETK33" s="66"/>
      <c r="ETL33" s="66"/>
      <c r="ETM33" s="66"/>
      <c r="ETN33" s="66"/>
      <c r="ETO33" s="66"/>
      <c r="ETP33" s="66"/>
      <c r="ETQ33" s="66"/>
      <c r="ETR33" s="66"/>
      <c r="ETS33" s="66"/>
      <c r="ETT33" s="66"/>
      <c r="ETU33" s="66"/>
      <c r="ETV33" s="66"/>
      <c r="ETW33" s="66"/>
      <c r="ETX33" s="66"/>
      <c r="ETY33" s="66"/>
      <c r="ETZ33" s="66"/>
      <c r="EUA33" s="66"/>
      <c r="EUB33" s="66"/>
      <c r="EUC33" s="66"/>
      <c r="EUD33" s="66"/>
      <c r="EUE33" s="66"/>
      <c r="EUF33" s="66"/>
      <c r="EUG33" s="66"/>
      <c r="EUH33" s="66"/>
      <c r="EUI33" s="66"/>
      <c r="EUJ33" s="66"/>
      <c r="EUK33" s="66"/>
      <c r="EUL33" s="66"/>
      <c r="EUM33" s="66"/>
      <c r="EUN33" s="66"/>
      <c r="EUO33" s="66"/>
      <c r="EUP33" s="66"/>
      <c r="EUQ33" s="66"/>
      <c r="EUR33" s="66"/>
      <c r="EUS33" s="66"/>
      <c r="EUT33" s="66"/>
      <c r="EUU33" s="66"/>
      <c r="EUV33" s="66"/>
      <c r="EUW33" s="66"/>
      <c r="EUX33" s="66"/>
      <c r="EUY33" s="66"/>
      <c r="EUZ33" s="66"/>
      <c r="EVA33" s="66"/>
      <c r="EVB33" s="66"/>
      <c r="EVC33" s="66"/>
      <c r="EVD33" s="66"/>
      <c r="EVE33" s="66"/>
      <c r="EVF33" s="66"/>
      <c r="EVG33" s="66"/>
      <c r="EVH33" s="66"/>
      <c r="EVI33" s="66"/>
      <c r="EVJ33" s="66"/>
      <c r="EVK33" s="66"/>
      <c r="EVL33" s="66"/>
      <c r="EVM33" s="66"/>
      <c r="EVN33" s="66"/>
      <c r="EVO33" s="66"/>
      <c r="EVP33" s="66"/>
      <c r="EVQ33" s="66"/>
      <c r="EVR33" s="66"/>
      <c r="EVS33" s="66"/>
      <c r="EVT33" s="66"/>
      <c r="EVU33" s="66"/>
      <c r="EVV33" s="66"/>
      <c r="EVW33" s="66"/>
      <c r="EVX33" s="66"/>
      <c r="EVY33" s="66"/>
      <c r="EVZ33" s="66"/>
      <c r="EWA33" s="66"/>
      <c r="EWB33" s="66"/>
      <c r="EWC33" s="66"/>
      <c r="EWD33" s="66"/>
      <c r="EWE33" s="66"/>
      <c r="EWF33" s="66"/>
      <c r="EWG33" s="66"/>
      <c r="EWH33" s="66"/>
      <c r="EWI33" s="66"/>
      <c r="EWJ33" s="66"/>
      <c r="EWK33" s="66"/>
      <c r="EWL33" s="66"/>
      <c r="EWM33" s="66"/>
      <c r="EWN33" s="66"/>
      <c r="EWO33" s="66"/>
      <c r="EWP33" s="66"/>
      <c r="EWQ33" s="66"/>
      <c r="EWR33" s="66"/>
      <c r="EWS33" s="66"/>
      <c r="EWT33" s="66"/>
      <c r="EWU33" s="66"/>
      <c r="EWV33" s="66"/>
      <c r="EWW33" s="66"/>
      <c r="EWX33" s="66"/>
      <c r="EWY33" s="66"/>
      <c r="EWZ33" s="66"/>
      <c r="EXA33" s="66"/>
      <c r="EXB33" s="66"/>
      <c r="EXC33" s="66"/>
      <c r="EXD33" s="66"/>
      <c r="EXE33" s="66"/>
      <c r="EXF33" s="66"/>
      <c r="EXG33" s="66"/>
      <c r="EXH33" s="66"/>
      <c r="EXI33" s="66"/>
      <c r="EXJ33" s="66"/>
      <c r="EXK33" s="66"/>
      <c r="EXL33" s="66"/>
      <c r="EXM33" s="66"/>
      <c r="EXN33" s="66"/>
      <c r="EXO33" s="66"/>
      <c r="EXP33" s="66"/>
      <c r="EXQ33" s="66"/>
      <c r="EXR33" s="66"/>
      <c r="EXS33" s="66"/>
      <c r="EXT33" s="66"/>
      <c r="EXU33" s="66"/>
      <c r="EXV33" s="66"/>
      <c r="EXW33" s="66"/>
      <c r="EXX33" s="66"/>
      <c r="EXY33" s="66"/>
      <c r="EXZ33" s="66"/>
      <c r="EYA33" s="66"/>
      <c r="EYB33" s="66"/>
      <c r="EYC33" s="66"/>
      <c r="EYD33" s="66"/>
      <c r="EYE33" s="66"/>
      <c r="EYF33" s="66"/>
      <c r="EYG33" s="66"/>
      <c r="EYH33" s="66"/>
      <c r="EYI33" s="66"/>
      <c r="EYJ33" s="66"/>
      <c r="EYK33" s="66"/>
      <c r="EYL33" s="66"/>
      <c r="EYM33" s="66"/>
      <c r="EYN33" s="66"/>
      <c r="EYO33" s="66"/>
      <c r="EYP33" s="66"/>
      <c r="EYQ33" s="66"/>
      <c r="EYR33" s="66"/>
      <c r="EYS33" s="66"/>
      <c r="EYT33" s="66"/>
      <c r="EYU33" s="66"/>
      <c r="EYV33" s="66"/>
      <c r="EYW33" s="66"/>
      <c r="EYX33" s="66"/>
      <c r="EYY33" s="66"/>
      <c r="EYZ33" s="66"/>
      <c r="EZA33" s="66"/>
      <c r="EZB33" s="66"/>
      <c r="EZC33" s="66"/>
      <c r="EZD33" s="66"/>
      <c r="EZE33" s="66"/>
      <c r="EZF33" s="66"/>
      <c r="EZG33" s="66"/>
      <c r="EZH33" s="66"/>
      <c r="EZI33" s="66"/>
      <c r="EZJ33" s="66"/>
      <c r="EZK33" s="66"/>
      <c r="EZL33" s="66"/>
      <c r="EZM33" s="66"/>
      <c r="EZN33" s="66"/>
      <c r="EZO33" s="66"/>
      <c r="EZP33" s="66"/>
      <c r="EZQ33" s="66"/>
      <c r="EZR33" s="66"/>
      <c r="EZS33" s="66"/>
      <c r="EZT33" s="66"/>
      <c r="EZU33" s="66"/>
      <c r="EZV33" s="66"/>
      <c r="EZW33" s="66"/>
      <c r="EZX33" s="66"/>
      <c r="EZY33" s="66"/>
      <c r="EZZ33" s="66"/>
      <c r="FAA33" s="66"/>
      <c r="FAB33" s="66"/>
      <c r="FAC33" s="66"/>
      <c r="FAD33" s="66"/>
      <c r="FAE33" s="66"/>
      <c r="FAF33" s="66"/>
      <c r="FAG33" s="66"/>
      <c r="FAH33" s="66"/>
      <c r="FAI33" s="66"/>
      <c r="FAJ33" s="66"/>
      <c r="FAK33" s="66"/>
      <c r="FAL33" s="66"/>
      <c r="FAM33" s="66"/>
      <c r="FAN33" s="66"/>
      <c r="FAO33" s="66"/>
      <c r="FAP33" s="66"/>
      <c r="FAQ33" s="66"/>
      <c r="FAR33" s="66"/>
      <c r="FAS33" s="66"/>
      <c r="FAT33" s="66"/>
      <c r="FAU33" s="66"/>
      <c r="FAV33" s="66"/>
      <c r="FAW33" s="66"/>
      <c r="FAX33" s="66"/>
      <c r="FAY33" s="66"/>
      <c r="FAZ33" s="66"/>
      <c r="FBA33" s="66"/>
      <c r="FBB33" s="66"/>
      <c r="FBC33" s="66"/>
      <c r="FBD33" s="66"/>
      <c r="FBE33" s="66"/>
      <c r="FBF33" s="66"/>
      <c r="FBG33" s="66"/>
      <c r="FBH33" s="66"/>
      <c r="FBI33" s="66"/>
      <c r="FBJ33" s="66"/>
      <c r="FBK33" s="66"/>
      <c r="FBL33" s="66"/>
      <c r="FBM33" s="66"/>
      <c r="FBN33" s="66"/>
      <c r="FBO33" s="66"/>
      <c r="FBP33" s="66"/>
      <c r="FBQ33" s="66"/>
      <c r="FBR33" s="66"/>
      <c r="FBS33" s="66"/>
      <c r="FBT33" s="66"/>
      <c r="FBU33" s="66"/>
      <c r="FBV33" s="66"/>
      <c r="FBW33" s="66"/>
      <c r="FBX33" s="66"/>
      <c r="FBY33" s="66"/>
      <c r="FBZ33" s="66"/>
      <c r="FCA33" s="66"/>
      <c r="FCB33" s="66"/>
      <c r="FCC33" s="66"/>
      <c r="FCD33" s="66"/>
      <c r="FCE33" s="66"/>
      <c r="FCF33" s="66"/>
      <c r="FCG33" s="66"/>
      <c r="FCH33" s="66"/>
      <c r="FCI33" s="66"/>
      <c r="FCJ33" s="66"/>
      <c r="FCK33" s="66"/>
      <c r="FCL33" s="66"/>
      <c r="FCM33" s="66"/>
      <c r="FCN33" s="66"/>
      <c r="FCO33" s="66"/>
      <c r="FCP33" s="66"/>
      <c r="FCQ33" s="66"/>
      <c r="FCR33" s="66"/>
      <c r="FCS33" s="66"/>
      <c r="FCT33" s="66"/>
      <c r="FCU33" s="66"/>
      <c r="FCV33" s="66"/>
      <c r="FCW33" s="66"/>
      <c r="FCX33" s="66"/>
      <c r="FCY33" s="66"/>
      <c r="FCZ33" s="66"/>
      <c r="FDA33" s="66"/>
      <c r="FDB33" s="66"/>
      <c r="FDC33" s="66"/>
      <c r="FDD33" s="66"/>
      <c r="FDE33" s="66"/>
      <c r="FDF33" s="66"/>
      <c r="FDG33" s="66"/>
      <c r="FDH33" s="66"/>
      <c r="FDI33" s="66"/>
      <c r="FDJ33" s="66"/>
      <c r="FDK33" s="66"/>
      <c r="FDL33" s="66"/>
      <c r="FDM33" s="66"/>
      <c r="FDN33" s="66"/>
      <c r="FDO33" s="66"/>
      <c r="FDP33" s="66"/>
      <c r="FDQ33" s="66"/>
      <c r="FDR33" s="66"/>
      <c r="FDS33" s="66"/>
      <c r="FDT33" s="66"/>
      <c r="FDU33" s="66"/>
      <c r="FDV33" s="66"/>
      <c r="FDW33" s="66"/>
      <c r="FDX33" s="66"/>
      <c r="FDY33" s="66"/>
      <c r="FDZ33" s="66"/>
      <c r="FEA33" s="66"/>
      <c r="FEB33" s="66"/>
      <c r="FEC33" s="66"/>
      <c r="FED33" s="66"/>
      <c r="FEE33" s="66"/>
      <c r="FEF33" s="66"/>
      <c r="FEG33" s="66"/>
      <c r="FEH33" s="66"/>
      <c r="FEI33" s="66"/>
      <c r="FEJ33" s="66"/>
      <c r="FEK33" s="66"/>
      <c r="FEL33" s="66"/>
      <c r="FEM33" s="66"/>
      <c r="FEN33" s="66"/>
      <c r="FEO33" s="66"/>
      <c r="FEP33" s="66"/>
      <c r="FEQ33" s="66"/>
      <c r="FER33" s="66"/>
      <c r="FES33" s="66"/>
      <c r="FET33" s="66"/>
      <c r="FEU33" s="66"/>
      <c r="FEV33" s="66"/>
      <c r="FEW33" s="66"/>
      <c r="FEX33" s="66"/>
      <c r="FEY33" s="66"/>
      <c r="FEZ33" s="66"/>
      <c r="FFA33" s="66"/>
      <c r="FFB33" s="66"/>
      <c r="FFC33" s="66"/>
      <c r="FFD33" s="66"/>
      <c r="FFE33" s="66"/>
      <c r="FFF33" s="66"/>
      <c r="FFG33" s="66"/>
      <c r="FFH33" s="66"/>
      <c r="FFI33" s="66"/>
      <c r="FFJ33" s="66"/>
      <c r="FFK33" s="66"/>
      <c r="FFL33" s="66"/>
      <c r="FFM33" s="66"/>
      <c r="FFN33" s="66"/>
      <c r="FFO33" s="66"/>
      <c r="FFP33" s="66"/>
      <c r="FFQ33" s="66"/>
      <c r="FFR33" s="66"/>
      <c r="FFS33" s="66"/>
      <c r="FFT33" s="66"/>
      <c r="FFU33" s="66"/>
      <c r="FFV33" s="66"/>
      <c r="FFW33" s="66"/>
      <c r="FFX33" s="66"/>
      <c r="FFY33" s="66"/>
      <c r="FFZ33" s="66"/>
      <c r="FGA33" s="66"/>
      <c r="FGB33" s="66"/>
      <c r="FGC33" s="66"/>
      <c r="FGD33" s="66"/>
      <c r="FGE33" s="66"/>
      <c r="FGF33" s="66"/>
      <c r="FGG33" s="66"/>
      <c r="FGH33" s="66"/>
      <c r="FGI33" s="66"/>
      <c r="FGJ33" s="66"/>
      <c r="FGK33" s="66"/>
      <c r="FGL33" s="66"/>
      <c r="FGM33" s="66"/>
      <c r="FGN33" s="66"/>
      <c r="FGO33" s="66"/>
      <c r="FGP33" s="66"/>
      <c r="FGQ33" s="66"/>
      <c r="FGR33" s="66"/>
      <c r="FGS33" s="66"/>
      <c r="FGT33" s="66"/>
      <c r="FGU33" s="66"/>
      <c r="FGV33" s="66"/>
      <c r="FGW33" s="66"/>
      <c r="FGX33" s="66"/>
      <c r="FGY33" s="66"/>
      <c r="FGZ33" s="66"/>
      <c r="FHA33" s="66"/>
      <c r="FHB33" s="66"/>
      <c r="FHC33" s="66"/>
      <c r="FHD33" s="66"/>
      <c r="FHE33" s="66"/>
      <c r="FHF33" s="66"/>
      <c r="FHG33" s="66"/>
      <c r="FHH33" s="66"/>
      <c r="FHI33" s="66"/>
      <c r="FHJ33" s="66"/>
      <c r="FHK33" s="66"/>
      <c r="FHL33" s="66"/>
      <c r="FHM33" s="66"/>
      <c r="FHN33" s="66"/>
      <c r="FHO33" s="66"/>
      <c r="FHP33" s="66"/>
      <c r="FHQ33" s="66"/>
      <c r="FHR33" s="66"/>
      <c r="FHS33" s="66"/>
      <c r="FHT33" s="66"/>
      <c r="FHU33" s="66"/>
      <c r="FHV33" s="66"/>
      <c r="FHW33" s="66"/>
      <c r="FHX33" s="66"/>
      <c r="FHY33" s="66"/>
      <c r="FHZ33" s="66"/>
      <c r="FIA33" s="66"/>
      <c r="FIB33" s="66"/>
      <c r="FIC33" s="66"/>
      <c r="FID33" s="66"/>
      <c r="FIE33" s="66"/>
      <c r="FIF33" s="66"/>
      <c r="FIG33" s="66"/>
      <c r="FIH33" s="66"/>
      <c r="FII33" s="66"/>
      <c r="FIJ33" s="66"/>
      <c r="FIK33" s="66"/>
      <c r="FIL33" s="66"/>
      <c r="FIM33" s="66"/>
      <c r="FIN33" s="66"/>
      <c r="FIO33" s="66"/>
      <c r="FIP33" s="66"/>
      <c r="FIQ33" s="66"/>
      <c r="FIR33" s="66"/>
      <c r="FIS33" s="66"/>
      <c r="FIT33" s="66"/>
      <c r="FIU33" s="66"/>
      <c r="FIV33" s="66"/>
      <c r="FIW33" s="66"/>
      <c r="FIX33" s="66"/>
      <c r="FIY33" s="66"/>
      <c r="FIZ33" s="66"/>
      <c r="FJA33" s="66"/>
      <c r="FJB33" s="66"/>
      <c r="FJC33" s="66"/>
      <c r="FJD33" s="66"/>
      <c r="FJE33" s="66"/>
      <c r="FJF33" s="66"/>
      <c r="FJG33" s="66"/>
      <c r="FJH33" s="66"/>
      <c r="FJI33" s="66"/>
      <c r="FJJ33" s="66"/>
      <c r="FJK33" s="66"/>
      <c r="FJL33" s="66"/>
      <c r="FJM33" s="66"/>
      <c r="FJN33" s="66"/>
      <c r="FJO33" s="66"/>
      <c r="FJP33" s="66"/>
      <c r="FJQ33" s="66"/>
      <c r="FJR33" s="66"/>
      <c r="FJS33" s="66"/>
      <c r="FJT33" s="66"/>
      <c r="FJU33" s="66"/>
      <c r="FJV33" s="66"/>
      <c r="FJW33" s="66"/>
      <c r="FJX33" s="66"/>
      <c r="FJY33" s="66"/>
      <c r="FJZ33" s="66"/>
      <c r="FKA33" s="66"/>
      <c r="FKB33" s="66"/>
      <c r="FKC33" s="66"/>
      <c r="FKD33" s="66"/>
      <c r="FKE33" s="66"/>
      <c r="FKF33" s="66"/>
      <c r="FKG33" s="66"/>
      <c r="FKH33" s="66"/>
      <c r="FKI33" s="66"/>
      <c r="FKJ33" s="66"/>
      <c r="FKK33" s="66"/>
      <c r="FKL33" s="66"/>
      <c r="FKM33" s="66"/>
      <c r="FKN33" s="66"/>
      <c r="FKO33" s="66"/>
      <c r="FKP33" s="66"/>
      <c r="FKQ33" s="66"/>
      <c r="FKR33" s="66"/>
      <c r="FKS33" s="66"/>
      <c r="FKT33" s="66"/>
      <c r="FKU33" s="66"/>
      <c r="FKV33" s="66"/>
      <c r="FKW33" s="66"/>
      <c r="FKX33" s="66"/>
      <c r="FKY33" s="66"/>
      <c r="FKZ33" s="66"/>
      <c r="FLA33" s="66"/>
      <c r="FLB33" s="66"/>
      <c r="FLC33" s="66"/>
      <c r="FLD33" s="66"/>
      <c r="FLE33" s="66"/>
      <c r="FLF33" s="66"/>
      <c r="FLG33" s="66"/>
      <c r="FLH33" s="66"/>
      <c r="FLI33" s="66"/>
      <c r="FLJ33" s="66"/>
      <c r="FLK33" s="66"/>
      <c r="FLL33" s="66"/>
      <c r="FLM33" s="66"/>
      <c r="FLN33" s="66"/>
      <c r="FLO33" s="66"/>
      <c r="FLP33" s="66"/>
      <c r="FLQ33" s="66"/>
      <c r="FLR33" s="66"/>
      <c r="FLS33" s="66"/>
      <c r="FLT33" s="66"/>
      <c r="FLU33" s="66"/>
      <c r="FLV33" s="66"/>
      <c r="FLW33" s="66"/>
      <c r="FLX33" s="66"/>
      <c r="FLY33" s="66"/>
      <c r="FLZ33" s="66"/>
      <c r="FMA33" s="66"/>
      <c r="FMB33" s="66"/>
      <c r="FMC33" s="66"/>
      <c r="FMD33" s="66"/>
      <c r="FME33" s="66"/>
      <c r="FMF33" s="66"/>
      <c r="FMG33" s="66"/>
      <c r="FMH33" s="66"/>
      <c r="FMI33" s="66"/>
      <c r="FMJ33" s="66"/>
      <c r="FMK33" s="66"/>
      <c r="FML33" s="66"/>
      <c r="FMM33" s="66"/>
      <c r="FMN33" s="66"/>
      <c r="FMO33" s="66"/>
      <c r="FMP33" s="66"/>
      <c r="FMQ33" s="66"/>
      <c r="FMR33" s="66"/>
      <c r="FMS33" s="66"/>
      <c r="FMT33" s="66"/>
      <c r="FMU33" s="66"/>
      <c r="FMV33" s="66"/>
      <c r="FMW33" s="66"/>
      <c r="FMX33" s="66"/>
      <c r="FMY33" s="66"/>
      <c r="FMZ33" s="66"/>
      <c r="FNA33" s="66"/>
      <c r="FNB33" s="66"/>
      <c r="FNC33" s="66"/>
      <c r="FND33" s="66"/>
      <c r="FNE33" s="66"/>
      <c r="FNF33" s="66"/>
      <c r="FNG33" s="66"/>
      <c r="FNH33" s="66"/>
      <c r="FNI33" s="66"/>
      <c r="FNJ33" s="66"/>
      <c r="FNK33" s="66"/>
      <c r="FNL33" s="66"/>
      <c r="FNM33" s="66"/>
      <c r="FNN33" s="66"/>
      <c r="FNO33" s="66"/>
      <c r="FNP33" s="66"/>
      <c r="FNQ33" s="66"/>
      <c r="FNR33" s="66"/>
      <c r="FNS33" s="66"/>
      <c r="FNT33" s="66"/>
      <c r="FNU33" s="66"/>
      <c r="FNV33" s="66"/>
      <c r="FNW33" s="66"/>
      <c r="FNX33" s="66"/>
      <c r="FNY33" s="66"/>
      <c r="FNZ33" s="66"/>
      <c r="FOA33" s="66"/>
      <c r="FOB33" s="66"/>
      <c r="FOC33" s="66"/>
      <c r="FOD33" s="66"/>
      <c r="FOE33" s="66"/>
      <c r="FOF33" s="66"/>
      <c r="FOG33" s="66"/>
      <c r="FOH33" s="66"/>
      <c r="FOI33" s="66"/>
      <c r="FOJ33" s="66"/>
      <c r="FOK33" s="66"/>
      <c r="FOL33" s="66"/>
      <c r="FOM33" s="66"/>
      <c r="FON33" s="66"/>
      <c r="FOO33" s="66"/>
      <c r="FOP33" s="66"/>
      <c r="FOQ33" s="66"/>
      <c r="FOR33" s="66"/>
      <c r="FOS33" s="66"/>
      <c r="FOT33" s="66"/>
      <c r="FOU33" s="66"/>
      <c r="FOV33" s="66"/>
      <c r="FOW33" s="66"/>
      <c r="FOX33" s="66"/>
      <c r="FOY33" s="66"/>
      <c r="FOZ33" s="66"/>
      <c r="FPA33" s="66"/>
      <c r="FPB33" s="66"/>
      <c r="FPC33" s="66"/>
      <c r="FPD33" s="66"/>
      <c r="FPE33" s="66"/>
      <c r="FPF33" s="66"/>
      <c r="FPG33" s="66"/>
      <c r="FPH33" s="66"/>
      <c r="FPI33" s="66"/>
      <c r="FPJ33" s="66"/>
      <c r="FPK33" s="66"/>
      <c r="FPL33" s="66"/>
      <c r="FPM33" s="66"/>
      <c r="FPN33" s="66"/>
      <c r="FPO33" s="66"/>
      <c r="FPP33" s="66"/>
      <c r="FPQ33" s="66"/>
      <c r="FPR33" s="66"/>
      <c r="FPS33" s="66"/>
      <c r="FPT33" s="66"/>
      <c r="FPU33" s="66"/>
      <c r="FPV33" s="66"/>
      <c r="FPW33" s="66"/>
      <c r="FPX33" s="66"/>
      <c r="FPY33" s="66"/>
      <c r="FPZ33" s="66"/>
      <c r="FQA33" s="66"/>
      <c r="FQB33" s="66"/>
      <c r="FQC33" s="66"/>
      <c r="FQD33" s="66"/>
      <c r="FQE33" s="66"/>
      <c r="FQF33" s="66"/>
      <c r="FQG33" s="66"/>
      <c r="FQH33" s="66"/>
      <c r="FQI33" s="66"/>
      <c r="FQJ33" s="66"/>
      <c r="FQK33" s="66"/>
      <c r="FQL33" s="66"/>
      <c r="FQM33" s="66"/>
      <c r="FQN33" s="66"/>
      <c r="FQO33" s="66"/>
      <c r="FQP33" s="66"/>
      <c r="FQQ33" s="66"/>
      <c r="FQR33" s="66"/>
      <c r="FQS33" s="66"/>
      <c r="FQT33" s="66"/>
      <c r="FQU33" s="66"/>
      <c r="FQV33" s="66"/>
      <c r="FQW33" s="66"/>
      <c r="FQX33" s="66"/>
      <c r="FQY33" s="66"/>
      <c r="FQZ33" s="66"/>
      <c r="FRA33" s="66"/>
      <c r="FRB33" s="66"/>
      <c r="FRC33" s="66"/>
      <c r="FRD33" s="66"/>
      <c r="FRE33" s="66"/>
      <c r="FRF33" s="66"/>
      <c r="FRG33" s="66"/>
      <c r="FRH33" s="66"/>
      <c r="FRI33" s="66"/>
      <c r="FRJ33" s="66"/>
      <c r="FRK33" s="66"/>
      <c r="FRL33" s="66"/>
      <c r="FRM33" s="66"/>
      <c r="FRN33" s="66"/>
      <c r="FRO33" s="66"/>
      <c r="FRP33" s="66"/>
      <c r="FRQ33" s="66"/>
      <c r="FRR33" s="66"/>
      <c r="FRS33" s="66"/>
      <c r="FRT33" s="66"/>
      <c r="FRU33" s="66"/>
      <c r="FRV33" s="66"/>
      <c r="FRW33" s="66"/>
      <c r="FRX33" s="66"/>
      <c r="FRY33" s="66"/>
      <c r="FRZ33" s="66"/>
      <c r="FSA33" s="66"/>
      <c r="FSB33" s="66"/>
      <c r="FSC33" s="66"/>
      <c r="FSD33" s="66"/>
      <c r="FSE33" s="66"/>
      <c r="FSF33" s="66"/>
      <c r="FSG33" s="66"/>
      <c r="FSH33" s="66"/>
      <c r="FSI33" s="66"/>
      <c r="FSJ33" s="66"/>
      <c r="FSK33" s="66"/>
      <c r="FSL33" s="66"/>
      <c r="FSM33" s="66"/>
      <c r="FSN33" s="66"/>
      <c r="FSO33" s="66"/>
      <c r="FSP33" s="66"/>
      <c r="FSQ33" s="66"/>
      <c r="FSR33" s="66"/>
      <c r="FSS33" s="66"/>
      <c r="FST33" s="66"/>
      <c r="FSU33" s="66"/>
      <c r="FSV33" s="66"/>
      <c r="FSW33" s="66"/>
      <c r="FSX33" s="66"/>
      <c r="FSY33" s="66"/>
      <c r="FSZ33" s="66"/>
      <c r="FTA33" s="66"/>
      <c r="FTB33" s="66"/>
      <c r="FTC33" s="66"/>
      <c r="FTD33" s="66"/>
      <c r="FTE33" s="66"/>
      <c r="FTF33" s="66"/>
      <c r="FTG33" s="66"/>
      <c r="FTH33" s="66"/>
      <c r="FTI33" s="66"/>
      <c r="FTJ33" s="66"/>
      <c r="FTK33" s="66"/>
      <c r="FTL33" s="66"/>
      <c r="FTM33" s="66"/>
      <c r="FTN33" s="66"/>
      <c r="FTO33" s="66"/>
      <c r="FTP33" s="66"/>
      <c r="FTQ33" s="66"/>
      <c r="FTR33" s="66"/>
      <c r="FTS33" s="66"/>
      <c r="FTT33" s="66"/>
      <c r="FTU33" s="66"/>
      <c r="FTV33" s="66"/>
      <c r="FTW33" s="66"/>
      <c r="FTX33" s="66"/>
      <c r="FTY33" s="66"/>
      <c r="FTZ33" s="66"/>
      <c r="FUA33" s="66"/>
      <c r="FUB33" s="66"/>
      <c r="FUC33" s="66"/>
      <c r="FUD33" s="66"/>
      <c r="FUE33" s="66"/>
      <c r="FUF33" s="66"/>
      <c r="FUG33" s="66"/>
      <c r="FUH33" s="66"/>
      <c r="FUI33" s="66"/>
      <c r="FUJ33" s="66"/>
      <c r="FUK33" s="66"/>
      <c r="FUL33" s="66"/>
      <c r="FUM33" s="66"/>
      <c r="FUN33" s="66"/>
      <c r="FUO33" s="66"/>
      <c r="FUP33" s="66"/>
      <c r="FUQ33" s="66"/>
      <c r="FUR33" s="66"/>
      <c r="FUS33" s="66"/>
      <c r="FUT33" s="66"/>
      <c r="FUU33" s="66"/>
      <c r="FUV33" s="66"/>
      <c r="FUW33" s="66"/>
      <c r="FUX33" s="66"/>
      <c r="FUY33" s="66"/>
      <c r="FUZ33" s="66"/>
      <c r="FVA33" s="66"/>
      <c r="FVB33" s="66"/>
      <c r="FVC33" s="66"/>
      <c r="FVD33" s="66"/>
      <c r="FVE33" s="66"/>
      <c r="FVF33" s="66"/>
      <c r="FVG33" s="66"/>
      <c r="FVH33" s="66"/>
      <c r="FVI33" s="66"/>
      <c r="FVJ33" s="66"/>
      <c r="FVK33" s="66"/>
      <c r="FVL33" s="66"/>
      <c r="FVM33" s="66"/>
      <c r="FVN33" s="66"/>
      <c r="FVO33" s="66"/>
      <c r="FVP33" s="66"/>
      <c r="FVQ33" s="66"/>
      <c r="FVR33" s="66"/>
      <c r="FVS33" s="66"/>
      <c r="FVT33" s="66"/>
      <c r="FVU33" s="66"/>
      <c r="FVV33" s="66"/>
      <c r="FVW33" s="66"/>
      <c r="FVX33" s="66"/>
      <c r="FVY33" s="66"/>
      <c r="FVZ33" s="66"/>
      <c r="FWA33" s="66"/>
      <c r="FWB33" s="66"/>
      <c r="FWC33" s="66"/>
      <c r="FWD33" s="66"/>
      <c r="FWE33" s="66"/>
      <c r="FWF33" s="66"/>
      <c r="FWG33" s="66"/>
      <c r="FWH33" s="66"/>
      <c r="FWI33" s="66"/>
      <c r="FWJ33" s="66"/>
      <c r="FWK33" s="66"/>
      <c r="FWL33" s="66"/>
      <c r="FWM33" s="66"/>
      <c r="FWN33" s="66"/>
      <c r="FWO33" s="66"/>
      <c r="FWP33" s="66"/>
      <c r="FWQ33" s="66"/>
      <c r="FWR33" s="66"/>
      <c r="FWS33" s="66"/>
      <c r="FWT33" s="66"/>
      <c r="FWU33" s="66"/>
      <c r="FWV33" s="66"/>
      <c r="FWW33" s="66"/>
      <c r="FWX33" s="66"/>
      <c r="FWY33" s="66"/>
      <c r="FWZ33" s="66"/>
      <c r="FXA33" s="66"/>
      <c r="FXB33" s="66"/>
      <c r="FXC33" s="66"/>
      <c r="FXD33" s="66"/>
      <c r="FXE33" s="66"/>
      <c r="FXF33" s="66"/>
      <c r="FXG33" s="66"/>
      <c r="FXH33" s="66"/>
      <c r="FXI33" s="66"/>
      <c r="FXJ33" s="66"/>
      <c r="FXK33" s="66"/>
      <c r="FXL33" s="66"/>
      <c r="FXM33" s="66"/>
      <c r="FXN33" s="66"/>
      <c r="FXO33" s="66"/>
      <c r="FXP33" s="66"/>
      <c r="FXQ33" s="66"/>
      <c r="FXR33" s="66"/>
      <c r="FXS33" s="66"/>
      <c r="FXT33" s="66"/>
      <c r="FXU33" s="66"/>
      <c r="FXV33" s="66"/>
      <c r="FXW33" s="66"/>
      <c r="FXX33" s="66"/>
      <c r="FXY33" s="66"/>
      <c r="FXZ33" s="66"/>
      <c r="FYA33" s="66"/>
      <c r="FYB33" s="66"/>
      <c r="FYC33" s="66"/>
      <c r="FYD33" s="66"/>
      <c r="FYE33" s="66"/>
      <c r="FYF33" s="66"/>
      <c r="FYG33" s="66"/>
      <c r="FYH33" s="66"/>
      <c r="FYI33" s="66"/>
      <c r="FYJ33" s="66"/>
      <c r="FYK33" s="66"/>
      <c r="FYL33" s="66"/>
      <c r="FYM33" s="66"/>
      <c r="FYN33" s="66"/>
      <c r="FYO33" s="66"/>
      <c r="FYP33" s="66"/>
      <c r="FYQ33" s="66"/>
      <c r="FYR33" s="66"/>
      <c r="FYS33" s="66"/>
      <c r="FYT33" s="66"/>
      <c r="FYU33" s="66"/>
      <c r="FYV33" s="66"/>
      <c r="FYW33" s="66"/>
      <c r="FYX33" s="66"/>
      <c r="FYY33" s="66"/>
      <c r="FYZ33" s="66"/>
      <c r="FZA33" s="66"/>
      <c r="FZB33" s="66"/>
      <c r="FZC33" s="66"/>
      <c r="FZD33" s="66"/>
      <c r="FZE33" s="66"/>
      <c r="FZF33" s="66"/>
      <c r="FZG33" s="66"/>
      <c r="FZH33" s="66"/>
      <c r="FZI33" s="66"/>
      <c r="FZJ33" s="66"/>
      <c r="FZK33" s="66"/>
      <c r="FZL33" s="66"/>
      <c r="FZM33" s="66"/>
      <c r="FZN33" s="66"/>
      <c r="FZO33" s="66"/>
      <c r="FZP33" s="66"/>
      <c r="FZQ33" s="66"/>
      <c r="FZR33" s="66"/>
      <c r="FZS33" s="66"/>
      <c r="FZT33" s="66"/>
      <c r="FZU33" s="66"/>
      <c r="FZV33" s="66"/>
      <c r="FZW33" s="66"/>
      <c r="FZX33" s="66"/>
      <c r="FZY33" s="66"/>
      <c r="FZZ33" s="66"/>
      <c r="GAA33" s="66"/>
      <c r="GAB33" s="66"/>
      <c r="GAC33" s="66"/>
      <c r="GAD33" s="66"/>
      <c r="GAE33" s="66"/>
      <c r="GAF33" s="66"/>
      <c r="GAG33" s="66"/>
      <c r="GAH33" s="66"/>
      <c r="GAI33" s="66"/>
      <c r="GAJ33" s="66"/>
      <c r="GAK33" s="66"/>
      <c r="GAL33" s="66"/>
      <c r="GAM33" s="66"/>
      <c r="GAN33" s="66"/>
      <c r="GAO33" s="66"/>
      <c r="GAP33" s="66"/>
      <c r="GAQ33" s="66"/>
      <c r="GAR33" s="66"/>
      <c r="GAS33" s="66"/>
      <c r="GAT33" s="66"/>
      <c r="GAU33" s="66"/>
      <c r="GAV33" s="66"/>
      <c r="GAW33" s="66"/>
      <c r="GAX33" s="66"/>
      <c r="GAY33" s="66"/>
      <c r="GAZ33" s="66"/>
      <c r="GBA33" s="66"/>
      <c r="GBB33" s="66"/>
      <c r="GBC33" s="66"/>
      <c r="GBD33" s="66"/>
      <c r="GBE33" s="66"/>
      <c r="GBF33" s="66"/>
      <c r="GBG33" s="66"/>
      <c r="GBH33" s="66"/>
      <c r="GBI33" s="66"/>
      <c r="GBJ33" s="66"/>
      <c r="GBK33" s="66"/>
      <c r="GBL33" s="66"/>
      <c r="GBM33" s="66"/>
      <c r="GBN33" s="66"/>
      <c r="GBO33" s="66"/>
      <c r="GBP33" s="66"/>
      <c r="GBQ33" s="66"/>
      <c r="GBR33" s="66"/>
      <c r="GBS33" s="66"/>
      <c r="GBT33" s="66"/>
      <c r="GBU33" s="66"/>
      <c r="GBV33" s="66"/>
      <c r="GBW33" s="66"/>
      <c r="GBX33" s="66"/>
      <c r="GBY33" s="66"/>
      <c r="GBZ33" s="66"/>
      <c r="GCA33" s="66"/>
      <c r="GCB33" s="66"/>
      <c r="GCC33" s="66"/>
      <c r="GCD33" s="66"/>
      <c r="GCE33" s="66"/>
      <c r="GCF33" s="66"/>
      <c r="GCG33" s="66"/>
      <c r="GCH33" s="66"/>
      <c r="GCI33" s="66"/>
      <c r="GCJ33" s="66"/>
      <c r="GCK33" s="66"/>
      <c r="GCL33" s="66"/>
      <c r="GCM33" s="66"/>
      <c r="GCN33" s="66"/>
      <c r="GCO33" s="66"/>
      <c r="GCP33" s="66"/>
      <c r="GCQ33" s="66"/>
      <c r="GCR33" s="66"/>
      <c r="GCS33" s="66"/>
      <c r="GCT33" s="66"/>
      <c r="GCU33" s="66"/>
      <c r="GCV33" s="66"/>
      <c r="GCW33" s="66"/>
      <c r="GCX33" s="66"/>
      <c r="GCY33" s="66"/>
      <c r="GCZ33" s="66"/>
      <c r="GDA33" s="66"/>
      <c r="GDB33" s="66"/>
      <c r="GDC33" s="66"/>
      <c r="GDD33" s="66"/>
      <c r="GDE33" s="66"/>
      <c r="GDF33" s="66"/>
      <c r="GDG33" s="66"/>
      <c r="GDH33" s="66"/>
      <c r="GDI33" s="66"/>
      <c r="GDJ33" s="66"/>
      <c r="GDK33" s="66"/>
      <c r="GDL33" s="66"/>
      <c r="GDM33" s="66"/>
      <c r="GDN33" s="66"/>
      <c r="GDO33" s="66"/>
      <c r="GDP33" s="66"/>
      <c r="GDQ33" s="66"/>
      <c r="GDR33" s="66"/>
      <c r="GDS33" s="66"/>
      <c r="GDT33" s="66"/>
      <c r="GDU33" s="66"/>
      <c r="GDV33" s="66"/>
      <c r="GDW33" s="66"/>
      <c r="GDX33" s="66"/>
      <c r="GDY33" s="66"/>
      <c r="GDZ33" s="66"/>
      <c r="GEA33" s="66"/>
      <c r="GEB33" s="66"/>
      <c r="GEC33" s="66"/>
      <c r="GED33" s="66"/>
      <c r="GEE33" s="66"/>
      <c r="GEF33" s="66"/>
      <c r="GEG33" s="66"/>
      <c r="GEH33" s="66"/>
      <c r="GEI33" s="66"/>
      <c r="GEJ33" s="66"/>
      <c r="GEK33" s="66"/>
      <c r="GEL33" s="66"/>
      <c r="GEM33" s="66"/>
      <c r="GEN33" s="66"/>
      <c r="GEO33" s="66"/>
      <c r="GEP33" s="66"/>
      <c r="GEQ33" s="66"/>
      <c r="GER33" s="66"/>
      <c r="GES33" s="66"/>
      <c r="GET33" s="66"/>
      <c r="GEU33" s="66"/>
      <c r="GEV33" s="66"/>
      <c r="GEW33" s="66"/>
      <c r="GEX33" s="66"/>
      <c r="GEY33" s="66"/>
      <c r="GEZ33" s="66"/>
      <c r="GFA33" s="66"/>
      <c r="GFB33" s="66"/>
      <c r="GFC33" s="66"/>
      <c r="GFD33" s="66"/>
      <c r="GFE33" s="66"/>
      <c r="GFF33" s="66"/>
      <c r="GFG33" s="66"/>
      <c r="GFH33" s="66"/>
      <c r="GFI33" s="66"/>
      <c r="GFJ33" s="66"/>
      <c r="GFK33" s="66"/>
      <c r="GFL33" s="66"/>
      <c r="GFM33" s="66"/>
      <c r="GFN33" s="66"/>
      <c r="GFO33" s="66"/>
      <c r="GFP33" s="66"/>
      <c r="GFQ33" s="66"/>
      <c r="GFR33" s="66"/>
      <c r="GFS33" s="66"/>
      <c r="GFT33" s="66"/>
      <c r="GFU33" s="66"/>
      <c r="GFV33" s="66"/>
      <c r="GFW33" s="66"/>
      <c r="GFX33" s="66"/>
      <c r="GFY33" s="66"/>
      <c r="GFZ33" s="66"/>
      <c r="GGA33" s="66"/>
      <c r="GGB33" s="66"/>
      <c r="GGC33" s="66"/>
      <c r="GGD33" s="66"/>
      <c r="GGE33" s="66"/>
      <c r="GGF33" s="66"/>
      <c r="GGG33" s="66"/>
      <c r="GGH33" s="66"/>
      <c r="GGI33" s="66"/>
      <c r="GGJ33" s="66"/>
      <c r="GGK33" s="66"/>
      <c r="GGL33" s="66"/>
      <c r="GGM33" s="66"/>
      <c r="GGN33" s="66"/>
      <c r="GGO33" s="66"/>
      <c r="GGP33" s="66"/>
      <c r="GGQ33" s="66"/>
      <c r="GGR33" s="66"/>
      <c r="GGS33" s="66"/>
      <c r="GGT33" s="66"/>
      <c r="GGU33" s="66"/>
      <c r="GGV33" s="66"/>
      <c r="GGW33" s="66"/>
      <c r="GGX33" s="66"/>
      <c r="GGY33" s="66"/>
      <c r="GGZ33" s="66"/>
      <c r="GHA33" s="66"/>
      <c r="GHB33" s="66"/>
      <c r="GHC33" s="66"/>
      <c r="GHD33" s="66"/>
      <c r="GHE33" s="66"/>
      <c r="GHF33" s="66"/>
      <c r="GHG33" s="66"/>
      <c r="GHH33" s="66"/>
      <c r="GHI33" s="66"/>
      <c r="GHJ33" s="66"/>
      <c r="GHK33" s="66"/>
      <c r="GHL33" s="66"/>
      <c r="GHM33" s="66"/>
      <c r="GHN33" s="66"/>
      <c r="GHO33" s="66"/>
      <c r="GHP33" s="66"/>
      <c r="GHQ33" s="66"/>
      <c r="GHR33" s="66"/>
      <c r="GHS33" s="66"/>
      <c r="GHT33" s="66"/>
      <c r="GHU33" s="66"/>
      <c r="GHV33" s="66"/>
      <c r="GHW33" s="66"/>
      <c r="GHX33" s="66"/>
      <c r="GHY33" s="66"/>
      <c r="GHZ33" s="66"/>
      <c r="GIA33" s="66"/>
      <c r="GIB33" s="66"/>
      <c r="GIC33" s="66"/>
      <c r="GID33" s="66"/>
      <c r="GIE33" s="66"/>
      <c r="GIF33" s="66"/>
      <c r="GIG33" s="66"/>
      <c r="GIH33" s="66"/>
      <c r="GII33" s="66"/>
      <c r="GIJ33" s="66"/>
      <c r="GIK33" s="66"/>
      <c r="GIL33" s="66"/>
      <c r="GIM33" s="66"/>
      <c r="GIN33" s="66"/>
      <c r="GIO33" s="66"/>
      <c r="GIP33" s="66"/>
      <c r="GIQ33" s="66"/>
      <c r="GIR33" s="66"/>
      <c r="GIS33" s="66"/>
      <c r="GIT33" s="66"/>
      <c r="GIU33" s="66"/>
      <c r="GIV33" s="66"/>
      <c r="GIW33" s="66"/>
      <c r="GIX33" s="66"/>
      <c r="GIY33" s="66"/>
      <c r="GIZ33" s="66"/>
      <c r="GJA33" s="66"/>
      <c r="GJB33" s="66"/>
      <c r="GJC33" s="66"/>
      <c r="GJD33" s="66"/>
      <c r="GJE33" s="66"/>
      <c r="GJF33" s="66"/>
      <c r="GJG33" s="66"/>
      <c r="GJH33" s="66"/>
      <c r="GJI33" s="66"/>
      <c r="GJJ33" s="66"/>
      <c r="GJK33" s="66"/>
      <c r="GJL33" s="66"/>
      <c r="GJM33" s="66"/>
      <c r="GJN33" s="66"/>
      <c r="GJO33" s="66"/>
      <c r="GJP33" s="66"/>
      <c r="GJQ33" s="66"/>
      <c r="GJR33" s="66"/>
      <c r="GJS33" s="66"/>
      <c r="GJT33" s="66"/>
      <c r="GJU33" s="66"/>
      <c r="GJV33" s="66"/>
      <c r="GJW33" s="66"/>
      <c r="GJX33" s="66"/>
      <c r="GJY33" s="66"/>
      <c r="GJZ33" s="66"/>
      <c r="GKA33" s="66"/>
      <c r="GKB33" s="66"/>
      <c r="GKC33" s="66"/>
      <c r="GKD33" s="66"/>
      <c r="GKE33" s="66"/>
      <c r="GKF33" s="66"/>
      <c r="GKG33" s="66"/>
      <c r="GKH33" s="66"/>
      <c r="GKI33" s="66"/>
      <c r="GKJ33" s="66"/>
      <c r="GKK33" s="66"/>
      <c r="GKL33" s="66"/>
      <c r="GKM33" s="66"/>
      <c r="GKN33" s="66"/>
      <c r="GKO33" s="66"/>
      <c r="GKP33" s="66"/>
      <c r="GKQ33" s="66"/>
      <c r="GKR33" s="66"/>
      <c r="GKS33" s="66"/>
      <c r="GKT33" s="66"/>
      <c r="GKU33" s="66"/>
      <c r="GKV33" s="66"/>
      <c r="GKW33" s="66"/>
      <c r="GKX33" s="66"/>
      <c r="GKY33" s="66"/>
      <c r="GKZ33" s="66"/>
      <c r="GLA33" s="66"/>
      <c r="GLB33" s="66"/>
      <c r="GLC33" s="66"/>
      <c r="GLD33" s="66"/>
      <c r="GLE33" s="66"/>
      <c r="GLF33" s="66"/>
      <c r="GLG33" s="66"/>
      <c r="GLH33" s="66"/>
      <c r="GLI33" s="66"/>
      <c r="GLJ33" s="66"/>
      <c r="GLK33" s="66"/>
      <c r="GLL33" s="66"/>
      <c r="GLM33" s="66"/>
      <c r="GLN33" s="66"/>
      <c r="GLO33" s="66"/>
      <c r="GLP33" s="66"/>
      <c r="GLQ33" s="66"/>
      <c r="GLR33" s="66"/>
      <c r="GLS33" s="66"/>
      <c r="GLT33" s="66"/>
      <c r="GLU33" s="66"/>
      <c r="GLV33" s="66"/>
      <c r="GLW33" s="66"/>
      <c r="GLX33" s="66"/>
      <c r="GLY33" s="66"/>
      <c r="GLZ33" s="66"/>
      <c r="GMA33" s="66"/>
      <c r="GMB33" s="66"/>
      <c r="GMC33" s="66"/>
      <c r="GMD33" s="66"/>
      <c r="GME33" s="66"/>
      <c r="GMF33" s="66"/>
      <c r="GMG33" s="66"/>
      <c r="GMH33" s="66"/>
      <c r="GMI33" s="66"/>
      <c r="GMJ33" s="66"/>
      <c r="GMK33" s="66"/>
      <c r="GML33" s="66"/>
      <c r="GMM33" s="66"/>
      <c r="GMN33" s="66"/>
      <c r="GMO33" s="66"/>
      <c r="GMP33" s="66"/>
      <c r="GMQ33" s="66"/>
      <c r="GMR33" s="66"/>
      <c r="GMS33" s="66"/>
      <c r="GMT33" s="66"/>
      <c r="GMU33" s="66"/>
      <c r="GMV33" s="66"/>
      <c r="GMW33" s="66"/>
      <c r="GMX33" s="66"/>
      <c r="GMY33" s="66"/>
      <c r="GMZ33" s="66"/>
      <c r="GNA33" s="66"/>
      <c r="GNB33" s="66"/>
      <c r="GNC33" s="66"/>
      <c r="GND33" s="66"/>
      <c r="GNE33" s="66"/>
      <c r="GNF33" s="66"/>
      <c r="GNG33" s="66"/>
      <c r="GNH33" s="66"/>
      <c r="GNI33" s="66"/>
      <c r="GNJ33" s="66"/>
      <c r="GNK33" s="66"/>
      <c r="GNL33" s="66"/>
      <c r="GNM33" s="66"/>
      <c r="GNN33" s="66"/>
      <c r="GNO33" s="66"/>
      <c r="GNP33" s="66"/>
      <c r="GNQ33" s="66"/>
      <c r="GNR33" s="66"/>
      <c r="GNS33" s="66"/>
      <c r="GNT33" s="66"/>
      <c r="GNU33" s="66"/>
      <c r="GNV33" s="66"/>
      <c r="GNW33" s="66"/>
      <c r="GNX33" s="66"/>
      <c r="GNY33" s="66"/>
      <c r="GNZ33" s="66"/>
      <c r="GOA33" s="66"/>
      <c r="GOB33" s="66"/>
      <c r="GOC33" s="66"/>
      <c r="GOD33" s="66"/>
      <c r="GOE33" s="66"/>
      <c r="GOF33" s="66"/>
      <c r="GOG33" s="66"/>
      <c r="GOH33" s="66"/>
      <c r="GOI33" s="66"/>
      <c r="GOJ33" s="66"/>
      <c r="GOK33" s="66"/>
      <c r="GOL33" s="66"/>
      <c r="GOM33" s="66"/>
      <c r="GON33" s="66"/>
      <c r="GOO33" s="66"/>
      <c r="GOP33" s="66"/>
      <c r="GOQ33" s="66"/>
      <c r="GOR33" s="66"/>
      <c r="GOS33" s="66"/>
      <c r="GOT33" s="66"/>
      <c r="GOU33" s="66"/>
      <c r="GOV33" s="66"/>
      <c r="GOW33" s="66"/>
      <c r="GOX33" s="66"/>
      <c r="GOY33" s="66"/>
      <c r="GOZ33" s="66"/>
      <c r="GPA33" s="66"/>
      <c r="GPB33" s="66"/>
      <c r="GPC33" s="66"/>
      <c r="GPD33" s="66"/>
      <c r="GPE33" s="66"/>
      <c r="GPF33" s="66"/>
      <c r="GPG33" s="66"/>
      <c r="GPH33" s="66"/>
      <c r="GPI33" s="66"/>
      <c r="GPJ33" s="66"/>
      <c r="GPK33" s="66"/>
      <c r="GPL33" s="66"/>
      <c r="GPM33" s="66"/>
      <c r="GPN33" s="66"/>
      <c r="GPO33" s="66"/>
      <c r="GPP33" s="66"/>
      <c r="GPQ33" s="66"/>
      <c r="GPR33" s="66"/>
      <c r="GPS33" s="66"/>
      <c r="GPT33" s="66"/>
      <c r="GPU33" s="66"/>
      <c r="GPV33" s="66"/>
      <c r="GPW33" s="66"/>
      <c r="GPX33" s="66"/>
      <c r="GPY33" s="66"/>
      <c r="GPZ33" s="66"/>
      <c r="GQA33" s="66"/>
      <c r="GQB33" s="66"/>
      <c r="GQC33" s="66"/>
      <c r="GQD33" s="66"/>
      <c r="GQE33" s="66"/>
      <c r="GQF33" s="66"/>
      <c r="GQG33" s="66"/>
      <c r="GQH33" s="66"/>
      <c r="GQI33" s="66"/>
      <c r="GQJ33" s="66"/>
      <c r="GQK33" s="66"/>
      <c r="GQL33" s="66"/>
      <c r="GQM33" s="66"/>
      <c r="GQN33" s="66"/>
      <c r="GQO33" s="66"/>
      <c r="GQP33" s="66"/>
      <c r="GQQ33" s="66"/>
      <c r="GQR33" s="66"/>
      <c r="GQS33" s="66"/>
      <c r="GQT33" s="66"/>
      <c r="GQU33" s="66"/>
      <c r="GQV33" s="66"/>
      <c r="GQW33" s="66"/>
      <c r="GQX33" s="66"/>
      <c r="GQY33" s="66"/>
      <c r="GQZ33" s="66"/>
      <c r="GRA33" s="66"/>
      <c r="GRB33" s="66"/>
      <c r="GRC33" s="66"/>
      <c r="GRD33" s="66"/>
      <c r="GRE33" s="66"/>
      <c r="GRF33" s="66"/>
      <c r="GRG33" s="66"/>
      <c r="GRH33" s="66"/>
      <c r="GRI33" s="66"/>
      <c r="GRJ33" s="66"/>
      <c r="GRK33" s="66"/>
      <c r="GRL33" s="66"/>
      <c r="GRM33" s="66"/>
      <c r="GRN33" s="66"/>
      <c r="GRO33" s="66"/>
      <c r="GRP33" s="66"/>
      <c r="GRQ33" s="66"/>
      <c r="GRR33" s="66"/>
      <c r="GRS33" s="66"/>
      <c r="GRT33" s="66"/>
      <c r="GRU33" s="66"/>
      <c r="GRV33" s="66"/>
      <c r="GRW33" s="66"/>
      <c r="GRX33" s="66"/>
      <c r="GRY33" s="66"/>
      <c r="GRZ33" s="66"/>
      <c r="GSA33" s="66"/>
      <c r="GSB33" s="66"/>
      <c r="GSC33" s="66"/>
      <c r="GSD33" s="66"/>
      <c r="GSE33" s="66"/>
      <c r="GSF33" s="66"/>
      <c r="GSG33" s="66"/>
      <c r="GSH33" s="66"/>
      <c r="GSI33" s="66"/>
      <c r="GSJ33" s="66"/>
      <c r="GSK33" s="66"/>
      <c r="GSL33" s="66"/>
      <c r="GSM33" s="66"/>
      <c r="GSN33" s="66"/>
      <c r="GSO33" s="66"/>
      <c r="GSP33" s="66"/>
      <c r="GSQ33" s="66"/>
      <c r="GSR33" s="66"/>
      <c r="GSS33" s="66"/>
      <c r="GST33" s="66"/>
      <c r="GSU33" s="66"/>
      <c r="GSV33" s="66"/>
      <c r="GSW33" s="66"/>
      <c r="GSX33" s="66"/>
      <c r="GSY33" s="66"/>
      <c r="GSZ33" s="66"/>
      <c r="GTA33" s="66"/>
      <c r="GTB33" s="66"/>
      <c r="GTC33" s="66"/>
      <c r="GTD33" s="66"/>
      <c r="GTE33" s="66"/>
      <c r="GTF33" s="66"/>
      <c r="GTG33" s="66"/>
      <c r="GTH33" s="66"/>
      <c r="GTI33" s="66"/>
      <c r="GTJ33" s="66"/>
      <c r="GTK33" s="66"/>
      <c r="GTL33" s="66"/>
      <c r="GTM33" s="66"/>
      <c r="GTN33" s="66"/>
      <c r="GTO33" s="66"/>
      <c r="GTP33" s="66"/>
      <c r="GTQ33" s="66"/>
      <c r="GTR33" s="66"/>
      <c r="GTS33" s="66"/>
      <c r="GTT33" s="66"/>
      <c r="GTU33" s="66"/>
      <c r="GTV33" s="66"/>
      <c r="GTW33" s="66"/>
      <c r="GTX33" s="66"/>
      <c r="GTY33" s="66"/>
      <c r="GTZ33" s="66"/>
      <c r="GUA33" s="66"/>
      <c r="GUB33" s="66"/>
      <c r="GUC33" s="66"/>
      <c r="GUD33" s="66"/>
      <c r="GUE33" s="66"/>
      <c r="GUF33" s="66"/>
      <c r="GUG33" s="66"/>
      <c r="GUH33" s="66"/>
      <c r="GUI33" s="66"/>
      <c r="GUJ33" s="66"/>
      <c r="GUK33" s="66"/>
      <c r="GUL33" s="66"/>
      <c r="GUM33" s="66"/>
      <c r="GUN33" s="66"/>
      <c r="GUO33" s="66"/>
      <c r="GUP33" s="66"/>
      <c r="GUQ33" s="66"/>
      <c r="GUR33" s="66"/>
      <c r="GUS33" s="66"/>
      <c r="GUT33" s="66"/>
      <c r="GUU33" s="66"/>
      <c r="GUV33" s="66"/>
      <c r="GUW33" s="66"/>
      <c r="GUX33" s="66"/>
      <c r="GUY33" s="66"/>
      <c r="GUZ33" s="66"/>
      <c r="GVA33" s="66"/>
      <c r="GVB33" s="66"/>
      <c r="GVC33" s="66"/>
      <c r="GVD33" s="66"/>
      <c r="GVE33" s="66"/>
      <c r="GVF33" s="66"/>
      <c r="GVG33" s="66"/>
      <c r="GVH33" s="66"/>
      <c r="GVI33" s="66"/>
      <c r="GVJ33" s="66"/>
      <c r="GVK33" s="66"/>
      <c r="GVL33" s="66"/>
      <c r="GVM33" s="66"/>
      <c r="GVN33" s="66"/>
      <c r="GVO33" s="66"/>
      <c r="GVP33" s="66"/>
      <c r="GVQ33" s="66"/>
      <c r="GVR33" s="66"/>
      <c r="GVS33" s="66"/>
      <c r="GVT33" s="66"/>
      <c r="GVU33" s="66"/>
      <c r="GVV33" s="66"/>
      <c r="GVW33" s="66"/>
      <c r="GVX33" s="66"/>
      <c r="GVY33" s="66"/>
      <c r="GVZ33" s="66"/>
      <c r="GWA33" s="66"/>
      <c r="GWB33" s="66"/>
      <c r="GWC33" s="66"/>
      <c r="GWD33" s="66"/>
      <c r="GWE33" s="66"/>
      <c r="GWF33" s="66"/>
      <c r="GWG33" s="66"/>
      <c r="GWH33" s="66"/>
      <c r="GWI33" s="66"/>
      <c r="GWJ33" s="66"/>
      <c r="GWK33" s="66"/>
      <c r="GWL33" s="66"/>
      <c r="GWM33" s="66"/>
      <c r="GWN33" s="66"/>
      <c r="GWO33" s="66"/>
      <c r="GWP33" s="66"/>
      <c r="GWQ33" s="66"/>
      <c r="GWR33" s="66"/>
      <c r="GWS33" s="66"/>
      <c r="GWT33" s="66"/>
      <c r="GWU33" s="66"/>
      <c r="GWV33" s="66"/>
      <c r="GWW33" s="66"/>
      <c r="GWX33" s="66"/>
      <c r="GWY33" s="66"/>
      <c r="GWZ33" s="66"/>
      <c r="GXA33" s="66"/>
      <c r="GXB33" s="66"/>
      <c r="GXC33" s="66"/>
      <c r="GXD33" s="66"/>
      <c r="GXE33" s="66"/>
      <c r="GXF33" s="66"/>
      <c r="GXG33" s="66"/>
      <c r="GXH33" s="66"/>
      <c r="GXI33" s="66"/>
      <c r="GXJ33" s="66"/>
      <c r="GXK33" s="66"/>
      <c r="GXL33" s="66"/>
      <c r="GXM33" s="66"/>
      <c r="GXN33" s="66"/>
      <c r="GXO33" s="66"/>
      <c r="GXP33" s="66"/>
      <c r="GXQ33" s="66"/>
      <c r="GXR33" s="66"/>
      <c r="GXS33" s="66"/>
      <c r="GXT33" s="66"/>
      <c r="GXU33" s="66"/>
      <c r="GXV33" s="66"/>
      <c r="GXW33" s="66"/>
      <c r="GXX33" s="66"/>
      <c r="GXY33" s="66"/>
      <c r="GXZ33" s="66"/>
      <c r="GYA33" s="66"/>
      <c r="GYB33" s="66"/>
      <c r="GYC33" s="66"/>
      <c r="GYD33" s="66"/>
      <c r="GYE33" s="66"/>
      <c r="GYF33" s="66"/>
      <c r="GYG33" s="66"/>
      <c r="GYH33" s="66"/>
      <c r="GYI33" s="66"/>
      <c r="GYJ33" s="66"/>
      <c r="GYK33" s="66"/>
      <c r="GYL33" s="66"/>
      <c r="GYM33" s="66"/>
      <c r="GYN33" s="66"/>
      <c r="GYO33" s="66"/>
      <c r="GYP33" s="66"/>
      <c r="GYQ33" s="66"/>
      <c r="GYR33" s="66"/>
      <c r="GYS33" s="66"/>
      <c r="GYT33" s="66"/>
      <c r="GYU33" s="66"/>
      <c r="GYV33" s="66"/>
      <c r="GYW33" s="66"/>
      <c r="GYX33" s="66"/>
      <c r="GYY33" s="66"/>
      <c r="GYZ33" s="66"/>
      <c r="GZA33" s="66"/>
      <c r="GZB33" s="66"/>
      <c r="GZC33" s="66"/>
      <c r="GZD33" s="66"/>
      <c r="GZE33" s="66"/>
      <c r="GZF33" s="66"/>
      <c r="GZG33" s="66"/>
      <c r="GZH33" s="66"/>
      <c r="GZI33" s="66"/>
      <c r="GZJ33" s="66"/>
      <c r="GZK33" s="66"/>
      <c r="GZL33" s="66"/>
      <c r="GZM33" s="66"/>
      <c r="GZN33" s="66"/>
      <c r="GZO33" s="66"/>
      <c r="GZP33" s="66"/>
      <c r="GZQ33" s="66"/>
      <c r="GZR33" s="66"/>
      <c r="GZS33" s="66"/>
      <c r="GZT33" s="66"/>
      <c r="GZU33" s="66"/>
      <c r="GZV33" s="66"/>
      <c r="GZW33" s="66"/>
      <c r="GZX33" s="66"/>
      <c r="GZY33" s="66"/>
      <c r="GZZ33" s="66"/>
      <c r="HAA33" s="66"/>
      <c r="HAB33" s="66"/>
      <c r="HAC33" s="66"/>
      <c r="HAD33" s="66"/>
      <c r="HAE33" s="66"/>
      <c r="HAF33" s="66"/>
      <c r="HAG33" s="66"/>
      <c r="HAH33" s="66"/>
      <c r="HAI33" s="66"/>
      <c r="HAJ33" s="66"/>
      <c r="HAK33" s="66"/>
      <c r="HAL33" s="66"/>
      <c r="HAM33" s="66"/>
      <c r="HAN33" s="66"/>
      <c r="HAO33" s="66"/>
      <c r="HAP33" s="66"/>
      <c r="HAQ33" s="66"/>
      <c r="HAR33" s="66"/>
      <c r="HAS33" s="66"/>
      <c r="HAT33" s="66"/>
      <c r="HAU33" s="66"/>
      <c r="HAV33" s="66"/>
      <c r="HAW33" s="66"/>
      <c r="HAX33" s="66"/>
      <c r="HAY33" s="66"/>
      <c r="HAZ33" s="66"/>
      <c r="HBA33" s="66"/>
      <c r="HBB33" s="66"/>
      <c r="HBC33" s="66"/>
      <c r="HBD33" s="66"/>
      <c r="HBE33" s="66"/>
      <c r="HBF33" s="66"/>
      <c r="HBG33" s="66"/>
      <c r="HBH33" s="66"/>
      <c r="HBI33" s="66"/>
      <c r="HBJ33" s="66"/>
      <c r="HBK33" s="66"/>
      <c r="HBL33" s="66"/>
      <c r="HBM33" s="66"/>
      <c r="HBN33" s="66"/>
      <c r="HBO33" s="66"/>
      <c r="HBP33" s="66"/>
      <c r="HBQ33" s="66"/>
      <c r="HBR33" s="66"/>
      <c r="HBS33" s="66"/>
      <c r="HBT33" s="66"/>
      <c r="HBU33" s="66"/>
      <c r="HBV33" s="66"/>
      <c r="HBW33" s="66"/>
      <c r="HBX33" s="66"/>
      <c r="HBY33" s="66"/>
      <c r="HBZ33" s="66"/>
      <c r="HCA33" s="66"/>
      <c r="HCB33" s="66"/>
      <c r="HCC33" s="66"/>
      <c r="HCD33" s="66"/>
      <c r="HCE33" s="66"/>
      <c r="HCF33" s="66"/>
      <c r="HCG33" s="66"/>
      <c r="HCH33" s="66"/>
      <c r="HCI33" s="66"/>
      <c r="HCJ33" s="66"/>
      <c r="HCK33" s="66"/>
      <c r="HCL33" s="66"/>
      <c r="HCM33" s="66"/>
      <c r="HCN33" s="66"/>
      <c r="HCO33" s="66"/>
      <c r="HCP33" s="66"/>
      <c r="HCQ33" s="66"/>
      <c r="HCR33" s="66"/>
      <c r="HCS33" s="66"/>
      <c r="HCT33" s="66"/>
      <c r="HCU33" s="66"/>
      <c r="HCV33" s="66"/>
      <c r="HCW33" s="66"/>
      <c r="HCX33" s="66"/>
      <c r="HCY33" s="66"/>
      <c r="HCZ33" s="66"/>
      <c r="HDA33" s="66"/>
      <c r="HDB33" s="66"/>
      <c r="HDC33" s="66"/>
      <c r="HDD33" s="66"/>
      <c r="HDE33" s="66"/>
      <c r="HDF33" s="66"/>
      <c r="HDG33" s="66"/>
      <c r="HDH33" s="66"/>
      <c r="HDI33" s="66"/>
      <c r="HDJ33" s="66"/>
      <c r="HDK33" s="66"/>
      <c r="HDL33" s="66"/>
      <c r="HDM33" s="66"/>
      <c r="HDN33" s="66"/>
      <c r="HDO33" s="66"/>
      <c r="HDP33" s="66"/>
      <c r="HDQ33" s="66"/>
      <c r="HDR33" s="66"/>
      <c r="HDS33" s="66"/>
      <c r="HDT33" s="66"/>
      <c r="HDU33" s="66"/>
      <c r="HDV33" s="66"/>
      <c r="HDW33" s="66"/>
      <c r="HDX33" s="66"/>
      <c r="HDY33" s="66"/>
      <c r="HDZ33" s="66"/>
      <c r="HEA33" s="66"/>
      <c r="HEB33" s="66"/>
      <c r="HEC33" s="66"/>
      <c r="HED33" s="66"/>
      <c r="HEE33" s="66"/>
      <c r="HEF33" s="66"/>
      <c r="HEG33" s="66"/>
      <c r="HEH33" s="66"/>
      <c r="HEI33" s="66"/>
      <c r="HEJ33" s="66"/>
      <c r="HEK33" s="66"/>
      <c r="HEL33" s="66"/>
      <c r="HEM33" s="66"/>
      <c r="HEN33" s="66"/>
      <c r="HEO33" s="66"/>
      <c r="HEP33" s="66"/>
      <c r="HEQ33" s="66"/>
      <c r="HER33" s="66"/>
      <c r="HES33" s="66"/>
      <c r="HET33" s="66"/>
      <c r="HEU33" s="66"/>
      <c r="HEV33" s="66"/>
      <c r="HEW33" s="66"/>
      <c r="HEX33" s="66"/>
      <c r="HEY33" s="66"/>
      <c r="HEZ33" s="66"/>
      <c r="HFA33" s="66"/>
      <c r="HFB33" s="66"/>
      <c r="HFC33" s="66"/>
      <c r="HFD33" s="66"/>
      <c r="HFE33" s="66"/>
      <c r="HFF33" s="66"/>
      <c r="HFG33" s="66"/>
      <c r="HFH33" s="66"/>
      <c r="HFI33" s="66"/>
      <c r="HFJ33" s="66"/>
      <c r="HFK33" s="66"/>
      <c r="HFL33" s="66"/>
      <c r="HFM33" s="66"/>
      <c r="HFN33" s="66"/>
      <c r="HFO33" s="66"/>
      <c r="HFP33" s="66"/>
      <c r="HFQ33" s="66"/>
      <c r="HFR33" s="66"/>
      <c r="HFS33" s="66"/>
      <c r="HFT33" s="66"/>
      <c r="HFU33" s="66"/>
      <c r="HFV33" s="66"/>
      <c r="HFW33" s="66"/>
      <c r="HFX33" s="66"/>
      <c r="HFY33" s="66"/>
      <c r="HFZ33" s="66"/>
      <c r="HGA33" s="66"/>
      <c r="HGB33" s="66"/>
      <c r="HGC33" s="66"/>
      <c r="HGD33" s="66"/>
      <c r="HGE33" s="66"/>
      <c r="HGF33" s="66"/>
      <c r="HGG33" s="66"/>
      <c r="HGH33" s="66"/>
      <c r="HGI33" s="66"/>
      <c r="HGJ33" s="66"/>
      <c r="HGK33" s="66"/>
      <c r="HGL33" s="66"/>
      <c r="HGM33" s="66"/>
      <c r="HGN33" s="66"/>
      <c r="HGO33" s="66"/>
      <c r="HGP33" s="66"/>
      <c r="HGQ33" s="66"/>
      <c r="HGR33" s="66"/>
      <c r="HGS33" s="66"/>
      <c r="HGT33" s="66"/>
      <c r="HGU33" s="66"/>
      <c r="HGV33" s="66"/>
      <c r="HGW33" s="66"/>
      <c r="HGX33" s="66"/>
      <c r="HGY33" s="66"/>
      <c r="HGZ33" s="66"/>
      <c r="HHA33" s="66"/>
      <c r="HHB33" s="66"/>
      <c r="HHC33" s="66"/>
      <c r="HHD33" s="66"/>
      <c r="HHE33" s="66"/>
      <c r="HHF33" s="66"/>
      <c r="HHG33" s="66"/>
      <c r="HHH33" s="66"/>
      <c r="HHI33" s="66"/>
      <c r="HHJ33" s="66"/>
      <c r="HHK33" s="66"/>
      <c r="HHL33" s="66"/>
      <c r="HHM33" s="66"/>
      <c r="HHN33" s="66"/>
      <c r="HHO33" s="66"/>
      <c r="HHP33" s="66"/>
      <c r="HHQ33" s="66"/>
      <c r="HHR33" s="66"/>
      <c r="HHS33" s="66"/>
      <c r="HHT33" s="66"/>
      <c r="HHU33" s="66"/>
      <c r="HHV33" s="66"/>
      <c r="HHW33" s="66"/>
      <c r="HHX33" s="66"/>
      <c r="HHY33" s="66"/>
      <c r="HHZ33" s="66"/>
      <c r="HIA33" s="66"/>
      <c r="HIB33" s="66"/>
      <c r="HIC33" s="66"/>
      <c r="HID33" s="66"/>
      <c r="HIE33" s="66"/>
      <c r="HIF33" s="66"/>
      <c r="HIG33" s="66"/>
      <c r="HIH33" s="66"/>
      <c r="HII33" s="66"/>
      <c r="HIJ33" s="66"/>
      <c r="HIK33" s="66"/>
      <c r="HIL33" s="66"/>
      <c r="HIM33" s="66"/>
      <c r="HIN33" s="66"/>
      <c r="HIO33" s="66"/>
      <c r="HIP33" s="66"/>
      <c r="HIQ33" s="66"/>
      <c r="HIR33" s="66"/>
      <c r="HIS33" s="66"/>
      <c r="HIT33" s="66"/>
      <c r="HIU33" s="66"/>
      <c r="HIV33" s="66"/>
      <c r="HIW33" s="66"/>
      <c r="HIX33" s="66"/>
      <c r="HIY33" s="66"/>
      <c r="HIZ33" s="66"/>
      <c r="HJA33" s="66"/>
      <c r="HJB33" s="66"/>
      <c r="HJC33" s="66"/>
      <c r="HJD33" s="66"/>
      <c r="HJE33" s="66"/>
      <c r="HJF33" s="66"/>
      <c r="HJG33" s="66"/>
      <c r="HJH33" s="66"/>
      <c r="HJI33" s="66"/>
      <c r="HJJ33" s="66"/>
      <c r="HJK33" s="66"/>
      <c r="HJL33" s="66"/>
      <c r="HJM33" s="66"/>
      <c r="HJN33" s="66"/>
      <c r="HJO33" s="66"/>
      <c r="HJP33" s="66"/>
      <c r="HJQ33" s="66"/>
      <c r="HJR33" s="66"/>
      <c r="HJS33" s="66"/>
      <c r="HJT33" s="66"/>
      <c r="HJU33" s="66"/>
      <c r="HJV33" s="66"/>
      <c r="HJW33" s="66"/>
      <c r="HJX33" s="66"/>
      <c r="HJY33" s="66"/>
      <c r="HJZ33" s="66"/>
      <c r="HKA33" s="66"/>
      <c r="HKB33" s="66"/>
      <c r="HKC33" s="66"/>
      <c r="HKD33" s="66"/>
      <c r="HKE33" s="66"/>
      <c r="HKF33" s="66"/>
      <c r="HKG33" s="66"/>
      <c r="HKH33" s="66"/>
      <c r="HKI33" s="66"/>
      <c r="HKJ33" s="66"/>
      <c r="HKK33" s="66"/>
      <c r="HKL33" s="66"/>
      <c r="HKM33" s="66"/>
      <c r="HKN33" s="66"/>
      <c r="HKO33" s="66"/>
      <c r="HKP33" s="66"/>
      <c r="HKQ33" s="66"/>
      <c r="HKR33" s="66"/>
      <c r="HKS33" s="66"/>
      <c r="HKT33" s="66"/>
      <c r="HKU33" s="66"/>
      <c r="HKV33" s="66"/>
      <c r="HKW33" s="66"/>
      <c r="HKX33" s="66"/>
      <c r="HKY33" s="66"/>
      <c r="HKZ33" s="66"/>
      <c r="HLA33" s="66"/>
      <c r="HLB33" s="66"/>
      <c r="HLC33" s="66"/>
      <c r="HLD33" s="66"/>
      <c r="HLE33" s="66"/>
      <c r="HLF33" s="66"/>
      <c r="HLG33" s="66"/>
      <c r="HLH33" s="66"/>
      <c r="HLI33" s="66"/>
      <c r="HLJ33" s="66"/>
      <c r="HLK33" s="66"/>
      <c r="HLL33" s="66"/>
      <c r="HLM33" s="66"/>
      <c r="HLN33" s="66"/>
      <c r="HLO33" s="66"/>
      <c r="HLP33" s="66"/>
      <c r="HLQ33" s="66"/>
      <c r="HLR33" s="66"/>
      <c r="HLS33" s="66"/>
      <c r="HLT33" s="66"/>
      <c r="HLU33" s="66"/>
      <c r="HLV33" s="66"/>
      <c r="HLW33" s="66"/>
      <c r="HLX33" s="66"/>
      <c r="HLY33" s="66"/>
      <c r="HLZ33" s="66"/>
      <c r="HMA33" s="66"/>
      <c r="HMB33" s="66"/>
      <c r="HMC33" s="66"/>
      <c r="HMD33" s="66"/>
      <c r="HME33" s="66"/>
      <c r="HMF33" s="66"/>
      <c r="HMG33" s="66"/>
      <c r="HMH33" s="66"/>
      <c r="HMI33" s="66"/>
      <c r="HMJ33" s="66"/>
      <c r="HMK33" s="66"/>
      <c r="HML33" s="66"/>
      <c r="HMM33" s="66"/>
      <c r="HMN33" s="66"/>
      <c r="HMO33" s="66"/>
      <c r="HMP33" s="66"/>
      <c r="HMQ33" s="66"/>
      <c r="HMR33" s="66"/>
      <c r="HMS33" s="66"/>
      <c r="HMT33" s="66"/>
      <c r="HMU33" s="66"/>
      <c r="HMV33" s="66"/>
      <c r="HMW33" s="66"/>
      <c r="HMX33" s="66"/>
      <c r="HMY33" s="66"/>
      <c r="HMZ33" s="66"/>
      <c r="HNA33" s="66"/>
      <c r="HNB33" s="66"/>
      <c r="HNC33" s="66"/>
      <c r="HND33" s="66"/>
      <c r="HNE33" s="66"/>
      <c r="HNF33" s="66"/>
      <c r="HNG33" s="66"/>
      <c r="HNH33" s="66"/>
      <c r="HNI33" s="66"/>
      <c r="HNJ33" s="66"/>
      <c r="HNK33" s="66"/>
      <c r="HNL33" s="66"/>
      <c r="HNM33" s="66"/>
      <c r="HNN33" s="66"/>
      <c r="HNO33" s="66"/>
      <c r="HNP33" s="66"/>
      <c r="HNQ33" s="66"/>
      <c r="HNR33" s="66"/>
      <c r="HNS33" s="66"/>
      <c r="HNT33" s="66"/>
      <c r="HNU33" s="66"/>
      <c r="HNV33" s="66"/>
      <c r="HNW33" s="66"/>
      <c r="HNX33" s="66"/>
      <c r="HNY33" s="66"/>
      <c r="HNZ33" s="66"/>
      <c r="HOA33" s="66"/>
      <c r="HOB33" s="66"/>
      <c r="HOC33" s="66"/>
      <c r="HOD33" s="66"/>
      <c r="HOE33" s="66"/>
      <c r="HOF33" s="66"/>
      <c r="HOG33" s="66"/>
      <c r="HOH33" s="66"/>
      <c r="HOI33" s="66"/>
      <c r="HOJ33" s="66"/>
      <c r="HOK33" s="66"/>
      <c r="HOL33" s="66"/>
      <c r="HOM33" s="66"/>
      <c r="HON33" s="66"/>
      <c r="HOO33" s="66"/>
      <c r="HOP33" s="66"/>
      <c r="HOQ33" s="66"/>
      <c r="HOR33" s="66"/>
      <c r="HOS33" s="66"/>
      <c r="HOT33" s="66"/>
      <c r="HOU33" s="66"/>
      <c r="HOV33" s="66"/>
      <c r="HOW33" s="66"/>
      <c r="HOX33" s="66"/>
      <c r="HOY33" s="66"/>
      <c r="HOZ33" s="66"/>
      <c r="HPA33" s="66"/>
      <c r="HPB33" s="66"/>
      <c r="HPC33" s="66"/>
      <c r="HPD33" s="66"/>
      <c r="HPE33" s="66"/>
      <c r="HPF33" s="66"/>
      <c r="HPG33" s="66"/>
      <c r="HPH33" s="66"/>
      <c r="HPI33" s="66"/>
      <c r="HPJ33" s="66"/>
      <c r="HPK33" s="66"/>
      <c r="HPL33" s="66"/>
      <c r="HPM33" s="66"/>
      <c r="HPN33" s="66"/>
      <c r="HPO33" s="66"/>
      <c r="HPP33" s="66"/>
      <c r="HPQ33" s="66"/>
      <c r="HPR33" s="66"/>
      <c r="HPS33" s="66"/>
      <c r="HPT33" s="66"/>
      <c r="HPU33" s="66"/>
      <c r="HPV33" s="66"/>
      <c r="HPW33" s="66"/>
      <c r="HPX33" s="66"/>
      <c r="HPY33" s="66"/>
      <c r="HPZ33" s="66"/>
      <c r="HQA33" s="66"/>
      <c r="HQB33" s="66"/>
      <c r="HQC33" s="66"/>
      <c r="HQD33" s="66"/>
      <c r="HQE33" s="66"/>
      <c r="HQF33" s="66"/>
      <c r="HQG33" s="66"/>
      <c r="HQH33" s="66"/>
      <c r="HQI33" s="66"/>
      <c r="HQJ33" s="66"/>
      <c r="HQK33" s="66"/>
      <c r="HQL33" s="66"/>
      <c r="HQM33" s="66"/>
      <c r="HQN33" s="66"/>
      <c r="HQO33" s="66"/>
      <c r="HQP33" s="66"/>
      <c r="HQQ33" s="66"/>
      <c r="HQR33" s="66"/>
      <c r="HQS33" s="66"/>
      <c r="HQT33" s="66"/>
      <c r="HQU33" s="66"/>
      <c r="HQV33" s="66"/>
      <c r="HQW33" s="66"/>
      <c r="HQX33" s="66"/>
      <c r="HQY33" s="66"/>
      <c r="HQZ33" s="66"/>
      <c r="HRA33" s="66"/>
      <c r="HRB33" s="66"/>
      <c r="HRC33" s="66"/>
      <c r="HRD33" s="66"/>
      <c r="HRE33" s="66"/>
      <c r="HRF33" s="66"/>
      <c r="HRG33" s="66"/>
      <c r="HRH33" s="66"/>
      <c r="HRI33" s="66"/>
      <c r="HRJ33" s="66"/>
      <c r="HRK33" s="66"/>
      <c r="HRL33" s="66"/>
      <c r="HRM33" s="66"/>
      <c r="HRN33" s="66"/>
      <c r="HRO33" s="66"/>
      <c r="HRP33" s="66"/>
      <c r="HRQ33" s="66"/>
      <c r="HRR33" s="66"/>
      <c r="HRS33" s="66"/>
      <c r="HRT33" s="66"/>
      <c r="HRU33" s="66"/>
      <c r="HRV33" s="66"/>
      <c r="HRW33" s="66"/>
      <c r="HRX33" s="66"/>
      <c r="HRY33" s="66"/>
      <c r="HRZ33" s="66"/>
      <c r="HSA33" s="66"/>
      <c r="HSB33" s="66"/>
      <c r="HSC33" s="66"/>
      <c r="HSD33" s="66"/>
      <c r="HSE33" s="66"/>
      <c r="HSF33" s="66"/>
      <c r="HSG33" s="66"/>
      <c r="HSH33" s="66"/>
      <c r="HSI33" s="66"/>
      <c r="HSJ33" s="66"/>
      <c r="HSK33" s="66"/>
      <c r="HSL33" s="66"/>
      <c r="HSM33" s="66"/>
      <c r="HSN33" s="66"/>
      <c r="HSO33" s="66"/>
      <c r="HSP33" s="66"/>
      <c r="HSQ33" s="66"/>
      <c r="HSR33" s="66"/>
      <c r="HSS33" s="66"/>
      <c r="HST33" s="66"/>
      <c r="HSU33" s="66"/>
      <c r="HSV33" s="66"/>
      <c r="HSW33" s="66"/>
      <c r="HSX33" s="66"/>
      <c r="HSY33" s="66"/>
      <c r="HSZ33" s="66"/>
      <c r="HTA33" s="66"/>
      <c r="HTB33" s="66"/>
      <c r="HTC33" s="66"/>
      <c r="HTD33" s="66"/>
      <c r="HTE33" s="66"/>
      <c r="HTF33" s="66"/>
      <c r="HTG33" s="66"/>
      <c r="HTH33" s="66"/>
      <c r="HTI33" s="66"/>
      <c r="HTJ33" s="66"/>
      <c r="HTK33" s="66"/>
      <c r="HTL33" s="66"/>
      <c r="HTM33" s="66"/>
      <c r="HTN33" s="66"/>
      <c r="HTO33" s="66"/>
      <c r="HTP33" s="66"/>
      <c r="HTQ33" s="66"/>
      <c r="HTR33" s="66"/>
      <c r="HTS33" s="66"/>
      <c r="HTT33" s="66"/>
      <c r="HTU33" s="66"/>
      <c r="HTV33" s="66"/>
      <c r="HTW33" s="66"/>
      <c r="HTX33" s="66"/>
      <c r="HTY33" s="66"/>
      <c r="HTZ33" s="66"/>
      <c r="HUA33" s="66"/>
      <c r="HUB33" s="66"/>
      <c r="HUC33" s="66"/>
      <c r="HUD33" s="66"/>
      <c r="HUE33" s="66"/>
      <c r="HUF33" s="66"/>
      <c r="HUG33" s="66"/>
      <c r="HUH33" s="66"/>
      <c r="HUI33" s="66"/>
      <c r="HUJ33" s="66"/>
      <c r="HUK33" s="66"/>
      <c r="HUL33" s="66"/>
      <c r="HUM33" s="66"/>
      <c r="HUN33" s="66"/>
      <c r="HUO33" s="66"/>
      <c r="HUP33" s="66"/>
      <c r="HUQ33" s="66"/>
      <c r="HUR33" s="66"/>
      <c r="HUS33" s="66"/>
      <c r="HUT33" s="66"/>
      <c r="HUU33" s="66"/>
      <c r="HUV33" s="66"/>
      <c r="HUW33" s="66"/>
      <c r="HUX33" s="66"/>
      <c r="HUY33" s="66"/>
      <c r="HUZ33" s="66"/>
      <c r="HVA33" s="66"/>
      <c r="HVB33" s="66"/>
      <c r="HVC33" s="66"/>
      <c r="HVD33" s="66"/>
      <c r="HVE33" s="66"/>
      <c r="HVF33" s="66"/>
      <c r="HVG33" s="66"/>
      <c r="HVH33" s="66"/>
      <c r="HVI33" s="66"/>
      <c r="HVJ33" s="66"/>
      <c r="HVK33" s="66"/>
      <c r="HVL33" s="66"/>
      <c r="HVM33" s="66"/>
      <c r="HVN33" s="66"/>
      <c r="HVO33" s="66"/>
      <c r="HVP33" s="66"/>
      <c r="HVQ33" s="66"/>
      <c r="HVR33" s="66"/>
      <c r="HVS33" s="66"/>
      <c r="HVT33" s="66"/>
      <c r="HVU33" s="66"/>
      <c r="HVV33" s="66"/>
      <c r="HVW33" s="66"/>
      <c r="HVX33" s="66"/>
      <c r="HVY33" s="66"/>
      <c r="HVZ33" s="66"/>
      <c r="HWA33" s="66"/>
      <c r="HWB33" s="66"/>
      <c r="HWC33" s="66"/>
      <c r="HWD33" s="66"/>
      <c r="HWE33" s="66"/>
      <c r="HWF33" s="66"/>
      <c r="HWG33" s="66"/>
      <c r="HWH33" s="66"/>
      <c r="HWI33" s="66"/>
      <c r="HWJ33" s="66"/>
      <c r="HWK33" s="66"/>
      <c r="HWL33" s="66"/>
      <c r="HWM33" s="66"/>
      <c r="HWN33" s="66"/>
      <c r="HWO33" s="66"/>
      <c r="HWP33" s="66"/>
      <c r="HWQ33" s="66"/>
      <c r="HWR33" s="66"/>
      <c r="HWS33" s="66"/>
      <c r="HWT33" s="66"/>
      <c r="HWU33" s="66"/>
      <c r="HWV33" s="66"/>
      <c r="HWW33" s="66"/>
      <c r="HWX33" s="66"/>
      <c r="HWY33" s="66"/>
      <c r="HWZ33" s="66"/>
      <c r="HXA33" s="66"/>
      <c r="HXB33" s="66"/>
      <c r="HXC33" s="66"/>
      <c r="HXD33" s="66"/>
      <c r="HXE33" s="66"/>
      <c r="HXF33" s="66"/>
      <c r="HXG33" s="66"/>
      <c r="HXH33" s="66"/>
      <c r="HXI33" s="66"/>
      <c r="HXJ33" s="66"/>
      <c r="HXK33" s="66"/>
      <c r="HXL33" s="66"/>
      <c r="HXM33" s="66"/>
      <c r="HXN33" s="66"/>
      <c r="HXO33" s="66"/>
      <c r="HXP33" s="66"/>
      <c r="HXQ33" s="66"/>
      <c r="HXR33" s="66"/>
      <c r="HXS33" s="66"/>
      <c r="HXT33" s="66"/>
      <c r="HXU33" s="66"/>
      <c r="HXV33" s="66"/>
      <c r="HXW33" s="66"/>
      <c r="HXX33" s="66"/>
      <c r="HXY33" s="66"/>
      <c r="HXZ33" s="66"/>
      <c r="HYA33" s="66"/>
      <c r="HYB33" s="66"/>
      <c r="HYC33" s="66"/>
      <c r="HYD33" s="66"/>
      <c r="HYE33" s="66"/>
      <c r="HYF33" s="66"/>
      <c r="HYG33" s="66"/>
      <c r="HYH33" s="66"/>
      <c r="HYI33" s="66"/>
      <c r="HYJ33" s="66"/>
      <c r="HYK33" s="66"/>
      <c r="HYL33" s="66"/>
      <c r="HYM33" s="66"/>
      <c r="HYN33" s="66"/>
      <c r="HYO33" s="66"/>
      <c r="HYP33" s="66"/>
      <c r="HYQ33" s="66"/>
      <c r="HYR33" s="66"/>
      <c r="HYS33" s="66"/>
      <c r="HYT33" s="66"/>
      <c r="HYU33" s="66"/>
      <c r="HYV33" s="66"/>
      <c r="HYW33" s="66"/>
      <c r="HYX33" s="66"/>
      <c r="HYY33" s="66"/>
      <c r="HYZ33" s="66"/>
      <c r="HZA33" s="66"/>
      <c r="HZB33" s="66"/>
      <c r="HZC33" s="66"/>
      <c r="HZD33" s="66"/>
      <c r="HZE33" s="66"/>
      <c r="HZF33" s="66"/>
      <c r="HZG33" s="66"/>
      <c r="HZH33" s="66"/>
      <c r="HZI33" s="66"/>
      <c r="HZJ33" s="66"/>
      <c r="HZK33" s="66"/>
      <c r="HZL33" s="66"/>
      <c r="HZM33" s="66"/>
      <c r="HZN33" s="66"/>
      <c r="HZO33" s="66"/>
      <c r="HZP33" s="66"/>
      <c r="HZQ33" s="66"/>
      <c r="HZR33" s="66"/>
      <c r="HZS33" s="66"/>
      <c r="HZT33" s="66"/>
      <c r="HZU33" s="66"/>
      <c r="HZV33" s="66"/>
      <c r="HZW33" s="66"/>
      <c r="HZX33" s="66"/>
      <c r="HZY33" s="66"/>
      <c r="HZZ33" s="66"/>
      <c r="IAA33" s="66"/>
      <c r="IAB33" s="66"/>
      <c r="IAC33" s="66"/>
      <c r="IAD33" s="66"/>
      <c r="IAE33" s="66"/>
      <c r="IAF33" s="66"/>
      <c r="IAG33" s="66"/>
      <c r="IAH33" s="66"/>
      <c r="IAI33" s="66"/>
      <c r="IAJ33" s="66"/>
      <c r="IAK33" s="66"/>
      <c r="IAL33" s="66"/>
      <c r="IAM33" s="66"/>
      <c r="IAN33" s="66"/>
      <c r="IAO33" s="66"/>
      <c r="IAP33" s="66"/>
      <c r="IAQ33" s="66"/>
      <c r="IAR33" s="66"/>
      <c r="IAS33" s="66"/>
      <c r="IAT33" s="66"/>
      <c r="IAU33" s="66"/>
      <c r="IAV33" s="66"/>
      <c r="IAW33" s="66"/>
      <c r="IAX33" s="66"/>
      <c r="IAY33" s="66"/>
      <c r="IAZ33" s="66"/>
      <c r="IBA33" s="66"/>
      <c r="IBB33" s="66"/>
      <c r="IBC33" s="66"/>
      <c r="IBD33" s="66"/>
      <c r="IBE33" s="66"/>
      <c r="IBF33" s="66"/>
      <c r="IBG33" s="66"/>
      <c r="IBH33" s="66"/>
      <c r="IBI33" s="66"/>
      <c r="IBJ33" s="66"/>
      <c r="IBK33" s="66"/>
      <c r="IBL33" s="66"/>
      <c r="IBM33" s="66"/>
      <c r="IBN33" s="66"/>
      <c r="IBO33" s="66"/>
      <c r="IBP33" s="66"/>
      <c r="IBQ33" s="66"/>
      <c r="IBR33" s="66"/>
      <c r="IBS33" s="66"/>
      <c r="IBT33" s="66"/>
      <c r="IBU33" s="66"/>
      <c r="IBV33" s="66"/>
      <c r="IBW33" s="66"/>
      <c r="IBX33" s="66"/>
      <c r="IBY33" s="66"/>
      <c r="IBZ33" s="66"/>
      <c r="ICA33" s="66"/>
      <c r="ICB33" s="66"/>
      <c r="ICC33" s="66"/>
      <c r="ICD33" s="66"/>
      <c r="ICE33" s="66"/>
      <c r="ICF33" s="66"/>
      <c r="ICG33" s="66"/>
      <c r="ICH33" s="66"/>
      <c r="ICI33" s="66"/>
      <c r="ICJ33" s="66"/>
      <c r="ICK33" s="66"/>
      <c r="ICL33" s="66"/>
      <c r="ICM33" s="66"/>
      <c r="ICN33" s="66"/>
      <c r="ICO33" s="66"/>
      <c r="ICP33" s="66"/>
      <c r="ICQ33" s="66"/>
      <c r="ICR33" s="66"/>
      <c r="ICS33" s="66"/>
      <c r="ICT33" s="66"/>
      <c r="ICU33" s="66"/>
      <c r="ICV33" s="66"/>
      <c r="ICW33" s="66"/>
      <c r="ICX33" s="66"/>
      <c r="ICY33" s="66"/>
      <c r="ICZ33" s="66"/>
      <c r="IDA33" s="66"/>
      <c r="IDB33" s="66"/>
      <c r="IDC33" s="66"/>
      <c r="IDD33" s="66"/>
      <c r="IDE33" s="66"/>
      <c r="IDF33" s="66"/>
      <c r="IDG33" s="66"/>
      <c r="IDH33" s="66"/>
      <c r="IDI33" s="66"/>
      <c r="IDJ33" s="66"/>
      <c r="IDK33" s="66"/>
      <c r="IDL33" s="66"/>
      <c r="IDM33" s="66"/>
      <c r="IDN33" s="66"/>
      <c r="IDO33" s="66"/>
      <c r="IDP33" s="66"/>
      <c r="IDQ33" s="66"/>
      <c r="IDR33" s="66"/>
      <c r="IDS33" s="66"/>
      <c r="IDT33" s="66"/>
      <c r="IDU33" s="66"/>
      <c r="IDV33" s="66"/>
      <c r="IDW33" s="66"/>
      <c r="IDX33" s="66"/>
      <c r="IDY33" s="66"/>
      <c r="IDZ33" s="66"/>
      <c r="IEA33" s="66"/>
      <c r="IEB33" s="66"/>
      <c r="IEC33" s="66"/>
      <c r="IED33" s="66"/>
      <c r="IEE33" s="66"/>
      <c r="IEF33" s="66"/>
      <c r="IEG33" s="66"/>
      <c r="IEH33" s="66"/>
      <c r="IEI33" s="66"/>
      <c r="IEJ33" s="66"/>
      <c r="IEK33" s="66"/>
      <c r="IEL33" s="66"/>
      <c r="IEM33" s="66"/>
      <c r="IEN33" s="66"/>
      <c r="IEO33" s="66"/>
      <c r="IEP33" s="66"/>
      <c r="IEQ33" s="66"/>
      <c r="IER33" s="66"/>
      <c r="IES33" s="66"/>
      <c r="IET33" s="66"/>
      <c r="IEU33" s="66"/>
      <c r="IEV33" s="66"/>
      <c r="IEW33" s="66"/>
      <c r="IEX33" s="66"/>
      <c r="IEY33" s="66"/>
      <c r="IEZ33" s="66"/>
      <c r="IFA33" s="66"/>
      <c r="IFB33" s="66"/>
      <c r="IFC33" s="66"/>
      <c r="IFD33" s="66"/>
      <c r="IFE33" s="66"/>
      <c r="IFF33" s="66"/>
      <c r="IFG33" s="66"/>
      <c r="IFH33" s="66"/>
      <c r="IFI33" s="66"/>
      <c r="IFJ33" s="66"/>
      <c r="IFK33" s="66"/>
      <c r="IFL33" s="66"/>
      <c r="IFM33" s="66"/>
      <c r="IFN33" s="66"/>
      <c r="IFO33" s="66"/>
      <c r="IFP33" s="66"/>
      <c r="IFQ33" s="66"/>
      <c r="IFR33" s="66"/>
      <c r="IFS33" s="66"/>
      <c r="IFT33" s="66"/>
      <c r="IFU33" s="66"/>
      <c r="IFV33" s="66"/>
      <c r="IFW33" s="66"/>
      <c r="IFX33" s="66"/>
      <c r="IFY33" s="66"/>
      <c r="IFZ33" s="66"/>
      <c r="IGA33" s="66"/>
      <c r="IGB33" s="66"/>
      <c r="IGC33" s="66"/>
      <c r="IGD33" s="66"/>
      <c r="IGE33" s="66"/>
      <c r="IGF33" s="66"/>
      <c r="IGG33" s="66"/>
      <c r="IGH33" s="66"/>
      <c r="IGI33" s="66"/>
      <c r="IGJ33" s="66"/>
      <c r="IGK33" s="66"/>
      <c r="IGL33" s="66"/>
      <c r="IGM33" s="66"/>
      <c r="IGN33" s="66"/>
      <c r="IGO33" s="66"/>
      <c r="IGP33" s="66"/>
      <c r="IGQ33" s="66"/>
      <c r="IGR33" s="66"/>
      <c r="IGS33" s="66"/>
      <c r="IGT33" s="66"/>
      <c r="IGU33" s="66"/>
      <c r="IGV33" s="66"/>
      <c r="IGW33" s="66"/>
      <c r="IGX33" s="66"/>
      <c r="IGY33" s="66"/>
      <c r="IGZ33" s="66"/>
      <c r="IHA33" s="66"/>
      <c r="IHB33" s="66"/>
      <c r="IHC33" s="66"/>
      <c r="IHD33" s="66"/>
      <c r="IHE33" s="66"/>
      <c r="IHF33" s="66"/>
      <c r="IHG33" s="66"/>
      <c r="IHH33" s="66"/>
      <c r="IHI33" s="66"/>
      <c r="IHJ33" s="66"/>
      <c r="IHK33" s="66"/>
      <c r="IHL33" s="66"/>
      <c r="IHM33" s="66"/>
      <c r="IHN33" s="66"/>
      <c r="IHO33" s="66"/>
      <c r="IHP33" s="66"/>
      <c r="IHQ33" s="66"/>
      <c r="IHR33" s="66"/>
      <c r="IHS33" s="66"/>
      <c r="IHT33" s="66"/>
      <c r="IHU33" s="66"/>
      <c r="IHV33" s="66"/>
      <c r="IHW33" s="66"/>
      <c r="IHX33" s="66"/>
      <c r="IHY33" s="66"/>
      <c r="IHZ33" s="66"/>
      <c r="IIA33" s="66"/>
      <c r="IIB33" s="66"/>
      <c r="IIC33" s="66"/>
      <c r="IID33" s="66"/>
      <c r="IIE33" s="66"/>
      <c r="IIF33" s="66"/>
      <c r="IIG33" s="66"/>
      <c r="IIH33" s="66"/>
      <c r="III33" s="66"/>
      <c r="IIJ33" s="66"/>
      <c r="IIK33" s="66"/>
      <c r="IIL33" s="66"/>
      <c r="IIM33" s="66"/>
      <c r="IIN33" s="66"/>
      <c r="IIO33" s="66"/>
      <c r="IIP33" s="66"/>
      <c r="IIQ33" s="66"/>
      <c r="IIR33" s="66"/>
      <c r="IIS33" s="66"/>
      <c r="IIT33" s="66"/>
      <c r="IIU33" s="66"/>
      <c r="IIV33" s="66"/>
      <c r="IIW33" s="66"/>
      <c r="IIX33" s="66"/>
      <c r="IIY33" s="66"/>
      <c r="IIZ33" s="66"/>
      <c r="IJA33" s="66"/>
      <c r="IJB33" s="66"/>
      <c r="IJC33" s="66"/>
      <c r="IJD33" s="66"/>
      <c r="IJE33" s="66"/>
      <c r="IJF33" s="66"/>
      <c r="IJG33" s="66"/>
      <c r="IJH33" s="66"/>
      <c r="IJI33" s="66"/>
      <c r="IJJ33" s="66"/>
      <c r="IJK33" s="66"/>
      <c r="IJL33" s="66"/>
      <c r="IJM33" s="66"/>
      <c r="IJN33" s="66"/>
      <c r="IJO33" s="66"/>
      <c r="IJP33" s="66"/>
      <c r="IJQ33" s="66"/>
      <c r="IJR33" s="66"/>
      <c r="IJS33" s="66"/>
      <c r="IJT33" s="66"/>
      <c r="IJU33" s="66"/>
      <c r="IJV33" s="66"/>
      <c r="IJW33" s="66"/>
      <c r="IJX33" s="66"/>
      <c r="IJY33" s="66"/>
      <c r="IJZ33" s="66"/>
      <c r="IKA33" s="66"/>
      <c r="IKB33" s="66"/>
      <c r="IKC33" s="66"/>
      <c r="IKD33" s="66"/>
      <c r="IKE33" s="66"/>
      <c r="IKF33" s="66"/>
      <c r="IKG33" s="66"/>
      <c r="IKH33" s="66"/>
      <c r="IKI33" s="66"/>
      <c r="IKJ33" s="66"/>
      <c r="IKK33" s="66"/>
      <c r="IKL33" s="66"/>
      <c r="IKM33" s="66"/>
      <c r="IKN33" s="66"/>
      <c r="IKO33" s="66"/>
      <c r="IKP33" s="66"/>
      <c r="IKQ33" s="66"/>
      <c r="IKR33" s="66"/>
      <c r="IKS33" s="66"/>
      <c r="IKT33" s="66"/>
      <c r="IKU33" s="66"/>
      <c r="IKV33" s="66"/>
      <c r="IKW33" s="66"/>
      <c r="IKX33" s="66"/>
      <c r="IKY33" s="66"/>
      <c r="IKZ33" s="66"/>
      <c r="ILA33" s="66"/>
      <c r="ILB33" s="66"/>
      <c r="ILC33" s="66"/>
      <c r="ILD33" s="66"/>
      <c r="ILE33" s="66"/>
      <c r="ILF33" s="66"/>
      <c r="ILG33" s="66"/>
      <c r="ILH33" s="66"/>
      <c r="ILI33" s="66"/>
      <c r="ILJ33" s="66"/>
      <c r="ILK33" s="66"/>
      <c r="ILL33" s="66"/>
      <c r="ILM33" s="66"/>
      <c r="ILN33" s="66"/>
      <c r="ILO33" s="66"/>
      <c r="ILP33" s="66"/>
      <c r="ILQ33" s="66"/>
      <c r="ILR33" s="66"/>
      <c r="ILS33" s="66"/>
      <c r="ILT33" s="66"/>
      <c r="ILU33" s="66"/>
      <c r="ILV33" s="66"/>
      <c r="ILW33" s="66"/>
      <c r="ILX33" s="66"/>
      <c r="ILY33" s="66"/>
      <c r="ILZ33" s="66"/>
      <c r="IMA33" s="66"/>
      <c r="IMB33" s="66"/>
      <c r="IMC33" s="66"/>
      <c r="IMD33" s="66"/>
      <c r="IME33" s="66"/>
      <c r="IMF33" s="66"/>
      <c r="IMG33" s="66"/>
      <c r="IMH33" s="66"/>
      <c r="IMI33" s="66"/>
      <c r="IMJ33" s="66"/>
      <c r="IMK33" s="66"/>
      <c r="IML33" s="66"/>
      <c r="IMM33" s="66"/>
      <c r="IMN33" s="66"/>
      <c r="IMO33" s="66"/>
      <c r="IMP33" s="66"/>
      <c r="IMQ33" s="66"/>
      <c r="IMR33" s="66"/>
      <c r="IMS33" s="66"/>
      <c r="IMT33" s="66"/>
      <c r="IMU33" s="66"/>
      <c r="IMV33" s="66"/>
      <c r="IMW33" s="66"/>
      <c r="IMX33" s="66"/>
      <c r="IMY33" s="66"/>
      <c r="IMZ33" s="66"/>
      <c r="INA33" s="66"/>
      <c r="INB33" s="66"/>
      <c r="INC33" s="66"/>
      <c r="IND33" s="66"/>
      <c r="INE33" s="66"/>
      <c r="INF33" s="66"/>
      <c r="ING33" s="66"/>
      <c r="INH33" s="66"/>
      <c r="INI33" s="66"/>
      <c r="INJ33" s="66"/>
      <c r="INK33" s="66"/>
      <c r="INL33" s="66"/>
      <c r="INM33" s="66"/>
      <c r="INN33" s="66"/>
      <c r="INO33" s="66"/>
      <c r="INP33" s="66"/>
      <c r="INQ33" s="66"/>
      <c r="INR33" s="66"/>
      <c r="INS33" s="66"/>
      <c r="INT33" s="66"/>
      <c r="INU33" s="66"/>
      <c r="INV33" s="66"/>
      <c r="INW33" s="66"/>
      <c r="INX33" s="66"/>
      <c r="INY33" s="66"/>
      <c r="INZ33" s="66"/>
      <c r="IOA33" s="66"/>
      <c r="IOB33" s="66"/>
      <c r="IOC33" s="66"/>
      <c r="IOD33" s="66"/>
      <c r="IOE33" s="66"/>
      <c r="IOF33" s="66"/>
      <c r="IOG33" s="66"/>
      <c r="IOH33" s="66"/>
      <c r="IOI33" s="66"/>
      <c r="IOJ33" s="66"/>
      <c r="IOK33" s="66"/>
      <c r="IOL33" s="66"/>
      <c r="IOM33" s="66"/>
      <c r="ION33" s="66"/>
      <c r="IOO33" s="66"/>
      <c r="IOP33" s="66"/>
      <c r="IOQ33" s="66"/>
      <c r="IOR33" s="66"/>
      <c r="IOS33" s="66"/>
      <c r="IOT33" s="66"/>
      <c r="IOU33" s="66"/>
      <c r="IOV33" s="66"/>
      <c r="IOW33" s="66"/>
      <c r="IOX33" s="66"/>
      <c r="IOY33" s="66"/>
      <c r="IOZ33" s="66"/>
      <c r="IPA33" s="66"/>
      <c r="IPB33" s="66"/>
      <c r="IPC33" s="66"/>
      <c r="IPD33" s="66"/>
      <c r="IPE33" s="66"/>
      <c r="IPF33" s="66"/>
      <c r="IPG33" s="66"/>
      <c r="IPH33" s="66"/>
      <c r="IPI33" s="66"/>
      <c r="IPJ33" s="66"/>
      <c r="IPK33" s="66"/>
      <c r="IPL33" s="66"/>
      <c r="IPM33" s="66"/>
      <c r="IPN33" s="66"/>
      <c r="IPO33" s="66"/>
      <c r="IPP33" s="66"/>
      <c r="IPQ33" s="66"/>
      <c r="IPR33" s="66"/>
      <c r="IPS33" s="66"/>
      <c r="IPT33" s="66"/>
      <c r="IPU33" s="66"/>
      <c r="IPV33" s="66"/>
      <c r="IPW33" s="66"/>
      <c r="IPX33" s="66"/>
      <c r="IPY33" s="66"/>
      <c r="IPZ33" s="66"/>
      <c r="IQA33" s="66"/>
      <c r="IQB33" s="66"/>
      <c r="IQC33" s="66"/>
      <c r="IQD33" s="66"/>
      <c r="IQE33" s="66"/>
      <c r="IQF33" s="66"/>
      <c r="IQG33" s="66"/>
      <c r="IQH33" s="66"/>
      <c r="IQI33" s="66"/>
      <c r="IQJ33" s="66"/>
      <c r="IQK33" s="66"/>
      <c r="IQL33" s="66"/>
      <c r="IQM33" s="66"/>
      <c r="IQN33" s="66"/>
      <c r="IQO33" s="66"/>
      <c r="IQP33" s="66"/>
      <c r="IQQ33" s="66"/>
      <c r="IQR33" s="66"/>
      <c r="IQS33" s="66"/>
      <c r="IQT33" s="66"/>
      <c r="IQU33" s="66"/>
      <c r="IQV33" s="66"/>
      <c r="IQW33" s="66"/>
      <c r="IQX33" s="66"/>
      <c r="IQY33" s="66"/>
      <c r="IQZ33" s="66"/>
      <c r="IRA33" s="66"/>
      <c r="IRB33" s="66"/>
      <c r="IRC33" s="66"/>
      <c r="IRD33" s="66"/>
      <c r="IRE33" s="66"/>
      <c r="IRF33" s="66"/>
      <c r="IRG33" s="66"/>
      <c r="IRH33" s="66"/>
      <c r="IRI33" s="66"/>
      <c r="IRJ33" s="66"/>
      <c r="IRK33" s="66"/>
      <c r="IRL33" s="66"/>
      <c r="IRM33" s="66"/>
      <c r="IRN33" s="66"/>
      <c r="IRO33" s="66"/>
      <c r="IRP33" s="66"/>
      <c r="IRQ33" s="66"/>
      <c r="IRR33" s="66"/>
      <c r="IRS33" s="66"/>
      <c r="IRT33" s="66"/>
      <c r="IRU33" s="66"/>
      <c r="IRV33" s="66"/>
      <c r="IRW33" s="66"/>
      <c r="IRX33" s="66"/>
      <c r="IRY33" s="66"/>
      <c r="IRZ33" s="66"/>
      <c r="ISA33" s="66"/>
      <c r="ISB33" s="66"/>
      <c r="ISC33" s="66"/>
      <c r="ISD33" s="66"/>
      <c r="ISE33" s="66"/>
      <c r="ISF33" s="66"/>
      <c r="ISG33" s="66"/>
      <c r="ISH33" s="66"/>
      <c r="ISI33" s="66"/>
      <c r="ISJ33" s="66"/>
      <c r="ISK33" s="66"/>
      <c r="ISL33" s="66"/>
      <c r="ISM33" s="66"/>
      <c r="ISN33" s="66"/>
      <c r="ISO33" s="66"/>
      <c r="ISP33" s="66"/>
      <c r="ISQ33" s="66"/>
      <c r="ISR33" s="66"/>
      <c r="ISS33" s="66"/>
      <c r="IST33" s="66"/>
      <c r="ISU33" s="66"/>
      <c r="ISV33" s="66"/>
      <c r="ISW33" s="66"/>
      <c r="ISX33" s="66"/>
      <c r="ISY33" s="66"/>
      <c r="ISZ33" s="66"/>
      <c r="ITA33" s="66"/>
      <c r="ITB33" s="66"/>
      <c r="ITC33" s="66"/>
      <c r="ITD33" s="66"/>
      <c r="ITE33" s="66"/>
      <c r="ITF33" s="66"/>
      <c r="ITG33" s="66"/>
      <c r="ITH33" s="66"/>
      <c r="ITI33" s="66"/>
      <c r="ITJ33" s="66"/>
      <c r="ITK33" s="66"/>
      <c r="ITL33" s="66"/>
      <c r="ITM33" s="66"/>
      <c r="ITN33" s="66"/>
      <c r="ITO33" s="66"/>
      <c r="ITP33" s="66"/>
      <c r="ITQ33" s="66"/>
      <c r="ITR33" s="66"/>
      <c r="ITS33" s="66"/>
      <c r="ITT33" s="66"/>
      <c r="ITU33" s="66"/>
      <c r="ITV33" s="66"/>
      <c r="ITW33" s="66"/>
      <c r="ITX33" s="66"/>
      <c r="ITY33" s="66"/>
      <c r="ITZ33" s="66"/>
      <c r="IUA33" s="66"/>
      <c r="IUB33" s="66"/>
      <c r="IUC33" s="66"/>
      <c r="IUD33" s="66"/>
      <c r="IUE33" s="66"/>
      <c r="IUF33" s="66"/>
      <c r="IUG33" s="66"/>
      <c r="IUH33" s="66"/>
      <c r="IUI33" s="66"/>
      <c r="IUJ33" s="66"/>
      <c r="IUK33" s="66"/>
      <c r="IUL33" s="66"/>
      <c r="IUM33" s="66"/>
      <c r="IUN33" s="66"/>
      <c r="IUO33" s="66"/>
      <c r="IUP33" s="66"/>
      <c r="IUQ33" s="66"/>
      <c r="IUR33" s="66"/>
      <c r="IUS33" s="66"/>
      <c r="IUT33" s="66"/>
      <c r="IUU33" s="66"/>
      <c r="IUV33" s="66"/>
      <c r="IUW33" s="66"/>
      <c r="IUX33" s="66"/>
      <c r="IUY33" s="66"/>
      <c r="IUZ33" s="66"/>
      <c r="IVA33" s="66"/>
      <c r="IVB33" s="66"/>
      <c r="IVC33" s="66"/>
      <c r="IVD33" s="66"/>
      <c r="IVE33" s="66"/>
      <c r="IVF33" s="66"/>
      <c r="IVG33" s="66"/>
      <c r="IVH33" s="66"/>
      <c r="IVI33" s="66"/>
      <c r="IVJ33" s="66"/>
      <c r="IVK33" s="66"/>
      <c r="IVL33" s="66"/>
      <c r="IVM33" s="66"/>
      <c r="IVN33" s="66"/>
      <c r="IVO33" s="66"/>
      <c r="IVP33" s="66"/>
      <c r="IVQ33" s="66"/>
      <c r="IVR33" s="66"/>
      <c r="IVS33" s="66"/>
      <c r="IVT33" s="66"/>
      <c r="IVU33" s="66"/>
      <c r="IVV33" s="66"/>
      <c r="IVW33" s="66"/>
      <c r="IVX33" s="66"/>
      <c r="IVY33" s="66"/>
      <c r="IVZ33" s="66"/>
      <c r="IWA33" s="66"/>
      <c r="IWB33" s="66"/>
      <c r="IWC33" s="66"/>
      <c r="IWD33" s="66"/>
      <c r="IWE33" s="66"/>
      <c r="IWF33" s="66"/>
      <c r="IWG33" s="66"/>
      <c r="IWH33" s="66"/>
      <c r="IWI33" s="66"/>
      <c r="IWJ33" s="66"/>
      <c r="IWK33" s="66"/>
      <c r="IWL33" s="66"/>
      <c r="IWM33" s="66"/>
      <c r="IWN33" s="66"/>
      <c r="IWO33" s="66"/>
      <c r="IWP33" s="66"/>
      <c r="IWQ33" s="66"/>
      <c r="IWR33" s="66"/>
      <c r="IWS33" s="66"/>
      <c r="IWT33" s="66"/>
      <c r="IWU33" s="66"/>
      <c r="IWV33" s="66"/>
      <c r="IWW33" s="66"/>
      <c r="IWX33" s="66"/>
      <c r="IWY33" s="66"/>
      <c r="IWZ33" s="66"/>
      <c r="IXA33" s="66"/>
      <c r="IXB33" s="66"/>
      <c r="IXC33" s="66"/>
      <c r="IXD33" s="66"/>
      <c r="IXE33" s="66"/>
      <c r="IXF33" s="66"/>
      <c r="IXG33" s="66"/>
      <c r="IXH33" s="66"/>
      <c r="IXI33" s="66"/>
      <c r="IXJ33" s="66"/>
      <c r="IXK33" s="66"/>
      <c r="IXL33" s="66"/>
      <c r="IXM33" s="66"/>
      <c r="IXN33" s="66"/>
      <c r="IXO33" s="66"/>
      <c r="IXP33" s="66"/>
      <c r="IXQ33" s="66"/>
      <c r="IXR33" s="66"/>
      <c r="IXS33" s="66"/>
      <c r="IXT33" s="66"/>
      <c r="IXU33" s="66"/>
      <c r="IXV33" s="66"/>
      <c r="IXW33" s="66"/>
      <c r="IXX33" s="66"/>
      <c r="IXY33" s="66"/>
      <c r="IXZ33" s="66"/>
      <c r="IYA33" s="66"/>
      <c r="IYB33" s="66"/>
      <c r="IYC33" s="66"/>
      <c r="IYD33" s="66"/>
      <c r="IYE33" s="66"/>
      <c r="IYF33" s="66"/>
      <c r="IYG33" s="66"/>
      <c r="IYH33" s="66"/>
      <c r="IYI33" s="66"/>
      <c r="IYJ33" s="66"/>
      <c r="IYK33" s="66"/>
      <c r="IYL33" s="66"/>
      <c r="IYM33" s="66"/>
      <c r="IYN33" s="66"/>
      <c r="IYO33" s="66"/>
      <c r="IYP33" s="66"/>
      <c r="IYQ33" s="66"/>
      <c r="IYR33" s="66"/>
      <c r="IYS33" s="66"/>
      <c r="IYT33" s="66"/>
      <c r="IYU33" s="66"/>
      <c r="IYV33" s="66"/>
      <c r="IYW33" s="66"/>
      <c r="IYX33" s="66"/>
      <c r="IYY33" s="66"/>
      <c r="IYZ33" s="66"/>
      <c r="IZA33" s="66"/>
      <c r="IZB33" s="66"/>
      <c r="IZC33" s="66"/>
      <c r="IZD33" s="66"/>
      <c r="IZE33" s="66"/>
      <c r="IZF33" s="66"/>
      <c r="IZG33" s="66"/>
      <c r="IZH33" s="66"/>
      <c r="IZI33" s="66"/>
      <c r="IZJ33" s="66"/>
      <c r="IZK33" s="66"/>
      <c r="IZL33" s="66"/>
      <c r="IZM33" s="66"/>
      <c r="IZN33" s="66"/>
      <c r="IZO33" s="66"/>
      <c r="IZP33" s="66"/>
      <c r="IZQ33" s="66"/>
      <c r="IZR33" s="66"/>
      <c r="IZS33" s="66"/>
      <c r="IZT33" s="66"/>
      <c r="IZU33" s="66"/>
      <c r="IZV33" s="66"/>
      <c r="IZW33" s="66"/>
      <c r="IZX33" s="66"/>
      <c r="IZY33" s="66"/>
      <c r="IZZ33" s="66"/>
      <c r="JAA33" s="66"/>
      <c r="JAB33" s="66"/>
      <c r="JAC33" s="66"/>
      <c r="JAD33" s="66"/>
      <c r="JAE33" s="66"/>
      <c r="JAF33" s="66"/>
      <c r="JAG33" s="66"/>
      <c r="JAH33" s="66"/>
      <c r="JAI33" s="66"/>
      <c r="JAJ33" s="66"/>
      <c r="JAK33" s="66"/>
      <c r="JAL33" s="66"/>
      <c r="JAM33" s="66"/>
      <c r="JAN33" s="66"/>
      <c r="JAO33" s="66"/>
      <c r="JAP33" s="66"/>
      <c r="JAQ33" s="66"/>
      <c r="JAR33" s="66"/>
      <c r="JAS33" s="66"/>
      <c r="JAT33" s="66"/>
      <c r="JAU33" s="66"/>
      <c r="JAV33" s="66"/>
      <c r="JAW33" s="66"/>
      <c r="JAX33" s="66"/>
      <c r="JAY33" s="66"/>
      <c r="JAZ33" s="66"/>
      <c r="JBA33" s="66"/>
      <c r="JBB33" s="66"/>
      <c r="JBC33" s="66"/>
      <c r="JBD33" s="66"/>
      <c r="JBE33" s="66"/>
      <c r="JBF33" s="66"/>
      <c r="JBG33" s="66"/>
      <c r="JBH33" s="66"/>
      <c r="JBI33" s="66"/>
      <c r="JBJ33" s="66"/>
      <c r="JBK33" s="66"/>
      <c r="JBL33" s="66"/>
      <c r="JBM33" s="66"/>
      <c r="JBN33" s="66"/>
      <c r="JBO33" s="66"/>
      <c r="JBP33" s="66"/>
      <c r="JBQ33" s="66"/>
      <c r="JBR33" s="66"/>
      <c r="JBS33" s="66"/>
      <c r="JBT33" s="66"/>
      <c r="JBU33" s="66"/>
      <c r="JBV33" s="66"/>
      <c r="JBW33" s="66"/>
      <c r="JBX33" s="66"/>
      <c r="JBY33" s="66"/>
      <c r="JBZ33" s="66"/>
      <c r="JCA33" s="66"/>
      <c r="JCB33" s="66"/>
      <c r="JCC33" s="66"/>
      <c r="JCD33" s="66"/>
      <c r="JCE33" s="66"/>
      <c r="JCF33" s="66"/>
      <c r="JCG33" s="66"/>
      <c r="JCH33" s="66"/>
      <c r="JCI33" s="66"/>
      <c r="JCJ33" s="66"/>
      <c r="JCK33" s="66"/>
      <c r="JCL33" s="66"/>
      <c r="JCM33" s="66"/>
      <c r="JCN33" s="66"/>
      <c r="JCO33" s="66"/>
      <c r="JCP33" s="66"/>
      <c r="JCQ33" s="66"/>
      <c r="JCR33" s="66"/>
      <c r="JCS33" s="66"/>
      <c r="JCT33" s="66"/>
      <c r="JCU33" s="66"/>
      <c r="JCV33" s="66"/>
      <c r="JCW33" s="66"/>
      <c r="JCX33" s="66"/>
      <c r="JCY33" s="66"/>
      <c r="JCZ33" s="66"/>
      <c r="JDA33" s="66"/>
      <c r="JDB33" s="66"/>
      <c r="JDC33" s="66"/>
      <c r="JDD33" s="66"/>
      <c r="JDE33" s="66"/>
      <c r="JDF33" s="66"/>
      <c r="JDG33" s="66"/>
      <c r="JDH33" s="66"/>
      <c r="JDI33" s="66"/>
      <c r="JDJ33" s="66"/>
      <c r="JDK33" s="66"/>
      <c r="JDL33" s="66"/>
      <c r="JDM33" s="66"/>
      <c r="JDN33" s="66"/>
      <c r="JDO33" s="66"/>
      <c r="JDP33" s="66"/>
      <c r="JDQ33" s="66"/>
      <c r="JDR33" s="66"/>
      <c r="JDS33" s="66"/>
      <c r="JDT33" s="66"/>
      <c r="JDU33" s="66"/>
      <c r="JDV33" s="66"/>
      <c r="JDW33" s="66"/>
      <c r="JDX33" s="66"/>
      <c r="JDY33" s="66"/>
      <c r="JDZ33" s="66"/>
      <c r="JEA33" s="66"/>
      <c r="JEB33" s="66"/>
      <c r="JEC33" s="66"/>
      <c r="JED33" s="66"/>
      <c r="JEE33" s="66"/>
      <c r="JEF33" s="66"/>
      <c r="JEG33" s="66"/>
      <c r="JEH33" s="66"/>
      <c r="JEI33" s="66"/>
      <c r="JEJ33" s="66"/>
      <c r="JEK33" s="66"/>
      <c r="JEL33" s="66"/>
      <c r="JEM33" s="66"/>
      <c r="JEN33" s="66"/>
      <c r="JEO33" s="66"/>
      <c r="JEP33" s="66"/>
      <c r="JEQ33" s="66"/>
      <c r="JER33" s="66"/>
      <c r="JES33" s="66"/>
      <c r="JET33" s="66"/>
      <c r="JEU33" s="66"/>
      <c r="JEV33" s="66"/>
      <c r="JEW33" s="66"/>
      <c r="JEX33" s="66"/>
      <c r="JEY33" s="66"/>
      <c r="JEZ33" s="66"/>
      <c r="JFA33" s="66"/>
      <c r="JFB33" s="66"/>
      <c r="JFC33" s="66"/>
      <c r="JFD33" s="66"/>
      <c r="JFE33" s="66"/>
      <c r="JFF33" s="66"/>
      <c r="JFG33" s="66"/>
      <c r="JFH33" s="66"/>
      <c r="JFI33" s="66"/>
      <c r="JFJ33" s="66"/>
      <c r="JFK33" s="66"/>
      <c r="JFL33" s="66"/>
      <c r="JFM33" s="66"/>
      <c r="JFN33" s="66"/>
      <c r="JFO33" s="66"/>
      <c r="JFP33" s="66"/>
      <c r="JFQ33" s="66"/>
      <c r="JFR33" s="66"/>
      <c r="JFS33" s="66"/>
      <c r="JFT33" s="66"/>
      <c r="JFU33" s="66"/>
      <c r="JFV33" s="66"/>
      <c r="JFW33" s="66"/>
      <c r="JFX33" s="66"/>
      <c r="JFY33" s="66"/>
      <c r="JFZ33" s="66"/>
      <c r="JGA33" s="66"/>
      <c r="JGB33" s="66"/>
      <c r="JGC33" s="66"/>
      <c r="JGD33" s="66"/>
      <c r="JGE33" s="66"/>
      <c r="JGF33" s="66"/>
      <c r="JGG33" s="66"/>
      <c r="JGH33" s="66"/>
      <c r="JGI33" s="66"/>
      <c r="JGJ33" s="66"/>
      <c r="JGK33" s="66"/>
      <c r="JGL33" s="66"/>
      <c r="JGM33" s="66"/>
      <c r="JGN33" s="66"/>
      <c r="JGO33" s="66"/>
      <c r="JGP33" s="66"/>
      <c r="JGQ33" s="66"/>
      <c r="JGR33" s="66"/>
      <c r="JGS33" s="66"/>
      <c r="JGT33" s="66"/>
      <c r="JGU33" s="66"/>
      <c r="JGV33" s="66"/>
      <c r="JGW33" s="66"/>
      <c r="JGX33" s="66"/>
      <c r="JGY33" s="66"/>
      <c r="JGZ33" s="66"/>
      <c r="JHA33" s="66"/>
      <c r="JHB33" s="66"/>
      <c r="JHC33" s="66"/>
      <c r="JHD33" s="66"/>
      <c r="JHE33" s="66"/>
      <c r="JHF33" s="66"/>
      <c r="JHG33" s="66"/>
      <c r="JHH33" s="66"/>
      <c r="JHI33" s="66"/>
      <c r="JHJ33" s="66"/>
      <c r="JHK33" s="66"/>
      <c r="JHL33" s="66"/>
      <c r="JHM33" s="66"/>
      <c r="JHN33" s="66"/>
      <c r="JHO33" s="66"/>
      <c r="JHP33" s="66"/>
      <c r="JHQ33" s="66"/>
      <c r="JHR33" s="66"/>
      <c r="JHS33" s="66"/>
      <c r="JHT33" s="66"/>
      <c r="JHU33" s="66"/>
      <c r="JHV33" s="66"/>
      <c r="JHW33" s="66"/>
      <c r="JHX33" s="66"/>
      <c r="JHY33" s="66"/>
      <c r="JHZ33" s="66"/>
      <c r="JIA33" s="66"/>
      <c r="JIB33" s="66"/>
      <c r="JIC33" s="66"/>
      <c r="JID33" s="66"/>
      <c r="JIE33" s="66"/>
      <c r="JIF33" s="66"/>
      <c r="JIG33" s="66"/>
      <c r="JIH33" s="66"/>
      <c r="JII33" s="66"/>
      <c r="JIJ33" s="66"/>
      <c r="JIK33" s="66"/>
      <c r="JIL33" s="66"/>
      <c r="JIM33" s="66"/>
      <c r="JIN33" s="66"/>
      <c r="JIO33" s="66"/>
      <c r="JIP33" s="66"/>
      <c r="JIQ33" s="66"/>
      <c r="JIR33" s="66"/>
      <c r="JIS33" s="66"/>
      <c r="JIT33" s="66"/>
      <c r="JIU33" s="66"/>
      <c r="JIV33" s="66"/>
      <c r="JIW33" s="66"/>
      <c r="JIX33" s="66"/>
      <c r="JIY33" s="66"/>
      <c r="JIZ33" s="66"/>
      <c r="JJA33" s="66"/>
      <c r="JJB33" s="66"/>
      <c r="JJC33" s="66"/>
      <c r="JJD33" s="66"/>
      <c r="JJE33" s="66"/>
      <c r="JJF33" s="66"/>
      <c r="JJG33" s="66"/>
      <c r="JJH33" s="66"/>
      <c r="JJI33" s="66"/>
      <c r="JJJ33" s="66"/>
      <c r="JJK33" s="66"/>
      <c r="JJL33" s="66"/>
      <c r="JJM33" s="66"/>
      <c r="JJN33" s="66"/>
      <c r="JJO33" s="66"/>
      <c r="JJP33" s="66"/>
      <c r="JJQ33" s="66"/>
      <c r="JJR33" s="66"/>
      <c r="JJS33" s="66"/>
      <c r="JJT33" s="66"/>
      <c r="JJU33" s="66"/>
      <c r="JJV33" s="66"/>
      <c r="JJW33" s="66"/>
      <c r="JJX33" s="66"/>
      <c r="JJY33" s="66"/>
      <c r="JJZ33" s="66"/>
      <c r="JKA33" s="66"/>
      <c r="JKB33" s="66"/>
      <c r="JKC33" s="66"/>
      <c r="JKD33" s="66"/>
      <c r="JKE33" s="66"/>
      <c r="JKF33" s="66"/>
      <c r="JKG33" s="66"/>
      <c r="JKH33" s="66"/>
      <c r="JKI33" s="66"/>
      <c r="JKJ33" s="66"/>
      <c r="JKK33" s="66"/>
      <c r="JKL33" s="66"/>
      <c r="JKM33" s="66"/>
      <c r="JKN33" s="66"/>
      <c r="JKO33" s="66"/>
      <c r="JKP33" s="66"/>
      <c r="JKQ33" s="66"/>
      <c r="JKR33" s="66"/>
      <c r="JKS33" s="66"/>
      <c r="JKT33" s="66"/>
      <c r="JKU33" s="66"/>
      <c r="JKV33" s="66"/>
      <c r="JKW33" s="66"/>
      <c r="JKX33" s="66"/>
      <c r="JKY33" s="66"/>
      <c r="JKZ33" s="66"/>
      <c r="JLA33" s="66"/>
      <c r="JLB33" s="66"/>
      <c r="JLC33" s="66"/>
      <c r="JLD33" s="66"/>
      <c r="JLE33" s="66"/>
      <c r="JLF33" s="66"/>
      <c r="JLG33" s="66"/>
      <c r="JLH33" s="66"/>
      <c r="JLI33" s="66"/>
      <c r="JLJ33" s="66"/>
      <c r="JLK33" s="66"/>
      <c r="JLL33" s="66"/>
      <c r="JLM33" s="66"/>
      <c r="JLN33" s="66"/>
      <c r="JLO33" s="66"/>
      <c r="JLP33" s="66"/>
      <c r="JLQ33" s="66"/>
      <c r="JLR33" s="66"/>
      <c r="JLS33" s="66"/>
      <c r="JLT33" s="66"/>
      <c r="JLU33" s="66"/>
      <c r="JLV33" s="66"/>
      <c r="JLW33" s="66"/>
      <c r="JLX33" s="66"/>
      <c r="JLY33" s="66"/>
      <c r="JLZ33" s="66"/>
      <c r="JMA33" s="66"/>
      <c r="JMB33" s="66"/>
      <c r="JMC33" s="66"/>
      <c r="JMD33" s="66"/>
      <c r="JME33" s="66"/>
      <c r="JMF33" s="66"/>
      <c r="JMG33" s="66"/>
      <c r="JMH33" s="66"/>
      <c r="JMI33" s="66"/>
      <c r="JMJ33" s="66"/>
      <c r="JMK33" s="66"/>
      <c r="JML33" s="66"/>
      <c r="JMM33" s="66"/>
      <c r="JMN33" s="66"/>
      <c r="JMO33" s="66"/>
      <c r="JMP33" s="66"/>
      <c r="JMQ33" s="66"/>
      <c r="JMR33" s="66"/>
      <c r="JMS33" s="66"/>
      <c r="JMT33" s="66"/>
      <c r="JMU33" s="66"/>
      <c r="JMV33" s="66"/>
      <c r="JMW33" s="66"/>
      <c r="JMX33" s="66"/>
      <c r="JMY33" s="66"/>
      <c r="JMZ33" s="66"/>
      <c r="JNA33" s="66"/>
      <c r="JNB33" s="66"/>
      <c r="JNC33" s="66"/>
      <c r="JND33" s="66"/>
      <c r="JNE33" s="66"/>
      <c r="JNF33" s="66"/>
      <c r="JNG33" s="66"/>
      <c r="JNH33" s="66"/>
      <c r="JNI33" s="66"/>
      <c r="JNJ33" s="66"/>
      <c r="JNK33" s="66"/>
      <c r="JNL33" s="66"/>
      <c r="JNM33" s="66"/>
      <c r="JNN33" s="66"/>
      <c r="JNO33" s="66"/>
      <c r="JNP33" s="66"/>
      <c r="JNQ33" s="66"/>
      <c r="JNR33" s="66"/>
      <c r="JNS33" s="66"/>
      <c r="JNT33" s="66"/>
      <c r="JNU33" s="66"/>
      <c r="JNV33" s="66"/>
      <c r="JNW33" s="66"/>
      <c r="JNX33" s="66"/>
      <c r="JNY33" s="66"/>
      <c r="JNZ33" s="66"/>
      <c r="JOA33" s="66"/>
      <c r="JOB33" s="66"/>
      <c r="JOC33" s="66"/>
      <c r="JOD33" s="66"/>
      <c r="JOE33" s="66"/>
      <c r="JOF33" s="66"/>
      <c r="JOG33" s="66"/>
      <c r="JOH33" s="66"/>
      <c r="JOI33" s="66"/>
      <c r="JOJ33" s="66"/>
      <c r="JOK33" s="66"/>
      <c r="JOL33" s="66"/>
      <c r="JOM33" s="66"/>
      <c r="JON33" s="66"/>
      <c r="JOO33" s="66"/>
      <c r="JOP33" s="66"/>
      <c r="JOQ33" s="66"/>
      <c r="JOR33" s="66"/>
      <c r="JOS33" s="66"/>
      <c r="JOT33" s="66"/>
      <c r="JOU33" s="66"/>
      <c r="JOV33" s="66"/>
      <c r="JOW33" s="66"/>
      <c r="JOX33" s="66"/>
      <c r="JOY33" s="66"/>
      <c r="JOZ33" s="66"/>
      <c r="JPA33" s="66"/>
      <c r="JPB33" s="66"/>
      <c r="JPC33" s="66"/>
      <c r="JPD33" s="66"/>
      <c r="JPE33" s="66"/>
      <c r="JPF33" s="66"/>
      <c r="JPG33" s="66"/>
      <c r="JPH33" s="66"/>
      <c r="JPI33" s="66"/>
      <c r="JPJ33" s="66"/>
      <c r="JPK33" s="66"/>
      <c r="JPL33" s="66"/>
      <c r="JPM33" s="66"/>
      <c r="JPN33" s="66"/>
      <c r="JPO33" s="66"/>
      <c r="JPP33" s="66"/>
      <c r="JPQ33" s="66"/>
      <c r="JPR33" s="66"/>
      <c r="JPS33" s="66"/>
      <c r="JPT33" s="66"/>
      <c r="JPU33" s="66"/>
      <c r="JPV33" s="66"/>
      <c r="JPW33" s="66"/>
      <c r="JPX33" s="66"/>
      <c r="JPY33" s="66"/>
      <c r="JPZ33" s="66"/>
      <c r="JQA33" s="66"/>
      <c r="JQB33" s="66"/>
      <c r="JQC33" s="66"/>
      <c r="JQD33" s="66"/>
      <c r="JQE33" s="66"/>
      <c r="JQF33" s="66"/>
      <c r="JQG33" s="66"/>
      <c r="JQH33" s="66"/>
      <c r="JQI33" s="66"/>
      <c r="JQJ33" s="66"/>
      <c r="JQK33" s="66"/>
      <c r="JQL33" s="66"/>
      <c r="JQM33" s="66"/>
      <c r="JQN33" s="66"/>
      <c r="JQO33" s="66"/>
      <c r="JQP33" s="66"/>
      <c r="JQQ33" s="66"/>
      <c r="JQR33" s="66"/>
      <c r="JQS33" s="66"/>
      <c r="JQT33" s="66"/>
      <c r="JQU33" s="66"/>
      <c r="JQV33" s="66"/>
      <c r="JQW33" s="66"/>
      <c r="JQX33" s="66"/>
      <c r="JQY33" s="66"/>
      <c r="JQZ33" s="66"/>
      <c r="JRA33" s="66"/>
      <c r="JRB33" s="66"/>
      <c r="JRC33" s="66"/>
      <c r="JRD33" s="66"/>
      <c r="JRE33" s="66"/>
      <c r="JRF33" s="66"/>
      <c r="JRG33" s="66"/>
      <c r="JRH33" s="66"/>
      <c r="JRI33" s="66"/>
      <c r="JRJ33" s="66"/>
      <c r="JRK33" s="66"/>
      <c r="JRL33" s="66"/>
      <c r="JRM33" s="66"/>
      <c r="JRN33" s="66"/>
      <c r="JRO33" s="66"/>
      <c r="JRP33" s="66"/>
      <c r="JRQ33" s="66"/>
      <c r="JRR33" s="66"/>
      <c r="JRS33" s="66"/>
      <c r="JRT33" s="66"/>
      <c r="JRU33" s="66"/>
      <c r="JRV33" s="66"/>
      <c r="JRW33" s="66"/>
      <c r="JRX33" s="66"/>
      <c r="JRY33" s="66"/>
      <c r="JRZ33" s="66"/>
      <c r="JSA33" s="66"/>
      <c r="JSB33" s="66"/>
      <c r="JSC33" s="66"/>
      <c r="JSD33" s="66"/>
      <c r="JSE33" s="66"/>
      <c r="JSF33" s="66"/>
      <c r="JSG33" s="66"/>
      <c r="JSH33" s="66"/>
      <c r="JSI33" s="66"/>
      <c r="JSJ33" s="66"/>
      <c r="JSK33" s="66"/>
      <c r="JSL33" s="66"/>
      <c r="JSM33" s="66"/>
      <c r="JSN33" s="66"/>
      <c r="JSO33" s="66"/>
      <c r="JSP33" s="66"/>
      <c r="JSQ33" s="66"/>
      <c r="JSR33" s="66"/>
      <c r="JSS33" s="66"/>
      <c r="JST33" s="66"/>
      <c r="JSU33" s="66"/>
      <c r="JSV33" s="66"/>
      <c r="JSW33" s="66"/>
      <c r="JSX33" s="66"/>
      <c r="JSY33" s="66"/>
      <c r="JSZ33" s="66"/>
      <c r="JTA33" s="66"/>
      <c r="JTB33" s="66"/>
      <c r="JTC33" s="66"/>
      <c r="JTD33" s="66"/>
      <c r="JTE33" s="66"/>
      <c r="JTF33" s="66"/>
      <c r="JTG33" s="66"/>
      <c r="JTH33" s="66"/>
      <c r="JTI33" s="66"/>
      <c r="JTJ33" s="66"/>
      <c r="JTK33" s="66"/>
      <c r="JTL33" s="66"/>
      <c r="JTM33" s="66"/>
      <c r="JTN33" s="66"/>
      <c r="JTO33" s="66"/>
      <c r="JTP33" s="66"/>
      <c r="JTQ33" s="66"/>
      <c r="JTR33" s="66"/>
      <c r="JTS33" s="66"/>
      <c r="JTT33" s="66"/>
      <c r="JTU33" s="66"/>
      <c r="JTV33" s="66"/>
      <c r="JTW33" s="66"/>
      <c r="JTX33" s="66"/>
      <c r="JTY33" s="66"/>
      <c r="JTZ33" s="66"/>
      <c r="JUA33" s="66"/>
      <c r="JUB33" s="66"/>
      <c r="JUC33" s="66"/>
      <c r="JUD33" s="66"/>
      <c r="JUE33" s="66"/>
      <c r="JUF33" s="66"/>
      <c r="JUG33" s="66"/>
      <c r="JUH33" s="66"/>
      <c r="JUI33" s="66"/>
      <c r="JUJ33" s="66"/>
      <c r="JUK33" s="66"/>
      <c r="JUL33" s="66"/>
      <c r="JUM33" s="66"/>
      <c r="JUN33" s="66"/>
      <c r="JUO33" s="66"/>
      <c r="JUP33" s="66"/>
      <c r="JUQ33" s="66"/>
      <c r="JUR33" s="66"/>
      <c r="JUS33" s="66"/>
      <c r="JUT33" s="66"/>
      <c r="JUU33" s="66"/>
      <c r="JUV33" s="66"/>
      <c r="JUW33" s="66"/>
      <c r="JUX33" s="66"/>
      <c r="JUY33" s="66"/>
      <c r="JUZ33" s="66"/>
      <c r="JVA33" s="66"/>
      <c r="JVB33" s="66"/>
      <c r="JVC33" s="66"/>
      <c r="JVD33" s="66"/>
      <c r="JVE33" s="66"/>
      <c r="JVF33" s="66"/>
      <c r="JVG33" s="66"/>
      <c r="JVH33" s="66"/>
      <c r="JVI33" s="66"/>
      <c r="JVJ33" s="66"/>
      <c r="JVK33" s="66"/>
      <c r="JVL33" s="66"/>
      <c r="JVM33" s="66"/>
      <c r="JVN33" s="66"/>
      <c r="JVO33" s="66"/>
      <c r="JVP33" s="66"/>
      <c r="JVQ33" s="66"/>
      <c r="JVR33" s="66"/>
      <c r="JVS33" s="66"/>
      <c r="JVT33" s="66"/>
      <c r="JVU33" s="66"/>
      <c r="JVV33" s="66"/>
      <c r="JVW33" s="66"/>
      <c r="JVX33" s="66"/>
      <c r="JVY33" s="66"/>
      <c r="JVZ33" s="66"/>
      <c r="JWA33" s="66"/>
      <c r="JWB33" s="66"/>
      <c r="JWC33" s="66"/>
      <c r="JWD33" s="66"/>
      <c r="JWE33" s="66"/>
      <c r="JWF33" s="66"/>
      <c r="JWG33" s="66"/>
      <c r="JWH33" s="66"/>
      <c r="JWI33" s="66"/>
      <c r="JWJ33" s="66"/>
      <c r="JWK33" s="66"/>
      <c r="JWL33" s="66"/>
      <c r="JWM33" s="66"/>
      <c r="JWN33" s="66"/>
      <c r="JWO33" s="66"/>
      <c r="JWP33" s="66"/>
      <c r="JWQ33" s="66"/>
      <c r="JWR33" s="66"/>
      <c r="JWS33" s="66"/>
      <c r="JWT33" s="66"/>
      <c r="JWU33" s="66"/>
      <c r="JWV33" s="66"/>
      <c r="JWW33" s="66"/>
      <c r="JWX33" s="66"/>
      <c r="JWY33" s="66"/>
      <c r="JWZ33" s="66"/>
      <c r="JXA33" s="66"/>
      <c r="JXB33" s="66"/>
      <c r="JXC33" s="66"/>
      <c r="JXD33" s="66"/>
      <c r="JXE33" s="66"/>
      <c r="JXF33" s="66"/>
      <c r="JXG33" s="66"/>
      <c r="JXH33" s="66"/>
      <c r="JXI33" s="66"/>
      <c r="JXJ33" s="66"/>
      <c r="JXK33" s="66"/>
      <c r="JXL33" s="66"/>
      <c r="JXM33" s="66"/>
      <c r="JXN33" s="66"/>
      <c r="JXO33" s="66"/>
      <c r="JXP33" s="66"/>
      <c r="JXQ33" s="66"/>
      <c r="JXR33" s="66"/>
      <c r="JXS33" s="66"/>
      <c r="JXT33" s="66"/>
      <c r="JXU33" s="66"/>
      <c r="JXV33" s="66"/>
      <c r="JXW33" s="66"/>
      <c r="JXX33" s="66"/>
      <c r="JXY33" s="66"/>
      <c r="JXZ33" s="66"/>
      <c r="JYA33" s="66"/>
      <c r="JYB33" s="66"/>
      <c r="JYC33" s="66"/>
      <c r="JYD33" s="66"/>
      <c r="JYE33" s="66"/>
      <c r="JYF33" s="66"/>
      <c r="JYG33" s="66"/>
      <c r="JYH33" s="66"/>
      <c r="JYI33" s="66"/>
      <c r="JYJ33" s="66"/>
      <c r="JYK33" s="66"/>
      <c r="JYL33" s="66"/>
      <c r="JYM33" s="66"/>
      <c r="JYN33" s="66"/>
      <c r="JYO33" s="66"/>
      <c r="JYP33" s="66"/>
      <c r="JYQ33" s="66"/>
      <c r="JYR33" s="66"/>
      <c r="JYS33" s="66"/>
      <c r="JYT33" s="66"/>
      <c r="JYU33" s="66"/>
      <c r="JYV33" s="66"/>
      <c r="JYW33" s="66"/>
      <c r="JYX33" s="66"/>
      <c r="JYY33" s="66"/>
      <c r="JYZ33" s="66"/>
      <c r="JZA33" s="66"/>
      <c r="JZB33" s="66"/>
      <c r="JZC33" s="66"/>
      <c r="JZD33" s="66"/>
      <c r="JZE33" s="66"/>
      <c r="JZF33" s="66"/>
      <c r="JZG33" s="66"/>
      <c r="JZH33" s="66"/>
      <c r="JZI33" s="66"/>
      <c r="JZJ33" s="66"/>
      <c r="JZK33" s="66"/>
      <c r="JZL33" s="66"/>
      <c r="JZM33" s="66"/>
      <c r="JZN33" s="66"/>
      <c r="JZO33" s="66"/>
      <c r="JZP33" s="66"/>
      <c r="JZQ33" s="66"/>
      <c r="JZR33" s="66"/>
      <c r="JZS33" s="66"/>
      <c r="JZT33" s="66"/>
      <c r="JZU33" s="66"/>
      <c r="JZV33" s="66"/>
      <c r="JZW33" s="66"/>
      <c r="JZX33" s="66"/>
      <c r="JZY33" s="66"/>
      <c r="JZZ33" s="66"/>
      <c r="KAA33" s="66"/>
      <c r="KAB33" s="66"/>
      <c r="KAC33" s="66"/>
      <c r="KAD33" s="66"/>
      <c r="KAE33" s="66"/>
      <c r="KAF33" s="66"/>
      <c r="KAG33" s="66"/>
      <c r="KAH33" s="66"/>
      <c r="KAI33" s="66"/>
      <c r="KAJ33" s="66"/>
      <c r="KAK33" s="66"/>
      <c r="KAL33" s="66"/>
      <c r="KAM33" s="66"/>
      <c r="KAN33" s="66"/>
      <c r="KAO33" s="66"/>
      <c r="KAP33" s="66"/>
      <c r="KAQ33" s="66"/>
      <c r="KAR33" s="66"/>
      <c r="KAS33" s="66"/>
      <c r="KAT33" s="66"/>
      <c r="KAU33" s="66"/>
      <c r="KAV33" s="66"/>
      <c r="KAW33" s="66"/>
      <c r="KAX33" s="66"/>
      <c r="KAY33" s="66"/>
      <c r="KAZ33" s="66"/>
      <c r="KBA33" s="66"/>
      <c r="KBB33" s="66"/>
      <c r="KBC33" s="66"/>
      <c r="KBD33" s="66"/>
      <c r="KBE33" s="66"/>
      <c r="KBF33" s="66"/>
      <c r="KBG33" s="66"/>
      <c r="KBH33" s="66"/>
      <c r="KBI33" s="66"/>
      <c r="KBJ33" s="66"/>
      <c r="KBK33" s="66"/>
      <c r="KBL33" s="66"/>
      <c r="KBM33" s="66"/>
      <c r="KBN33" s="66"/>
      <c r="KBO33" s="66"/>
      <c r="KBP33" s="66"/>
      <c r="KBQ33" s="66"/>
      <c r="KBR33" s="66"/>
      <c r="KBS33" s="66"/>
      <c r="KBT33" s="66"/>
      <c r="KBU33" s="66"/>
      <c r="KBV33" s="66"/>
      <c r="KBW33" s="66"/>
      <c r="KBX33" s="66"/>
      <c r="KBY33" s="66"/>
      <c r="KBZ33" s="66"/>
      <c r="KCA33" s="66"/>
      <c r="KCB33" s="66"/>
      <c r="KCC33" s="66"/>
      <c r="KCD33" s="66"/>
      <c r="KCE33" s="66"/>
      <c r="KCF33" s="66"/>
      <c r="KCG33" s="66"/>
      <c r="KCH33" s="66"/>
      <c r="KCI33" s="66"/>
      <c r="KCJ33" s="66"/>
      <c r="KCK33" s="66"/>
      <c r="KCL33" s="66"/>
      <c r="KCM33" s="66"/>
      <c r="KCN33" s="66"/>
      <c r="KCO33" s="66"/>
      <c r="KCP33" s="66"/>
      <c r="KCQ33" s="66"/>
      <c r="KCR33" s="66"/>
      <c r="KCS33" s="66"/>
      <c r="KCT33" s="66"/>
      <c r="KCU33" s="66"/>
      <c r="KCV33" s="66"/>
      <c r="KCW33" s="66"/>
      <c r="KCX33" s="66"/>
      <c r="KCY33" s="66"/>
      <c r="KCZ33" s="66"/>
      <c r="KDA33" s="66"/>
      <c r="KDB33" s="66"/>
      <c r="KDC33" s="66"/>
      <c r="KDD33" s="66"/>
      <c r="KDE33" s="66"/>
      <c r="KDF33" s="66"/>
      <c r="KDG33" s="66"/>
      <c r="KDH33" s="66"/>
      <c r="KDI33" s="66"/>
      <c r="KDJ33" s="66"/>
      <c r="KDK33" s="66"/>
      <c r="KDL33" s="66"/>
      <c r="KDM33" s="66"/>
      <c r="KDN33" s="66"/>
      <c r="KDO33" s="66"/>
      <c r="KDP33" s="66"/>
      <c r="KDQ33" s="66"/>
      <c r="KDR33" s="66"/>
      <c r="KDS33" s="66"/>
      <c r="KDT33" s="66"/>
      <c r="KDU33" s="66"/>
      <c r="KDV33" s="66"/>
      <c r="KDW33" s="66"/>
      <c r="KDX33" s="66"/>
      <c r="KDY33" s="66"/>
      <c r="KDZ33" s="66"/>
      <c r="KEA33" s="66"/>
      <c r="KEB33" s="66"/>
      <c r="KEC33" s="66"/>
      <c r="KED33" s="66"/>
      <c r="KEE33" s="66"/>
      <c r="KEF33" s="66"/>
      <c r="KEG33" s="66"/>
      <c r="KEH33" s="66"/>
      <c r="KEI33" s="66"/>
      <c r="KEJ33" s="66"/>
      <c r="KEK33" s="66"/>
      <c r="KEL33" s="66"/>
      <c r="KEM33" s="66"/>
      <c r="KEN33" s="66"/>
      <c r="KEO33" s="66"/>
      <c r="KEP33" s="66"/>
      <c r="KEQ33" s="66"/>
      <c r="KER33" s="66"/>
      <c r="KES33" s="66"/>
      <c r="KET33" s="66"/>
      <c r="KEU33" s="66"/>
      <c r="KEV33" s="66"/>
      <c r="KEW33" s="66"/>
      <c r="KEX33" s="66"/>
      <c r="KEY33" s="66"/>
      <c r="KEZ33" s="66"/>
      <c r="KFA33" s="66"/>
      <c r="KFB33" s="66"/>
      <c r="KFC33" s="66"/>
      <c r="KFD33" s="66"/>
      <c r="KFE33" s="66"/>
      <c r="KFF33" s="66"/>
      <c r="KFG33" s="66"/>
      <c r="KFH33" s="66"/>
      <c r="KFI33" s="66"/>
      <c r="KFJ33" s="66"/>
      <c r="KFK33" s="66"/>
      <c r="KFL33" s="66"/>
      <c r="KFM33" s="66"/>
      <c r="KFN33" s="66"/>
      <c r="KFO33" s="66"/>
      <c r="KFP33" s="66"/>
      <c r="KFQ33" s="66"/>
      <c r="KFR33" s="66"/>
      <c r="KFS33" s="66"/>
      <c r="KFT33" s="66"/>
      <c r="KFU33" s="66"/>
      <c r="KFV33" s="66"/>
      <c r="KFW33" s="66"/>
      <c r="KFX33" s="66"/>
      <c r="KFY33" s="66"/>
      <c r="KFZ33" s="66"/>
      <c r="KGA33" s="66"/>
      <c r="KGB33" s="66"/>
      <c r="KGC33" s="66"/>
      <c r="KGD33" s="66"/>
      <c r="KGE33" s="66"/>
      <c r="KGF33" s="66"/>
      <c r="KGG33" s="66"/>
      <c r="KGH33" s="66"/>
      <c r="KGI33" s="66"/>
      <c r="KGJ33" s="66"/>
      <c r="KGK33" s="66"/>
      <c r="KGL33" s="66"/>
      <c r="KGM33" s="66"/>
      <c r="KGN33" s="66"/>
      <c r="KGO33" s="66"/>
      <c r="KGP33" s="66"/>
      <c r="KGQ33" s="66"/>
      <c r="KGR33" s="66"/>
      <c r="KGS33" s="66"/>
      <c r="KGT33" s="66"/>
      <c r="KGU33" s="66"/>
      <c r="KGV33" s="66"/>
      <c r="KGW33" s="66"/>
      <c r="KGX33" s="66"/>
      <c r="KGY33" s="66"/>
      <c r="KGZ33" s="66"/>
      <c r="KHA33" s="66"/>
      <c r="KHB33" s="66"/>
      <c r="KHC33" s="66"/>
      <c r="KHD33" s="66"/>
      <c r="KHE33" s="66"/>
      <c r="KHF33" s="66"/>
      <c r="KHG33" s="66"/>
      <c r="KHH33" s="66"/>
      <c r="KHI33" s="66"/>
      <c r="KHJ33" s="66"/>
      <c r="KHK33" s="66"/>
      <c r="KHL33" s="66"/>
      <c r="KHM33" s="66"/>
      <c r="KHN33" s="66"/>
      <c r="KHO33" s="66"/>
      <c r="KHP33" s="66"/>
      <c r="KHQ33" s="66"/>
      <c r="KHR33" s="66"/>
      <c r="KHS33" s="66"/>
      <c r="KHT33" s="66"/>
      <c r="KHU33" s="66"/>
      <c r="KHV33" s="66"/>
      <c r="KHW33" s="66"/>
      <c r="KHX33" s="66"/>
      <c r="KHY33" s="66"/>
      <c r="KHZ33" s="66"/>
      <c r="KIA33" s="66"/>
      <c r="KIB33" s="66"/>
      <c r="KIC33" s="66"/>
      <c r="KID33" s="66"/>
      <c r="KIE33" s="66"/>
      <c r="KIF33" s="66"/>
      <c r="KIG33" s="66"/>
      <c r="KIH33" s="66"/>
      <c r="KII33" s="66"/>
      <c r="KIJ33" s="66"/>
      <c r="KIK33" s="66"/>
      <c r="KIL33" s="66"/>
      <c r="KIM33" s="66"/>
      <c r="KIN33" s="66"/>
      <c r="KIO33" s="66"/>
      <c r="KIP33" s="66"/>
      <c r="KIQ33" s="66"/>
      <c r="KIR33" s="66"/>
      <c r="KIS33" s="66"/>
      <c r="KIT33" s="66"/>
      <c r="KIU33" s="66"/>
      <c r="KIV33" s="66"/>
      <c r="KIW33" s="66"/>
      <c r="KIX33" s="66"/>
      <c r="KIY33" s="66"/>
      <c r="KIZ33" s="66"/>
      <c r="KJA33" s="66"/>
      <c r="KJB33" s="66"/>
      <c r="KJC33" s="66"/>
      <c r="KJD33" s="66"/>
      <c r="KJE33" s="66"/>
      <c r="KJF33" s="66"/>
      <c r="KJG33" s="66"/>
      <c r="KJH33" s="66"/>
      <c r="KJI33" s="66"/>
      <c r="KJJ33" s="66"/>
      <c r="KJK33" s="66"/>
      <c r="KJL33" s="66"/>
      <c r="KJM33" s="66"/>
      <c r="KJN33" s="66"/>
      <c r="KJO33" s="66"/>
      <c r="KJP33" s="66"/>
      <c r="KJQ33" s="66"/>
      <c r="KJR33" s="66"/>
      <c r="KJS33" s="66"/>
      <c r="KJT33" s="66"/>
      <c r="KJU33" s="66"/>
      <c r="KJV33" s="66"/>
      <c r="KJW33" s="66"/>
      <c r="KJX33" s="66"/>
      <c r="KJY33" s="66"/>
      <c r="KJZ33" s="66"/>
      <c r="KKA33" s="66"/>
      <c r="KKB33" s="66"/>
      <c r="KKC33" s="66"/>
      <c r="KKD33" s="66"/>
      <c r="KKE33" s="66"/>
      <c r="KKF33" s="66"/>
      <c r="KKG33" s="66"/>
      <c r="KKH33" s="66"/>
      <c r="KKI33" s="66"/>
      <c r="KKJ33" s="66"/>
      <c r="KKK33" s="66"/>
      <c r="KKL33" s="66"/>
      <c r="KKM33" s="66"/>
      <c r="KKN33" s="66"/>
      <c r="KKO33" s="66"/>
      <c r="KKP33" s="66"/>
      <c r="KKQ33" s="66"/>
      <c r="KKR33" s="66"/>
      <c r="KKS33" s="66"/>
      <c r="KKT33" s="66"/>
      <c r="KKU33" s="66"/>
      <c r="KKV33" s="66"/>
      <c r="KKW33" s="66"/>
      <c r="KKX33" s="66"/>
      <c r="KKY33" s="66"/>
      <c r="KKZ33" s="66"/>
      <c r="KLA33" s="66"/>
      <c r="KLB33" s="66"/>
      <c r="KLC33" s="66"/>
      <c r="KLD33" s="66"/>
      <c r="KLE33" s="66"/>
      <c r="KLF33" s="66"/>
      <c r="KLG33" s="66"/>
      <c r="KLH33" s="66"/>
      <c r="KLI33" s="66"/>
      <c r="KLJ33" s="66"/>
      <c r="KLK33" s="66"/>
      <c r="KLL33" s="66"/>
      <c r="KLM33" s="66"/>
      <c r="KLN33" s="66"/>
      <c r="KLO33" s="66"/>
      <c r="KLP33" s="66"/>
      <c r="KLQ33" s="66"/>
      <c r="KLR33" s="66"/>
      <c r="KLS33" s="66"/>
      <c r="KLT33" s="66"/>
      <c r="KLU33" s="66"/>
      <c r="KLV33" s="66"/>
      <c r="KLW33" s="66"/>
      <c r="KLX33" s="66"/>
      <c r="KLY33" s="66"/>
      <c r="KLZ33" s="66"/>
      <c r="KMA33" s="66"/>
      <c r="KMB33" s="66"/>
      <c r="KMC33" s="66"/>
      <c r="KMD33" s="66"/>
      <c r="KME33" s="66"/>
      <c r="KMF33" s="66"/>
      <c r="KMG33" s="66"/>
      <c r="KMH33" s="66"/>
      <c r="KMI33" s="66"/>
      <c r="KMJ33" s="66"/>
      <c r="KMK33" s="66"/>
      <c r="KML33" s="66"/>
      <c r="KMM33" s="66"/>
      <c r="KMN33" s="66"/>
      <c r="KMO33" s="66"/>
      <c r="KMP33" s="66"/>
      <c r="KMQ33" s="66"/>
      <c r="KMR33" s="66"/>
      <c r="KMS33" s="66"/>
      <c r="KMT33" s="66"/>
      <c r="KMU33" s="66"/>
      <c r="KMV33" s="66"/>
      <c r="KMW33" s="66"/>
      <c r="KMX33" s="66"/>
      <c r="KMY33" s="66"/>
      <c r="KMZ33" s="66"/>
      <c r="KNA33" s="66"/>
      <c r="KNB33" s="66"/>
      <c r="KNC33" s="66"/>
      <c r="KND33" s="66"/>
      <c r="KNE33" s="66"/>
      <c r="KNF33" s="66"/>
      <c r="KNG33" s="66"/>
      <c r="KNH33" s="66"/>
      <c r="KNI33" s="66"/>
      <c r="KNJ33" s="66"/>
      <c r="KNK33" s="66"/>
      <c r="KNL33" s="66"/>
      <c r="KNM33" s="66"/>
      <c r="KNN33" s="66"/>
      <c r="KNO33" s="66"/>
      <c r="KNP33" s="66"/>
      <c r="KNQ33" s="66"/>
      <c r="KNR33" s="66"/>
      <c r="KNS33" s="66"/>
      <c r="KNT33" s="66"/>
      <c r="KNU33" s="66"/>
      <c r="KNV33" s="66"/>
      <c r="KNW33" s="66"/>
      <c r="KNX33" s="66"/>
      <c r="KNY33" s="66"/>
      <c r="KNZ33" s="66"/>
      <c r="KOA33" s="66"/>
      <c r="KOB33" s="66"/>
      <c r="KOC33" s="66"/>
      <c r="KOD33" s="66"/>
      <c r="KOE33" s="66"/>
      <c r="KOF33" s="66"/>
      <c r="KOG33" s="66"/>
      <c r="KOH33" s="66"/>
      <c r="KOI33" s="66"/>
      <c r="KOJ33" s="66"/>
      <c r="KOK33" s="66"/>
      <c r="KOL33" s="66"/>
      <c r="KOM33" s="66"/>
      <c r="KON33" s="66"/>
      <c r="KOO33" s="66"/>
      <c r="KOP33" s="66"/>
      <c r="KOQ33" s="66"/>
      <c r="KOR33" s="66"/>
      <c r="KOS33" s="66"/>
      <c r="KOT33" s="66"/>
      <c r="KOU33" s="66"/>
      <c r="KOV33" s="66"/>
      <c r="KOW33" s="66"/>
      <c r="KOX33" s="66"/>
      <c r="KOY33" s="66"/>
      <c r="KOZ33" s="66"/>
      <c r="KPA33" s="66"/>
      <c r="KPB33" s="66"/>
      <c r="KPC33" s="66"/>
      <c r="KPD33" s="66"/>
      <c r="KPE33" s="66"/>
      <c r="KPF33" s="66"/>
      <c r="KPG33" s="66"/>
      <c r="KPH33" s="66"/>
      <c r="KPI33" s="66"/>
      <c r="KPJ33" s="66"/>
      <c r="KPK33" s="66"/>
      <c r="KPL33" s="66"/>
      <c r="KPM33" s="66"/>
      <c r="KPN33" s="66"/>
      <c r="KPO33" s="66"/>
      <c r="KPP33" s="66"/>
      <c r="KPQ33" s="66"/>
      <c r="KPR33" s="66"/>
      <c r="KPS33" s="66"/>
      <c r="KPT33" s="66"/>
      <c r="KPU33" s="66"/>
      <c r="KPV33" s="66"/>
      <c r="KPW33" s="66"/>
      <c r="KPX33" s="66"/>
      <c r="KPY33" s="66"/>
      <c r="KPZ33" s="66"/>
      <c r="KQA33" s="66"/>
      <c r="KQB33" s="66"/>
      <c r="KQC33" s="66"/>
      <c r="KQD33" s="66"/>
      <c r="KQE33" s="66"/>
      <c r="KQF33" s="66"/>
      <c r="KQG33" s="66"/>
      <c r="KQH33" s="66"/>
      <c r="KQI33" s="66"/>
      <c r="KQJ33" s="66"/>
      <c r="KQK33" s="66"/>
      <c r="KQL33" s="66"/>
      <c r="KQM33" s="66"/>
      <c r="KQN33" s="66"/>
      <c r="KQO33" s="66"/>
      <c r="KQP33" s="66"/>
      <c r="KQQ33" s="66"/>
      <c r="KQR33" s="66"/>
      <c r="KQS33" s="66"/>
      <c r="KQT33" s="66"/>
      <c r="KQU33" s="66"/>
      <c r="KQV33" s="66"/>
      <c r="KQW33" s="66"/>
      <c r="KQX33" s="66"/>
      <c r="KQY33" s="66"/>
      <c r="KQZ33" s="66"/>
      <c r="KRA33" s="66"/>
      <c r="KRB33" s="66"/>
      <c r="KRC33" s="66"/>
      <c r="KRD33" s="66"/>
      <c r="KRE33" s="66"/>
      <c r="KRF33" s="66"/>
      <c r="KRG33" s="66"/>
      <c r="KRH33" s="66"/>
      <c r="KRI33" s="66"/>
      <c r="KRJ33" s="66"/>
      <c r="KRK33" s="66"/>
      <c r="KRL33" s="66"/>
      <c r="KRM33" s="66"/>
      <c r="KRN33" s="66"/>
      <c r="KRO33" s="66"/>
      <c r="KRP33" s="66"/>
      <c r="KRQ33" s="66"/>
      <c r="KRR33" s="66"/>
      <c r="KRS33" s="66"/>
      <c r="KRT33" s="66"/>
      <c r="KRU33" s="66"/>
      <c r="KRV33" s="66"/>
      <c r="KRW33" s="66"/>
      <c r="KRX33" s="66"/>
      <c r="KRY33" s="66"/>
      <c r="KRZ33" s="66"/>
      <c r="KSA33" s="66"/>
      <c r="KSB33" s="66"/>
      <c r="KSC33" s="66"/>
      <c r="KSD33" s="66"/>
      <c r="KSE33" s="66"/>
      <c r="KSF33" s="66"/>
      <c r="KSG33" s="66"/>
      <c r="KSH33" s="66"/>
      <c r="KSI33" s="66"/>
      <c r="KSJ33" s="66"/>
      <c r="KSK33" s="66"/>
      <c r="KSL33" s="66"/>
      <c r="KSM33" s="66"/>
      <c r="KSN33" s="66"/>
      <c r="KSO33" s="66"/>
      <c r="KSP33" s="66"/>
      <c r="KSQ33" s="66"/>
      <c r="KSR33" s="66"/>
      <c r="KSS33" s="66"/>
      <c r="KST33" s="66"/>
      <c r="KSU33" s="66"/>
      <c r="KSV33" s="66"/>
      <c r="KSW33" s="66"/>
      <c r="KSX33" s="66"/>
      <c r="KSY33" s="66"/>
      <c r="KSZ33" s="66"/>
      <c r="KTA33" s="66"/>
      <c r="KTB33" s="66"/>
      <c r="KTC33" s="66"/>
      <c r="KTD33" s="66"/>
      <c r="KTE33" s="66"/>
      <c r="KTF33" s="66"/>
      <c r="KTG33" s="66"/>
      <c r="KTH33" s="66"/>
      <c r="KTI33" s="66"/>
      <c r="KTJ33" s="66"/>
      <c r="KTK33" s="66"/>
      <c r="KTL33" s="66"/>
      <c r="KTM33" s="66"/>
      <c r="KTN33" s="66"/>
      <c r="KTO33" s="66"/>
      <c r="KTP33" s="66"/>
      <c r="KTQ33" s="66"/>
      <c r="KTR33" s="66"/>
      <c r="KTS33" s="66"/>
      <c r="KTT33" s="66"/>
      <c r="KTU33" s="66"/>
      <c r="KTV33" s="66"/>
      <c r="KTW33" s="66"/>
      <c r="KTX33" s="66"/>
      <c r="KTY33" s="66"/>
      <c r="KTZ33" s="66"/>
      <c r="KUA33" s="66"/>
      <c r="KUB33" s="66"/>
      <c r="KUC33" s="66"/>
      <c r="KUD33" s="66"/>
      <c r="KUE33" s="66"/>
      <c r="KUF33" s="66"/>
      <c r="KUG33" s="66"/>
      <c r="KUH33" s="66"/>
      <c r="KUI33" s="66"/>
      <c r="KUJ33" s="66"/>
      <c r="KUK33" s="66"/>
      <c r="KUL33" s="66"/>
      <c r="KUM33" s="66"/>
      <c r="KUN33" s="66"/>
      <c r="KUO33" s="66"/>
      <c r="KUP33" s="66"/>
      <c r="KUQ33" s="66"/>
      <c r="KUR33" s="66"/>
      <c r="KUS33" s="66"/>
      <c r="KUT33" s="66"/>
      <c r="KUU33" s="66"/>
      <c r="KUV33" s="66"/>
      <c r="KUW33" s="66"/>
      <c r="KUX33" s="66"/>
      <c r="KUY33" s="66"/>
      <c r="KUZ33" s="66"/>
      <c r="KVA33" s="66"/>
      <c r="KVB33" s="66"/>
      <c r="KVC33" s="66"/>
      <c r="KVD33" s="66"/>
      <c r="KVE33" s="66"/>
      <c r="KVF33" s="66"/>
      <c r="KVG33" s="66"/>
      <c r="KVH33" s="66"/>
      <c r="KVI33" s="66"/>
      <c r="KVJ33" s="66"/>
      <c r="KVK33" s="66"/>
      <c r="KVL33" s="66"/>
      <c r="KVM33" s="66"/>
      <c r="KVN33" s="66"/>
      <c r="KVO33" s="66"/>
      <c r="KVP33" s="66"/>
      <c r="KVQ33" s="66"/>
      <c r="KVR33" s="66"/>
      <c r="KVS33" s="66"/>
      <c r="KVT33" s="66"/>
      <c r="KVU33" s="66"/>
      <c r="KVV33" s="66"/>
      <c r="KVW33" s="66"/>
      <c r="KVX33" s="66"/>
      <c r="KVY33" s="66"/>
      <c r="KVZ33" s="66"/>
      <c r="KWA33" s="66"/>
      <c r="KWB33" s="66"/>
      <c r="KWC33" s="66"/>
      <c r="KWD33" s="66"/>
      <c r="KWE33" s="66"/>
      <c r="KWF33" s="66"/>
      <c r="KWG33" s="66"/>
      <c r="KWH33" s="66"/>
      <c r="KWI33" s="66"/>
      <c r="KWJ33" s="66"/>
      <c r="KWK33" s="66"/>
      <c r="KWL33" s="66"/>
      <c r="KWM33" s="66"/>
      <c r="KWN33" s="66"/>
      <c r="KWO33" s="66"/>
      <c r="KWP33" s="66"/>
      <c r="KWQ33" s="66"/>
      <c r="KWR33" s="66"/>
      <c r="KWS33" s="66"/>
      <c r="KWT33" s="66"/>
      <c r="KWU33" s="66"/>
      <c r="KWV33" s="66"/>
      <c r="KWW33" s="66"/>
      <c r="KWX33" s="66"/>
      <c r="KWY33" s="66"/>
      <c r="KWZ33" s="66"/>
      <c r="KXA33" s="66"/>
      <c r="KXB33" s="66"/>
      <c r="KXC33" s="66"/>
      <c r="KXD33" s="66"/>
      <c r="KXE33" s="66"/>
      <c r="KXF33" s="66"/>
      <c r="KXG33" s="66"/>
      <c r="KXH33" s="66"/>
      <c r="KXI33" s="66"/>
      <c r="KXJ33" s="66"/>
      <c r="KXK33" s="66"/>
      <c r="KXL33" s="66"/>
      <c r="KXM33" s="66"/>
      <c r="KXN33" s="66"/>
      <c r="KXO33" s="66"/>
      <c r="KXP33" s="66"/>
      <c r="KXQ33" s="66"/>
      <c r="KXR33" s="66"/>
      <c r="KXS33" s="66"/>
      <c r="KXT33" s="66"/>
      <c r="KXU33" s="66"/>
      <c r="KXV33" s="66"/>
      <c r="KXW33" s="66"/>
      <c r="KXX33" s="66"/>
      <c r="KXY33" s="66"/>
      <c r="KXZ33" s="66"/>
      <c r="KYA33" s="66"/>
      <c r="KYB33" s="66"/>
      <c r="KYC33" s="66"/>
      <c r="KYD33" s="66"/>
      <c r="KYE33" s="66"/>
      <c r="KYF33" s="66"/>
      <c r="KYG33" s="66"/>
      <c r="KYH33" s="66"/>
      <c r="KYI33" s="66"/>
      <c r="KYJ33" s="66"/>
      <c r="KYK33" s="66"/>
      <c r="KYL33" s="66"/>
      <c r="KYM33" s="66"/>
      <c r="KYN33" s="66"/>
      <c r="KYO33" s="66"/>
      <c r="KYP33" s="66"/>
      <c r="KYQ33" s="66"/>
      <c r="KYR33" s="66"/>
      <c r="KYS33" s="66"/>
      <c r="KYT33" s="66"/>
      <c r="KYU33" s="66"/>
      <c r="KYV33" s="66"/>
      <c r="KYW33" s="66"/>
      <c r="KYX33" s="66"/>
      <c r="KYY33" s="66"/>
      <c r="KYZ33" s="66"/>
      <c r="KZA33" s="66"/>
      <c r="KZB33" s="66"/>
      <c r="KZC33" s="66"/>
      <c r="KZD33" s="66"/>
      <c r="KZE33" s="66"/>
      <c r="KZF33" s="66"/>
      <c r="KZG33" s="66"/>
      <c r="KZH33" s="66"/>
      <c r="KZI33" s="66"/>
      <c r="KZJ33" s="66"/>
      <c r="KZK33" s="66"/>
      <c r="KZL33" s="66"/>
      <c r="KZM33" s="66"/>
      <c r="KZN33" s="66"/>
      <c r="KZO33" s="66"/>
      <c r="KZP33" s="66"/>
      <c r="KZQ33" s="66"/>
      <c r="KZR33" s="66"/>
      <c r="KZS33" s="66"/>
      <c r="KZT33" s="66"/>
      <c r="KZU33" s="66"/>
      <c r="KZV33" s="66"/>
      <c r="KZW33" s="66"/>
      <c r="KZX33" s="66"/>
      <c r="KZY33" s="66"/>
      <c r="KZZ33" s="66"/>
      <c r="LAA33" s="66"/>
      <c r="LAB33" s="66"/>
      <c r="LAC33" s="66"/>
      <c r="LAD33" s="66"/>
      <c r="LAE33" s="66"/>
      <c r="LAF33" s="66"/>
      <c r="LAG33" s="66"/>
      <c r="LAH33" s="66"/>
      <c r="LAI33" s="66"/>
      <c r="LAJ33" s="66"/>
      <c r="LAK33" s="66"/>
      <c r="LAL33" s="66"/>
      <c r="LAM33" s="66"/>
      <c r="LAN33" s="66"/>
      <c r="LAO33" s="66"/>
      <c r="LAP33" s="66"/>
      <c r="LAQ33" s="66"/>
      <c r="LAR33" s="66"/>
      <c r="LAS33" s="66"/>
      <c r="LAT33" s="66"/>
      <c r="LAU33" s="66"/>
      <c r="LAV33" s="66"/>
      <c r="LAW33" s="66"/>
      <c r="LAX33" s="66"/>
      <c r="LAY33" s="66"/>
      <c r="LAZ33" s="66"/>
      <c r="LBA33" s="66"/>
      <c r="LBB33" s="66"/>
      <c r="LBC33" s="66"/>
      <c r="LBD33" s="66"/>
      <c r="LBE33" s="66"/>
      <c r="LBF33" s="66"/>
      <c r="LBG33" s="66"/>
      <c r="LBH33" s="66"/>
      <c r="LBI33" s="66"/>
      <c r="LBJ33" s="66"/>
      <c r="LBK33" s="66"/>
      <c r="LBL33" s="66"/>
      <c r="LBM33" s="66"/>
      <c r="LBN33" s="66"/>
      <c r="LBO33" s="66"/>
      <c r="LBP33" s="66"/>
      <c r="LBQ33" s="66"/>
      <c r="LBR33" s="66"/>
      <c r="LBS33" s="66"/>
      <c r="LBT33" s="66"/>
      <c r="LBU33" s="66"/>
      <c r="LBV33" s="66"/>
      <c r="LBW33" s="66"/>
      <c r="LBX33" s="66"/>
      <c r="LBY33" s="66"/>
      <c r="LBZ33" s="66"/>
      <c r="LCA33" s="66"/>
      <c r="LCB33" s="66"/>
      <c r="LCC33" s="66"/>
      <c r="LCD33" s="66"/>
      <c r="LCE33" s="66"/>
      <c r="LCF33" s="66"/>
      <c r="LCG33" s="66"/>
      <c r="LCH33" s="66"/>
      <c r="LCI33" s="66"/>
      <c r="LCJ33" s="66"/>
      <c r="LCK33" s="66"/>
      <c r="LCL33" s="66"/>
      <c r="LCM33" s="66"/>
      <c r="LCN33" s="66"/>
      <c r="LCO33" s="66"/>
      <c r="LCP33" s="66"/>
      <c r="LCQ33" s="66"/>
      <c r="LCR33" s="66"/>
      <c r="LCS33" s="66"/>
      <c r="LCT33" s="66"/>
      <c r="LCU33" s="66"/>
      <c r="LCV33" s="66"/>
      <c r="LCW33" s="66"/>
      <c r="LCX33" s="66"/>
      <c r="LCY33" s="66"/>
      <c r="LCZ33" s="66"/>
      <c r="LDA33" s="66"/>
      <c r="LDB33" s="66"/>
      <c r="LDC33" s="66"/>
      <c r="LDD33" s="66"/>
      <c r="LDE33" s="66"/>
      <c r="LDF33" s="66"/>
      <c r="LDG33" s="66"/>
      <c r="LDH33" s="66"/>
      <c r="LDI33" s="66"/>
      <c r="LDJ33" s="66"/>
      <c r="LDK33" s="66"/>
      <c r="LDL33" s="66"/>
      <c r="LDM33" s="66"/>
      <c r="LDN33" s="66"/>
      <c r="LDO33" s="66"/>
      <c r="LDP33" s="66"/>
      <c r="LDQ33" s="66"/>
      <c r="LDR33" s="66"/>
      <c r="LDS33" s="66"/>
      <c r="LDT33" s="66"/>
      <c r="LDU33" s="66"/>
      <c r="LDV33" s="66"/>
      <c r="LDW33" s="66"/>
      <c r="LDX33" s="66"/>
      <c r="LDY33" s="66"/>
      <c r="LDZ33" s="66"/>
      <c r="LEA33" s="66"/>
      <c r="LEB33" s="66"/>
      <c r="LEC33" s="66"/>
      <c r="LED33" s="66"/>
      <c r="LEE33" s="66"/>
      <c r="LEF33" s="66"/>
      <c r="LEG33" s="66"/>
      <c r="LEH33" s="66"/>
      <c r="LEI33" s="66"/>
      <c r="LEJ33" s="66"/>
      <c r="LEK33" s="66"/>
      <c r="LEL33" s="66"/>
      <c r="LEM33" s="66"/>
      <c r="LEN33" s="66"/>
      <c r="LEO33" s="66"/>
      <c r="LEP33" s="66"/>
      <c r="LEQ33" s="66"/>
      <c r="LER33" s="66"/>
      <c r="LES33" s="66"/>
      <c r="LET33" s="66"/>
      <c r="LEU33" s="66"/>
      <c r="LEV33" s="66"/>
      <c r="LEW33" s="66"/>
      <c r="LEX33" s="66"/>
      <c r="LEY33" s="66"/>
      <c r="LEZ33" s="66"/>
      <c r="LFA33" s="66"/>
      <c r="LFB33" s="66"/>
      <c r="LFC33" s="66"/>
      <c r="LFD33" s="66"/>
      <c r="LFE33" s="66"/>
      <c r="LFF33" s="66"/>
      <c r="LFG33" s="66"/>
      <c r="LFH33" s="66"/>
      <c r="LFI33" s="66"/>
      <c r="LFJ33" s="66"/>
      <c r="LFK33" s="66"/>
      <c r="LFL33" s="66"/>
      <c r="LFM33" s="66"/>
      <c r="LFN33" s="66"/>
      <c r="LFO33" s="66"/>
      <c r="LFP33" s="66"/>
      <c r="LFQ33" s="66"/>
      <c r="LFR33" s="66"/>
      <c r="LFS33" s="66"/>
      <c r="LFT33" s="66"/>
      <c r="LFU33" s="66"/>
      <c r="LFV33" s="66"/>
      <c r="LFW33" s="66"/>
      <c r="LFX33" s="66"/>
      <c r="LFY33" s="66"/>
      <c r="LFZ33" s="66"/>
      <c r="LGA33" s="66"/>
      <c r="LGB33" s="66"/>
      <c r="LGC33" s="66"/>
      <c r="LGD33" s="66"/>
      <c r="LGE33" s="66"/>
      <c r="LGF33" s="66"/>
      <c r="LGG33" s="66"/>
      <c r="LGH33" s="66"/>
      <c r="LGI33" s="66"/>
      <c r="LGJ33" s="66"/>
      <c r="LGK33" s="66"/>
      <c r="LGL33" s="66"/>
      <c r="LGM33" s="66"/>
      <c r="LGN33" s="66"/>
      <c r="LGO33" s="66"/>
      <c r="LGP33" s="66"/>
      <c r="LGQ33" s="66"/>
      <c r="LGR33" s="66"/>
      <c r="LGS33" s="66"/>
      <c r="LGT33" s="66"/>
      <c r="LGU33" s="66"/>
      <c r="LGV33" s="66"/>
      <c r="LGW33" s="66"/>
      <c r="LGX33" s="66"/>
      <c r="LGY33" s="66"/>
      <c r="LGZ33" s="66"/>
      <c r="LHA33" s="66"/>
      <c r="LHB33" s="66"/>
      <c r="LHC33" s="66"/>
      <c r="LHD33" s="66"/>
      <c r="LHE33" s="66"/>
      <c r="LHF33" s="66"/>
      <c r="LHG33" s="66"/>
      <c r="LHH33" s="66"/>
      <c r="LHI33" s="66"/>
      <c r="LHJ33" s="66"/>
      <c r="LHK33" s="66"/>
      <c r="LHL33" s="66"/>
      <c r="LHM33" s="66"/>
      <c r="LHN33" s="66"/>
      <c r="LHO33" s="66"/>
      <c r="LHP33" s="66"/>
      <c r="LHQ33" s="66"/>
      <c r="LHR33" s="66"/>
      <c r="LHS33" s="66"/>
      <c r="LHT33" s="66"/>
      <c r="LHU33" s="66"/>
      <c r="LHV33" s="66"/>
      <c r="LHW33" s="66"/>
      <c r="LHX33" s="66"/>
      <c r="LHY33" s="66"/>
      <c r="LHZ33" s="66"/>
      <c r="LIA33" s="66"/>
      <c r="LIB33" s="66"/>
      <c r="LIC33" s="66"/>
      <c r="LID33" s="66"/>
      <c r="LIE33" s="66"/>
      <c r="LIF33" s="66"/>
      <c r="LIG33" s="66"/>
      <c r="LIH33" s="66"/>
      <c r="LII33" s="66"/>
      <c r="LIJ33" s="66"/>
      <c r="LIK33" s="66"/>
      <c r="LIL33" s="66"/>
      <c r="LIM33" s="66"/>
      <c r="LIN33" s="66"/>
      <c r="LIO33" s="66"/>
      <c r="LIP33" s="66"/>
      <c r="LIQ33" s="66"/>
      <c r="LIR33" s="66"/>
      <c r="LIS33" s="66"/>
      <c r="LIT33" s="66"/>
      <c r="LIU33" s="66"/>
      <c r="LIV33" s="66"/>
      <c r="LIW33" s="66"/>
      <c r="LIX33" s="66"/>
      <c r="LIY33" s="66"/>
      <c r="LIZ33" s="66"/>
      <c r="LJA33" s="66"/>
      <c r="LJB33" s="66"/>
      <c r="LJC33" s="66"/>
      <c r="LJD33" s="66"/>
      <c r="LJE33" s="66"/>
      <c r="LJF33" s="66"/>
      <c r="LJG33" s="66"/>
      <c r="LJH33" s="66"/>
      <c r="LJI33" s="66"/>
      <c r="LJJ33" s="66"/>
      <c r="LJK33" s="66"/>
      <c r="LJL33" s="66"/>
      <c r="LJM33" s="66"/>
      <c r="LJN33" s="66"/>
      <c r="LJO33" s="66"/>
      <c r="LJP33" s="66"/>
      <c r="LJQ33" s="66"/>
      <c r="LJR33" s="66"/>
      <c r="LJS33" s="66"/>
      <c r="LJT33" s="66"/>
      <c r="LJU33" s="66"/>
      <c r="LJV33" s="66"/>
      <c r="LJW33" s="66"/>
      <c r="LJX33" s="66"/>
      <c r="LJY33" s="66"/>
      <c r="LJZ33" s="66"/>
      <c r="LKA33" s="66"/>
      <c r="LKB33" s="66"/>
      <c r="LKC33" s="66"/>
      <c r="LKD33" s="66"/>
      <c r="LKE33" s="66"/>
      <c r="LKF33" s="66"/>
      <c r="LKG33" s="66"/>
      <c r="LKH33" s="66"/>
      <c r="LKI33" s="66"/>
      <c r="LKJ33" s="66"/>
      <c r="LKK33" s="66"/>
      <c r="LKL33" s="66"/>
      <c r="LKM33" s="66"/>
      <c r="LKN33" s="66"/>
      <c r="LKO33" s="66"/>
      <c r="LKP33" s="66"/>
      <c r="LKQ33" s="66"/>
      <c r="LKR33" s="66"/>
      <c r="LKS33" s="66"/>
      <c r="LKT33" s="66"/>
      <c r="LKU33" s="66"/>
      <c r="LKV33" s="66"/>
      <c r="LKW33" s="66"/>
      <c r="LKX33" s="66"/>
      <c r="LKY33" s="66"/>
      <c r="LKZ33" s="66"/>
      <c r="LLA33" s="66"/>
      <c r="LLB33" s="66"/>
      <c r="LLC33" s="66"/>
      <c r="LLD33" s="66"/>
      <c r="LLE33" s="66"/>
      <c r="LLF33" s="66"/>
      <c r="LLG33" s="66"/>
      <c r="LLH33" s="66"/>
      <c r="LLI33" s="66"/>
      <c r="LLJ33" s="66"/>
      <c r="LLK33" s="66"/>
      <c r="LLL33" s="66"/>
      <c r="LLM33" s="66"/>
      <c r="LLN33" s="66"/>
      <c r="LLO33" s="66"/>
      <c r="LLP33" s="66"/>
      <c r="LLQ33" s="66"/>
      <c r="LLR33" s="66"/>
      <c r="LLS33" s="66"/>
      <c r="LLT33" s="66"/>
      <c r="LLU33" s="66"/>
      <c r="LLV33" s="66"/>
      <c r="LLW33" s="66"/>
      <c r="LLX33" s="66"/>
      <c r="LLY33" s="66"/>
      <c r="LLZ33" s="66"/>
      <c r="LMA33" s="66"/>
      <c r="LMB33" s="66"/>
      <c r="LMC33" s="66"/>
      <c r="LMD33" s="66"/>
      <c r="LME33" s="66"/>
      <c r="LMF33" s="66"/>
      <c r="LMG33" s="66"/>
      <c r="LMH33" s="66"/>
      <c r="LMI33" s="66"/>
      <c r="LMJ33" s="66"/>
      <c r="LMK33" s="66"/>
      <c r="LML33" s="66"/>
      <c r="LMM33" s="66"/>
      <c r="LMN33" s="66"/>
      <c r="LMO33" s="66"/>
      <c r="LMP33" s="66"/>
      <c r="LMQ33" s="66"/>
      <c r="LMR33" s="66"/>
      <c r="LMS33" s="66"/>
      <c r="LMT33" s="66"/>
      <c r="LMU33" s="66"/>
      <c r="LMV33" s="66"/>
      <c r="LMW33" s="66"/>
      <c r="LMX33" s="66"/>
      <c r="LMY33" s="66"/>
      <c r="LMZ33" s="66"/>
      <c r="LNA33" s="66"/>
      <c r="LNB33" s="66"/>
      <c r="LNC33" s="66"/>
      <c r="LND33" s="66"/>
      <c r="LNE33" s="66"/>
      <c r="LNF33" s="66"/>
      <c r="LNG33" s="66"/>
      <c r="LNH33" s="66"/>
      <c r="LNI33" s="66"/>
      <c r="LNJ33" s="66"/>
      <c r="LNK33" s="66"/>
      <c r="LNL33" s="66"/>
      <c r="LNM33" s="66"/>
      <c r="LNN33" s="66"/>
      <c r="LNO33" s="66"/>
      <c r="LNP33" s="66"/>
      <c r="LNQ33" s="66"/>
      <c r="LNR33" s="66"/>
      <c r="LNS33" s="66"/>
      <c r="LNT33" s="66"/>
      <c r="LNU33" s="66"/>
      <c r="LNV33" s="66"/>
      <c r="LNW33" s="66"/>
      <c r="LNX33" s="66"/>
      <c r="LNY33" s="66"/>
      <c r="LNZ33" s="66"/>
      <c r="LOA33" s="66"/>
      <c r="LOB33" s="66"/>
      <c r="LOC33" s="66"/>
      <c r="LOD33" s="66"/>
      <c r="LOE33" s="66"/>
      <c r="LOF33" s="66"/>
      <c r="LOG33" s="66"/>
      <c r="LOH33" s="66"/>
      <c r="LOI33" s="66"/>
      <c r="LOJ33" s="66"/>
      <c r="LOK33" s="66"/>
      <c r="LOL33" s="66"/>
      <c r="LOM33" s="66"/>
      <c r="LON33" s="66"/>
      <c r="LOO33" s="66"/>
      <c r="LOP33" s="66"/>
      <c r="LOQ33" s="66"/>
      <c r="LOR33" s="66"/>
      <c r="LOS33" s="66"/>
      <c r="LOT33" s="66"/>
      <c r="LOU33" s="66"/>
      <c r="LOV33" s="66"/>
      <c r="LOW33" s="66"/>
      <c r="LOX33" s="66"/>
      <c r="LOY33" s="66"/>
      <c r="LOZ33" s="66"/>
      <c r="LPA33" s="66"/>
      <c r="LPB33" s="66"/>
      <c r="LPC33" s="66"/>
      <c r="LPD33" s="66"/>
      <c r="LPE33" s="66"/>
      <c r="LPF33" s="66"/>
      <c r="LPG33" s="66"/>
      <c r="LPH33" s="66"/>
      <c r="LPI33" s="66"/>
      <c r="LPJ33" s="66"/>
      <c r="LPK33" s="66"/>
      <c r="LPL33" s="66"/>
      <c r="LPM33" s="66"/>
      <c r="LPN33" s="66"/>
      <c r="LPO33" s="66"/>
      <c r="LPP33" s="66"/>
      <c r="LPQ33" s="66"/>
      <c r="LPR33" s="66"/>
      <c r="LPS33" s="66"/>
      <c r="LPT33" s="66"/>
      <c r="LPU33" s="66"/>
      <c r="LPV33" s="66"/>
      <c r="LPW33" s="66"/>
      <c r="LPX33" s="66"/>
      <c r="LPY33" s="66"/>
      <c r="LPZ33" s="66"/>
      <c r="LQA33" s="66"/>
      <c r="LQB33" s="66"/>
      <c r="LQC33" s="66"/>
      <c r="LQD33" s="66"/>
      <c r="LQE33" s="66"/>
      <c r="LQF33" s="66"/>
      <c r="LQG33" s="66"/>
      <c r="LQH33" s="66"/>
      <c r="LQI33" s="66"/>
      <c r="LQJ33" s="66"/>
      <c r="LQK33" s="66"/>
      <c r="LQL33" s="66"/>
      <c r="LQM33" s="66"/>
      <c r="LQN33" s="66"/>
      <c r="LQO33" s="66"/>
      <c r="LQP33" s="66"/>
      <c r="LQQ33" s="66"/>
      <c r="LQR33" s="66"/>
      <c r="LQS33" s="66"/>
      <c r="LQT33" s="66"/>
      <c r="LQU33" s="66"/>
      <c r="LQV33" s="66"/>
      <c r="LQW33" s="66"/>
      <c r="LQX33" s="66"/>
      <c r="LQY33" s="66"/>
      <c r="LQZ33" s="66"/>
      <c r="LRA33" s="66"/>
      <c r="LRB33" s="66"/>
      <c r="LRC33" s="66"/>
      <c r="LRD33" s="66"/>
      <c r="LRE33" s="66"/>
      <c r="LRF33" s="66"/>
      <c r="LRG33" s="66"/>
      <c r="LRH33" s="66"/>
      <c r="LRI33" s="66"/>
      <c r="LRJ33" s="66"/>
      <c r="LRK33" s="66"/>
      <c r="LRL33" s="66"/>
      <c r="LRM33" s="66"/>
      <c r="LRN33" s="66"/>
      <c r="LRO33" s="66"/>
      <c r="LRP33" s="66"/>
      <c r="LRQ33" s="66"/>
      <c r="LRR33" s="66"/>
      <c r="LRS33" s="66"/>
      <c r="LRT33" s="66"/>
      <c r="LRU33" s="66"/>
      <c r="LRV33" s="66"/>
      <c r="LRW33" s="66"/>
      <c r="LRX33" s="66"/>
      <c r="LRY33" s="66"/>
      <c r="LRZ33" s="66"/>
      <c r="LSA33" s="66"/>
      <c r="LSB33" s="66"/>
      <c r="LSC33" s="66"/>
      <c r="LSD33" s="66"/>
      <c r="LSE33" s="66"/>
      <c r="LSF33" s="66"/>
      <c r="LSG33" s="66"/>
      <c r="LSH33" s="66"/>
      <c r="LSI33" s="66"/>
      <c r="LSJ33" s="66"/>
      <c r="LSK33" s="66"/>
      <c r="LSL33" s="66"/>
      <c r="LSM33" s="66"/>
      <c r="LSN33" s="66"/>
      <c r="LSO33" s="66"/>
      <c r="LSP33" s="66"/>
      <c r="LSQ33" s="66"/>
      <c r="LSR33" s="66"/>
      <c r="LSS33" s="66"/>
      <c r="LST33" s="66"/>
      <c r="LSU33" s="66"/>
      <c r="LSV33" s="66"/>
      <c r="LSW33" s="66"/>
      <c r="LSX33" s="66"/>
      <c r="LSY33" s="66"/>
      <c r="LSZ33" s="66"/>
      <c r="LTA33" s="66"/>
      <c r="LTB33" s="66"/>
      <c r="LTC33" s="66"/>
      <c r="LTD33" s="66"/>
      <c r="LTE33" s="66"/>
      <c r="LTF33" s="66"/>
      <c r="LTG33" s="66"/>
      <c r="LTH33" s="66"/>
      <c r="LTI33" s="66"/>
      <c r="LTJ33" s="66"/>
      <c r="LTK33" s="66"/>
      <c r="LTL33" s="66"/>
      <c r="LTM33" s="66"/>
      <c r="LTN33" s="66"/>
      <c r="LTO33" s="66"/>
      <c r="LTP33" s="66"/>
      <c r="LTQ33" s="66"/>
      <c r="LTR33" s="66"/>
      <c r="LTS33" s="66"/>
      <c r="LTT33" s="66"/>
      <c r="LTU33" s="66"/>
      <c r="LTV33" s="66"/>
      <c r="LTW33" s="66"/>
      <c r="LTX33" s="66"/>
      <c r="LTY33" s="66"/>
      <c r="LTZ33" s="66"/>
      <c r="LUA33" s="66"/>
      <c r="LUB33" s="66"/>
      <c r="LUC33" s="66"/>
      <c r="LUD33" s="66"/>
      <c r="LUE33" s="66"/>
      <c r="LUF33" s="66"/>
      <c r="LUG33" s="66"/>
      <c r="LUH33" s="66"/>
      <c r="LUI33" s="66"/>
      <c r="LUJ33" s="66"/>
      <c r="LUK33" s="66"/>
      <c r="LUL33" s="66"/>
      <c r="LUM33" s="66"/>
      <c r="LUN33" s="66"/>
      <c r="LUO33" s="66"/>
      <c r="LUP33" s="66"/>
      <c r="LUQ33" s="66"/>
      <c r="LUR33" s="66"/>
      <c r="LUS33" s="66"/>
      <c r="LUT33" s="66"/>
      <c r="LUU33" s="66"/>
      <c r="LUV33" s="66"/>
      <c r="LUW33" s="66"/>
      <c r="LUX33" s="66"/>
      <c r="LUY33" s="66"/>
      <c r="LUZ33" s="66"/>
      <c r="LVA33" s="66"/>
      <c r="LVB33" s="66"/>
      <c r="LVC33" s="66"/>
      <c r="LVD33" s="66"/>
      <c r="LVE33" s="66"/>
      <c r="LVF33" s="66"/>
      <c r="LVG33" s="66"/>
      <c r="LVH33" s="66"/>
      <c r="LVI33" s="66"/>
      <c r="LVJ33" s="66"/>
      <c r="LVK33" s="66"/>
      <c r="LVL33" s="66"/>
      <c r="LVM33" s="66"/>
      <c r="LVN33" s="66"/>
      <c r="LVO33" s="66"/>
      <c r="LVP33" s="66"/>
      <c r="LVQ33" s="66"/>
      <c r="LVR33" s="66"/>
      <c r="LVS33" s="66"/>
      <c r="LVT33" s="66"/>
      <c r="LVU33" s="66"/>
      <c r="LVV33" s="66"/>
      <c r="LVW33" s="66"/>
      <c r="LVX33" s="66"/>
      <c r="LVY33" s="66"/>
      <c r="LVZ33" s="66"/>
      <c r="LWA33" s="66"/>
      <c r="LWB33" s="66"/>
      <c r="LWC33" s="66"/>
      <c r="LWD33" s="66"/>
      <c r="LWE33" s="66"/>
      <c r="LWF33" s="66"/>
      <c r="LWG33" s="66"/>
      <c r="LWH33" s="66"/>
      <c r="LWI33" s="66"/>
      <c r="LWJ33" s="66"/>
      <c r="LWK33" s="66"/>
      <c r="LWL33" s="66"/>
      <c r="LWM33" s="66"/>
      <c r="LWN33" s="66"/>
      <c r="LWO33" s="66"/>
      <c r="LWP33" s="66"/>
      <c r="LWQ33" s="66"/>
      <c r="LWR33" s="66"/>
      <c r="LWS33" s="66"/>
      <c r="LWT33" s="66"/>
      <c r="LWU33" s="66"/>
      <c r="LWV33" s="66"/>
      <c r="LWW33" s="66"/>
      <c r="LWX33" s="66"/>
      <c r="LWY33" s="66"/>
      <c r="LWZ33" s="66"/>
      <c r="LXA33" s="66"/>
      <c r="LXB33" s="66"/>
      <c r="LXC33" s="66"/>
      <c r="LXD33" s="66"/>
      <c r="LXE33" s="66"/>
      <c r="LXF33" s="66"/>
      <c r="LXG33" s="66"/>
      <c r="LXH33" s="66"/>
      <c r="LXI33" s="66"/>
      <c r="LXJ33" s="66"/>
      <c r="LXK33" s="66"/>
      <c r="LXL33" s="66"/>
      <c r="LXM33" s="66"/>
      <c r="LXN33" s="66"/>
      <c r="LXO33" s="66"/>
      <c r="LXP33" s="66"/>
      <c r="LXQ33" s="66"/>
      <c r="LXR33" s="66"/>
      <c r="LXS33" s="66"/>
      <c r="LXT33" s="66"/>
      <c r="LXU33" s="66"/>
      <c r="LXV33" s="66"/>
      <c r="LXW33" s="66"/>
      <c r="LXX33" s="66"/>
      <c r="LXY33" s="66"/>
      <c r="LXZ33" s="66"/>
      <c r="LYA33" s="66"/>
      <c r="LYB33" s="66"/>
      <c r="LYC33" s="66"/>
      <c r="LYD33" s="66"/>
      <c r="LYE33" s="66"/>
      <c r="LYF33" s="66"/>
      <c r="LYG33" s="66"/>
      <c r="LYH33" s="66"/>
      <c r="LYI33" s="66"/>
      <c r="LYJ33" s="66"/>
      <c r="LYK33" s="66"/>
      <c r="LYL33" s="66"/>
      <c r="LYM33" s="66"/>
      <c r="LYN33" s="66"/>
      <c r="LYO33" s="66"/>
      <c r="LYP33" s="66"/>
      <c r="LYQ33" s="66"/>
      <c r="LYR33" s="66"/>
      <c r="LYS33" s="66"/>
      <c r="LYT33" s="66"/>
      <c r="LYU33" s="66"/>
      <c r="LYV33" s="66"/>
      <c r="LYW33" s="66"/>
      <c r="LYX33" s="66"/>
      <c r="LYY33" s="66"/>
      <c r="LYZ33" s="66"/>
      <c r="LZA33" s="66"/>
      <c r="LZB33" s="66"/>
      <c r="LZC33" s="66"/>
      <c r="LZD33" s="66"/>
      <c r="LZE33" s="66"/>
      <c r="LZF33" s="66"/>
      <c r="LZG33" s="66"/>
      <c r="LZH33" s="66"/>
      <c r="LZI33" s="66"/>
      <c r="LZJ33" s="66"/>
      <c r="LZK33" s="66"/>
      <c r="LZL33" s="66"/>
      <c r="LZM33" s="66"/>
      <c r="LZN33" s="66"/>
      <c r="LZO33" s="66"/>
      <c r="LZP33" s="66"/>
      <c r="LZQ33" s="66"/>
      <c r="LZR33" s="66"/>
      <c r="LZS33" s="66"/>
      <c r="LZT33" s="66"/>
      <c r="LZU33" s="66"/>
      <c r="LZV33" s="66"/>
      <c r="LZW33" s="66"/>
      <c r="LZX33" s="66"/>
      <c r="LZY33" s="66"/>
      <c r="LZZ33" s="66"/>
      <c r="MAA33" s="66"/>
      <c r="MAB33" s="66"/>
      <c r="MAC33" s="66"/>
      <c r="MAD33" s="66"/>
      <c r="MAE33" s="66"/>
      <c r="MAF33" s="66"/>
      <c r="MAG33" s="66"/>
      <c r="MAH33" s="66"/>
      <c r="MAI33" s="66"/>
      <c r="MAJ33" s="66"/>
      <c r="MAK33" s="66"/>
      <c r="MAL33" s="66"/>
      <c r="MAM33" s="66"/>
      <c r="MAN33" s="66"/>
      <c r="MAO33" s="66"/>
      <c r="MAP33" s="66"/>
      <c r="MAQ33" s="66"/>
      <c r="MAR33" s="66"/>
      <c r="MAS33" s="66"/>
      <c r="MAT33" s="66"/>
      <c r="MAU33" s="66"/>
      <c r="MAV33" s="66"/>
      <c r="MAW33" s="66"/>
      <c r="MAX33" s="66"/>
      <c r="MAY33" s="66"/>
      <c r="MAZ33" s="66"/>
      <c r="MBA33" s="66"/>
      <c r="MBB33" s="66"/>
      <c r="MBC33" s="66"/>
      <c r="MBD33" s="66"/>
      <c r="MBE33" s="66"/>
      <c r="MBF33" s="66"/>
      <c r="MBG33" s="66"/>
      <c r="MBH33" s="66"/>
      <c r="MBI33" s="66"/>
      <c r="MBJ33" s="66"/>
      <c r="MBK33" s="66"/>
      <c r="MBL33" s="66"/>
      <c r="MBM33" s="66"/>
      <c r="MBN33" s="66"/>
      <c r="MBO33" s="66"/>
      <c r="MBP33" s="66"/>
      <c r="MBQ33" s="66"/>
      <c r="MBR33" s="66"/>
      <c r="MBS33" s="66"/>
      <c r="MBT33" s="66"/>
      <c r="MBU33" s="66"/>
      <c r="MBV33" s="66"/>
      <c r="MBW33" s="66"/>
      <c r="MBX33" s="66"/>
      <c r="MBY33" s="66"/>
      <c r="MBZ33" s="66"/>
      <c r="MCA33" s="66"/>
      <c r="MCB33" s="66"/>
      <c r="MCC33" s="66"/>
      <c r="MCD33" s="66"/>
      <c r="MCE33" s="66"/>
      <c r="MCF33" s="66"/>
      <c r="MCG33" s="66"/>
      <c r="MCH33" s="66"/>
      <c r="MCI33" s="66"/>
      <c r="MCJ33" s="66"/>
      <c r="MCK33" s="66"/>
      <c r="MCL33" s="66"/>
      <c r="MCM33" s="66"/>
      <c r="MCN33" s="66"/>
      <c r="MCO33" s="66"/>
      <c r="MCP33" s="66"/>
      <c r="MCQ33" s="66"/>
      <c r="MCR33" s="66"/>
      <c r="MCS33" s="66"/>
      <c r="MCT33" s="66"/>
      <c r="MCU33" s="66"/>
      <c r="MCV33" s="66"/>
      <c r="MCW33" s="66"/>
      <c r="MCX33" s="66"/>
      <c r="MCY33" s="66"/>
      <c r="MCZ33" s="66"/>
      <c r="MDA33" s="66"/>
      <c r="MDB33" s="66"/>
      <c r="MDC33" s="66"/>
      <c r="MDD33" s="66"/>
      <c r="MDE33" s="66"/>
      <c r="MDF33" s="66"/>
      <c r="MDG33" s="66"/>
      <c r="MDH33" s="66"/>
      <c r="MDI33" s="66"/>
      <c r="MDJ33" s="66"/>
      <c r="MDK33" s="66"/>
      <c r="MDL33" s="66"/>
      <c r="MDM33" s="66"/>
      <c r="MDN33" s="66"/>
      <c r="MDO33" s="66"/>
      <c r="MDP33" s="66"/>
      <c r="MDQ33" s="66"/>
      <c r="MDR33" s="66"/>
      <c r="MDS33" s="66"/>
      <c r="MDT33" s="66"/>
      <c r="MDU33" s="66"/>
      <c r="MDV33" s="66"/>
      <c r="MDW33" s="66"/>
      <c r="MDX33" s="66"/>
      <c r="MDY33" s="66"/>
      <c r="MDZ33" s="66"/>
      <c r="MEA33" s="66"/>
      <c r="MEB33" s="66"/>
      <c r="MEC33" s="66"/>
      <c r="MED33" s="66"/>
      <c r="MEE33" s="66"/>
      <c r="MEF33" s="66"/>
      <c r="MEG33" s="66"/>
      <c r="MEH33" s="66"/>
      <c r="MEI33" s="66"/>
      <c r="MEJ33" s="66"/>
      <c r="MEK33" s="66"/>
      <c r="MEL33" s="66"/>
      <c r="MEM33" s="66"/>
      <c r="MEN33" s="66"/>
      <c r="MEO33" s="66"/>
      <c r="MEP33" s="66"/>
      <c r="MEQ33" s="66"/>
      <c r="MER33" s="66"/>
      <c r="MES33" s="66"/>
      <c r="MET33" s="66"/>
      <c r="MEU33" s="66"/>
      <c r="MEV33" s="66"/>
      <c r="MEW33" s="66"/>
      <c r="MEX33" s="66"/>
      <c r="MEY33" s="66"/>
      <c r="MEZ33" s="66"/>
      <c r="MFA33" s="66"/>
      <c r="MFB33" s="66"/>
      <c r="MFC33" s="66"/>
      <c r="MFD33" s="66"/>
      <c r="MFE33" s="66"/>
      <c r="MFF33" s="66"/>
      <c r="MFG33" s="66"/>
      <c r="MFH33" s="66"/>
      <c r="MFI33" s="66"/>
      <c r="MFJ33" s="66"/>
      <c r="MFK33" s="66"/>
      <c r="MFL33" s="66"/>
      <c r="MFM33" s="66"/>
      <c r="MFN33" s="66"/>
      <c r="MFO33" s="66"/>
      <c r="MFP33" s="66"/>
      <c r="MFQ33" s="66"/>
      <c r="MFR33" s="66"/>
      <c r="MFS33" s="66"/>
      <c r="MFT33" s="66"/>
      <c r="MFU33" s="66"/>
      <c r="MFV33" s="66"/>
      <c r="MFW33" s="66"/>
      <c r="MFX33" s="66"/>
      <c r="MFY33" s="66"/>
      <c r="MFZ33" s="66"/>
      <c r="MGA33" s="66"/>
      <c r="MGB33" s="66"/>
      <c r="MGC33" s="66"/>
      <c r="MGD33" s="66"/>
      <c r="MGE33" s="66"/>
      <c r="MGF33" s="66"/>
      <c r="MGG33" s="66"/>
      <c r="MGH33" s="66"/>
      <c r="MGI33" s="66"/>
      <c r="MGJ33" s="66"/>
      <c r="MGK33" s="66"/>
      <c r="MGL33" s="66"/>
      <c r="MGM33" s="66"/>
      <c r="MGN33" s="66"/>
      <c r="MGO33" s="66"/>
      <c r="MGP33" s="66"/>
      <c r="MGQ33" s="66"/>
      <c r="MGR33" s="66"/>
      <c r="MGS33" s="66"/>
      <c r="MGT33" s="66"/>
      <c r="MGU33" s="66"/>
      <c r="MGV33" s="66"/>
      <c r="MGW33" s="66"/>
      <c r="MGX33" s="66"/>
      <c r="MGY33" s="66"/>
      <c r="MGZ33" s="66"/>
      <c r="MHA33" s="66"/>
      <c r="MHB33" s="66"/>
      <c r="MHC33" s="66"/>
      <c r="MHD33" s="66"/>
      <c r="MHE33" s="66"/>
      <c r="MHF33" s="66"/>
      <c r="MHG33" s="66"/>
      <c r="MHH33" s="66"/>
      <c r="MHI33" s="66"/>
      <c r="MHJ33" s="66"/>
      <c r="MHK33" s="66"/>
      <c r="MHL33" s="66"/>
      <c r="MHM33" s="66"/>
      <c r="MHN33" s="66"/>
      <c r="MHO33" s="66"/>
      <c r="MHP33" s="66"/>
      <c r="MHQ33" s="66"/>
      <c r="MHR33" s="66"/>
      <c r="MHS33" s="66"/>
      <c r="MHT33" s="66"/>
      <c r="MHU33" s="66"/>
      <c r="MHV33" s="66"/>
      <c r="MHW33" s="66"/>
      <c r="MHX33" s="66"/>
      <c r="MHY33" s="66"/>
      <c r="MHZ33" s="66"/>
      <c r="MIA33" s="66"/>
      <c r="MIB33" s="66"/>
      <c r="MIC33" s="66"/>
      <c r="MID33" s="66"/>
      <c r="MIE33" s="66"/>
      <c r="MIF33" s="66"/>
      <c r="MIG33" s="66"/>
      <c r="MIH33" s="66"/>
      <c r="MII33" s="66"/>
      <c r="MIJ33" s="66"/>
      <c r="MIK33" s="66"/>
      <c r="MIL33" s="66"/>
      <c r="MIM33" s="66"/>
      <c r="MIN33" s="66"/>
      <c r="MIO33" s="66"/>
      <c r="MIP33" s="66"/>
      <c r="MIQ33" s="66"/>
      <c r="MIR33" s="66"/>
      <c r="MIS33" s="66"/>
      <c r="MIT33" s="66"/>
      <c r="MIU33" s="66"/>
      <c r="MIV33" s="66"/>
      <c r="MIW33" s="66"/>
      <c r="MIX33" s="66"/>
      <c r="MIY33" s="66"/>
      <c r="MIZ33" s="66"/>
      <c r="MJA33" s="66"/>
      <c r="MJB33" s="66"/>
      <c r="MJC33" s="66"/>
      <c r="MJD33" s="66"/>
      <c r="MJE33" s="66"/>
      <c r="MJF33" s="66"/>
      <c r="MJG33" s="66"/>
      <c r="MJH33" s="66"/>
      <c r="MJI33" s="66"/>
      <c r="MJJ33" s="66"/>
      <c r="MJK33" s="66"/>
      <c r="MJL33" s="66"/>
      <c r="MJM33" s="66"/>
      <c r="MJN33" s="66"/>
      <c r="MJO33" s="66"/>
      <c r="MJP33" s="66"/>
      <c r="MJQ33" s="66"/>
      <c r="MJR33" s="66"/>
      <c r="MJS33" s="66"/>
      <c r="MJT33" s="66"/>
      <c r="MJU33" s="66"/>
      <c r="MJV33" s="66"/>
      <c r="MJW33" s="66"/>
      <c r="MJX33" s="66"/>
      <c r="MJY33" s="66"/>
      <c r="MJZ33" s="66"/>
      <c r="MKA33" s="66"/>
      <c r="MKB33" s="66"/>
      <c r="MKC33" s="66"/>
      <c r="MKD33" s="66"/>
      <c r="MKE33" s="66"/>
      <c r="MKF33" s="66"/>
      <c r="MKG33" s="66"/>
      <c r="MKH33" s="66"/>
      <c r="MKI33" s="66"/>
      <c r="MKJ33" s="66"/>
      <c r="MKK33" s="66"/>
      <c r="MKL33" s="66"/>
      <c r="MKM33" s="66"/>
      <c r="MKN33" s="66"/>
      <c r="MKO33" s="66"/>
      <c r="MKP33" s="66"/>
      <c r="MKQ33" s="66"/>
      <c r="MKR33" s="66"/>
      <c r="MKS33" s="66"/>
      <c r="MKT33" s="66"/>
      <c r="MKU33" s="66"/>
      <c r="MKV33" s="66"/>
      <c r="MKW33" s="66"/>
      <c r="MKX33" s="66"/>
      <c r="MKY33" s="66"/>
      <c r="MKZ33" s="66"/>
      <c r="MLA33" s="66"/>
      <c r="MLB33" s="66"/>
      <c r="MLC33" s="66"/>
      <c r="MLD33" s="66"/>
      <c r="MLE33" s="66"/>
      <c r="MLF33" s="66"/>
      <c r="MLG33" s="66"/>
      <c r="MLH33" s="66"/>
      <c r="MLI33" s="66"/>
      <c r="MLJ33" s="66"/>
      <c r="MLK33" s="66"/>
      <c r="MLL33" s="66"/>
      <c r="MLM33" s="66"/>
      <c r="MLN33" s="66"/>
      <c r="MLO33" s="66"/>
      <c r="MLP33" s="66"/>
      <c r="MLQ33" s="66"/>
      <c r="MLR33" s="66"/>
      <c r="MLS33" s="66"/>
      <c r="MLT33" s="66"/>
      <c r="MLU33" s="66"/>
      <c r="MLV33" s="66"/>
      <c r="MLW33" s="66"/>
      <c r="MLX33" s="66"/>
      <c r="MLY33" s="66"/>
      <c r="MLZ33" s="66"/>
      <c r="MMA33" s="66"/>
      <c r="MMB33" s="66"/>
      <c r="MMC33" s="66"/>
      <c r="MMD33" s="66"/>
      <c r="MME33" s="66"/>
      <c r="MMF33" s="66"/>
      <c r="MMG33" s="66"/>
      <c r="MMH33" s="66"/>
      <c r="MMI33" s="66"/>
      <c r="MMJ33" s="66"/>
      <c r="MMK33" s="66"/>
      <c r="MML33" s="66"/>
      <c r="MMM33" s="66"/>
      <c r="MMN33" s="66"/>
      <c r="MMO33" s="66"/>
      <c r="MMP33" s="66"/>
      <c r="MMQ33" s="66"/>
      <c r="MMR33" s="66"/>
      <c r="MMS33" s="66"/>
      <c r="MMT33" s="66"/>
      <c r="MMU33" s="66"/>
      <c r="MMV33" s="66"/>
      <c r="MMW33" s="66"/>
      <c r="MMX33" s="66"/>
      <c r="MMY33" s="66"/>
      <c r="MMZ33" s="66"/>
      <c r="MNA33" s="66"/>
      <c r="MNB33" s="66"/>
      <c r="MNC33" s="66"/>
      <c r="MND33" s="66"/>
      <c r="MNE33" s="66"/>
      <c r="MNF33" s="66"/>
      <c r="MNG33" s="66"/>
      <c r="MNH33" s="66"/>
      <c r="MNI33" s="66"/>
      <c r="MNJ33" s="66"/>
      <c r="MNK33" s="66"/>
      <c r="MNL33" s="66"/>
      <c r="MNM33" s="66"/>
      <c r="MNN33" s="66"/>
      <c r="MNO33" s="66"/>
      <c r="MNP33" s="66"/>
      <c r="MNQ33" s="66"/>
      <c r="MNR33" s="66"/>
      <c r="MNS33" s="66"/>
      <c r="MNT33" s="66"/>
      <c r="MNU33" s="66"/>
      <c r="MNV33" s="66"/>
      <c r="MNW33" s="66"/>
      <c r="MNX33" s="66"/>
      <c r="MNY33" s="66"/>
      <c r="MNZ33" s="66"/>
      <c r="MOA33" s="66"/>
      <c r="MOB33" s="66"/>
      <c r="MOC33" s="66"/>
      <c r="MOD33" s="66"/>
      <c r="MOE33" s="66"/>
      <c r="MOF33" s="66"/>
      <c r="MOG33" s="66"/>
      <c r="MOH33" s="66"/>
      <c r="MOI33" s="66"/>
      <c r="MOJ33" s="66"/>
      <c r="MOK33" s="66"/>
      <c r="MOL33" s="66"/>
      <c r="MOM33" s="66"/>
      <c r="MON33" s="66"/>
      <c r="MOO33" s="66"/>
      <c r="MOP33" s="66"/>
      <c r="MOQ33" s="66"/>
      <c r="MOR33" s="66"/>
      <c r="MOS33" s="66"/>
      <c r="MOT33" s="66"/>
      <c r="MOU33" s="66"/>
      <c r="MOV33" s="66"/>
      <c r="MOW33" s="66"/>
      <c r="MOX33" s="66"/>
      <c r="MOY33" s="66"/>
      <c r="MOZ33" s="66"/>
      <c r="MPA33" s="66"/>
      <c r="MPB33" s="66"/>
      <c r="MPC33" s="66"/>
      <c r="MPD33" s="66"/>
      <c r="MPE33" s="66"/>
      <c r="MPF33" s="66"/>
      <c r="MPG33" s="66"/>
      <c r="MPH33" s="66"/>
      <c r="MPI33" s="66"/>
      <c r="MPJ33" s="66"/>
      <c r="MPK33" s="66"/>
      <c r="MPL33" s="66"/>
      <c r="MPM33" s="66"/>
      <c r="MPN33" s="66"/>
      <c r="MPO33" s="66"/>
      <c r="MPP33" s="66"/>
      <c r="MPQ33" s="66"/>
      <c r="MPR33" s="66"/>
      <c r="MPS33" s="66"/>
      <c r="MPT33" s="66"/>
      <c r="MPU33" s="66"/>
      <c r="MPV33" s="66"/>
      <c r="MPW33" s="66"/>
      <c r="MPX33" s="66"/>
      <c r="MPY33" s="66"/>
      <c r="MPZ33" s="66"/>
      <c r="MQA33" s="66"/>
      <c r="MQB33" s="66"/>
      <c r="MQC33" s="66"/>
      <c r="MQD33" s="66"/>
      <c r="MQE33" s="66"/>
      <c r="MQF33" s="66"/>
      <c r="MQG33" s="66"/>
      <c r="MQH33" s="66"/>
      <c r="MQI33" s="66"/>
      <c r="MQJ33" s="66"/>
      <c r="MQK33" s="66"/>
      <c r="MQL33" s="66"/>
      <c r="MQM33" s="66"/>
      <c r="MQN33" s="66"/>
      <c r="MQO33" s="66"/>
      <c r="MQP33" s="66"/>
      <c r="MQQ33" s="66"/>
      <c r="MQR33" s="66"/>
      <c r="MQS33" s="66"/>
      <c r="MQT33" s="66"/>
      <c r="MQU33" s="66"/>
      <c r="MQV33" s="66"/>
      <c r="MQW33" s="66"/>
      <c r="MQX33" s="66"/>
      <c r="MQY33" s="66"/>
      <c r="MQZ33" s="66"/>
      <c r="MRA33" s="66"/>
      <c r="MRB33" s="66"/>
      <c r="MRC33" s="66"/>
      <c r="MRD33" s="66"/>
      <c r="MRE33" s="66"/>
      <c r="MRF33" s="66"/>
      <c r="MRG33" s="66"/>
      <c r="MRH33" s="66"/>
      <c r="MRI33" s="66"/>
      <c r="MRJ33" s="66"/>
      <c r="MRK33" s="66"/>
      <c r="MRL33" s="66"/>
      <c r="MRM33" s="66"/>
      <c r="MRN33" s="66"/>
      <c r="MRO33" s="66"/>
      <c r="MRP33" s="66"/>
      <c r="MRQ33" s="66"/>
      <c r="MRR33" s="66"/>
      <c r="MRS33" s="66"/>
      <c r="MRT33" s="66"/>
      <c r="MRU33" s="66"/>
      <c r="MRV33" s="66"/>
      <c r="MRW33" s="66"/>
      <c r="MRX33" s="66"/>
      <c r="MRY33" s="66"/>
      <c r="MRZ33" s="66"/>
      <c r="MSA33" s="66"/>
      <c r="MSB33" s="66"/>
      <c r="MSC33" s="66"/>
      <c r="MSD33" s="66"/>
      <c r="MSE33" s="66"/>
      <c r="MSF33" s="66"/>
      <c r="MSG33" s="66"/>
      <c r="MSH33" s="66"/>
      <c r="MSI33" s="66"/>
      <c r="MSJ33" s="66"/>
      <c r="MSK33" s="66"/>
      <c r="MSL33" s="66"/>
      <c r="MSM33" s="66"/>
      <c r="MSN33" s="66"/>
      <c r="MSO33" s="66"/>
      <c r="MSP33" s="66"/>
      <c r="MSQ33" s="66"/>
      <c r="MSR33" s="66"/>
      <c r="MSS33" s="66"/>
      <c r="MST33" s="66"/>
      <c r="MSU33" s="66"/>
      <c r="MSV33" s="66"/>
      <c r="MSW33" s="66"/>
      <c r="MSX33" s="66"/>
      <c r="MSY33" s="66"/>
      <c r="MSZ33" s="66"/>
      <c r="MTA33" s="66"/>
      <c r="MTB33" s="66"/>
      <c r="MTC33" s="66"/>
      <c r="MTD33" s="66"/>
      <c r="MTE33" s="66"/>
      <c r="MTF33" s="66"/>
      <c r="MTG33" s="66"/>
      <c r="MTH33" s="66"/>
      <c r="MTI33" s="66"/>
      <c r="MTJ33" s="66"/>
      <c r="MTK33" s="66"/>
      <c r="MTL33" s="66"/>
      <c r="MTM33" s="66"/>
      <c r="MTN33" s="66"/>
      <c r="MTO33" s="66"/>
      <c r="MTP33" s="66"/>
      <c r="MTQ33" s="66"/>
      <c r="MTR33" s="66"/>
      <c r="MTS33" s="66"/>
      <c r="MTT33" s="66"/>
      <c r="MTU33" s="66"/>
      <c r="MTV33" s="66"/>
      <c r="MTW33" s="66"/>
      <c r="MTX33" s="66"/>
      <c r="MTY33" s="66"/>
      <c r="MTZ33" s="66"/>
      <c r="MUA33" s="66"/>
      <c r="MUB33" s="66"/>
      <c r="MUC33" s="66"/>
      <c r="MUD33" s="66"/>
      <c r="MUE33" s="66"/>
      <c r="MUF33" s="66"/>
      <c r="MUG33" s="66"/>
      <c r="MUH33" s="66"/>
      <c r="MUI33" s="66"/>
      <c r="MUJ33" s="66"/>
      <c r="MUK33" s="66"/>
      <c r="MUL33" s="66"/>
      <c r="MUM33" s="66"/>
      <c r="MUN33" s="66"/>
      <c r="MUO33" s="66"/>
      <c r="MUP33" s="66"/>
      <c r="MUQ33" s="66"/>
      <c r="MUR33" s="66"/>
      <c r="MUS33" s="66"/>
      <c r="MUT33" s="66"/>
      <c r="MUU33" s="66"/>
      <c r="MUV33" s="66"/>
      <c r="MUW33" s="66"/>
      <c r="MUX33" s="66"/>
      <c r="MUY33" s="66"/>
      <c r="MUZ33" s="66"/>
      <c r="MVA33" s="66"/>
      <c r="MVB33" s="66"/>
      <c r="MVC33" s="66"/>
      <c r="MVD33" s="66"/>
      <c r="MVE33" s="66"/>
      <c r="MVF33" s="66"/>
      <c r="MVG33" s="66"/>
      <c r="MVH33" s="66"/>
      <c r="MVI33" s="66"/>
      <c r="MVJ33" s="66"/>
      <c r="MVK33" s="66"/>
      <c r="MVL33" s="66"/>
      <c r="MVM33" s="66"/>
      <c r="MVN33" s="66"/>
      <c r="MVO33" s="66"/>
      <c r="MVP33" s="66"/>
      <c r="MVQ33" s="66"/>
      <c r="MVR33" s="66"/>
      <c r="MVS33" s="66"/>
      <c r="MVT33" s="66"/>
      <c r="MVU33" s="66"/>
      <c r="MVV33" s="66"/>
      <c r="MVW33" s="66"/>
      <c r="MVX33" s="66"/>
      <c r="MVY33" s="66"/>
      <c r="MVZ33" s="66"/>
      <c r="MWA33" s="66"/>
      <c r="MWB33" s="66"/>
      <c r="MWC33" s="66"/>
      <c r="MWD33" s="66"/>
      <c r="MWE33" s="66"/>
      <c r="MWF33" s="66"/>
      <c r="MWG33" s="66"/>
      <c r="MWH33" s="66"/>
      <c r="MWI33" s="66"/>
      <c r="MWJ33" s="66"/>
      <c r="MWK33" s="66"/>
      <c r="MWL33" s="66"/>
      <c r="MWM33" s="66"/>
      <c r="MWN33" s="66"/>
      <c r="MWO33" s="66"/>
      <c r="MWP33" s="66"/>
      <c r="MWQ33" s="66"/>
      <c r="MWR33" s="66"/>
      <c r="MWS33" s="66"/>
      <c r="MWT33" s="66"/>
      <c r="MWU33" s="66"/>
      <c r="MWV33" s="66"/>
      <c r="MWW33" s="66"/>
      <c r="MWX33" s="66"/>
      <c r="MWY33" s="66"/>
      <c r="MWZ33" s="66"/>
      <c r="MXA33" s="66"/>
      <c r="MXB33" s="66"/>
      <c r="MXC33" s="66"/>
      <c r="MXD33" s="66"/>
      <c r="MXE33" s="66"/>
      <c r="MXF33" s="66"/>
      <c r="MXG33" s="66"/>
      <c r="MXH33" s="66"/>
      <c r="MXI33" s="66"/>
      <c r="MXJ33" s="66"/>
      <c r="MXK33" s="66"/>
      <c r="MXL33" s="66"/>
      <c r="MXM33" s="66"/>
      <c r="MXN33" s="66"/>
      <c r="MXO33" s="66"/>
      <c r="MXP33" s="66"/>
      <c r="MXQ33" s="66"/>
      <c r="MXR33" s="66"/>
      <c r="MXS33" s="66"/>
      <c r="MXT33" s="66"/>
      <c r="MXU33" s="66"/>
      <c r="MXV33" s="66"/>
      <c r="MXW33" s="66"/>
      <c r="MXX33" s="66"/>
      <c r="MXY33" s="66"/>
      <c r="MXZ33" s="66"/>
      <c r="MYA33" s="66"/>
      <c r="MYB33" s="66"/>
      <c r="MYC33" s="66"/>
      <c r="MYD33" s="66"/>
      <c r="MYE33" s="66"/>
      <c r="MYF33" s="66"/>
      <c r="MYG33" s="66"/>
      <c r="MYH33" s="66"/>
      <c r="MYI33" s="66"/>
      <c r="MYJ33" s="66"/>
      <c r="MYK33" s="66"/>
      <c r="MYL33" s="66"/>
      <c r="MYM33" s="66"/>
      <c r="MYN33" s="66"/>
      <c r="MYO33" s="66"/>
      <c r="MYP33" s="66"/>
      <c r="MYQ33" s="66"/>
      <c r="MYR33" s="66"/>
      <c r="MYS33" s="66"/>
      <c r="MYT33" s="66"/>
      <c r="MYU33" s="66"/>
      <c r="MYV33" s="66"/>
      <c r="MYW33" s="66"/>
      <c r="MYX33" s="66"/>
      <c r="MYY33" s="66"/>
      <c r="MYZ33" s="66"/>
      <c r="MZA33" s="66"/>
      <c r="MZB33" s="66"/>
      <c r="MZC33" s="66"/>
      <c r="MZD33" s="66"/>
      <c r="MZE33" s="66"/>
      <c r="MZF33" s="66"/>
      <c r="MZG33" s="66"/>
      <c r="MZH33" s="66"/>
      <c r="MZI33" s="66"/>
      <c r="MZJ33" s="66"/>
      <c r="MZK33" s="66"/>
      <c r="MZL33" s="66"/>
      <c r="MZM33" s="66"/>
      <c r="MZN33" s="66"/>
      <c r="MZO33" s="66"/>
      <c r="MZP33" s="66"/>
      <c r="MZQ33" s="66"/>
      <c r="MZR33" s="66"/>
      <c r="MZS33" s="66"/>
      <c r="MZT33" s="66"/>
      <c r="MZU33" s="66"/>
      <c r="MZV33" s="66"/>
      <c r="MZW33" s="66"/>
      <c r="MZX33" s="66"/>
      <c r="MZY33" s="66"/>
      <c r="MZZ33" s="66"/>
      <c r="NAA33" s="66"/>
      <c r="NAB33" s="66"/>
      <c r="NAC33" s="66"/>
      <c r="NAD33" s="66"/>
      <c r="NAE33" s="66"/>
      <c r="NAF33" s="66"/>
      <c r="NAG33" s="66"/>
      <c r="NAH33" s="66"/>
      <c r="NAI33" s="66"/>
      <c r="NAJ33" s="66"/>
      <c r="NAK33" s="66"/>
      <c r="NAL33" s="66"/>
      <c r="NAM33" s="66"/>
      <c r="NAN33" s="66"/>
      <c r="NAO33" s="66"/>
      <c r="NAP33" s="66"/>
      <c r="NAQ33" s="66"/>
      <c r="NAR33" s="66"/>
      <c r="NAS33" s="66"/>
      <c r="NAT33" s="66"/>
      <c r="NAU33" s="66"/>
      <c r="NAV33" s="66"/>
      <c r="NAW33" s="66"/>
      <c r="NAX33" s="66"/>
      <c r="NAY33" s="66"/>
      <c r="NAZ33" s="66"/>
      <c r="NBA33" s="66"/>
      <c r="NBB33" s="66"/>
      <c r="NBC33" s="66"/>
      <c r="NBD33" s="66"/>
      <c r="NBE33" s="66"/>
      <c r="NBF33" s="66"/>
      <c r="NBG33" s="66"/>
      <c r="NBH33" s="66"/>
      <c r="NBI33" s="66"/>
      <c r="NBJ33" s="66"/>
      <c r="NBK33" s="66"/>
      <c r="NBL33" s="66"/>
      <c r="NBM33" s="66"/>
      <c r="NBN33" s="66"/>
      <c r="NBO33" s="66"/>
      <c r="NBP33" s="66"/>
      <c r="NBQ33" s="66"/>
      <c r="NBR33" s="66"/>
      <c r="NBS33" s="66"/>
      <c r="NBT33" s="66"/>
      <c r="NBU33" s="66"/>
      <c r="NBV33" s="66"/>
      <c r="NBW33" s="66"/>
      <c r="NBX33" s="66"/>
      <c r="NBY33" s="66"/>
      <c r="NBZ33" s="66"/>
      <c r="NCA33" s="66"/>
      <c r="NCB33" s="66"/>
      <c r="NCC33" s="66"/>
      <c r="NCD33" s="66"/>
      <c r="NCE33" s="66"/>
      <c r="NCF33" s="66"/>
      <c r="NCG33" s="66"/>
      <c r="NCH33" s="66"/>
      <c r="NCI33" s="66"/>
      <c r="NCJ33" s="66"/>
      <c r="NCK33" s="66"/>
      <c r="NCL33" s="66"/>
      <c r="NCM33" s="66"/>
      <c r="NCN33" s="66"/>
      <c r="NCO33" s="66"/>
      <c r="NCP33" s="66"/>
      <c r="NCQ33" s="66"/>
      <c r="NCR33" s="66"/>
      <c r="NCS33" s="66"/>
      <c r="NCT33" s="66"/>
      <c r="NCU33" s="66"/>
      <c r="NCV33" s="66"/>
      <c r="NCW33" s="66"/>
      <c r="NCX33" s="66"/>
      <c r="NCY33" s="66"/>
      <c r="NCZ33" s="66"/>
      <c r="NDA33" s="66"/>
      <c r="NDB33" s="66"/>
      <c r="NDC33" s="66"/>
      <c r="NDD33" s="66"/>
      <c r="NDE33" s="66"/>
      <c r="NDF33" s="66"/>
      <c r="NDG33" s="66"/>
      <c r="NDH33" s="66"/>
      <c r="NDI33" s="66"/>
      <c r="NDJ33" s="66"/>
      <c r="NDK33" s="66"/>
      <c r="NDL33" s="66"/>
      <c r="NDM33" s="66"/>
      <c r="NDN33" s="66"/>
      <c r="NDO33" s="66"/>
      <c r="NDP33" s="66"/>
      <c r="NDQ33" s="66"/>
      <c r="NDR33" s="66"/>
      <c r="NDS33" s="66"/>
      <c r="NDT33" s="66"/>
      <c r="NDU33" s="66"/>
      <c r="NDV33" s="66"/>
      <c r="NDW33" s="66"/>
      <c r="NDX33" s="66"/>
      <c r="NDY33" s="66"/>
      <c r="NDZ33" s="66"/>
      <c r="NEA33" s="66"/>
      <c r="NEB33" s="66"/>
      <c r="NEC33" s="66"/>
      <c r="NED33" s="66"/>
      <c r="NEE33" s="66"/>
      <c r="NEF33" s="66"/>
      <c r="NEG33" s="66"/>
      <c r="NEH33" s="66"/>
      <c r="NEI33" s="66"/>
      <c r="NEJ33" s="66"/>
      <c r="NEK33" s="66"/>
      <c r="NEL33" s="66"/>
      <c r="NEM33" s="66"/>
      <c r="NEN33" s="66"/>
      <c r="NEO33" s="66"/>
      <c r="NEP33" s="66"/>
      <c r="NEQ33" s="66"/>
      <c r="NER33" s="66"/>
      <c r="NES33" s="66"/>
      <c r="NET33" s="66"/>
      <c r="NEU33" s="66"/>
      <c r="NEV33" s="66"/>
      <c r="NEW33" s="66"/>
      <c r="NEX33" s="66"/>
      <c r="NEY33" s="66"/>
      <c r="NEZ33" s="66"/>
      <c r="NFA33" s="66"/>
      <c r="NFB33" s="66"/>
      <c r="NFC33" s="66"/>
      <c r="NFD33" s="66"/>
      <c r="NFE33" s="66"/>
      <c r="NFF33" s="66"/>
      <c r="NFG33" s="66"/>
      <c r="NFH33" s="66"/>
      <c r="NFI33" s="66"/>
      <c r="NFJ33" s="66"/>
      <c r="NFK33" s="66"/>
      <c r="NFL33" s="66"/>
      <c r="NFM33" s="66"/>
      <c r="NFN33" s="66"/>
      <c r="NFO33" s="66"/>
      <c r="NFP33" s="66"/>
      <c r="NFQ33" s="66"/>
      <c r="NFR33" s="66"/>
      <c r="NFS33" s="66"/>
      <c r="NFT33" s="66"/>
      <c r="NFU33" s="66"/>
      <c r="NFV33" s="66"/>
      <c r="NFW33" s="66"/>
      <c r="NFX33" s="66"/>
      <c r="NFY33" s="66"/>
      <c r="NFZ33" s="66"/>
      <c r="NGA33" s="66"/>
      <c r="NGB33" s="66"/>
      <c r="NGC33" s="66"/>
      <c r="NGD33" s="66"/>
      <c r="NGE33" s="66"/>
      <c r="NGF33" s="66"/>
      <c r="NGG33" s="66"/>
      <c r="NGH33" s="66"/>
      <c r="NGI33" s="66"/>
      <c r="NGJ33" s="66"/>
      <c r="NGK33" s="66"/>
      <c r="NGL33" s="66"/>
      <c r="NGM33" s="66"/>
      <c r="NGN33" s="66"/>
      <c r="NGO33" s="66"/>
      <c r="NGP33" s="66"/>
      <c r="NGQ33" s="66"/>
      <c r="NGR33" s="66"/>
      <c r="NGS33" s="66"/>
      <c r="NGT33" s="66"/>
      <c r="NGU33" s="66"/>
      <c r="NGV33" s="66"/>
      <c r="NGW33" s="66"/>
      <c r="NGX33" s="66"/>
      <c r="NGY33" s="66"/>
      <c r="NGZ33" s="66"/>
      <c r="NHA33" s="66"/>
      <c r="NHB33" s="66"/>
      <c r="NHC33" s="66"/>
      <c r="NHD33" s="66"/>
      <c r="NHE33" s="66"/>
      <c r="NHF33" s="66"/>
      <c r="NHG33" s="66"/>
      <c r="NHH33" s="66"/>
      <c r="NHI33" s="66"/>
      <c r="NHJ33" s="66"/>
      <c r="NHK33" s="66"/>
      <c r="NHL33" s="66"/>
      <c r="NHM33" s="66"/>
      <c r="NHN33" s="66"/>
      <c r="NHO33" s="66"/>
      <c r="NHP33" s="66"/>
      <c r="NHQ33" s="66"/>
      <c r="NHR33" s="66"/>
      <c r="NHS33" s="66"/>
      <c r="NHT33" s="66"/>
      <c r="NHU33" s="66"/>
      <c r="NHV33" s="66"/>
      <c r="NHW33" s="66"/>
      <c r="NHX33" s="66"/>
      <c r="NHY33" s="66"/>
      <c r="NHZ33" s="66"/>
      <c r="NIA33" s="66"/>
      <c r="NIB33" s="66"/>
      <c r="NIC33" s="66"/>
      <c r="NID33" s="66"/>
      <c r="NIE33" s="66"/>
      <c r="NIF33" s="66"/>
      <c r="NIG33" s="66"/>
      <c r="NIH33" s="66"/>
      <c r="NII33" s="66"/>
      <c r="NIJ33" s="66"/>
      <c r="NIK33" s="66"/>
      <c r="NIL33" s="66"/>
      <c r="NIM33" s="66"/>
      <c r="NIN33" s="66"/>
      <c r="NIO33" s="66"/>
      <c r="NIP33" s="66"/>
      <c r="NIQ33" s="66"/>
      <c r="NIR33" s="66"/>
      <c r="NIS33" s="66"/>
      <c r="NIT33" s="66"/>
      <c r="NIU33" s="66"/>
      <c r="NIV33" s="66"/>
      <c r="NIW33" s="66"/>
      <c r="NIX33" s="66"/>
      <c r="NIY33" s="66"/>
      <c r="NIZ33" s="66"/>
      <c r="NJA33" s="66"/>
      <c r="NJB33" s="66"/>
      <c r="NJC33" s="66"/>
      <c r="NJD33" s="66"/>
      <c r="NJE33" s="66"/>
      <c r="NJF33" s="66"/>
      <c r="NJG33" s="66"/>
      <c r="NJH33" s="66"/>
      <c r="NJI33" s="66"/>
      <c r="NJJ33" s="66"/>
      <c r="NJK33" s="66"/>
      <c r="NJL33" s="66"/>
      <c r="NJM33" s="66"/>
      <c r="NJN33" s="66"/>
      <c r="NJO33" s="66"/>
      <c r="NJP33" s="66"/>
      <c r="NJQ33" s="66"/>
      <c r="NJR33" s="66"/>
      <c r="NJS33" s="66"/>
      <c r="NJT33" s="66"/>
      <c r="NJU33" s="66"/>
      <c r="NJV33" s="66"/>
      <c r="NJW33" s="66"/>
      <c r="NJX33" s="66"/>
      <c r="NJY33" s="66"/>
      <c r="NJZ33" s="66"/>
      <c r="NKA33" s="66"/>
      <c r="NKB33" s="66"/>
      <c r="NKC33" s="66"/>
      <c r="NKD33" s="66"/>
      <c r="NKE33" s="66"/>
      <c r="NKF33" s="66"/>
      <c r="NKG33" s="66"/>
      <c r="NKH33" s="66"/>
      <c r="NKI33" s="66"/>
      <c r="NKJ33" s="66"/>
      <c r="NKK33" s="66"/>
      <c r="NKL33" s="66"/>
      <c r="NKM33" s="66"/>
      <c r="NKN33" s="66"/>
      <c r="NKO33" s="66"/>
      <c r="NKP33" s="66"/>
      <c r="NKQ33" s="66"/>
      <c r="NKR33" s="66"/>
      <c r="NKS33" s="66"/>
      <c r="NKT33" s="66"/>
      <c r="NKU33" s="66"/>
      <c r="NKV33" s="66"/>
      <c r="NKW33" s="66"/>
      <c r="NKX33" s="66"/>
      <c r="NKY33" s="66"/>
      <c r="NKZ33" s="66"/>
      <c r="NLA33" s="66"/>
      <c r="NLB33" s="66"/>
      <c r="NLC33" s="66"/>
      <c r="NLD33" s="66"/>
      <c r="NLE33" s="66"/>
      <c r="NLF33" s="66"/>
      <c r="NLG33" s="66"/>
      <c r="NLH33" s="66"/>
      <c r="NLI33" s="66"/>
      <c r="NLJ33" s="66"/>
      <c r="NLK33" s="66"/>
      <c r="NLL33" s="66"/>
      <c r="NLM33" s="66"/>
      <c r="NLN33" s="66"/>
      <c r="NLO33" s="66"/>
      <c r="NLP33" s="66"/>
      <c r="NLQ33" s="66"/>
      <c r="NLR33" s="66"/>
      <c r="NLS33" s="66"/>
      <c r="NLT33" s="66"/>
      <c r="NLU33" s="66"/>
      <c r="NLV33" s="66"/>
      <c r="NLW33" s="66"/>
      <c r="NLX33" s="66"/>
      <c r="NLY33" s="66"/>
      <c r="NLZ33" s="66"/>
      <c r="NMA33" s="66"/>
      <c r="NMB33" s="66"/>
      <c r="NMC33" s="66"/>
      <c r="NMD33" s="66"/>
      <c r="NME33" s="66"/>
      <c r="NMF33" s="66"/>
      <c r="NMG33" s="66"/>
      <c r="NMH33" s="66"/>
      <c r="NMI33" s="66"/>
      <c r="NMJ33" s="66"/>
      <c r="NMK33" s="66"/>
      <c r="NML33" s="66"/>
      <c r="NMM33" s="66"/>
      <c r="NMN33" s="66"/>
      <c r="NMO33" s="66"/>
      <c r="NMP33" s="66"/>
      <c r="NMQ33" s="66"/>
      <c r="NMR33" s="66"/>
      <c r="NMS33" s="66"/>
      <c r="NMT33" s="66"/>
      <c r="NMU33" s="66"/>
      <c r="NMV33" s="66"/>
      <c r="NMW33" s="66"/>
      <c r="NMX33" s="66"/>
      <c r="NMY33" s="66"/>
      <c r="NMZ33" s="66"/>
      <c r="NNA33" s="66"/>
      <c r="NNB33" s="66"/>
      <c r="NNC33" s="66"/>
      <c r="NND33" s="66"/>
      <c r="NNE33" s="66"/>
      <c r="NNF33" s="66"/>
      <c r="NNG33" s="66"/>
      <c r="NNH33" s="66"/>
      <c r="NNI33" s="66"/>
      <c r="NNJ33" s="66"/>
      <c r="NNK33" s="66"/>
      <c r="NNL33" s="66"/>
      <c r="NNM33" s="66"/>
      <c r="NNN33" s="66"/>
      <c r="NNO33" s="66"/>
      <c r="NNP33" s="66"/>
      <c r="NNQ33" s="66"/>
      <c r="NNR33" s="66"/>
      <c r="NNS33" s="66"/>
      <c r="NNT33" s="66"/>
      <c r="NNU33" s="66"/>
      <c r="NNV33" s="66"/>
      <c r="NNW33" s="66"/>
      <c r="NNX33" s="66"/>
      <c r="NNY33" s="66"/>
      <c r="NNZ33" s="66"/>
      <c r="NOA33" s="66"/>
      <c r="NOB33" s="66"/>
      <c r="NOC33" s="66"/>
      <c r="NOD33" s="66"/>
      <c r="NOE33" s="66"/>
      <c r="NOF33" s="66"/>
      <c r="NOG33" s="66"/>
      <c r="NOH33" s="66"/>
      <c r="NOI33" s="66"/>
      <c r="NOJ33" s="66"/>
      <c r="NOK33" s="66"/>
      <c r="NOL33" s="66"/>
      <c r="NOM33" s="66"/>
      <c r="NON33" s="66"/>
      <c r="NOO33" s="66"/>
      <c r="NOP33" s="66"/>
      <c r="NOQ33" s="66"/>
      <c r="NOR33" s="66"/>
      <c r="NOS33" s="66"/>
      <c r="NOT33" s="66"/>
      <c r="NOU33" s="66"/>
      <c r="NOV33" s="66"/>
      <c r="NOW33" s="66"/>
      <c r="NOX33" s="66"/>
      <c r="NOY33" s="66"/>
      <c r="NOZ33" s="66"/>
      <c r="NPA33" s="66"/>
      <c r="NPB33" s="66"/>
      <c r="NPC33" s="66"/>
      <c r="NPD33" s="66"/>
      <c r="NPE33" s="66"/>
      <c r="NPF33" s="66"/>
      <c r="NPG33" s="66"/>
      <c r="NPH33" s="66"/>
      <c r="NPI33" s="66"/>
      <c r="NPJ33" s="66"/>
      <c r="NPK33" s="66"/>
      <c r="NPL33" s="66"/>
      <c r="NPM33" s="66"/>
      <c r="NPN33" s="66"/>
      <c r="NPO33" s="66"/>
      <c r="NPP33" s="66"/>
      <c r="NPQ33" s="66"/>
      <c r="NPR33" s="66"/>
      <c r="NPS33" s="66"/>
      <c r="NPT33" s="66"/>
      <c r="NPU33" s="66"/>
      <c r="NPV33" s="66"/>
      <c r="NPW33" s="66"/>
      <c r="NPX33" s="66"/>
      <c r="NPY33" s="66"/>
      <c r="NPZ33" s="66"/>
      <c r="NQA33" s="66"/>
      <c r="NQB33" s="66"/>
      <c r="NQC33" s="66"/>
      <c r="NQD33" s="66"/>
      <c r="NQE33" s="66"/>
      <c r="NQF33" s="66"/>
      <c r="NQG33" s="66"/>
      <c r="NQH33" s="66"/>
      <c r="NQI33" s="66"/>
      <c r="NQJ33" s="66"/>
      <c r="NQK33" s="66"/>
      <c r="NQL33" s="66"/>
      <c r="NQM33" s="66"/>
      <c r="NQN33" s="66"/>
      <c r="NQO33" s="66"/>
      <c r="NQP33" s="66"/>
      <c r="NQQ33" s="66"/>
      <c r="NQR33" s="66"/>
      <c r="NQS33" s="66"/>
      <c r="NQT33" s="66"/>
      <c r="NQU33" s="66"/>
      <c r="NQV33" s="66"/>
      <c r="NQW33" s="66"/>
      <c r="NQX33" s="66"/>
      <c r="NQY33" s="66"/>
      <c r="NQZ33" s="66"/>
      <c r="NRA33" s="66"/>
      <c r="NRB33" s="66"/>
      <c r="NRC33" s="66"/>
      <c r="NRD33" s="66"/>
      <c r="NRE33" s="66"/>
      <c r="NRF33" s="66"/>
      <c r="NRG33" s="66"/>
      <c r="NRH33" s="66"/>
      <c r="NRI33" s="66"/>
      <c r="NRJ33" s="66"/>
      <c r="NRK33" s="66"/>
      <c r="NRL33" s="66"/>
      <c r="NRM33" s="66"/>
      <c r="NRN33" s="66"/>
      <c r="NRO33" s="66"/>
      <c r="NRP33" s="66"/>
      <c r="NRQ33" s="66"/>
      <c r="NRR33" s="66"/>
      <c r="NRS33" s="66"/>
      <c r="NRT33" s="66"/>
      <c r="NRU33" s="66"/>
      <c r="NRV33" s="66"/>
      <c r="NRW33" s="66"/>
      <c r="NRX33" s="66"/>
      <c r="NRY33" s="66"/>
      <c r="NRZ33" s="66"/>
      <c r="NSA33" s="66"/>
      <c r="NSB33" s="66"/>
      <c r="NSC33" s="66"/>
      <c r="NSD33" s="66"/>
      <c r="NSE33" s="66"/>
      <c r="NSF33" s="66"/>
      <c r="NSG33" s="66"/>
      <c r="NSH33" s="66"/>
      <c r="NSI33" s="66"/>
      <c r="NSJ33" s="66"/>
      <c r="NSK33" s="66"/>
      <c r="NSL33" s="66"/>
      <c r="NSM33" s="66"/>
      <c r="NSN33" s="66"/>
      <c r="NSO33" s="66"/>
      <c r="NSP33" s="66"/>
      <c r="NSQ33" s="66"/>
      <c r="NSR33" s="66"/>
      <c r="NSS33" s="66"/>
      <c r="NST33" s="66"/>
      <c r="NSU33" s="66"/>
      <c r="NSV33" s="66"/>
      <c r="NSW33" s="66"/>
      <c r="NSX33" s="66"/>
      <c r="NSY33" s="66"/>
      <c r="NSZ33" s="66"/>
      <c r="NTA33" s="66"/>
      <c r="NTB33" s="66"/>
      <c r="NTC33" s="66"/>
      <c r="NTD33" s="66"/>
      <c r="NTE33" s="66"/>
      <c r="NTF33" s="66"/>
      <c r="NTG33" s="66"/>
      <c r="NTH33" s="66"/>
      <c r="NTI33" s="66"/>
      <c r="NTJ33" s="66"/>
      <c r="NTK33" s="66"/>
      <c r="NTL33" s="66"/>
      <c r="NTM33" s="66"/>
      <c r="NTN33" s="66"/>
      <c r="NTO33" s="66"/>
      <c r="NTP33" s="66"/>
      <c r="NTQ33" s="66"/>
      <c r="NTR33" s="66"/>
      <c r="NTS33" s="66"/>
      <c r="NTT33" s="66"/>
      <c r="NTU33" s="66"/>
      <c r="NTV33" s="66"/>
      <c r="NTW33" s="66"/>
      <c r="NTX33" s="66"/>
      <c r="NTY33" s="66"/>
      <c r="NTZ33" s="66"/>
      <c r="NUA33" s="66"/>
      <c r="NUB33" s="66"/>
      <c r="NUC33" s="66"/>
      <c r="NUD33" s="66"/>
      <c r="NUE33" s="66"/>
      <c r="NUF33" s="66"/>
      <c r="NUG33" s="66"/>
      <c r="NUH33" s="66"/>
      <c r="NUI33" s="66"/>
      <c r="NUJ33" s="66"/>
      <c r="NUK33" s="66"/>
      <c r="NUL33" s="66"/>
      <c r="NUM33" s="66"/>
      <c r="NUN33" s="66"/>
      <c r="NUO33" s="66"/>
      <c r="NUP33" s="66"/>
      <c r="NUQ33" s="66"/>
      <c r="NUR33" s="66"/>
      <c r="NUS33" s="66"/>
      <c r="NUT33" s="66"/>
      <c r="NUU33" s="66"/>
      <c r="NUV33" s="66"/>
      <c r="NUW33" s="66"/>
      <c r="NUX33" s="66"/>
      <c r="NUY33" s="66"/>
      <c r="NUZ33" s="66"/>
      <c r="NVA33" s="66"/>
      <c r="NVB33" s="66"/>
      <c r="NVC33" s="66"/>
      <c r="NVD33" s="66"/>
      <c r="NVE33" s="66"/>
      <c r="NVF33" s="66"/>
      <c r="NVG33" s="66"/>
      <c r="NVH33" s="66"/>
      <c r="NVI33" s="66"/>
      <c r="NVJ33" s="66"/>
      <c r="NVK33" s="66"/>
      <c r="NVL33" s="66"/>
      <c r="NVM33" s="66"/>
      <c r="NVN33" s="66"/>
      <c r="NVO33" s="66"/>
      <c r="NVP33" s="66"/>
      <c r="NVQ33" s="66"/>
      <c r="NVR33" s="66"/>
      <c r="NVS33" s="66"/>
      <c r="NVT33" s="66"/>
      <c r="NVU33" s="66"/>
      <c r="NVV33" s="66"/>
      <c r="NVW33" s="66"/>
      <c r="NVX33" s="66"/>
      <c r="NVY33" s="66"/>
      <c r="NVZ33" s="66"/>
      <c r="NWA33" s="66"/>
      <c r="NWB33" s="66"/>
      <c r="NWC33" s="66"/>
      <c r="NWD33" s="66"/>
      <c r="NWE33" s="66"/>
      <c r="NWF33" s="66"/>
      <c r="NWG33" s="66"/>
      <c r="NWH33" s="66"/>
      <c r="NWI33" s="66"/>
      <c r="NWJ33" s="66"/>
      <c r="NWK33" s="66"/>
      <c r="NWL33" s="66"/>
      <c r="NWM33" s="66"/>
      <c r="NWN33" s="66"/>
      <c r="NWO33" s="66"/>
      <c r="NWP33" s="66"/>
      <c r="NWQ33" s="66"/>
      <c r="NWR33" s="66"/>
      <c r="NWS33" s="66"/>
      <c r="NWT33" s="66"/>
      <c r="NWU33" s="66"/>
      <c r="NWV33" s="66"/>
      <c r="NWW33" s="66"/>
      <c r="NWX33" s="66"/>
      <c r="NWY33" s="66"/>
      <c r="NWZ33" s="66"/>
      <c r="NXA33" s="66"/>
      <c r="NXB33" s="66"/>
      <c r="NXC33" s="66"/>
      <c r="NXD33" s="66"/>
      <c r="NXE33" s="66"/>
      <c r="NXF33" s="66"/>
      <c r="NXG33" s="66"/>
      <c r="NXH33" s="66"/>
      <c r="NXI33" s="66"/>
      <c r="NXJ33" s="66"/>
      <c r="NXK33" s="66"/>
      <c r="NXL33" s="66"/>
      <c r="NXM33" s="66"/>
      <c r="NXN33" s="66"/>
      <c r="NXO33" s="66"/>
      <c r="NXP33" s="66"/>
      <c r="NXQ33" s="66"/>
      <c r="NXR33" s="66"/>
      <c r="NXS33" s="66"/>
      <c r="NXT33" s="66"/>
      <c r="NXU33" s="66"/>
      <c r="NXV33" s="66"/>
      <c r="NXW33" s="66"/>
      <c r="NXX33" s="66"/>
      <c r="NXY33" s="66"/>
      <c r="NXZ33" s="66"/>
      <c r="NYA33" s="66"/>
      <c r="NYB33" s="66"/>
      <c r="NYC33" s="66"/>
      <c r="NYD33" s="66"/>
      <c r="NYE33" s="66"/>
      <c r="NYF33" s="66"/>
      <c r="NYG33" s="66"/>
      <c r="NYH33" s="66"/>
      <c r="NYI33" s="66"/>
      <c r="NYJ33" s="66"/>
      <c r="NYK33" s="66"/>
      <c r="NYL33" s="66"/>
      <c r="NYM33" s="66"/>
      <c r="NYN33" s="66"/>
      <c r="NYO33" s="66"/>
      <c r="NYP33" s="66"/>
      <c r="NYQ33" s="66"/>
      <c r="NYR33" s="66"/>
      <c r="NYS33" s="66"/>
      <c r="NYT33" s="66"/>
      <c r="NYU33" s="66"/>
      <c r="NYV33" s="66"/>
      <c r="NYW33" s="66"/>
      <c r="NYX33" s="66"/>
      <c r="NYY33" s="66"/>
      <c r="NYZ33" s="66"/>
      <c r="NZA33" s="66"/>
      <c r="NZB33" s="66"/>
      <c r="NZC33" s="66"/>
      <c r="NZD33" s="66"/>
      <c r="NZE33" s="66"/>
      <c r="NZF33" s="66"/>
      <c r="NZG33" s="66"/>
      <c r="NZH33" s="66"/>
      <c r="NZI33" s="66"/>
      <c r="NZJ33" s="66"/>
      <c r="NZK33" s="66"/>
      <c r="NZL33" s="66"/>
      <c r="NZM33" s="66"/>
      <c r="NZN33" s="66"/>
      <c r="NZO33" s="66"/>
      <c r="NZP33" s="66"/>
      <c r="NZQ33" s="66"/>
      <c r="NZR33" s="66"/>
      <c r="NZS33" s="66"/>
      <c r="NZT33" s="66"/>
      <c r="NZU33" s="66"/>
      <c r="NZV33" s="66"/>
      <c r="NZW33" s="66"/>
      <c r="NZX33" s="66"/>
      <c r="NZY33" s="66"/>
      <c r="NZZ33" s="66"/>
      <c r="OAA33" s="66"/>
      <c r="OAB33" s="66"/>
      <c r="OAC33" s="66"/>
      <c r="OAD33" s="66"/>
      <c r="OAE33" s="66"/>
      <c r="OAF33" s="66"/>
      <c r="OAG33" s="66"/>
      <c r="OAH33" s="66"/>
      <c r="OAI33" s="66"/>
      <c r="OAJ33" s="66"/>
      <c r="OAK33" s="66"/>
      <c r="OAL33" s="66"/>
      <c r="OAM33" s="66"/>
      <c r="OAN33" s="66"/>
      <c r="OAO33" s="66"/>
      <c r="OAP33" s="66"/>
      <c r="OAQ33" s="66"/>
      <c r="OAR33" s="66"/>
      <c r="OAS33" s="66"/>
      <c r="OAT33" s="66"/>
      <c r="OAU33" s="66"/>
      <c r="OAV33" s="66"/>
      <c r="OAW33" s="66"/>
      <c r="OAX33" s="66"/>
      <c r="OAY33" s="66"/>
      <c r="OAZ33" s="66"/>
      <c r="OBA33" s="66"/>
      <c r="OBB33" s="66"/>
      <c r="OBC33" s="66"/>
      <c r="OBD33" s="66"/>
      <c r="OBE33" s="66"/>
      <c r="OBF33" s="66"/>
      <c r="OBG33" s="66"/>
      <c r="OBH33" s="66"/>
      <c r="OBI33" s="66"/>
      <c r="OBJ33" s="66"/>
      <c r="OBK33" s="66"/>
      <c r="OBL33" s="66"/>
      <c r="OBM33" s="66"/>
      <c r="OBN33" s="66"/>
      <c r="OBO33" s="66"/>
      <c r="OBP33" s="66"/>
      <c r="OBQ33" s="66"/>
      <c r="OBR33" s="66"/>
      <c r="OBS33" s="66"/>
      <c r="OBT33" s="66"/>
      <c r="OBU33" s="66"/>
      <c r="OBV33" s="66"/>
      <c r="OBW33" s="66"/>
      <c r="OBX33" s="66"/>
      <c r="OBY33" s="66"/>
      <c r="OBZ33" s="66"/>
      <c r="OCA33" s="66"/>
      <c r="OCB33" s="66"/>
      <c r="OCC33" s="66"/>
      <c r="OCD33" s="66"/>
      <c r="OCE33" s="66"/>
      <c r="OCF33" s="66"/>
      <c r="OCG33" s="66"/>
      <c r="OCH33" s="66"/>
      <c r="OCI33" s="66"/>
      <c r="OCJ33" s="66"/>
      <c r="OCK33" s="66"/>
      <c r="OCL33" s="66"/>
      <c r="OCM33" s="66"/>
      <c r="OCN33" s="66"/>
      <c r="OCO33" s="66"/>
      <c r="OCP33" s="66"/>
      <c r="OCQ33" s="66"/>
      <c r="OCR33" s="66"/>
      <c r="OCS33" s="66"/>
      <c r="OCT33" s="66"/>
      <c r="OCU33" s="66"/>
      <c r="OCV33" s="66"/>
      <c r="OCW33" s="66"/>
      <c r="OCX33" s="66"/>
      <c r="OCY33" s="66"/>
      <c r="OCZ33" s="66"/>
      <c r="ODA33" s="66"/>
      <c r="ODB33" s="66"/>
      <c r="ODC33" s="66"/>
      <c r="ODD33" s="66"/>
      <c r="ODE33" s="66"/>
      <c r="ODF33" s="66"/>
      <c r="ODG33" s="66"/>
      <c r="ODH33" s="66"/>
      <c r="ODI33" s="66"/>
      <c r="ODJ33" s="66"/>
      <c r="ODK33" s="66"/>
      <c r="ODL33" s="66"/>
      <c r="ODM33" s="66"/>
      <c r="ODN33" s="66"/>
      <c r="ODO33" s="66"/>
      <c r="ODP33" s="66"/>
      <c r="ODQ33" s="66"/>
      <c r="ODR33" s="66"/>
      <c r="ODS33" s="66"/>
      <c r="ODT33" s="66"/>
      <c r="ODU33" s="66"/>
      <c r="ODV33" s="66"/>
      <c r="ODW33" s="66"/>
      <c r="ODX33" s="66"/>
      <c r="ODY33" s="66"/>
      <c r="ODZ33" s="66"/>
      <c r="OEA33" s="66"/>
      <c r="OEB33" s="66"/>
      <c r="OEC33" s="66"/>
      <c r="OED33" s="66"/>
      <c r="OEE33" s="66"/>
      <c r="OEF33" s="66"/>
      <c r="OEG33" s="66"/>
      <c r="OEH33" s="66"/>
      <c r="OEI33" s="66"/>
      <c r="OEJ33" s="66"/>
      <c r="OEK33" s="66"/>
      <c r="OEL33" s="66"/>
      <c r="OEM33" s="66"/>
      <c r="OEN33" s="66"/>
      <c r="OEO33" s="66"/>
      <c r="OEP33" s="66"/>
      <c r="OEQ33" s="66"/>
      <c r="OER33" s="66"/>
      <c r="OES33" s="66"/>
      <c r="OET33" s="66"/>
      <c r="OEU33" s="66"/>
      <c r="OEV33" s="66"/>
      <c r="OEW33" s="66"/>
      <c r="OEX33" s="66"/>
      <c r="OEY33" s="66"/>
      <c r="OEZ33" s="66"/>
      <c r="OFA33" s="66"/>
      <c r="OFB33" s="66"/>
      <c r="OFC33" s="66"/>
      <c r="OFD33" s="66"/>
      <c r="OFE33" s="66"/>
      <c r="OFF33" s="66"/>
      <c r="OFG33" s="66"/>
      <c r="OFH33" s="66"/>
      <c r="OFI33" s="66"/>
      <c r="OFJ33" s="66"/>
      <c r="OFK33" s="66"/>
      <c r="OFL33" s="66"/>
      <c r="OFM33" s="66"/>
      <c r="OFN33" s="66"/>
      <c r="OFO33" s="66"/>
      <c r="OFP33" s="66"/>
      <c r="OFQ33" s="66"/>
      <c r="OFR33" s="66"/>
      <c r="OFS33" s="66"/>
      <c r="OFT33" s="66"/>
      <c r="OFU33" s="66"/>
      <c r="OFV33" s="66"/>
      <c r="OFW33" s="66"/>
      <c r="OFX33" s="66"/>
      <c r="OFY33" s="66"/>
      <c r="OFZ33" s="66"/>
      <c r="OGA33" s="66"/>
      <c r="OGB33" s="66"/>
      <c r="OGC33" s="66"/>
      <c r="OGD33" s="66"/>
      <c r="OGE33" s="66"/>
      <c r="OGF33" s="66"/>
      <c r="OGG33" s="66"/>
      <c r="OGH33" s="66"/>
      <c r="OGI33" s="66"/>
      <c r="OGJ33" s="66"/>
      <c r="OGK33" s="66"/>
      <c r="OGL33" s="66"/>
      <c r="OGM33" s="66"/>
      <c r="OGN33" s="66"/>
      <c r="OGO33" s="66"/>
      <c r="OGP33" s="66"/>
      <c r="OGQ33" s="66"/>
      <c r="OGR33" s="66"/>
      <c r="OGS33" s="66"/>
      <c r="OGT33" s="66"/>
      <c r="OGU33" s="66"/>
      <c r="OGV33" s="66"/>
      <c r="OGW33" s="66"/>
      <c r="OGX33" s="66"/>
      <c r="OGY33" s="66"/>
      <c r="OGZ33" s="66"/>
      <c r="OHA33" s="66"/>
      <c r="OHB33" s="66"/>
      <c r="OHC33" s="66"/>
      <c r="OHD33" s="66"/>
      <c r="OHE33" s="66"/>
      <c r="OHF33" s="66"/>
      <c r="OHG33" s="66"/>
      <c r="OHH33" s="66"/>
      <c r="OHI33" s="66"/>
      <c r="OHJ33" s="66"/>
      <c r="OHK33" s="66"/>
      <c r="OHL33" s="66"/>
      <c r="OHM33" s="66"/>
      <c r="OHN33" s="66"/>
      <c r="OHO33" s="66"/>
      <c r="OHP33" s="66"/>
      <c r="OHQ33" s="66"/>
      <c r="OHR33" s="66"/>
      <c r="OHS33" s="66"/>
      <c r="OHT33" s="66"/>
      <c r="OHU33" s="66"/>
      <c r="OHV33" s="66"/>
      <c r="OHW33" s="66"/>
      <c r="OHX33" s="66"/>
      <c r="OHY33" s="66"/>
      <c r="OHZ33" s="66"/>
      <c r="OIA33" s="66"/>
      <c r="OIB33" s="66"/>
      <c r="OIC33" s="66"/>
      <c r="OID33" s="66"/>
      <c r="OIE33" s="66"/>
      <c r="OIF33" s="66"/>
      <c r="OIG33" s="66"/>
      <c r="OIH33" s="66"/>
      <c r="OII33" s="66"/>
      <c r="OIJ33" s="66"/>
      <c r="OIK33" s="66"/>
      <c r="OIL33" s="66"/>
      <c r="OIM33" s="66"/>
      <c r="OIN33" s="66"/>
      <c r="OIO33" s="66"/>
      <c r="OIP33" s="66"/>
      <c r="OIQ33" s="66"/>
      <c r="OIR33" s="66"/>
      <c r="OIS33" s="66"/>
      <c r="OIT33" s="66"/>
      <c r="OIU33" s="66"/>
      <c r="OIV33" s="66"/>
      <c r="OIW33" s="66"/>
      <c r="OIX33" s="66"/>
      <c r="OIY33" s="66"/>
      <c r="OIZ33" s="66"/>
      <c r="OJA33" s="66"/>
      <c r="OJB33" s="66"/>
      <c r="OJC33" s="66"/>
      <c r="OJD33" s="66"/>
      <c r="OJE33" s="66"/>
      <c r="OJF33" s="66"/>
      <c r="OJG33" s="66"/>
      <c r="OJH33" s="66"/>
      <c r="OJI33" s="66"/>
      <c r="OJJ33" s="66"/>
      <c r="OJK33" s="66"/>
      <c r="OJL33" s="66"/>
      <c r="OJM33" s="66"/>
      <c r="OJN33" s="66"/>
      <c r="OJO33" s="66"/>
      <c r="OJP33" s="66"/>
      <c r="OJQ33" s="66"/>
      <c r="OJR33" s="66"/>
      <c r="OJS33" s="66"/>
      <c r="OJT33" s="66"/>
      <c r="OJU33" s="66"/>
      <c r="OJV33" s="66"/>
      <c r="OJW33" s="66"/>
      <c r="OJX33" s="66"/>
      <c r="OJY33" s="66"/>
      <c r="OJZ33" s="66"/>
      <c r="OKA33" s="66"/>
      <c r="OKB33" s="66"/>
      <c r="OKC33" s="66"/>
      <c r="OKD33" s="66"/>
      <c r="OKE33" s="66"/>
      <c r="OKF33" s="66"/>
      <c r="OKG33" s="66"/>
      <c r="OKH33" s="66"/>
      <c r="OKI33" s="66"/>
      <c r="OKJ33" s="66"/>
      <c r="OKK33" s="66"/>
      <c r="OKL33" s="66"/>
      <c r="OKM33" s="66"/>
      <c r="OKN33" s="66"/>
      <c r="OKO33" s="66"/>
      <c r="OKP33" s="66"/>
      <c r="OKQ33" s="66"/>
      <c r="OKR33" s="66"/>
      <c r="OKS33" s="66"/>
      <c r="OKT33" s="66"/>
      <c r="OKU33" s="66"/>
      <c r="OKV33" s="66"/>
      <c r="OKW33" s="66"/>
      <c r="OKX33" s="66"/>
      <c r="OKY33" s="66"/>
      <c r="OKZ33" s="66"/>
      <c r="OLA33" s="66"/>
      <c r="OLB33" s="66"/>
      <c r="OLC33" s="66"/>
      <c r="OLD33" s="66"/>
      <c r="OLE33" s="66"/>
      <c r="OLF33" s="66"/>
      <c r="OLG33" s="66"/>
      <c r="OLH33" s="66"/>
      <c r="OLI33" s="66"/>
      <c r="OLJ33" s="66"/>
      <c r="OLK33" s="66"/>
      <c r="OLL33" s="66"/>
      <c r="OLM33" s="66"/>
      <c r="OLN33" s="66"/>
      <c r="OLO33" s="66"/>
      <c r="OLP33" s="66"/>
      <c r="OLQ33" s="66"/>
      <c r="OLR33" s="66"/>
      <c r="OLS33" s="66"/>
      <c r="OLT33" s="66"/>
      <c r="OLU33" s="66"/>
      <c r="OLV33" s="66"/>
      <c r="OLW33" s="66"/>
      <c r="OLX33" s="66"/>
      <c r="OLY33" s="66"/>
      <c r="OLZ33" s="66"/>
      <c r="OMA33" s="66"/>
      <c r="OMB33" s="66"/>
      <c r="OMC33" s="66"/>
      <c r="OMD33" s="66"/>
      <c r="OME33" s="66"/>
      <c r="OMF33" s="66"/>
      <c r="OMG33" s="66"/>
      <c r="OMH33" s="66"/>
      <c r="OMI33" s="66"/>
      <c r="OMJ33" s="66"/>
      <c r="OMK33" s="66"/>
      <c r="OML33" s="66"/>
      <c r="OMM33" s="66"/>
      <c r="OMN33" s="66"/>
      <c r="OMO33" s="66"/>
      <c r="OMP33" s="66"/>
      <c r="OMQ33" s="66"/>
      <c r="OMR33" s="66"/>
      <c r="OMS33" s="66"/>
      <c r="OMT33" s="66"/>
      <c r="OMU33" s="66"/>
      <c r="OMV33" s="66"/>
      <c r="OMW33" s="66"/>
      <c r="OMX33" s="66"/>
      <c r="OMY33" s="66"/>
      <c r="OMZ33" s="66"/>
      <c r="ONA33" s="66"/>
      <c r="ONB33" s="66"/>
      <c r="ONC33" s="66"/>
      <c r="OND33" s="66"/>
      <c r="ONE33" s="66"/>
      <c r="ONF33" s="66"/>
      <c r="ONG33" s="66"/>
      <c r="ONH33" s="66"/>
      <c r="ONI33" s="66"/>
      <c r="ONJ33" s="66"/>
      <c r="ONK33" s="66"/>
      <c r="ONL33" s="66"/>
      <c r="ONM33" s="66"/>
      <c r="ONN33" s="66"/>
      <c r="ONO33" s="66"/>
      <c r="ONP33" s="66"/>
      <c r="ONQ33" s="66"/>
      <c r="ONR33" s="66"/>
      <c r="ONS33" s="66"/>
      <c r="ONT33" s="66"/>
      <c r="ONU33" s="66"/>
      <c r="ONV33" s="66"/>
      <c r="ONW33" s="66"/>
      <c r="ONX33" s="66"/>
      <c r="ONY33" s="66"/>
      <c r="ONZ33" s="66"/>
      <c r="OOA33" s="66"/>
      <c r="OOB33" s="66"/>
      <c r="OOC33" s="66"/>
      <c r="OOD33" s="66"/>
      <c r="OOE33" s="66"/>
      <c r="OOF33" s="66"/>
      <c r="OOG33" s="66"/>
      <c r="OOH33" s="66"/>
      <c r="OOI33" s="66"/>
      <c r="OOJ33" s="66"/>
      <c r="OOK33" s="66"/>
      <c r="OOL33" s="66"/>
      <c r="OOM33" s="66"/>
      <c r="OON33" s="66"/>
      <c r="OOO33" s="66"/>
      <c r="OOP33" s="66"/>
      <c r="OOQ33" s="66"/>
      <c r="OOR33" s="66"/>
      <c r="OOS33" s="66"/>
      <c r="OOT33" s="66"/>
      <c r="OOU33" s="66"/>
      <c r="OOV33" s="66"/>
      <c r="OOW33" s="66"/>
      <c r="OOX33" s="66"/>
      <c r="OOY33" s="66"/>
      <c r="OOZ33" s="66"/>
      <c r="OPA33" s="66"/>
      <c r="OPB33" s="66"/>
      <c r="OPC33" s="66"/>
      <c r="OPD33" s="66"/>
      <c r="OPE33" s="66"/>
      <c r="OPF33" s="66"/>
      <c r="OPG33" s="66"/>
      <c r="OPH33" s="66"/>
      <c r="OPI33" s="66"/>
      <c r="OPJ33" s="66"/>
      <c r="OPK33" s="66"/>
      <c r="OPL33" s="66"/>
      <c r="OPM33" s="66"/>
      <c r="OPN33" s="66"/>
      <c r="OPO33" s="66"/>
      <c r="OPP33" s="66"/>
      <c r="OPQ33" s="66"/>
      <c r="OPR33" s="66"/>
      <c r="OPS33" s="66"/>
      <c r="OPT33" s="66"/>
      <c r="OPU33" s="66"/>
      <c r="OPV33" s="66"/>
      <c r="OPW33" s="66"/>
      <c r="OPX33" s="66"/>
      <c r="OPY33" s="66"/>
      <c r="OPZ33" s="66"/>
      <c r="OQA33" s="66"/>
      <c r="OQB33" s="66"/>
      <c r="OQC33" s="66"/>
      <c r="OQD33" s="66"/>
      <c r="OQE33" s="66"/>
      <c r="OQF33" s="66"/>
      <c r="OQG33" s="66"/>
      <c r="OQH33" s="66"/>
      <c r="OQI33" s="66"/>
      <c r="OQJ33" s="66"/>
      <c r="OQK33" s="66"/>
      <c r="OQL33" s="66"/>
      <c r="OQM33" s="66"/>
      <c r="OQN33" s="66"/>
      <c r="OQO33" s="66"/>
      <c r="OQP33" s="66"/>
      <c r="OQQ33" s="66"/>
      <c r="OQR33" s="66"/>
      <c r="OQS33" s="66"/>
      <c r="OQT33" s="66"/>
      <c r="OQU33" s="66"/>
      <c r="OQV33" s="66"/>
      <c r="OQW33" s="66"/>
      <c r="OQX33" s="66"/>
      <c r="OQY33" s="66"/>
      <c r="OQZ33" s="66"/>
      <c r="ORA33" s="66"/>
      <c r="ORB33" s="66"/>
      <c r="ORC33" s="66"/>
      <c r="ORD33" s="66"/>
      <c r="ORE33" s="66"/>
      <c r="ORF33" s="66"/>
      <c r="ORG33" s="66"/>
      <c r="ORH33" s="66"/>
      <c r="ORI33" s="66"/>
      <c r="ORJ33" s="66"/>
      <c r="ORK33" s="66"/>
      <c r="ORL33" s="66"/>
      <c r="ORM33" s="66"/>
      <c r="ORN33" s="66"/>
      <c r="ORO33" s="66"/>
      <c r="ORP33" s="66"/>
      <c r="ORQ33" s="66"/>
      <c r="ORR33" s="66"/>
      <c r="ORS33" s="66"/>
      <c r="ORT33" s="66"/>
      <c r="ORU33" s="66"/>
      <c r="ORV33" s="66"/>
      <c r="ORW33" s="66"/>
      <c r="ORX33" s="66"/>
      <c r="ORY33" s="66"/>
      <c r="ORZ33" s="66"/>
      <c r="OSA33" s="66"/>
      <c r="OSB33" s="66"/>
      <c r="OSC33" s="66"/>
      <c r="OSD33" s="66"/>
      <c r="OSE33" s="66"/>
      <c r="OSF33" s="66"/>
      <c r="OSG33" s="66"/>
      <c r="OSH33" s="66"/>
      <c r="OSI33" s="66"/>
      <c r="OSJ33" s="66"/>
      <c r="OSK33" s="66"/>
      <c r="OSL33" s="66"/>
      <c r="OSM33" s="66"/>
      <c r="OSN33" s="66"/>
      <c r="OSO33" s="66"/>
      <c r="OSP33" s="66"/>
      <c r="OSQ33" s="66"/>
      <c r="OSR33" s="66"/>
      <c r="OSS33" s="66"/>
      <c r="OST33" s="66"/>
      <c r="OSU33" s="66"/>
      <c r="OSV33" s="66"/>
      <c r="OSW33" s="66"/>
      <c r="OSX33" s="66"/>
      <c r="OSY33" s="66"/>
      <c r="OSZ33" s="66"/>
      <c r="OTA33" s="66"/>
      <c r="OTB33" s="66"/>
      <c r="OTC33" s="66"/>
      <c r="OTD33" s="66"/>
      <c r="OTE33" s="66"/>
      <c r="OTF33" s="66"/>
      <c r="OTG33" s="66"/>
      <c r="OTH33" s="66"/>
      <c r="OTI33" s="66"/>
      <c r="OTJ33" s="66"/>
      <c r="OTK33" s="66"/>
      <c r="OTL33" s="66"/>
      <c r="OTM33" s="66"/>
      <c r="OTN33" s="66"/>
      <c r="OTO33" s="66"/>
      <c r="OTP33" s="66"/>
      <c r="OTQ33" s="66"/>
      <c r="OTR33" s="66"/>
      <c r="OTS33" s="66"/>
      <c r="OTT33" s="66"/>
      <c r="OTU33" s="66"/>
      <c r="OTV33" s="66"/>
      <c r="OTW33" s="66"/>
      <c r="OTX33" s="66"/>
      <c r="OTY33" s="66"/>
      <c r="OTZ33" s="66"/>
      <c r="OUA33" s="66"/>
      <c r="OUB33" s="66"/>
      <c r="OUC33" s="66"/>
      <c r="OUD33" s="66"/>
      <c r="OUE33" s="66"/>
      <c r="OUF33" s="66"/>
      <c r="OUG33" s="66"/>
      <c r="OUH33" s="66"/>
      <c r="OUI33" s="66"/>
      <c r="OUJ33" s="66"/>
      <c r="OUK33" s="66"/>
      <c r="OUL33" s="66"/>
      <c r="OUM33" s="66"/>
      <c r="OUN33" s="66"/>
      <c r="OUO33" s="66"/>
      <c r="OUP33" s="66"/>
      <c r="OUQ33" s="66"/>
      <c r="OUR33" s="66"/>
      <c r="OUS33" s="66"/>
      <c r="OUT33" s="66"/>
      <c r="OUU33" s="66"/>
      <c r="OUV33" s="66"/>
      <c r="OUW33" s="66"/>
      <c r="OUX33" s="66"/>
      <c r="OUY33" s="66"/>
      <c r="OUZ33" s="66"/>
      <c r="OVA33" s="66"/>
      <c r="OVB33" s="66"/>
      <c r="OVC33" s="66"/>
      <c r="OVD33" s="66"/>
      <c r="OVE33" s="66"/>
      <c r="OVF33" s="66"/>
      <c r="OVG33" s="66"/>
      <c r="OVH33" s="66"/>
      <c r="OVI33" s="66"/>
      <c r="OVJ33" s="66"/>
      <c r="OVK33" s="66"/>
      <c r="OVL33" s="66"/>
      <c r="OVM33" s="66"/>
      <c r="OVN33" s="66"/>
      <c r="OVO33" s="66"/>
      <c r="OVP33" s="66"/>
      <c r="OVQ33" s="66"/>
      <c r="OVR33" s="66"/>
      <c r="OVS33" s="66"/>
      <c r="OVT33" s="66"/>
      <c r="OVU33" s="66"/>
      <c r="OVV33" s="66"/>
      <c r="OVW33" s="66"/>
      <c r="OVX33" s="66"/>
      <c r="OVY33" s="66"/>
      <c r="OVZ33" s="66"/>
      <c r="OWA33" s="66"/>
      <c r="OWB33" s="66"/>
      <c r="OWC33" s="66"/>
      <c r="OWD33" s="66"/>
      <c r="OWE33" s="66"/>
      <c r="OWF33" s="66"/>
      <c r="OWG33" s="66"/>
      <c r="OWH33" s="66"/>
      <c r="OWI33" s="66"/>
      <c r="OWJ33" s="66"/>
      <c r="OWK33" s="66"/>
      <c r="OWL33" s="66"/>
      <c r="OWM33" s="66"/>
      <c r="OWN33" s="66"/>
      <c r="OWO33" s="66"/>
      <c r="OWP33" s="66"/>
      <c r="OWQ33" s="66"/>
      <c r="OWR33" s="66"/>
      <c r="OWS33" s="66"/>
      <c r="OWT33" s="66"/>
      <c r="OWU33" s="66"/>
      <c r="OWV33" s="66"/>
      <c r="OWW33" s="66"/>
      <c r="OWX33" s="66"/>
      <c r="OWY33" s="66"/>
      <c r="OWZ33" s="66"/>
      <c r="OXA33" s="66"/>
      <c r="OXB33" s="66"/>
      <c r="OXC33" s="66"/>
      <c r="OXD33" s="66"/>
      <c r="OXE33" s="66"/>
      <c r="OXF33" s="66"/>
      <c r="OXG33" s="66"/>
      <c r="OXH33" s="66"/>
      <c r="OXI33" s="66"/>
      <c r="OXJ33" s="66"/>
      <c r="OXK33" s="66"/>
      <c r="OXL33" s="66"/>
      <c r="OXM33" s="66"/>
      <c r="OXN33" s="66"/>
      <c r="OXO33" s="66"/>
      <c r="OXP33" s="66"/>
      <c r="OXQ33" s="66"/>
      <c r="OXR33" s="66"/>
      <c r="OXS33" s="66"/>
      <c r="OXT33" s="66"/>
      <c r="OXU33" s="66"/>
      <c r="OXV33" s="66"/>
      <c r="OXW33" s="66"/>
      <c r="OXX33" s="66"/>
      <c r="OXY33" s="66"/>
      <c r="OXZ33" s="66"/>
      <c r="OYA33" s="66"/>
      <c r="OYB33" s="66"/>
      <c r="OYC33" s="66"/>
      <c r="OYD33" s="66"/>
      <c r="OYE33" s="66"/>
      <c r="OYF33" s="66"/>
      <c r="OYG33" s="66"/>
      <c r="OYH33" s="66"/>
      <c r="OYI33" s="66"/>
      <c r="OYJ33" s="66"/>
      <c r="OYK33" s="66"/>
      <c r="OYL33" s="66"/>
      <c r="OYM33" s="66"/>
      <c r="OYN33" s="66"/>
      <c r="OYO33" s="66"/>
      <c r="OYP33" s="66"/>
      <c r="OYQ33" s="66"/>
      <c r="OYR33" s="66"/>
      <c r="OYS33" s="66"/>
      <c r="OYT33" s="66"/>
      <c r="OYU33" s="66"/>
      <c r="OYV33" s="66"/>
      <c r="OYW33" s="66"/>
      <c r="OYX33" s="66"/>
      <c r="OYY33" s="66"/>
      <c r="OYZ33" s="66"/>
      <c r="OZA33" s="66"/>
      <c r="OZB33" s="66"/>
      <c r="OZC33" s="66"/>
      <c r="OZD33" s="66"/>
      <c r="OZE33" s="66"/>
      <c r="OZF33" s="66"/>
      <c r="OZG33" s="66"/>
      <c r="OZH33" s="66"/>
      <c r="OZI33" s="66"/>
      <c r="OZJ33" s="66"/>
      <c r="OZK33" s="66"/>
      <c r="OZL33" s="66"/>
      <c r="OZM33" s="66"/>
      <c r="OZN33" s="66"/>
      <c r="OZO33" s="66"/>
      <c r="OZP33" s="66"/>
      <c r="OZQ33" s="66"/>
      <c r="OZR33" s="66"/>
      <c r="OZS33" s="66"/>
      <c r="OZT33" s="66"/>
      <c r="OZU33" s="66"/>
      <c r="OZV33" s="66"/>
      <c r="OZW33" s="66"/>
      <c r="OZX33" s="66"/>
      <c r="OZY33" s="66"/>
      <c r="OZZ33" s="66"/>
      <c r="PAA33" s="66"/>
      <c r="PAB33" s="66"/>
      <c r="PAC33" s="66"/>
      <c r="PAD33" s="66"/>
      <c r="PAE33" s="66"/>
      <c r="PAF33" s="66"/>
      <c r="PAG33" s="66"/>
      <c r="PAH33" s="66"/>
      <c r="PAI33" s="66"/>
      <c r="PAJ33" s="66"/>
      <c r="PAK33" s="66"/>
      <c r="PAL33" s="66"/>
      <c r="PAM33" s="66"/>
      <c r="PAN33" s="66"/>
      <c r="PAO33" s="66"/>
      <c r="PAP33" s="66"/>
      <c r="PAQ33" s="66"/>
      <c r="PAR33" s="66"/>
      <c r="PAS33" s="66"/>
      <c r="PAT33" s="66"/>
      <c r="PAU33" s="66"/>
      <c r="PAV33" s="66"/>
      <c r="PAW33" s="66"/>
      <c r="PAX33" s="66"/>
      <c r="PAY33" s="66"/>
      <c r="PAZ33" s="66"/>
      <c r="PBA33" s="66"/>
      <c r="PBB33" s="66"/>
      <c r="PBC33" s="66"/>
      <c r="PBD33" s="66"/>
      <c r="PBE33" s="66"/>
      <c r="PBF33" s="66"/>
      <c r="PBG33" s="66"/>
      <c r="PBH33" s="66"/>
      <c r="PBI33" s="66"/>
      <c r="PBJ33" s="66"/>
      <c r="PBK33" s="66"/>
      <c r="PBL33" s="66"/>
      <c r="PBM33" s="66"/>
      <c r="PBN33" s="66"/>
      <c r="PBO33" s="66"/>
      <c r="PBP33" s="66"/>
      <c r="PBQ33" s="66"/>
      <c r="PBR33" s="66"/>
      <c r="PBS33" s="66"/>
      <c r="PBT33" s="66"/>
      <c r="PBU33" s="66"/>
      <c r="PBV33" s="66"/>
      <c r="PBW33" s="66"/>
      <c r="PBX33" s="66"/>
      <c r="PBY33" s="66"/>
      <c r="PBZ33" s="66"/>
      <c r="PCA33" s="66"/>
      <c r="PCB33" s="66"/>
      <c r="PCC33" s="66"/>
      <c r="PCD33" s="66"/>
      <c r="PCE33" s="66"/>
      <c r="PCF33" s="66"/>
      <c r="PCG33" s="66"/>
      <c r="PCH33" s="66"/>
      <c r="PCI33" s="66"/>
      <c r="PCJ33" s="66"/>
      <c r="PCK33" s="66"/>
      <c r="PCL33" s="66"/>
      <c r="PCM33" s="66"/>
      <c r="PCN33" s="66"/>
      <c r="PCO33" s="66"/>
      <c r="PCP33" s="66"/>
      <c r="PCQ33" s="66"/>
      <c r="PCR33" s="66"/>
      <c r="PCS33" s="66"/>
      <c r="PCT33" s="66"/>
      <c r="PCU33" s="66"/>
      <c r="PCV33" s="66"/>
      <c r="PCW33" s="66"/>
      <c r="PCX33" s="66"/>
      <c r="PCY33" s="66"/>
      <c r="PCZ33" s="66"/>
      <c r="PDA33" s="66"/>
      <c r="PDB33" s="66"/>
      <c r="PDC33" s="66"/>
      <c r="PDD33" s="66"/>
      <c r="PDE33" s="66"/>
      <c r="PDF33" s="66"/>
      <c r="PDG33" s="66"/>
      <c r="PDH33" s="66"/>
      <c r="PDI33" s="66"/>
      <c r="PDJ33" s="66"/>
      <c r="PDK33" s="66"/>
      <c r="PDL33" s="66"/>
      <c r="PDM33" s="66"/>
      <c r="PDN33" s="66"/>
      <c r="PDO33" s="66"/>
      <c r="PDP33" s="66"/>
      <c r="PDQ33" s="66"/>
      <c r="PDR33" s="66"/>
      <c r="PDS33" s="66"/>
      <c r="PDT33" s="66"/>
      <c r="PDU33" s="66"/>
      <c r="PDV33" s="66"/>
      <c r="PDW33" s="66"/>
      <c r="PDX33" s="66"/>
      <c r="PDY33" s="66"/>
      <c r="PDZ33" s="66"/>
      <c r="PEA33" s="66"/>
      <c r="PEB33" s="66"/>
      <c r="PEC33" s="66"/>
      <c r="PED33" s="66"/>
      <c r="PEE33" s="66"/>
      <c r="PEF33" s="66"/>
      <c r="PEG33" s="66"/>
      <c r="PEH33" s="66"/>
      <c r="PEI33" s="66"/>
      <c r="PEJ33" s="66"/>
      <c r="PEK33" s="66"/>
      <c r="PEL33" s="66"/>
      <c r="PEM33" s="66"/>
      <c r="PEN33" s="66"/>
      <c r="PEO33" s="66"/>
      <c r="PEP33" s="66"/>
      <c r="PEQ33" s="66"/>
      <c r="PER33" s="66"/>
      <c r="PES33" s="66"/>
      <c r="PET33" s="66"/>
      <c r="PEU33" s="66"/>
      <c r="PEV33" s="66"/>
      <c r="PEW33" s="66"/>
      <c r="PEX33" s="66"/>
      <c r="PEY33" s="66"/>
      <c r="PEZ33" s="66"/>
      <c r="PFA33" s="66"/>
      <c r="PFB33" s="66"/>
      <c r="PFC33" s="66"/>
      <c r="PFD33" s="66"/>
      <c r="PFE33" s="66"/>
      <c r="PFF33" s="66"/>
      <c r="PFG33" s="66"/>
      <c r="PFH33" s="66"/>
      <c r="PFI33" s="66"/>
      <c r="PFJ33" s="66"/>
      <c r="PFK33" s="66"/>
      <c r="PFL33" s="66"/>
      <c r="PFM33" s="66"/>
      <c r="PFN33" s="66"/>
      <c r="PFO33" s="66"/>
      <c r="PFP33" s="66"/>
      <c r="PFQ33" s="66"/>
      <c r="PFR33" s="66"/>
      <c r="PFS33" s="66"/>
      <c r="PFT33" s="66"/>
      <c r="PFU33" s="66"/>
      <c r="PFV33" s="66"/>
      <c r="PFW33" s="66"/>
      <c r="PFX33" s="66"/>
      <c r="PFY33" s="66"/>
      <c r="PFZ33" s="66"/>
      <c r="PGA33" s="66"/>
      <c r="PGB33" s="66"/>
      <c r="PGC33" s="66"/>
      <c r="PGD33" s="66"/>
      <c r="PGE33" s="66"/>
      <c r="PGF33" s="66"/>
      <c r="PGG33" s="66"/>
      <c r="PGH33" s="66"/>
      <c r="PGI33" s="66"/>
      <c r="PGJ33" s="66"/>
      <c r="PGK33" s="66"/>
      <c r="PGL33" s="66"/>
      <c r="PGM33" s="66"/>
      <c r="PGN33" s="66"/>
      <c r="PGO33" s="66"/>
      <c r="PGP33" s="66"/>
      <c r="PGQ33" s="66"/>
      <c r="PGR33" s="66"/>
      <c r="PGS33" s="66"/>
      <c r="PGT33" s="66"/>
      <c r="PGU33" s="66"/>
      <c r="PGV33" s="66"/>
      <c r="PGW33" s="66"/>
      <c r="PGX33" s="66"/>
      <c r="PGY33" s="66"/>
      <c r="PGZ33" s="66"/>
      <c r="PHA33" s="66"/>
      <c r="PHB33" s="66"/>
      <c r="PHC33" s="66"/>
      <c r="PHD33" s="66"/>
      <c r="PHE33" s="66"/>
      <c r="PHF33" s="66"/>
      <c r="PHG33" s="66"/>
      <c r="PHH33" s="66"/>
      <c r="PHI33" s="66"/>
      <c r="PHJ33" s="66"/>
      <c r="PHK33" s="66"/>
      <c r="PHL33" s="66"/>
      <c r="PHM33" s="66"/>
      <c r="PHN33" s="66"/>
      <c r="PHO33" s="66"/>
      <c r="PHP33" s="66"/>
      <c r="PHQ33" s="66"/>
      <c r="PHR33" s="66"/>
      <c r="PHS33" s="66"/>
      <c r="PHT33" s="66"/>
      <c r="PHU33" s="66"/>
      <c r="PHV33" s="66"/>
      <c r="PHW33" s="66"/>
      <c r="PHX33" s="66"/>
      <c r="PHY33" s="66"/>
      <c r="PHZ33" s="66"/>
      <c r="PIA33" s="66"/>
      <c r="PIB33" s="66"/>
      <c r="PIC33" s="66"/>
      <c r="PID33" s="66"/>
      <c r="PIE33" s="66"/>
      <c r="PIF33" s="66"/>
      <c r="PIG33" s="66"/>
      <c r="PIH33" s="66"/>
      <c r="PII33" s="66"/>
      <c r="PIJ33" s="66"/>
      <c r="PIK33" s="66"/>
      <c r="PIL33" s="66"/>
      <c r="PIM33" s="66"/>
      <c r="PIN33" s="66"/>
      <c r="PIO33" s="66"/>
      <c r="PIP33" s="66"/>
      <c r="PIQ33" s="66"/>
      <c r="PIR33" s="66"/>
      <c r="PIS33" s="66"/>
      <c r="PIT33" s="66"/>
      <c r="PIU33" s="66"/>
      <c r="PIV33" s="66"/>
      <c r="PIW33" s="66"/>
      <c r="PIX33" s="66"/>
      <c r="PIY33" s="66"/>
      <c r="PIZ33" s="66"/>
      <c r="PJA33" s="66"/>
      <c r="PJB33" s="66"/>
      <c r="PJC33" s="66"/>
      <c r="PJD33" s="66"/>
      <c r="PJE33" s="66"/>
      <c r="PJF33" s="66"/>
      <c r="PJG33" s="66"/>
      <c r="PJH33" s="66"/>
      <c r="PJI33" s="66"/>
      <c r="PJJ33" s="66"/>
      <c r="PJK33" s="66"/>
      <c r="PJL33" s="66"/>
      <c r="PJM33" s="66"/>
      <c r="PJN33" s="66"/>
      <c r="PJO33" s="66"/>
      <c r="PJP33" s="66"/>
      <c r="PJQ33" s="66"/>
      <c r="PJR33" s="66"/>
      <c r="PJS33" s="66"/>
      <c r="PJT33" s="66"/>
      <c r="PJU33" s="66"/>
      <c r="PJV33" s="66"/>
      <c r="PJW33" s="66"/>
      <c r="PJX33" s="66"/>
      <c r="PJY33" s="66"/>
      <c r="PJZ33" s="66"/>
      <c r="PKA33" s="66"/>
      <c r="PKB33" s="66"/>
      <c r="PKC33" s="66"/>
      <c r="PKD33" s="66"/>
      <c r="PKE33" s="66"/>
      <c r="PKF33" s="66"/>
      <c r="PKG33" s="66"/>
      <c r="PKH33" s="66"/>
      <c r="PKI33" s="66"/>
      <c r="PKJ33" s="66"/>
      <c r="PKK33" s="66"/>
      <c r="PKL33" s="66"/>
      <c r="PKM33" s="66"/>
      <c r="PKN33" s="66"/>
      <c r="PKO33" s="66"/>
      <c r="PKP33" s="66"/>
      <c r="PKQ33" s="66"/>
      <c r="PKR33" s="66"/>
      <c r="PKS33" s="66"/>
      <c r="PKT33" s="66"/>
      <c r="PKU33" s="66"/>
      <c r="PKV33" s="66"/>
      <c r="PKW33" s="66"/>
      <c r="PKX33" s="66"/>
      <c r="PKY33" s="66"/>
      <c r="PKZ33" s="66"/>
      <c r="PLA33" s="66"/>
      <c r="PLB33" s="66"/>
      <c r="PLC33" s="66"/>
      <c r="PLD33" s="66"/>
      <c r="PLE33" s="66"/>
      <c r="PLF33" s="66"/>
      <c r="PLG33" s="66"/>
      <c r="PLH33" s="66"/>
      <c r="PLI33" s="66"/>
      <c r="PLJ33" s="66"/>
      <c r="PLK33" s="66"/>
      <c r="PLL33" s="66"/>
      <c r="PLM33" s="66"/>
      <c r="PLN33" s="66"/>
      <c r="PLO33" s="66"/>
      <c r="PLP33" s="66"/>
      <c r="PLQ33" s="66"/>
      <c r="PLR33" s="66"/>
      <c r="PLS33" s="66"/>
      <c r="PLT33" s="66"/>
      <c r="PLU33" s="66"/>
      <c r="PLV33" s="66"/>
      <c r="PLW33" s="66"/>
      <c r="PLX33" s="66"/>
      <c r="PLY33" s="66"/>
      <c r="PLZ33" s="66"/>
      <c r="PMA33" s="66"/>
      <c r="PMB33" s="66"/>
      <c r="PMC33" s="66"/>
      <c r="PMD33" s="66"/>
      <c r="PME33" s="66"/>
      <c r="PMF33" s="66"/>
      <c r="PMG33" s="66"/>
      <c r="PMH33" s="66"/>
      <c r="PMI33" s="66"/>
      <c r="PMJ33" s="66"/>
      <c r="PMK33" s="66"/>
      <c r="PML33" s="66"/>
      <c r="PMM33" s="66"/>
      <c r="PMN33" s="66"/>
      <c r="PMO33" s="66"/>
      <c r="PMP33" s="66"/>
      <c r="PMQ33" s="66"/>
      <c r="PMR33" s="66"/>
      <c r="PMS33" s="66"/>
      <c r="PMT33" s="66"/>
      <c r="PMU33" s="66"/>
      <c r="PMV33" s="66"/>
      <c r="PMW33" s="66"/>
      <c r="PMX33" s="66"/>
      <c r="PMY33" s="66"/>
      <c r="PMZ33" s="66"/>
      <c r="PNA33" s="66"/>
      <c r="PNB33" s="66"/>
      <c r="PNC33" s="66"/>
      <c r="PND33" s="66"/>
      <c r="PNE33" s="66"/>
      <c r="PNF33" s="66"/>
      <c r="PNG33" s="66"/>
      <c r="PNH33" s="66"/>
      <c r="PNI33" s="66"/>
      <c r="PNJ33" s="66"/>
      <c r="PNK33" s="66"/>
      <c r="PNL33" s="66"/>
      <c r="PNM33" s="66"/>
      <c r="PNN33" s="66"/>
      <c r="PNO33" s="66"/>
      <c r="PNP33" s="66"/>
      <c r="PNQ33" s="66"/>
      <c r="PNR33" s="66"/>
      <c r="PNS33" s="66"/>
      <c r="PNT33" s="66"/>
      <c r="PNU33" s="66"/>
      <c r="PNV33" s="66"/>
      <c r="PNW33" s="66"/>
      <c r="PNX33" s="66"/>
      <c r="PNY33" s="66"/>
      <c r="PNZ33" s="66"/>
      <c r="POA33" s="66"/>
      <c r="POB33" s="66"/>
      <c r="POC33" s="66"/>
      <c r="POD33" s="66"/>
      <c r="POE33" s="66"/>
      <c r="POF33" s="66"/>
      <c r="POG33" s="66"/>
      <c r="POH33" s="66"/>
      <c r="POI33" s="66"/>
      <c r="POJ33" s="66"/>
      <c r="POK33" s="66"/>
      <c r="POL33" s="66"/>
      <c r="POM33" s="66"/>
      <c r="PON33" s="66"/>
      <c r="POO33" s="66"/>
      <c r="POP33" s="66"/>
      <c r="POQ33" s="66"/>
      <c r="POR33" s="66"/>
      <c r="POS33" s="66"/>
      <c r="POT33" s="66"/>
      <c r="POU33" s="66"/>
      <c r="POV33" s="66"/>
      <c r="POW33" s="66"/>
      <c r="POX33" s="66"/>
      <c r="POY33" s="66"/>
      <c r="POZ33" s="66"/>
      <c r="PPA33" s="66"/>
      <c r="PPB33" s="66"/>
      <c r="PPC33" s="66"/>
      <c r="PPD33" s="66"/>
      <c r="PPE33" s="66"/>
      <c r="PPF33" s="66"/>
      <c r="PPG33" s="66"/>
      <c r="PPH33" s="66"/>
      <c r="PPI33" s="66"/>
      <c r="PPJ33" s="66"/>
      <c r="PPK33" s="66"/>
      <c r="PPL33" s="66"/>
      <c r="PPM33" s="66"/>
      <c r="PPN33" s="66"/>
      <c r="PPO33" s="66"/>
      <c r="PPP33" s="66"/>
      <c r="PPQ33" s="66"/>
      <c r="PPR33" s="66"/>
      <c r="PPS33" s="66"/>
      <c r="PPT33" s="66"/>
      <c r="PPU33" s="66"/>
      <c r="PPV33" s="66"/>
      <c r="PPW33" s="66"/>
      <c r="PPX33" s="66"/>
      <c r="PPY33" s="66"/>
      <c r="PPZ33" s="66"/>
      <c r="PQA33" s="66"/>
      <c r="PQB33" s="66"/>
      <c r="PQC33" s="66"/>
      <c r="PQD33" s="66"/>
      <c r="PQE33" s="66"/>
      <c r="PQF33" s="66"/>
      <c r="PQG33" s="66"/>
      <c r="PQH33" s="66"/>
      <c r="PQI33" s="66"/>
      <c r="PQJ33" s="66"/>
      <c r="PQK33" s="66"/>
      <c r="PQL33" s="66"/>
      <c r="PQM33" s="66"/>
      <c r="PQN33" s="66"/>
      <c r="PQO33" s="66"/>
      <c r="PQP33" s="66"/>
      <c r="PQQ33" s="66"/>
      <c r="PQR33" s="66"/>
      <c r="PQS33" s="66"/>
      <c r="PQT33" s="66"/>
      <c r="PQU33" s="66"/>
      <c r="PQV33" s="66"/>
      <c r="PQW33" s="66"/>
      <c r="PQX33" s="66"/>
      <c r="PQY33" s="66"/>
      <c r="PQZ33" s="66"/>
      <c r="PRA33" s="66"/>
      <c r="PRB33" s="66"/>
      <c r="PRC33" s="66"/>
      <c r="PRD33" s="66"/>
      <c r="PRE33" s="66"/>
      <c r="PRF33" s="66"/>
      <c r="PRG33" s="66"/>
      <c r="PRH33" s="66"/>
      <c r="PRI33" s="66"/>
      <c r="PRJ33" s="66"/>
      <c r="PRK33" s="66"/>
      <c r="PRL33" s="66"/>
      <c r="PRM33" s="66"/>
      <c r="PRN33" s="66"/>
      <c r="PRO33" s="66"/>
      <c r="PRP33" s="66"/>
      <c r="PRQ33" s="66"/>
      <c r="PRR33" s="66"/>
      <c r="PRS33" s="66"/>
      <c r="PRT33" s="66"/>
      <c r="PRU33" s="66"/>
      <c r="PRV33" s="66"/>
      <c r="PRW33" s="66"/>
      <c r="PRX33" s="66"/>
      <c r="PRY33" s="66"/>
      <c r="PRZ33" s="66"/>
      <c r="PSA33" s="66"/>
      <c r="PSB33" s="66"/>
      <c r="PSC33" s="66"/>
      <c r="PSD33" s="66"/>
      <c r="PSE33" s="66"/>
      <c r="PSF33" s="66"/>
      <c r="PSG33" s="66"/>
      <c r="PSH33" s="66"/>
      <c r="PSI33" s="66"/>
      <c r="PSJ33" s="66"/>
      <c r="PSK33" s="66"/>
      <c r="PSL33" s="66"/>
      <c r="PSM33" s="66"/>
      <c r="PSN33" s="66"/>
      <c r="PSO33" s="66"/>
      <c r="PSP33" s="66"/>
      <c r="PSQ33" s="66"/>
      <c r="PSR33" s="66"/>
      <c r="PSS33" s="66"/>
      <c r="PST33" s="66"/>
      <c r="PSU33" s="66"/>
      <c r="PSV33" s="66"/>
      <c r="PSW33" s="66"/>
      <c r="PSX33" s="66"/>
      <c r="PSY33" s="66"/>
      <c r="PSZ33" s="66"/>
      <c r="PTA33" s="66"/>
      <c r="PTB33" s="66"/>
      <c r="PTC33" s="66"/>
      <c r="PTD33" s="66"/>
      <c r="PTE33" s="66"/>
      <c r="PTF33" s="66"/>
      <c r="PTG33" s="66"/>
      <c r="PTH33" s="66"/>
      <c r="PTI33" s="66"/>
      <c r="PTJ33" s="66"/>
      <c r="PTK33" s="66"/>
      <c r="PTL33" s="66"/>
      <c r="PTM33" s="66"/>
      <c r="PTN33" s="66"/>
      <c r="PTO33" s="66"/>
      <c r="PTP33" s="66"/>
      <c r="PTQ33" s="66"/>
      <c r="PTR33" s="66"/>
      <c r="PTS33" s="66"/>
      <c r="PTT33" s="66"/>
      <c r="PTU33" s="66"/>
      <c r="PTV33" s="66"/>
      <c r="PTW33" s="66"/>
      <c r="PTX33" s="66"/>
      <c r="PTY33" s="66"/>
      <c r="PTZ33" s="66"/>
      <c r="PUA33" s="66"/>
      <c r="PUB33" s="66"/>
      <c r="PUC33" s="66"/>
      <c r="PUD33" s="66"/>
      <c r="PUE33" s="66"/>
      <c r="PUF33" s="66"/>
      <c r="PUG33" s="66"/>
      <c r="PUH33" s="66"/>
      <c r="PUI33" s="66"/>
      <c r="PUJ33" s="66"/>
      <c r="PUK33" s="66"/>
      <c r="PUL33" s="66"/>
      <c r="PUM33" s="66"/>
      <c r="PUN33" s="66"/>
      <c r="PUO33" s="66"/>
      <c r="PUP33" s="66"/>
      <c r="PUQ33" s="66"/>
      <c r="PUR33" s="66"/>
      <c r="PUS33" s="66"/>
      <c r="PUT33" s="66"/>
      <c r="PUU33" s="66"/>
      <c r="PUV33" s="66"/>
      <c r="PUW33" s="66"/>
      <c r="PUX33" s="66"/>
      <c r="PUY33" s="66"/>
      <c r="PUZ33" s="66"/>
      <c r="PVA33" s="66"/>
      <c r="PVB33" s="66"/>
      <c r="PVC33" s="66"/>
      <c r="PVD33" s="66"/>
      <c r="PVE33" s="66"/>
      <c r="PVF33" s="66"/>
      <c r="PVG33" s="66"/>
      <c r="PVH33" s="66"/>
      <c r="PVI33" s="66"/>
      <c r="PVJ33" s="66"/>
      <c r="PVK33" s="66"/>
      <c r="PVL33" s="66"/>
      <c r="PVM33" s="66"/>
      <c r="PVN33" s="66"/>
      <c r="PVO33" s="66"/>
      <c r="PVP33" s="66"/>
      <c r="PVQ33" s="66"/>
      <c r="PVR33" s="66"/>
      <c r="PVS33" s="66"/>
      <c r="PVT33" s="66"/>
      <c r="PVU33" s="66"/>
      <c r="PVV33" s="66"/>
      <c r="PVW33" s="66"/>
      <c r="PVX33" s="66"/>
      <c r="PVY33" s="66"/>
      <c r="PVZ33" s="66"/>
      <c r="PWA33" s="66"/>
      <c r="PWB33" s="66"/>
      <c r="PWC33" s="66"/>
      <c r="PWD33" s="66"/>
      <c r="PWE33" s="66"/>
      <c r="PWF33" s="66"/>
      <c r="PWG33" s="66"/>
      <c r="PWH33" s="66"/>
      <c r="PWI33" s="66"/>
      <c r="PWJ33" s="66"/>
      <c r="PWK33" s="66"/>
      <c r="PWL33" s="66"/>
      <c r="PWM33" s="66"/>
      <c r="PWN33" s="66"/>
      <c r="PWO33" s="66"/>
      <c r="PWP33" s="66"/>
      <c r="PWQ33" s="66"/>
      <c r="PWR33" s="66"/>
      <c r="PWS33" s="66"/>
      <c r="PWT33" s="66"/>
      <c r="PWU33" s="66"/>
      <c r="PWV33" s="66"/>
      <c r="PWW33" s="66"/>
      <c r="PWX33" s="66"/>
      <c r="PWY33" s="66"/>
      <c r="PWZ33" s="66"/>
      <c r="PXA33" s="66"/>
      <c r="PXB33" s="66"/>
      <c r="PXC33" s="66"/>
      <c r="PXD33" s="66"/>
      <c r="PXE33" s="66"/>
      <c r="PXF33" s="66"/>
      <c r="PXG33" s="66"/>
      <c r="PXH33" s="66"/>
      <c r="PXI33" s="66"/>
      <c r="PXJ33" s="66"/>
      <c r="PXK33" s="66"/>
      <c r="PXL33" s="66"/>
      <c r="PXM33" s="66"/>
      <c r="PXN33" s="66"/>
      <c r="PXO33" s="66"/>
      <c r="PXP33" s="66"/>
      <c r="PXQ33" s="66"/>
      <c r="PXR33" s="66"/>
      <c r="PXS33" s="66"/>
      <c r="PXT33" s="66"/>
      <c r="PXU33" s="66"/>
      <c r="PXV33" s="66"/>
      <c r="PXW33" s="66"/>
      <c r="PXX33" s="66"/>
      <c r="PXY33" s="66"/>
      <c r="PXZ33" s="66"/>
      <c r="PYA33" s="66"/>
      <c r="PYB33" s="66"/>
      <c r="PYC33" s="66"/>
      <c r="PYD33" s="66"/>
      <c r="PYE33" s="66"/>
      <c r="PYF33" s="66"/>
      <c r="PYG33" s="66"/>
      <c r="PYH33" s="66"/>
      <c r="PYI33" s="66"/>
      <c r="PYJ33" s="66"/>
      <c r="PYK33" s="66"/>
      <c r="PYL33" s="66"/>
      <c r="PYM33" s="66"/>
      <c r="PYN33" s="66"/>
      <c r="PYO33" s="66"/>
      <c r="PYP33" s="66"/>
      <c r="PYQ33" s="66"/>
      <c r="PYR33" s="66"/>
      <c r="PYS33" s="66"/>
      <c r="PYT33" s="66"/>
      <c r="PYU33" s="66"/>
      <c r="PYV33" s="66"/>
      <c r="PYW33" s="66"/>
      <c r="PYX33" s="66"/>
      <c r="PYY33" s="66"/>
      <c r="PYZ33" s="66"/>
      <c r="PZA33" s="66"/>
      <c r="PZB33" s="66"/>
      <c r="PZC33" s="66"/>
      <c r="PZD33" s="66"/>
      <c r="PZE33" s="66"/>
      <c r="PZF33" s="66"/>
      <c r="PZG33" s="66"/>
      <c r="PZH33" s="66"/>
      <c r="PZI33" s="66"/>
      <c r="PZJ33" s="66"/>
      <c r="PZK33" s="66"/>
      <c r="PZL33" s="66"/>
      <c r="PZM33" s="66"/>
      <c r="PZN33" s="66"/>
      <c r="PZO33" s="66"/>
      <c r="PZP33" s="66"/>
      <c r="PZQ33" s="66"/>
      <c r="PZR33" s="66"/>
      <c r="PZS33" s="66"/>
      <c r="PZT33" s="66"/>
      <c r="PZU33" s="66"/>
      <c r="PZV33" s="66"/>
      <c r="PZW33" s="66"/>
      <c r="PZX33" s="66"/>
      <c r="PZY33" s="66"/>
      <c r="PZZ33" s="66"/>
      <c r="QAA33" s="66"/>
      <c r="QAB33" s="66"/>
      <c r="QAC33" s="66"/>
      <c r="QAD33" s="66"/>
      <c r="QAE33" s="66"/>
      <c r="QAF33" s="66"/>
      <c r="QAG33" s="66"/>
      <c r="QAH33" s="66"/>
      <c r="QAI33" s="66"/>
      <c r="QAJ33" s="66"/>
      <c r="QAK33" s="66"/>
      <c r="QAL33" s="66"/>
      <c r="QAM33" s="66"/>
      <c r="QAN33" s="66"/>
      <c r="QAO33" s="66"/>
      <c r="QAP33" s="66"/>
      <c r="QAQ33" s="66"/>
      <c r="QAR33" s="66"/>
      <c r="QAS33" s="66"/>
      <c r="QAT33" s="66"/>
      <c r="QAU33" s="66"/>
      <c r="QAV33" s="66"/>
      <c r="QAW33" s="66"/>
      <c r="QAX33" s="66"/>
      <c r="QAY33" s="66"/>
      <c r="QAZ33" s="66"/>
      <c r="QBA33" s="66"/>
      <c r="QBB33" s="66"/>
      <c r="QBC33" s="66"/>
      <c r="QBD33" s="66"/>
      <c r="QBE33" s="66"/>
      <c r="QBF33" s="66"/>
      <c r="QBG33" s="66"/>
      <c r="QBH33" s="66"/>
      <c r="QBI33" s="66"/>
      <c r="QBJ33" s="66"/>
      <c r="QBK33" s="66"/>
      <c r="QBL33" s="66"/>
      <c r="QBM33" s="66"/>
      <c r="QBN33" s="66"/>
      <c r="QBO33" s="66"/>
      <c r="QBP33" s="66"/>
      <c r="QBQ33" s="66"/>
      <c r="QBR33" s="66"/>
      <c r="QBS33" s="66"/>
      <c r="QBT33" s="66"/>
      <c r="QBU33" s="66"/>
      <c r="QBV33" s="66"/>
      <c r="QBW33" s="66"/>
      <c r="QBX33" s="66"/>
      <c r="QBY33" s="66"/>
      <c r="QBZ33" s="66"/>
      <c r="QCA33" s="66"/>
      <c r="QCB33" s="66"/>
      <c r="QCC33" s="66"/>
      <c r="QCD33" s="66"/>
      <c r="QCE33" s="66"/>
      <c r="QCF33" s="66"/>
      <c r="QCG33" s="66"/>
      <c r="QCH33" s="66"/>
      <c r="QCI33" s="66"/>
      <c r="QCJ33" s="66"/>
      <c r="QCK33" s="66"/>
      <c r="QCL33" s="66"/>
      <c r="QCM33" s="66"/>
      <c r="QCN33" s="66"/>
      <c r="QCO33" s="66"/>
      <c r="QCP33" s="66"/>
      <c r="QCQ33" s="66"/>
      <c r="QCR33" s="66"/>
      <c r="QCS33" s="66"/>
      <c r="QCT33" s="66"/>
      <c r="QCU33" s="66"/>
      <c r="QCV33" s="66"/>
      <c r="QCW33" s="66"/>
      <c r="QCX33" s="66"/>
      <c r="QCY33" s="66"/>
      <c r="QCZ33" s="66"/>
      <c r="QDA33" s="66"/>
      <c r="QDB33" s="66"/>
      <c r="QDC33" s="66"/>
      <c r="QDD33" s="66"/>
      <c r="QDE33" s="66"/>
      <c r="QDF33" s="66"/>
      <c r="QDG33" s="66"/>
      <c r="QDH33" s="66"/>
      <c r="QDI33" s="66"/>
      <c r="QDJ33" s="66"/>
      <c r="QDK33" s="66"/>
      <c r="QDL33" s="66"/>
      <c r="QDM33" s="66"/>
      <c r="QDN33" s="66"/>
      <c r="QDO33" s="66"/>
      <c r="QDP33" s="66"/>
      <c r="QDQ33" s="66"/>
      <c r="QDR33" s="66"/>
      <c r="QDS33" s="66"/>
      <c r="QDT33" s="66"/>
      <c r="QDU33" s="66"/>
      <c r="QDV33" s="66"/>
      <c r="QDW33" s="66"/>
      <c r="QDX33" s="66"/>
      <c r="QDY33" s="66"/>
      <c r="QDZ33" s="66"/>
      <c r="QEA33" s="66"/>
      <c r="QEB33" s="66"/>
      <c r="QEC33" s="66"/>
      <c r="QED33" s="66"/>
      <c r="QEE33" s="66"/>
      <c r="QEF33" s="66"/>
      <c r="QEG33" s="66"/>
      <c r="QEH33" s="66"/>
      <c r="QEI33" s="66"/>
      <c r="QEJ33" s="66"/>
      <c r="QEK33" s="66"/>
      <c r="QEL33" s="66"/>
      <c r="QEM33" s="66"/>
      <c r="QEN33" s="66"/>
      <c r="QEO33" s="66"/>
      <c r="QEP33" s="66"/>
      <c r="QEQ33" s="66"/>
      <c r="QER33" s="66"/>
      <c r="QES33" s="66"/>
      <c r="QET33" s="66"/>
      <c r="QEU33" s="66"/>
      <c r="QEV33" s="66"/>
      <c r="QEW33" s="66"/>
      <c r="QEX33" s="66"/>
      <c r="QEY33" s="66"/>
      <c r="QEZ33" s="66"/>
      <c r="QFA33" s="66"/>
      <c r="QFB33" s="66"/>
      <c r="QFC33" s="66"/>
      <c r="QFD33" s="66"/>
      <c r="QFE33" s="66"/>
      <c r="QFF33" s="66"/>
      <c r="QFG33" s="66"/>
      <c r="QFH33" s="66"/>
      <c r="QFI33" s="66"/>
      <c r="QFJ33" s="66"/>
      <c r="QFK33" s="66"/>
      <c r="QFL33" s="66"/>
      <c r="QFM33" s="66"/>
      <c r="QFN33" s="66"/>
      <c r="QFO33" s="66"/>
      <c r="QFP33" s="66"/>
      <c r="QFQ33" s="66"/>
      <c r="QFR33" s="66"/>
      <c r="QFS33" s="66"/>
      <c r="QFT33" s="66"/>
      <c r="QFU33" s="66"/>
      <c r="QFV33" s="66"/>
      <c r="QFW33" s="66"/>
      <c r="QFX33" s="66"/>
      <c r="QFY33" s="66"/>
      <c r="QFZ33" s="66"/>
      <c r="QGA33" s="66"/>
      <c r="QGB33" s="66"/>
      <c r="QGC33" s="66"/>
      <c r="QGD33" s="66"/>
      <c r="QGE33" s="66"/>
      <c r="QGF33" s="66"/>
      <c r="QGG33" s="66"/>
      <c r="QGH33" s="66"/>
      <c r="QGI33" s="66"/>
      <c r="QGJ33" s="66"/>
      <c r="QGK33" s="66"/>
      <c r="QGL33" s="66"/>
      <c r="QGM33" s="66"/>
      <c r="QGN33" s="66"/>
      <c r="QGO33" s="66"/>
      <c r="QGP33" s="66"/>
      <c r="QGQ33" s="66"/>
      <c r="QGR33" s="66"/>
      <c r="QGS33" s="66"/>
      <c r="QGT33" s="66"/>
      <c r="QGU33" s="66"/>
      <c r="QGV33" s="66"/>
      <c r="QGW33" s="66"/>
      <c r="QGX33" s="66"/>
      <c r="QGY33" s="66"/>
      <c r="QGZ33" s="66"/>
      <c r="QHA33" s="66"/>
      <c r="QHB33" s="66"/>
      <c r="QHC33" s="66"/>
      <c r="QHD33" s="66"/>
      <c r="QHE33" s="66"/>
      <c r="QHF33" s="66"/>
      <c r="QHG33" s="66"/>
      <c r="QHH33" s="66"/>
      <c r="QHI33" s="66"/>
      <c r="QHJ33" s="66"/>
      <c r="QHK33" s="66"/>
      <c r="QHL33" s="66"/>
      <c r="QHM33" s="66"/>
      <c r="QHN33" s="66"/>
      <c r="QHO33" s="66"/>
      <c r="QHP33" s="66"/>
      <c r="QHQ33" s="66"/>
      <c r="QHR33" s="66"/>
      <c r="QHS33" s="66"/>
      <c r="QHT33" s="66"/>
      <c r="QHU33" s="66"/>
      <c r="QHV33" s="66"/>
      <c r="QHW33" s="66"/>
      <c r="QHX33" s="66"/>
      <c r="QHY33" s="66"/>
      <c r="QHZ33" s="66"/>
      <c r="QIA33" s="66"/>
      <c r="QIB33" s="66"/>
      <c r="QIC33" s="66"/>
      <c r="QID33" s="66"/>
      <c r="QIE33" s="66"/>
      <c r="QIF33" s="66"/>
      <c r="QIG33" s="66"/>
      <c r="QIH33" s="66"/>
      <c r="QII33" s="66"/>
      <c r="QIJ33" s="66"/>
      <c r="QIK33" s="66"/>
      <c r="QIL33" s="66"/>
      <c r="QIM33" s="66"/>
      <c r="QIN33" s="66"/>
      <c r="QIO33" s="66"/>
      <c r="QIP33" s="66"/>
      <c r="QIQ33" s="66"/>
      <c r="QIR33" s="66"/>
      <c r="QIS33" s="66"/>
      <c r="QIT33" s="66"/>
      <c r="QIU33" s="66"/>
      <c r="QIV33" s="66"/>
      <c r="QIW33" s="66"/>
      <c r="QIX33" s="66"/>
      <c r="QIY33" s="66"/>
      <c r="QIZ33" s="66"/>
      <c r="QJA33" s="66"/>
      <c r="QJB33" s="66"/>
      <c r="QJC33" s="66"/>
      <c r="QJD33" s="66"/>
      <c r="QJE33" s="66"/>
      <c r="QJF33" s="66"/>
      <c r="QJG33" s="66"/>
      <c r="QJH33" s="66"/>
      <c r="QJI33" s="66"/>
      <c r="QJJ33" s="66"/>
      <c r="QJK33" s="66"/>
      <c r="QJL33" s="66"/>
      <c r="QJM33" s="66"/>
      <c r="QJN33" s="66"/>
      <c r="QJO33" s="66"/>
      <c r="QJP33" s="66"/>
      <c r="QJQ33" s="66"/>
      <c r="QJR33" s="66"/>
      <c r="QJS33" s="66"/>
      <c r="QJT33" s="66"/>
      <c r="QJU33" s="66"/>
      <c r="QJV33" s="66"/>
      <c r="QJW33" s="66"/>
      <c r="QJX33" s="66"/>
      <c r="QJY33" s="66"/>
      <c r="QJZ33" s="66"/>
      <c r="QKA33" s="66"/>
      <c r="QKB33" s="66"/>
      <c r="QKC33" s="66"/>
      <c r="QKD33" s="66"/>
      <c r="QKE33" s="66"/>
      <c r="QKF33" s="66"/>
      <c r="QKG33" s="66"/>
      <c r="QKH33" s="66"/>
      <c r="QKI33" s="66"/>
      <c r="QKJ33" s="66"/>
      <c r="QKK33" s="66"/>
      <c r="QKL33" s="66"/>
      <c r="QKM33" s="66"/>
      <c r="QKN33" s="66"/>
      <c r="QKO33" s="66"/>
      <c r="QKP33" s="66"/>
      <c r="QKQ33" s="66"/>
      <c r="QKR33" s="66"/>
      <c r="QKS33" s="66"/>
      <c r="QKT33" s="66"/>
      <c r="QKU33" s="66"/>
      <c r="QKV33" s="66"/>
      <c r="QKW33" s="66"/>
      <c r="QKX33" s="66"/>
      <c r="QKY33" s="66"/>
      <c r="QKZ33" s="66"/>
      <c r="QLA33" s="66"/>
      <c r="QLB33" s="66"/>
      <c r="QLC33" s="66"/>
      <c r="QLD33" s="66"/>
      <c r="QLE33" s="66"/>
      <c r="QLF33" s="66"/>
      <c r="QLG33" s="66"/>
      <c r="QLH33" s="66"/>
      <c r="QLI33" s="66"/>
      <c r="QLJ33" s="66"/>
      <c r="QLK33" s="66"/>
      <c r="QLL33" s="66"/>
      <c r="QLM33" s="66"/>
      <c r="QLN33" s="66"/>
      <c r="QLO33" s="66"/>
      <c r="QLP33" s="66"/>
      <c r="QLQ33" s="66"/>
      <c r="QLR33" s="66"/>
      <c r="QLS33" s="66"/>
      <c r="QLT33" s="66"/>
      <c r="QLU33" s="66"/>
      <c r="QLV33" s="66"/>
      <c r="QLW33" s="66"/>
      <c r="QLX33" s="66"/>
      <c r="QLY33" s="66"/>
      <c r="QLZ33" s="66"/>
      <c r="QMA33" s="66"/>
      <c r="QMB33" s="66"/>
      <c r="QMC33" s="66"/>
      <c r="QMD33" s="66"/>
      <c r="QME33" s="66"/>
      <c r="QMF33" s="66"/>
      <c r="QMG33" s="66"/>
      <c r="QMH33" s="66"/>
      <c r="QMI33" s="66"/>
      <c r="QMJ33" s="66"/>
      <c r="QMK33" s="66"/>
      <c r="QML33" s="66"/>
      <c r="QMM33" s="66"/>
      <c r="QMN33" s="66"/>
      <c r="QMO33" s="66"/>
      <c r="QMP33" s="66"/>
      <c r="QMQ33" s="66"/>
      <c r="QMR33" s="66"/>
      <c r="QMS33" s="66"/>
      <c r="QMT33" s="66"/>
      <c r="QMU33" s="66"/>
      <c r="QMV33" s="66"/>
      <c r="QMW33" s="66"/>
      <c r="QMX33" s="66"/>
      <c r="QMY33" s="66"/>
      <c r="QMZ33" s="66"/>
      <c r="QNA33" s="66"/>
      <c r="QNB33" s="66"/>
      <c r="QNC33" s="66"/>
      <c r="QND33" s="66"/>
      <c r="QNE33" s="66"/>
      <c r="QNF33" s="66"/>
      <c r="QNG33" s="66"/>
      <c r="QNH33" s="66"/>
      <c r="QNI33" s="66"/>
      <c r="QNJ33" s="66"/>
      <c r="QNK33" s="66"/>
      <c r="QNL33" s="66"/>
      <c r="QNM33" s="66"/>
      <c r="QNN33" s="66"/>
      <c r="QNO33" s="66"/>
      <c r="QNP33" s="66"/>
      <c r="QNQ33" s="66"/>
      <c r="QNR33" s="66"/>
      <c r="QNS33" s="66"/>
      <c r="QNT33" s="66"/>
      <c r="QNU33" s="66"/>
      <c r="QNV33" s="66"/>
      <c r="QNW33" s="66"/>
      <c r="QNX33" s="66"/>
      <c r="QNY33" s="66"/>
      <c r="QNZ33" s="66"/>
      <c r="QOA33" s="66"/>
      <c r="QOB33" s="66"/>
      <c r="QOC33" s="66"/>
      <c r="QOD33" s="66"/>
      <c r="QOE33" s="66"/>
      <c r="QOF33" s="66"/>
      <c r="QOG33" s="66"/>
      <c r="QOH33" s="66"/>
      <c r="QOI33" s="66"/>
      <c r="QOJ33" s="66"/>
      <c r="QOK33" s="66"/>
      <c r="QOL33" s="66"/>
      <c r="QOM33" s="66"/>
      <c r="QON33" s="66"/>
      <c r="QOO33" s="66"/>
      <c r="QOP33" s="66"/>
      <c r="QOQ33" s="66"/>
      <c r="QOR33" s="66"/>
      <c r="QOS33" s="66"/>
      <c r="QOT33" s="66"/>
      <c r="QOU33" s="66"/>
      <c r="QOV33" s="66"/>
      <c r="QOW33" s="66"/>
      <c r="QOX33" s="66"/>
      <c r="QOY33" s="66"/>
      <c r="QOZ33" s="66"/>
      <c r="QPA33" s="66"/>
      <c r="QPB33" s="66"/>
      <c r="QPC33" s="66"/>
      <c r="QPD33" s="66"/>
      <c r="QPE33" s="66"/>
      <c r="QPF33" s="66"/>
      <c r="QPG33" s="66"/>
      <c r="QPH33" s="66"/>
      <c r="QPI33" s="66"/>
      <c r="QPJ33" s="66"/>
      <c r="QPK33" s="66"/>
      <c r="QPL33" s="66"/>
      <c r="QPM33" s="66"/>
      <c r="QPN33" s="66"/>
      <c r="QPO33" s="66"/>
      <c r="QPP33" s="66"/>
      <c r="QPQ33" s="66"/>
      <c r="QPR33" s="66"/>
      <c r="QPS33" s="66"/>
      <c r="QPT33" s="66"/>
      <c r="QPU33" s="66"/>
      <c r="QPV33" s="66"/>
      <c r="QPW33" s="66"/>
      <c r="QPX33" s="66"/>
      <c r="QPY33" s="66"/>
      <c r="QPZ33" s="66"/>
      <c r="QQA33" s="66"/>
      <c r="QQB33" s="66"/>
      <c r="QQC33" s="66"/>
      <c r="QQD33" s="66"/>
      <c r="QQE33" s="66"/>
      <c r="QQF33" s="66"/>
      <c r="QQG33" s="66"/>
      <c r="QQH33" s="66"/>
      <c r="QQI33" s="66"/>
      <c r="QQJ33" s="66"/>
      <c r="QQK33" s="66"/>
      <c r="QQL33" s="66"/>
      <c r="QQM33" s="66"/>
      <c r="QQN33" s="66"/>
      <c r="QQO33" s="66"/>
      <c r="QQP33" s="66"/>
      <c r="QQQ33" s="66"/>
      <c r="QQR33" s="66"/>
      <c r="QQS33" s="66"/>
      <c r="QQT33" s="66"/>
      <c r="QQU33" s="66"/>
      <c r="QQV33" s="66"/>
      <c r="QQW33" s="66"/>
      <c r="QQX33" s="66"/>
      <c r="QQY33" s="66"/>
      <c r="QQZ33" s="66"/>
      <c r="QRA33" s="66"/>
      <c r="QRB33" s="66"/>
      <c r="QRC33" s="66"/>
      <c r="QRD33" s="66"/>
      <c r="QRE33" s="66"/>
      <c r="QRF33" s="66"/>
      <c r="QRG33" s="66"/>
      <c r="QRH33" s="66"/>
      <c r="QRI33" s="66"/>
      <c r="QRJ33" s="66"/>
      <c r="QRK33" s="66"/>
      <c r="QRL33" s="66"/>
      <c r="QRM33" s="66"/>
      <c r="QRN33" s="66"/>
      <c r="QRO33" s="66"/>
      <c r="QRP33" s="66"/>
      <c r="QRQ33" s="66"/>
      <c r="QRR33" s="66"/>
      <c r="QRS33" s="66"/>
      <c r="QRT33" s="66"/>
      <c r="QRU33" s="66"/>
      <c r="QRV33" s="66"/>
      <c r="QRW33" s="66"/>
      <c r="QRX33" s="66"/>
      <c r="QRY33" s="66"/>
      <c r="QRZ33" s="66"/>
      <c r="QSA33" s="66"/>
      <c r="QSB33" s="66"/>
      <c r="QSC33" s="66"/>
      <c r="QSD33" s="66"/>
      <c r="QSE33" s="66"/>
      <c r="QSF33" s="66"/>
      <c r="QSG33" s="66"/>
      <c r="QSH33" s="66"/>
      <c r="QSI33" s="66"/>
      <c r="QSJ33" s="66"/>
      <c r="QSK33" s="66"/>
      <c r="QSL33" s="66"/>
      <c r="QSM33" s="66"/>
      <c r="QSN33" s="66"/>
      <c r="QSO33" s="66"/>
      <c r="QSP33" s="66"/>
      <c r="QSQ33" s="66"/>
      <c r="QSR33" s="66"/>
      <c r="QSS33" s="66"/>
      <c r="QST33" s="66"/>
      <c r="QSU33" s="66"/>
      <c r="QSV33" s="66"/>
      <c r="QSW33" s="66"/>
      <c r="QSX33" s="66"/>
      <c r="QSY33" s="66"/>
      <c r="QSZ33" s="66"/>
      <c r="QTA33" s="66"/>
      <c r="QTB33" s="66"/>
      <c r="QTC33" s="66"/>
      <c r="QTD33" s="66"/>
      <c r="QTE33" s="66"/>
      <c r="QTF33" s="66"/>
      <c r="QTG33" s="66"/>
      <c r="QTH33" s="66"/>
      <c r="QTI33" s="66"/>
      <c r="QTJ33" s="66"/>
      <c r="QTK33" s="66"/>
      <c r="QTL33" s="66"/>
      <c r="QTM33" s="66"/>
      <c r="QTN33" s="66"/>
      <c r="QTO33" s="66"/>
      <c r="QTP33" s="66"/>
      <c r="QTQ33" s="66"/>
      <c r="QTR33" s="66"/>
      <c r="QTS33" s="66"/>
      <c r="QTT33" s="66"/>
      <c r="QTU33" s="66"/>
      <c r="QTV33" s="66"/>
      <c r="QTW33" s="66"/>
      <c r="QTX33" s="66"/>
      <c r="QTY33" s="66"/>
      <c r="QTZ33" s="66"/>
      <c r="QUA33" s="66"/>
      <c r="QUB33" s="66"/>
      <c r="QUC33" s="66"/>
      <c r="QUD33" s="66"/>
      <c r="QUE33" s="66"/>
      <c r="QUF33" s="66"/>
      <c r="QUG33" s="66"/>
      <c r="QUH33" s="66"/>
      <c r="QUI33" s="66"/>
      <c r="QUJ33" s="66"/>
      <c r="QUK33" s="66"/>
      <c r="QUL33" s="66"/>
      <c r="QUM33" s="66"/>
      <c r="QUN33" s="66"/>
      <c r="QUO33" s="66"/>
      <c r="QUP33" s="66"/>
      <c r="QUQ33" s="66"/>
      <c r="QUR33" s="66"/>
      <c r="QUS33" s="66"/>
      <c r="QUT33" s="66"/>
      <c r="QUU33" s="66"/>
      <c r="QUV33" s="66"/>
      <c r="QUW33" s="66"/>
      <c r="QUX33" s="66"/>
      <c r="QUY33" s="66"/>
      <c r="QUZ33" s="66"/>
      <c r="QVA33" s="66"/>
      <c r="QVB33" s="66"/>
      <c r="QVC33" s="66"/>
      <c r="QVD33" s="66"/>
      <c r="QVE33" s="66"/>
      <c r="QVF33" s="66"/>
      <c r="QVG33" s="66"/>
      <c r="QVH33" s="66"/>
      <c r="QVI33" s="66"/>
      <c r="QVJ33" s="66"/>
      <c r="QVK33" s="66"/>
      <c r="QVL33" s="66"/>
      <c r="QVM33" s="66"/>
      <c r="QVN33" s="66"/>
      <c r="QVO33" s="66"/>
      <c r="QVP33" s="66"/>
      <c r="QVQ33" s="66"/>
      <c r="QVR33" s="66"/>
      <c r="QVS33" s="66"/>
      <c r="QVT33" s="66"/>
      <c r="QVU33" s="66"/>
      <c r="QVV33" s="66"/>
      <c r="QVW33" s="66"/>
      <c r="QVX33" s="66"/>
      <c r="QVY33" s="66"/>
      <c r="QVZ33" s="66"/>
      <c r="QWA33" s="66"/>
      <c r="QWB33" s="66"/>
      <c r="QWC33" s="66"/>
      <c r="QWD33" s="66"/>
      <c r="QWE33" s="66"/>
      <c r="QWF33" s="66"/>
      <c r="QWG33" s="66"/>
      <c r="QWH33" s="66"/>
      <c r="QWI33" s="66"/>
      <c r="QWJ33" s="66"/>
      <c r="QWK33" s="66"/>
      <c r="QWL33" s="66"/>
      <c r="QWM33" s="66"/>
      <c r="QWN33" s="66"/>
      <c r="QWO33" s="66"/>
      <c r="QWP33" s="66"/>
      <c r="QWQ33" s="66"/>
      <c r="QWR33" s="66"/>
      <c r="QWS33" s="66"/>
      <c r="QWT33" s="66"/>
      <c r="QWU33" s="66"/>
      <c r="QWV33" s="66"/>
      <c r="QWW33" s="66"/>
      <c r="QWX33" s="66"/>
      <c r="QWY33" s="66"/>
      <c r="QWZ33" s="66"/>
      <c r="QXA33" s="66"/>
      <c r="QXB33" s="66"/>
      <c r="QXC33" s="66"/>
      <c r="QXD33" s="66"/>
      <c r="QXE33" s="66"/>
      <c r="QXF33" s="66"/>
      <c r="QXG33" s="66"/>
      <c r="QXH33" s="66"/>
      <c r="QXI33" s="66"/>
      <c r="QXJ33" s="66"/>
      <c r="QXK33" s="66"/>
      <c r="QXL33" s="66"/>
      <c r="QXM33" s="66"/>
      <c r="QXN33" s="66"/>
      <c r="QXO33" s="66"/>
      <c r="QXP33" s="66"/>
      <c r="QXQ33" s="66"/>
      <c r="QXR33" s="66"/>
      <c r="QXS33" s="66"/>
      <c r="QXT33" s="66"/>
      <c r="QXU33" s="66"/>
      <c r="QXV33" s="66"/>
      <c r="QXW33" s="66"/>
      <c r="QXX33" s="66"/>
      <c r="QXY33" s="66"/>
      <c r="QXZ33" s="66"/>
      <c r="QYA33" s="66"/>
      <c r="QYB33" s="66"/>
      <c r="QYC33" s="66"/>
      <c r="QYD33" s="66"/>
      <c r="QYE33" s="66"/>
      <c r="QYF33" s="66"/>
      <c r="QYG33" s="66"/>
      <c r="QYH33" s="66"/>
      <c r="QYI33" s="66"/>
      <c r="QYJ33" s="66"/>
      <c r="QYK33" s="66"/>
      <c r="QYL33" s="66"/>
      <c r="QYM33" s="66"/>
      <c r="QYN33" s="66"/>
      <c r="QYO33" s="66"/>
      <c r="QYP33" s="66"/>
      <c r="QYQ33" s="66"/>
      <c r="QYR33" s="66"/>
      <c r="QYS33" s="66"/>
      <c r="QYT33" s="66"/>
      <c r="QYU33" s="66"/>
      <c r="QYV33" s="66"/>
      <c r="QYW33" s="66"/>
      <c r="QYX33" s="66"/>
      <c r="QYY33" s="66"/>
      <c r="QYZ33" s="66"/>
      <c r="QZA33" s="66"/>
      <c r="QZB33" s="66"/>
      <c r="QZC33" s="66"/>
      <c r="QZD33" s="66"/>
      <c r="QZE33" s="66"/>
      <c r="QZF33" s="66"/>
      <c r="QZG33" s="66"/>
      <c r="QZH33" s="66"/>
      <c r="QZI33" s="66"/>
      <c r="QZJ33" s="66"/>
      <c r="QZK33" s="66"/>
      <c r="QZL33" s="66"/>
      <c r="QZM33" s="66"/>
      <c r="QZN33" s="66"/>
      <c r="QZO33" s="66"/>
      <c r="QZP33" s="66"/>
      <c r="QZQ33" s="66"/>
      <c r="QZR33" s="66"/>
      <c r="QZS33" s="66"/>
      <c r="QZT33" s="66"/>
      <c r="QZU33" s="66"/>
      <c r="QZV33" s="66"/>
      <c r="QZW33" s="66"/>
      <c r="QZX33" s="66"/>
      <c r="QZY33" s="66"/>
      <c r="QZZ33" s="66"/>
      <c r="RAA33" s="66"/>
      <c r="RAB33" s="66"/>
      <c r="RAC33" s="66"/>
      <c r="RAD33" s="66"/>
      <c r="RAE33" s="66"/>
      <c r="RAF33" s="66"/>
      <c r="RAG33" s="66"/>
      <c r="RAH33" s="66"/>
      <c r="RAI33" s="66"/>
      <c r="RAJ33" s="66"/>
      <c r="RAK33" s="66"/>
      <c r="RAL33" s="66"/>
      <c r="RAM33" s="66"/>
      <c r="RAN33" s="66"/>
      <c r="RAO33" s="66"/>
      <c r="RAP33" s="66"/>
      <c r="RAQ33" s="66"/>
      <c r="RAR33" s="66"/>
      <c r="RAS33" s="66"/>
      <c r="RAT33" s="66"/>
      <c r="RAU33" s="66"/>
      <c r="RAV33" s="66"/>
      <c r="RAW33" s="66"/>
      <c r="RAX33" s="66"/>
      <c r="RAY33" s="66"/>
      <c r="RAZ33" s="66"/>
      <c r="RBA33" s="66"/>
      <c r="RBB33" s="66"/>
      <c r="RBC33" s="66"/>
      <c r="RBD33" s="66"/>
      <c r="RBE33" s="66"/>
      <c r="RBF33" s="66"/>
      <c r="RBG33" s="66"/>
      <c r="RBH33" s="66"/>
      <c r="RBI33" s="66"/>
      <c r="RBJ33" s="66"/>
      <c r="RBK33" s="66"/>
      <c r="RBL33" s="66"/>
      <c r="RBM33" s="66"/>
      <c r="RBN33" s="66"/>
      <c r="RBO33" s="66"/>
      <c r="RBP33" s="66"/>
      <c r="RBQ33" s="66"/>
      <c r="RBR33" s="66"/>
      <c r="RBS33" s="66"/>
      <c r="RBT33" s="66"/>
      <c r="RBU33" s="66"/>
      <c r="RBV33" s="66"/>
      <c r="RBW33" s="66"/>
      <c r="RBX33" s="66"/>
      <c r="RBY33" s="66"/>
      <c r="RBZ33" s="66"/>
      <c r="RCA33" s="66"/>
      <c r="RCB33" s="66"/>
      <c r="RCC33" s="66"/>
      <c r="RCD33" s="66"/>
      <c r="RCE33" s="66"/>
      <c r="RCF33" s="66"/>
      <c r="RCG33" s="66"/>
      <c r="RCH33" s="66"/>
      <c r="RCI33" s="66"/>
      <c r="RCJ33" s="66"/>
      <c r="RCK33" s="66"/>
      <c r="RCL33" s="66"/>
      <c r="RCM33" s="66"/>
      <c r="RCN33" s="66"/>
      <c r="RCO33" s="66"/>
      <c r="RCP33" s="66"/>
      <c r="RCQ33" s="66"/>
      <c r="RCR33" s="66"/>
      <c r="RCS33" s="66"/>
      <c r="RCT33" s="66"/>
      <c r="RCU33" s="66"/>
      <c r="RCV33" s="66"/>
      <c r="RCW33" s="66"/>
      <c r="RCX33" s="66"/>
      <c r="RCY33" s="66"/>
      <c r="RCZ33" s="66"/>
      <c r="RDA33" s="66"/>
      <c r="RDB33" s="66"/>
      <c r="RDC33" s="66"/>
      <c r="RDD33" s="66"/>
      <c r="RDE33" s="66"/>
      <c r="RDF33" s="66"/>
      <c r="RDG33" s="66"/>
      <c r="RDH33" s="66"/>
      <c r="RDI33" s="66"/>
      <c r="RDJ33" s="66"/>
      <c r="RDK33" s="66"/>
      <c r="RDL33" s="66"/>
      <c r="RDM33" s="66"/>
      <c r="RDN33" s="66"/>
      <c r="RDO33" s="66"/>
      <c r="RDP33" s="66"/>
      <c r="RDQ33" s="66"/>
      <c r="RDR33" s="66"/>
      <c r="RDS33" s="66"/>
      <c r="RDT33" s="66"/>
      <c r="RDU33" s="66"/>
      <c r="RDV33" s="66"/>
      <c r="RDW33" s="66"/>
      <c r="RDX33" s="66"/>
      <c r="RDY33" s="66"/>
      <c r="RDZ33" s="66"/>
      <c r="REA33" s="66"/>
      <c r="REB33" s="66"/>
      <c r="REC33" s="66"/>
      <c r="RED33" s="66"/>
      <c r="REE33" s="66"/>
      <c r="REF33" s="66"/>
      <c r="REG33" s="66"/>
      <c r="REH33" s="66"/>
      <c r="REI33" s="66"/>
      <c r="REJ33" s="66"/>
      <c r="REK33" s="66"/>
      <c r="REL33" s="66"/>
      <c r="REM33" s="66"/>
      <c r="REN33" s="66"/>
      <c r="REO33" s="66"/>
      <c r="REP33" s="66"/>
      <c r="REQ33" s="66"/>
      <c r="RER33" s="66"/>
      <c r="RES33" s="66"/>
      <c r="RET33" s="66"/>
      <c r="REU33" s="66"/>
      <c r="REV33" s="66"/>
      <c r="REW33" s="66"/>
      <c r="REX33" s="66"/>
      <c r="REY33" s="66"/>
      <c r="REZ33" s="66"/>
      <c r="RFA33" s="66"/>
      <c r="RFB33" s="66"/>
      <c r="RFC33" s="66"/>
      <c r="RFD33" s="66"/>
      <c r="RFE33" s="66"/>
      <c r="RFF33" s="66"/>
      <c r="RFG33" s="66"/>
      <c r="RFH33" s="66"/>
      <c r="RFI33" s="66"/>
      <c r="RFJ33" s="66"/>
      <c r="RFK33" s="66"/>
      <c r="RFL33" s="66"/>
      <c r="RFM33" s="66"/>
      <c r="RFN33" s="66"/>
      <c r="RFO33" s="66"/>
      <c r="RFP33" s="66"/>
      <c r="RFQ33" s="66"/>
      <c r="RFR33" s="66"/>
      <c r="RFS33" s="66"/>
      <c r="RFT33" s="66"/>
      <c r="RFU33" s="66"/>
      <c r="RFV33" s="66"/>
      <c r="RFW33" s="66"/>
      <c r="RFX33" s="66"/>
      <c r="RFY33" s="66"/>
      <c r="RFZ33" s="66"/>
      <c r="RGA33" s="66"/>
      <c r="RGB33" s="66"/>
      <c r="RGC33" s="66"/>
      <c r="RGD33" s="66"/>
      <c r="RGE33" s="66"/>
      <c r="RGF33" s="66"/>
      <c r="RGG33" s="66"/>
      <c r="RGH33" s="66"/>
      <c r="RGI33" s="66"/>
      <c r="RGJ33" s="66"/>
      <c r="RGK33" s="66"/>
      <c r="RGL33" s="66"/>
      <c r="RGM33" s="66"/>
      <c r="RGN33" s="66"/>
      <c r="RGO33" s="66"/>
      <c r="RGP33" s="66"/>
      <c r="RGQ33" s="66"/>
      <c r="RGR33" s="66"/>
      <c r="RGS33" s="66"/>
      <c r="RGT33" s="66"/>
      <c r="RGU33" s="66"/>
      <c r="RGV33" s="66"/>
      <c r="RGW33" s="66"/>
      <c r="RGX33" s="66"/>
      <c r="RGY33" s="66"/>
      <c r="RGZ33" s="66"/>
      <c r="RHA33" s="66"/>
      <c r="RHB33" s="66"/>
      <c r="RHC33" s="66"/>
      <c r="RHD33" s="66"/>
      <c r="RHE33" s="66"/>
      <c r="RHF33" s="66"/>
      <c r="RHG33" s="66"/>
      <c r="RHH33" s="66"/>
      <c r="RHI33" s="66"/>
      <c r="RHJ33" s="66"/>
      <c r="RHK33" s="66"/>
      <c r="RHL33" s="66"/>
      <c r="RHM33" s="66"/>
      <c r="RHN33" s="66"/>
      <c r="RHO33" s="66"/>
      <c r="RHP33" s="66"/>
      <c r="RHQ33" s="66"/>
      <c r="RHR33" s="66"/>
      <c r="RHS33" s="66"/>
      <c r="RHT33" s="66"/>
      <c r="RHU33" s="66"/>
      <c r="RHV33" s="66"/>
      <c r="RHW33" s="66"/>
      <c r="RHX33" s="66"/>
      <c r="RHY33" s="66"/>
      <c r="RHZ33" s="66"/>
      <c r="RIA33" s="66"/>
      <c r="RIB33" s="66"/>
      <c r="RIC33" s="66"/>
      <c r="RID33" s="66"/>
      <c r="RIE33" s="66"/>
      <c r="RIF33" s="66"/>
      <c r="RIG33" s="66"/>
      <c r="RIH33" s="66"/>
      <c r="RII33" s="66"/>
      <c r="RIJ33" s="66"/>
      <c r="RIK33" s="66"/>
      <c r="RIL33" s="66"/>
      <c r="RIM33" s="66"/>
      <c r="RIN33" s="66"/>
      <c r="RIO33" s="66"/>
      <c r="RIP33" s="66"/>
      <c r="RIQ33" s="66"/>
      <c r="RIR33" s="66"/>
      <c r="RIS33" s="66"/>
      <c r="RIT33" s="66"/>
      <c r="RIU33" s="66"/>
      <c r="RIV33" s="66"/>
      <c r="RIW33" s="66"/>
      <c r="RIX33" s="66"/>
      <c r="RIY33" s="66"/>
      <c r="RIZ33" s="66"/>
      <c r="RJA33" s="66"/>
      <c r="RJB33" s="66"/>
      <c r="RJC33" s="66"/>
      <c r="RJD33" s="66"/>
      <c r="RJE33" s="66"/>
      <c r="RJF33" s="66"/>
      <c r="RJG33" s="66"/>
      <c r="RJH33" s="66"/>
      <c r="RJI33" s="66"/>
      <c r="RJJ33" s="66"/>
      <c r="RJK33" s="66"/>
      <c r="RJL33" s="66"/>
      <c r="RJM33" s="66"/>
      <c r="RJN33" s="66"/>
      <c r="RJO33" s="66"/>
      <c r="RJP33" s="66"/>
      <c r="RJQ33" s="66"/>
      <c r="RJR33" s="66"/>
      <c r="RJS33" s="66"/>
      <c r="RJT33" s="66"/>
      <c r="RJU33" s="66"/>
      <c r="RJV33" s="66"/>
      <c r="RJW33" s="66"/>
      <c r="RJX33" s="66"/>
      <c r="RJY33" s="66"/>
      <c r="RJZ33" s="66"/>
      <c r="RKA33" s="66"/>
      <c r="RKB33" s="66"/>
      <c r="RKC33" s="66"/>
      <c r="RKD33" s="66"/>
      <c r="RKE33" s="66"/>
      <c r="RKF33" s="66"/>
      <c r="RKG33" s="66"/>
      <c r="RKH33" s="66"/>
      <c r="RKI33" s="66"/>
      <c r="RKJ33" s="66"/>
      <c r="RKK33" s="66"/>
      <c r="RKL33" s="66"/>
      <c r="RKM33" s="66"/>
      <c r="RKN33" s="66"/>
      <c r="RKO33" s="66"/>
      <c r="RKP33" s="66"/>
      <c r="RKQ33" s="66"/>
      <c r="RKR33" s="66"/>
      <c r="RKS33" s="66"/>
      <c r="RKT33" s="66"/>
      <c r="RKU33" s="66"/>
      <c r="RKV33" s="66"/>
      <c r="RKW33" s="66"/>
      <c r="RKX33" s="66"/>
      <c r="RKY33" s="66"/>
      <c r="RKZ33" s="66"/>
      <c r="RLA33" s="66"/>
      <c r="RLB33" s="66"/>
      <c r="RLC33" s="66"/>
      <c r="RLD33" s="66"/>
      <c r="RLE33" s="66"/>
      <c r="RLF33" s="66"/>
      <c r="RLG33" s="66"/>
      <c r="RLH33" s="66"/>
      <c r="RLI33" s="66"/>
      <c r="RLJ33" s="66"/>
      <c r="RLK33" s="66"/>
      <c r="RLL33" s="66"/>
      <c r="RLM33" s="66"/>
      <c r="RLN33" s="66"/>
      <c r="RLO33" s="66"/>
      <c r="RLP33" s="66"/>
      <c r="RLQ33" s="66"/>
      <c r="RLR33" s="66"/>
      <c r="RLS33" s="66"/>
      <c r="RLT33" s="66"/>
      <c r="RLU33" s="66"/>
      <c r="RLV33" s="66"/>
      <c r="RLW33" s="66"/>
      <c r="RLX33" s="66"/>
      <c r="RLY33" s="66"/>
      <c r="RLZ33" s="66"/>
      <c r="RMA33" s="66"/>
      <c r="RMB33" s="66"/>
      <c r="RMC33" s="66"/>
      <c r="RMD33" s="66"/>
      <c r="RME33" s="66"/>
      <c r="RMF33" s="66"/>
      <c r="RMG33" s="66"/>
      <c r="RMH33" s="66"/>
      <c r="RMI33" s="66"/>
      <c r="RMJ33" s="66"/>
      <c r="RMK33" s="66"/>
      <c r="RML33" s="66"/>
      <c r="RMM33" s="66"/>
      <c r="RMN33" s="66"/>
      <c r="RMO33" s="66"/>
      <c r="RMP33" s="66"/>
      <c r="RMQ33" s="66"/>
      <c r="RMR33" s="66"/>
      <c r="RMS33" s="66"/>
      <c r="RMT33" s="66"/>
      <c r="RMU33" s="66"/>
      <c r="RMV33" s="66"/>
      <c r="RMW33" s="66"/>
      <c r="RMX33" s="66"/>
      <c r="RMY33" s="66"/>
      <c r="RMZ33" s="66"/>
      <c r="RNA33" s="66"/>
      <c r="RNB33" s="66"/>
      <c r="RNC33" s="66"/>
      <c r="RND33" s="66"/>
      <c r="RNE33" s="66"/>
      <c r="RNF33" s="66"/>
      <c r="RNG33" s="66"/>
      <c r="RNH33" s="66"/>
      <c r="RNI33" s="66"/>
      <c r="RNJ33" s="66"/>
      <c r="RNK33" s="66"/>
      <c r="RNL33" s="66"/>
      <c r="RNM33" s="66"/>
      <c r="RNN33" s="66"/>
      <c r="RNO33" s="66"/>
      <c r="RNP33" s="66"/>
      <c r="RNQ33" s="66"/>
      <c r="RNR33" s="66"/>
      <c r="RNS33" s="66"/>
      <c r="RNT33" s="66"/>
      <c r="RNU33" s="66"/>
      <c r="RNV33" s="66"/>
      <c r="RNW33" s="66"/>
      <c r="RNX33" s="66"/>
      <c r="RNY33" s="66"/>
      <c r="RNZ33" s="66"/>
      <c r="ROA33" s="66"/>
      <c r="ROB33" s="66"/>
      <c r="ROC33" s="66"/>
      <c r="ROD33" s="66"/>
      <c r="ROE33" s="66"/>
      <c r="ROF33" s="66"/>
      <c r="ROG33" s="66"/>
      <c r="ROH33" s="66"/>
      <c r="ROI33" s="66"/>
      <c r="ROJ33" s="66"/>
      <c r="ROK33" s="66"/>
      <c r="ROL33" s="66"/>
      <c r="ROM33" s="66"/>
      <c r="RON33" s="66"/>
      <c r="ROO33" s="66"/>
      <c r="ROP33" s="66"/>
      <c r="ROQ33" s="66"/>
      <c r="ROR33" s="66"/>
      <c r="ROS33" s="66"/>
      <c r="ROT33" s="66"/>
      <c r="ROU33" s="66"/>
      <c r="ROV33" s="66"/>
      <c r="ROW33" s="66"/>
      <c r="ROX33" s="66"/>
      <c r="ROY33" s="66"/>
      <c r="ROZ33" s="66"/>
      <c r="RPA33" s="66"/>
      <c r="RPB33" s="66"/>
      <c r="RPC33" s="66"/>
      <c r="RPD33" s="66"/>
      <c r="RPE33" s="66"/>
      <c r="RPF33" s="66"/>
      <c r="RPG33" s="66"/>
      <c r="RPH33" s="66"/>
      <c r="RPI33" s="66"/>
      <c r="RPJ33" s="66"/>
      <c r="RPK33" s="66"/>
      <c r="RPL33" s="66"/>
      <c r="RPM33" s="66"/>
      <c r="RPN33" s="66"/>
      <c r="RPO33" s="66"/>
      <c r="RPP33" s="66"/>
      <c r="RPQ33" s="66"/>
      <c r="RPR33" s="66"/>
      <c r="RPS33" s="66"/>
      <c r="RPT33" s="66"/>
      <c r="RPU33" s="66"/>
      <c r="RPV33" s="66"/>
      <c r="RPW33" s="66"/>
      <c r="RPX33" s="66"/>
      <c r="RPY33" s="66"/>
      <c r="RPZ33" s="66"/>
      <c r="RQA33" s="66"/>
      <c r="RQB33" s="66"/>
      <c r="RQC33" s="66"/>
      <c r="RQD33" s="66"/>
      <c r="RQE33" s="66"/>
      <c r="RQF33" s="66"/>
      <c r="RQG33" s="66"/>
      <c r="RQH33" s="66"/>
      <c r="RQI33" s="66"/>
      <c r="RQJ33" s="66"/>
      <c r="RQK33" s="66"/>
      <c r="RQL33" s="66"/>
      <c r="RQM33" s="66"/>
      <c r="RQN33" s="66"/>
      <c r="RQO33" s="66"/>
      <c r="RQP33" s="66"/>
      <c r="RQQ33" s="66"/>
      <c r="RQR33" s="66"/>
      <c r="RQS33" s="66"/>
      <c r="RQT33" s="66"/>
      <c r="RQU33" s="66"/>
      <c r="RQV33" s="66"/>
      <c r="RQW33" s="66"/>
      <c r="RQX33" s="66"/>
      <c r="RQY33" s="66"/>
      <c r="RQZ33" s="66"/>
      <c r="RRA33" s="66"/>
      <c r="RRB33" s="66"/>
      <c r="RRC33" s="66"/>
      <c r="RRD33" s="66"/>
      <c r="RRE33" s="66"/>
      <c r="RRF33" s="66"/>
      <c r="RRG33" s="66"/>
      <c r="RRH33" s="66"/>
      <c r="RRI33" s="66"/>
      <c r="RRJ33" s="66"/>
      <c r="RRK33" s="66"/>
      <c r="RRL33" s="66"/>
      <c r="RRM33" s="66"/>
      <c r="RRN33" s="66"/>
      <c r="RRO33" s="66"/>
      <c r="RRP33" s="66"/>
      <c r="RRQ33" s="66"/>
      <c r="RRR33" s="66"/>
      <c r="RRS33" s="66"/>
      <c r="RRT33" s="66"/>
      <c r="RRU33" s="66"/>
      <c r="RRV33" s="66"/>
      <c r="RRW33" s="66"/>
      <c r="RRX33" s="66"/>
      <c r="RRY33" s="66"/>
      <c r="RRZ33" s="66"/>
      <c r="RSA33" s="66"/>
      <c r="RSB33" s="66"/>
      <c r="RSC33" s="66"/>
      <c r="RSD33" s="66"/>
      <c r="RSE33" s="66"/>
      <c r="RSF33" s="66"/>
      <c r="RSG33" s="66"/>
      <c r="RSH33" s="66"/>
      <c r="RSI33" s="66"/>
      <c r="RSJ33" s="66"/>
      <c r="RSK33" s="66"/>
      <c r="RSL33" s="66"/>
      <c r="RSM33" s="66"/>
      <c r="RSN33" s="66"/>
      <c r="RSO33" s="66"/>
      <c r="RSP33" s="66"/>
      <c r="RSQ33" s="66"/>
      <c r="RSR33" s="66"/>
      <c r="RSS33" s="66"/>
      <c r="RST33" s="66"/>
      <c r="RSU33" s="66"/>
      <c r="RSV33" s="66"/>
      <c r="RSW33" s="66"/>
      <c r="RSX33" s="66"/>
      <c r="RSY33" s="66"/>
      <c r="RSZ33" s="66"/>
      <c r="RTA33" s="66"/>
      <c r="RTB33" s="66"/>
      <c r="RTC33" s="66"/>
      <c r="RTD33" s="66"/>
      <c r="RTE33" s="66"/>
      <c r="RTF33" s="66"/>
      <c r="RTG33" s="66"/>
      <c r="RTH33" s="66"/>
      <c r="RTI33" s="66"/>
      <c r="RTJ33" s="66"/>
      <c r="RTK33" s="66"/>
      <c r="RTL33" s="66"/>
      <c r="RTM33" s="66"/>
      <c r="RTN33" s="66"/>
      <c r="RTO33" s="66"/>
      <c r="RTP33" s="66"/>
      <c r="RTQ33" s="66"/>
      <c r="RTR33" s="66"/>
      <c r="RTS33" s="66"/>
      <c r="RTT33" s="66"/>
      <c r="RTU33" s="66"/>
      <c r="RTV33" s="66"/>
      <c r="RTW33" s="66"/>
      <c r="RTX33" s="66"/>
      <c r="RTY33" s="66"/>
      <c r="RTZ33" s="66"/>
      <c r="RUA33" s="66"/>
      <c r="RUB33" s="66"/>
      <c r="RUC33" s="66"/>
      <c r="RUD33" s="66"/>
      <c r="RUE33" s="66"/>
      <c r="RUF33" s="66"/>
      <c r="RUG33" s="66"/>
      <c r="RUH33" s="66"/>
      <c r="RUI33" s="66"/>
      <c r="RUJ33" s="66"/>
      <c r="RUK33" s="66"/>
      <c r="RUL33" s="66"/>
      <c r="RUM33" s="66"/>
      <c r="RUN33" s="66"/>
      <c r="RUO33" s="66"/>
      <c r="RUP33" s="66"/>
      <c r="RUQ33" s="66"/>
      <c r="RUR33" s="66"/>
      <c r="RUS33" s="66"/>
      <c r="RUT33" s="66"/>
      <c r="RUU33" s="66"/>
      <c r="RUV33" s="66"/>
      <c r="RUW33" s="66"/>
      <c r="RUX33" s="66"/>
      <c r="RUY33" s="66"/>
      <c r="RUZ33" s="66"/>
      <c r="RVA33" s="66"/>
      <c r="RVB33" s="66"/>
      <c r="RVC33" s="66"/>
      <c r="RVD33" s="66"/>
      <c r="RVE33" s="66"/>
      <c r="RVF33" s="66"/>
      <c r="RVG33" s="66"/>
      <c r="RVH33" s="66"/>
      <c r="RVI33" s="66"/>
      <c r="RVJ33" s="66"/>
      <c r="RVK33" s="66"/>
      <c r="RVL33" s="66"/>
      <c r="RVM33" s="66"/>
      <c r="RVN33" s="66"/>
      <c r="RVO33" s="66"/>
      <c r="RVP33" s="66"/>
      <c r="RVQ33" s="66"/>
      <c r="RVR33" s="66"/>
      <c r="RVS33" s="66"/>
      <c r="RVT33" s="66"/>
      <c r="RVU33" s="66"/>
      <c r="RVV33" s="66"/>
      <c r="RVW33" s="66"/>
      <c r="RVX33" s="66"/>
      <c r="RVY33" s="66"/>
      <c r="RVZ33" s="66"/>
      <c r="RWA33" s="66"/>
      <c r="RWB33" s="66"/>
      <c r="RWC33" s="66"/>
      <c r="RWD33" s="66"/>
      <c r="RWE33" s="66"/>
      <c r="RWF33" s="66"/>
      <c r="RWG33" s="66"/>
      <c r="RWH33" s="66"/>
      <c r="RWI33" s="66"/>
      <c r="RWJ33" s="66"/>
      <c r="RWK33" s="66"/>
      <c r="RWL33" s="66"/>
      <c r="RWM33" s="66"/>
      <c r="RWN33" s="66"/>
      <c r="RWO33" s="66"/>
      <c r="RWP33" s="66"/>
      <c r="RWQ33" s="66"/>
      <c r="RWR33" s="66"/>
      <c r="RWS33" s="66"/>
      <c r="RWT33" s="66"/>
      <c r="RWU33" s="66"/>
      <c r="RWV33" s="66"/>
      <c r="RWW33" s="66"/>
      <c r="RWX33" s="66"/>
      <c r="RWY33" s="66"/>
      <c r="RWZ33" s="66"/>
      <c r="RXA33" s="66"/>
      <c r="RXB33" s="66"/>
      <c r="RXC33" s="66"/>
      <c r="RXD33" s="66"/>
      <c r="RXE33" s="66"/>
      <c r="RXF33" s="66"/>
      <c r="RXG33" s="66"/>
      <c r="RXH33" s="66"/>
      <c r="RXI33" s="66"/>
      <c r="RXJ33" s="66"/>
      <c r="RXK33" s="66"/>
      <c r="RXL33" s="66"/>
      <c r="RXM33" s="66"/>
      <c r="RXN33" s="66"/>
      <c r="RXO33" s="66"/>
      <c r="RXP33" s="66"/>
      <c r="RXQ33" s="66"/>
      <c r="RXR33" s="66"/>
      <c r="RXS33" s="66"/>
      <c r="RXT33" s="66"/>
      <c r="RXU33" s="66"/>
      <c r="RXV33" s="66"/>
      <c r="RXW33" s="66"/>
      <c r="RXX33" s="66"/>
      <c r="RXY33" s="66"/>
      <c r="RXZ33" s="66"/>
      <c r="RYA33" s="66"/>
      <c r="RYB33" s="66"/>
      <c r="RYC33" s="66"/>
      <c r="RYD33" s="66"/>
      <c r="RYE33" s="66"/>
      <c r="RYF33" s="66"/>
      <c r="RYG33" s="66"/>
      <c r="RYH33" s="66"/>
      <c r="RYI33" s="66"/>
      <c r="RYJ33" s="66"/>
      <c r="RYK33" s="66"/>
      <c r="RYL33" s="66"/>
      <c r="RYM33" s="66"/>
      <c r="RYN33" s="66"/>
      <c r="RYO33" s="66"/>
      <c r="RYP33" s="66"/>
      <c r="RYQ33" s="66"/>
      <c r="RYR33" s="66"/>
      <c r="RYS33" s="66"/>
      <c r="RYT33" s="66"/>
      <c r="RYU33" s="66"/>
      <c r="RYV33" s="66"/>
      <c r="RYW33" s="66"/>
      <c r="RYX33" s="66"/>
      <c r="RYY33" s="66"/>
      <c r="RYZ33" s="66"/>
      <c r="RZA33" s="66"/>
      <c r="RZB33" s="66"/>
      <c r="RZC33" s="66"/>
      <c r="RZD33" s="66"/>
      <c r="RZE33" s="66"/>
      <c r="RZF33" s="66"/>
      <c r="RZG33" s="66"/>
      <c r="RZH33" s="66"/>
      <c r="RZI33" s="66"/>
      <c r="RZJ33" s="66"/>
      <c r="RZK33" s="66"/>
      <c r="RZL33" s="66"/>
      <c r="RZM33" s="66"/>
      <c r="RZN33" s="66"/>
      <c r="RZO33" s="66"/>
      <c r="RZP33" s="66"/>
      <c r="RZQ33" s="66"/>
      <c r="RZR33" s="66"/>
      <c r="RZS33" s="66"/>
      <c r="RZT33" s="66"/>
      <c r="RZU33" s="66"/>
      <c r="RZV33" s="66"/>
      <c r="RZW33" s="66"/>
      <c r="RZX33" s="66"/>
      <c r="RZY33" s="66"/>
      <c r="RZZ33" s="66"/>
      <c r="SAA33" s="66"/>
      <c r="SAB33" s="66"/>
      <c r="SAC33" s="66"/>
      <c r="SAD33" s="66"/>
      <c r="SAE33" s="66"/>
      <c r="SAF33" s="66"/>
      <c r="SAG33" s="66"/>
      <c r="SAH33" s="66"/>
      <c r="SAI33" s="66"/>
      <c r="SAJ33" s="66"/>
      <c r="SAK33" s="66"/>
      <c r="SAL33" s="66"/>
      <c r="SAM33" s="66"/>
      <c r="SAN33" s="66"/>
      <c r="SAO33" s="66"/>
      <c r="SAP33" s="66"/>
      <c r="SAQ33" s="66"/>
      <c r="SAR33" s="66"/>
      <c r="SAS33" s="66"/>
      <c r="SAT33" s="66"/>
      <c r="SAU33" s="66"/>
      <c r="SAV33" s="66"/>
      <c r="SAW33" s="66"/>
      <c r="SAX33" s="66"/>
      <c r="SAY33" s="66"/>
      <c r="SAZ33" s="66"/>
      <c r="SBA33" s="66"/>
      <c r="SBB33" s="66"/>
      <c r="SBC33" s="66"/>
      <c r="SBD33" s="66"/>
      <c r="SBE33" s="66"/>
      <c r="SBF33" s="66"/>
      <c r="SBG33" s="66"/>
      <c r="SBH33" s="66"/>
      <c r="SBI33" s="66"/>
      <c r="SBJ33" s="66"/>
      <c r="SBK33" s="66"/>
      <c r="SBL33" s="66"/>
      <c r="SBM33" s="66"/>
      <c r="SBN33" s="66"/>
      <c r="SBO33" s="66"/>
      <c r="SBP33" s="66"/>
      <c r="SBQ33" s="66"/>
      <c r="SBR33" s="66"/>
      <c r="SBS33" s="66"/>
      <c r="SBT33" s="66"/>
      <c r="SBU33" s="66"/>
      <c r="SBV33" s="66"/>
      <c r="SBW33" s="66"/>
      <c r="SBX33" s="66"/>
      <c r="SBY33" s="66"/>
      <c r="SBZ33" s="66"/>
      <c r="SCA33" s="66"/>
      <c r="SCB33" s="66"/>
      <c r="SCC33" s="66"/>
      <c r="SCD33" s="66"/>
      <c r="SCE33" s="66"/>
      <c r="SCF33" s="66"/>
      <c r="SCG33" s="66"/>
      <c r="SCH33" s="66"/>
      <c r="SCI33" s="66"/>
      <c r="SCJ33" s="66"/>
      <c r="SCK33" s="66"/>
      <c r="SCL33" s="66"/>
      <c r="SCM33" s="66"/>
      <c r="SCN33" s="66"/>
      <c r="SCO33" s="66"/>
      <c r="SCP33" s="66"/>
      <c r="SCQ33" s="66"/>
      <c r="SCR33" s="66"/>
      <c r="SCS33" s="66"/>
      <c r="SCT33" s="66"/>
      <c r="SCU33" s="66"/>
      <c r="SCV33" s="66"/>
      <c r="SCW33" s="66"/>
      <c r="SCX33" s="66"/>
      <c r="SCY33" s="66"/>
      <c r="SCZ33" s="66"/>
      <c r="SDA33" s="66"/>
      <c r="SDB33" s="66"/>
      <c r="SDC33" s="66"/>
      <c r="SDD33" s="66"/>
      <c r="SDE33" s="66"/>
      <c r="SDF33" s="66"/>
      <c r="SDG33" s="66"/>
      <c r="SDH33" s="66"/>
      <c r="SDI33" s="66"/>
      <c r="SDJ33" s="66"/>
      <c r="SDK33" s="66"/>
      <c r="SDL33" s="66"/>
      <c r="SDM33" s="66"/>
      <c r="SDN33" s="66"/>
      <c r="SDO33" s="66"/>
      <c r="SDP33" s="66"/>
      <c r="SDQ33" s="66"/>
      <c r="SDR33" s="66"/>
      <c r="SDS33" s="66"/>
      <c r="SDT33" s="66"/>
      <c r="SDU33" s="66"/>
      <c r="SDV33" s="66"/>
      <c r="SDW33" s="66"/>
      <c r="SDX33" s="66"/>
      <c r="SDY33" s="66"/>
      <c r="SDZ33" s="66"/>
      <c r="SEA33" s="66"/>
      <c r="SEB33" s="66"/>
      <c r="SEC33" s="66"/>
      <c r="SED33" s="66"/>
      <c r="SEE33" s="66"/>
      <c r="SEF33" s="66"/>
      <c r="SEG33" s="66"/>
      <c r="SEH33" s="66"/>
      <c r="SEI33" s="66"/>
      <c r="SEJ33" s="66"/>
      <c r="SEK33" s="66"/>
      <c r="SEL33" s="66"/>
      <c r="SEM33" s="66"/>
      <c r="SEN33" s="66"/>
      <c r="SEO33" s="66"/>
      <c r="SEP33" s="66"/>
      <c r="SEQ33" s="66"/>
      <c r="SER33" s="66"/>
      <c r="SES33" s="66"/>
      <c r="SET33" s="66"/>
      <c r="SEU33" s="66"/>
      <c r="SEV33" s="66"/>
      <c r="SEW33" s="66"/>
      <c r="SEX33" s="66"/>
      <c r="SEY33" s="66"/>
      <c r="SEZ33" s="66"/>
      <c r="SFA33" s="66"/>
      <c r="SFB33" s="66"/>
      <c r="SFC33" s="66"/>
      <c r="SFD33" s="66"/>
      <c r="SFE33" s="66"/>
      <c r="SFF33" s="66"/>
      <c r="SFG33" s="66"/>
      <c r="SFH33" s="66"/>
      <c r="SFI33" s="66"/>
      <c r="SFJ33" s="66"/>
      <c r="SFK33" s="66"/>
      <c r="SFL33" s="66"/>
      <c r="SFM33" s="66"/>
      <c r="SFN33" s="66"/>
      <c r="SFO33" s="66"/>
      <c r="SFP33" s="66"/>
      <c r="SFQ33" s="66"/>
      <c r="SFR33" s="66"/>
      <c r="SFS33" s="66"/>
      <c r="SFT33" s="66"/>
      <c r="SFU33" s="66"/>
      <c r="SFV33" s="66"/>
      <c r="SFW33" s="66"/>
      <c r="SFX33" s="66"/>
      <c r="SFY33" s="66"/>
      <c r="SFZ33" s="66"/>
      <c r="SGA33" s="66"/>
      <c r="SGB33" s="66"/>
      <c r="SGC33" s="66"/>
      <c r="SGD33" s="66"/>
      <c r="SGE33" s="66"/>
      <c r="SGF33" s="66"/>
      <c r="SGG33" s="66"/>
      <c r="SGH33" s="66"/>
      <c r="SGI33" s="66"/>
      <c r="SGJ33" s="66"/>
      <c r="SGK33" s="66"/>
      <c r="SGL33" s="66"/>
      <c r="SGM33" s="66"/>
      <c r="SGN33" s="66"/>
      <c r="SGO33" s="66"/>
      <c r="SGP33" s="66"/>
      <c r="SGQ33" s="66"/>
      <c r="SGR33" s="66"/>
      <c r="SGS33" s="66"/>
      <c r="SGT33" s="66"/>
      <c r="SGU33" s="66"/>
      <c r="SGV33" s="66"/>
      <c r="SGW33" s="66"/>
      <c r="SGX33" s="66"/>
      <c r="SGY33" s="66"/>
      <c r="SGZ33" s="66"/>
      <c r="SHA33" s="66"/>
      <c r="SHB33" s="66"/>
      <c r="SHC33" s="66"/>
      <c r="SHD33" s="66"/>
      <c r="SHE33" s="66"/>
      <c r="SHF33" s="66"/>
      <c r="SHG33" s="66"/>
      <c r="SHH33" s="66"/>
      <c r="SHI33" s="66"/>
      <c r="SHJ33" s="66"/>
      <c r="SHK33" s="66"/>
      <c r="SHL33" s="66"/>
      <c r="SHM33" s="66"/>
      <c r="SHN33" s="66"/>
      <c r="SHO33" s="66"/>
      <c r="SHP33" s="66"/>
      <c r="SHQ33" s="66"/>
      <c r="SHR33" s="66"/>
      <c r="SHS33" s="66"/>
      <c r="SHT33" s="66"/>
      <c r="SHU33" s="66"/>
      <c r="SHV33" s="66"/>
      <c r="SHW33" s="66"/>
      <c r="SHX33" s="66"/>
      <c r="SHY33" s="66"/>
      <c r="SHZ33" s="66"/>
      <c r="SIA33" s="66"/>
      <c r="SIB33" s="66"/>
      <c r="SIC33" s="66"/>
      <c r="SID33" s="66"/>
      <c r="SIE33" s="66"/>
      <c r="SIF33" s="66"/>
      <c r="SIG33" s="66"/>
      <c r="SIH33" s="66"/>
      <c r="SII33" s="66"/>
      <c r="SIJ33" s="66"/>
      <c r="SIK33" s="66"/>
      <c r="SIL33" s="66"/>
      <c r="SIM33" s="66"/>
      <c r="SIN33" s="66"/>
      <c r="SIO33" s="66"/>
      <c r="SIP33" s="66"/>
      <c r="SIQ33" s="66"/>
      <c r="SIR33" s="66"/>
      <c r="SIS33" s="66"/>
      <c r="SIT33" s="66"/>
      <c r="SIU33" s="66"/>
      <c r="SIV33" s="66"/>
      <c r="SIW33" s="66"/>
      <c r="SIX33" s="66"/>
      <c r="SIY33" s="66"/>
      <c r="SIZ33" s="66"/>
      <c r="SJA33" s="66"/>
      <c r="SJB33" s="66"/>
      <c r="SJC33" s="66"/>
      <c r="SJD33" s="66"/>
      <c r="SJE33" s="66"/>
      <c r="SJF33" s="66"/>
      <c r="SJG33" s="66"/>
      <c r="SJH33" s="66"/>
      <c r="SJI33" s="66"/>
      <c r="SJJ33" s="66"/>
      <c r="SJK33" s="66"/>
      <c r="SJL33" s="66"/>
      <c r="SJM33" s="66"/>
      <c r="SJN33" s="66"/>
      <c r="SJO33" s="66"/>
      <c r="SJP33" s="66"/>
      <c r="SJQ33" s="66"/>
      <c r="SJR33" s="66"/>
      <c r="SJS33" s="66"/>
      <c r="SJT33" s="66"/>
      <c r="SJU33" s="66"/>
      <c r="SJV33" s="66"/>
      <c r="SJW33" s="66"/>
      <c r="SJX33" s="66"/>
      <c r="SJY33" s="66"/>
      <c r="SJZ33" s="66"/>
      <c r="SKA33" s="66"/>
      <c r="SKB33" s="66"/>
      <c r="SKC33" s="66"/>
      <c r="SKD33" s="66"/>
      <c r="SKE33" s="66"/>
      <c r="SKF33" s="66"/>
      <c r="SKG33" s="66"/>
      <c r="SKH33" s="66"/>
      <c r="SKI33" s="66"/>
      <c r="SKJ33" s="66"/>
      <c r="SKK33" s="66"/>
      <c r="SKL33" s="66"/>
      <c r="SKM33" s="66"/>
      <c r="SKN33" s="66"/>
      <c r="SKO33" s="66"/>
      <c r="SKP33" s="66"/>
      <c r="SKQ33" s="66"/>
      <c r="SKR33" s="66"/>
      <c r="SKS33" s="66"/>
      <c r="SKT33" s="66"/>
      <c r="SKU33" s="66"/>
      <c r="SKV33" s="66"/>
      <c r="SKW33" s="66"/>
      <c r="SKX33" s="66"/>
      <c r="SKY33" s="66"/>
      <c r="SKZ33" s="66"/>
      <c r="SLA33" s="66"/>
      <c r="SLB33" s="66"/>
      <c r="SLC33" s="66"/>
      <c r="SLD33" s="66"/>
      <c r="SLE33" s="66"/>
      <c r="SLF33" s="66"/>
      <c r="SLG33" s="66"/>
      <c r="SLH33" s="66"/>
      <c r="SLI33" s="66"/>
      <c r="SLJ33" s="66"/>
      <c r="SLK33" s="66"/>
      <c r="SLL33" s="66"/>
      <c r="SLM33" s="66"/>
      <c r="SLN33" s="66"/>
      <c r="SLO33" s="66"/>
      <c r="SLP33" s="66"/>
      <c r="SLQ33" s="66"/>
      <c r="SLR33" s="66"/>
      <c r="SLS33" s="66"/>
      <c r="SLT33" s="66"/>
      <c r="SLU33" s="66"/>
      <c r="SLV33" s="66"/>
      <c r="SLW33" s="66"/>
      <c r="SLX33" s="66"/>
      <c r="SLY33" s="66"/>
      <c r="SLZ33" s="66"/>
      <c r="SMA33" s="66"/>
      <c r="SMB33" s="66"/>
      <c r="SMC33" s="66"/>
      <c r="SMD33" s="66"/>
      <c r="SME33" s="66"/>
      <c r="SMF33" s="66"/>
      <c r="SMG33" s="66"/>
      <c r="SMH33" s="66"/>
      <c r="SMI33" s="66"/>
      <c r="SMJ33" s="66"/>
      <c r="SMK33" s="66"/>
      <c r="SML33" s="66"/>
      <c r="SMM33" s="66"/>
      <c r="SMN33" s="66"/>
      <c r="SMO33" s="66"/>
      <c r="SMP33" s="66"/>
      <c r="SMQ33" s="66"/>
      <c r="SMR33" s="66"/>
      <c r="SMS33" s="66"/>
      <c r="SMT33" s="66"/>
      <c r="SMU33" s="66"/>
      <c r="SMV33" s="66"/>
      <c r="SMW33" s="66"/>
      <c r="SMX33" s="66"/>
      <c r="SMY33" s="66"/>
      <c r="SMZ33" s="66"/>
      <c r="SNA33" s="66"/>
      <c r="SNB33" s="66"/>
      <c r="SNC33" s="66"/>
      <c r="SND33" s="66"/>
      <c r="SNE33" s="66"/>
      <c r="SNF33" s="66"/>
      <c r="SNG33" s="66"/>
      <c r="SNH33" s="66"/>
      <c r="SNI33" s="66"/>
      <c r="SNJ33" s="66"/>
      <c r="SNK33" s="66"/>
      <c r="SNL33" s="66"/>
      <c r="SNM33" s="66"/>
      <c r="SNN33" s="66"/>
      <c r="SNO33" s="66"/>
      <c r="SNP33" s="66"/>
      <c r="SNQ33" s="66"/>
      <c r="SNR33" s="66"/>
      <c r="SNS33" s="66"/>
      <c r="SNT33" s="66"/>
      <c r="SNU33" s="66"/>
      <c r="SNV33" s="66"/>
      <c r="SNW33" s="66"/>
      <c r="SNX33" s="66"/>
      <c r="SNY33" s="66"/>
      <c r="SNZ33" s="66"/>
      <c r="SOA33" s="66"/>
      <c r="SOB33" s="66"/>
      <c r="SOC33" s="66"/>
      <c r="SOD33" s="66"/>
      <c r="SOE33" s="66"/>
      <c r="SOF33" s="66"/>
      <c r="SOG33" s="66"/>
      <c r="SOH33" s="66"/>
      <c r="SOI33" s="66"/>
      <c r="SOJ33" s="66"/>
      <c r="SOK33" s="66"/>
      <c r="SOL33" s="66"/>
      <c r="SOM33" s="66"/>
      <c r="SON33" s="66"/>
      <c r="SOO33" s="66"/>
      <c r="SOP33" s="66"/>
      <c r="SOQ33" s="66"/>
      <c r="SOR33" s="66"/>
      <c r="SOS33" s="66"/>
      <c r="SOT33" s="66"/>
      <c r="SOU33" s="66"/>
      <c r="SOV33" s="66"/>
      <c r="SOW33" s="66"/>
      <c r="SOX33" s="66"/>
      <c r="SOY33" s="66"/>
      <c r="SOZ33" s="66"/>
      <c r="SPA33" s="66"/>
      <c r="SPB33" s="66"/>
      <c r="SPC33" s="66"/>
      <c r="SPD33" s="66"/>
      <c r="SPE33" s="66"/>
      <c r="SPF33" s="66"/>
      <c r="SPG33" s="66"/>
      <c r="SPH33" s="66"/>
      <c r="SPI33" s="66"/>
      <c r="SPJ33" s="66"/>
      <c r="SPK33" s="66"/>
      <c r="SPL33" s="66"/>
      <c r="SPM33" s="66"/>
      <c r="SPN33" s="66"/>
      <c r="SPO33" s="66"/>
      <c r="SPP33" s="66"/>
      <c r="SPQ33" s="66"/>
      <c r="SPR33" s="66"/>
      <c r="SPS33" s="66"/>
      <c r="SPT33" s="66"/>
      <c r="SPU33" s="66"/>
      <c r="SPV33" s="66"/>
      <c r="SPW33" s="66"/>
      <c r="SPX33" s="66"/>
      <c r="SPY33" s="66"/>
      <c r="SPZ33" s="66"/>
      <c r="SQA33" s="66"/>
      <c r="SQB33" s="66"/>
      <c r="SQC33" s="66"/>
      <c r="SQD33" s="66"/>
      <c r="SQE33" s="66"/>
      <c r="SQF33" s="66"/>
      <c r="SQG33" s="66"/>
      <c r="SQH33" s="66"/>
      <c r="SQI33" s="66"/>
      <c r="SQJ33" s="66"/>
      <c r="SQK33" s="66"/>
      <c r="SQL33" s="66"/>
      <c r="SQM33" s="66"/>
      <c r="SQN33" s="66"/>
      <c r="SQO33" s="66"/>
      <c r="SQP33" s="66"/>
      <c r="SQQ33" s="66"/>
      <c r="SQR33" s="66"/>
      <c r="SQS33" s="66"/>
      <c r="SQT33" s="66"/>
      <c r="SQU33" s="66"/>
      <c r="SQV33" s="66"/>
      <c r="SQW33" s="66"/>
      <c r="SQX33" s="66"/>
      <c r="SQY33" s="66"/>
      <c r="SQZ33" s="66"/>
      <c r="SRA33" s="66"/>
      <c r="SRB33" s="66"/>
      <c r="SRC33" s="66"/>
      <c r="SRD33" s="66"/>
      <c r="SRE33" s="66"/>
      <c r="SRF33" s="66"/>
      <c r="SRG33" s="66"/>
      <c r="SRH33" s="66"/>
      <c r="SRI33" s="66"/>
      <c r="SRJ33" s="66"/>
      <c r="SRK33" s="66"/>
      <c r="SRL33" s="66"/>
      <c r="SRM33" s="66"/>
      <c r="SRN33" s="66"/>
      <c r="SRO33" s="66"/>
      <c r="SRP33" s="66"/>
      <c r="SRQ33" s="66"/>
      <c r="SRR33" s="66"/>
      <c r="SRS33" s="66"/>
      <c r="SRT33" s="66"/>
      <c r="SRU33" s="66"/>
      <c r="SRV33" s="66"/>
      <c r="SRW33" s="66"/>
      <c r="SRX33" s="66"/>
      <c r="SRY33" s="66"/>
      <c r="SRZ33" s="66"/>
      <c r="SSA33" s="66"/>
      <c r="SSB33" s="66"/>
      <c r="SSC33" s="66"/>
      <c r="SSD33" s="66"/>
      <c r="SSE33" s="66"/>
      <c r="SSF33" s="66"/>
      <c r="SSG33" s="66"/>
      <c r="SSH33" s="66"/>
      <c r="SSI33" s="66"/>
      <c r="SSJ33" s="66"/>
      <c r="SSK33" s="66"/>
      <c r="SSL33" s="66"/>
      <c r="SSM33" s="66"/>
      <c r="SSN33" s="66"/>
      <c r="SSO33" s="66"/>
      <c r="SSP33" s="66"/>
      <c r="SSQ33" s="66"/>
      <c r="SSR33" s="66"/>
      <c r="SSS33" s="66"/>
      <c r="SST33" s="66"/>
      <c r="SSU33" s="66"/>
      <c r="SSV33" s="66"/>
      <c r="SSW33" s="66"/>
      <c r="SSX33" s="66"/>
      <c r="SSY33" s="66"/>
      <c r="SSZ33" s="66"/>
      <c r="STA33" s="66"/>
      <c r="STB33" s="66"/>
      <c r="STC33" s="66"/>
      <c r="STD33" s="66"/>
      <c r="STE33" s="66"/>
      <c r="STF33" s="66"/>
      <c r="STG33" s="66"/>
      <c r="STH33" s="66"/>
      <c r="STI33" s="66"/>
      <c r="STJ33" s="66"/>
      <c r="STK33" s="66"/>
      <c r="STL33" s="66"/>
      <c r="STM33" s="66"/>
      <c r="STN33" s="66"/>
      <c r="STO33" s="66"/>
      <c r="STP33" s="66"/>
      <c r="STQ33" s="66"/>
      <c r="STR33" s="66"/>
      <c r="STS33" s="66"/>
      <c r="STT33" s="66"/>
      <c r="STU33" s="66"/>
      <c r="STV33" s="66"/>
      <c r="STW33" s="66"/>
      <c r="STX33" s="66"/>
      <c r="STY33" s="66"/>
      <c r="STZ33" s="66"/>
      <c r="SUA33" s="66"/>
      <c r="SUB33" s="66"/>
      <c r="SUC33" s="66"/>
      <c r="SUD33" s="66"/>
      <c r="SUE33" s="66"/>
      <c r="SUF33" s="66"/>
      <c r="SUG33" s="66"/>
      <c r="SUH33" s="66"/>
      <c r="SUI33" s="66"/>
      <c r="SUJ33" s="66"/>
      <c r="SUK33" s="66"/>
      <c r="SUL33" s="66"/>
      <c r="SUM33" s="66"/>
      <c r="SUN33" s="66"/>
      <c r="SUO33" s="66"/>
      <c r="SUP33" s="66"/>
      <c r="SUQ33" s="66"/>
      <c r="SUR33" s="66"/>
      <c r="SUS33" s="66"/>
      <c r="SUT33" s="66"/>
      <c r="SUU33" s="66"/>
      <c r="SUV33" s="66"/>
      <c r="SUW33" s="66"/>
      <c r="SUX33" s="66"/>
      <c r="SUY33" s="66"/>
      <c r="SUZ33" s="66"/>
      <c r="SVA33" s="66"/>
      <c r="SVB33" s="66"/>
      <c r="SVC33" s="66"/>
      <c r="SVD33" s="66"/>
      <c r="SVE33" s="66"/>
      <c r="SVF33" s="66"/>
      <c r="SVG33" s="66"/>
      <c r="SVH33" s="66"/>
      <c r="SVI33" s="66"/>
      <c r="SVJ33" s="66"/>
      <c r="SVK33" s="66"/>
      <c r="SVL33" s="66"/>
      <c r="SVM33" s="66"/>
      <c r="SVN33" s="66"/>
      <c r="SVO33" s="66"/>
      <c r="SVP33" s="66"/>
      <c r="SVQ33" s="66"/>
      <c r="SVR33" s="66"/>
      <c r="SVS33" s="66"/>
      <c r="SVT33" s="66"/>
      <c r="SVU33" s="66"/>
      <c r="SVV33" s="66"/>
      <c r="SVW33" s="66"/>
      <c r="SVX33" s="66"/>
      <c r="SVY33" s="66"/>
      <c r="SVZ33" s="66"/>
      <c r="SWA33" s="66"/>
      <c r="SWB33" s="66"/>
      <c r="SWC33" s="66"/>
      <c r="SWD33" s="66"/>
      <c r="SWE33" s="66"/>
      <c r="SWF33" s="66"/>
      <c r="SWG33" s="66"/>
      <c r="SWH33" s="66"/>
      <c r="SWI33" s="66"/>
      <c r="SWJ33" s="66"/>
      <c r="SWK33" s="66"/>
      <c r="SWL33" s="66"/>
      <c r="SWM33" s="66"/>
      <c r="SWN33" s="66"/>
      <c r="SWO33" s="66"/>
      <c r="SWP33" s="66"/>
      <c r="SWQ33" s="66"/>
      <c r="SWR33" s="66"/>
      <c r="SWS33" s="66"/>
      <c r="SWT33" s="66"/>
      <c r="SWU33" s="66"/>
      <c r="SWV33" s="66"/>
      <c r="SWW33" s="66"/>
      <c r="SWX33" s="66"/>
      <c r="SWY33" s="66"/>
      <c r="SWZ33" s="66"/>
      <c r="SXA33" s="66"/>
      <c r="SXB33" s="66"/>
      <c r="SXC33" s="66"/>
      <c r="SXD33" s="66"/>
      <c r="SXE33" s="66"/>
      <c r="SXF33" s="66"/>
      <c r="SXG33" s="66"/>
      <c r="SXH33" s="66"/>
      <c r="SXI33" s="66"/>
      <c r="SXJ33" s="66"/>
      <c r="SXK33" s="66"/>
      <c r="SXL33" s="66"/>
      <c r="SXM33" s="66"/>
      <c r="SXN33" s="66"/>
      <c r="SXO33" s="66"/>
      <c r="SXP33" s="66"/>
      <c r="SXQ33" s="66"/>
      <c r="SXR33" s="66"/>
      <c r="SXS33" s="66"/>
      <c r="SXT33" s="66"/>
      <c r="SXU33" s="66"/>
      <c r="SXV33" s="66"/>
      <c r="SXW33" s="66"/>
      <c r="SXX33" s="66"/>
      <c r="SXY33" s="66"/>
      <c r="SXZ33" s="66"/>
      <c r="SYA33" s="66"/>
      <c r="SYB33" s="66"/>
      <c r="SYC33" s="66"/>
      <c r="SYD33" s="66"/>
      <c r="SYE33" s="66"/>
      <c r="SYF33" s="66"/>
      <c r="SYG33" s="66"/>
      <c r="SYH33" s="66"/>
      <c r="SYI33" s="66"/>
      <c r="SYJ33" s="66"/>
      <c r="SYK33" s="66"/>
      <c r="SYL33" s="66"/>
      <c r="SYM33" s="66"/>
      <c r="SYN33" s="66"/>
      <c r="SYO33" s="66"/>
      <c r="SYP33" s="66"/>
      <c r="SYQ33" s="66"/>
      <c r="SYR33" s="66"/>
      <c r="SYS33" s="66"/>
      <c r="SYT33" s="66"/>
      <c r="SYU33" s="66"/>
      <c r="SYV33" s="66"/>
      <c r="SYW33" s="66"/>
      <c r="SYX33" s="66"/>
      <c r="SYY33" s="66"/>
      <c r="SYZ33" s="66"/>
      <c r="SZA33" s="66"/>
      <c r="SZB33" s="66"/>
      <c r="SZC33" s="66"/>
      <c r="SZD33" s="66"/>
      <c r="SZE33" s="66"/>
      <c r="SZF33" s="66"/>
      <c r="SZG33" s="66"/>
      <c r="SZH33" s="66"/>
      <c r="SZI33" s="66"/>
      <c r="SZJ33" s="66"/>
      <c r="SZK33" s="66"/>
      <c r="SZL33" s="66"/>
      <c r="SZM33" s="66"/>
      <c r="SZN33" s="66"/>
      <c r="SZO33" s="66"/>
      <c r="SZP33" s="66"/>
      <c r="SZQ33" s="66"/>
      <c r="SZR33" s="66"/>
      <c r="SZS33" s="66"/>
      <c r="SZT33" s="66"/>
      <c r="SZU33" s="66"/>
      <c r="SZV33" s="66"/>
      <c r="SZW33" s="66"/>
      <c r="SZX33" s="66"/>
      <c r="SZY33" s="66"/>
      <c r="SZZ33" s="66"/>
      <c r="TAA33" s="66"/>
      <c r="TAB33" s="66"/>
      <c r="TAC33" s="66"/>
      <c r="TAD33" s="66"/>
      <c r="TAE33" s="66"/>
      <c r="TAF33" s="66"/>
      <c r="TAG33" s="66"/>
      <c r="TAH33" s="66"/>
      <c r="TAI33" s="66"/>
      <c r="TAJ33" s="66"/>
      <c r="TAK33" s="66"/>
      <c r="TAL33" s="66"/>
      <c r="TAM33" s="66"/>
      <c r="TAN33" s="66"/>
      <c r="TAO33" s="66"/>
      <c r="TAP33" s="66"/>
      <c r="TAQ33" s="66"/>
      <c r="TAR33" s="66"/>
      <c r="TAS33" s="66"/>
      <c r="TAT33" s="66"/>
      <c r="TAU33" s="66"/>
      <c r="TAV33" s="66"/>
      <c r="TAW33" s="66"/>
      <c r="TAX33" s="66"/>
      <c r="TAY33" s="66"/>
      <c r="TAZ33" s="66"/>
      <c r="TBA33" s="66"/>
      <c r="TBB33" s="66"/>
      <c r="TBC33" s="66"/>
      <c r="TBD33" s="66"/>
      <c r="TBE33" s="66"/>
      <c r="TBF33" s="66"/>
      <c r="TBG33" s="66"/>
      <c r="TBH33" s="66"/>
      <c r="TBI33" s="66"/>
      <c r="TBJ33" s="66"/>
      <c r="TBK33" s="66"/>
      <c r="TBL33" s="66"/>
      <c r="TBM33" s="66"/>
      <c r="TBN33" s="66"/>
      <c r="TBO33" s="66"/>
      <c r="TBP33" s="66"/>
      <c r="TBQ33" s="66"/>
      <c r="TBR33" s="66"/>
      <c r="TBS33" s="66"/>
      <c r="TBT33" s="66"/>
      <c r="TBU33" s="66"/>
      <c r="TBV33" s="66"/>
      <c r="TBW33" s="66"/>
      <c r="TBX33" s="66"/>
      <c r="TBY33" s="66"/>
      <c r="TBZ33" s="66"/>
      <c r="TCA33" s="66"/>
      <c r="TCB33" s="66"/>
      <c r="TCC33" s="66"/>
      <c r="TCD33" s="66"/>
      <c r="TCE33" s="66"/>
      <c r="TCF33" s="66"/>
      <c r="TCG33" s="66"/>
      <c r="TCH33" s="66"/>
      <c r="TCI33" s="66"/>
      <c r="TCJ33" s="66"/>
      <c r="TCK33" s="66"/>
      <c r="TCL33" s="66"/>
      <c r="TCM33" s="66"/>
      <c r="TCN33" s="66"/>
      <c r="TCO33" s="66"/>
      <c r="TCP33" s="66"/>
      <c r="TCQ33" s="66"/>
      <c r="TCR33" s="66"/>
      <c r="TCS33" s="66"/>
      <c r="TCT33" s="66"/>
      <c r="TCU33" s="66"/>
      <c r="TCV33" s="66"/>
      <c r="TCW33" s="66"/>
      <c r="TCX33" s="66"/>
      <c r="TCY33" s="66"/>
      <c r="TCZ33" s="66"/>
      <c r="TDA33" s="66"/>
      <c r="TDB33" s="66"/>
      <c r="TDC33" s="66"/>
      <c r="TDD33" s="66"/>
      <c r="TDE33" s="66"/>
      <c r="TDF33" s="66"/>
      <c r="TDG33" s="66"/>
      <c r="TDH33" s="66"/>
      <c r="TDI33" s="66"/>
      <c r="TDJ33" s="66"/>
      <c r="TDK33" s="66"/>
      <c r="TDL33" s="66"/>
      <c r="TDM33" s="66"/>
      <c r="TDN33" s="66"/>
      <c r="TDO33" s="66"/>
      <c r="TDP33" s="66"/>
      <c r="TDQ33" s="66"/>
      <c r="TDR33" s="66"/>
      <c r="TDS33" s="66"/>
      <c r="TDT33" s="66"/>
      <c r="TDU33" s="66"/>
      <c r="TDV33" s="66"/>
      <c r="TDW33" s="66"/>
      <c r="TDX33" s="66"/>
      <c r="TDY33" s="66"/>
      <c r="TDZ33" s="66"/>
      <c r="TEA33" s="66"/>
      <c r="TEB33" s="66"/>
      <c r="TEC33" s="66"/>
      <c r="TED33" s="66"/>
      <c r="TEE33" s="66"/>
      <c r="TEF33" s="66"/>
      <c r="TEG33" s="66"/>
      <c r="TEH33" s="66"/>
      <c r="TEI33" s="66"/>
      <c r="TEJ33" s="66"/>
      <c r="TEK33" s="66"/>
      <c r="TEL33" s="66"/>
      <c r="TEM33" s="66"/>
      <c r="TEN33" s="66"/>
      <c r="TEO33" s="66"/>
      <c r="TEP33" s="66"/>
      <c r="TEQ33" s="66"/>
      <c r="TER33" s="66"/>
      <c r="TES33" s="66"/>
      <c r="TET33" s="66"/>
      <c r="TEU33" s="66"/>
      <c r="TEV33" s="66"/>
      <c r="TEW33" s="66"/>
      <c r="TEX33" s="66"/>
      <c r="TEY33" s="66"/>
      <c r="TEZ33" s="66"/>
      <c r="TFA33" s="66"/>
      <c r="TFB33" s="66"/>
      <c r="TFC33" s="66"/>
      <c r="TFD33" s="66"/>
      <c r="TFE33" s="66"/>
      <c r="TFF33" s="66"/>
      <c r="TFG33" s="66"/>
      <c r="TFH33" s="66"/>
      <c r="TFI33" s="66"/>
      <c r="TFJ33" s="66"/>
      <c r="TFK33" s="66"/>
      <c r="TFL33" s="66"/>
      <c r="TFM33" s="66"/>
      <c r="TFN33" s="66"/>
      <c r="TFO33" s="66"/>
      <c r="TFP33" s="66"/>
      <c r="TFQ33" s="66"/>
      <c r="TFR33" s="66"/>
      <c r="TFS33" s="66"/>
      <c r="TFT33" s="66"/>
      <c r="TFU33" s="66"/>
      <c r="TFV33" s="66"/>
      <c r="TFW33" s="66"/>
      <c r="TFX33" s="66"/>
      <c r="TFY33" s="66"/>
      <c r="TFZ33" s="66"/>
      <c r="TGA33" s="66"/>
      <c r="TGB33" s="66"/>
      <c r="TGC33" s="66"/>
      <c r="TGD33" s="66"/>
      <c r="TGE33" s="66"/>
      <c r="TGF33" s="66"/>
      <c r="TGG33" s="66"/>
      <c r="TGH33" s="66"/>
      <c r="TGI33" s="66"/>
      <c r="TGJ33" s="66"/>
      <c r="TGK33" s="66"/>
      <c r="TGL33" s="66"/>
      <c r="TGM33" s="66"/>
      <c r="TGN33" s="66"/>
      <c r="TGO33" s="66"/>
      <c r="TGP33" s="66"/>
      <c r="TGQ33" s="66"/>
      <c r="TGR33" s="66"/>
      <c r="TGS33" s="66"/>
      <c r="TGT33" s="66"/>
      <c r="TGU33" s="66"/>
      <c r="TGV33" s="66"/>
      <c r="TGW33" s="66"/>
      <c r="TGX33" s="66"/>
      <c r="TGY33" s="66"/>
      <c r="TGZ33" s="66"/>
      <c r="THA33" s="66"/>
      <c r="THB33" s="66"/>
      <c r="THC33" s="66"/>
      <c r="THD33" s="66"/>
      <c r="THE33" s="66"/>
      <c r="THF33" s="66"/>
      <c r="THG33" s="66"/>
      <c r="THH33" s="66"/>
      <c r="THI33" s="66"/>
      <c r="THJ33" s="66"/>
      <c r="THK33" s="66"/>
      <c r="THL33" s="66"/>
      <c r="THM33" s="66"/>
      <c r="THN33" s="66"/>
      <c r="THO33" s="66"/>
      <c r="THP33" s="66"/>
      <c r="THQ33" s="66"/>
      <c r="THR33" s="66"/>
      <c r="THS33" s="66"/>
      <c r="THT33" s="66"/>
      <c r="THU33" s="66"/>
      <c r="THV33" s="66"/>
      <c r="THW33" s="66"/>
      <c r="THX33" s="66"/>
      <c r="THY33" s="66"/>
      <c r="THZ33" s="66"/>
      <c r="TIA33" s="66"/>
      <c r="TIB33" s="66"/>
      <c r="TIC33" s="66"/>
      <c r="TID33" s="66"/>
      <c r="TIE33" s="66"/>
      <c r="TIF33" s="66"/>
      <c r="TIG33" s="66"/>
      <c r="TIH33" s="66"/>
      <c r="TII33" s="66"/>
      <c r="TIJ33" s="66"/>
      <c r="TIK33" s="66"/>
      <c r="TIL33" s="66"/>
      <c r="TIM33" s="66"/>
      <c r="TIN33" s="66"/>
      <c r="TIO33" s="66"/>
      <c r="TIP33" s="66"/>
      <c r="TIQ33" s="66"/>
      <c r="TIR33" s="66"/>
      <c r="TIS33" s="66"/>
      <c r="TIT33" s="66"/>
      <c r="TIU33" s="66"/>
      <c r="TIV33" s="66"/>
      <c r="TIW33" s="66"/>
      <c r="TIX33" s="66"/>
      <c r="TIY33" s="66"/>
      <c r="TIZ33" s="66"/>
      <c r="TJA33" s="66"/>
      <c r="TJB33" s="66"/>
      <c r="TJC33" s="66"/>
      <c r="TJD33" s="66"/>
      <c r="TJE33" s="66"/>
      <c r="TJF33" s="66"/>
      <c r="TJG33" s="66"/>
      <c r="TJH33" s="66"/>
      <c r="TJI33" s="66"/>
      <c r="TJJ33" s="66"/>
      <c r="TJK33" s="66"/>
      <c r="TJL33" s="66"/>
      <c r="TJM33" s="66"/>
      <c r="TJN33" s="66"/>
      <c r="TJO33" s="66"/>
      <c r="TJP33" s="66"/>
      <c r="TJQ33" s="66"/>
      <c r="TJR33" s="66"/>
      <c r="TJS33" s="66"/>
      <c r="TJT33" s="66"/>
      <c r="TJU33" s="66"/>
      <c r="TJV33" s="66"/>
      <c r="TJW33" s="66"/>
      <c r="TJX33" s="66"/>
      <c r="TJY33" s="66"/>
      <c r="TJZ33" s="66"/>
      <c r="TKA33" s="66"/>
      <c r="TKB33" s="66"/>
      <c r="TKC33" s="66"/>
      <c r="TKD33" s="66"/>
      <c r="TKE33" s="66"/>
      <c r="TKF33" s="66"/>
      <c r="TKG33" s="66"/>
      <c r="TKH33" s="66"/>
      <c r="TKI33" s="66"/>
      <c r="TKJ33" s="66"/>
      <c r="TKK33" s="66"/>
      <c r="TKL33" s="66"/>
      <c r="TKM33" s="66"/>
      <c r="TKN33" s="66"/>
      <c r="TKO33" s="66"/>
      <c r="TKP33" s="66"/>
      <c r="TKQ33" s="66"/>
      <c r="TKR33" s="66"/>
      <c r="TKS33" s="66"/>
      <c r="TKT33" s="66"/>
      <c r="TKU33" s="66"/>
      <c r="TKV33" s="66"/>
      <c r="TKW33" s="66"/>
      <c r="TKX33" s="66"/>
      <c r="TKY33" s="66"/>
      <c r="TKZ33" s="66"/>
      <c r="TLA33" s="66"/>
      <c r="TLB33" s="66"/>
      <c r="TLC33" s="66"/>
      <c r="TLD33" s="66"/>
      <c r="TLE33" s="66"/>
      <c r="TLF33" s="66"/>
      <c r="TLG33" s="66"/>
      <c r="TLH33" s="66"/>
      <c r="TLI33" s="66"/>
      <c r="TLJ33" s="66"/>
      <c r="TLK33" s="66"/>
      <c r="TLL33" s="66"/>
      <c r="TLM33" s="66"/>
      <c r="TLN33" s="66"/>
      <c r="TLO33" s="66"/>
      <c r="TLP33" s="66"/>
      <c r="TLQ33" s="66"/>
      <c r="TLR33" s="66"/>
      <c r="TLS33" s="66"/>
      <c r="TLT33" s="66"/>
      <c r="TLU33" s="66"/>
      <c r="TLV33" s="66"/>
      <c r="TLW33" s="66"/>
      <c r="TLX33" s="66"/>
      <c r="TLY33" s="66"/>
      <c r="TLZ33" s="66"/>
      <c r="TMA33" s="66"/>
      <c r="TMB33" s="66"/>
      <c r="TMC33" s="66"/>
      <c r="TMD33" s="66"/>
      <c r="TME33" s="66"/>
      <c r="TMF33" s="66"/>
      <c r="TMG33" s="66"/>
      <c r="TMH33" s="66"/>
      <c r="TMI33" s="66"/>
      <c r="TMJ33" s="66"/>
      <c r="TMK33" s="66"/>
      <c r="TML33" s="66"/>
      <c r="TMM33" s="66"/>
      <c r="TMN33" s="66"/>
      <c r="TMO33" s="66"/>
      <c r="TMP33" s="66"/>
      <c r="TMQ33" s="66"/>
      <c r="TMR33" s="66"/>
      <c r="TMS33" s="66"/>
      <c r="TMT33" s="66"/>
      <c r="TMU33" s="66"/>
      <c r="TMV33" s="66"/>
      <c r="TMW33" s="66"/>
      <c r="TMX33" s="66"/>
      <c r="TMY33" s="66"/>
      <c r="TMZ33" s="66"/>
      <c r="TNA33" s="66"/>
      <c r="TNB33" s="66"/>
      <c r="TNC33" s="66"/>
      <c r="TND33" s="66"/>
      <c r="TNE33" s="66"/>
      <c r="TNF33" s="66"/>
      <c r="TNG33" s="66"/>
      <c r="TNH33" s="66"/>
      <c r="TNI33" s="66"/>
      <c r="TNJ33" s="66"/>
      <c r="TNK33" s="66"/>
      <c r="TNL33" s="66"/>
      <c r="TNM33" s="66"/>
      <c r="TNN33" s="66"/>
      <c r="TNO33" s="66"/>
      <c r="TNP33" s="66"/>
      <c r="TNQ33" s="66"/>
      <c r="TNR33" s="66"/>
      <c r="TNS33" s="66"/>
      <c r="TNT33" s="66"/>
      <c r="TNU33" s="66"/>
      <c r="TNV33" s="66"/>
      <c r="TNW33" s="66"/>
      <c r="TNX33" s="66"/>
      <c r="TNY33" s="66"/>
      <c r="TNZ33" s="66"/>
      <c r="TOA33" s="66"/>
      <c r="TOB33" s="66"/>
      <c r="TOC33" s="66"/>
      <c r="TOD33" s="66"/>
      <c r="TOE33" s="66"/>
      <c r="TOF33" s="66"/>
      <c r="TOG33" s="66"/>
      <c r="TOH33" s="66"/>
      <c r="TOI33" s="66"/>
      <c r="TOJ33" s="66"/>
      <c r="TOK33" s="66"/>
      <c r="TOL33" s="66"/>
      <c r="TOM33" s="66"/>
      <c r="TON33" s="66"/>
      <c r="TOO33" s="66"/>
      <c r="TOP33" s="66"/>
      <c r="TOQ33" s="66"/>
      <c r="TOR33" s="66"/>
      <c r="TOS33" s="66"/>
      <c r="TOT33" s="66"/>
      <c r="TOU33" s="66"/>
      <c r="TOV33" s="66"/>
      <c r="TOW33" s="66"/>
      <c r="TOX33" s="66"/>
      <c r="TOY33" s="66"/>
      <c r="TOZ33" s="66"/>
      <c r="TPA33" s="66"/>
      <c r="TPB33" s="66"/>
      <c r="TPC33" s="66"/>
      <c r="TPD33" s="66"/>
      <c r="TPE33" s="66"/>
      <c r="TPF33" s="66"/>
      <c r="TPG33" s="66"/>
      <c r="TPH33" s="66"/>
      <c r="TPI33" s="66"/>
      <c r="TPJ33" s="66"/>
      <c r="TPK33" s="66"/>
      <c r="TPL33" s="66"/>
      <c r="TPM33" s="66"/>
      <c r="TPN33" s="66"/>
      <c r="TPO33" s="66"/>
      <c r="TPP33" s="66"/>
      <c r="TPQ33" s="66"/>
      <c r="TPR33" s="66"/>
      <c r="TPS33" s="66"/>
      <c r="TPT33" s="66"/>
      <c r="TPU33" s="66"/>
      <c r="TPV33" s="66"/>
      <c r="TPW33" s="66"/>
      <c r="TPX33" s="66"/>
      <c r="TPY33" s="66"/>
      <c r="TPZ33" s="66"/>
      <c r="TQA33" s="66"/>
      <c r="TQB33" s="66"/>
      <c r="TQC33" s="66"/>
      <c r="TQD33" s="66"/>
      <c r="TQE33" s="66"/>
      <c r="TQF33" s="66"/>
      <c r="TQG33" s="66"/>
      <c r="TQH33" s="66"/>
      <c r="TQI33" s="66"/>
      <c r="TQJ33" s="66"/>
      <c r="TQK33" s="66"/>
      <c r="TQL33" s="66"/>
      <c r="TQM33" s="66"/>
      <c r="TQN33" s="66"/>
      <c r="TQO33" s="66"/>
      <c r="TQP33" s="66"/>
      <c r="TQQ33" s="66"/>
      <c r="TQR33" s="66"/>
      <c r="TQS33" s="66"/>
      <c r="TQT33" s="66"/>
      <c r="TQU33" s="66"/>
      <c r="TQV33" s="66"/>
      <c r="TQW33" s="66"/>
      <c r="TQX33" s="66"/>
      <c r="TQY33" s="66"/>
      <c r="TQZ33" s="66"/>
      <c r="TRA33" s="66"/>
      <c r="TRB33" s="66"/>
      <c r="TRC33" s="66"/>
      <c r="TRD33" s="66"/>
      <c r="TRE33" s="66"/>
      <c r="TRF33" s="66"/>
      <c r="TRG33" s="66"/>
      <c r="TRH33" s="66"/>
      <c r="TRI33" s="66"/>
      <c r="TRJ33" s="66"/>
      <c r="TRK33" s="66"/>
      <c r="TRL33" s="66"/>
      <c r="TRM33" s="66"/>
      <c r="TRN33" s="66"/>
      <c r="TRO33" s="66"/>
      <c r="TRP33" s="66"/>
      <c r="TRQ33" s="66"/>
      <c r="TRR33" s="66"/>
      <c r="TRS33" s="66"/>
      <c r="TRT33" s="66"/>
      <c r="TRU33" s="66"/>
      <c r="TRV33" s="66"/>
      <c r="TRW33" s="66"/>
      <c r="TRX33" s="66"/>
      <c r="TRY33" s="66"/>
      <c r="TRZ33" s="66"/>
      <c r="TSA33" s="66"/>
      <c r="TSB33" s="66"/>
      <c r="TSC33" s="66"/>
      <c r="TSD33" s="66"/>
      <c r="TSE33" s="66"/>
      <c r="TSF33" s="66"/>
      <c r="TSG33" s="66"/>
      <c r="TSH33" s="66"/>
      <c r="TSI33" s="66"/>
      <c r="TSJ33" s="66"/>
      <c r="TSK33" s="66"/>
      <c r="TSL33" s="66"/>
      <c r="TSM33" s="66"/>
      <c r="TSN33" s="66"/>
      <c r="TSO33" s="66"/>
      <c r="TSP33" s="66"/>
      <c r="TSQ33" s="66"/>
      <c r="TSR33" s="66"/>
      <c r="TSS33" s="66"/>
      <c r="TST33" s="66"/>
      <c r="TSU33" s="66"/>
      <c r="TSV33" s="66"/>
      <c r="TSW33" s="66"/>
      <c r="TSX33" s="66"/>
      <c r="TSY33" s="66"/>
      <c r="TSZ33" s="66"/>
      <c r="TTA33" s="66"/>
      <c r="TTB33" s="66"/>
      <c r="TTC33" s="66"/>
      <c r="TTD33" s="66"/>
      <c r="TTE33" s="66"/>
      <c r="TTF33" s="66"/>
      <c r="TTG33" s="66"/>
      <c r="TTH33" s="66"/>
      <c r="TTI33" s="66"/>
      <c r="TTJ33" s="66"/>
      <c r="TTK33" s="66"/>
      <c r="TTL33" s="66"/>
      <c r="TTM33" s="66"/>
      <c r="TTN33" s="66"/>
      <c r="TTO33" s="66"/>
      <c r="TTP33" s="66"/>
      <c r="TTQ33" s="66"/>
      <c r="TTR33" s="66"/>
      <c r="TTS33" s="66"/>
      <c r="TTT33" s="66"/>
      <c r="TTU33" s="66"/>
      <c r="TTV33" s="66"/>
      <c r="TTW33" s="66"/>
      <c r="TTX33" s="66"/>
      <c r="TTY33" s="66"/>
      <c r="TTZ33" s="66"/>
      <c r="TUA33" s="66"/>
      <c r="TUB33" s="66"/>
      <c r="TUC33" s="66"/>
      <c r="TUD33" s="66"/>
      <c r="TUE33" s="66"/>
      <c r="TUF33" s="66"/>
      <c r="TUG33" s="66"/>
      <c r="TUH33" s="66"/>
      <c r="TUI33" s="66"/>
      <c r="TUJ33" s="66"/>
      <c r="TUK33" s="66"/>
      <c r="TUL33" s="66"/>
      <c r="TUM33" s="66"/>
      <c r="TUN33" s="66"/>
      <c r="TUO33" s="66"/>
      <c r="TUP33" s="66"/>
      <c r="TUQ33" s="66"/>
      <c r="TUR33" s="66"/>
      <c r="TUS33" s="66"/>
      <c r="TUT33" s="66"/>
      <c r="TUU33" s="66"/>
      <c r="TUV33" s="66"/>
      <c r="TUW33" s="66"/>
      <c r="TUX33" s="66"/>
      <c r="TUY33" s="66"/>
      <c r="TUZ33" s="66"/>
      <c r="TVA33" s="66"/>
      <c r="TVB33" s="66"/>
      <c r="TVC33" s="66"/>
      <c r="TVD33" s="66"/>
      <c r="TVE33" s="66"/>
      <c r="TVF33" s="66"/>
      <c r="TVG33" s="66"/>
      <c r="TVH33" s="66"/>
      <c r="TVI33" s="66"/>
      <c r="TVJ33" s="66"/>
      <c r="TVK33" s="66"/>
      <c r="TVL33" s="66"/>
      <c r="TVM33" s="66"/>
      <c r="TVN33" s="66"/>
      <c r="TVO33" s="66"/>
      <c r="TVP33" s="66"/>
      <c r="TVQ33" s="66"/>
      <c r="TVR33" s="66"/>
      <c r="TVS33" s="66"/>
      <c r="TVT33" s="66"/>
      <c r="TVU33" s="66"/>
      <c r="TVV33" s="66"/>
      <c r="TVW33" s="66"/>
      <c r="TVX33" s="66"/>
      <c r="TVY33" s="66"/>
      <c r="TVZ33" s="66"/>
      <c r="TWA33" s="66"/>
      <c r="TWB33" s="66"/>
      <c r="TWC33" s="66"/>
      <c r="TWD33" s="66"/>
      <c r="TWE33" s="66"/>
      <c r="TWF33" s="66"/>
      <c r="TWG33" s="66"/>
      <c r="TWH33" s="66"/>
      <c r="TWI33" s="66"/>
      <c r="TWJ33" s="66"/>
      <c r="TWK33" s="66"/>
      <c r="TWL33" s="66"/>
      <c r="TWM33" s="66"/>
      <c r="TWN33" s="66"/>
      <c r="TWO33" s="66"/>
      <c r="TWP33" s="66"/>
      <c r="TWQ33" s="66"/>
      <c r="TWR33" s="66"/>
      <c r="TWS33" s="66"/>
      <c r="TWT33" s="66"/>
      <c r="TWU33" s="66"/>
      <c r="TWV33" s="66"/>
      <c r="TWW33" s="66"/>
      <c r="TWX33" s="66"/>
      <c r="TWY33" s="66"/>
      <c r="TWZ33" s="66"/>
      <c r="TXA33" s="66"/>
      <c r="TXB33" s="66"/>
      <c r="TXC33" s="66"/>
      <c r="TXD33" s="66"/>
      <c r="TXE33" s="66"/>
      <c r="TXF33" s="66"/>
      <c r="TXG33" s="66"/>
      <c r="TXH33" s="66"/>
      <c r="TXI33" s="66"/>
      <c r="TXJ33" s="66"/>
      <c r="TXK33" s="66"/>
      <c r="TXL33" s="66"/>
      <c r="TXM33" s="66"/>
      <c r="TXN33" s="66"/>
      <c r="TXO33" s="66"/>
      <c r="TXP33" s="66"/>
      <c r="TXQ33" s="66"/>
      <c r="TXR33" s="66"/>
      <c r="TXS33" s="66"/>
      <c r="TXT33" s="66"/>
      <c r="TXU33" s="66"/>
      <c r="TXV33" s="66"/>
      <c r="TXW33" s="66"/>
      <c r="TXX33" s="66"/>
      <c r="TXY33" s="66"/>
      <c r="TXZ33" s="66"/>
      <c r="TYA33" s="66"/>
      <c r="TYB33" s="66"/>
      <c r="TYC33" s="66"/>
      <c r="TYD33" s="66"/>
      <c r="TYE33" s="66"/>
      <c r="TYF33" s="66"/>
      <c r="TYG33" s="66"/>
      <c r="TYH33" s="66"/>
      <c r="TYI33" s="66"/>
      <c r="TYJ33" s="66"/>
      <c r="TYK33" s="66"/>
      <c r="TYL33" s="66"/>
      <c r="TYM33" s="66"/>
      <c r="TYN33" s="66"/>
      <c r="TYO33" s="66"/>
      <c r="TYP33" s="66"/>
      <c r="TYQ33" s="66"/>
      <c r="TYR33" s="66"/>
      <c r="TYS33" s="66"/>
      <c r="TYT33" s="66"/>
      <c r="TYU33" s="66"/>
      <c r="TYV33" s="66"/>
      <c r="TYW33" s="66"/>
      <c r="TYX33" s="66"/>
      <c r="TYY33" s="66"/>
      <c r="TYZ33" s="66"/>
      <c r="TZA33" s="66"/>
      <c r="TZB33" s="66"/>
      <c r="TZC33" s="66"/>
      <c r="TZD33" s="66"/>
      <c r="TZE33" s="66"/>
      <c r="TZF33" s="66"/>
      <c r="TZG33" s="66"/>
      <c r="TZH33" s="66"/>
      <c r="TZI33" s="66"/>
      <c r="TZJ33" s="66"/>
      <c r="TZK33" s="66"/>
      <c r="TZL33" s="66"/>
      <c r="TZM33" s="66"/>
      <c r="TZN33" s="66"/>
      <c r="TZO33" s="66"/>
      <c r="TZP33" s="66"/>
      <c r="TZQ33" s="66"/>
      <c r="TZR33" s="66"/>
      <c r="TZS33" s="66"/>
      <c r="TZT33" s="66"/>
      <c r="TZU33" s="66"/>
      <c r="TZV33" s="66"/>
      <c r="TZW33" s="66"/>
      <c r="TZX33" s="66"/>
      <c r="TZY33" s="66"/>
      <c r="TZZ33" s="66"/>
      <c r="UAA33" s="66"/>
      <c r="UAB33" s="66"/>
      <c r="UAC33" s="66"/>
      <c r="UAD33" s="66"/>
      <c r="UAE33" s="66"/>
      <c r="UAF33" s="66"/>
      <c r="UAG33" s="66"/>
      <c r="UAH33" s="66"/>
      <c r="UAI33" s="66"/>
      <c r="UAJ33" s="66"/>
      <c r="UAK33" s="66"/>
      <c r="UAL33" s="66"/>
      <c r="UAM33" s="66"/>
      <c r="UAN33" s="66"/>
      <c r="UAO33" s="66"/>
      <c r="UAP33" s="66"/>
      <c r="UAQ33" s="66"/>
      <c r="UAR33" s="66"/>
      <c r="UAS33" s="66"/>
      <c r="UAT33" s="66"/>
      <c r="UAU33" s="66"/>
      <c r="UAV33" s="66"/>
      <c r="UAW33" s="66"/>
      <c r="UAX33" s="66"/>
      <c r="UAY33" s="66"/>
      <c r="UAZ33" s="66"/>
      <c r="UBA33" s="66"/>
      <c r="UBB33" s="66"/>
      <c r="UBC33" s="66"/>
      <c r="UBD33" s="66"/>
      <c r="UBE33" s="66"/>
      <c r="UBF33" s="66"/>
      <c r="UBG33" s="66"/>
      <c r="UBH33" s="66"/>
      <c r="UBI33" s="66"/>
      <c r="UBJ33" s="66"/>
      <c r="UBK33" s="66"/>
      <c r="UBL33" s="66"/>
      <c r="UBM33" s="66"/>
      <c r="UBN33" s="66"/>
      <c r="UBO33" s="66"/>
      <c r="UBP33" s="66"/>
      <c r="UBQ33" s="66"/>
      <c r="UBR33" s="66"/>
      <c r="UBS33" s="66"/>
      <c r="UBT33" s="66"/>
      <c r="UBU33" s="66"/>
      <c r="UBV33" s="66"/>
      <c r="UBW33" s="66"/>
      <c r="UBX33" s="66"/>
      <c r="UBY33" s="66"/>
      <c r="UBZ33" s="66"/>
      <c r="UCA33" s="66"/>
      <c r="UCB33" s="66"/>
      <c r="UCC33" s="66"/>
      <c r="UCD33" s="66"/>
      <c r="UCE33" s="66"/>
      <c r="UCF33" s="66"/>
      <c r="UCG33" s="66"/>
      <c r="UCH33" s="66"/>
      <c r="UCI33" s="66"/>
      <c r="UCJ33" s="66"/>
      <c r="UCK33" s="66"/>
      <c r="UCL33" s="66"/>
      <c r="UCM33" s="66"/>
      <c r="UCN33" s="66"/>
      <c r="UCO33" s="66"/>
      <c r="UCP33" s="66"/>
      <c r="UCQ33" s="66"/>
      <c r="UCR33" s="66"/>
      <c r="UCS33" s="66"/>
      <c r="UCT33" s="66"/>
      <c r="UCU33" s="66"/>
      <c r="UCV33" s="66"/>
      <c r="UCW33" s="66"/>
      <c r="UCX33" s="66"/>
      <c r="UCY33" s="66"/>
      <c r="UCZ33" s="66"/>
      <c r="UDA33" s="66"/>
      <c r="UDB33" s="66"/>
      <c r="UDC33" s="66"/>
      <c r="UDD33" s="66"/>
      <c r="UDE33" s="66"/>
      <c r="UDF33" s="66"/>
      <c r="UDG33" s="66"/>
      <c r="UDH33" s="66"/>
      <c r="UDI33" s="66"/>
      <c r="UDJ33" s="66"/>
      <c r="UDK33" s="66"/>
      <c r="UDL33" s="66"/>
      <c r="UDM33" s="66"/>
      <c r="UDN33" s="66"/>
      <c r="UDO33" s="66"/>
      <c r="UDP33" s="66"/>
      <c r="UDQ33" s="66"/>
      <c r="UDR33" s="66"/>
      <c r="UDS33" s="66"/>
      <c r="UDT33" s="66"/>
      <c r="UDU33" s="66"/>
      <c r="UDV33" s="66"/>
      <c r="UDW33" s="66"/>
      <c r="UDX33" s="66"/>
      <c r="UDY33" s="66"/>
      <c r="UDZ33" s="66"/>
      <c r="UEA33" s="66"/>
      <c r="UEB33" s="66"/>
      <c r="UEC33" s="66"/>
      <c r="UED33" s="66"/>
      <c r="UEE33" s="66"/>
      <c r="UEF33" s="66"/>
      <c r="UEG33" s="66"/>
      <c r="UEH33" s="66"/>
      <c r="UEI33" s="66"/>
      <c r="UEJ33" s="66"/>
      <c r="UEK33" s="66"/>
      <c r="UEL33" s="66"/>
      <c r="UEM33" s="66"/>
      <c r="UEN33" s="66"/>
      <c r="UEO33" s="66"/>
      <c r="UEP33" s="66"/>
      <c r="UEQ33" s="66"/>
      <c r="UER33" s="66"/>
      <c r="UES33" s="66"/>
      <c r="UET33" s="66"/>
      <c r="UEU33" s="66"/>
      <c r="UEV33" s="66"/>
      <c r="UEW33" s="66"/>
      <c r="UEX33" s="66"/>
      <c r="UEY33" s="66"/>
      <c r="UEZ33" s="66"/>
      <c r="UFA33" s="66"/>
      <c r="UFB33" s="66"/>
      <c r="UFC33" s="66"/>
      <c r="UFD33" s="66"/>
      <c r="UFE33" s="66"/>
      <c r="UFF33" s="66"/>
      <c r="UFG33" s="66"/>
      <c r="UFH33" s="66"/>
      <c r="UFI33" s="66"/>
      <c r="UFJ33" s="66"/>
      <c r="UFK33" s="66"/>
      <c r="UFL33" s="66"/>
      <c r="UFM33" s="66"/>
      <c r="UFN33" s="66"/>
      <c r="UFO33" s="66"/>
      <c r="UFP33" s="66"/>
      <c r="UFQ33" s="66"/>
      <c r="UFR33" s="66"/>
      <c r="UFS33" s="66"/>
      <c r="UFT33" s="66"/>
      <c r="UFU33" s="66"/>
      <c r="UFV33" s="66"/>
      <c r="UFW33" s="66"/>
      <c r="UFX33" s="66"/>
      <c r="UFY33" s="66"/>
      <c r="UFZ33" s="66"/>
      <c r="UGA33" s="66"/>
      <c r="UGB33" s="66"/>
      <c r="UGC33" s="66"/>
      <c r="UGD33" s="66"/>
      <c r="UGE33" s="66"/>
      <c r="UGF33" s="66"/>
      <c r="UGG33" s="66"/>
      <c r="UGH33" s="66"/>
      <c r="UGI33" s="66"/>
      <c r="UGJ33" s="66"/>
      <c r="UGK33" s="66"/>
      <c r="UGL33" s="66"/>
      <c r="UGM33" s="66"/>
      <c r="UGN33" s="66"/>
      <c r="UGO33" s="66"/>
      <c r="UGP33" s="66"/>
      <c r="UGQ33" s="66"/>
      <c r="UGR33" s="66"/>
      <c r="UGS33" s="66"/>
      <c r="UGT33" s="66"/>
      <c r="UGU33" s="66"/>
      <c r="UGV33" s="66"/>
      <c r="UGW33" s="66"/>
      <c r="UGX33" s="66"/>
      <c r="UGY33" s="66"/>
      <c r="UGZ33" s="66"/>
      <c r="UHA33" s="66"/>
      <c r="UHB33" s="66"/>
      <c r="UHC33" s="66"/>
      <c r="UHD33" s="66"/>
      <c r="UHE33" s="66"/>
      <c r="UHF33" s="66"/>
      <c r="UHG33" s="66"/>
      <c r="UHH33" s="66"/>
      <c r="UHI33" s="66"/>
      <c r="UHJ33" s="66"/>
      <c r="UHK33" s="66"/>
      <c r="UHL33" s="66"/>
      <c r="UHM33" s="66"/>
      <c r="UHN33" s="66"/>
      <c r="UHO33" s="66"/>
      <c r="UHP33" s="66"/>
      <c r="UHQ33" s="66"/>
      <c r="UHR33" s="66"/>
      <c r="UHS33" s="66"/>
      <c r="UHT33" s="66"/>
      <c r="UHU33" s="66"/>
      <c r="UHV33" s="66"/>
      <c r="UHW33" s="66"/>
      <c r="UHX33" s="66"/>
      <c r="UHY33" s="66"/>
      <c r="UHZ33" s="66"/>
      <c r="UIA33" s="66"/>
      <c r="UIB33" s="66"/>
      <c r="UIC33" s="66"/>
      <c r="UID33" s="66"/>
      <c r="UIE33" s="66"/>
      <c r="UIF33" s="66"/>
      <c r="UIG33" s="66"/>
      <c r="UIH33" s="66"/>
      <c r="UII33" s="66"/>
      <c r="UIJ33" s="66"/>
      <c r="UIK33" s="66"/>
      <c r="UIL33" s="66"/>
      <c r="UIM33" s="66"/>
      <c r="UIN33" s="66"/>
      <c r="UIO33" s="66"/>
      <c r="UIP33" s="66"/>
      <c r="UIQ33" s="66"/>
      <c r="UIR33" s="66"/>
      <c r="UIS33" s="66"/>
      <c r="UIT33" s="66"/>
      <c r="UIU33" s="66"/>
      <c r="UIV33" s="66"/>
      <c r="UIW33" s="66"/>
      <c r="UIX33" s="66"/>
      <c r="UIY33" s="66"/>
      <c r="UIZ33" s="66"/>
      <c r="UJA33" s="66"/>
      <c r="UJB33" s="66"/>
      <c r="UJC33" s="66"/>
      <c r="UJD33" s="66"/>
      <c r="UJE33" s="66"/>
      <c r="UJF33" s="66"/>
      <c r="UJG33" s="66"/>
      <c r="UJH33" s="66"/>
      <c r="UJI33" s="66"/>
      <c r="UJJ33" s="66"/>
      <c r="UJK33" s="66"/>
      <c r="UJL33" s="66"/>
      <c r="UJM33" s="66"/>
      <c r="UJN33" s="66"/>
      <c r="UJO33" s="66"/>
      <c r="UJP33" s="66"/>
      <c r="UJQ33" s="66"/>
      <c r="UJR33" s="66"/>
      <c r="UJS33" s="66"/>
      <c r="UJT33" s="66"/>
      <c r="UJU33" s="66"/>
      <c r="UJV33" s="66"/>
      <c r="UJW33" s="66"/>
      <c r="UJX33" s="66"/>
      <c r="UJY33" s="66"/>
      <c r="UJZ33" s="66"/>
      <c r="UKA33" s="66"/>
      <c r="UKB33" s="66"/>
      <c r="UKC33" s="66"/>
      <c r="UKD33" s="66"/>
      <c r="UKE33" s="66"/>
      <c r="UKF33" s="66"/>
      <c r="UKG33" s="66"/>
      <c r="UKH33" s="66"/>
      <c r="UKI33" s="66"/>
      <c r="UKJ33" s="66"/>
      <c r="UKK33" s="66"/>
      <c r="UKL33" s="66"/>
      <c r="UKM33" s="66"/>
      <c r="UKN33" s="66"/>
      <c r="UKO33" s="66"/>
      <c r="UKP33" s="66"/>
      <c r="UKQ33" s="66"/>
      <c r="UKR33" s="66"/>
      <c r="UKS33" s="66"/>
      <c r="UKT33" s="66"/>
      <c r="UKU33" s="66"/>
      <c r="UKV33" s="66"/>
      <c r="UKW33" s="66"/>
      <c r="UKX33" s="66"/>
      <c r="UKY33" s="66"/>
      <c r="UKZ33" s="66"/>
      <c r="ULA33" s="66"/>
      <c r="ULB33" s="66"/>
      <c r="ULC33" s="66"/>
      <c r="ULD33" s="66"/>
      <c r="ULE33" s="66"/>
      <c r="ULF33" s="66"/>
      <c r="ULG33" s="66"/>
      <c r="ULH33" s="66"/>
      <c r="ULI33" s="66"/>
      <c r="ULJ33" s="66"/>
      <c r="ULK33" s="66"/>
      <c r="ULL33" s="66"/>
      <c r="ULM33" s="66"/>
      <c r="ULN33" s="66"/>
      <c r="ULO33" s="66"/>
      <c r="ULP33" s="66"/>
      <c r="ULQ33" s="66"/>
      <c r="ULR33" s="66"/>
      <c r="ULS33" s="66"/>
      <c r="ULT33" s="66"/>
      <c r="ULU33" s="66"/>
      <c r="ULV33" s="66"/>
      <c r="ULW33" s="66"/>
      <c r="ULX33" s="66"/>
      <c r="ULY33" s="66"/>
      <c r="ULZ33" s="66"/>
      <c r="UMA33" s="66"/>
      <c r="UMB33" s="66"/>
      <c r="UMC33" s="66"/>
      <c r="UMD33" s="66"/>
      <c r="UME33" s="66"/>
      <c r="UMF33" s="66"/>
      <c r="UMG33" s="66"/>
      <c r="UMH33" s="66"/>
      <c r="UMI33" s="66"/>
      <c r="UMJ33" s="66"/>
      <c r="UMK33" s="66"/>
      <c r="UML33" s="66"/>
      <c r="UMM33" s="66"/>
      <c r="UMN33" s="66"/>
      <c r="UMO33" s="66"/>
      <c r="UMP33" s="66"/>
      <c r="UMQ33" s="66"/>
      <c r="UMR33" s="66"/>
      <c r="UMS33" s="66"/>
      <c r="UMT33" s="66"/>
      <c r="UMU33" s="66"/>
      <c r="UMV33" s="66"/>
      <c r="UMW33" s="66"/>
      <c r="UMX33" s="66"/>
      <c r="UMY33" s="66"/>
      <c r="UMZ33" s="66"/>
      <c r="UNA33" s="66"/>
      <c r="UNB33" s="66"/>
      <c r="UNC33" s="66"/>
      <c r="UND33" s="66"/>
      <c r="UNE33" s="66"/>
      <c r="UNF33" s="66"/>
      <c r="UNG33" s="66"/>
      <c r="UNH33" s="66"/>
      <c r="UNI33" s="66"/>
      <c r="UNJ33" s="66"/>
      <c r="UNK33" s="66"/>
      <c r="UNL33" s="66"/>
      <c r="UNM33" s="66"/>
      <c r="UNN33" s="66"/>
      <c r="UNO33" s="66"/>
      <c r="UNP33" s="66"/>
      <c r="UNQ33" s="66"/>
      <c r="UNR33" s="66"/>
      <c r="UNS33" s="66"/>
      <c r="UNT33" s="66"/>
      <c r="UNU33" s="66"/>
      <c r="UNV33" s="66"/>
      <c r="UNW33" s="66"/>
      <c r="UNX33" s="66"/>
      <c r="UNY33" s="66"/>
      <c r="UNZ33" s="66"/>
      <c r="UOA33" s="66"/>
      <c r="UOB33" s="66"/>
      <c r="UOC33" s="66"/>
      <c r="UOD33" s="66"/>
      <c r="UOE33" s="66"/>
      <c r="UOF33" s="66"/>
      <c r="UOG33" s="66"/>
      <c r="UOH33" s="66"/>
      <c r="UOI33" s="66"/>
      <c r="UOJ33" s="66"/>
      <c r="UOK33" s="66"/>
      <c r="UOL33" s="66"/>
      <c r="UOM33" s="66"/>
      <c r="UON33" s="66"/>
      <c r="UOO33" s="66"/>
      <c r="UOP33" s="66"/>
      <c r="UOQ33" s="66"/>
      <c r="UOR33" s="66"/>
      <c r="UOS33" s="66"/>
      <c r="UOT33" s="66"/>
      <c r="UOU33" s="66"/>
      <c r="UOV33" s="66"/>
      <c r="UOW33" s="66"/>
      <c r="UOX33" s="66"/>
      <c r="UOY33" s="66"/>
      <c r="UOZ33" s="66"/>
      <c r="UPA33" s="66"/>
      <c r="UPB33" s="66"/>
      <c r="UPC33" s="66"/>
      <c r="UPD33" s="66"/>
      <c r="UPE33" s="66"/>
      <c r="UPF33" s="66"/>
      <c r="UPG33" s="66"/>
      <c r="UPH33" s="66"/>
      <c r="UPI33" s="66"/>
      <c r="UPJ33" s="66"/>
      <c r="UPK33" s="66"/>
      <c r="UPL33" s="66"/>
      <c r="UPM33" s="66"/>
      <c r="UPN33" s="66"/>
      <c r="UPO33" s="66"/>
      <c r="UPP33" s="66"/>
      <c r="UPQ33" s="66"/>
      <c r="UPR33" s="66"/>
      <c r="UPS33" s="66"/>
      <c r="UPT33" s="66"/>
      <c r="UPU33" s="66"/>
      <c r="UPV33" s="66"/>
      <c r="UPW33" s="66"/>
      <c r="UPX33" s="66"/>
      <c r="UPY33" s="66"/>
      <c r="UPZ33" s="66"/>
      <c r="UQA33" s="66"/>
      <c r="UQB33" s="66"/>
      <c r="UQC33" s="66"/>
      <c r="UQD33" s="66"/>
      <c r="UQE33" s="66"/>
      <c r="UQF33" s="66"/>
      <c r="UQG33" s="66"/>
      <c r="UQH33" s="66"/>
      <c r="UQI33" s="66"/>
      <c r="UQJ33" s="66"/>
      <c r="UQK33" s="66"/>
      <c r="UQL33" s="66"/>
      <c r="UQM33" s="66"/>
      <c r="UQN33" s="66"/>
      <c r="UQO33" s="66"/>
      <c r="UQP33" s="66"/>
      <c r="UQQ33" s="66"/>
      <c r="UQR33" s="66"/>
      <c r="UQS33" s="66"/>
      <c r="UQT33" s="66"/>
      <c r="UQU33" s="66"/>
      <c r="UQV33" s="66"/>
      <c r="UQW33" s="66"/>
      <c r="UQX33" s="66"/>
      <c r="UQY33" s="66"/>
      <c r="UQZ33" s="66"/>
      <c r="URA33" s="66"/>
      <c r="URB33" s="66"/>
      <c r="URC33" s="66"/>
      <c r="URD33" s="66"/>
      <c r="URE33" s="66"/>
      <c r="URF33" s="66"/>
      <c r="URG33" s="66"/>
      <c r="URH33" s="66"/>
      <c r="URI33" s="66"/>
      <c r="URJ33" s="66"/>
      <c r="URK33" s="66"/>
      <c r="URL33" s="66"/>
      <c r="URM33" s="66"/>
      <c r="URN33" s="66"/>
      <c r="URO33" s="66"/>
      <c r="URP33" s="66"/>
      <c r="URQ33" s="66"/>
      <c r="URR33" s="66"/>
      <c r="URS33" s="66"/>
      <c r="URT33" s="66"/>
      <c r="URU33" s="66"/>
      <c r="URV33" s="66"/>
      <c r="URW33" s="66"/>
      <c r="URX33" s="66"/>
      <c r="URY33" s="66"/>
      <c r="URZ33" s="66"/>
      <c r="USA33" s="66"/>
      <c r="USB33" s="66"/>
      <c r="USC33" s="66"/>
      <c r="USD33" s="66"/>
      <c r="USE33" s="66"/>
      <c r="USF33" s="66"/>
      <c r="USG33" s="66"/>
      <c r="USH33" s="66"/>
      <c r="USI33" s="66"/>
      <c r="USJ33" s="66"/>
      <c r="USK33" s="66"/>
      <c r="USL33" s="66"/>
      <c r="USM33" s="66"/>
      <c r="USN33" s="66"/>
      <c r="USO33" s="66"/>
      <c r="USP33" s="66"/>
      <c r="USQ33" s="66"/>
      <c r="USR33" s="66"/>
      <c r="USS33" s="66"/>
      <c r="UST33" s="66"/>
      <c r="USU33" s="66"/>
      <c r="USV33" s="66"/>
      <c r="USW33" s="66"/>
      <c r="USX33" s="66"/>
      <c r="USY33" s="66"/>
      <c r="USZ33" s="66"/>
      <c r="UTA33" s="66"/>
      <c r="UTB33" s="66"/>
      <c r="UTC33" s="66"/>
      <c r="UTD33" s="66"/>
      <c r="UTE33" s="66"/>
      <c r="UTF33" s="66"/>
      <c r="UTG33" s="66"/>
      <c r="UTH33" s="66"/>
      <c r="UTI33" s="66"/>
      <c r="UTJ33" s="66"/>
      <c r="UTK33" s="66"/>
      <c r="UTL33" s="66"/>
      <c r="UTM33" s="66"/>
      <c r="UTN33" s="66"/>
      <c r="UTO33" s="66"/>
      <c r="UTP33" s="66"/>
      <c r="UTQ33" s="66"/>
      <c r="UTR33" s="66"/>
      <c r="UTS33" s="66"/>
      <c r="UTT33" s="66"/>
      <c r="UTU33" s="66"/>
      <c r="UTV33" s="66"/>
      <c r="UTW33" s="66"/>
      <c r="UTX33" s="66"/>
      <c r="UTY33" s="66"/>
      <c r="UTZ33" s="66"/>
      <c r="UUA33" s="66"/>
      <c r="UUB33" s="66"/>
      <c r="UUC33" s="66"/>
      <c r="UUD33" s="66"/>
      <c r="UUE33" s="66"/>
      <c r="UUF33" s="66"/>
      <c r="UUG33" s="66"/>
      <c r="UUH33" s="66"/>
      <c r="UUI33" s="66"/>
      <c r="UUJ33" s="66"/>
      <c r="UUK33" s="66"/>
      <c r="UUL33" s="66"/>
      <c r="UUM33" s="66"/>
      <c r="UUN33" s="66"/>
      <c r="UUO33" s="66"/>
      <c r="UUP33" s="66"/>
      <c r="UUQ33" s="66"/>
      <c r="UUR33" s="66"/>
      <c r="UUS33" s="66"/>
      <c r="UUT33" s="66"/>
      <c r="UUU33" s="66"/>
      <c r="UUV33" s="66"/>
      <c r="UUW33" s="66"/>
      <c r="UUX33" s="66"/>
      <c r="UUY33" s="66"/>
      <c r="UUZ33" s="66"/>
      <c r="UVA33" s="66"/>
      <c r="UVB33" s="66"/>
      <c r="UVC33" s="66"/>
      <c r="UVD33" s="66"/>
      <c r="UVE33" s="66"/>
      <c r="UVF33" s="66"/>
      <c r="UVG33" s="66"/>
      <c r="UVH33" s="66"/>
      <c r="UVI33" s="66"/>
      <c r="UVJ33" s="66"/>
      <c r="UVK33" s="66"/>
      <c r="UVL33" s="66"/>
      <c r="UVM33" s="66"/>
      <c r="UVN33" s="66"/>
      <c r="UVO33" s="66"/>
      <c r="UVP33" s="66"/>
      <c r="UVQ33" s="66"/>
      <c r="UVR33" s="66"/>
      <c r="UVS33" s="66"/>
      <c r="UVT33" s="66"/>
      <c r="UVU33" s="66"/>
      <c r="UVV33" s="66"/>
      <c r="UVW33" s="66"/>
      <c r="UVX33" s="66"/>
      <c r="UVY33" s="66"/>
      <c r="UVZ33" s="66"/>
      <c r="UWA33" s="66"/>
      <c r="UWB33" s="66"/>
      <c r="UWC33" s="66"/>
      <c r="UWD33" s="66"/>
      <c r="UWE33" s="66"/>
      <c r="UWF33" s="66"/>
      <c r="UWG33" s="66"/>
      <c r="UWH33" s="66"/>
      <c r="UWI33" s="66"/>
      <c r="UWJ33" s="66"/>
      <c r="UWK33" s="66"/>
      <c r="UWL33" s="66"/>
      <c r="UWM33" s="66"/>
      <c r="UWN33" s="66"/>
      <c r="UWO33" s="66"/>
      <c r="UWP33" s="66"/>
      <c r="UWQ33" s="66"/>
      <c r="UWR33" s="66"/>
      <c r="UWS33" s="66"/>
      <c r="UWT33" s="66"/>
      <c r="UWU33" s="66"/>
      <c r="UWV33" s="66"/>
      <c r="UWW33" s="66"/>
      <c r="UWX33" s="66"/>
      <c r="UWY33" s="66"/>
      <c r="UWZ33" s="66"/>
      <c r="UXA33" s="66"/>
      <c r="UXB33" s="66"/>
      <c r="UXC33" s="66"/>
      <c r="UXD33" s="66"/>
      <c r="UXE33" s="66"/>
      <c r="UXF33" s="66"/>
      <c r="UXG33" s="66"/>
      <c r="UXH33" s="66"/>
      <c r="UXI33" s="66"/>
      <c r="UXJ33" s="66"/>
      <c r="UXK33" s="66"/>
      <c r="UXL33" s="66"/>
      <c r="UXM33" s="66"/>
      <c r="UXN33" s="66"/>
      <c r="UXO33" s="66"/>
      <c r="UXP33" s="66"/>
      <c r="UXQ33" s="66"/>
      <c r="UXR33" s="66"/>
      <c r="UXS33" s="66"/>
      <c r="UXT33" s="66"/>
      <c r="UXU33" s="66"/>
      <c r="UXV33" s="66"/>
      <c r="UXW33" s="66"/>
      <c r="UXX33" s="66"/>
      <c r="UXY33" s="66"/>
      <c r="UXZ33" s="66"/>
      <c r="UYA33" s="66"/>
      <c r="UYB33" s="66"/>
      <c r="UYC33" s="66"/>
      <c r="UYD33" s="66"/>
      <c r="UYE33" s="66"/>
      <c r="UYF33" s="66"/>
      <c r="UYG33" s="66"/>
      <c r="UYH33" s="66"/>
      <c r="UYI33" s="66"/>
      <c r="UYJ33" s="66"/>
      <c r="UYK33" s="66"/>
      <c r="UYL33" s="66"/>
      <c r="UYM33" s="66"/>
      <c r="UYN33" s="66"/>
      <c r="UYO33" s="66"/>
      <c r="UYP33" s="66"/>
      <c r="UYQ33" s="66"/>
      <c r="UYR33" s="66"/>
      <c r="UYS33" s="66"/>
      <c r="UYT33" s="66"/>
      <c r="UYU33" s="66"/>
      <c r="UYV33" s="66"/>
      <c r="UYW33" s="66"/>
      <c r="UYX33" s="66"/>
      <c r="UYY33" s="66"/>
      <c r="UYZ33" s="66"/>
      <c r="UZA33" s="66"/>
      <c r="UZB33" s="66"/>
      <c r="UZC33" s="66"/>
      <c r="UZD33" s="66"/>
      <c r="UZE33" s="66"/>
      <c r="UZF33" s="66"/>
      <c r="UZG33" s="66"/>
      <c r="UZH33" s="66"/>
      <c r="UZI33" s="66"/>
      <c r="UZJ33" s="66"/>
      <c r="UZK33" s="66"/>
      <c r="UZL33" s="66"/>
      <c r="UZM33" s="66"/>
      <c r="UZN33" s="66"/>
      <c r="UZO33" s="66"/>
      <c r="UZP33" s="66"/>
      <c r="UZQ33" s="66"/>
      <c r="UZR33" s="66"/>
      <c r="UZS33" s="66"/>
      <c r="UZT33" s="66"/>
      <c r="UZU33" s="66"/>
      <c r="UZV33" s="66"/>
      <c r="UZW33" s="66"/>
      <c r="UZX33" s="66"/>
      <c r="UZY33" s="66"/>
      <c r="UZZ33" s="66"/>
      <c r="VAA33" s="66"/>
      <c r="VAB33" s="66"/>
      <c r="VAC33" s="66"/>
      <c r="VAD33" s="66"/>
      <c r="VAE33" s="66"/>
      <c r="VAF33" s="66"/>
      <c r="VAG33" s="66"/>
      <c r="VAH33" s="66"/>
      <c r="VAI33" s="66"/>
      <c r="VAJ33" s="66"/>
      <c r="VAK33" s="66"/>
      <c r="VAL33" s="66"/>
      <c r="VAM33" s="66"/>
      <c r="VAN33" s="66"/>
      <c r="VAO33" s="66"/>
      <c r="VAP33" s="66"/>
      <c r="VAQ33" s="66"/>
      <c r="VAR33" s="66"/>
      <c r="VAS33" s="66"/>
      <c r="VAT33" s="66"/>
      <c r="VAU33" s="66"/>
      <c r="VAV33" s="66"/>
      <c r="VAW33" s="66"/>
      <c r="VAX33" s="66"/>
      <c r="VAY33" s="66"/>
      <c r="VAZ33" s="66"/>
      <c r="VBA33" s="66"/>
      <c r="VBB33" s="66"/>
      <c r="VBC33" s="66"/>
      <c r="VBD33" s="66"/>
      <c r="VBE33" s="66"/>
      <c r="VBF33" s="66"/>
      <c r="VBG33" s="66"/>
      <c r="VBH33" s="66"/>
      <c r="VBI33" s="66"/>
      <c r="VBJ33" s="66"/>
      <c r="VBK33" s="66"/>
      <c r="VBL33" s="66"/>
      <c r="VBM33" s="66"/>
      <c r="VBN33" s="66"/>
      <c r="VBO33" s="66"/>
      <c r="VBP33" s="66"/>
      <c r="VBQ33" s="66"/>
      <c r="VBR33" s="66"/>
      <c r="VBS33" s="66"/>
      <c r="VBT33" s="66"/>
      <c r="VBU33" s="66"/>
      <c r="VBV33" s="66"/>
      <c r="VBW33" s="66"/>
      <c r="VBX33" s="66"/>
      <c r="VBY33" s="66"/>
      <c r="VBZ33" s="66"/>
      <c r="VCA33" s="66"/>
      <c r="VCB33" s="66"/>
      <c r="VCC33" s="66"/>
      <c r="VCD33" s="66"/>
      <c r="VCE33" s="66"/>
      <c r="VCF33" s="66"/>
      <c r="VCG33" s="66"/>
      <c r="VCH33" s="66"/>
      <c r="VCI33" s="66"/>
      <c r="VCJ33" s="66"/>
      <c r="VCK33" s="66"/>
      <c r="VCL33" s="66"/>
      <c r="VCM33" s="66"/>
      <c r="VCN33" s="66"/>
      <c r="VCO33" s="66"/>
      <c r="VCP33" s="66"/>
      <c r="VCQ33" s="66"/>
      <c r="VCR33" s="66"/>
      <c r="VCS33" s="66"/>
      <c r="VCT33" s="66"/>
      <c r="VCU33" s="66"/>
      <c r="VCV33" s="66"/>
      <c r="VCW33" s="66"/>
      <c r="VCX33" s="66"/>
      <c r="VCY33" s="66"/>
      <c r="VCZ33" s="66"/>
      <c r="VDA33" s="66"/>
      <c r="VDB33" s="66"/>
      <c r="VDC33" s="66"/>
      <c r="VDD33" s="66"/>
      <c r="VDE33" s="66"/>
      <c r="VDF33" s="66"/>
      <c r="VDG33" s="66"/>
      <c r="VDH33" s="66"/>
      <c r="VDI33" s="66"/>
      <c r="VDJ33" s="66"/>
      <c r="VDK33" s="66"/>
      <c r="VDL33" s="66"/>
      <c r="VDM33" s="66"/>
      <c r="VDN33" s="66"/>
      <c r="VDO33" s="66"/>
      <c r="VDP33" s="66"/>
      <c r="VDQ33" s="66"/>
      <c r="VDR33" s="66"/>
      <c r="VDS33" s="66"/>
      <c r="VDT33" s="66"/>
      <c r="VDU33" s="66"/>
      <c r="VDV33" s="66"/>
      <c r="VDW33" s="66"/>
      <c r="VDX33" s="66"/>
      <c r="VDY33" s="66"/>
      <c r="VDZ33" s="66"/>
      <c r="VEA33" s="66"/>
      <c r="VEB33" s="66"/>
      <c r="VEC33" s="66"/>
      <c r="VED33" s="66"/>
      <c r="VEE33" s="66"/>
      <c r="VEF33" s="66"/>
      <c r="VEG33" s="66"/>
      <c r="VEH33" s="66"/>
      <c r="VEI33" s="66"/>
      <c r="VEJ33" s="66"/>
      <c r="VEK33" s="66"/>
      <c r="VEL33" s="66"/>
      <c r="VEM33" s="66"/>
      <c r="VEN33" s="66"/>
      <c r="VEO33" s="66"/>
      <c r="VEP33" s="66"/>
      <c r="VEQ33" s="66"/>
      <c r="VER33" s="66"/>
      <c r="VES33" s="66"/>
      <c r="VET33" s="66"/>
      <c r="VEU33" s="66"/>
      <c r="VEV33" s="66"/>
      <c r="VEW33" s="66"/>
      <c r="VEX33" s="66"/>
      <c r="VEY33" s="66"/>
      <c r="VEZ33" s="66"/>
      <c r="VFA33" s="66"/>
      <c r="VFB33" s="66"/>
      <c r="VFC33" s="66"/>
      <c r="VFD33" s="66"/>
      <c r="VFE33" s="66"/>
      <c r="VFF33" s="66"/>
      <c r="VFG33" s="66"/>
      <c r="VFH33" s="66"/>
      <c r="VFI33" s="66"/>
      <c r="VFJ33" s="66"/>
      <c r="VFK33" s="66"/>
      <c r="VFL33" s="66"/>
      <c r="VFM33" s="66"/>
      <c r="VFN33" s="66"/>
      <c r="VFO33" s="66"/>
      <c r="VFP33" s="66"/>
      <c r="VFQ33" s="66"/>
      <c r="VFR33" s="66"/>
      <c r="VFS33" s="66"/>
      <c r="VFT33" s="66"/>
      <c r="VFU33" s="66"/>
      <c r="VFV33" s="66"/>
      <c r="VFW33" s="66"/>
      <c r="VFX33" s="66"/>
      <c r="VFY33" s="66"/>
      <c r="VFZ33" s="66"/>
      <c r="VGA33" s="66"/>
      <c r="VGB33" s="66"/>
      <c r="VGC33" s="66"/>
      <c r="VGD33" s="66"/>
      <c r="VGE33" s="66"/>
      <c r="VGF33" s="66"/>
      <c r="VGG33" s="66"/>
      <c r="VGH33" s="66"/>
      <c r="VGI33" s="66"/>
      <c r="VGJ33" s="66"/>
      <c r="VGK33" s="66"/>
      <c r="VGL33" s="66"/>
      <c r="VGM33" s="66"/>
      <c r="VGN33" s="66"/>
    </row>
    <row r="34" spans="1:15068" s="3" customFormat="1" ht="13.8">
      <c r="B34" s="121"/>
      <c r="C34" s="122" t="s">
        <v>80</v>
      </c>
      <c r="D34" s="127">
        <f>SUM(D35:D36)</f>
        <v>1001606.94</v>
      </c>
      <c r="E34" s="25" t="s">
        <v>16</v>
      </c>
      <c r="F34" s="107">
        <f>F35+F36</f>
        <v>0</v>
      </c>
      <c r="G34" s="107">
        <f t="shared" ref="G34:O34" si="9">G35+G36</f>
        <v>0</v>
      </c>
      <c r="H34" s="107">
        <f t="shared" si="9"/>
        <v>0</v>
      </c>
      <c r="I34" s="107">
        <f t="shared" si="9"/>
        <v>0</v>
      </c>
      <c r="J34" s="107">
        <f t="shared" si="9"/>
        <v>0</v>
      </c>
      <c r="K34" s="107">
        <f t="shared" si="9"/>
        <v>0</v>
      </c>
      <c r="L34" s="107">
        <f t="shared" si="9"/>
        <v>0</v>
      </c>
      <c r="M34" s="107">
        <f t="shared" si="9"/>
        <v>0</v>
      </c>
      <c r="N34" s="107">
        <f t="shared" si="9"/>
        <v>0</v>
      </c>
      <c r="O34" s="107">
        <f t="shared" si="9"/>
        <v>0</v>
      </c>
      <c r="P34" s="107"/>
      <c r="Q34" s="307"/>
      <c r="R34" s="107">
        <f t="shared" ref="R34:X34" si="10">R35+R36</f>
        <v>0</v>
      </c>
      <c r="S34" s="107">
        <f t="shared" si="10"/>
        <v>0</v>
      </c>
      <c r="T34" s="107">
        <f t="shared" si="10"/>
        <v>0</v>
      </c>
      <c r="U34" s="107">
        <f t="shared" si="10"/>
        <v>0</v>
      </c>
      <c r="V34" s="107">
        <f t="shared" si="10"/>
        <v>0</v>
      </c>
      <c r="W34" s="107">
        <f t="shared" si="10"/>
        <v>35695</v>
      </c>
      <c r="X34" s="107">
        <f t="shared" si="10"/>
        <v>659853</v>
      </c>
      <c r="Y34" s="107">
        <f t="shared" ref="Y34:AJ34" si="11">SUM(Y35:Y36)</f>
        <v>0</v>
      </c>
      <c r="Z34" s="107">
        <f t="shared" si="11"/>
        <v>0</v>
      </c>
      <c r="AA34" s="107">
        <f t="shared" si="11"/>
        <v>0</v>
      </c>
      <c r="AB34" s="107">
        <f t="shared" si="11"/>
        <v>0</v>
      </c>
      <c r="AC34" s="107">
        <f t="shared" si="11"/>
        <v>382271</v>
      </c>
      <c r="AD34" s="107">
        <f t="shared" si="11"/>
        <v>288525</v>
      </c>
      <c r="AE34" s="107">
        <f t="shared" si="11"/>
        <v>0</v>
      </c>
      <c r="AF34" s="107">
        <f t="shared" si="11"/>
        <v>0</v>
      </c>
      <c r="AG34" s="107">
        <f t="shared" si="11"/>
        <v>0</v>
      </c>
      <c r="AH34" s="107">
        <f t="shared" si="11"/>
        <v>0</v>
      </c>
      <c r="AI34" s="107">
        <f t="shared" si="11"/>
        <v>249652</v>
      </c>
      <c r="AJ34" s="109">
        <f t="shared" si="11"/>
        <v>64920</v>
      </c>
      <c r="AL34" s="146">
        <f>SUM(F34:AJ34)</f>
        <v>1680916</v>
      </c>
      <c r="CY34" s="304"/>
    </row>
    <row r="35" spans="1:15068" s="3" customFormat="1" ht="13.8">
      <c r="B35" s="121"/>
      <c r="C35" s="122" t="s">
        <v>137</v>
      </c>
      <c r="D35" s="127">
        <v>701124.85800000001</v>
      </c>
      <c r="E35" s="25" t="s">
        <v>16</v>
      </c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>
        <v>26775</v>
      </c>
      <c r="X35" s="107">
        <v>495161</v>
      </c>
      <c r="Y35" s="107"/>
      <c r="Z35" s="107"/>
      <c r="AA35" s="107"/>
      <c r="AB35" s="107"/>
      <c r="AC35" s="107">
        <v>286761</v>
      </c>
      <c r="AD35" s="107">
        <v>216435</v>
      </c>
      <c r="AE35" s="107"/>
      <c r="AF35" s="107"/>
      <c r="AG35" s="108"/>
      <c r="AH35" s="108"/>
      <c r="AI35" s="108">
        <v>187302</v>
      </c>
      <c r="AJ35" s="109">
        <v>48700</v>
      </c>
      <c r="AL35" s="147">
        <f>SUM(F35:AJ35)</f>
        <v>1261134</v>
      </c>
      <c r="CY35" s="304"/>
    </row>
    <row r="36" spans="1:15068" s="3" customFormat="1" ht="13.8">
      <c r="B36" s="121"/>
      <c r="C36" s="104" t="s">
        <v>83</v>
      </c>
      <c r="D36" s="127">
        <v>300482.08199999999</v>
      </c>
      <c r="E36" s="25" t="s">
        <v>16</v>
      </c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>
        <v>8920</v>
      </c>
      <c r="X36" s="107">
        <f>170022-5330</f>
        <v>164692</v>
      </c>
      <c r="Y36" s="107"/>
      <c r="Z36" s="107"/>
      <c r="AA36" s="107"/>
      <c r="AB36" s="107"/>
      <c r="AC36" s="107">
        <v>95510</v>
      </c>
      <c r="AD36" s="107">
        <v>72090</v>
      </c>
      <c r="AE36" s="107"/>
      <c r="AF36" s="107"/>
      <c r="AG36" s="108"/>
      <c r="AH36" s="108"/>
      <c r="AI36" s="108">
        <v>62350</v>
      </c>
      <c r="AJ36" s="109">
        <v>16220</v>
      </c>
      <c r="AL36" s="146">
        <f>SUM(F36:AJ36)</f>
        <v>419782</v>
      </c>
      <c r="CY36" s="304"/>
    </row>
    <row r="37" spans="1:15068">
      <c r="B37" s="121"/>
      <c r="C37" s="123" t="s">
        <v>82</v>
      </c>
      <c r="D37" s="137"/>
      <c r="E37" s="125"/>
      <c r="F37" s="94"/>
      <c r="G37" s="94"/>
      <c r="H37" s="94"/>
      <c r="I37" s="138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139"/>
      <c r="AE37" s="139"/>
      <c r="AF37" s="139"/>
      <c r="AG37" s="141"/>
      <c r="AH37" s="141"/>
      <c r="AI37" s="141"/>
      <c r="AJ37" s="142"/>
      <c r="AL37" s="126" t="s">
        <v>69</v>
      </c>
    </row>
    <row r="38" spans="1:15068" s="350" customFormat="1">
      <c r="A38" s="66"/>
      <c r="B38" s="143"/>
      <c r="C38" s="78" t="s">
        <v>81</v>
      </c>
      <c r="D38" s="144"/>
      <c r="E38" s="145" t="s">
        <v>16</v>
      </c>
      <c r="F38" s="107">
        <f>F39/F45*100</f>
        <v>341667.09193723084</v>
      </c>
      <c r="G38" s="107">
        <f>G39/G45*100</f>
        <v>0</v>
      </c>
      <c r="H38" s="107">
        <f t="shared" ref="H38:I38" si="12">H39/H45*100</f>
        <v>0</v>
      </c>
      <c r="I38" s="107">
        <f t="shared" si="12"/>
        <v>349325.33412217378</v>
      </c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>
        <f>U39/U45*100</f>
        <v>537535.74509216181</v>
      </c>
      <c r="V38" s="107">
        <f t="shared" ref="V38:Y38" si="13">V39/V45*100</f>
        <v>0</v>
      </c>
      <c r="W38" s="107">
        <f t="shared" si="13"/>
        <v>0</v>
      </c>
      <c r="X38" s="107">
        <f t="shared" si="13"/>
        <v>13948.162722687877</v>
      </c>
      <c r="Y38" s="107">
        <f t="shared" si="13"/>
        <v>352261.40762612963</v>
      </c>
      <c r="Z38" s="107"/>
      <c r="AA38" s="107"/>
      <c r="AB38" s="107"/>
      <c r="AC38" s="107">
        <f>AC39/AC45*100</f>
        <v>478621.77846487146</v>
      </c>
      <c r="AD38" s="321"/>
      <c r="AE38" s="321"/>
      <c r="AF38" s="321"/>
      <c r="AG38" s="322"/>
      <c r="AH38" s="322"/>
      <c r="AI38" s="322">
        <f>AI39/AI45*100</f>
        <v>352310.42407060479</v>
      </c>
      <c r="AJ38" s="323"/>
      <c r="AK38" s="66"/>
      <c r="AL38" s="146">
        <f>SUM(F38:AJ38)</f>
        <v>2425669.9440358602</v>
      </c>
      <c r="AM38" s="306"/>
      <c r="AN38" s="30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309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6"/>
      <c r="CF38" s="66"/>
      <c r="CG38" s="66"/>
      <c r="CH38" s="66"/>
      <c r="CI38" s="66"/>
      <c r="CJ38" s="66"/>
      <c r="CK38" s="66"/>
      <c r="CL38" s="66"/>
      <c r="CM38" s="66"/>
      <c r="CN38" s="66"/>
      <c r="CO38" s="66"/>
      <c r="CP38" s="66"/>
      <c r="CQ38" s="66"/>
      <c r="CR38" s="66"/>
      <c r="CS38" s="66"/>
      <c r="CT38" s="66"/>
      <c r="CU38" s="66"/>
      <c r="CV38" s="66"/>
      <c r="CW38" s="66"/>
      <c r="CX38" s="66"/>
      <c r="CY38" s="306"/>
      <c r="CZ38" s="66"/>
      <c r="DA38" s="66"/>
      <c r="DB38" s="66"/>
      <c r="DC38" s="66"/>
      <c r="DD38" s="66"/>
      <c r="DE38" s="66"/>
      <c r="DF38" s="66"/>
      <c r="DG38" s="66"/>
      <c r="DH38" s="66"/>
      <c r="DI38" s="66"/>
      <c r="DJ38" s="66"/>
      <c r="DK38" s="66"/>
      <c r="DL38" s="66"/>
      <c r="DM38" s="66"/>
      <c r="DN38" s="66"/>
      <c r="DO38" s="66"/>
      <c r="DP38" s="66"/>
      <c r="DQ38" s="66"/>
      <c r="DR38" s="66"/>
      <c r="DS38" s="66"/>
      <c r="DT38" s="66"/>
      <c r="DU38" s="66"/>
      <c r="DV38" s="66"/>
      <c r="DW38" s="66"/>
      <c r="DX38" s="66"/>
      <c r="DY38" s="66"/>
      <c r="DZ38" s="66"/>
      <c r="EA38" s="66"/>
      <c r="EB38" s="66"/>
      <c r="EC38" s="66"/>
      <c r="ED38" s="66"/>
      <c r="EE38" s="66"/>
      <c r="EF38" s="66"/>
      <c r="EG38" s="66"/>
      <c r="EH38" s="66"/>
      <c r="EI38" s="66"/>
      <c r="EJ38" s="66"/>
      <c r="EK38" s="66"/>
      <c r="EL38" s="66"/>
      <c r="EM38" s="66"/>
      <c r="EN38" s="66"/>
      <c r="EO38" s="66"/>
      <c r="EP38" s="66"/>
      <c r="EQ38" s="66"/>
      <c r="ER38" s="66"/>
      <c r="ES38" s="66"/>
      <c r="ET38" s="66"/>
      <c r="EU38" s="66"/>
      <c r="EV38" s="66"/>
      <c r="EW38" s="66"/>
      <c r="EX38" s="66"/>
      <c r="EY38" s="66"/>
      <c r="EZ38" s="66"/>
      <c r="FA38" s="66"/>
      <c r="FB38" s="66"/>
      <c r="FC38" s="66"/>
      <c r="FD38" s="66"/>
      <c r="FE38" s="66"/>
      <c r="FF38" s="66"/>
      <c r="FG38" s="66"/>
      <c r="FH38" s="66"/>
      <c r="FI38" s="66"/>
      <c r="FJ38" s="66"/>
      <c r="FK38" s="66"/>
      <c r="FL38" s="66"/>
      <c r="FM38" s="66"/>
      <c r="FN38" s="66"/>
      <c r="FO38" s="66"/>
      <c r="FP38" s="66"/>
      <c r="FQ38" s="66"/>
      <c r="FR38" s="66"/>
      <c r="FS38" s="66"/>
      <c r="FT38" s="66"/>
      <c r="FU38" s="66"/>
      <c r="FV38" s="66"/>
      <c r="FW38" s="66"/>
      <c r="FX38" s="66"/>
      <c r="FY38" s="66"/>
      <c r="FZ38" s="66"/>
      <c r="GA38" s="66"/>
      <c r="GB38" s="66"/>
      <c r="GC38" s="66"/>
      <c r="GD38" s="66"/>
      <c r="GE38" s="66"/>
      <c r="GF38" s="66"/>
      <c r="GG38" s="66"/>
      <c r="GH38" s="66"/>
      <c r="GI38" s="66"/>
      <c r="GJ38" s="66"/>
      <c r="GK38" s="66"/>
      <c r="GL38" s="66"/>
      <c r="GM38" s="66"/>
      <c r="GN38" s="66"/>
      <c r="GO38" s="66"/>
      <c r="GP38" s="66"/>
      <c r="GQ38" s="66"/>
      <c r="GR38" s="66"/>
      <c r="GS38" s="66"/>
      <c r="GT38" s="66"/>
      <c r="GU38" s="66"/>
      <c r="GV38" s="66"/>
      <c r="GW38" s="66"/>
      <c r="GX38" s="66"/>
      <c r="GY38" s="66"/>
      <c r="GZ38" s="66"/>
      <c r="HA38" s="66"/>
      <c r="HB38" s="66"/>
      <c r="HC38" s="66"/>
      <c r="HD38" s="66"/>
      <c r="HE38" s="66"/>
      <c r="HF38" s="66"/>
      <c r="HG38" s="66"/>
      <c r="HH38" s="66"/>
      <c r="HI38" s="66"/>
      <c r="HJ38" s="66"/>
      <c r="HK38" s="66"/>
      <c r="HL38" s="66"/>
      <c r="HM38" s="66"/>
      <c r="HN38" s="66"/>
      <c r="HO38" s="66"/>
      <c r="HP38" s="66"/>
      <c r="HQ38" s="66"/>
      <c r="HR38" s="66"/>
      <c r="HS38" s="66"/>
      <c r="HT38" s="66"/>
      <c r="HU38" s="66"/>
      <c r="HV38" s="66"/>
      <c r="HW38" s="66"/>
      <c r="HX38" s="66"/>
      <c r="HY38" s="66"/>
      <c r="HZ38" s="66"/>
      <c r="IA38" s="66"/>
      <c r="IB38" s="66"/>
      <c r="IC38" s="66"/>
      <c r="ID38" s="66"/>
      <c r="IE38" s="66"/>
      <c r="IF38" s="66"/>
      <c r="IG38" s="66"/>
      <c r="IH38" s="66"/>
      <c r="II38" s="66"/>
      <c r="IJ38" s="66"/>
      <c r="IK38" s="66"/>
      <c r="IL38" s="66"/>
      <c r="IM38" s="66"/>
      <c r="IN38" s="66"/>
      <c r="IO38" s="66"/>
      <c r="IP38" s="66"/>
      <c r="IQ38" s="66"/>
      <c r="IR38" s="66"/>
      <c r="IS38" s="66"/>
      <c r="IT38" s="66"/>
      <c r="IU38" s="66"/>
      <c r="IV38" s="66"/>
      <c r="IW38" s="66"/>
      <c r="IX38" s="66"/>
      <c r="IY38" s="66"/>
      <c r="IZ38" s="66"/>
      <c r="JA38" s="66"/>
      <c r="JB38" s="66"/>
      <c r="JC38" s="66"/>
      <c r="JD38" s="66"/>
      <c r="JE38" s="66"/>
      <c r="JF38" s="66"/>
      <c r="JG38" s="66"/>
      <c r="JH38" s="66"/>
      <c r="JI38" s="66"/>
      <c r="JJ38" s="66"/>
      <c r="JK38" s="66"/>
      <c r="JL38" s="66"/>
      <c r="JM38" s="66"/>
      <c r="JN38" s="66"/>
      <c r="JO38" s="66"/>
      <c r="JP38" s="66"/>
      <c r="JQ38" s="66"/>
      <c r="JR38" s="66"/>
      <c r="JS38" s="66"/>
      <c r="JT38" s="66"/>
      <c r="JU38" s="66"/>
      <c r="JV38" s="66"/>
      <c r="JW38" s="66"/>
      <c r="JX38" s="66"/>
      <c r="JY38" s="66"/>
      <c r="JZ38" s="66"/>
      <c r="KA38" s="66"/>
      <c r="KB38" s="66"/>
      <c r="KC38" s="66"/>
      <c r="KD38" s="66"/>
      <c r="KE38" s="66"/>
      <c r="KF38" s="66"/>
      <c r="KG38" s="66"/>
      <c r="KH38" s="66"/>
      <c r="KI38" s="66"/>
      <c r="KJ38" s="66"/>
      <c r="KK38" s="66"/>
      <c r="KL38" s="66"/>
      <c r="KM38" s="66"/>
      <c r="KN38" s="66"/>
      <c r="KO38" s="66"/>
      <c r="KP38" s="66"/>
      <c r="KQ38" s="66"/>
      <c r="KR38" s="66"/>
      <c r="KS38" s="66"/>
      <c r="KT38" s="66"/>
      <c r="KU38" s="66"/>
      <c r="KV38" s="66"/>
      <c r="KW38" s="66"/>
      <c r="KX38" s="66"/>
      <c r="KY38" s="66"/>
      <c r="KZ38" s="66"/>
      <c r="LA38" s="66"/>
      <c r="LB38" s="66"/>
      <c r="LC38" s="66"/>
      <c r="LD38" s="66"/>
      <c r="LE38" s="66"/>
      <c r="LF38" s="66"/>
      <c r="LG38" s="66"/>
      <c r="LH38" s="66"/>
      <c r="LI38" s="66"/>
      <c r="LJ38" s="66"/>
      <c r="LK38" s="66"/>
      <c r="LL38" s="66"/>
      <c r="LM38" s="66"/>
      <c r="LN38" s="66"/>
      <c r="LO38" s="66"/>
      <c r="LP38" s="66"/>
      <c r="LQ38" s="66"/>
      <c r="LR38" s="66"/>
      <c r="LS38" s="66"/>
      <c r="LT38" s="66"/>
      <c r="LU38" s="66"/>
      <c r="LV38" s="66"/>
      <c r="LW38" s="66"/>
      <c r="LX38" s="66"/>
      <c r="LY38" s="66"/>
      <c r="LZ38" s="66"/>
      <c r="MA38" s="66"/>
      <c r="MB38" s="66"/>
      <c r="MC38" s="66"/>
      <c r="MD38" s="66"/>
      <c r="ME38" s="66"/>
      <c r="MF38" s="66"/>
      <c r="MG38" s="66"/>
      <c r="MH38" s="66"/>
      <c r="MI38" s="66"/>
      <c r="MJ38" s="66"/>
      <c r="MK38" s="66"/>
      <c r="ML38" s="66"/>
      <c r="MM38" s="66"/>
      <c r="MN38" s="66"/>
      <c r="MO38" s="66"/>
      <c r="MP38" s="66"/>
      <c r="MQ38" s="66"/>
      <c r="MR38" s="66"/>
      <c r="MS38" s="66"/>
      <c r="MT38" s="66"/>
      <c r="MU38" s="66"/>
      <c r="MV38" s="66"/>
      <c r="MW38" s="66"/>
      <c r="MX38" s="66"/>
      <c r="MY38" s="66"/>
      <c r="MZ38" s="66"/>
      <c r="NA38" s="66"/>
      <c r="NB38" s="66"/>
      <c r="NC38" s="66"/>
      <c r="ND38" s="66"/>
      <c r="NE38" s="66"/>
      <c r="NF38" s="66"/>
      <c r="NG38" s="66"/>
      <c r="NH38" s="66"/>
      <c r="NI38" s="66"/>
      <c r="NJ38" s="66"/>
      <c r="NK38" s="66"/>
      <c r="NL38" s="66"/>
      <c r="NM38" s="66"/>
      <c r="NN38" s="66"/>
      <c r="NO38" s="66"/>
      <c r="NP38" s="66"/>
      <c r="NQ38" s="66"/>
      <c r="NR38" s="66"/>
      <c r="NS38" s="66"/>
      <c r="NT38" s="66"/>
      <c r="NU38" s="66"/>
      <c r="NV38" s="66"/>
      <c r="NW38" s="66"/>
      <c r="NX38" s="66"/>
      <c r="NY38" s="66"/>
      <c r="NZ38" s="66"/>
      <c r="OA38" s="66"/>
      <c r="OB38" s="66"/>
      <c r="OC38" s="66"/>
      <c r="OD38" s="66"/>
      <c r="OE38" s="66"/>
      <c r="OF38" s="66"/>
      <c r="OG38" s="66"/>
      <c r="OH38" s="66"/>
      <c r="OI38" s="66"/>
      <c r="OJ38" s="66"/>
      <c r="OK38" s="66"/>
      <c r="OL38" s="66"/>
      <c r="OM38" s="66"/>
      <c r="ON38" s="66"/>
      <c r="OO38" s="66"/>
      <c r="OP38" s="66"/>
      <c r="OQ38" s="66"/>
      <c r="OR38" s="66"/>
      <c r="OS38" s="66"/>
      <c r="OT38" s="66"/>
      <c r="OU38" s="66"/>
      <c r="OV38" s="66"/>
      <c r="OW38" s="66"/>
      <c r="OX38" s="66"/>
      <c r="OY38" s="66"/>
      <c r="OZ38" s="66"/>
      <c r="PA38" s="66"/>
      <c r="PB38" s="66"/>
      <c r="PC38" s="66"/>
      <c r="PD38" s="66"/>
      <c r="PE38" s="66"/>
      <c r="PF38" s="66"/>
      <c r="PG38" s="66"/>
      <c r="PH38" s="66"/>
      <c r="PI38" s="66"/>
      <c r="PJ38" s="66"/>
      <c r="PK38" s="66"/>
      <c r="PL38" s="66"/>
      <c r="PM38" s="66"/>
      <c r="PN38" s="66"/>
      <c r="PO38" s="66"/>
      <c r="PP38" s="66"/>
      <c r="PQ38" s="66"/>
      <c r="PR38" s="66"/>
      <c r="PS38" s="66"/>
      <c r="PT38" s="66"/>
      <c r="PU38" s="66"/>
      <c r="PV38" s="66"/>
      <c r="PW38" s="66"/>
      <c r="PX38" s="66"/>
      <c r="PY38" s="66"/>
      <c r="PZ38" s="66"/>
      <c r="QA38" s="66"/>
      <c r="QB38" s="66"/>
      <c r="QC38" s="66"/>
      <c r="QD38" s="66"/>
      <c r="QE38" s="66"/>
      <c r="QF38" s="66"/>
      <c r="QG38" s="66"/>
      <c r="QH38" s="66"/>
      <c r="QI38" s="66"/>
      <c r="QJ38" s="66"/>
      <c r="QK38" s="66"/>
      <c r="QL38" s="66"/>
      <c r="QM38" s="66"/>
      <c r="QN38" s="66"/>
      <c r="QO38" s="66"/>
      <c r="QP38" s="66"/>
      <c r="QQ38" s="66"/>
      <c r="QR38" s="66"/>
      <c r="QS38" s="66"/>
      <c r="QT38" s="66"/>
      <c r="QU38" s="66"/>
      <c r="QV38" s="66"/>
      <c r="QW38" s="66"/>
      <c r="QX38" s="66"/>
      <c r="QY38" s="66"/>
      <c r="QZ38" s="66"/>
      <c r="RA38" s="66"/>
      <c r="RB38" s="66"/>
      <c r="RC38" s="66"/>
      <c r="RD38" s="66"/>
      <c r="RE38" s="66"/>
      <c r="RF38" s="66"/>
      <c r="RG38" s="66"/>
      <c r="RH38" s="66"/>
      <c r="RI38" s="66"/>
      <c r="RJ38" s="66"/>
      <c r="RK38" s="66"/>
      <c r="RL38" s="66"/>
      <c r="RM38" s="66"/>
      <c r="RN38" s="66"/>
      <c r="RO38" s="66"/>
      <c r="RP38" s="66"/>
      <c r="RQ38" s="66"/>
      <c r="RR38" s="66"/>
      <c r="RS38" s="66"/>
      <c r="RT38" s="66"/>
      <c r="RU38" s="66"/>
      <c r="RV38" s="66"/>
      <c r="RW38" s="66"/>
      <c r="RX38" s="66"/>
      <c r="RY38" s="66"/>
      <c r="RZ38" s="66"/>
      <c r="SA38" s="66"/>
      <c r="SB38" s="66"/>
      <c r="SC38" s="66"/>
      <c r="SD38" s="66"/>
      <c r="SE38" s="66"/>
      <c r="SF38" s="66"/>
      <c r="SG38" s="66"/>
      <c r="SH38" s="66"/>
      <c r="SI38" s="66"/>
      <c r="SJ38" s="66"/>
      <c r="SK38" s="66"/>
      <c r="SL38" s="66"/>
      <c r="SM38" s="66"/>
      <c r="SN38" s="66"/>
      <c r="SO38" s="66"/>
      <c r="SP38" s="66"/>
      <c r="SQ38" s="66"/>
      <c r="SR38" s="66"/>
      <c r="SS38" s="66"/>
      <c r="ST38" s="66"/>
      <c r="SU38" s="66"/>
      <c r="SV38" s="66"/>
      <c r="SW38" s="66"/>
      <c r="SX38" s="66"/>
      <c r="SY38" s="66"/>
      <c r="SZ38" s="66"/>
      <c r="TA38" s="66"/>
      <c r="TB38" s="66"/>
      <c r="TC38" s="66"/>
      <c r="TD38" s="66"/>
      <c r="TE38" s="66"/>
      <c r="TF38" s="66"/>
      <c r="TG38" s="66"/>
      <c r="TH38" s="66"/>
      <c r="TI38" s="66"/>
      <c r="TJ38" s="66"/>
      <c r="TK38" s="66"/>
      <c r="TL38" s="66"/>
      <c r="TM38" s="66"/>
      <c r="TN38" s="66"/>
      <c r="TO38" s="66"/>
      <c r="TP38" s="66"/>
      <c r="TQ38" s="66"/>
      <c r="TR38" s="66"/>
      <c r="TS38" s="66"/>
      <c r="TT38" s="66"/>
      <c r="TU38" s="66"/>
      <c r="TV38" s="66"/>
      <c r="TW38" s="66"/>
      <c r="TX38" s="66"/>
      <c r="TY38" s="66"/>
      <c r="TZ38" s="66"/>
      <c r="UA38" s="66"/>
      <c r="UB38" s="66"/>
      <c r="UC38" s="66"/>
      <c r="UD38" s="66"/>
      <c r="UE38" s="66"/>
      <c r="UF38" s="66"/>
      <c r="UG38" s="66"/>
      <c r="UH38" s="66"/>
      <c r="UI38" s="66"/>
      <c r="UJ38" s="66"/>
      <c r="UK38" s="66"/>
      <c r="UL38" s="66"/>
      <c r="UM38" s="66"/>
      <c r="UN38" s="66"/>
      <c r="UO38" s="66"/>
      <c r="UP38" s="66"/>
      <c r="UQ38" s="66"/>
      <c r="UR38" s="66"/>
      <c r="US38" s="66"/>
      <c r="UT38" s="66"/>
      <c r="UU38" s="66"/>
      <c r="UV38" s="66"/>
      <c r="UW38" s="66"/>
      <c r="UX38" s="66"/>
      <c r="UY38" s="66"/>
      <c r="UZ38" s="66"/>
      <c r="VA38" s="66"/>
      <c r="VB38" s="66"/>
      <c r="VC38" s="66"/>
      <c r="VD38" s="66"/>
      <c r="VE38" s="66"/>
      <c r="VF38" s="66"/>
      <c r="VG38" s="66"/>
      <c r="VH38" s="66"/>
      <c r="VI38" s="66"/>
      <c r="VJ38" s="66"/>
      <c r="VK38" s="66"/>
      <c r="VL38" s="66"/>
      <c r="VM38" s="66"/>
      <c r="VN38" s="66"/>
      <c r="VO38" s="66"/>
      <c r="VP38" s="66"/>
      <c r="VQ38" s="66"/>
      <c r="VR38" s="66"/>
      <c r="VS38" s="66"/>
      <c r="VT38" s="66"/>
      <c r="VU38" s="66"/>
      <c r="VV38" s="66"/>
      <c r="VW38" s="66"/>
      <c r="VX38" s="66"/>
      <c r="VY38" s="66"/>
      <c r="VZ38" s="66"/>
      <c r="WA38" s="66"/>
      <c r="WB38" s="66"/>
      <c r="WC38" s="66"/>
      <c r="WD38" s="66"/>
      <c r="WE38" s="66"/>
      <c r="WF38" s="66"/>
      <c r="WG38" s="66"/>
      <c r="WH38" s="66"/>
      <c r="WI38" s="66"/>
      <c r="WJ38" s="66"/>
      <c r="WK38" s="66"/>
      <c r="WL38" s="66"/>
      <c r="WM38" s="66"/>
      <c r="WN38" s="66"/>
      <c r="WO38" s="66"/>
      <c r="WP38" s="66"/>
      <c r="WQ38" s="66"/>
      <c r="WR38" s="66"/>
      <c r="WS38" s="66"/>
      <c r="WT38" s="66"/>
      <c r="WU38" s="66"/>
      <c r="WV38" s="66"/>
      <c r="WW38" s="66"/>
      <c r="WX38" s="66"/>
      <c r="WY38" s="66"/>
      <c r="WZ38" s="66"/>
      <c r="XA38" s="66"/>
      <c r="XB38" s="66"/>
      <c r="XC38" s="66"/>
      <c r="XD38" s="66"/>
      <c r="XE38" s="66"/>
      <c r="XF38" s="66"/>
      <c r="XG38" s="66"/>
      <c r="XH38" s="66"/>
      <c r="XI38" s="66"/>
      <c r="XJ38" s="66"/>
      <c r="XK38" s="66"/>
      <c r="XL38" s="66"/>
      <c r="XM38" s="66"/>
      <c r="XN38" s="66"/>
      <c r="XO38" s="66"/>
      <c r="XP38" s="66"/>
      <c r="XQ38" s="66"/>
      <c r="XR38" s="66"/>
      <c r="XS38" s="66"/>
      <c r="XT38" s="66"/>
      <c r="XU38" s="66"/>
      <c r="XV38" s="66"/>
      <c r="XW38" s="66"/>
      <c r="XX38" s="66"/>
      <c r="XY38" s="66"/>
      <c r="XZ38" s="66"/>
      <c r="YA38" s="66"/>
      <c r="YB38" s="66"/>
      <c r="YC38" s="66"/>
      <c r="YD38" s="66"/>
      <c r="YE38" s="66"/>
      <c r="YF38" s="66"/>
      <c r="YG38" s="66"/>
      <c r="YH38" s="66"/>
      <c r="YI38" s="66"/>
      <c r="YJ38" s="66"/>
      <c r="YK38" s="66"/>
      <c r="YL38" s="66"/>
      <c r="YM38" s="66"/>
      <c r="YN38" s="66"/>
      <c r="YO38" s="66"/>
      <c r="YP38" s="66"/>
      <c r="YQ38" s="66"/>
      <c r="YR38" s="66"/>
      <c r="YS38" s="66"/>
      <c r="YT38" s="66"/>
      <c r="YU38" s="66"/>
      <c r="YV38" s="66"/>
      <c r="YW38" s="66"/>
      <c r="YX38" s="66"/>
      <c r="YY38" s="66"/>
      <c r="YZ38" s="66"/>
      <c r="ZA38" s="66"/>
      <c r="ZB38" s="66"/>
      <c r="ZC38" s="66"/>
      <c r="ZD38" s="66"/>
      <c r="ZE38" s="66"/>
      <c r="ZF38" s="66"/>
      <c r="ZG38" s="66"/>
      <c r="ZH38" s="66"/>
      <c r="ZI38" s="66"/>
      <c r="ZJ38" s="66"/>
      <c r="ZK38" s="66"/>
      <c r="ZL38" s="66"/>
      <c r="ZM38" s="66"/>
      <c r="ZN38" s="66"/>
      <c r="ZO38" s="66"/>
      <c r="ZP38" s="66"/>
      <c r="ZQ38" s="66"/>
      <c r="ZR38" s="66"/>
      <c r="ZS38" s="66"/>
      <c r="ZT38" s="66"/>
      <c r="ZU38" s="66"/>
      <c r="ZV38" s="66"/>
      <c r="ZW38" s="66"/>
      <c r="ZX38" s="66"/>
      <c r="ZY38" s="66"/>
      <c r="ZZ38" s="66"/>
      <c r="AAA38" s="66"/>
      <c r="AAB38" s="66"/>
      <c r="AAC38" s="66"/>
      <c r="AAD38" s="66"/>
      <c r="AAE38" s="66"/>
      <c r="AAF38" s="66"/>
      <c r="AAG38" s="66"/>
      <c r="AAH38" s="66"/>
      <c r="AAI38" s="66"/>
      <c r="AAJ38" s="66"/>
      <c r="AAK38" s="66"/>
      <c r="AAL38" s="66"/>
      <c r="AAM38" s="66"/>
      <c r="AAN38" s="66"/>
      <c r="AAO38" s="66"/>
      <c r="AAP38" s="66"/>
      <c r="AAQ38" s="66"/>
      <c r="AAR38" s="66"/>
      <c r="AAS38" s="66"/>
      <c r="AAT38" s="66"/>
      <c r="AAU38" s="66"/>
      <c r="AAV38" s="66"/>
      <c r="AAW38" s="66"/>
      <c r="AAX38" s="66"/>
      <c r="AAY38" s="66"/>
      <c r="AAZ38" s="66"/>
      <c r="ABA38" s="66"/>
      <c r="ABB38" s="66"/>
      <c r="ABC38" s="66"/>
      <c r="ABD38" s="66"/>
      <c r="ABE38" s="66"/>
      <c r="ABF38" s="66"/>
      <c r="ABG38" s="66"/>
      <c r="ABH38" s="66"/>
      <c r="ABI38" s="66"/>
      <c r="ABJ38" s="66"/>
      <c r="ABK38" s="66"/>
      <c r="ABL38" s="66"/>
      <c r="ABM38" s="66"/>
      <c r="ABN38" s="66"/>
      <c r="ABO38" s="66"/>
      <c r="ABP38" s="66"/>
      <c r="ABQ38" s="66"/>
      <c r="ABR38" s="66"/>
      <c r="ABS38" s="66"/>
      <c r="ABT38" s="66"/>
      <c r="ABU38" s="66"/>
      <c r="ABV38" s="66"/>
      <c r="ABW38" s="66"/>
      <c r="ABX38" s="66"/>
      <c r="ABY38" s="66"/>
      <c r="ABZ38" s="66"/>
      <c r="ACA38" s="66"/>
      <c r="ACB38" s="66"/>
      <c r="ACC38" s="66"/>
      <c r="ACD38" s="66"/>
      <c r="ACE38" s="66"/>
      <c r="ACF38" s="66"/>
      <c r="ACG38" s="66"/>
      <c r="ACH38" s="66"/>
      <c r="ACI38" s="66"/>
      <c r="ACJ38" s="66"/>
      <c r="ACK38" s="66"/>
      <c r="ACL38" s="66"/>
      <c r="ACM38" s="66"/>
      <c r="ACN38" s="66"/>
      <c r="ACO38" s="66"/>
      <c r="ACP38" s="66"/>
      <c r="ACQ38" s="66"/>
      <c r="ACR38" s="66"/>
      <c r="ACS38" s="66"/>
      <c r="ACT38" s="66"/>
      <c r="ACU38" s="66"/>
      <c r="ACV38" s="66"/>
      <c r="ACW38" s="66"/>
      <c r="ACX38" s="66"/>
      <c r="ACY38" s="66"/>
      <c r="ACZ38" s="66"/>
      <c r="ADA38" s="66"/>
      <c r="ADB38" s="66"/>
      <c r="ADC38" s="66"/>
      <c r="ADD38" s="66"/>
      <c r="ADE38" s="66"/>
      <c r="ADF38" s="66"/>
      <c r="ADG38" s="66"/>
      <c r="ADH38" s="66"/>
      <c r="ADI38" s="66"/>
      <c r="ADJ38" s="66"/>
      <c r="ADK38" s="66"/>
      <c r="ADL38" s="66"/>
      <c r="ADM38" s="66"/>
      <c r="ADN38" s="66"/>
      <c r="ADO38" s="66"/>
      <c r="ADP38" s="66"/>
      <c r="ADQ38" s="66"/>
      <c r="ADR38" s="66"/>
      <c r="ADS38" s="66"/>
      <c r="ADT38" s="66"/>
      <c r="ADU38" s="66"/>
      <c r="ADV38" s="66"/>
      <c r="ADW38" s="66"/>
      <c r="ADX38" s="66"/>
      <c r="ADY38" s="66"/>
      <c r="ADZ38" s="66"/>
      <c r="AEA38" s="66"/>
      <c r="AEB38" s="66"/>
      <c r="AEC38" s="66"/>
      <c r="AED38" s="66"/>
      <c r="AEE38" s="66"/>
      <c r="AEF38" s="66"/>
      <c r="AEG38" s="66"/>
      <c r="AEH38" s="66"/>
      <c r="AEI38" s="66"/>
      <c r="AEJ38" s="66"/>
      <c r="AEK38" s="66"/>
      <c r="AEL38" s="66"/>
      <c r="AEM38" s="66"/>
      <c r="AEN38" s="66"/>
      <c r="AEO38" s="66"/>
      <c r="AEP38" s="66"/>
      <c r="AEQ38" s="66"/>
      <c r="AER38" s="66"/>
      <c r="AES38" s="66"/>
      <c r="AET38" s="66"/>
      <c r="AEU38" s="66"/>
      <c r="AEV38" s="66"/>
      <c r="AEW38" s="66"/>
      <c r="AEX38" s="66"/>
      <c r="AEY38" s="66"/>
      <c r="AEZ38" s="66"/>
      <c r="AFA38" s="66"/>
      <c r="AFB38" s="66"/>
      <c r="AFC38" s="66"/>
      <c r="AFD38" s="66"/>
      <c r="AFE38" s="66"/>
      <c r="AFF38" s="66"/>
      <c r="AFG38" s="66"/>
      <c r="AFH38" s="66"/>
      <c r="AFI38" s="66"/>
      <c r="AFJ38" s="66"/>
      <c r="AFK38" s="66"/>
      <c r="AFL38" s="66"/>
      <c r="AFM38" s="66"/>
      <c r="AFN38" s="66"/>
      <c r="AFO38" s="66"/>
      <c r="AFP38" s="66"/>
      <c r="AFQ38" s="66"/>
      <c r="AFR38" s="66"/>
      <c r="AFS38" s="66"/>
      <c r="AFT38" s="66"/>
      <c r="AFU38" s="66"/>
      <c r="AFV38" s="66"/>
      <c r="AFW38" s="66"/>
      <c r="AFX38" s="66"/>
      <c r="AFY38" s="66"/>
      <c r="AFZ38" s="66"/>
      <c r="AGA38" s="66"/>
      <c r="AGB38" s="66"/>
      <c r="AGC38" s="66"/>
      <c r="AGD38" s="66"/>
      <c r="AGE38" s="66"/>
      <c r="AGF38" s="66"/>
      <c r="AGG38" s="66"/>
      <c r="AGH38" s="66"/>
      <c r="AGI38" s="66"/>
      <c r="AGJ38" s="66"/>
      <c r="AGK38" s="66"/>
      <c r="AGL38" s="66"/>
      <c r="AGM38" s="66"/>
      <c r="AGN38" s="66"/>
      <c r="AGO38" s="66"/>
      <c r="AGP38" s="66"/>
      <c r="AGQ38" s="66"/>
      <c r="AGR38" s="66"/>
      <c r="AGS38" s="66"/>
      <c r="AGT38" s="66"/>
      <c r="AGU38" s="66"/>
      <c r="AGV38" s="66"/>
      <c r="AGW38" s="66"/>
      <c r="AGX38" s="66"/>
      <c r="AGY38" s="66"/>
      <c r="AGZ38" s="66"/>
      <c r="AHA38" s="66"/>
      <c r="AHB38" s="66"/>
      <c r="AHC38" s="66"/>
      <c r="AHD38" s="66"/>
      <c r="AHE38" s="66"/>
      <c r="AHF38" s="66"/>
      <c r="AHG38" s="66"/>
      <c r="AHH38" s="66"/>
      <c r="AHI38" s="66"/>
      <c r="AHJ38" s="66"/>
      <c r="AHK38" s="66"/>
      <c r="AHL38" s="66"/>
      <c r="AHM38" s="66"/>
      <c r="AHN38" s="66"/>
      <c r="AHO38" s="66"/>
      <c r="AHP38" s="66"/>
      <c r="AHQ38" s="66"/>
      <c r="AHR38" s="66"/>
      <c r="AHS38" s="66"/>
      <c r="AHT38" s="66"/>
      <c r="AHU38" s="66"/>
      <c r="AHV38" s="66"/>
      <c r="AHW38" s="66"/>
      <c r="AHX38" s="66"/>
      <c r="AHY38" s="66"/>
      <c r="AHZ38" s="66"/>
      <c r="AIA38" s="66"/>
      <c r="AIB38" s="66"/>
      <c r="AIC38" s="66"/>
      <c r="AID38" s="66"/>
      <c r="AIE38" s="66"/>
      <c r="AIF38" s="66"/>
      <c r="AIG38" s="66"/>
      <c r="AIH38" s="66"/>
      <c r="AII38" s="66"/>
      <c r="AIJ38" s="66"/>
      <c r="AIK38" s="66"/>
      <c r="AIL38" s="66"/>
      <c r="AIM38" s="66"/>
      <c r="AIN38" s="66"/>
      <c r="AIO38" s="66"/>
      <c r="AIP38" s="66"/>
      <c r="AIQ38" s="66"/>
      <c r="AIR38" s="66"/>
      <c r="AIS38" s="66"/>
      <c r="AIT38" s="66"/>
      <c r="AIU38" s="66"/>
      <c r="AIV38" s="66"/>
      <c r="AIW38" s="66"/>
      <c r="AIX38" s="66"/>
      <c r="AIY38" s="66"/>
      <c r="AIZ38" s="66"/>
      <c r="AJA38" s="66"/>
      <c r="AJB38" s="66"/>
      <c r="AJC38" s="66"/>
      <c r="AJD38" s="66"/>
      <c r="AJE38" s="66"/>
      <c r="AJF38" s="66"/>
      <c r="AJG38" s="66"/>
      <c r="AJH38" s="66"/>
      <c r="AJI38" s="66"/>
      <c r="AJJ38" s="66"/>
      <c r="AJK38" s="66"/>
      <c r="AJL38" s="66"/>
      <c r="AJM38" s="66"/>
      <c r="AJN38" s="66"/>
      <c r="AJO38" s="66"/>
      <c r="AJP38" s="66"/>
      <c r="AJQ38" s="66"/>
      <c r="AJR38" s="66"/>
      <c r="AJS38" s="66"/>
      <c r="AJT38" s="66"/>
      <c r="AJU38" s="66"/>
      <c r="AJV38" s="66"/>
      <c r="AJW38" s="66"/>
      <c r="AJX38" s="66"/>
      <c r="AJY38" s="66"/>
      <c r="AJZ38" s="66"/>
      <c r="AKA38" s="66"/>
      <c r="AKB38" s="66"/>
      <c r="AKC38" s="66"/>
      <c r="AKD38" s="66"/>
      <c r="AKE38" s="66"/>
      <c r="AKF38" s="66"/>
      <c r="AKG38" s="66"/>
      <c r="AKH38" s="66"/>
      <c r="AKI38" s="66"/>
      <c r="AKJ38" s="66"/>
      <c r="AKK38" s="66"/>
      <c r="AKL38" s="66"/>
      <c r="AKM38" s="66"/>
      <c r="AKN38" s="66"/>
      <c r="AKO38" s="66"/>
      <c r="AKP38" s="66"/>
      <c r="AKQ38" s="66"/>
      <c r="AKR38" s="66"/>
      <c r="AKS38" s="66"/>
      <c r="AKT38" s="66"/>
      <c r="AKU38" s="66"/>
      <c r="AKV38" s="66"/>
      <c r="AKW38" s="66"/>
      <c r="AKX38" s="66"/>
      <c r="AKY38" s="66"/>
      <c r="AKZ38" s="66"/>
      <c r="ALA38" s="66"/>
      <c r="ALB38" s="66"/>
      <c r="ALC38" s="66"/>
      <c r="ALD38" s="66"/>
      <c r="ALE38" s="66"/>
      <c r="ALF38" s="66"/>
      <c r="ALG38" s="66"/>
      <c r="ALH38" s="66"/>
      <c r="ALI38" s="66"/>
      <c r="ALJ38" s="66"/>
      <c r="ALK38" s="66"/>
      <c r="ALL38" s="66"/>
      <c r="ALM38" s="66"/>
      <c r="ALN38" s="66"/>
      <c r="ALO38" s="66"/>
      <c r="ALP38" s="66"/>
      <c r="ALQ38" s="66"/>
      <c r="ALR38" s="66"/>
      <c r="ALS38" s="66"/>
      <c r="ALT38" s="66"/>
      <c r="ALU38" s="66"/>
      <c r="ALV38" s="66"/>
      <c r="ALW38" s="66"/>
      <c r="ALX38" s="66"/>
      <c r="ALY38" s="66"/>
      <c r="ALZ38" s="66"/>
      <c r="AMA38" s="66"/>
      <c r="AMB38" s="66"/>
      <c r="AMC38" s="66"/>
      <c r="AMD38" s="66"/>
      <c r="AME38" s="66"/>
      <c r="AMF38" s="66"/>
      <c r="AMG38" s="66"/>
      <c r="AMH38" s="66"/>
      <c r="AMI38" s="66"/>
      <c r="AMJ38" s="66"/>
      <c r="AMK38" s="66"/>
      <c r="AML38" s="66"/>
      <c r="AMM38" s="66"/>
      <c r="AMN38" s="66"/>
      <c r="AMO38" s="66"/>
      <c r="AMP38" s="66"/>
      <c r="AMQ38" s="66"/>
      <c r="AMR38" s="66"/>
      <c r="AMS38" s="66"/>
      <c r="AMT38" s="66"/>
      <c r="AMU38" s="66"/>
      <c r="AMV38" s="66"/>
      <c r="AMW38" s="66"/>
      <c r="AMX38" s="66"/>
      <c r="AMY38" s="66"/>
      <c r="AMZ38" s="66"/>
      <c r="ANA38" s="66"/>
      <c r="ANB38" s="66"/>
      <c r="ANC38" s="66"/>
      <c r="AND38" s="66"/>
      <c r="ANE38" s="66"/>
      <c r="ANF38" s="66"/>
      <c r="ANG38" s="66"/>
      <c r="ANH38" s="66"/>
      <c r="ANI38" s="66"/>
      <c r="ANJ38" s="66"/>
      <c r="ANK38" s="66"/>
      <c r="ANL38" s="66"/>
      <c r="ANM38" s="66"/>
      <c r="ANN38" s="66"/>
      <c r="ANO38" s="66"/>
      <c r="ANP38" s="66"/>
      <c r="ANQ38" s="66"/>
      <c r="ANR38" s="66"/>
      <c r="ANS38" s="66"/>
      <c r="ANT38" s="66"/>
      <c r="ANU38" s="66"/>
      <c r="ANV38" s="66"/>
      <c r="ANW38" s="66"/>
      <c r="ANX38" s="66"/>
      <c r="ANY38" s="66"/>
      <c r="ANZ38" s="66"/>
      <c r="AOA38" s="66"/>
      <c r="AOB38" s="66"/>
      <c r="AOC38" s="66"/>
      <c r="AOD38" s="66"/>
      <c r="AOE38" s="66"/>
      <c r="AOF38" s="66"/>
      <c r="AOG38" s="66"/>
      <c r="AOH38" s="66"/>
      <c r="AOI38" s="66"/>
      <c r="AOJ38" s="66"/>
      <c r="AOK38" s="66"/>
      <c r="AOL38" s="66"/>
      <c r="AOM38" s="66"/>
      <c r="AON38" s="66"/>
      <c r="AOO38" s="66"/>
      <c r="AOP38" s="66"/>
      <c r="AOQ38" s="66"/>
      <c r="AOR38" s="66"/>
      <c r="AOS38" s="66"/>
      <c r="AOT38" s="66"/>
      <c r="AOU38" s="66"/>
      <c r="AOV38" s="66"/>
      <c r="AOW38" s="66"/>
      <c r="AOX38" s="66"/>
      <c r="AOY38" s="66"/>
      <c r="AOZ38" s="66"/>
      <c r="APA38" s="66"/>
      <c r="APB38" s="66"/>
      <c r="APC38" s="66"/>
      <c r="APD38" s="66"/>
      <c r="APE38" s="66"/>
      <c r="APF38" s="66"/>
      <c r="APG38" s="66"/>
      <c r="APH38" s="66"/>
      <c r="API38" s="66"/>
      <c r="APJ38" s="66"/>
      <c r="APK38" s="66"/>
      <c r="APL38" s="66"/>
      <c r="APM38" s="66"/>
      <c r="APN38" s="66"/>
      <c r="APO38" s="66"/>
      <c r="APP38" s="66"/>
      <c r="APQ38" s="66"/>
      <c r="APR38" s="66"/>
      <c r="APS38" s="66"/>
      <c r="APT38" s="66"/>
      <c r="APU38" s="66"/>
      <c r="APV38" s="66"/>
      <c r="APW38" s="66"/>
      <c r="APX38" s="66"/>
      <c r="APY38" s="66"/>
      <c r="APZ38" s="66"/>
      <c r="AQA38" s="66"/>
      <c r="AQB38" s="66"/>
      <c r="AQC38" s="66"/>
      <c r="AQD38" s="66"/>
      <c r="AQE38" s="66"/>
      <c r="AQF38" s="66"/>
      <c r="AQG38" s="66"/>
      <c r="AQH38" s="66"/>
      <c r="AQI38" s="66"/>
      <c r="AQJ38" s="66"/>
      <c r="AQK38" s="66"/>
      <c r="AQL38" s="66"/>
      <c r="AQM38" s="66"/>
      <c r="AQN38" s="66"/>
      <c r="AQO38" s="66"/>
      <c r="AQP38" s="66"/>
      <c r="AQQ38" s="66"/>
      <c r="AQR38" s="66"/>
      <c r="AQS38" s="66"/>
      <c r="AQT38" s="66"/>
      <c r="AQU38" s="66"/>
      <c r="AQV38" s="66"/>
      <c r="AQW38" s="66"/>
      <c r="AQX38" s="66"/>
      <c r="AQY38" s="66"/>
      <c r="AQZ38" s="66"/>
      <c r="ARA38" s="66"/>
      <c r="ARB38" s="66"/>
      <c r="ARC38" s="66"/>
      <c r="ARD38" s="66"/>
      <c r="ARE38" s="66"/>
      <c r="ARF38" s="66"/>
      <c r="ARG38" s="66"/>
      <c r="ARH38" s="66"/>
      <c r="ARI38" s="66"/>
      <c r="ARJ38" s="66"/>
      <c r="ARK38" s="66"/>
      <c r="ARL38" s="66"/>
      <c r="ARM38" s="66"/>
      <c r="ARN38" s="66"/>
      <c r="ARO38" s="66"/>
      <c r="ARP38" s="66"/>
      <c r="ARQ38" s="66"/>
      <c r="ARR38" s="66"/>
      <c r="ARS38" s="66"/>
      <c r="ART38" s="66"/>
      <c r="ARU38" s="66"/>
      <c r="ARV38" s="66"/>
      <c r="ARW38" s="66"/>
      <c r="ARX38" s="66"/>
      <c r="ARY38" s="66"/>
      <c r="ARZ38" s="66"/>
      <c r="ASA38" s="66"/>
      <c r="ASB38" s="66"/>
      <c r="ASC38" s="66"/>
      <c r="ASD38" s="66"/>
      <c r="ASE38" s="66"/>
      <c r="ASF38" s="66"/>
      <c r="ASG38" s="66"/>
      <c r="ASH38" s="66"/>
      <c r="ASI38" s="66"/>
      <c r="ASJ38" s="66"/>
      <c r="ASK38" s="66"/>
      <c r="ASL38" s="66"/>
      <c r="ASM38" s="66"/>
      <c r="ASN38" s="66"/>
      <c r="ASO38" s="66"/>
      <c r="ASP38" s="66"/>
      <c r="ASQ38" s="66"/>
      <c r="ASR38" s="66"/>
      <c r="ASS38" s="66"/>
      <c r="AST38" s="66"/>
      <c r="ASU38" s="66"/>
      <c r="ASV38" s="66"/>
      <c r="ASW38" s="66"/>
      <c r="ASX38" s="66"/>
      <c r="ASY38" s="66"/>
      <c r="ASZ38" s="66"/>
      <c r="ATA38" s="66"/>
      <c r="ATB38" s="66"/>
      <c r="ATC38" s="66"/>
      <c r="ATD38" s="66"/>
      <c r="ATE38" s="66"/>
      <c r="ATF38" s="66"/>
      <c r="ATG38" s="66"/>
      <c r="ATH38" s="66"/>
      <c r="ATI38" s="66"/>
      <c r="ATJ38" s="66"/>
      <c r="ATK38" s="66"/>
      <c r="ATL38" s="66"/>
      <c r="ATM38" s="66"/>
      <c r="ATN38" s="66"/>
      <c r="ATO38" s="66"/>
      <c r="ATP38" s="66"/>
      <c r="ATQ38" s="66"/>
      <c r="ATR38" s="66"/>
      <c r="ATS38" s="66"/>
      <c r="ATT38" s="66"/>
      <c r="ATU38" s="66"/>
      <c r="ATV38" s="66"/>
      <c r="ATW38" s="66"/>
      <c r="ATX38" s="66"/>
      <c r="ATY38" s="66"/>
      <c r="ATZ38" s="66"/>
      <c r="AUA38" s="66"/>
      <c r="AUB38" s="66"/>
      <c r="AUC38" s="66"/>
      <c r="AUD38" s="66"/>
      <c r="AUE38" s="66"/>
      <c r="AUF38" s="66"/>
      <c r="AUG38" s="66"/>
      <c r="AUH38" s="66"/>
      <c r="AUI38" s="66"/>
      <c r="AUJ38" s="66"/>
      <c r="AUK38" s="66"/>
      <c r="AUL38" s="66"/>
      <c r="AUM38" s="66"/>
      <c r="AUN38" s="66"/>
      <c r="AUO38" s="66"/>
      <c r="AUP38" s="66"/>
      <c r="AUQ38" s="66"/>
      <c r="AUR38" s="66"/>
      <c r="AUS38" s="66"/>
      <c r="AUT38" s="66"/>
      <c r="AUU38" s="66"/>
      <c r="AUV38" s="66"/>
      <c r="AUW38" s="66"/>
      <c r="AUX38" s="66"/>
      <c r="AUY38" s="66"/>
      <c r="AUZ38" s="66"/>
      <c r="AVA38" s="66"/>
      <c r="AVB38" s="66"/>
      <c r="AVC38" s="66"/>
      <c r="AVD38" s="66"/>
      <c r="AVE38" s="66"/>
      <c r="AVF38" s="66"/>
      <c r="AVG38" s="66"/>
      <c r="AVH38" s="66"/>
      <c r="AVI38" s="66"/>
      <c r="AVJ38" s="66"/>
      <c r="AVK38" s="66"/>
      <c r="AVL38" s="66"/>
      <c r="AVM38" s="66"/>
      <c r="AVN38" s="66"/>
      <c r="AVO38" s="66"/>
      <c r="AVP38" s="66"/>
      <c r="AVQ38" s="66"/>
      <c r="AVR38" s="66"/>
      <c r="AVS38" s="66"/>
      <c r="AVT38" s="66"/>
      <c r="AVU38" s="66"/>
      <c r="AVV38" s="66"/>
      <c r="AVW38" s="66"/>
      <c r="AVX38" s="66"/>
      <c r="AVY38" s="66"/>
      <c r="AVZ38" s="66"/>
      <c r="AWA38" s="66"/>
      <c r="AWB38" s="66"/>
      <c r="AWC38" s="66"/>
      <c r="AWD38" s="66"/>
      <c r="AWE38" s="66"/>
      <c r="AWF38" s="66"/>
      <c r="AWG38" s="66"/>
      <c r="AWH38" s="66"/>
      <c r="AWI38" s="66"/>
      <c r="AWJ38" s="66"/>
      <c r="AWK38" s="66"/>
      <c r="AWL38" s="66"/>
      <c r="AWM38" s="66"/>
      <c r="AWN38" s="66"/>
      <c r="AWO38" s="66"/>
      <c r="AWP38" s="66"/>
      <c r="AWQ38" s="66"/>
      <c r="AWR38" s="66"/>
      <c r="AWS38" s="66"/>
      <c r="AWT38" s="66"/>
      <c r="AWU38" s="66"/>
      <c r="AWV38" s="66"/>
      <c r="AWW38" s="66"/>
      <c r="AWX38" s="66"/>
      <c r="AWY38" s="66"/>
      <c r="AWZ38" s="66"/>
      <c r="AXA38" s="66"/>
      <c r="AXB38" s="66"/>
      <c r="AXC38" s="66"/>
      <c r="AXD38" s="66"/>
      <c r="AXE38" s="66"/>
      <c r="AXF38" s="66"/>
      <c r="AXG38" s="66"/>
      <c r="AXH38" s="66"/>
      <c r="AXI38" s="66"/>
      <c r="AXJ38" s="66"/>
      <c r="AXK38" s="66"/>
      <c r="AXL38" s="66"/>
      <c r="AXM38" s="66"/>
      <c r="AXN38" s="66"/>
      <c r="AXO38" s="66"/>
      <c r="AXP38" s="66"/>
      <c r="AXQ38" s="66"/>
      <c r="AXR38" s="66"/>
      <c r="AXS38" s="66"/>
      <c r="AXT38" s="66"/>
      <c r="AXU38" s="66"/>
      <c r="AXV38" s="66"/>
      <c r="AXW38" s="66"/>
      <c r="AXX38" s="66"/>
      <c r="AXY38" s="66"/>
      <c r="AXZ38" s="66"/>
      <c r="AYA38" s="66"/>
      <c r="AYB38" s="66"/>
      <c r="AYC38" s="66"/>
      <c r="AYD38" s="66"/>
      <c r="AYE38" s="66"/>
      <c r="AYF38" s="66"/>
      <c r="AYG38" s="66"/>
      <c r="AYH38" s="66"/>
      <c r="AYI38" s="66"/>
      <c r="AYJ38" s="66"/>
      <c r="AYK38" s="66"/>
      <c r="AYL38" s="66"/>
      <c r="AYM38" s="66"/>
      <c r="AYN38" s="66"/>
      <c r="AYO38" s="66"/>
      <c r="AYP38" s="66"/>
      <c r="AYQ38" s="66"/>
      <c r="AYR38" s="66"/>
      <c r="AYS38" s="66"/>
      <c r="AYT38" s="66"/>
      <c r="AYU38" s="66"/>
      <c r="AYV38" s="66"/>
      <c r="AYW38" s="66"/>
      <c r="AYX38" s="66"/>
      <c r="AYY38" s="66"/>
      <c r="AYZ38" s="66"/>
      <c r="AZA38" s="66"/>
      <c r="AZB38" s="66"/>
      <c r="AZC38" s="66"/>
      <c r="AZD38" s="66"/>
      <c r="AZE38" s="66"/>
      <c r="AZF38" s="66"/>
      <c r="AZG38" s="66"/>
      <c r="AZH38" s="66"/>
      <c r="AZI38" s="66"/>
      <c r="AZJ38" s="66"/>
      <c r="AZK38" s="66"/>
      <c r="AZL38" s="66"/>
      <c r="AZM38" s="66"/>
      <c r="AZN38" s="66"/>
      <c r="AZO38" s="66"/>
      <c r="AZP38" s="66"/>
      <c r="AZQ38" s="66"/>
      <c r="AZR38" s="66"/>
      <c r="AZS38" s="66"/>
      <c r="AZT38" s="66"/>
      <c r="AZU38" s="66"/>
      <c r="AZV38" s="66"/>
      <c r="AZW38" s="66"/>
      <c r="AZX38" s="66"/>
      <c r="AZY38" s="66"/>
      <c r="AZZ38" s="66"/>
      <c r="BAA38" s="66"/>
      <c r="BAB38" s="66"/>
      <c r="BAC38" s="66"/>
      <c r="BAD38" s="66"/>
      <c r="BAE38" s="66"/>
      <c r="BAF38" s="66"/>
      <c r="BAG38" s="66"/>
      <c r="BAH38" s="66"/>
      <c r="BAI38" s="66"/>
      <c r="BAJ38" s="66"/>
      <c r="BAK38" s="66"/>
      <c r="BAL38" s="66"/>
      <c r="BAM38" s="66"/>
      <c r="BAN38" s="66"/>
      <c r="BAO38" s="66"/>
      <c r="BAP38" s="66"/>
      <c r="BAQ38" s="66"/>
      <c r="BAR38" s="66"/>
      <c r="BAS38" s="66"/>
      <c r="BAT38" s="66"/>
      <c r="BAU38" s="66"/>
      <c r="BAV38" s="66"/>
      <c r="BAW38" s="66"/>
      <c r="BAX38" s="66"/>
      <c r="BAY38" s="66"/>
      <c r="BAZ38" s="66"/>
      <c r="BBA38" s="66"/>
      <c r="BBB38" s="66"/>
      <c r="BBC38" s="66"/>
      <c r="BBD38" s="66"/>
      <c r="BBE38" s="66"/>
      <c r="BBF38" s="66"/>
      <c r="BBG38" s="66"/>
      <c r="BBH38" s="66"/>
      <c r="BBI38" s="66"/>
      <c r="BBJ38" s="66"/>
      <c r="BBK38" s="66"/>
      <c r="BBL38" s="66"/>
      <c r="BBM38" s="66"/>
      <c r="BBN38" s="66"/>
      <c r="BBO38" s="66"/>
      <c r="BBP38" s="66"/>
      <c r="BBQ38" s="66"/>
      <c r="BBR38" s="66"/>
      <c r="BBS38" s="66"/>
      <c r="BBT38" s="66"/>
      <c r="BBU38" s="66"/>
      <c r="BBV38" s="66"/>
      <c r="BBW38" s="66"/>
      <c r="BBX38" s="66"/>
      <c r="BBY38" s="66"/>
      <c r="BBZ38" s="66"/>
      <c r="BCA38" s="66"/>
      <c r="BCB38" s="66"/>
      <c r="BCC38" s="66"/>
      <c r="BCD38" s="66"/>
      <c r="BCE38" s="66"/>
      <c r="BCF38" s="66"/>
      <c r="BCG38" s="66"/>
      <c r="BCH38" s="66"/>
      <c r="BCI38" s="66"/>
      <c r="BCJ38" s="66"/>
      <c r="BCK38" s="66"/>
      <c r="BCL38" s="66"/>
      <c r="BCM38" s="66"/>
      <c r="BCN38" s="66"/>
      <c r="BCO38" s="66"/>
      <c r="BCP38" s="66"/>
      <c r="BCQ38" s="66"/>
      <c r="BCR38" s="66"/>
      <c r="BCS38" s="66"/>
      <c r="BCT38" s="66"/>
      <c r="BCU38" s="66"/>
      <c r="BCV38" s="66"/>
      <c r="BCW38" s="66"/>
      <c r="BCX38" s="66"/>
      <c r="BCY38" s="66"/>
      <c r="BCZ38" s="66"/>
      <c r="BDA38" s="66"/>
      <c r="BDB38" s="66"/>
      <c r="BDC38" s="66"/>
      <c r="BDD38" s="66"/>
      <c r="BDE38" s="66"/>
      <c r="BDF38" s="66"/>
      <c r="BDG38" s="66"/>
      <c r="BDH38" s="66"/>
      <c r="BDI38" s="66"/>
      <c r="BDJ38" s="66"/>
      <c r="BDK38" s="66"/>
      <c r="BDL38" s="66"/>
      <c r="BDM38" s="66"/>
      <c r="BDN38" s="66"/>
      <c r="BDO38" s="66"/>
      <c r="BDP38" s="66"/>
      <c r="BDQ38" s="66"/>
      <c r="BDR38" s="66"/>
      <c r="BDS38" s="66"/>
      <c r="BDT38" s="66"/>
      <c r="BDU38" s="66"/>
      <c r="BDV38" s="66"/>
      <c r="BDW38" s="66"/>
      <c r="BDX38" s="66"/>
      <c r="BDY38" s="66"/>
      <c r="BDZ38" s="66"/>
      <c r="BEA38" s="66"/>
      <c r="BEB38" s="66"/>
      <c r="BEC38" s="66"/>
      <c r="BED38" s="66"/>
      <c r="BEE38" s="66"/>
      <c r="BEF38" s="66"/>
      <c r="BEG38" s="66"/>
      <c r="BEH38" s="66"/>
      <c r="BEI38" s="66"/>
      <c r="BEJ38" s="66"/>
      <c r="BEK38" s="66"/>
      <c r="BEL38" s="66"/>
      <c r="BEM38" s="66"/>
      <c r="BEN38" s="66"/>
      <c r="BEO38" s="66"/>
      <c r="BEP38" s="66"/>
      <c r="BEQ38" s="66"/>
      <c r="BER38" s="66"/>
      <c r="BES38" s="66"/>
      <c r="BET38" s="66"/>
      <c r="BEU38" s="66"/>
      <c r="BEV38" s="66"/>
      <c r="BEW38" s="66"/>
      <c r="BEX38" s="66"/>
      <c r="BEY38" s="66"/>
      <c r="BEZ38" s="66"/>
      <c r="BFA38" s="66"/>
      <c r="BFB38" s="66"/>
      <c r="BFC38" s="66"/>
      <c r="BFD38" s="66"/>
      <c r="BFE38" s="66"/>
      <c r="BFF38" s="66"/>
      <c r="BFG38" s="66"/>
      <c r="BFH38" s="66"/>
      <c r="BFI38" s="66"/>
      <c r="BFJ38" s="66"/>
      <c r="BFK38" s="66"/>
      <c r="BFL38" s="66"/>
      <c r="BFM38" s="66"/>
      <c r="BFN38" s="66"/>
      <c r="BFO38" s="66"/>
      <c r="BFP38" s="66"/>
      <c r="BFQ38" s="66"/>
      <c r="BFR38" s="66"/>
      <c r="BFS38" s="66"/>
      <c r="BFT38" s="66"/>
      <c r="BFU38" s="66"/>
      <c r="BFV38" s="66"/>
      <c r="BFW38" s="66"/>
      <c r="BFX38" s="66"/>
      <c r="BFY38" s="66"/>
      <c r="BFZ38" s="66"/>
      <c r="BGA38" s="66"/>
      <c r="BGB38" s="66"/>
      <c r="BGC38" s="66"/>
      <c r="BGD38" s="66"/>
      <c r="BGE38" s="66"/>
      <c r="BGF38" s="66"/>
      <c r="BGG38" s="66"/>
      <c r="BGH38" s="66"/>
      <c r="BGI38" s="66"/>
      <c r="BGJ38" s="66"/>
      <c r="BGK38" s="66"/>
      <c r="BGL38" s="66"/>
      <c r="BGM38" s="66"/>
      <c r="BGN38" s="66"/>
      <c r="BGO38" s="66"/>
      <c r="BGP38" s="66"/>
      <c r="BGQ38" s="66"/>
      <c r="BGR38" s="66"/>
      <c r="BGS38" s="66"/>
      <c r="BGT38" s="66"/>
      <c r="BGU38" s="66"/>
      <c r="BGV38" s="66"/>
      <c r="BGW38" s="66"/>
      <c r="BGX38" s="66"/>
      <c r="BGY38" s="66"/>
      <c r="BGZ38" s="66"/>
      <c r="BHA38" s="66"/>
      <c r="BHB38" s="66"/>
      <c r="BHC38" s="66"/>
      <c r="BHD38" s="66"/>
      <c r="BHE38" s="66"/>
      <c r="BHF38" s="66"/>
      <c r="BHG38" s="66"/>
      <c r="BHH38" s="66"/>
      <c r="BHI38" s="66"/>
      <c r="BHJ38" s="66"/>
      <c r="BHK38" s="66"/>
      <c r="BHL38" s="66"/>
      <c r="BHM38" s="66"/>
      <c r="BHN38" s="66"/>
      <c r="BHO38" s="66"/>
      <c r="BHP38" s="66"/>
      <c r="BHQ38" s="66"/>
      <c r="BHR38" s="66"/>
      <c r="BHS38" s="66"/>
      <c r="BHT38" s="66"/>
      <c r="BHU38" s="66"/>
      <c r="BHV38" s="66"/>
      <c r="BHW38" s="66"/>
      <c r="BHX38" s="66"/>
      <c r="BHY38" s="66"/>
      <c r="BHZ38" s="66"/>
      <c r="BIA38" s="66"/>
      <c r="BIB38" s="66"/>
      <c r="BIC38" s="66"/>
      <c r="BID38" s="66"/>
      <c r="BIE38" s="66"/>
      <c r="BIF38" s="66"/>
      <c r="BIG38" s="66"/>
      <c r="BIH38" s="66"/>
      <c r="BII38" s="66"/>
      <c r="BIJ38" s="66"/>
      <c r="BIK38" s="66"/>
      <c r="BIL38" s="66"/>
      <c r="BIM38" s="66"/>
      <c r="BIN38" s="66"/>
      <c r="BIO38" s="66"/>
      <c r="BIP38" s="66"/>
      <c r="BIQ38" s="66"/>
      <c r="BIR38" s="66"/>
      <c r="BIS38" s="66"/>
      <c r="BIT38" s="66"/>
      <c r="BIU38" s="66"/>
      <c r="BIV38" s="66"/>
      <c r="BIW38" s="66"/>
      <c r="BIX38" s="66"/>
      <c r="BIY38" s="66"/>
      <c r="BIZ38" s="66"/>
      <c r="BJA38" s="66"/>
      <c r="BJB38" s="66"/>
      <c r="BJC38" s="66"/>
      <c r="BJD38" s="66"/>
      <c r="BJE38" s="66"/>
      <c r="BJF38" s="66"/>
      <c r="BJG38" s="66"/>
      <c r="BJH38" s="66"/>
      <c r="BJI38" s="66"/>
      <c r="BJJ38" s="66"/>
      <c r="BJK38" s="66"/>
      <c r="BJL38" s="66"/>
      <c r="BJM38" s="66"/>
      <c r="BJN38" s="66"/>
      <c r="BJO38" s="66"/>
      <c r="BJP38" s="66"/>
      <c r="BJQ38" s="66"/>
      <c r="BJR38" s="66"/>
      <c r="BJS38" s="66"/>
      <c r="BJT38" s="66"/>
      <c r="BJU38" s="66"/>
      <c r="BJV38" s="66"/>
      <c r="BJW38" s="66"/>
      <c r="BJX38" s="66"/>
      <c r="BJY38" s="66"/>
      <c r="BJZ38" s="66"/>
      <c r="BKA38" s="66"/>
      <c r="BKB38" s="66"/>
      <c r="BKC38" s="66"/>
      <c r="BKD38" s="66"/>
      <c r="BKE38" s="66"/>
      <c r="BKF38" s="66"/>
      <c r="BKG38" s="66"/>
      <c r="BKH38" s="66"/>
      <c r="BKI38" s="66"/>
      <c r="BKJ38" s="66"/>
      <c r="BKK38" s="66"/>
      <c r="BKL38" s="66"/>
      <c r="BKM38" s="66"/>
      <c r="BKN38" s="66"/>
      <c r="BKO38" s="66"/>
      <c r="BKP38" s="66"/>
      <c r="BKQ38" s="66"/>
      <c r="BKR38" s="66"/>
      <c r="BKS38" s="66"/>
      <c r="BKT38" s="66"/>
      <c r="BKU38" s="66"/>
      <c r="BKV38" s="66"/>
      <c r="BKW38" s="66"/>
      <c r="BKX38" s="66"/>
      <c r="BKY38" s="66"/>
      <c r="BKZ38" s="66"/>
      <c r="BLA38" s="66"/>
      <c r="BLB38" s="66"/>
      <c r="BLC38" s="66"/>
      <c r="BLD38" s="66"/>
      <c r="BLE38" s="66"/>
      <c r="BLF38" s="66"/>
      <c r="BLG38" s="66"/>
      <c r="BLH38" s="66"/>
      <c r="BLI38" s="66"/>
      <c r="BLJ38" s="66"/>
      <c r="BLK38" s="66"/>
      <c r="BLL38" s="66"/>
      <c r="BLM38" s="66"/>
      <c r="BLN38" s="66"/>
      <c r="BLO38" s="66"/>
      <c r="BLP38" s="66"/>
      <c r="BLQ38" s="66"/>
      <c r="BLR38" s="66"/>
      <c r="BLS38" s="66"/>
      <c r="BLT38" s="66"/>
      <c r="BLU38" s="66"/>
      <c r="BLV38" s="66"/>
      <c r="BLW38" s="66"/>
      <c r="BLX38" s="66"/>
      <c r="BLY38" s="66"/>
      <c r="BLZ38" s="66"/>
      <c r="BMA38" s="66"/>
      <c r="BMB38" s="66"/>
      <c r="BMC38" s="66"/>
      <c r="BMD38" s="66"/>
      <c r="BME38" s="66"/>
      <c r="BMF38" s="66"/>
      <c r="BMG38" s="66"/>
      <c r="BMH38" s="66"/>
      <c r="BMI38" s="66"/>
      <c r="BMJ38" s="66"/>
      <c r="BMK38" s="66"/>
      <c r="BML38" s="66"/>
      <c r="BMM38" s="66"/>
      <c r="BMN38" s="66"/>
      <c r="BMO38" s="66"/>
      <c r="BMP38" s="66"/>
      <c r="BMQ38" s="66"/>
      <c r="BMR38" s="66"/>
      <c r="BMS38" s="66"/>
      <c r="BMT38" s="66"/>
      <c r="BMU38" s="66"/>
      <c r="BMV38" s="66"/>
      <c r="BMW38" s="66"/>
      <c r="BMX38" s="66"/>
      <c r="BMY38" s="66"/>
      <c r="BMZ38" s="66"/>
      <c r="BNA38" s="66"/>
      <c r="BNB38" s="66"/>
      <c r="BNC38" s="66"/>
      <c r="BND38" s="66"/>
      <c r="BNE38" s="66"/>
      <c r="BNF38" s="66"/>
      <c r="BNG38" s="66"/>
      <c r="BNH38" s="66"/>
      <c r="BNI38" s="66"/>
      <c r="BNJ38" s="66"/>
      <c r="BNK38" s="66"/>
      <c r="BNL38" s="66"/>
      <c r="BNM38" s="66"/>
      <c r="BNN38" s="66"/>
      <c r="BNO38" s="66"/>
      <c r="BNP38" s="66"/>
      <c r="BNQ38" s="66"/>
      <c r="BNR38" s="66"/>
      <c r="BNS38" s="66"/>
      <c r="BNT38" s="66"/>
      <c r="BNU38" s="66"/>
      <c r="BNV38" s="66"/>
      <c r="BNW38" s="66"/>
      <c r="BNX38" s="66"/>
      <c r="BNY38" s="66"/>
      <c r="BNZ38" s="66"/>
      <c r="BOA38" s="66"/>
      <c r="BOB38" s="66"/>
      <c r="BOC38" s="66"/>
      <c r="BOD38" s="66"/>
      <c r="BOE38" s="66"/>
      <c r="BOF38" s="66"/>
      <c r="BOG38" s="66"/>
      <c r="BOH38" s="66"/>
      <c r="BOI38" s="66"/>
      <c r="BOJ38" s="66"/>
      <c r="BOK38" s="66"/>
      <c r="BOL38" s="66"/>
      <c r="BOM38" s="66"/>
      <c r="BON38" s="66"/>
      <c r="BOO38" s="66"/>
      <c r="BOP38" s="66"/>
      <c r="BOQ38" s="66"/>
      <c r="BOR38" s="66"/>
      <c r="BOS38" s="66"/>
      <c r="BOT38" s="66"/>
      <c r="BOU38" s="66"/>
      <c r="BOV38" s="66"/>
      <c r="BOW38" s="66"/>
      <c r="BOX38" s="66"/>
      <c r="BOY38" s="66"/>
      <c r="BOZ38" s="66"/>
      <c r="BPA38" s="66"/>
      <c r="BPB38" s="66"/>
      <c r="BPC38" s="66"/>
      <c r="BPD38" s="66"/>
      <c r="BPE38" s="66"/>
      <c r="BPF38" s="66"/>
      <c r="BPG38" s="66"/>
      <c r="BPH38" s="66"/>
      <c r="BPI38" s="66"/>
      <c r="BPJ38" s="66"/>
      <c r="BPK38" s="66"/>
      <c r="BPL38" s="66"/>
      <c r="BPM38" s="66"/>
      <c r="BPN38" s="66"/>
      <c r="BPO38" s="66"/>
      <c r="BPP38" s="66"/>
      <c r="BPQ38" s="66"/>
      <c r="BPR38" s="66"/>
      <c r="BPS38" s="66"/>
      <c r="BPT38" s="66"/>
      <c r="BPU38" s="66"/>
      <c r="BPV38" s="66"/>
      <c r="BPW38" s="66"/>
      <c r="BPX38" s="66"/>
      <c r="BPY38" s="66"/>
      <c r="BPZ38" s="66"/>
      <c r="BQA38" s="66"/>
      <c r="BQB38" s="66"/>
      <c r="BQC38" s="66"/>
      <c r="BQD38" s="66"/>
      <c r="BQE38" s="66"/>
      <c r="BQF38" s="66"/>
      <c r="BQG38" s="66"/>
      <c r="BQH38" s="66"/>
      <c r="BQI38" s="66"/>
      <c r="BQJ38" s="66"/>
      <c r="BQK38" s="66"/>
      <c r="BQL38" s="66"/>
      <c r="BQM38" s="66"/>
      <c r="BQN38" s="66"/>
      <c r="BQO38" s="66"/>
      <c r="BQP38" s="66"/>
      <c r="BQQ38" s="66"/>
      <c r="BQR38" s="66"/>
      <c r="BQS38" s="66"/>
      <c r="BQT38" s="66"/>
      <c r="BQU38" s="66"/>
      <c r="BQV38" s="66"/>
      <c r="BQW38" s="66"/>
      <c r="BQX38" s="66"/>
      <c r="BQY38" s="66"/>
      <c r="BQZ38" s="66"/>
      <c r="BRA38" s="66"/>
      <c r="BRB38" s="66"/>
      <c r="BRC38" s="66"/>
      <c r="BRD38" s="66"/>
      <c r="BRE38" s="66"/>
      <c r="BRF38" s="66"/>
      <c r="BRG38" s="66"/>
      <c r="BRH38" s="66"/>
      <c r="BRI38" s="66"/>
      <c r="BRJ38" s="66"/>
      <c r="BRK38" s="66"/>
      <c r="BRL38" s="66"/>
      <c r="BRM38" s="66"/>
      <c r="BRN38" s="66"/>
      <c r="BRO38" s="66"/>
      <c r="BRP38" s="66"/>
      <c r="BRQ38" s="66"/>
      <c r="BRR38" s="66"/>
      <c r="BRS38" s="66"/>
      <c r="BRT38" s="66"/>
      <c r="BRU38" s="66"/>
      <c r="BRV38" s="66"/>
      <c r="BRW38" s="66"/>
      <c r="BRX38" s="66"/>
      <c r="BRY38" s="66"/>
      <c r="BRZ38" s="66"/>
      <c r="BSA38" s="66"/>
      <c r="BSB38" s="66"/>
      <c r="BSC38" s="66"/>
      <c r="BSD38" s="66"/>
      <c r="BSE38" s="66"/>
      <c r="BSF38" s="66"/>
      <c r="BSG38" s="66"/>
      <c r="BSH38" s="66"/>
      <c r="BSI38" s="66"/>
      <c r="BSJ38" s="66"/>
      <c r="BSK38" s="66"/>
      <c r="BSL38" s="66"/>
      <c r="BSM38" s="66"/>
      <c r="BSN38" s="66"/>
      <c r="BSO38" s="66"/>
      <c r="BSP38" s="66"/>
      <c r="BSQ38" s="66"/>
      <c r="BSR38" s="66"/>
      <c r="BSS38" s="66"/>
      <c r="BST38" s="66"/>
      <c r="BSU38" s="66"/>
      <c r="BSV38" s="66"/>
      <c r="BSW38" s="66"/>
      <c r="BSX38" s="66"/>
      <c r="BSY38" s="66"/>
      <c r="BSZ38" s="66"/>
      <c r="BTA38" s="66"/>
      <c r="BTB38" s="66"/>
      <c r="BTC38" s="66"/>
      <c r="BTD38" s="66"/>
      <c r="BTE38" s="66"/>
      <c r="BTF38" s="66"/>
      <c r="BTG38" s="66"/>
      <c r="BTH38" s="66"/>
      <c r="BTI38" s="66"/>
      <c r="BTJ38" s="66"/>
      <c r="BTK38" s="66"/>
      <c r="BTL38" s="66"/>
      <c r="BTM38" s="66"/>
      <c r="BTN38" s="66"/>
      <c r="BTO38" s="66"/>
      <c r="BTP38" s="66"/>
      <c r="BTQ38" s="66"/>
      <c r="BTR38" s="66"/>
      <c r="BTS38" s="66"/>
      <c r="BTT38" s="66"/>
      <c r="BTU38" s="66"/>
      <c r="BTV38" s="66"/>
      <c r="BTW38" s="66"/>
      <c r="BTX38" s="66"/>
      <c r="BTY38" s="66"/>
      <c r="BTZ38" s="66"/>
      <c r="BUA38" s="66"/>
      <c r="BUB38" s="66"/>
      <c r="BUC38" s="66"/>
      <c r="BUD38" s="66"/>
      <c r="BUE38" s="66"/>
      <c r="BUF38" s="66"/>
      <c r="BUG38" s="66"/>
      <c r="BUH38" s="66"/>
      <c r="BUI38" s="66"/>
      <c r="BUJ38" s="66"/>
      <c r="BUK38" s="66"/>
      <c r="BUL38" s="66"/>
      <c r="BUM38" s="66"/>
      <c r="BUN38" s="66"/>
      <c r="BUO38" s="66"/>
      <c r="BUP38" s="66"/>
      <c r="BUQ38" s="66"/>
      <c r="BUR38" s="66"/>
      <c r="BUS38" s="66"/>
      <c r="BUT38" s="66"/>
      <c r="BUU38" s="66"/>
      <c r="BUV38" s="66"/>
      <c r="BUW38" s="66"/>
      <c r="BUX38" s="66"/>
      <c r="BUY38" s="66"/>
      <c r="BUZ38" s="66"/>
      <c r="BVA38" s="66"/>
      <c r="BVB38" s="66"/>
      <c r="BVC38" s="66"/>
      <c r="BVD38" s="66"/>
      <c r="BVE38" s="66"/>
      <c r="BVF38" s="66"/>
      <c r="BVG38" s="66"/>
      <c r="BVH38" s="66"/>
      <c r="BVI38" s="66"/>
      <c r="BVJ38" s="66"/>
      <c r="BVK38" s="66"/>
      <c r="BVL38" s="66"/>
      <c r="BVM38" s="66"/>
      <c r="BVN38" s="66"/>
      <c r="BVO38" s="66"/>
      <c r="BVP38" s="66"/>
      <c r="BVQ38" s="66"/>
      <c r="BVR38" s="66"/>
      <c r="BVS38" s="66"/>
      <c r="BVT38" s="66"/>
      <c r="BVU38" s="66"/>
      <c r="BVV38" s="66"/>
      <c r="BVW38" s="66"/>
      <c r="BVX38" s="66"/>
      <c r="BVY38" s="66"/>
      <c r="BVZ38" s="66"/>
      <c r="BWA38" s="66"/>
      <c r="BWB38" s="66"/>
      <c r="BWC38" s="66"/>
      <c r="BWD38" s="66"/>
      <c r="BWE38" s="66"/>
      <c r="BWF38" s="66"/>
      <c r="BWG38" s="66"/>
      <c r="BWH38" s="66"/>
      <c r="BWI38" s="66"/>
      <c r="BWJ38" s="66"/>
      <c r="BWK38" s="66"/>
      <c r="BWL38" s="66"/>
      <c r="BWM38" s="66"/>
      <c r="BWN38" s="66"/>
      <c r="BWO38" s="66"/>
      <c r="BWP38" s="66"/>
      <c r="BWQ38" s="66"/>
      <c r="BWR38" s="66"/>
      <c r="BWS38" s="66"/>
      <c r="BWT38" s="66"/>
      <c r="BWU38" s="66"/>
      <c r="BWV38" s="66"/>
      <c r="BWW38" s="66"/>
      <c r="BWX38" s="66"/>
      <c r="BWY38" s="66"/>
      <c r="BWZ38" s="66"/>
      <c r="BXA38" s="66"/>
      <c r="BXB38" s="66"/>
      <c r="BXC38" s="66"/>
      <c r="BXD38" s="66"/>
      <c r="BXE38" s="66"/>
      <c r="BXF38" s="66"/>
      <c r="BXG38" s="66"/>
      <c r="BXH38" s="66"/>
      <c r="BXI38" s="66"/>
      <c r="BXJ38" s="66"/>
      <c r="BXK38" s="66"/>
      <c r="BXL38" s="66"/>
      <c r="BXM38" s="66"/>
      <c r="BXN38" s="66"/>
      <c r="BXO38" s="66"/>
      <c r="BXP38" s="66"/>
      <c r="BXQ38" s="66"/>
      <c r="BXR38" s="66"/>
      <c r="BXS38" s="66"/>
      <c r="BXT38" s="66"/>
      <c r="BXU38" s="66"/>
      <c r="BXV38" s="66"/>
      <c r="BXW38" s="66"/>
      <c r="BXX38" s="66"/>
      <c r="BXY38" s="66"/>
      <c r="BXZ38" s="66"/>
      <c r="BYA38" s="66"/>
      <c r="BYB38" s="66"/>
      <c r="BYC38" s="66"/>
      <c r="BYD38" s="66"/>
      <c r="BYE38" s="66"/>
      <c r="BYF38" s="66"/>
      <c r="BYG38" s="66"/>
      <c r="BYH38" s="66"/>
      <c r="BYI38" s="66"/>
      <c r="BYJ38" s="66"/>
      <c r="BYK38" s="66"/>
      <c r="BYL38" s="66"/>
      <c r="BYM38" s="66"/>
      <c r="BYN38" s="66"/>
      <c r="BYO38" s="66"/>
      <c r="BYP38" s="66"/>
      <c r="BYQ38" s="66"/>
      <c r="BYR38" s="66"/>
      <c r="BYS38" s="66"/>
      <c r="BYT38" s="66"/>
      <c r="BYU38" s="66"/>
      <c r="BYV38" s="66"/>
      <c r="BYW38" s="66"/>
      <c r="BYX38" s="66"/>
      <c r="BYY38" s="66"/>
      <c r="BYZ38" s="66"/>
      <c r="BZA38" s="66"/>
      <c r="BZB38" s="66"/>
      <c r="BZC38" s="66"/>
      <c r="BZD38" s="66"/>
      <c r="BZE38" s="66"/>
      <c r="BZF38" s="66"/>
      <c r="BZG38" s="66"/>
      <c r="BZH38" s="66"/>
      <c r="BZI38" s="66"/>
      <c r="BZJ38" s="66"/>
      <c r="BZK38" s="66"/>
      <c r="BZL38" s="66"/>
      <c r="BZM38" s="66"/>
      <c r="BZN38" s="66"/>
      <c r="BZO38" s="66"/>
      <c r="BZP38" s="66"/>
      <c r="BZQ38" s="66"/>
      <c r="BZR38" s="66"/>
      <c r="BZS38" s="66"/>
      <c r="BZT38" s="66"/>
      <c r="BZU38" s="66"/>
      <c r="BZV38" s="66"/>
      <c r="BZW38" s="66"/>
      <c r="BZX38" s="66"/>
      <c r="BZY38" s="66"/>
      <c r="BZZ38" s="66"/>
      <c r="CAA38" s="66"/>
      <c r="CAB38" s="66"/>
      <c r="CAC38" s="66"/>
      <c r="CAD38" s="66"/>
      <c r="CAE38" s="66"/>
      <c r="CAF38" s="66"/>
      <c r="CAG38" s="66"/>
      <c r="CAH38" s="66"/>
      <c r="CAI38" s="66"/>
      <c r="CAJ38" s="66"/>
      <c r="CAK38" s="66"/>
      <c r="CAL38" s="66"/>
      <c r="CAM38" s="66"/>
      <c r="CAN38" s="66"/>
      <c r="CAO38" s="66"/>
      <c r="CAP38" s="66"/>
      <c r="CAQ38" s="66"/>
      <c r="CAR38" s="66"/>
      <c r="CAS38" s="66"/>
      <c r="CAT38" s="66"/>
      <c r="CAU38" s="66"/>
      <c r="CAV38" s="66"/>
      <c r="CAW38" s="66"/>
      <c r="CAX38" s="66"/>
      <c r="CAY38" s="66"/>
      <c r="CAZ38" s="66"/>
      <c r="CBA38" s="66"/>
      <c r="CBB38" s="66"/>
      <c r="CBC38" s="66"/>
      <c r="CBD38" s="66"/>
      <c r="CBE38" s="66"/>
      <c r="CBF38" s="66"/>
      <c r="CBG38" s="66"/>
      <c r="CBH38" s="66"/>
      <c r="CBI38" s="66"/>
      <c r="CBJ38" s="66"/>
      <c r="CBK38" s="66"/>
      <c r="CBL38" s="66"/>
      <c r="CBM38" s="66"/>
      <c r="CBN38" s="66"/>
      <c r="CBO38" s="66"/>
      <c r="CBP38" s="66"/>
      <c r="CBQ38" s="66"/>
      <c r="CBR38" s="66"/>
      <c r="CBS38" s="66"/>
      <c r="CBT38" s="66"/>
      <c r="CBU38" s="66"/>
      <c r="CBV38" s="66"/>
      <c r="CBW38" s="66"/>
      <c r="CBX38" s="66"/>
      <c r="CBY38" s="66"/>
      <c r="CBZ38" s="66"/>
      <c r="CCA38" s="66"/>
      <c r="CCB38" s="66"/>
      <c r="CCC38" s="66"/>
      <c r="CCD38" s="66"/>
      <c r="CCE38" s="66"/>
      <c r="CCF38" s="66"/>
      <c r="CCG38" s="66"/>
      <c r="CCH38" s="66"/>
      <c r="CCI38" s="66"/>
      <c r="CCJ38" s="66"/>
      <c r="CCK38" s="66"/>
      <c r="CCL38" s="66"/>
      <c r="CCM38" s="66"/>
      <c r="CCN38" s="66"/>
      <c r="CCO38" s="66"/>
      <c r="CCP38" s="66"/>
      <c r="CCQ38" s="66"/>
      <c r="CCR38" s="66"/>
      <c r="CCS38" s="66"/>
      <c r="CCT38" s="66"/>
      <c r="CCU38" s="66"/>
      <c r="CCV38" s="66"/>
      <c r="CCW38" s="66"/>
      <c r="CCX38" s="66"/>
      <c r="CCY38" s="66"/>
      <c r="CCZ38" s="66"/>
      <c r="CDA38" s="66"/>
      <c r="CDB38" s="66"/>
      <c r="CDC38" s="66"/>
      <c r="CDD38" s="66"/>
      <c r="CDE38" s="66"/>
      <c r="CDF38" s="66"/>
      <c r="CDG38" s="66"/>
      <c r="CDH38" s="66"/>
      <c r="CDI38" s="66"/>
      <c r="CDJ38" s="66"/>
      <c r="CDK38" s="66"/>
      <c r="CDL38" s="66"/>
      <c r="CDM38" s="66"/>
      <c r="CDN38" s="66"/>
      <c r="CDO38" s="66"/>
      <c r="CDP38" s="66"/>
      <c r="CDQ38" s="66"/>
      <c r="CDR38" s="66"/>
      <c r="CDS38" s="66"/>
      <c r="CDT38" s="66"/>
      <c r="CDU38" s="66"/>
      <c r="CDV38" s="66"/>
      <c r="CDW38" s="66"/>
      <c r="CDX38" s="66"/>
      <c r="CDY38" s="66"/>
      <c r="CDZ38" s="66"/>
      <c r="CEA38" s="66"/>
      <c r="CEB38" s="66"/>
      <c r="CEC38" s="66"/>
      <c r="CED38" s="66"/>
      <c r="CEE38" s="66"/>
      <c r="CEF38" s="66"/>
      <c r="CEG38" s="66"/>
      <c r="CEH38" s="66"/>
      <c r="CEI38" s="66"/>
      <c r="CEJ38" s="66"/>
      <c r="CEK38" s="66"/>
      <c r="CEL38" s="66"/>
      <c r="CEM38" s="66"/>
      <c r="CEN38" s="66"/>
      <c r="CEO38" s="66"/>
      <c r="CEP38" s="66"/>
      <c r="CEQ38" s="66"/>
      <c r="CER38" s="66"/>
      <c r="CES38" s="66"/>
      <c r="CET38" s="66"/>
      <c r="CEU38" s="66"/>
      <c r="CEV38" s="66"/>
      <c r="CEW38" s="66"/>
      <c r="CEX38" s="66"/>
      <c r="CEY38" s="66"/>
      <c r="CEZ38" s="66"/>
      <c r="CFA38" s="66"/>
      <c r="CFB38" s="66"/>
      <c r="CFC38" s="66"/>
      <c r="CFD38" s="66"/>
      <c r="CFE38" s="66"/>
      <c r="CFF38" s="66"/>
      <c r="CFG38" s="66"/>
      <c r="CFH38" s="66"/>
      <c r="CFI38" s="66"/>
      <c r="CFJ38" s="66"/>
      <c r="CFK38" s="66"/>
      <c r="CFL38" s="66"/>
      <c r="CFM38" s="66"/>
      <c r="CFN38" s="66"/>
      <c r="CFO38" s="66"/>
      <c r="CFP38" s="66"/>
      <c r="CFQ38" s="66"/>
      <c r="CFR38" s="66"/>
      <c r="CFS38" s="66"/>
      <c r="CFT38" s="66"/>
      <c r="CFU38" s="66"/>
      <c r="CFV38" s="66"/>
      <c r="CFW38" s="66"/>
      <c r="CFX38" s="66"/>
      <c r="CFY38" s="66"/>
      <c r="CFZ38" s="66"/>
      <c r="CGA38" s="66"/>
      <c r="CGB38" s="66"/>
      <c r="CGC38" s="66"/>
      <c r="CGD38" s="66"/>
      <c r="CGE38" s="66"/>
      <c r="CGF38" s="66"/>
      <c r="CGG38" s="66"/>
      <c r="CGH38" s="66"/>
      <c r="CGI38" s="66"/>
      <c r="CGJ38" s="66"/>
      <c r="CGK38" s="66"/>
      <c r="CGL38" s="66"/>
      <c r="CGM38" s="66"/>
      <c r="CGN38" s="66"/>
      <c r="CGO38" s="66"/>
      <c r="CGP38" s="66"/>
      <c r="CGQ38" s="66"/>
      <c r="CGR38" s="66"/>
      <c r="CGS38" s="66"/>
      <c r="CGT38" s="66"/>
      <c r="CGU38" s="66"/>
      <c r="CGV38" s="66"/>
      <c r="CGW38" s="66"/>
      <c r="CGX38" s="66"/>
      <c r="CGY38" s="66"/>
      <c r="CGZ38" s="66"/>
      <c r="CHA38" s="66"/>
      <c r="CHB38" s="66"/>
      <c r="CHC38" s="66"/>
      <c r="CHD38" s="66"/>
      <c r="CHE38" s="66"/>
      <c r="CHF38" s="66"/>
      <c r="CHG38" s="66"/>
      <c r="CHH38" s="66"/>
      <c r="CHI38" s="66"/>
      <c r="CHJ38" s="66"/>
      <c r="CHK38" s="66"/>
      <c r="CHL38" s="66"/>
      <c r="CHM38" s="66"/>
      <c r="CHN38" s="66"/>
      <c r="CHO38" s="66"/>
      <c r="CHP38" s="66"/>
      <c r="CHQ38" s="66"/>
      <c r="CHR38" s="66"/>
      <c r="CHS38" s="66"/>
      <c r="CHT38" s="66"/>
      <c r="CHU38" s="66"/>
      <c r="CHV38" s="66"/>
      <c r="CHW38" s="66"/>
      <c r="CHX38" s="66"/>
      <c r="CHY38" s="66"/>
      <c r="CHZ38" s="66"/>
      <c r="CIA38" s="66"/>
      <c r="CIB38" s="66"/>
      <c r="CIC38" s="66"/>
      <c r="CID38" s="66"/>
      <c r="CIE38" s="66"/>
      <c r="CIF38" s="66"/>
      <c r="CIG38" s="66"/>
      <c r="CIH38" s="66"/>
      <c r="CII38" s="66"/>
      <c r="CIJ38" s="66"/>
      <c r="CIK38" s="66"/>
      <c r="CIL38" s="66"/>
      <c r="CIM38" s="66"/>
      <c r="CIN38" s="66"/>
      <c r="CIO38" s="66"/>
      <c r="CIP38" s="66"/>
      <c r="CIQ38" s="66"/>
      <c r="CIR38" s="66"/>
      <c r="CIS38" s="66"/>
      <c r="CIT38" s="66"/>
      <c r="CIU38" s="66"/>
      <c r="CIV38" s="66"/>
      <c r="CIW38" s="66"/>
      <c r="CIX38" s="66"/>
      <c r="CIY38" s="66"/>
      <c r="CIZ38" s="66"/>
      <c r="CJA38" s="66"/>
      <c r="CJB38" s="66"/>
      <c r="CJC38" s="66"/>
      <c r="CJD38" s="66"/>
      <c r="CJE38" s="66"/>
      <c r="CJF38" s="66"/>
      <c r="CJG38" s="66"/>
      <c r="CJH38" s="66"/>
      <c r="CJI38" s="66"/>
      <c r="CJJ38" s="66"/>
      <c r="CJK38" s="66"/>
      <c r="CJL38" s="66"/>
      <c r="CJM38" s="66"/>
      <c r="CJN38" s="66"/>
      <c r="CJO38" s="66"/>
      <c r="CJP38" s="66"/>
      <c r="CJQ38" s="66"/>
      <c r="CJR38" s="66"/>
      <c r="CJS38" s="66"/>
      <c r="CJT38" s="66"/>
      <c r="CJU38" s="66"/>
      <c r="CJV38" s="66"/>
      <c r="CJW38" s="66"/>
      <c r="CJX38" s="66"/>
      <c r="CJY38" s="66"/>
      <c r="CJZ38" s="66"/>
      <c r="CKA38" s="66"/>
      <c r="CKB38" s="66"/>
      <c r="CKC38" s="66"/>
      <c r="CKD38" s="66"/>
      <c r="CKE38" s="66"/>
      <c r="CKF38" s="66"/>
      <c r="CKG38" s="66"/>
      <c r="CKH38" s="66"/>
      <c r="CKI38" s="66"/>
      <c r="CKJ38" s="66"/>
      <c r="CKK38" s="66"/>
      <c r="CKL38" s="66"/>
      <c r="CKM38" s="66"/>
      <c r="CKN38" s="66"/>
      <c r="CKO38" s="66"/>
      <c r="CKP38" s="66"/>
      <c r="CKQ38" s="66"/>
      <c r="CKR38" s="66"/>
      <c r="CKS38" s="66"/>
      <c r="CKT38" s="66"/>
      <c r="CKU38" s="66"/>
      <c r="CKV38" s="66"/>
      <c r="CKW38" s="66"/>
      <c r="CKX38" s="66"/>
      <c r="CKY38" s="66"/>
      <c r="CKZ38" s="66"/>
      <c r="CLA38" s="66"/>
      <c r="CLB38" s="66"/>
      <c r="CLC38" s="66"/>
      <c r="CLD38" s="66"/>
      <c r="CLE38" s="66"/>
      <c r="CLF38" s="66"/>
      <c r="CLG38" s="66"/>
      <c r="CLH38" s="66"/>
      <c r="CLI38" s="66"/>
      <c r="CLJ38" s="66"/>
      <c r="CLK38" s="66"/>
      <c r="CLL38" s="66"/>
      <c r="CLM38" s="66"/>
      <c r="CLN38" s="66"/>
      <c r="CLO38" s="66"/>
      <c r="CLP38" s="66"/>
      <c r="CLQ38" s="66"/>
      <c r="CLR38" s="66"/>
      <c r="CLS38" s="66"/>
      <c r="CLT38" s="66"/>
      <c r="CLU38" s="66"/>
      <c r="CLV38" s="66"/>
      <c r="CLW38" s="66"/>
      <c r="CLX38" s="66"/>
      <c r="CLY38" s="66"/>
      <c r="CLZ38" s="66"/>
      <c r="CMA38" s="66"/>
      <c r="CMB38" s="66"/>
      <c r="CMC38" s="66"/>
      <c r="CMD38" s="66"/>
      <c r="CME38" s="66"/>
      <c r="CMF38" s="66"/>
      <c r="CMG38" s="66"/>
      <c r="CMH38" s="66"/>
      <c r="CMI38" s="66"/>
      <c r="CMJ38" s="66"/>
      <c r="CMK38" s="66"/>
      <c r="CML38" s="66"/>
      <c r="CMM38" s="66"/>
      <c r="CMN38" s="66"/>
      <c r="CMO38" s="66"/>
      <c r="CMP38" s="66"/>
      <c r="CMQ38" s="66"/>
      <c r="CMR38" s="66"/>
      <c r="CMS38" s="66"/>
      <c r="CMT38" s="66"/>
      <c r="CMU38" s="66"/>
      <c r="CMV38" s="66"/>
      <c r="CMW38" s="66"/>
      <c r="CMX38" s="66"/>
      <c r="CMY38" s="66"/>
      <c r="CMZ38" s="66"/>
      <c r="CNA38" s="66"/>
      <c r="CNB38" s="66"/>
      <c r="CNC38" s="66"/>
      <c r="CND38" s="66"/>
      <c r="CNE38" s="66"/>
      <c r="CNF38" s="66"/>
      <c r="CNG38" s="66"/>
      <c r="CNH38" s="66"/>
      <c r="CNI38" s="66"/>
      <c r="CNJ38" s="66"/>
      <c r="CNK38" s="66"/>
      <c r="CNL38" s="66"/>
      <c r="CNM38" s="66"/>
      <c r="CNN38" s="66"/>
      <c r="CNO38" s="66"/>
      <c r="CNP38" s="66"/>
      <c r="CNQ38" s="66"/>
      <c r="CNR38" s="66"/>
      <c r="CNS38" s="66"/>
      <c r="CNT38" s="66"/>
      <c r="CNU38" s="66"/>
      <c r="CNV38" s="66"/>
      <c r="CNW38" s="66"/>
      <c r="CNX38" s="66"/>
      <c r="CNY38" s="66"/>
      <c r="CNZ38" s="66"/>
      <c r="COA38" s="66"/>
      <c r="COB38" s="66"/>
      <c r="COC38" s="66"/>
      <c r="COD38" s="66"/>
      <c r="COE38" s="66"/>
      <c r="COF38" s="66"/>
      <c r="COG38" s="66"/>
      <c r="COH38" s="66"/>
      <c r="COI38" s="66"/>
      <c r="COJ38" s="66"/>
      <c r="COK38" s="66"/>
      <c r="COL38" s="66"/>
      <c r="COM38" s="66"/>
      <c r="CON38" s="66"/>
      <c r="COO38" s="66"/>
      <c r="COP38" s="66"/>
      <c r="COQ38" s="66"/>
      <c r="COR38" s="66"/>
      <c r="COS38" s="66"/>
      <c r="COT38" s="66"/>
      <c r="COU38" s="66"/>
      <c r="COV38" s="66"/>
      <c r="COW38" s="66"/>
      <c r="COX38" s="66"/>
      <c r="COY38" s="66"/>
      <c r="COZ38" s="66"/>
      <c r="CPA38" s="66"/>
      <c r="CPB38" s="66"/>
      <c r="CPC38" s="66"/>
      <c r="CPD38" s="66"/>
      <c r="CPE38" s="66"/>
      <c r="CPF38" s="66"/>
      <c r="CPG38" s="66"/>
      <c r="CPH38" s="66"/>
      <c r="CPI38" s="66"/>
      <c r="CPJ38" s="66"/>
      <c r="CPK38" s="66"/>
      <c r="CPL38" s="66"/>
      <c r="CPM38" s="66"/>
      <c r="CPN38" s="66"/>
      <c r="CPO38" s="66"/>
      <c r="CPP38" s="66"/>
      <c r="CPQ38" s="66"/>
      <c r="CPR38" s="66"/>
      <c r="CPS38" s="66"/>
      <c r="CPT38" s="66"/>
      <c r="CPU38" s="66"/>
      <c r="CPV38" s="66"/>
      <c r="CPW38" s="66"/>
      <c r="CPX38" s="66"/>
      <c r="CPY38" s="66"/>
      <c r="CPZ38" s="66"/>
      <c r="CQA38" s="66"/>
      <c r="CQB38" s="66"/>
      <c r="CQC38" s="66"/>
      <c r="CQD38" s="66"/>
      <c r="CQE38" s="66"/>
      <c r="CQF38" s="66"/>
      <c r="CQG38" s="66"/>
      <c r="CQH38" s="66"/>
      <c r="CQI38" s="66"/>
      <c r="CQJ38" s="66"/>
      <c r="CQK38" s="66"/>
      <c r="CQL38" s="66"/>
      <c r="CQM38" s="66"/>
      <c r="CQN38" s="66"/>
      <c r="CQO38" s="66"/>
      <c r="CQP38" s="66"/>
      <c r="CQQ38" s="66"/>
      <c r="CQR38" s="66"/>
      <c r="CQS38" s="66"/>
      <c r="CQT38" s="66"/>
      <c r="CQU38" s="66"/>
      <c r="CQV38" s="66"/>
      <c r="CQW38" s="66"/>
      <c r="CQX38" s="66"/>
      <c r="CQY38" s="66"/>
      <c r="CQZ38" s="66"/>
      <c r="CRA38" s="66"/>
      <c r="CRB38" s="66"/>
      <c r="CRC38" s="66"/>
      <c r="CRD38" s="66"/>
      <c r="CRE38" s="66"/>
      <c r="CRF38" s="66"/>
      <c r="CRG38" s="66"/>
      <c r="CRH38" s="66"/>
      <c r="CRI38" s="66"/>
      <c r="CRJ38" s="66"/>
      <c r="CRK38" s="66"/>
      <c r="CRL38" s="66"/>
      <c r="CRM38" s="66"/>
      <c r="CRN38" s="66"/>
      <c r="CRO38" s="66"/>
      <c r="CRP38" s="66"/>
      <c r="CRQ38" s="66"/>
      <c r="CRR38" s="66"/>
      <c r="CRS38" s="66"/>
      <c r="CRT38" s="66"/>
      <c r="CRU38" s="66"/>
      <c r="CRV38" s="66"/>
      <c r="CRW38" s="66"/>
      <c r="CRX38" s="66"/>
      <c r="CRY38" s="66"/>
      <c r="CRZ38" s="66"/>
      <c r="CSA38" s="66"/>
      <c r="CSB38" s="66"/>
      <c r="CSC38" s="66"/>
      <c r="CSD38" s="66"/>
      <c r="CSE38" s="66"/>
      <c r="CSF38" s="66"/>
      <c r="CSG38" s="66"/>
      <c r="CSH38" s="66"/>
      <c r="CSI38" s="66"/>
      <c r="CSJ38" s="66"/>
      <c r="CSK38" s="66"/>
      <c r="CSL38" s="66"/>
      <c r="CSM38" s="66"/>
      <c r="CSN38" s="66"/>
      <c r="CSO38" s="66"/>
      <c r="CSP38" s="66"/>
      <c r="CSQ38" s="66"/>
      <c r="CSR38" s="66"/>
      <c r="CSS38" s="66"/>
      <c r="CST38" s="66"/>
      <c r="CSU38" s="66"/>
      <c r="CSV38" s="66"/>
      <c r="CSW38" s="66"/>
      <c r="CSX38" s="66"/>
      <c r="CSY38" s="66"/>
      <c r="CSZ38" s="66"/>
      <c r="CTA38" s="66"/>
      <c r="CTB38" s="66"/>
      <c r="CTC38" s="66"/>
      <c r="CTD38" s="66"/>
      <c r="CTE38" s="66"/>
      <c r="CTF38" s="66"/>
      <c r="CTG38" s="66"/>
      <c r="CTH38" s="66"/>
      <c r="CTI38" s="66"/>
      <c r="CTJ38" s="66"/>
      <c r="CTK38" s="66"/>
      <c r="CTL38" s="66"/>
      <c r="CTM38" s="66"/>
      <c r="CTN38" s="66"/>
      <c r="CTO38" s="66"/>
      <c r="CTP38" s="66"/>
      <c r="CTQ38" s="66"/>
      <c r="CTR38" s="66"/>
      <c r="CTS38" s="66"/>
      <c r="CTT38" s="66"/>
      <c r="CTU38" s="66"/>
      <c r="CTV38" s="66"/>
      <c r="CTW38" s="66"/>
      <c r="CTX38" s="66"/>
      <c r="CTY38" s="66"/>
      <c r="CTZ38" s="66"/>
      <c r="CUA38" s="66"/>
      <c r="CUB38" s="66"/>
      <c r="CUC38" s="66"/>
      <c r="CUD38" s="66"/>
      <c r="CUE38" s="66"/>
      <c r="CUF38" s="66"/>
      <c r="CUG38" s="66"/>
      <c r="CUH38" s="66"/>
      <c r="CUI38" s="66"/>
      <c r="CUJ38" s="66"/>
      <c r="CUK38" s="66"/>
      <c r="CUL38" s="66"/>
      <c r="CUM38" s="66"/>
      <c r="CUN38" s="66"/>
      <c r="CUO38" s="66"/>
      <c r="CUP38" s="66"/>
      <c r="CUQ38" s="66"/>
      <c r="CUR38" s="66"/>
      <c r="CUS38" s="66"/>
      <c r="CUT38" s="66"/>
      <c r="CUU38" s="66"/>
      <c r="CUV38" s="66"/>
      <c r="CUW38" s="66"/>
      <c r="CUX38" s="66"/>
      <c r="CUY38" s="66"/>
      <c r="CUZ38" s="66"/>
      <c r="CVA38" s="66"/>
      <c r="CVB38" s="66"/>
      <c r="CVC38" s="66"/>
      <c r="CVD38" s="66"/>
      <c r="CVE38" s="66"/>
      <c r="CVF38" s="66"/>
      <c r="CVG38" s="66"/>
      <c r="CVH38" s="66"/>
      <c r="CVI38" s="66"/>
      <c r="CVJ38" s="66"/>
      <c r="CVK38" s="66"/>
      <c r="CVL38" s="66"/>
      <c r="CVM38" s="66"/>
      <c r="CVN38" s="66"/>
      <c r="CVO38" s="66"/>
      <c r="CVP38" s="66"/>
      <c r="CVQ38" s="66"/>
      <c r="CVR38" s="66"/>
      <c r="CVS38" s="66"/>
      <c r="CVT38" s="66"/>
      <c r="CVU38" s="66"/>
      <c r="CVV38" s="66"/>
      <c r="CVW38" s="66"/>
      <c r="CVX38" s="66"/>
      <c r="CVY38" s="66"/>
      <c r="CVZ38" s="66"/>
      <c r="CWA38" s="66"/>
      <c r="CWB38" s="66"/>
      <c r="CWC38" s="66"/>
      <c r="CWD38" s="66"/>
      <c r="CWE38" s="66"/>
      <c r="CWF38" s="66"/>
      <c r="CWG38" s="66"/>
      <c r="CWH38" s="66"/>
      <c r="CWI38" s="66"/>
      <c r="CWJ38" s="66"/>
      <c r="CWK38" s="66"/>
      <c r="CWL38" s="66"/>
      <c r="CWM38" s="66"/>
      <c r="CWN38" s="66"/>
      <c r="CWO38" s="66"/>
      <c r="CWP38" s="66"/>
      <c r="CWQ38" s="66"/>
      <c r="CWR38" s="66"/>
      <c r="CWS38" s="66"/>
      <c r="CWT38" s="66"/>
      <c r="CWU38" s="66"/>
      <c r="CWV38" s="66"/>
      <c r="CWW38" s="66"/>
      <c r="CWX38" s="66"/>
      <c r="CWY38" s="66"/>
      <c r="CWZ38" s="66"/>
      <c r="CXA38" s="66"/>
      <c r="CXB38" s="66"/>
      <c r="CXC38" s="66"/>
      <c r="CXD38" s="66"/>
      <c r="CXE38" s="66"/>
      <c r="CXF38" s="66"/>
      <c r="CXG38" s="66"/>
      <c r="CXH38" s="66"/>
      <c r="CXI38" s="66"/>
      <c r="CXJ38" s="66"/>
      <c r="CXK38" s="66"/>
      <c r="CXL38" s="66"/>
      <c r="CXM38" s="66"/>
      <c r="CXN38" s="66"/>
      <c r="CXO38" s="66"/>
      <c r="CXP38" s="66"/>
      <c r="CXQ38" s="66"/>
      <c r="CXR38" s="66"/>
      <c r="CXS38" s="66"/>
      <c r="CXT38" s="66"/>
      <c r="CXU38" s="66"/>
      <c r="CXV38" s="66"/>
      <c r="CXW38" s="66"/>
      <c r="CXX38" s="66"/>
      <c r="CXY38" s="66"/>
      <c r="CXZ38" s="66"/>
      <c r="CYA38" s="66"/>
      <c r="CYB38" s="66"/>
      <c r="CYC38" s="66"/>
      <c r="CYD38" s="66"/>
      <c r="CYE38" s="66"/>
      <c r="CYF38" s="66"/>
      <c r="CYG38" s="66"/>
      <c r="CYH38" s="66"/>
      <c r="CYI38" s="66"/>
      <c r="CYJ38" s="66"/>
      <c r="CYK38" s="66"/>
      <c r="CYL38" s="66"/>
      <c r="CYM38" s="66"/>
      <c r="CYN38" s="66"/>
      <c r="CYO38" s="66"/>
      <c r="CYP38" s="66"/>
      <c r="CYQ38" s="66"/>
      <c r="CYR38" s="66"/>
      <c r="CYS38" s="66"/>
      <c r="CYT38" s="66"/>
      <c r="CYU38" s="66"/>
      <c r="CYV38" s="66"/>
      <c r="CYW38" s="66"/>
      <c r="CYX38" s="66"/>
      <c r="CYY38" s="66"/>
      <c r="CYZ38" s="66"/>
      <c r="CZA38" s="66"/>
      <c r="CZB38" s="66"/>
      <c r="CZC38" s="66"/>
      <c r="CZD38" s="66"/>
      <c r="CZE38" s="66"/>
      <c r="CZF38" s="66"/>
      <c r="CZG38" s="66"/>
      <c r="CZH38" s="66"/>
      <c r="CZI38" s="66"/>
      <c r="CZJ38" s="66"/>
      <c r="CZK38" s="66"/>
      <c r="CZL38" s="66"/>
      <c r="CZM38" s="66"/>
      <c r="CZN38" s="66"/>
      <c r="CZO38" s="66"/>
      <c r="CZP38" s="66"/>
      <c r="CZQ38" s="66"/>
      <c r="CZR38" s="66"/>
      <c r="CZS38" s="66"/>
      <c r="CZT38" s="66"/>
      <c r="CZU38" s="66"/>
      <c r="CZV38" s="66"/>
      <c r="CZW38" s="66"/>
      <c r="CZX38" s="66"/>
      <c r="CZY38" s="66"/>
      <c r="CZZ38" s="66"/>
      <c r="DAA38" s="66"/>
      <c r="DAB38" s="66"/>
      <c r="DAC38" s="66"/>
      <c r="DAD38" s="66"/>
      <c r="DAE38" s="66"/>
      <c r="DAF38" s="66"/>
      <c r="DAG38" s="66"/>
      <c r="DAH38" s="66"/>
      <c r="DAI38" s="66"/>
      <c r="DAJ38" s="66"/>
      <c r="DAK38" s="66"/>
      <c r="DAL38" s="66"/>
      <c r="DAM38" s="66"/>
      <c r="DAN38" s="66"/>
      <c r="DAO38" s="66"/>
      <c r="DAP38" s="66"/>
      <c r="DAQ38" s="66"/>
      <c r="DAR38" s="66"/>
      <c r="DAS38" s="66"/>
      <c r="DAT38" s="66"/>
      <c r="DAU38" s="66"/>
      <c r="DAV38" s="66"/>
      <c r="DAW38" s="66"/>
      <c r="DAX38" s="66"/>
      <c r="DAY38" s="66"/>
      <c r="DAZ38" s="66"/>
      <c r="DBA38" s="66"/>
      <c r="DBB38" s="66"/>
      <c r="DBC38" s="66"/>
      <c r="DBD38" s="66"/>
      <c r="DBE38" s="66"/>
      <c r="DBF38" s="66"/>
      <c r="DBG38" s="66"/>
      <c r="DBH38" s="66"/>
      <c r="DBI38" s="66"/>
      <c r="DBJ38" s="66"/>
      <c r="DBK38" s="66"/>
      <c r="DBL38" s="66"/>
      <c r="DBM38" s="66"/>
      <c r="DBN38" s="66"/>
      <c r="DBO38" s="66"/>
      <c r="DBP38" s="66"/>
      <c r="DBQ38" s="66"/>
      <c r="DBR38" s="66"/>
      <c r="DBS38" s="66"/>
      <c r="DBT38" s="66"/>
      <c r="DBU38" s="66"/>
      <c r="DBV38" s="66"/>
      <c r="DBW38" s="66"/>
      <c r="DBX38" s="66"/>
      <c r="DBY38" s="66"/>
      <c r="DBZ38" s="66"/>
      <c r="DCA38" s="66"/>
      <c r="DCB38" s="66"/>
      <c r="DCC38" s="66"/>
      <c r="DCD38" s="66"/>
      <c r="DCE38" s="66"/>
      <c r="DCF38" s="66"/>
      <c r="DCG38" s="66"/>
      <c r="DCH38" s="66"/>
      <c r="DCI38" s="66"/>
      <c r="DCJ38" s="66"/>
      <c r="DCK38" s="66"/>
      <c r="DCL38" s="66"/>
      <c r="DCM38" s="66"/>
      <c r="DCN38" s="66"/>
      <c r="DCO38" s="66"/>
      <c r="DCP38" s="66"/>
      <c r="DCQ38" s="66"/>
      <c r="DCR38" s="66"/>
      <c r="DCS38" s="66"/>
      <c r="DCT38" s="66"/>
      <c r="DCU38" s="66"/>
      <c r="DCV38" s="66"/>
      <c r="DCW38" s="66"/>
      <c r="DCX38" s="66"/>
      <c r="DCY38" s="66"/>
      <c r="DCZ38" s="66"/>
      <c r="DDA38" s="66"/>
      <c r="DDB38" s="66"/>
      <c r="DDC38" s="66"/>
      <c r="DDD38" s="66"/>
      <c r="DDE38" s="66"/>
      <c r="DDF38" s="66"/>
      <c r="DDG38" s="66"/>
      <c r="DDH38" s="66"/>
      <c r="DDI38" s="66"/>
      <c r="DDJ38" s="66"/>
      <c r="DDK38" s="66"/>
      <c r="DDL38" s="66"/>
      <c r="DDM38" s="66"/>
      <c r="DDN38" s="66"/>
      <c r="DDO38" s="66"/>
      <c r="DDP38" s="66"/>
      <c r="DDQ38" s="66"/>
      <c r="DDR38" s="66"/>
      <c r="DDS38" s="66"/>
      <c r="DDT38" s="66"/>
      <c r="DDU38" s="66"/>
      <c r="DDV38" s="66"/>
      <c r="DDW38" s="66"/>
      <c r="DDX38" s="66"/>
      <c r="DDY38" s="66"/>
      <c r="DDZ38" s="66"/>
      <c r="DEA38" s="66"/>
      <c r="DEB38" s="66"/>
      <c r="DEC38" s="66"/>
      <c r="DED38" s="66"/>
      <c r="DEE38" s="66"/>
      <c r="DEF38" s="66"/>
      <c r="DEG38" s="66"/>
      <c r="DEH38" s="66"/>
      <c r="DEI38" s="66"/>
      <c r="DEJ38" s="66"/>
      <c r="DEK38" s="66"/>
      <c r="DEL38" s="66"/>
      <c r="DEM38" s="66"/>
      <c r="DEN38" s="66"/>
      <c r="DEO38" s="66"/>
      <c r="DEP38" s="66"/>
      <c r="DEQ38" s="66"/>
      <c r="DER38" s="66"/>
      <c r="DES38" s="66"/>
      <c r="DET38" s="66"/>
      <c r="DEU38" s="66"/>
      <c r="DEV38" s="66"/>
      <c r="DEW38" s="66"/>
      <c r="DEX38" s="66"/>
      <c r="DEY38" s="66"/>
      <c r="DEZ38" s="66"/>
      <c r="DFA38" s="66"/>
      <c r="DFB38" s="66"/>
      <c r="DFC38" s="66"/>
      <c r="DFD38" s="66"/>
      <c r="DFE38" s="66"/>
      <c r="DFF38" s="66"/>
      <c r="DFG38" s="66"/>
      <c r="DFH38" s="66"/>
      <c r="DFI38" s="66"/>
      <c r="DFJ38" s="66"/>
      <c r="DFK38" s="66"/>
      <c r="DFL38" s="66"/>
      <c r="DFM38" s="66"/>
      <c r="DFN38" s="66"/>
      <c r="DFO38" s="66"/>
      <c r="DFP38" s="66"/>
      <c r="DFQ38" s="66"/>
      <c r="DFR38" s="66"/>
      <c r="DFS38" s="66"/>
      <c r="DFT38" s="66"/>
      <c r="DFU38" s="66"/>
      <c r="DFV38" s="66"/>
      <c r="DFW38" s="66"/>
      <c r="DFX38" s="66"/>
      <c r="DFY38" s="66"/>
      <c r="DFZ38" s="66"/>
      <c r="DGA38" s="66"/>
      <c r="DGB38" s="66"/>
      <c r="DGC38" s="66"/>
      <c r="DGD38" s="66"/>
      <c r="DGE38" s="66"/>
      <c r="DGF38" s="66"/>
      <c r="DGG38" s="66"/>
      <c r="DGH38" s="66"/>
      <c r="DGI38" s="66"/>
      <c r="DGJ38" s="66"/>
      <c r="DGK38" s="66"/>
      <c r="DGL38" s="66"/>
      <c r="DGM38" s="66"/>
      <c r="DGN38" s="66"/>
      <c r="DGO38" s="66"/>
      <c r="DGP38" s="66"/>
      <c r="DGQ38" s="66"/>
      <c r="DGR38" s="66"/>
      <c r="DGS38" s="66"/>
      <c r="DGT38" s="66"/>
      <c r="DGU38" s="66"/>
      <c r="DGV38" s="66"/>
      <c r="DGW38" s="66"/>
      <c r="DGX38" s="66"/>
      <c r="DGY38" s="66"/>
      <c r="DGZ38" s="66"/>
      <c r="DHA38" s="66"/>
      <c r="DHB38" s="66"/>
      <c r="DHC38" s="66"/>
      <c r="DHD38" s="66"/>
      <c r="DHE38" s="66"/>
      <c r="DHF38" s="66"/>
      <c r="DHG38" s="66"/>
      <c r="DHH38" s="66"/>
      <c r="DHI38" s="66"/>
      <c r="DHJ38" s="66"/>
      <c r="DHK38" s="66"/>
      <c r="DHL38" s="66"/>
      <c r="DHM38" s="66"/>
      <c r="DHN38" s="66"/>
      <c r="DHO38" s="66"/>
      <c r="DHP38" s="66"/>
      <c r="DHQ38" s="66"/>
      <c r="DHR38" s="66"/>
      <c r="DHS38" s="66"/>
      <c r="DHT38" s="66"/>
      <c r="DHU38" s="66"/>
      <c r="DHV38" s="66"/>
      <c r="DHW38" s="66"/>
      <c r="DHX38" s="66"/>
      <c r="DHY38" s="66"/>
      <c r="DHZ38" s="66"/>
      <c r="DIA38" s="66"/>
      <c r="DIB38" s="66"/>
      <c r="DIC38" s="66"/>
      <c r="DID38" s="66"/>
      <c r="DIE38" s="66"/>
      <c r="DIF38" s="66"/>
      <c r="DIG38" s="66"/>
      <c r="DIH38" s="66"/>
      <c r="DII38" s="66"/>
      <c r="DIJ38" s="66"/>
      <c r="DIK38" s="66"/>
      <c r="DIL38" s="66"/>
      <c r="DIM38" s="66"/>
      <c r="DIN38" s="66"/>
      <c r="DIO38" s="66"/>
      <c r="DIP38" s="66"/>
      <c r="DIQ38" s="66"/>
      <c r="DIR38" s="66"/>
      <c r="DIS38" s="66"/>
      <c r="DIT38" s="66"/>
      <c r="DIU38" s="66"/>
      <c r="DIV38" s="66"/>
      <c r="DIW38" s="66"/>
      <c r="DIX38" s="66"/>
      <c r="DIY38" s="66"/>
      <c r="DIZ38" s="66"/>
      <c r="DJA38" s="66"/>
      <c r="DJB38" s="66"/>
      <c r="DJC38" s="66"/>
      <c r="DJD38" s="66"/>
      <c r="DJE38" s="66"/>
      <c r="DJF38" s="66"/>
      <c r="DJG38" s="66"/>
      <c r="DJH38" s="66"/>
      <c r="DJI38" s="66"/>
      <c r="DJJ38" s="66"/>
      <c r="DJK38" s="66"/>
      <c r="DJL38" s="66"/>
      <c r="DJM38" s="66"/>
      <c r="DJN38" s="66"/>
      <c r="DJO38" s="66"/>
      <c r="DJP38" s="66"/>
      <c r="DJQ38" s="66"/>
      <c r="DJR38" s="66"/>
      <c r="DJS38" s="66"/>
      <c r="DJT38" s="66"/>
      <c r="DJU38" s="66"/>
      <c r="DJV38" s="66"/>
      <c r="DJW38" s="66"/>
      <c r="DJX38" s="66"/>
      <c r="DJY38" s="66"/>
      <c r="DJZ38" s="66"/>
      <c r="DKA38" s="66"/>
      <c r="DKB38" s="66"/>
      <c r="DKC38" s="66"/>
      <c r="DKD38" s="66"/>
      <c r="DKE38" s="66"/>
      <c r="DKF38" s="66"/>
      <c r="DKG38" s="66"/>
      <c r="DKH38" s="66"/>
      <c r="DKI38" s="66"/>
      <c r="DKJ38" s="66"/>
      <c r="DKK38" s="66"/>
      <c r="DKL38" s="66"/>
      <c r="DKM38" s="66"/>
      <c r="DKN38" s="66"/>
      <c r="DKO38" s="66"/>
      <c r="DKP38" s="66"/>
      <c r="DKQ38" s="66"/>
      <c r="DKR38" s="66"/>
      <c r="DKS38" s="66"/>
      <c r="DKT38" s="66"/>
      <c r="DKU38" s="66"/>
      <c r="DKV38" s="66"/>
      <c r="DKW38" s="66"/>
      <c r="DKX38" s="66"/>
      <c r="DKY38" s="66"/>
      <c r="DKZ38" s="66"/>
      <c r="DLA38" s="66"/>
      <c r="DLB38" s="66"/>
      <c r="DLC38" s="66"/>
      <c r="DLD38" s="66"/>
      <c r="DLE38" s="66"/>
      <c r="DLF38" s="66"/>
      <c r="DLG38" s="66"/>
      <c r="DLH38" s="66"/>
      <c r="DLI38" s="66"/>
      <c r="DLJ38" s="66"/>
      <c r="DLK38" s="66"/>
      <c r="DLL38" s="66"/>
      <c r="DLM38" s="66"/>
      <c r="DLN38" s="66"/>
      <c r="DLO38" s="66"/>
      <c r="DLP38" s="66"/>
      <c r="DLQ38" s="66"/>
      <c r="DLR38" s="66"/>
      <c r="DLS38" s="66"/>
      <c r="DLT38" s="66"/>
      <c r="DLU38" s="66"/>
      <c r="DLV38" s="66"/>
      <c r="DLW38" s="66"/>
      <c r="DLX38" s="66"/>
      <c r="DLY38" s="66"/>
      <c r="DLZ38" s="66"/>
      <c r="DMA38" s="66"/>
      <c r="DMB38" s="66"/>
      <c r="DMC38" s="66"/>
      <c r="DMD38" s="66"/>
      <c r="DME38" s="66"/>
      <c r="DMF38" s="66"/>
      <c r="DMG38" s="66"/>
      <c r="DMH38" s="66"/>
      <c r="DMI38" s="66"/>
      <c r="DMJ38" s="66"/>
      <c r="DMK38" s="66"/>
      <c r="DML38" s="66"/>
      <c r="DMM38" s="66"/>
      <c r="DMN38" s="66"/>
      <c r="DMO38" s="66"/>
      <c r="DMP38" s="66"/>
      <c r="DMQ38" s="66"/>
      <c r="DMR38" s="66"/>
      <c r="DMS38" s="66"/>
      <c r="DMT38" s="66"/>
      <c r="DMU38" s="66"/>
      <c r="DMV38" s="66"/>
      <c r="DMW38" s="66"/>
      <c r="DMX38" s="66"/>
      <c r="DMY38" s="66"/>
      <c r="DMZ38" s="66"/>
      <c r="DNA38" s="66"/>
      <c r="DNB38" s="66"/>
      <c r="DNC38" s="66"/>
      <c r="DND38" s="66"/>
      <c r="DNE38" s="66"/>
      <c r="DNF38" s="66"/>
      <c r="DNG38" s="66"/>
      <c r="DNH38" s="66"/>
      <c r="DNI38" s="66"/>
      <c r="DNJ38" s="66"/>
      <c r="DNK38" s="66"/>
      <c r="DNL38" s="66"/>
      <c r="DNM38" s="66"/>
      <c r="DNN38" s="66"/>
      <c r="DNO38" s="66"/>
      <c r="DNP38" s="66"/>
      <c r="DNQ38" s="66"/>
      <c r="DNR38" s="66"/>
      <c r="DNS38" s="66"/>
      <c r="DNT38" s="66"/>
      <c r="DNU38" s="66"/>
      <c r="DNV38" s="66"/>
      <c r="DNW38" s="66"/>
      <c r="DNX38" s="66"/>
      <c r="DNY38" s="66"/>
      <c r="DNZ38" s="66"/>
      <c r="DOA38" s="66"/>
      <c r="DOB38" s="66"/>
      <c r="DOC38" s="66"/>
      <c r="DOD38" s="66"/>
      <c r="DOE38" s="66"/>
      <c r="DOF38" s="66"/>
      <c r="DOG38" s="66"/>
      <c r="DOH38" s="66"/>
      <c r="DOI38" s="66"/>
      <c r="DOJ38" s="66"/>
      <c r="DOK38" s="66"/>
      <c r="DOL38" s="66"/>
      <c r="DOM38" s="66"/>
      <c r="DON38" s="66"/>
      <c r="DOO38" s="66"/>
      <c r="DOP38" s="66"/>
      <c r="DOQ38" s="66"/>
      <c r="DOR38" s="66"/>
      <c r="DOS38" s="66"/>
      <c r="DOT38" s="66"/>
      <c r="DOU38" s="66"/>
      <c r="DOV38" s="66"/>
      <c r="DOW38" s="66"/>
      <c r="DOX38" s="66"/>
      <c r="DOY38" s="66"/>
      <c r="DOZ38" s="66"/>
      <c r="DPA38" s="66"/>
      <c r="DPB38" s="66"/>
      <c r="DPC38" s="66"/>
      <c r="DPD38" s="66"/>
      <c r="DPE38" s="66"/>
      <c r="DPF38" s="66"/>
      <c r="DPG38" s="66"/>
      <c r="DPH38" s="66"/>
      <c r="DPI38" s="66"/>
      <c r="DPJ38" s="66"/>
      <c r="DPK38" s="66"/>
      <c r="DPL38" s="66"/>
      <c r="DPM38" s="66"/>
      <c r="DPN38" s="66"/>
      <c r="DPO38" s="66"/>
      <c r="DPP38" s="66"/>
      <c r="DPQ38" s="66"/>
      <c r="DPR38" s="66"/>
      <c r="DPS38" s="66"/>
      <c r="DPT38" s="66"/>
      <c r="DPU38" s="66"/>
      <c r="DPV38" s="66"/>
      <c r="DPW38" s="66"/>
      <c r="DPX38" s="66"/>
      <c r="DPY38" s="66"/>
      <c r="DPZ38" s="66"/>
      <c r="DQA38" s="66"/>
      <c r="DQB38" s="66"/>
      <c r="DQC38" s="66"/>
      <c r="DQD38" s="66"/>
      <c r="DQE38" s="66"/>
      <c r="DQF38" s="66"/>
      <c r="DQG38" s="66"/>
      <c r="DQH38" s="66"/>
      <c r="DQI38" s="66"/>
      <c r="DQJ38" s="66"/>
      <c r="DQK38" s="66"/>
      <c r="DQL38" s="66"/>
      <c r="DQM38" s="66"/>
      <c r="DQN38" s="66"/>
      <c r="DQO38" s="66"/>
      <c r="DQP38" s="66"/>
      <c r="DQQ38" s="66"/>
      <c r="DQR38" s="66"/>
      <c r="DQS38" s="66"/>
      <c r="DQT38" s="66"/>
      <c r="DQU38" s="66"/>
      <c r="DQV38" s="66"/>
      <c r="DQW38" s="66"/>
      <c r="DQX38" s="66"/>
      <c r="DQY38" s="66"/>
      <c r="DQZ38" s="66"/>
      <c r="DRA38" s="66"/>
      <c r="DRB38" s="66"/>
      <c r="DRC38" s="66"/>
      <c r="DRD38" s="66"/>
      <c r="DRE38" s="66"/>
      <c r="DRF38" s="66"/>
      <c r="DRG38" s="66"/>
      <c r="DRH38" s="66"/>
      <c r="DRI38" s="66"/>
      <c r="DRJ38" s="66"/>
      <c r="DRK38" s="66"/>
      <c r="DRL38" s="66"/>
      <c r="DRM38" s="66"/>
      <c r="DRN38" s="66"/>
      <c r="DRO38" s="66"/>
      <c r="DRP38" s="66"/>
      <c r="DRQ38" s="66"/>
      <c r="DRR38" s="66"/>
      <c r="DRS38" s="66"/>
      <c r="DRT38" s="66"/>
      <c r="DRU38" s="66"/>
      <c r="DRV38" s="66"/>
      <c r="DRW38" s="66"/>
      <c r="DRX38" s="66"/>
      <c r="DRY38" s="66"/>
      <c r="DRZ38" s="66"/>
      <c r="DSA38" s="66"/>
      <c r="DSB38" s="66"/>
      <c r="DSC38" s="66"/>
      <c r="DSD38" s="66"/>
      <c r="DSE38" s="66"/>
      <c r="DSF38" s="66"/>
      <c r="DSG38" s="66"/>
      <c r="DSH38" s="66"/>
      <c r="DSI38" s="66"/>
      <c r="DSJ38" s="66"/>
      <c r="DSK38" s="66"/>
      <c r="DSL38" s="66"/>
      <c r="DSM38" s="66"/>
      <c r="DSN38" s="66"/>
      <c r="DSO38" s="66"/>
      <c r="DSP38" s="66"/>
      <c r="DSQ38" s="66"/>
      <c r="DSR38" s="66"/>
      <c r="DSS38" s="66"/>
      <c r="DST38" s="66"/>
      <c r="DSU38" s="66"/>
      <c r="DSV38" s="66"/>
      <c r="DSW38" s="66"/>
      <c r="DSX38" s="66"/>
      <c r="DSY38" s="66"/>
      <c r="DSZ38" s="66"/>
      <c r="DTA38" s="66"/>
      <c r="DTB38" s="66"/>
      <c r="DTC38" s="66"/>
      <c r="DTD38" s="66"/>
      <c r="DTE38" s="66"/>
      <c r="DTF38" s="66"/>
      <c r="DTG38" s="66"/>
      <c r="DTH38" s="66"/>
      <c r="DTI38" s="66"/>
      <c r="DTJ38" s="66"/>
      <c r="DTK38" s="66"/>
      <c r="DTL38" s="66"/>
      <c r="DTM38" s="66"/>
      <c r="DTN38" s="66"/>
      <c r="DTO38" s="66"/>
      <c r="DTP38" s="66"/>
      <c r="DTQ38" s="66"/>
      <c r="DTR38" s="66"/>
      <c r="DTS38" s="66"/>
      <c r="DTT38" s="66"/>
      <c r="DTU38" s="66"/>
      <c r="DTV38" s="66"/>
      <c r="DTW38" s="66"/>
      <c r="DTX38" s="66"/>
      <c r="DTY38" s="66"/>
      <c r="DTZ38" s="66"/>
      <c r="DUA38" s="66"/>
      <c r="DUB38" s="66"/>
      <c r="DUC38" s="66"/>
      <c r="DUD38" s="66"/>
      <c r="DUE38" s="66"/>
      <c r="DUF38" s="66"/>
      <c r="DUG38" s="66"/>
      <c r="DUH38" s="66"/>
      <c r="DUI38" s="66"/>
      <c r="DUJ38" s="66"/>
      <c r="DUK38" s="66"/>
      <c r="DUL38" s="66"/>
      <c r="DUM38" s="66"/>
      <c r="DUN38" s="66"/>
      <c r="DUO38" s="66"/>
      <c r="DUP38" s="66"/>
      <c r="DUQ38" s="66"/>
      <c r="DUR38" s="66"/>
      <c r="DUS38" s="66"/>
      <c r="DUT38" s="66"/>
      <c r="DUU38" s="66"/>
      <c r="DUV38" s="66"/>
      <c r="DUW38" s="66"/>
      <c r="DUX38" s="66"/>
      <c r="DUY38" s="66"/>
      <c r="DUZ38" s="66"/>
      <c r="DVA38" s="66"/>
      <c r="DVB38" s="66"/>
      <c r="DVC38" s="66"/>
      <c r="DVD38" s="66"/>
      <c r="DVE38" s="66"/>
      <c r="DVF38" s="66"/>
      <c r="DVG38" s="66"/>
      <c r="DVH38" s="66"/>
      <c r="DVI38" s="66"/>
      <c r="DVJ38" s="66"/>
      <c r="DVK38" s="66"/>
      <c r="DVL38" s="66"/>
      <c r="DVM38" s="66"/>
      <c r="DVN38" s="66"/>
      <c r="DVO38" s="66"/>
      <c r="DVP38" s="66"/>
      <c r="DVQ38" s="66"/>
      <c r="DVR38" s="66"/>
      <c r="DVS38" s="66"/>
      <c r="DVT38" s="66"/>
      <c r="DVU38" s="66"/>
      <c r="DVV38" s="66"/>
      <c r="DVW38" s="66"/>
      <c r="DVX38" s="66"/>
      <c r="DVY38" s="66"/>
      <c r="DVZ38" s="66"/>
      <c r="DWA38" s="66"/>
      <c r="DWB38" s="66"/>
      <c r="DWC38" s="66"/>
      <c r="DWD38" s="66"/>
      <c r="DWE38" s="66"/>
      <c r="DWF38" s="66"/>
      <c r="DWG38" s="66"/>
      <c r="DWH38" s="66"/>
      <c r="DWI38" s="66"/>
      <c r="DWJ38" s="66"/>
      <c r="DWK38" s="66"/>
      <c r="DWL38" s="66"/>
      <c r="DWM38" s="66"/>
      <c r="DWN38" s="66"/>
      <c r="DWO38" s="66"/>
      <c r="DWP38" s="66"/>
      <c r="DWQ38" s="66"/>
      <c r="DWR38" s="66"/>
      <c r="DWS38" s="66"/>
      <c r="DWT38" s="66"/>
      <c r="DWU38" s="66"/>
      <c r="DWV38" s="66"/>
      <c r="DWW38" s="66"/>
      <c r="DWX38" s="66"/>
      <c r="DWY38" s="66"/>
      <c r="DWZ38" s="66"/>
      <c r="DXA38" s="66"/>
      <c r="DXB38" s="66"/>
      <c r="DXC38" s="66"/>
      <c r="DXD38" s="66"/>
      <c r="DXE38" s="66"/>
      <c r="DXF38" s="66"/>
      <c r="DXG38" s="66"/>
      <c r="DXH38" s="66"/>
      <c r="DXI38" s="66"/>
      <c r="DXJ38" s="66"/>
      <c r="DXK38" s="66"/>
      <c r="DXL38" s="66"/>
      <c r="DXM38" s="66"/>
      <c r="DXN38" s="66"/>
      <c r="DXO38" s="66"/>
      <c r="DXP38" s="66"/>
      <c r="DXQ38" s="66"/>
      <c r="DXR38" s="66"/>
      <c r="DXS38" s="66"/>
      <c r="DXT38" s="66"/>
      <c r="DXU38" s="66"/>
      <c r="DXV38" s="66"/>
      <c r="DXW38" s="66"/>
      <c r="DXX38" s="66"/>
      <c r="DXY38" s="66"/>
      <c r="DXZ38" s="66"/>
      <c r="DYA38" s="66"/>
      <c r="DYB38" s="66"/>
      <c r="DYC38" s="66"/>
      <c r="DYD38" s="66"/>
      <c r="DYE38" s="66"/>
      <c r="DYF38" s="66"/>
      <c r="DYG38" s="66"/>
      <c r="DYH38" s="66"/>
      <c r="DYI38" s="66"/>
      <c r="DYJ38" s="66"/>
      <c r="DYK38" s="66"/>
      <c r="DYL38" s="66"/>
      <c r="DYM38" s="66"/>
      <c r="DYN38" s="66"/>
      <c r="DYO38" s="66"/>
      <c r="DYP38" s="66"/>
      <c r="DYQ38" s="66"/>
      <c r="DYR38" s="66"/>
      <c r="DYS38" s="66"/>
      <c r="DYT38" s="66"/>
      <c r="DYU38" s="66"/>
      <c r="DYV38" s="66"/>
      <c r="DYW38" s="66"/>
      <c r="DYX38" s="66"/>
      <c r="DYY38" s="66"/>
      <c r="DYZ38" s="66"/>
      <c r="DZA38" s="66"/>
      <c r="DZB38" s="66"/>
      <c r="DZC38" s="66"/>
      <c r="DZD38" s="66"/>
      <c r="DZE38" s="66"/>
      <c r="DZF38" s="66"/>
      <c r="DZG38" s="66"/>
      <c r="DZH38" s="66"/>
      <c r="DZI38" s="66"/>
      <c r="DZJ38" s="66"/>
      <c r="DZK38" s="66"/>
      <c r="DZL38" s="66"/>
      <c r="DZM38" s="66"/>
      <c r="DZN38" s="66"/>
      <c r="DZO38" s="66"/>
      <c r="DZP38" s="66"/>
      <c r="DZQ38" s="66"/>
      <c r="DZR38" s="66"/>
      <c r="DZS38" s="66"/>
      <c r="DZT38" s="66"/>
      <c r="DZU38" s="66"/>
      <c r="DZV38" s="66"/>
      <c r="DZW38" s="66"/>
      <c r="DZX38" s="66"/>
      <c r="DZY38" s="66"/>
      <c r="DZZ38" s="66"/>
      <c r="EAA38" s="66"/>
      <c r="EAB38" s="66"/>
      <c r="EAC38" s="66"/>
      <c r="EAD38" s="66"/>
      <c r="EAE38" s="66"/>
      <c r="EAF38" s="66"/>
      <c r="EAG38" s="66"/>
      <c r="EAH38" s="66"/>
      <c r="EAI38" s="66"/>
      <c r="EAJ38" s="66"/>
      <c r="EAK38" s="66"/>
      <c r="EAL38" s="66"/>
      <c r="EAM38" s="66"/>
      <c r="EAN38" s="66"/>
      <c r="EAO38" s="66"/>
      <c r="EAP38" s="66"/>
      <c r="EAQ38" s="66"/>
      <c r="EAR38" s="66"/>
      <c r="EAS38" s="66"/>
      <c r="EAT38" s="66"/>
      <c r="EAU38" s="66"/>
      <c r="EAV38" s="66"/>
      <c r="EAW38" s="66"/>
      <c r="EAX38" s="66"/>
      <c r="EAY38" s="66"/>
      <c r="EAZ38" s="66"/>
      <c r="EBA38" s="66"/>
      <c r="EBB38" s="66"/>
      <c r="EBC38" s="66"/>
      <c r="EBD38" s="66"/>
      <c r="EBE38" s="66"/>
      <c r="EBF38" s="66"/>
      <c r="EBG38" s="66"/>
      <c r="EBH38" s="66"/>
      <c r="EBI38" s="66"/>
      <c r="EBJ38" s="66"/>
      <c r="EBK38" s="66"/>
      <c r="EBL38" s="66"/>
      <c r="EBM38" s="66"/>
      <c r="EBN38" s="66"/>
      <c r="EBO38" s="66"/>
      <c r="EBP38" s="66"/>
      <c r="EBQ38" s="66"/>
      <c r="EBR38" s="66"/>
      <c r="EBS38" s="66"/>
      <c r="EBT38" s="66"/>
      <c r="EBU38" s="66"/>
      <c r="EBV38" s="66"/>
      <c r="EBW38" s="66"/>
      <c r="EBX38" s="66"/>
      <c r="EBY38" s="66"/>
      <c r="EBZ38" s="66"/>
      <c r="ECA38" s="66"/>
      <c r="ECB38" s="66"/>
      <c r="ECC38" s="66"/>
      <c r="ECD38" s="66"/>
      <c r="ECE38" s="66"/>
      <c r="ECF38" s="66"/>
      <c r="ECG38" s="66"/>
      <c r="ECH38" s="66"/>
      <c r="ECI38" s="66"/>
      <c r="ECJ38" s="66"/>
      <c r="ECK38" s="66"/>
      <c r="ECL38" s="66"/>
      <c r="ECM38" s="66"/>
      <c r="ECN38" s="66"/>
      <c r="ECO38" s="66"/>
      <c r="ECP38" s="66"/>
      <c r="ECQ38" s="66"/>
      <c r="ECR38" s="66"/>
      <c r="ECS38" s="66"/>
      <c r="ECT38" s="66"/>
      <c r="ECU38" s="66"/>
      <c r="ECV38" s="66"/>
      <c r="ECW38" s="66"/>
      <c r="ECX38" s="66"/>
      <c r="ECY38" s="66"/>
      <c r="ECZ38" s="66"/>
      <c r="EDA38" s="66"/>
      <c r="EDB38" s="66"/>
      <c r="EDC38" s="66"/>
      <c r="EDD38" s="66"/>
      <c r="EDE38" s="66"/>
      <c r="EDF38" s="66"/>
      <c r="EDG38" s="66"/>
      <c r="EDH38" s="66"/>
      <c r="EDI38" s="66"/>
      <c r="EDJ38" s="66"/>
      <c r="EDK38" s="66"/>
      <c r="EDL38" s="66"/>
      <c r="EDM38" s="66"/>
      <c r="EDN38" s="66"/>
      <c r="EDO38" s="66"/>
      <c r="EDP38" s="66"/>
      <c r="EDQ38" s="66"/>
      <c r="EDR38" s="66"/>
      <c r="EDS38" s="66"/>
      <c r="EDT38" s="66"/>
      <c r="EDU38" s="66"/>
      <c r="EDV38" s="66"/>
      <c r="EDW38" s="66"/>
      <c r="EDX38" s="66"/>
      <c r="EDY38" s="66"/>
      <c r="EDZ38" s="66"/>
      <c r="EEA38" s="66"/>
      <c r="EEB38" s="66"/>
      <c r="EEC38" s="66"/>
      <c r="EED38" s="66"/>
      <c r="EEE38" s="66"/>
      <c r="EEF38" s="66"/>
      <c r="EEG38" s="66"/>
      <c r="EEH38" s="66"/>
      <c r="EEI38" s="66"/>
      <c r="EEJ38" s="66"/>
      <c r="EEK38" s="66"/>
      <c r="EEL38" s="66"/>
      <c r="EEM38" s="66"/>
      <c r="EEN38" s="66"/>
      <c r="EEO38" s="66"/>
      <c r="EEP38" s="66"/>
      <c r="EEQ38" s="66"/>
      <c r="EER38" s="66"/>
      <c r="EES38" s="66"/>
      <c r="EET38" s="66"/>
      <c r="EEU38" s="66"/>
      <c r="EEV38" s="66"/>
      <c r="EEW38" s="66"/>
      <c r="EEX38" s="66"/>
      <c r="EEY38" s="66"/>
      <c r="EEZ38" s="66"/>
      <c r="EFA38" s="66"/>
      <c r="EFB38" s="66"/>
      <c r="EFC38" s="66"/>
      <c r="EFD38" s="66"/>
      <c r="EFE38" s="66"/>
      <c r="EFF38" s="66"/>
      <c r="EFG38" s="66"/>
      <c r="EFH38" s="66"/>
      <c r="EFI38" s="66"/>
      <c r="EFJ38" s="66"/>
      <c r="EFK38" s="66"/>
      <c r="EFL38" s="66"/>
      <c r="EFM38" s="66"/>
      <c r="EFN38" s="66"/>
      <c r="EFO38" s="66"/>
      <c r="EFP38" s="66"/>
      <c r="EFQ38" s="66"/>
      <c r="EFR38" s="66"/>
      <c r="EFS38" s="66"/>
      <c r="EFT38" s="66"/>
      <c r="EFU38" s="66"/>
      <c r="EFV38" s="66"/>
      <c r="EFW38" s="66"/>
      <c r="EFX38" s="66"/>
      <c r="EFY38" s="66"/>
      <c r="EFZ38" s="66"/>
      <c r="EGA38" s="66"/>
      <c r="EGB38" s="66"/>
      <c r="EGC38" s="66"/>
      <c r="EGD38" s="66"/>
      <c r="EGE38" s="66"/>
      <c r="EGF38" s="66"/>
      <c r="EGG38" s="66"/>
      <c r="EGH38" s="66"/>
      <c r="EGI38" s="66"/>
      <c r="EGJ38" s="66"/>
      <c r="EGK38" s="66"/>
      <c r="EGL38" s="66"/>
      <c r="EGM38" s="66"/>
      <c r="EGN38" s="66"/>
      <c r="EGO38" s="66"/>
      <c r="EGP38" s="66"/>
      <c r="EGQ38" s="66"/>
      <c r="EGR38" s="66"/>
      <c r="EGS38" s="66"/>
      <c r="EGT38" s="66"/>
      <c r="EGU38" s="66"/>
      <c r="EGV38" s="66"/>
      <c r="EGW38" s="66"/>
      <c r="EGX38" s="66"/>
      <c r="EGY38" s="66"/>
      <c r="EGZ38" s="66"/>
      <c r="EHA38" s="66"/>
      <c r="EHB38" s="66"/>
      <c r="EHC38" s="66"/>
      <c r="EHD38" s="66"/>
      <c r="EHE38" s="66"/>
      <c r="EHF38" s="66"/>
      <c r="EHG38" s="66"/>
      <c r="EHH38" s="66"/>
      <c r="EHI38" s="66"/>
      <c r="EHJ38" s="66"/>
      <c r="EHK38" s="66"/>
      <c r="EHL38" s="66"/>
      <c r="EHM38" s="66"/>
      <c r="EHN38" s="66"/>
      <c r="EHO38" s="66"/>
      <c r="EHP38" s="66"/>
      <c r="EHQ38" s="66"/>
      <c r="EHR38" s="66"/>
      <c r="EHS38" s="66"/>
      <c r="EHT38" s="66"/>
      <c r="EHU38" s="66"/>
      <c r="EHV38" s="66"/>
      <c r="EHW38" s="66"/>
      <c r="EHX38" s="66"/>
      <c r="EHY38" s="66"/>
      <c r="EHZ38" s="66"/>
      <c r="EIA38" s="66"/>
      <c r="EIB38" s="66"/>
      <c r="EIC38" s="66"/>
      <c r="EID38" s="66"/>
      <c r="EIE38" s="66"/>
      <c r="EIF38" s="66"/>
      <c r="EIG38" s="66"/>
      <c r="EIH38" s="66"/>
      <c r="EII38" s="66"/>
      <c r="EIJ38" s="66"/>
      <c r="EIK38" s="66"/>
      <c r="EIL38" s="66"/>
      <c r="EIM38" s="66"/>
      <c r="EIN38" s="66"/>
      <c r="EIO38" s="66"/>
      <c r="EIP38" s="66"/>
      <c r="EIQ38" s="66"/>
      <c r="EIR38" s="66"/>
      <c r="EIS38" s="66"/>
      <c r="EIT38" s="66"/>
      <c r="EIU38" s="66"/>
      <c r="EIV38" s="66"/>
      <c r="EIW38" s="66"/>
      <c r="EIX38" s="66"/>
      <c r="EIY38" s="66"/>
      <c r="EIZ38" s="66"/>
      <c r="EJA38" s="66"/>
      <c r="EJB38" s="66"/>
      <c r="EJC38" s="66"/>
      <c r="EJD38" s="66"/>
      <c r="EJE38" s="66"/>
      <c r="EJF38" s="66"/>
      <c r="EJG38" s="66"/>
      <c r="EJH38" s="66"/>
      <c r="EJI38" s="66"/>
      <c r="EJJ38" s="66"/>
      <c r="EJK38" s="66"/>
      <c r="EJL38" s="66"/>
      <c r="EJM38" s="66"/>
      <c r="EJN38" s="66"/>
      <c r="EJO38" s="66"/>
      <c r="EJP38" s="66"/>
      <c r="EJQ38" s="66"/>
      <c r="EJR38" s="66"/>
      <c r="EJS38" s="66"/>
      <c r="EJT38" s="66"/>
      <c r="EJU38" s="66"/>
      <c r="EJV38" s="66"/>
      <c r="EJW38" s="66"/>
      <c r="EJX38" s="66"/>
      <c r="EJY38" s="66"/>
      <c r="EJZ38" s="66"/>
      <c r="EKA38" s="66"/>
      <c r="EKB38" s="66"/>
      <c r="EKC38" s="66"/>
      <c r="EKD38" s="66"/>
      <c r="EKE38" s="66"/>
      <c r="EKF38" s="66"/>
      <c r="EKG38" s="66"/>
      <c r="EKH38" s="66"/>
      <c r="EKI38" s="66"/>
      <c r="EKJ38" s="66"/>
      <c r="EKK38" s="66"/>
      <c r="EKL38" s="66"/>
      <c r="EKM38" s="66"/>
      <c r="EKN38" s="66"/>
      <c r="EKO38" s="66"/>
      <c r="EKP38" s="66"/>
      <c r="EKQ38" s="66"/>
      <c r="EKR38" s="66"/>
      <c r="EKS38" s="66"/>
      <c r="EKT38" s="66"/>
      <c r="EKU38" s="66"/>
      <c r="EKV38" s="66"/>
      <c r="EKW38" s="66"/>
      <c r="EKX38" s="66"/>
      <c r="EKY38" s="66"/>
      <c r="EKZ38" s="66"/>
      <c r="ELA38" s="66"/>
      <c r="ELB38" s="66"/>
      <c r="ELC38" s="66"/>
      <c r="ELD38" s="66"/>
      <c r="ELE38" s="66"/>
      <c r="ELF38" s="66"/>
      <c r="ELG38" s="66"/>
      <c r="ELH38" s="66"/>
      <c r="ELI38" s="66"/>
      <c r="ELJ38" s="66"/>
      <c r="ELK38" s="66"/>
      <c r="ELL38" s="66"/>
      <c r="ELM38" s="66"/>
      <c r="ELN38" s="66"/>
      <c r="ELO38" s="66"/>
      <c r="ELP38" s="66"/>
      <c r="ELQ38" s="66"/>
      <c r="ELR38" s="66"/>
      <c r="ELS38" s="66"/>
      <c r="ELT38" s="66"/>
      <c r="ELU38" s="66"/>
      <c r="ELV38" s="66"/>
      <c r="ELW38" s="66"/>
      <c r="ELX38" s="66"/>
      <c r="ELY38" s="66"/>
      <c r="ELZ38" s="66"/>
      <c r="EMA38" s="66"/>
      <c r="EMB38" s="66"/>
      <c r="EMC38" s="66"/>
      <c r="EMD38" s="66"/>
      <c r="EME38" s="66"/>
      <c r="EMF38" s="66"/>
      <c r="EMG38" s="66"/>
      <c r="EMH38" s="66"/>
      <c r="EMI38" s="66"/>
      <c r="EMJ38" s="66"/>
      <c r="EMK38" s="66"/>
      <c r="EML38" s="66"/>
      <c r="EMM38" s="66"/>
      <c r="EMN38" s="66"/>
      <c r="EMO38" s="66"/>
      <c r="EMP38" s="66"/>
      <c r="EMQ38" s="66"/>
      <c r="EMR38" s="66"/>
      <c r="EMS38" s="66"/>
      <c r="EMT38" s="66"/>
      <c r="EMU38" s="66"/>
      <c r="EMV38" s="66"/>
      <c r="EMW38" s="66"/>
      <c r="EMX38" s="66"/>
      <c r="EMY38" s="66"/>
      <c r="EMZ38" s="66"/>
      <c r="ENA38" s="66"/>
      <c r="ENB38" s="66"/>
      <c r="ENC38" s="66"/>
      <c r="END38" s="66"/>
      <c r="ENE38" s="66"/>
      <c r="ENF38" s="66"/>
      <c r="ENG38" s="66"/>
      <c r="ENH38" s="66"/>
      <c r="ENI38" s="66"/>
      <c r="ENJ38" s="66"/>
      <c r="ENK38" s="66"/>
      <c r="ENL38" s="66"/>
      <c r="ENM38" s="66"/>
      <c r="ENN38" s="66"/>
      <c r="ENO38" s="66"/>
      <c r="ENP38" s="66"/>
      <c r="ENQ38" s="66"/>
      <c r="ENR38" s="66"/>
      <c r="ENS38" s="66"/>
      <c r="ENT38" s="66"/>
      <c r="ENU38" s="66"/>
      <c r="ENV38" s="66"/>
      <c r="ENW38" s="66"/>
      <c r="ENX38" s="66"/>
      <c r="ENY38" s="66"/>
      <c r="ENZ38" s="66"/>
      <c r="EOA38" s="66"/>
      <c r="EOB38" s="66"/>
      <c r="EOC38" s="66"/>
      <c r="EOD38" s="66"/>
      <c r="EOE38" s="66"/>
      <c r="EOF38" s="66"/>
      <c r="EOG38" s="66"/>
      <c r="EOH38" s="66"/>
      <c r="EOI38" s="66"/>
      <c r="EOJ38" s="66"/>
      <c r="EOK38" s="66"/>
      <c r="EOL38" s="66"/>
      <c r="EOM38" s="66"/>
      <c r="EON38" s="66"/>
      <c r="EOO38" s="66"/>
      <c r="EOP38" s="66"/>
      <c r="EOQ38" s="66"/>
      <c r="EOR38" s="66"/>
      <c r="EOS38" s="66"/>
      <c r="EOT38" s="66"/>
      <c r="EOU38" s="66"/>
      <c r="EOV38" s="66"/>
      <c r="EOW38" s="66"/>
      <c r="EOX38" s="66"/>
      <c r="EOY38" s="66"/>
      <c r="EOZ38" s="66"/>
      <c r="EPA38" s="66"/>
      <c r="EPB38" s="66"/>
      <c r="EPC38" s="66"/>
      <c r="EPD38" s="66"/>
      <c r="EPE38" s="66"/>
      <c r="EPF38" s="66"/>
      <c r="EPG38" s="66"/>
      <c r="EPH38" s="66"/>
      <c r="EPI38" s="66"/>
      <c r="EPJ38" s="66"/>
      <c r="EPK38" s="66"/>
      <c r="EPL38" s="66"/>
      <c r="EPM38" s="66"/>
      <c r="EPN38" s="66"/>
      <c r="EPO38" s="66"/>
      <c r="EPP38" s="66"/>
      <c r="EPQ38" s="66"/>
      <c r="EPR38" s="66"/>
      <c r="EPS38" s="66"/>
      <c r="EPT38" s="66"/>
      <c r="EPU38" s="66"/>
      <c r="EPV38" s="66"/>
      <c r="EPW38" s="66"/>
      <c r="EPX38" s="66"/>
      <c r="EPY38" s="66"/>
      <c r="EPZ38" s="66"/>
      <c r="EQA38" s="66"/>
      <c r="EQB38" s="66"/>
      <c r="EQC38" s="66"/>
      <c r="EQD38" s="66"/>
      <c r="EQE38" s="66"/>
      <c r="EQF38" s="66"/>
      <c r="EQG38" s="66"/>
      <c r="EQH38" s="66"/>
      <c r="EQI38" s="66"/>
      <c r="EQJ38" s="66"/>
      <c r="EQK38" s="66"/>
      <c r="EQL38" s="66"/>
      <c r="EQM38" s="66"/>
      <c r="EQN38" s="66"/>
      <c r="EQO38" s="66"/>
      <c r="EQP38" s="66"/>
      <c r="EQQ38" s="66"/>
      <c r="EQR38" s="66"/>
      <c r="EQS38" s="66"/>
      <c r="EQT38" s="66"/>
      <c r="EQU38" s="66"/>
      <c r="EQV38" s="66"/>
      <c r="EQW38" s="66"/>
      <c r="EQX38" s="66"/>
      <c r="EQY38" s="66"/>
      <c r="EQZ38" s="66"/>
      <c r="ERA38" s="66"/>
      <c r="ERB38" s="66"/>
      <c r="ERC38" s="66"/>
      <c r="ERD38" s="66"/>
      <c r="ERE38" s="66"/>
      <c r="ERF38" s="66"/>
      <c r="ERG38" s="66"/>
      <c r="ERH38" s="66"/>
      <c r="ERI38" s="66"/>
      <c r="ERJ38" s="66"/>
      <c r="ERK38" s="66"/>
      <c r="ERL38" s="66"/>
      <c r="ERM38" s="66"/>
      <c r="ERN38" s="66"/>
      <c r="ERO38" s="66"/>
      <c r="ERP38" s="66"/>
      <c r="ERQ38" s="66"/>
      <c r="ERR38" s="66"/>
      <c r="ERS38" s="66"/>
      <c r="ERT38" s="66"/>
      <c r="ERU38" s="66"/>
      <c r="ERV38" s="66"/>
      <c r="ERW38" s="66"/>
      <c r="ERX38" s="66"/>
      <c r="ERY38" s="66"/>
      <c r="ERZ38" s="66"/>
      <c r="ESA38" s="66"/>
      <c r="ESB38" s="66"/>
      <c r="ESC38" s="66"/>
      <c r="ESD38" s="66"/>
      <c r="ESE38" s="66"/>
      <c r="ESF38" s="66"/>
      <c r="ESG38" s="66"/>
      <c r="ESH38" s="66"/>
      <c r="ESI38" s="66"/>
      <c r="ESJ38" s="66"/>
      <c r="ESK38" s="66"/>
      <c r="ESL38" s="66"/>
      <c r="ESM38" s="66"/>
      <c r="ESN38" s="66"/>
      <c r="ESO38" s="66"/>
      <c r="ESP38" s="66"/>
      <c r="ESQ38" s="66"/>
      <c r="ESR38" s="66"/>
      <c r="ESS38" s="66"/>
      <c r="EST38" s="66"/>
      <c r="ESU38" s="66"/>
      <c r="ESV38" s="66"/>
      <c r="ESW38" s="66"/>
      <c r="ESX38" s="66"/>
      <c r="ESY38" s="66"/>
      <c r="ESZ38" s="66"/>
      <c r="ETA38" s="66"/>
      <c r="ETB38" s="66"/>
      <c r="ETC38" s="66"/>
      <c r="ETD38" s="66"/>
      <c r="ETE38" s="66"/>
      <c r="ETF38" s="66"/>
      <c r="ETG38" s="66"/>
      <c r="ETH38" s="66"/>
      <c r="ETI38" s="66"/>
      <c r="ETJ38" s="66"/>
      <c r="ETK38" s="66"/>
      <c r="ETL38" s="66"/>
      <c r="ETM38" s="66"/>
      <c r="ETN38" s="66"/>
      <c r="ETO38" s="66"/>
      <c r="ETP38" s="66"/>
      <c r="ETQ38" s="66"/>
      <c r="ETR38" s="66"/>
      <c r="ETS38" s="66"/>
      <c r="ETT38" s="66"/>
      <c r="ETU38" s="66"/>
      <c r="ETV38" s="66"/>
      <c r="ETW38" s="66"/>
      <c r="ETX38" s="66"/>
      <c r="ETY38" s="66"/>
      <c r="ETZ38" s="66"/>
      <c r="EUA38" s="66"/>
      <c r="EUB38" s="66"/>
      <c r="EUC38" s="66"/>
      <c r="EUD38" s="66"/>
      <c r="EUE38" s="66"/>
      <c r="EUF38" s="66"/>
      <c r="EUG38" s="66"/>
      <c r="EUH38" s="66"/>
      <c r="EUI38" s="66"/>
      <c r="EUJ38" s="66"/>
      <c r="EUK38" s="66"/>
      <c r="EUL38" s="66"/>
      <c r="EUM38" s="66"/>
      <c r="EUN38" s="66"/>
      <c r="EUO38" s="66"/>
      <c r="EUP38" s="66"/>
      <c r="EUQ38" s="66"/>
      <c r="EUR38" s="66"/>
      <c r="EUS38" s="66"/>
      <c r="EUT38" s="66"/>
      <c r="EUU38" s="66"/>
      <c r="EUV38" s="66"/>
      <c r="EUW38" s="66"/>
      <c r="EUX38" s="66"/>
      <c r="EUY38" s="66"/>
      <c r="EUZ38" s="66"/>
      <c r="EVA38" s="66"/>
      <c r="EVB38" s="66"/>
      <c r="EVC38" s="66"/>
      <c r="EVD38" s="66"/>
      <c r="EVE38" s="66"/>
      <c r="EVF38" s="66"/>
      <c r="EVG38" s="66"/>
      <c r="EVH38" s="66"/>
      <c r="EVI38" s="66"/>
      <c r="EVJ38" s="66"/>
      <c r="EVK38" s="66"/>
      <c r="EVL38" s="66"/>
      <c r="EVM38" s="66"/>
      <c r="EVN38" s="66"/>
      <c r="EVO38" s="66"/>
      <c r="EVP38" s="66"/>
      <c r="EVQ38" s="66"/>
      <c r="EVR38" s="66"/>
      <c r="EVS38" s="66"/>
      <c r="EVT38" s="66"/>
      <c r="EVU38" s="66"/>
      <c r="EVV38" s="66"/>
      <c r="EVW38" s="66"/>
      <c r="EVX38" s="66"/>
      <c r="EVY38" s="66"/>
      <c r="EVZ38" s="66"/>
      <c r="EWA38" s="66"/>
      <c r="EWB38" s="66"/>
      <c r="EWC38" s="66"/>
      <c r="EWD38" s="66"/>
      <c r="EWE38" s="66"/>
      <c r="EWF38" s="66"/>
      <c r="EWG38" s="66"/>
      <c r="EWH38" s="66"/>
      <c r="EWI38" s="66"/>
      <c r="EWJ38" s="66"/>
      <c r="EWK38" s="66"/>
      <c r="EWL38" s="66"/>
      <c r="EWM38" s="66"/>
      <c r="EWN38" s="66"/>
      <c r="EWO38" s="66"/>
      <c r="EWP38" s="66"/>
      <c r="EWQ38" s="66"/>
      <c r="EWR38" s="66"/>
      <c r="EWS38" s="66"/>
      <c r="EWT38" s="66"/>
      <c r="EWU38" s="66"/>
      <c r="EWV38" s="66"/>
      <c r="EWW38" s="66"/>
      <c r="EWX38" s="66"/>
      <c r="EWY38" s="66"/>
      <c r="EWZ38" s="66"/>
      <c r="EXA38" s="66"/>
      <c r="EXB38" s="66"/>
      <c r="EXC38" s="66"/>
      <c r="EXD38" s="66"/>
      <c r="EXE38" s="66"/>
      <c r="EXF38" s="66"/>
      <c r="EXG38" s="66"/>
      <c r="EXH38" s="66"/>
      <c r="EXI38" s="66"/>
      <c r="EXJ38" s="66"/>
      <c r="EXK38" s="66"/>
      <c r="EXL38" s="66"/>
      <c r="EXM38" s="66"/>
      <c r="EXN38" s="66"/>
      <c r="EXO38" s="66"/>
      <c r="EXP38" s="66"/>
      <c r="EXQ38" s="66"/>
      <c r="EXR38" s="66"/>
      <c r="EXS38" s="66"/>
      <c r="EXT38" s="66"/>
      <c r="EXU38" s="66"/>
      <c r="EXV38" s="66"/>
      <c r="EXW38" s="66"/>
      <c r="EXX38" s="66"/>
      <c r="EXY38" s="66"/>
      <c r="EXZ38" s="66"/>
      <c r="EYA38" s="66"/>
      <c r="EYB38" s="66"/>
      <c r="EYC38" s="66"/>
      <c r="EYD38" s="66"/>
      <c r="EYE38" s="66"/>
      <c r="EYF38" s="66"/>
      <c r="EYG38" s="66"/>
      <c r="EYH38" s="66"/>
      <c r="EYI38" s="66"/>
      <c r="EYJ38" s="66"/>
      <c r="EYK38" s="66"/>
      <c r="EYL38" s="66"/>
      <c r="EYM38" s="66"/>
      <c r="EYN38" s="66"/>
      <c r="EYO38" s="66"/>
      <c r="EYP38" s="66"/>
      <c r="EYQ38" s="66"/>
      <c r="EYR38" s="66"/>
      <c r="EYS38" s="66"/>
      <c r="EYT38" s="66"/>
      <c r="EYU38" s="66"/>
      <c r="EYV38" s="66"/>
      <c r="EYW38" s="66"/>
      <c r="EYX38" s="66"/>
      <c r="EYY38" s="66"/>
      <c r="EYZ38" s="66"/>
      <c r="EZA38" s="66"/>
      <c r="EZB38" s="66"/>
      <c r="EZC38" s="66"/>
      <c r="EZD38" s="66"/>
      <c r="EZE38" s="66"/>
      <c r="EZF38" s="66"/>
      <c r="EZG38" s="66"/>
      <c r="EZH38" s="66"/>
      <c r="EZI38" s="66"/>
      <c r="EZJ38" s="66"/>
      <c r="EZK38" s="66"/>
      <c r="EZL38" s="66"/>
      <c r="EZM38" s="66"/>
      <c r="EZN38" s="66"/>
      <c r="EZO38" s="66"/>
      <c r="EZP38" s="66"/>
      <c r="EZQ38" s="66"/>
      <c r="EZR38" s="66"/>
      <c r="EZS38" s="66"/>
      <c r="EZT38" s="66"/>
      <c r="EZU38" s="66"/>
      <c r="EZV38" s="66"/>
      <c r="EZW38" s="66"/>
      <c r="EZX38" s="66"/>
      <c r="EZY38" s="66"/>
      <c r="EZZ38" s="66"/>
      <c r="FAA38" s="66"/>
      <c r="FAB38" s="66"/>
      <c r="FAC38" s="66"/>
      <c r="FAD38" s="66"/>
      <c r="FAE38" s="66"/>
      <c r="FAF38" s="66"/>
      <c r="FAG38" s="66"/>
      <c r="FAH38" s="66"/>
      <c r="FAI38" s="66"/>
      <c r="FAJ38" s="66"/>
      <c r="FAK38" s="66"/>
      <c r="FAL38" s="66"/>
      <c r="FAM38" s="66"/>
      <c r="FAN38" s="66"/>
      <c r="FAO38" s="66"/>
      <c r="FAP38" s="66"/>
      <c r="FAQ38" s="66"/>
      <c r="FAR38" s="66"/>
      <c r="FAS38" s="66"/>
      <c r="FAT38" s="66"/>
      <c r="FAU38" s="66"/>
      <c r="FAV38" s="66"/>
      <c r="FAW38" s="66"/>
      <c r="FAX38" s="66"/>
      <c r="FAY38" s="66"/>
      <c r="FAZ38" s="66"/>
      <c r="FBA38" s="66"/>
      <c r="FBB38" s="66"/>
      <c r="FBC38" s="66"/>
      <c r="FBD38" s="66"/>
      <c r="FBE38" s="66"/>
      <c r="FBF38" s="66"/>
      <c r="FBG38" s="66"/>
      <c r="FBH38" s="66"/>
      <c r="FBI38" s="66"/>
      <c r="FBJ38" s="66"/>
      <c r="FBK38" s="66"/>
      <c r="FBL38" s="66"/>
      <c r="FBM38" s="66"/>
      <c r="FBN38" s="66"/>
      <c r="FBO38" s="66"/>
      <c r="FBP38" s="66"/>
      <c r="FBQ38" s="66"/>
      <c r="FBR38" s="66"/>
      <c r="FBS38" s="66"/>
      <c r="FBT38" s="66"/>
      <c r="FBU38" s="66"/>
      <c r="FBV38" s="66"/>
      <c r="FBW38" s="66"/>
      <c r="FBX38" s="66"/>
      <c r="FBY38" s="66"/>
      <c r="FBZ38" s="66"/>
      <c r="FCA38" s="66"/>
      <c r="FCB38" s="66"/>
      <c r="FCC38" s="66"/>
      <c r="FCD38" s="66"/>
      <c r="FCE38" s="66"/>
      <c r="FCF38" s="66"/>
      <c r="FCG38" s="66"/>
      <c r="FCH38" s="66"/>
      <c r="FCI38" s="66"/>
      <c r="FCJ38" s="66"/>
      <c r="FCK38" s="66"/>
      <c r="FCL38" s="66"/>
      <c r="FCM38" s="66"/>
      <c r="FCN38" s="66"/>
      <c r="FCO38" s="66"/>
      <c r="FCP38" s="66"/>
      <c r="FCQ38" s="66"/>
      <c r="FCR38" s="66"/>
      <c r="FCS38" s="66"/>
      <c r="FCT38" s="66"/>
      <c r="FCU38" s="66"/>
      <c r="FCV38" s="66"/>
      <c r="FCW38" s="66"/>
      <c r="FCX38" s="66"/>
      <c r="FCY38" s="66"/>
      <c r="FCZ38" s="66"/>
      <c r="FDA38" s="66"/>
      <c r="FDB38" s="66"/>
      <c r="FDC38" s="66"/>
      <c r="FDD38" s="66"/>
      <c r="FDE38" s="66"/>
      <c r="FDF38" s="66"/>
      <c r="FDG38" s="66"/>
      <c r="FDH38" s="66"/>
      <c r="FDI38" s="66"/>
      <c r="FDJ38" s="66"/>
      <c r="FDK38" s="66"/>
      <c r="FDL38" s="66"/>
      <c r="FDM38" s="66"/>
      <c r="FDN38" s="66"/>
      <c r="FDO38" s="66"/>
      <c r="FDP38" s="66"/>
      <c r="FDQ38" s="66"/>
      <c r="FDR38" s="66"/>
      <c r="FDS38" s="66"/>
      <c r="FDT38" s="66"/>
      <c r="FDU38" s="66"/>
      <c r="FDV38" s="66"/>
      <c r="FDW38" s="66"/>
      <c r="FDX38" s="66"/>
      <c r="FDY38" s="66"/>
      <c r="FDZ38" s="66"/>
      <c r="FEA38" s="66"/>
      <c r="FEB38" s="66"/>
      <c r="FEC38" s="66"/>
      <c r="FED38" s="66"/>
      <c r="FEE38" s="66"/>
      <c r="FEF38" s="66"/>
      <c r="FEG38" s="66"/>
      <c r="FEH38" s="66"/>
      <c r="FEI38" s="66"/>
      <c r="FEJ38" s="66"/>
      <c r="FEK38" s="66"/>
      <c r="FEL38" s="66"/>
      <c r="FEM38" s="66"/>
      <c r="FEN38" s="66"/>
      <c r="FEO38" s="66"/>
      <c r="FEP38" s="66"/>
      <c r="FEQ38" s="66"/>
      <c r="FER38" s="66"/>
      <c r="FES38" s="66"/>
      <c r="FET38" s="66"/>
      <c r="FEU38" s="66"/>
      <c r="FEV38" s="66"/>
      <c r="FEW38" s="66"/>
      <c r="FEX38" s="66"/>
      <c r="FEY38" s="66"/>
      <c r="FEZ38" s="66"/>
      <c r="FFA38" s="66"/>
      <c r="FFB38" s="66"/>
      <c r="FFC38" s="66"/>
      <c r="FFD38" s="66"/>
      <c r="FFE38" s="66"/>
      <c r="FFF38" s="66"/>
      <c r="FFG38" s="66"/>
      <c r="FFH38" s="66"/>
      <c r="FFI38" s="66"/>
      <c r="FFJ38" s="66"/>
      <c r="FFK38" s="66"/>
      <c r="FFL38" s="66"/>
      <c r="FFM38" s="66"/>
      <c r="FFN38" s="66"/>
      <c r="FFO38" s="66"/>
      <c r="FFP38" s="66"/>
      <c r="FFQ38" s="66"/>
      <c r="FFR38" s="66"/>
      <c r="FFS38" s="66"/>
      <c r="FFT38" s="66"/>
      <c r="FFU38" s="66"/>
      <c r="FFV38" s="66"/>
      <c r="FFW38" s="66"/>
      <c r="FFX38" s="66"/>
      <c r="FFY38" s="66"/>
      <c r="FFZ38" s="66"/>
      <c r="FGA38" s="66"/>
      <c r="FGB38" s="66"/>
      <c r="FGC38" s="66"/>
      <c r="FGD38" s="66"/>
      <c r="FGE38" s="66"/>
      <c r="FGF38" s="66"/>
      <c r="FGG38" s="66"/>
      <c r="FGH38" s="66"/>
      <c r="FGI38" s="66"/>
      <c r="FGJ38" s="66"/>
      <c r="FGK38" s="66"/>
      <c r="FGL38" s="66"/>
      <c r="FGM38" s="66"/>
      <c r="FGN38" s="66"/>
      <c r="FGO38" s="66"/>
      <c r="FGP38" s="66"/>
      <c r="FGQ38" s="66"/>
      <c r="FGR38" s="66"/>
      <c r="FGS38" s="66"/>
      <c r="FGT38" s="66"/>
      <c r="FGU38" s="66"/>
      <c r="FGV38" s="66"/>
      <c r="FGW38" s="66"/>
      <c r="FGX38" s="66"/>
      <c r="FGY38" s="66"/>
      <c r="FGZ38" s="66"/>
      <c r="FHA38" s="66"/>
      <c r="FHB38" s="66"/>
      <c r="FHC38" s="66"/>
      <c r="FHD38" s="66"/>
      <c r="FHE38" s="66"/>
      <c r="FHF38" s="66"/>
      <c r="FHG38" s="66"/>
      <c r="FHH38" s="66"/>
      <c r="FHI38" s="66"/>
      <c r="FHJ38" s="66"/>
      <c r="FHK38" s="66"/>
      <c r="FHL38" s="66"/>
      <c r="FHM38" s="66"/>
      <c r="FHN38" s="66"/>
      <c r="FHO38" s="66"/>
      <c r="FHP38" s="66"/>
      <c r="FHQ38" s="66"/>
      <c r="FHR38" s="66"/>
      <c r="FHS38" s="66"/>
      <c r="FHT38" s="66"/>
      <c r="FHU38" s="66"/>
      <c r="FHV38" s="66"/>
      <c r="FHW38" s="66"/>
      <c r="FHX38" s="66"/>
      <c r="FHY38" s="66"/>
      <c r="FHZ38" s="66"/>
      <c r="FIA38" s="66"/>
      <c r="FIB38" s="66"/>
      <c r="FIC38" s="66"/>
      <c r="FID38" s="66"/>
      <c r="FIE38" s="66"/>
      <c r="FIF38" s="66"/>
      <c r="FIG38" s="66"/>
      <c r="FIH38" s="66"/>
      <c r="FII38" s="66"/>
      <c r="FIJ38" s="66"/>
      <c r="FIK38" s="66"/>
      <c r="FIL38" s="66"/>
      <c r="FIM38" s="66"/>
      <c r="FIN38" s="66"/>
      <c r="FIO38" s="66"/>
      <c r="FIP38" s="66"/>
      <c r="FIQ38" s="66"/>
      <c r="FIR38" s="66"/>
      <c r="FIS38" s="66"/>
      <c r="FIT38" s="66"/>
      <c r="FIU38" s="66"/>
      <c r="FIV38" s="66"/>
      <c r="FIW38" s="66"/>
      <c r="FIX38" s="66"/>
      <c r="FIY38" s="66"/>
      <c r="FIZ38" s="66"/>
      <c r="FJA38" s="66"/>
      <c r="FJB38" s="66"/>
      <c r="FJC38" s="66"/>
      <c r="FJD38" s="66"/>
      <c r="FJE38" s="66"/>
      <c r="FJF38" s="66"/>
      <c r="FJG38" s="66"/>
      <c r="FJH38" s="66"/>
      <c r="FJI38" s="66"/>
      <c r="FJJ38" s="66"/>
      <c r="FJK38" s="66"/>
      <c r="FJL38" s="66"/>
      <c r="FJM38" s="66"/>
      <c r="FJN38" s="66"/>
      <c r="FJO38" s="66"/>
      <c r="FJP38" s="66"/>
      <c r="FJQ38" s="66"/>
      <c r="FJR38" s="66"/>
      <c r="FJS38" s="66"/>
      <c r="FJT38" s="66"/>
      <c r="FJU38" s="66"/>
      <c r="FJV38" s="66"/>
      <c r="FJW38" s="66"/>
      <c r="FJX38" s="66"/>
      <c r="FJY38" s="66"/>
      <c r="FJZ38" s="66"/>
      <c r="FKA38" s="66"/>
      <c r="FKB38" s="66"/>
      <c r="FKC38" s="66"/>
      <c r="FKD38" s="66"/>
      <c r="FKE38" s="66"/>
      <c r="FKF38" s="66"/>
      <c r="FKG38" s="66"/>
      <c r="FKH38" s="66"/>
      <c r="FKI38" s="66"/>
      <c r="FKJ38" s="66"/>
      <c r="FKK38" s="66"/>
      <c r="FKL38" s="66"/>
      <c r="FKM38" s="66"/>
      <c r="FKN38" s="66"/>
      <c r="FKO38" s="66"/>
      <c r="FKP38" s="66"/>
      <c r="FKQ38" s="66"/>
      <c r="FKR38" s="66"/>
      <c r="FKS38" s="66"/>
      <c r="FKT38" s="66"/>
      <c r="FKU38" s="66"/>
      <c r="FKV38" s="66"/>
      <c r="FKW38" s="66"/>
      <c r="FKX38" s="66"/>
      <c r="FKY38" s="66"/>
      <c r="FKZ38" s="66"/>
      <c r="FLA38" s="66"/>
      <c r="FLB38" s="66"/>
      <c r="FLC38" s="66"/>
      <c r="FLD38" s="66"/>
      <c r="FLE38" s="66"/>
      <c r="FLF38" s="66"/>
      <c r="FLG38" s="66"/>
      <c r="FLH38" s="66"/>
      <c r="FLI38" s="66"/>
      <c r="FLJ38" s="66"/>
      <c r="FLK38" s="66"/>
      <c r="FLL38" s="66"/>
      <c r="FLM38" s="66"/>
      <c r="FLN38" s="66"/>
      <c r="FLO38" s="66"/>
      <c r="FLP38" s="66"/>
      <c r="FLQ38" s="66"/>
      <c r="FLR38" s="66"/>
      <c r="FLS38" s="66"/>
      <c r="FLT38" s="66"/>
      <c r="FLU38" s="66"/>
      <c r="FLV38" s="66"/>
      <c r="FLW38" s="66"/>
      <c r="FLX38" s="66"/>
      <c r="FLY38" s="66"/>
      <c r="FLZ38" s="66"/>
      <c r="FMA38" s="66"/>
      <c r="FMB38" s="66"/>
      <c r="FMC38" s="66"/>
      <c r="FMD38" s="66"/>
      <c r="FME38" s="66"/>
      <c r="FMF38" s="66"/>
      <c r="FMG38" s="66"/>
      <c r="FMH38" s="66"/>
      <c r="FMI38" s="66"/>
      <c r="FMJ38" s="66"/>
      <c r="FMK38" s="66"/>
      <c r="FML38" s="66"/>
      <c r="FMM38" s="66"/>
      <c r="FMN38" s="66"/>
      <c r="FMO38" s="66"/>
      <c r="FMP38" s="66"/>
      <c r="FMQ38" s="66"/>
      <c r="FMR38" s="66"/>
      <c r="FMS38" s="66"/>
      <c r="FMT38" s="66"/>
      <c r="FMU38" s="66"/>
      <c r="FMV38" s="66"/>
      <c r="FMW38" s="66"/>
      <c r="FMX38" s="66"/>
      <c r="FMY38" s="66"/>
      <c r="FMZ38" s="66"/>
      <c r="FNA38" s="66"/>
      <c r="FNB38" s="66"/>
      <c r="FNC38" s="66"/>
      <c r="FND38" s="66"/>
      <c r="FNE38" s="66"/>
      <c r="FNF38" s="66"/>
      <c r="FNG38" s="66"/>
      <c r="FNH38" s="66"/>
      <c r="FNI38" s="66"/>
      <c r="FNJ38" s="66"/>
      <c r="FNK38" s="66"/>
      <c r="FNL38" s="66"/>
      <c r="FNM38" s="66"/>
      <c r="FNN38" s="66"/>
      <c r="FNO38" s="66"/>
      <c r="FNP38" s="66"/>
      <c r="FNQ38" s="66"/>
      <c r="FNR38" s="66"/>
      <c r="FNS38" s="66"/>
      <c r="FNT38" s="66"/>
      <c r="FNU38" s="66"/>
      <c r="FNV38" s="66"/>
      <c r="FNW38" s="66"/>
      <c r="FNX38" s="66"/>
      <c r="FNY38" s="66"/>
      <c r="FNZ38" s="66"/>
      <c r="FOA38" s="66"/>
      <c r="FOB38" s="66"/>
      <c r="FOC38" s="66"/>
      <c r="FOD38" s="66"/>
      <c r="FOE38" s="66"/>
      <c r="FOF38" s="66"/>
      <c r="FOG38" s="66"/>
      <c r="FOH38" s="66"/>
      <c r="FOI38" s="66"/>
      <c r="FOJ38" s="66"/>
      <c r="FOK38" s="66"/>
      <c r="FOL38" s="66"/>
      <c r="FOM38" s="66"/>
      <c r="FON38" s="66"/>
      <c r="FOO38" s="66"/>
      <c r="FOP38" s="66"/>
      <c r="FOQ38" s="66"/>
      <c r="FOR38" s="66"/>
      <c r="FOS38" s="66"/>
      <c r="FOT38" s="66"/>
      <c r="FOU38" s="66"/>
      <c r="FOV38" s="66"/>
      <c r="FOW38" s="66"/>
      <c r="FOX38" s="66"/>
      <c r="FOY38" s="66"/>
      <c r="FOZ38" s="66"/>
      <c r="FPA38" s="66"/>
      <c r="FPB38" s="66"/>
      <c r="FPC38" s="66"/>
      <c r="FPD38" s="66"/>
      <c r="FPE38" s="66"/>
      <c r="FPF38" s="66"/>
      <c r="FPG38" s="66"/>
      <c r="FPH38" s="66"/>
      <c r="FPI38" s="66"/>
      <c r="FPJ38" s="66"/>
      <c r="FPK38" s="66"/>
      <c r="FPL38" s="66"/>
      <c r="FPM38" s="66"/>
      <c r="FPN38" s="66"/>
      <c r="FPO38" s="66"/>
      <c r="FPP38" s="66"/>
      <c r="FPQ38" s="66"/>
      <c r="FPR38" s="66"/>
      <c r="FPS38" s="66"/>
      <c r="FPT38" s="66"/>
      <c r="FPU38" s="66"/>
      <c r="FPV38" s="66"/>
      <c r="FPW38" s="66"/>
      <c r="FPX38" s="66"/>
      <c r="FPY38" s="66"/>
      <c r="FPZ38" s="66"/>
      <c r="FQA38" s="66"/>
      <c r="FQB38" s="66"/>
      <c r="FQC38" s="66"/>
      <c r="FQD38" s="66"/>
      <c r="FQE38" s="66"/>
      <c r="FQF38" s="66"/>
      <c r="FQG38" s="66"/>
      <c r="FQH38" s="66"/>
      <c r="FQI38" s="66"/>
      <c r="FQJ38" s="66"/>
      <c r="FQK38" s="66"/>
      <c r="FQL38" s="66"/>
      <c r="FQM38" s="66"/>
      <c r="FQN38" s="66"/>
      <c r="FQO38" s="66"/>
      <c r="FQP38" s="66"/>
      <c r="FQQ38" s="66"/>
      <c r="FQR38" s="66"/>
      <c r="FQS38" s="66"/>
      <c r="FQT38" s="66"/>
      <c r="FQU38" s="66"/>
      <c r="FQV38" s="66"/>
      <c r="FQW38" s="66"/>
      <c r="FQX38" s="66"/>
      <c r="FQY38" s="66"/>
      <c r="FQZ38" s="66"/>
      <c r="FRA38" s="66"/>
      <c r="FRB38" s="66"/>
      <c r="FRC38" s="66"/>
      <c r="FRD38" s="66"/>
      <c r="FRE38" s="66"/>
      <c r="FRF38" s="66"/>
      <c r="FRG38" s="66"/>
      <c r="FRH38" s="66"/>
      <c r="FRI38" s="66"/>
      <c r="FRJ38" s="66"/>
      <c r="FRK38" s="66"/>
      <c r="FRL38" s="66"/>
      <c r="FRM38" s="66"/>
      <c r="FRN38" s="66"/>
      <c r="FRO38" s="66"/>
      <c r="FRP38" s="66"/>
      <c r="FRQ38" s="66"/>
      <c r="FRR38" s="66"/>
      <c r="FRS38" s="66"/>
      <c r="FRT38" s="66"/>
      <c r="FRU38" s="66"/>
      <c r="FRV38" s="66"/>
      <c r="FRW38" s="66"/>
      <c r="FRX38" s="66"/>
      <c r="FRY38" s="66"/>
      <c r="FRZ38" s="66"/>
      <c r="FSA38" s="66"/>
      <c r="FSB38" s="66"/>
      <c r="FSC38" s="66"/>
      <c r="FSD38" s="66"/>
      <c r="FSE38" s="66"/>
      <c r="FSF38" s="66"/>
      <c r="FSG38" s="66"/>
      <c r="FSH38" s="66"/>
      <c r="FSI38" s="66"/>
      <c r="FSJ38" s="66"/>
      <c r="FSK38" s="66"/>
      <c r="FSL38" s="66"/>
      <c r="FSM38" s="66"/>
      <c r="FSN38" s="66"/>
      <c r="FSO38" s="66"/>
      <c r="FSP38" s="66"/>
      <c r="FSQ38" s="66"/>
      <c r="FSR38" s="66"/>
      <c r="FSS38" s="66"/>
      <c r="FST38" s="66"/>
      <c r="FSU38" s="66"/>
      <c r="FSV38" s="66"/>
      <c r="FSW38" s="66"/>
      <c r="FSX38" s="66"/>
      <c r="FSY38" s="66"/>
      <c r="FSZ38" s="66"/>
      <c r="FTA38" s="66"/>
      <c r="FTB38" s="66"/>
      <c r="FTC38" s="66"/>
      <c r="FTD38" s="66"/>
      <c r="FTE38" s="66"/>
      <c r="FTF38" s="66"/>
      <c r="FTG38" s="66"/>
      <c r="FTH38" s="66"/>
      <c r="FTI38" s="66"/>
      <c r="FTJ38" s="66"/>
      <c r="FTK38" s="66"/>
      <c r="FTL38" s="66"/>
      <c r="FTM38" s="66"/>
      <c r="FTN38" s="66"/>
      <c r="FTO38" s="66"/>
      <c r="FTP38" s="66"/>
      <c r="FTQ38" s="66"/>
      <c r="FTR38" s="66"/>
      <c r="FTS38" s="66"/>
      <c r="FTT38" s="66"/>
      <c r="FTU38" s="66"/>
      <c r="FTV38" s="66"/>
      <c r="FTW38" s="66"/>
      <c r="FTX38" s="66"/>
      <c r="FTY38" s="66"/>
      <c r="FTZ38" s="66"/>
      <c r="FUA38" s="66"/>
      <c r="FUB38" s="66"/>
      <c r="FUC38" s="66"/>
      <c r="FUD38" s="66"/>
      <c r="FUE38" s="66"/>
      <c r="FUF38" s="66"/>
      <c r="FUG38" s="66"/>
      <c r="FUH38" s="66"/>
      <c r="FUI38" s="66"/>
      <c r="FUJ38" s="66"/>
      <c r="FUK38" s="66"/>
      <c r="FUL38" s="66"/>
      <c r="FUM38" s="66"/>
      <c r="FUN38" s="66"/>
      <c r="FUO38" s="66"/>
      <c r="FUP38" s="66"/>
      <c r="FUQ38" s="66"/>
      <c r="FUR38" s="66"/>
      <c r="FUS38" s="66"/>
      <c r="FUT38" s="66"/>
      <c r="FUU38" s="66"/>
      <c r="FUV38" s="66"/>
      <c r="FUW38" s="66"/>
      <c r="FUX38" s="66"/>
      <c r="FUY38" s="66"/>
      <c r="FUZ38" s="66"/>
      <c r="FVA38" s="66"/>
      <c r="FVB38" s="66"/>
      <c r="FVC38" s="66"/>
      <c r="FVD38" s="66"/>
      <c r="FVE38" s="66"/>
      <c r="FVF38" s="66"/>
      <c r="FVG38" s="66"/>
      <c r="FVH38" s="66"/>
      <c r="FVI38" s="66"/>
      <c r="FVJ38" s="66"/>
      <c r="FVK38" s="66"/>
      <c r="FVL38" s="66"/>
      <c r="FVM38" s="66"/>
      <c r="FVN38" s="66"/>
      <c r="FVO38" s="66"/>
      <c r="FVP38" s="66"/>
      <c r="FVQ38" s="66"/>
      <c r="FVR38" s="66"/>
      <c r="FVS38" s="66"/>
      <c r="FVT38" s="66"/>
      <c r="FVU38" s="66"/>
      <c r="FVV38" s="66"/>
      <c r="FVW38" s="66"/>
      <c r="FVX38" s="66"/>
      <c r="FVY38" s="66"/>
      <c r="FVZ38" s="66"/>
      <c r="FWA38" s="66"/>
      <c r="FWB38" s="66"/>
      <c r="FWC38" s="66"/>
      <c r="FWD38" s="66"/>
      <c r="FWE38" s="66"/>
      <c r="FWF38" s="66"/>
      <c r="FWG38" s="66"/>
      <c r="FWH38" s="66"/>
      <c r="FWI38" s="66"/>
      <c r="FWJ38" s="66"/>
      <c r="FWK38" s="66"/>
      <c r="FWL38" s="66"/>
      <c r="FWM38" s="66"/>
      <c r="FWN38" s="66"/>
      <c r="FWO38" s="66"/>
      <c r="FWP38" s="66"/>
      <c r="FWQ38" s="66"/>
      <c r="FWR38" s="66"/>
      <c r="FWS38" s="66"/>
      <c r="FWT38" s="66"/>
      <c r="FWU38" s="66"/>
      <c r="FWV38" s="66"/>
      <c r="FWW38" s="66"/>
      <c r="FWX38" s="66"/>
      <c r="FWY38" s="66"/>
      <c r="FWZ38" s="66"/>
      <c r="FXA38" s="66"/>
      <c r="FXB38" s="66"/>
      <c r="FXC38" s="66"/>
      <c r="FXD38" s="66"/>
      <c r="FXE38" s="66"/>
      <c r="FXF38" s="66"/>
      <c r="FXG38" s="66"/>
      <c r="FXH38" s="66"/>
      <c r="FXI38" s="66"/>
      <c r="FXJ38" s="66"/>
      <c r="FXK38" s="66"/>
      <c r="FXL38" s="66"/>
      <c r="FXM38" s="66"/>
      <c r="FXN38" s="66"/>
      <c r="FXO38" s="66"/>
      <c r="FXP38" s="66"/>
      <c r="FXQ38" s="66"/>
      <c r="FXR38" s="66"/>
      <c r="FXS38" s="66"/>
      <c r="FXT38" s="66"/>
      <c r="FXU38" s="66"/>
      <c r="FXV38" s="66"/>
      <c r="FXW38" s="66"/>
      <c r="FXX38" s="66"/>
      <c r="FXY38" s="66"/>
      <c r="FXZ38" s="66"/>
      <c r="FYA38" s="66"/>
      <c r="FYB38" s="66"/>
      <c r="FYC38" s="66"/>
      <c r="FYD38" s="66"/>
      <c r="FYE38" s="66"/>
      <c r="FYF38" s="66"/>
      <c r="FYG38" s="66"/>
      <c r="FYH38" s="66"/>
      <c r="FYI38" s="66"/>
      <c r="FYJ38" s="66"/>
      <c r="FYK38" s="66"/>
      <c r="FYL38" s="66"/>
      <c r="FYM38" s="66"/>
      <c r="FYN38" s="66"/>
      <c r="FYO38" s="66"/>
      <c r="FYP38" s="66"/>
      <c r="FYQ38" s="66"/>
      <c r="FYR38" s="66"/>
      <c r="FYS38" s="66"/>
      <c r="FYT38" s="66"/>
      <c r="FYU38" s="66"/>
      <c r="FYV38" s="66"/>
      <c r="FYW38" s="66"/>
      <c r="FYX38" s="66"/>
      <c r="FYY38" s="66"/>
      <c r="FYZ38" s="66"/>
      <c r="FZA38" s="66"/>
      <c r="FZB38" s="66"/>
      <c r="FZC38" s="66"/>
      <c r="FZD38" s="66"/>
      <c r="FZE38" s="66"/>
      <c r="FZF38" s="66"/>
      <c r="FZG38" s="66"/>
      <c r="FZH38" s="66"/>
      <c r="FZI38" s="66"/>
      <c r="FZJ38" s="66"/>
      <c r="FZK38" s="66"/>
      <c r="FZL38" s="66"/>
      <c r="FZM38" s="66"/>
      <c r="FZN38" s="66"/>
      <c r="FZO38" s="66"/>
      <c r="FZP38" s="66"/>
      <c r="FZQ38" s="66"/>
      <c r="FZR38" s="66"/>
      <c r="FZS38" s="66"/>
      <c r="FZT38" s="66"/>
      <c r="FZU38" s="66"/>
      <c r="FZV38" s="66"/>
      <c r="FZW38" s="66"/>
      <c r="FZX38" s="66"/>
      <c r="FZY38" s="66"/>
      <c r="FZZ38" s="66"/>
      <c r="GAA38" s="66"/>
      <c r="GAB38" s="66"/>
      <c r="GAC38" s="66"/>
      <c r="GAD38" s="66"/>
      <c r="GAE38" s="66"/>
      <c r="GAF38" s="66"/>
      <c r="GAG38" s="66"/>
      <c r="GAH38" s="66"/>
      <c r="GAI38" s="66"/>
      <c r="GAJ38" s="66"/>
      <c r="GAK38" s="66"/>
      <c r="GAL38" s="66"/>
      <c r="GAM38" s="66"/>
      <c r="GAN38" s="66"/>
      <c r="GAO38" s="66"/>
      <c r="GAP38" s="66"/>
      <c r="GAQ38" s="66"/>
      <c r="GAR38" s="66"/>
      <c r="GAS38" s="66"/>
      <c r="GAT38" s="66"/>
      <c r="GAU38" s="66"/>
      <c r="GAV38" s="66"/>
      <c r="GAW38" s="66"/>
      <c r="GAX38" s="66"/>
      <c r="GAY38" s="66"/>
      <c r="GAZ38" s="66"/>
      <c r="GBA38" s="66"/>
      <c r="GBB38" s="66"/>
      <c r="GBC38" s="66"/>
      <c r="GBD38" s="66"/>
      <c r="GBE38" s="66"/>
      <c r="GBF38" s="66"/>
      <c r="GBG38" s="66"/>
      <c r="GBH38" s="66"/>
      <c r="GBI38" s="66"/>
      <c r="GBJ38" s="66"/>
      <c r="GBK38" s="66"/>
      <c r="GBL38" s="66"/>
      <c r="GBM38" s="66"/>
      <c r="GBN38" s="66"/>
      <c r="GBO38" s="66"/>
      <c r="GBP38" s="66"/>
      <c r="GBQ38" s="66"/>
      <c r="GBR38" s="66"/>
      <c r="GBS38" s="66"/>
      <c r="GBT38" s="66"/>
      <c r="GBU38" s="66"/>
      <c r="GBV38" s="66"/>
      <c r="GBW38" s="66"/>
      <c r="GBX38" s="66"/>
      <c r="GBY38" s="66"/>
      <c r="GBZ38" s="66"/>
      <c r="GCA38" s="66"/>
      <c r="GCB38" s="66"/>
      <c r="GCC38" s="66"/>
      <c r="GCD38" s="66"/>
      <c r="GCE38" s="66"/>
      <c r="GCF38" s="66"/>
      <c r="GCG38" s="66"/>
      <c r="GCH38" s="66"/>
      <c r="GCI38" s="66"/>
      <c r="GCJ38" s="66"/>
      <c r="GCK38" s="66"/>
      <c r="GCL38" s="66"/>
      <c r="GCM38" s="66"/>
      <c r="GCN38" s="66"/>
      <c r="GCO38" s="66"/>
      <c r="GCP38" s="66"/>
      <c r="GCQ38" s="66"/>
      <c r="GCR38" s="66"/>
      <c r="GCS38" s="66"/>
      <c r="GCT38" s="66"/>
      <c r="GCU38" s="66"/>
      <c r="GCV38" s="66"/>
      <c r="GCW38" s="66"/>
      <c r="GCX38" s="66"/>
      <c r="GCY38" s="66"/>
      <c r="GCZ38" s="66"/>
      <c r="GDA38" s="66"/>
      <c r="GDB38" s="66"/>
      <c r="GDC38" s="66"/>
      <c r="GDD38" s="66"/>
      <c r="GDE38" s="66"/>
      <c r="GDF38" s="66"/>
      <c r="GDG38" s="66"/>
      <c r="GDH38" s="66"/>
      <c r="GDI38" s="66"/>
      <c r="GDJ38" s="66"/>
      <c r="GDK38" s="66"/>
      <c r="GDL38" s="66"/>
      <c r="GDM38" s="66"/>
      <c r="GDN38" s="66"/>
      <c r="GDO38" s="66"/>
      <c r="GDP38" s="66"/>
      <c r="GDQ38" s="66"/>
      <c r="GDR38" s="66"/>
      <c r="GDS38" s="66"/>
      <c r="GDT38" s="66"/>
      <c r="GDU38" s="66"/>
      <c r="GDV38" s="66"/>
      <c r="GDW38" s="66"/>
      <c r="GDX38" s="66"/>
      <c r="GDY38" s="66"/>
      <c r="GDZ38" s="66"/>
      <c r="GEA38" s="66"/>
      <c r="GEB38" s="66"/>
      <c r="GEC38" s="66"/>
      <c r="GED38" s="66"/>
      <c r="GEE38" s="66"/>
      <c r="GEF38" s="66"/>
      <c r="GEG38" s="66"/>
      <c r="GEH38" s="66"/>
      <c r="GEI38" s="66"/>
      <c r="GEJ38" s="66"/>
      <c r="GEK38" s="66"/>
      <c r="GEL38" s="66"/>
      <c r="GEM38" s="66"/>
      <c r="GEN38" s="66"/>
      <c r="GEO38" s="66"/>
      <c r="GEP38" s="66"/>
      <c r="GEQ38" s="66"/>
      <c r="GER38" s="66"/>
      <c r="GES38" s="66"/>
      <c r="GET38" s="66"/>
      <c r="GEU38" s="66"/>
      <c r="GEV38" s="66"/>
      <c r="GEW38" s="66"/>
      <c r="GEX38" s="66"/>
      <c r="GEY38" s="66"/>
      <c r="GEZ38" s="66"/>
      <c r="GFA38" s="66"/>
      <c r="GFB38" s="66"/>
      <c r="GFC38" s="66"/>
      <c r="GFD38" s="66"/>
      <c r="GFE38" s="66"/>
      <c r="GFF38" s="66"/>
      <c r="GFG38" s="66"/>
      <c r="GFH38" s="66"/>
      <c r="GFI38" s="66"/>
      <c r="GFJ38" s="66"/>
      <c r="GFK38" s="66"/>
      <c r="GFL38" s="66"/>
      <c r="GFM38" s="66"/>
      <c r="GFN38" s="66"/>
      <c r="GFO38" s="66"/>
      <c r="GFP38" s="66"/>
      <c r="GFQ38" s="66"/>
      <c r="GFR38" s="66"/>
      <c r="GFS38" s="66"/>
      <c r="GFT38" s="66"/>
      <c r="GFU38" s="66"/>
      <c r="GFV38" s="66"/>
      <c r="GFW38" s="66"/>
      <c r="GFX38" s="66"/>
      <c r="GFY38" s="66"/>
      <c r="GFZ38" s="66"/>
      <c r="GGA38" s="66"/>
      <c r="GGB38" s="66"/>
      <c r="GGC38" s="66"/>
      <c r="GGD38" s="66"/>
      <c r="GGE38" s="66"/>
      <c r="GGF38" s="66"/>
      <c r="GGG38" s="66"/>
      <c r="GGH38" s="66"/>
      <c r="GGI38" s="66"/>
      <c r="GGJ38" s="66"/>
      <c r="GGK38" s="66"/>
      <c r="GGL38" s="66"/>
      <c r="GGM38" s="66"/>
      <c r="GGN38" s="66"/>
      <c r="GGO38" s="66"/>
      <c r="GGP38" s="66"/>
      <c r="GGQ38" s="66"/>
      <c r="GGR38" s="66"/>
      <c r="GGS38" s="66"/>
      <c r="GGT38" s="66"/>
      <c r="GGU38" s="66"/>
      <c r="GGV38" s="66"/>
      <c r="GGW38" s="66"/>
      <c r="GGX38" s="66"/>
      <c r="GGY38" s="66"/>
      <c r="GGZ38" s="66"/>
      <c r="GHA38" s="66"/>
      <c r="GHB38" s="66"/>
      <c r="GHC38" s="66"/>
      <c r="GHD38" s="66"/>
      <c r="GHE38" s="66"/>
      <c r="GHF38" s="66"/>
      <c r="GHG38" s="66"/>
      <c r="GHH38" s="66"/>
      <c r="GHI38" s="66"/>
      <c r="GHJ38" s="66"/>
      <c r="GHK38" s="66"/>
      <c r="GHL38" s="66"/>
      <c r="GHM38" s="66"/>
      <c r="GHN38" s="66"/>
      <c r="GHO38" s="66"/>
      <c r="GHP38" s="66"/>
      <c r="GHQ38" s="66"/>
      <c r="GHR38" s="66"/>
      <c r="GHS38" s="66"/>
      <c r="GHT38" s="66"/>
      <c r="GHU38" s="66"/>
      <c r="GHV38" s="66"/>
      <c r="GHW38" s="66"/>
      <c r="GHX38" s="66"/>
      <c r="GHY38" s="66"/>
      <c r="GHZ38" s="66"/>
      <c r="GIA38" s="66"/>
      <c r="GIB38" s="66"/>
      <c r="GIC38" s="66"/>
      <c r="GID38" s="66"/>
      <c r="GIE38" s="66"/>
      <c r="GIF38" s="66"/>
      <c r="GIG38" s="66"/>
      <c r="GIH38" s="66"/>
      <c r="GII38" s="66"/>
      <c r="GIJ38" s="66"/>
      <c r="GIK38" s="66"/>
      <c r="GIL38" s="66"/>
      <c r="GIM38" s="66"/>
      <c r="GIN38" s="66"/>
      <c r="GIO38" s="66"/>
      <c r="GIP38" s="66"/>
      <c r="GIQ38" s="66"/>
      <c r="GIR38" s="66"/>
      <c r="GIS38" s="66"/>
      <c r="GIT38" s="66"/>
      <c r="GIU38" s="66"/>
      <c r="GIV38" s="66"/>
      <c r="GIW38" s="66"/>
      <c r="GIX38" s="66"/>
      <c r="GIY38" s="66"/>
      <c r="GIZ38" s="66"/>
      <c r="GJA38" s="66"/>
      <c r="GJB38" s="66"/>
      <c r="GJC38" s="66"/>
      <c r="GJD38" s="66"/>
      <c r="GJE38" s="66"/>
      <c r="GJF38" s="66"/>
      <c r="GJG38" s="66"/>
      <c r="GJH38" s="66"/>
      <c r="GJI38" s="66"/>
      <c r="GJJ38" s="66"/>
      <c r="GJK38" s="66"/>
      <c r="GJL38" s="66"/>
      <c r="GJM38" s="66"/>
      <c r="GJN38" s="66"/>
      <c r="GJO38" s="66"/>
      <c r="GJP38" s="66"/>
      <c r="GJQ38" s="66"/>
      <c r="GJR38" s="66"/>
      <c r="GJS38" s="66"/>
      <c r="GJT38" s="66"/>
      <c r="GJU38" s="66"/>
      <c r="GJV38" s="66"/>
      <c r="GJW38" s="66"/>
      <c r="GJX38" s="66"/>
      <c r="GJY38" s="66"/>
      <c r="GJZ38" s="66"/>
      <c r="GKA38" s="66"/>
      <c r="GKB38" s="66"/>
      <c r="GKC38" s="66"/>
      <c r="GKD38" s="66"/>
      <c r="GKE38" s="66"/>
      <c r="GKF38" s="66"/>
      <c r="GKG38" s="66"/>
      <c r="GKH38" s="66"/>
      <c r="GKI38" s="66"/>
      <c r="GKJ38" s="66"/>
      <c r="GKK38" s="66"/>
      <c r="GKL38" s="66"/>
      <c r="GKM38" s="66"/>
      <c r="GKN38" s="66"/>
      <c r="GKO38" s="66"/>
      <c r="GKP38" s="66"/>
      <c r="GKQ38" s="66"/>
      <c r="GKR38" s="66"/>
      <c r="GKS38" s="66"/>
      <c r="GKT38" s="66"/>
      <c r="GKU38" s="66"/>
      <c r="GKV38" s="66"/>
      <c r="GKW38" s="66"/>
      <c r="GKX38" s="66"/>
      <c r="GKY38" s="66"/>
      <c r="GKZ38" s="66"/>
      <c r="GLA38" s="66"/>
      <c r="GLB38" s="66"/>
      <c r="GLC38" s="66"/>
      <c r="GLD38" s="66"/>
      <c r="GLE38" s="66"/>
      <c r="GLF38" s="66"/>
      <c r="GLG38" s="66"/>
      <c r="GLH38" s="66"/>
      <c r="GLI38" s="66"/>
      <c r="GLJ38" s="66"/>
      <c r="GLK38" s="66"/>
      <c r="GLL38" s="66"/>
      <c r="GLM38" s="66"/>
      <c r="GLN38" s="66"/>
      <c r="GLO38" s="66"/>
      <c r="GLP38" s="66"/>
      <c r="GLQ38" s="66"/>
      <c r="GLR38" s="66"/>
      <c r="GLS38" s="66"/>
      <c r="GLT38" s="66"/>
      <c r="GLU38" s="66"/>
      <c r="GLV38" s="66"/>
      <c r="GLW38" s="66"/>
      <c r="GLX38" s="66"/>
      <c r="GLY38" s="66"/>
      <c r="GLZ38" s="66"/>
      <c r="GMA38" s="66"/>
      <c r="GMB38" s="66"/>
      <c r="GMC38" s="66"/>
      <c r="GMD38" s="66"/>
      <c r="GME38" s="66"/>
      <c r="GMF38" s="66"/>
      <c r="GMG38" s="66"/>
      <c r="GMH38" s="66"/>
      <c r="GMI38" s="66"/>
      <c r="GMJ38" s="66"/>
      <c r="GMK38" s="66"/>
      <c r="GML38" s="66"/>
      <c r="GMM38" s="66"/>
      <c r="GMN38" s="66"/>
      <c r="GMO38" s="66"/>
      <c r="GMP38" s="66"/>
      <c r="GMQ38" s="66"/>
      <c r="GMR38" s="66"/>
      <c r="GMS38" s="66"/>
      <c r="GMT38" s="66"/>
      <c r="GMU38" s="66"/>
      <c r="GMV38" s="66"/>
      <c r="GMW38" s="66"/>
      <c r="GMX38" s="66"/>
      <c r="GMY38" s="66"/>
      <c r="GMZ38" s="66"/>
      <c r="GNA38" s="66"/>
      <c r="GNB38" s="66"/>
      <c r="GNC38" s="66"/>
      <c r="GND38" s="66"/>
      <c r="GNE38" s="66"/>
      <c r="GNF38" s="66"/>
      <c r="GNG38" s="66"/>
      <c r="GNH38" s="66"/>
      <c r="GNI38" s="66"/>
      <c r="GNJ38" s="66"/>
      <c r="GNK38" s="66"/>
      <c r="GNL38" s="66"/>
      <c r="GNM38" s="66"/>
      <c r="GNN38" s="66"/>
      <c r="GNO38" s="66"/>
      <c r="GNP38" s="66"/>
      <c r="GNQ38" s="66"/>
      <c r="GNR38" s="66"/>
      <c r="GNS38" s="66"/>
      <c r="GNT38" s="66"/>
      <c r="GNU38" s="66"/>
      <c r="GNV38" s="66"/>
      <c r="GNW38" s="66"/>
      <c r="GNX38" s="66"/>
      <c r="GNY38" s="66"/>
      <c r="GNZ38" s="66"/>
      <c r="GOA38" s="66"/>
      <c r="GOB38" s="66"/>
      <c r="GOC38" s="66"/>
      <c r="GOD38" s="66"/>
      <c r="GOE38" s="66"/>
      <c r="GOF38" s="66"/>
      <c r="GOG38" s="66"/>
      <c r="GOH38" s="66"/>
      <c r="GOI38" s="66"/>
      <c r="GOJ38" s="66"/>
      <c r="GOK38" s="66"/>
      <c r="GOL38" s="66"/>
      <c r="GOM38" s="66"/>
      <c r="GON38" s="66"/>
      <c r="GOO38" s="66"/>
      <c r="GOP38" s="66"/>
      <c r="GOQ38" s="66"/>
      <c r="GOR38" s="66"/>
      <c r="GOS38" s="66"/>
      <c r="GOT38" s="66"/>
      <c r="GOU38" s="66"/>
      <c r="GOV38" s="66"/>
      <c r="GOW38" s="66"/>
      <c r="GOX38" s="66"/>
      <c r="GOY38" s="66"/>
      <c r="GOZ38" s="66"/>
      <c r="GPA38" s="66"/>
      <c r="GPB38" s="66"/>
      <c r="GPC38" s="66"/>
      <c r="GPD38" s="66"/>
      <c r="GPE38" s="66"/>
      <c r="GPF38" s="66"/>
      <c r="GPG38" s="66"/>
      <c r="GPH38" s="66"/>
      <c r="GPI38" s="66"/>
      <c r="GPJ38" s="66"/>
      <c r="GPK38" s="66"/>
      <c r="GPL38" s="66"/>
      <c r="GPM38" s="66"/>
      <c r="GPN38" s="66"/>
      <c r="GPO38" s="66"/>
      <c r="GPP38" s="66"/>
      <c r="GPQ38" s="66"/>
      <c r="GPR38" s="66"/>
      <c r="GPS38" s="66"/>
      <c r="GPT38" s="66"/>
      <c r="GPU38" s="66"/>
      <c r="GPV38" s="66"/>
      <c r="GPW38" s="66"/>
      <c r="GPX38" s="66"/>
      <c r="GPY38" s="66"/>
      <c r="GPZ38" s="66"/>
      <c r="GQA38" s="66"/>
      <c r="GQB38" s="66"/>
      <c r="GQC38" s="66"/>
      <c r="GQD38" s="66"/>
      <c r="GQE38" s="66"/>
      <c r="GQF38" s="66"/>
      <c r="GQG38" s="66"/>
      <c r="GQH38" s="66"/>
      <c r="GQI38" s="66"/>
      <c r="GQJ38" s="66"/>
      <c r="GQK38" s="66"/>
      <c r="GQL38" s="66"/>
      <c r="GQM38" s="66"/>
      <c r="GQN38" s="66"/>
      <c r="GQO38" s="66"/>
      <c r="GQP38" s="66"/>
      <c r="GQQ38" s="66"/>
      <c r="GQR38" s="66"/>
      <c r="GQS38" s="66"/>
      <c r="GQT38" s="66"/>
      <c r="GQU38" s="66"/>
      <c r="GQV38" s="66"/>
      <c r="GQW38" s="66"/>
      <c r="GQX38" s="66"/>
      <c r="GQY38" s="66"/>
      <c r="GQZ38" s="66"/>
      <c r="GRA38" s="66"/>
      <c r="GRB38" s="66"/>
      <c r="GRC38" s="66"/>
      <c r="GRD38" s="66"/>
      <c r="GRE38" s="66"/>
      <c r="GRF38" s="66"/>
      <c r="GRG38" s="66"/>
      <c r="GRH38" s="66"/>
      <c r="GRI38" s="66"/>
      <c r="GRJ38" s="66"/>
      <c r="GRK38" s="66"/>
      <c r="GRL38" s="66"/>
      <c r="GRM38" s="66"/>
      <c r="GRN38" s="66"/>
      <c r="GRO38" s="66"/>
      <c r="GRP38" s="66"/>
      <c r="GRQ38" s="66"/>
      <c r="GRR38" s="66"/>
      <c r="GRS38" s="66"/>
      <c r="GRT38" s="66"/>
      <c r="GRU38" s="66"/>
      <c r="GRV38" s="66"/>
      <c r="GRW38" s="66"/>
      <c r="GRX38" s="66"/>
      <c r="GRY38" s="66"/>
      <c r="GRZ38" s="66"/>
      <c r="GSA38" s="66"/>
      <c r="GSB38" s="66"/>
      <c r="GSC38" s="66"/>
      <c r="GSD38" s="66"/>
      <c r="GSE38" s="66"/>
      <c r="GSF38" s="66"/>
      <c r="GSG38" s="66"/>
      <c r="GSH38" s="66"/>
      <c r="GSI38" s="66"/>
      <c r="GSJ38" s="66"/>
      <c r="GSK38" s="66"/>
      <c r="GSL38" s="66"/>
      <c r="GSM38" s="66"/>
      <c r="GSN38" s="66"/>
      <c r="GSO38" s="66"/>
      <c r="GSP38" s="66"/>
      <c r="GSQ38" s="66"/>
      <c r="GSR38" s="66"/>
      <c r="GSS38" s="66"/>
      <c r="GST38" s="66"/>
      <c r="GSU38" s="66"/>
      <c r="GSV38" s="66"/>
      <c r="GSW38" s="66"/>
      <c r="GSX38" s="66"/>
      <c r="GSY38" s="66"/>
      <c r="GSZ38" s="66"/>
      <c r="GTA38" s="66"/>
      <c r="GTB38" s="66"/>
      <c r="GTC38" s="66"/>
      <c r="GTD38" s="66"/>
      <c r="GTE38" s="66"/>
      <c r="GTF38" s="66"/>
      <c r="GTG38" s="66"/>
      <c r="GTH38" s="66"/>
      <c r="GTI38" s="66"/>
      <c r="GTJ38" s="66"/>
      <c r="GTK38" s="66"/>
      <c r="GTL38" s="66"/>
      <c r="GTM38" s="66"/>
      <c r="GTN38" s="66"/>
      <c r="GTO38" s="66"/>
      <c r="GTP38" s="66"/>
      <c r="GTQ38" s="66"/>
      <c r="GTR38" s="66"/>
      <c r="GTS38" s="66"/>
      <c r="GTT38" s="66"/>
      <c r="GTU38" s="66"/>
      <c r="GTV38" s="66"/>
      <c r="GTW38" s="66"/>
      <c r="GTX38" s="66"/>
      <c r="GTY38" s="66"/>
      <c r="GTZ38" s="66"/>
      <c r="GUA38" s="66"/>
      <c r="GUB38" s="66"/>
      <c r="GUC38" s="66"/>
      <c r="GUD38" s="66"/>
      <c r="GUE38" s="66"/>
      <c r="GUF38" s="66"/>
      <c r="GUG38" s="66"/>
      <c r="GUH38" s="66"/>
      <c r="GUI38" s="66"/>
      <c r="GUJ38" s="66"/>
      <c r="GUK38" s="66"/>
      <c r="GUL38" s="66"/>
      <c r="GUM38" s="66"/>
      <c r="GUN38" s="66"/>
      <c r="GUO38" s="66"/>
      <c r="GUP38" s="66"/>
      <c r="GUQ38" s="66"/>
      <c r="GUR38" s="66"/>
      <c r="GUS38" s="66"/>
      <c r="GUT38" s="66"/>
      <c r="GUU38" s="66"/>
      <c r="GUV38" s="66"/>
      <c r="GUW38" s="66"/>
      <c r="GUX38" s="66"/>
      <c r="GUY38" s="66"/>
      <c r="GUZ38" s="66"/>
      <c r="GVA38" s="66"/>
      <c r="GVB38" s="66"/>
      <c r="GVC38" s="66"/>
      <c r="GVD38" s="66"/>
      <c r="GVE38" s="66"/>
      <c r="GVF38" s="66"/>
      <c r="GVG38" s="66"/>
      <c r="GVH38" s="66"/>
      <c r="GVI38" s="66"/>
      <c r="GVJ38" s="66"/>
      <c r="GVK38" s="66"/>
      <c r="GVL38" s="66"/>
      <c r="GVM38" s="66"/>
      <c r="GVN38" s="66"/>
      <c r="GVO38" s="66"/>
      <c r="GVP38" s="66"/>
      <c r="GVQ38" s="66"/>
      <c r="GVR38" s="66"/>
      <c r="GVS38" s="66"/>
      <c r="GVT38" s="66"/>
      <c r="GVU38" s="66"/>
      <c r="GVV38" s="66"/>
      <c r="GVW38" s="66"/>
      <c r="GVX38" s="66"/>
      <c r="GVY38" s="66"/>
      <c r="GVZ38" s="66"/>
      <c r="GWA38" s="66"/>
      <c r="GWB38" s="66"/>
      <c r="GWC38" s="66"/>
      <c r="GWD38" s="66"/>
      <c r="GWE38" s="66"/>
      <c r="GWF38" s="66"/>
      <c r="GWG38" s="66"/>
      <c r="GWH38" s="66"/>
      <c r="GWI38" s="66"/>
      <c r="GWJ38" s="66"/>
      <c r="GWK38" s="66"/>
      <c r="GWL38" s="66"/>
      <c r="GWM38" s="66"/>
      <c r="GWN38" s="66"/>
      <c r="GWO38" s="66"/>
      <c r="GWP38" s="66"/>
      <c r="GWQ38" s="66"/>
      <c r="GWR38" s="66"/>
      <c r="GWS38" s="66"/>
      <c r="GWT38" s="66"/>
      <c r="GWU38" s="66"/>
      <c r="GWV38" s="66"/>
      <c r="GWW38" s="66"/>
      <c r="GWX38" s="66"/>
      <c r="GWY38" s="66"/>
      <c r="GWZ38" s="66"/>
      <c r="GXA38" s="66"/>
      <c r="GXB38" s="66"/>
      <c r="GXC38" s="66"/>
      <c r="GXD38" s="66"/>
      <c r="GXE38" s="66"/>
      <c r="GXF38" s="66"/>
      <c r="GXG38" s="66"/>
      <c r="GXH38" s="66"/>
      <c r="GXI38" s="66"/>
      <c r="GXJ38" s="66"/>
      <c r="GXK38" s="66"/>
      <c r="GXL38" s="66"/>
      <c r="GXM38" s="66"/>
      <c r="GXN38" s="66"/>
      <c r="GXO38" s="66"/>
      <c r="GXP38" s="66"/>
      <c r="GXQ38" s="66"/>
      <c r="GXR38" s="66"/>
      <c r="GXS38" s="66"/>
      <c r="GXT38" s="66"/>
      <c r="GXU38" s="66"/>
      <c r="GXV38" s="66"/>
      <c r="GXW38" s="66"/>
      <c r="GXX38" s="66"/>
      <c r="GXY38" s="66"/>
      <c r="GXZ38" s="66"/>
      <c r="GYA38" s="66"/>
      <c r="GYB38" s="66"/>
      <c r="GYC38" s="66"/>
      <c r="GYD38" s="66"/>
      <c r="GYE38" s="66"/>
      <c r="GYF38" s="66"/>
      <c r="GYG38" s="66"/>
      <c r="GYH38" s="66"/>
      <c r="GYI38" s="66"/>
      <c r="GYJ38" s="66"/>
      <c r="GYK38" s="66"/>
      <c r="GYL38" s="66"/>
      <c r="GYM38" s="66"/>
      <c r="GYN38" s="66"/>
      <c r="GYO38" s="66"/>
      <c r="GYP38" s="66"/>
      <c r="GYQ38" s="66"/>
      <c r="GYR38" s="66"/>
      <c r="GYS38" s="66"/>
      <c r="GYT38" s="66"/>
      <c r="GYU38" s="66"/>
      <c r="GYV38" s="66"/>
      <c r="GYW38" s="66"/>
      <c r="GYX38" s="66"/>
      <c r="GYY38" s="66"/>
      <c r="GYZ38" s="66"/>
      <c r="GZA38" s="66"/>
      <c r="GZB38" s="66"/>
      <c r="GZC38" s="66"/>
      <c r="GZD38" s="66"/>
      <c r="GZE38" s="66"/>
      <c r="GZF38" s="66"/>
      <c r="GZG38" s="66"/>
      <c r="GZH38" s="66"/>
      <c r="GZI38" s="66"/>
      <c r="GZJ38" s="66"/>
      <c r="GZK38" s="66"/>
      <c r="GZL38" s="66"/>
      <c r="GZM38" s="66"/>
      <c r="GZN38" s="66"/>
      <c r="GZO38" s="66"/>
      <c r="GZP38" s="66"/>
      <c r="GZQ38" s="66"/>
      <c r="GZR38" s="66"/>
      <c r="GZS38" s="66"/>
      <c r="GZT38" s="66"/>
      <c r="GZU38" s="66"/>
      <c r="GZV38" s="66"/>
      <c r="GZW38" s="66"/>
      <c r="GZX38" s="66"/>
      <c r="GZY38" s="66"/>
      <c r="GZZ38" s="66"/>
      <c r="HAA38" s="66"/>
      <c r="HAB38" s="66"/>
      <c r="HAC38" s="66"/>
      <c r="HAD38" s="66"/>
      <c r="HAE38" s="66"/>
      <c r="HAF38" s="66"/>
      <c r="HAG38" s="66"/>
      <c r="HAH38" s="66"/>
      <c r="HAI38" s="66"/>
      <c r="HAJ38" s="66"/>
      <c r="HAK38" s="66"/>
      <c r="HAL38" s="66"/>
      <c r="HAM38" s="66"/>
      <c r="HAN38" s="66"/>
      <c r="HAO38" s="66"/>
      <c r="HAP38" s="66"/>
      <c r="HAQ38" s="66"/>
      <c r="HAR38" s="66"/>
      <c r="HAS38" s="66"/>
      <c r="HAT38" s="66"/>
      <c r="HAU38" s="66"/>
      <c r="HAV38" s="66"/>
      <c r="HAW38" s="66"/>
      <c r="HAX38" s="66"/>
      <c r="HAY38" s="66"/>
      <c r="HAZ38" s="66"/>
      <c r="HBA38" s="66"/>
      <c r="HBB38" s="66"/>
      <c r="HBC38" s="66"/>
      <c r="HBD38" s="66"/>
      <c r="HBE38" s="66"/>
      <c r="HBF38" s="66"/>
      <c r="HBG38" s="66"/>
      <c r="HBH38" s="66"/>
      <c r="HBI38" s="66"/>
      <c r="HBJ38" s="66"/>
      <c r="HBK38" s="66"/>
      <c r="HBL38" s="66"/>
      <c r="HBM38" s="66"/>
      <c r="HBN38" s="66"/>
      <c r="HBO38" s="66"/>
      <c r="HBP38" s="66"/>
      <c r="HBQ38" s="66"/>
      <c r="HBR38" s="66"/>
      <c r="HBS38" s="66"/>
      <c r="HBT38" s="66"/>
      <c r="HBU38" s="66"/>
      <c r="HBV38" s="66"/>
      <c r="HBW38" s="66"/>
      <c r="HBX38" s="66"/>
      <c r="HBY38" s="66"/>
      <c r="HBZ38" s="66"/>
      <c r="HCA38" s="66"/>
      <c r="HCB38" s="66"/>
      <c r="HCC38" s="66"/>
      <c r="HCD38" s="66"/>
      <c r="HCE38" s="66"/>
      <c r="HCF38" s="66"/>
      <c r="HCG38" s="66"/>
      <c r="HCH38" s="66"/>
      <c r="HCI38" s="66"/>
      <c r="HCJ38" s="66"/>
      <c r="HCK38" s="66"/>
      <c r="HCL38" s="66"/>
      <c r="HCM38" s="66"/>
      <c r="HCN38" s="66"/>
      <c r="HCO38" s="66"/>
      <c r="HCP38" s="66"/>
      <c r="HCQ38" s="66"/>
      <c r="HCR38" s="66"/>
      <c r="HCS38" s="66"/>
      <c r="HCT38" s="66"/>
      <c r="HCU38" s="66"/>
      <c r="HCV38" s="66"/>
      <c r="HCW38" s="66"/>
      <c r="HCX38" s="66"/>
      <c r="HCY38" s="66"/>
      <c r="HCZ38" s="66"/>
      <c r="HDA38" s="66"/>
      <c r="HDB38" s="66"/>
      <c r="HDC38" s="66"/>
      <c r="HDD38" s="66"/>
      <c r="HDE38" s="66"/>
      <c r="HDF38" s="66"/>
      <c r="HDG38" s="66"/>
      <c r="HDH38" s="66"/>
      <c r="HDI38" s="66"/>
      <c r="HDJ38" s="66"/>
      <c r="HDK38" s="66"/>
      <c r="HDL38" s="66"/>
      <c r="HDM38" s="66"/>
      <c r="HDN38" s="66"/>
      <c r="HDO38" s="66"/>
      <c r="HDP38" s="66"/>
      <c r="HDQ38" s="66"/>
      <c r="HDR38" s="66"/>
      <c r="HDS38" s="66"/>
      <c r="HDT38" s="66"/>
      <c r="HDU38" s="66"/>
      <c r="HDV38" s="66"/>
      <c r="HDW38" s="66"/>
      <c r="HDX38" s="66"/>
      <c r="HDY38" s="66"/>
      <c r="HDZ38" s="66"/>
      <c r="HEA38" s="66"/>
      <c r="HEB38" s="66"/>
      <c r="HEC38" s="66"/>
      <c r="HED38" s="66"/>
      <c r="HEE38" s="66"/>
      <c r="HEF38" s="66"/>
      <c r="HEG38" s="66"/>
      <c r="HEH38" s="66"/>
      <c r="HEI38" s="66"/>
      <c r="HEJ38" s="66"/>
      <c r="HEK38" s="66"/>
      <c r="HEL38" s="66"/>
      <c r="HEM38" s="66"/>
      <c r="HEN38" s="66"/>
      <c r="HEO38" s="66"/>
      <c r="HEP38" s="66"/>
      <c r="HEQ38" s="66"/>
      <c r="HER38" s="66"/>
      <c r="HES38" s="66"/>
      <c r="HET38" s="66"/>
      <c r="HEU38" s="66"/>
      <c r="HEV38" s="66"/>
      <c r="HEW38" s="66"/>
      <c r="HEX38" s="66"/>
      <c r="HEY38" s="66"/>
      <c r="HEZ38" s="66"/>
      <c r="HFA38" s="66"/>
      <c r="HFB38" s="66"/>
      <c r="HFC38" s="66"/>
      <c r="HFD38" s="66"/>
      <c r="HFE38" s="66"/>
      <c r="HFF38" s="66"/>
      <c r="HFG38" s="66"/>
      <c r="HFH38" s="66"/>
      <c r="HFI38" s="66"/>
      <c r="HFJ38" s="66"/>
      <c r="HFK38" s="66"/>
      <c r="HFL38" s="66"/>
      <c r="HFM38" s="66"/>
      <c r="HFN38" s="66"/>
      <c r="HFO38" s="66"/>
      <c r="HFP38" s="66"/>
      <c r="HFQ38" s="66"/>
      <c r="HFR38" s="66"/>
      <c r="HFS38" s="66"/>
      <c r="HFT38" s="66"/>
      <c r="HFU38" s="66"/>
      <c r="HFV38" s="66"/>
      <c r="HFW38" s="66"/>
      <c r="HFX38" s="66"/>
      <c r="HFY38" s="66"/>
      <c r="HFZ38" s="66"/>
      <c r="HGA38" s="66"/>
      <c r="HGB38" s="66"/>
      <c r="HGC38" s="66"/>
      <c r="HGD38" s="66"/>
      <c r="HGE38" s="66"/>
      <c r="HGF38" s="66"/>
      <c r="HGG38" s="66"/>
      <c r="HGH38" s="66"/>
      <c r="HGI38" s="66"/>
      <c r="HGJ38" s="66"/>
      <c r="HGK38" s="66"/>
      <c r="HGL38" s="66"/>
      <c r="HGM38" s="66"/>
      <c r="HGN38" s="66"/>
      <c r="HGO38" s="66"/>
      <c r="HGP38" s="66"/>
      <c r="HGQ38" s="66"/>
      <c r="HGR38" s="66"/>
      <c r="HGS38" s="66"/>
      <c r="HGT38" s="66"/>
      <c r="HGU38" s="66"/>
      <c r="HGV38" s="66"/>
      <c r="HGW38" s="66"/>
      <c r="HGX38" s="66"/>
      <c r="HGY38" s="66"/>
      <c r="HGZ38" s="66"/>
      <c r="HHA38" s="66"/>
      <c r="HHB38" s="66"/>
      <c r="HHC38" s="66"/>
      <c r="HHD38" s="66"/>
      <c r="HHE38" s="66"/>
      <c r="HHF38" s="66"/>
      <c r="HHG38" s="66"/>
      <c r="HHH38" s="66"/>
      <c r="HHI38" s="66"/>
      <c r="HHJ38" s="66"/>
      <c r="HHK38" s="66"/>
      <c r="HHL38" s="66"/>
      <c r="HHM38" s="66"/>
      <c r="HHN38" s="66"/>
      <c r="HHO38" s="66"/>
      <c r="HHP38" s="66"/>
      <c r="HHQ38" s="66"/>
      <c r="HHR38" s="66"/>
      <c r="HHS38" s="66"/>
      <c r="HHT38" s="66"/>
      <c r="HHU38" s="66"/>
      <c r="HHV38" s="66"/>
      <c r="HHW38" s="66"/>
      <c r="HHX38" s="66"/>
      <c r="HHY38" s="66"/>
      <c r="HHZ38" s="66"/>
      <c r="HIA38" s="66"/>
      <c r="HIB38" s="66"/>
      <c r="HIC38" s="66"/>
      <c r="HID38" s="66"/>
      <c r="HIE38" s="66"/>
      <c r="HIF38" s="66"/>
      <c r="HIG38" s="66"/>
      <c r="HIH38" s="66"/>
      <c r="HII38" s="66"/>
      <c r="HIJ38" s="66"/>
      <c r="HIK38" s="66"/>
      <c r="HIL38" s="66"/>
      <c r="HIM38" s="66"/>
      <c r="HIN38" s="66"/>
      <c r="HIO38" s="66"/>
      <c r="HIP38" s="66"/>
      <c r="HIQ38" s="66"/>
      <c r="HIR38" s="66"/>
      <c r="HIS38" s="66"/>
      <c r="HIT38" s="66"/>
      <c r="HIU38" s="66"/>
      <c r="HIV38" s="66"/>
      <c r="HIW38" s="66"/>
      <c r="HIX38" s="66"/>
      <c r="HIY38" s="66"/>
      <c r="HIZ38" s="66"/>
      <c r="HJA38" s="66"/>
      <c r="HJB38" s="66"/>
      <c r="HJC38" s="66"/>
      <c r="HJD38" s="66"/>
      <c r="HJE38" s="66"/>
      <c r="HJF38" s="66"/>
      <c r="HJG38" s="66"/>
      <c r="HJH38" s="66"/>
      <c r="HJI38" s="66"/>
      <c r="HJJ38" s="66"/>
      <c r="HJK38" s="66"/>
      <c r="HJL38" s="66"/>
      <c r="HJM38" s="66"/>
      <c r="HJN38" s="66"/>
      <c r="HJO38" s="66"/>
      <c r="HJP38" s="66"/>
      <c r="HJQ38" s="66"/>
      <c r="HJR38" s="66"/>
      <c r="HJS38" s="66"/>
      <c r="HJT38" s="66"/>
      <c r="HJU38" s="66"/>
      <c r="HJV38" s="66"/>
      <c r="HJW38" s="66"/>
      <c r="HJX38" s="66"/>
      <c r="HJY38" s="66"/>
      <c r="HJZ38" s="66"/>
      <c r="HKA38" s="66"/>
      <c r="HKB38" s="66"/>
      <c r="HKC38" s="66"/>
      <c r="HKD38" s="66"/>
      <c r="HKE38" s="66"/>
      <c r="HKF38" s="66"/>
      <c r="HKG38" s="66"/>
      <c r="HKH38" s="66"/>
      <c r="HKI38" s="66"/>
      <c r="HKJ38" s="66"/>
      <c r="HKK38" s="66"/>
      <c r="HKL38" s="66"/>
      <c r="HKM38" s="66"/>
      <c r="HKN38" s="66"/>
      <c r="HKO38" s="66"/>
      <c r="HKP38" s="66"/>
      <c r="HKQ38" s="66"/>
      <c r="HKR38" s="66"/>
      <c r="HKS38" s="66"/>
      <c r="HKT38" s="66"/>
      <c r="HKU38" s="66"/>
      <c r="HKV38" s="66"/>
      <c r="HKW38" s="66"/>
      <c r="HKX38" s="66"/>
      <c r="HKY38" s="66"/>
      <c r="HKZ38" s="66"/>
      <c r="HLA38" s="66"/>
      <c r="HLB38" s="66"/>
      <c r="HLC38" s="66"/>
      <c r="HLD38" s="66"/>
      <c r="HLE38" s="66"/>
      <c r="HLF38" s="66"/>
      <c r="HLG38" s="66"/>
      <c r="HLH38" s="66"/>
      <c r="HLI38" s="66"/>
      <c r="HLJ38" s="66"/>
      <c r="HLK38" s="66"/>
      <c r="HLL38" s="66"/>
      <c r="HLM38" s="66"/>
      <c r="HLN38" s="66"/>
      <c r="HLO38" s="66"/>
      <c r="HLP38" s="66"/>
      <c r="HLQ38" s="66"/>
      <c r="HLR38" s="66"/>
      <c r="HLS38" s="66"/>
      <c r="HLT38" s="66"/>
      <c r="HLU38" s="66"/>
      <c r="HLV38" s="66"/>
      <c r="HLW38" s="66"/>
      <c r="HLX38" s="66"/>
      <c r="HLY38" s="66"/>
      <c r="HLZ38" s="66"/>
      <c r="HMA38" s="66"/>
      <c r="HMB38" s="66"/>
      <c r="HMC38" s="66"/>
      <c r="HMD38" s="66"/>
      <c r="HME38" s="66"/>
      <c r="HMF38" s="66"/>
      <c r="HMG38" s="66"/>
      <c r="HMH38" s="66"/>
      <c r="HMI38" s="66"/>
      <c r="HMJ38" s="66"/>
      <c r="HMK38" s="66"/>
      <c r="HML38" s="66"/>
      <c r="HMM38" s="66"/>
      <c r="HMN38" s="66"/>
      <c r="HMO38" s="66"/>
      <c r="HMP38" s="66"/>
      <c r="HMQ38" s="66"/>
      <c r="HMR38" s="66"/>
      <c r="HMS38" s="66"/>
      <c r="HMT38" s="66"/>
      <c r="HMU38" s="66"/>
      <c r="HMV38" s="66"/>
      <c r="HMW38" s="66"/>
      <c r="HMX38" s="66"/>
      <c r="HMY38" s="66"/>
      <c r="HMZ38" s="66"/>
      <c r="HNA38" s="66"/>
      <c r="HNB38" s="66"/>
      <c r="HNC38" s="66"/>
      <c r="HND38" s="66"/>
      <c r="HNE38" s="66"/>
      <c r="HNF38" s="66"/>
      <c r="HNG38" s="66"/>
      <c r="HNH38" s="66"/>
      <c r="HNI38" s="66"/>
      <c r="HNJ38" s="66"/>
      <c r="HNK38" s="66"/>
      <c r="HNL38" s="66"/>
      <c r="HNM38" s="66"/>
      <c r="HNN38" s="66"/>
      <c r="HNO38" s="66"/>
      <c r="HNP38" s="66"/>
      <c r="HNQ38" s="66"/>
      <c r="HNR38" s="66"/>
      <c r="HNS38" s="66"/>
      <c r="HNT38" s="66"/>
      <c r="HNU38" s="66"/>
      <c r="HNV38" s="66"/>
      <c r="HNW38" s="66"/>
      <c r="HNX38" s="66"/>
      <c r="HNY38" s="66"/>
      <c r="HNZ38" s="66"/>
      <c r="HOA38" s="66"/>
      <c r="HOB38" s="66"/>
      <c r="HOC38" s="66"/>
      <c r="HOD38" s="66"/>
      <c r="HOE38" s="66"/>
      <c r="HOF38" s="66"/>
      <c r="HOG38" s="66"/>
      <c r="HOH38" s="66"/>
      <c r="HOI38" s="66"/>
      <c r="HOJ38" s="66"/>
      <c r="HOK38" s="66"/>
      <c r="HOL38" s="66"/>
      <c r="HOM38" s="66"/>
      <c r="HON38" s="66"/>
      <c r="HOO38" s="66"/>
      <c r="HOP38" s="66"/>
      <c r="HOQ38" s="66"/>
      <c r="HOR38" s="66"/>
      <c r="HOS38" s="66"/>
      <c r="HOT38" s="66"/>
      <c r="HOU38" s="66"/>
      <c r="HOV38" s="66"/>
      <c r="HOW38" s="66"/>
      <c r="HOX38" s="66"/>
      <c r="HOY38" s="66"/>
      <c r="HOZ38" s="66"/>
      <c r="HPA38" s="66"/>
      <c r="HPB38" s="66"/>
      <c r="HPC38" s="66"/>
      <c r="HPD38" s="66"/>
      <c r="HPE38" s="66"/>
      <c r="HPF38" s="66"/>
      <c r="HPG38" s="66"/>
      <c r="HPH38" s="66"/>
      <c r="HPI38" s="66"/>
      <c r="HPJ38" s="66"/>
      <c r="HPK38" s="66"/>
      <c r="HPL38" s="66"/>
      <c r="HPM38" s="66"/>
      <c r="HPN38" s="66"/>
      <c r="HPO38" s="66"/>
      <c r="HPP38" s="66"/>
      <c r="HPQ38" s="66"/>
      <c r="HPR38" s="66"/>
      <c r="HPS38" s="66"/>
      <c r="HPT38" s="66"/>
      <c r="HPU38" s="66"/>
      <c r="HPV38" s="66"/>
      <c r="HPW38" s="66"/>
      <c r="HPX38" s="66"/>
      <c r="HPY38" s="66"/>
      <c r="HPZ38" s="66"/>
      <c r="HQA38" s="66"/>
      <c r="HQB38" s="66"/>
      <c r="HQC38" s="66"/>
      <c r="HQD38" s="66"/>
      <c r="HQE38" s="66"/>
      <c r="HQF38" s="66"/>
      <c r="HQG38" s="66"/>
      <c r="HQH38" s="66"/>
      <c r="HQI38" s="66"/>
      <c r="HQJ38" s="66"/>
      <c r="HQK38" s="66"/>
      <c r="HQL38" s="66"/>
      <c r="HQM38" s="66"/>
      <c r="HQN38" s="66"/>
      <c r="HQO38" s="66"/>
      <c r="HQP38" s="66"/>
      <c r="HQQ38" s="66"/>
      <c r="HQR38" s="66"/>
      <c r="HQS38" s="66"/>
      <c r="HQT38" s="66"/>
      <c r="HQU38" s="66"/>
      <c r="HQV38" s="66"/>
      <c r="HQW38" s="66"/>
      <c r="HQX38" s="66"/>
      <c r="HQY38" s="66"/>
      <c r="HQZ38" s="66"/>
      <c r="HRA38" s="66"/>
      <c r="HRB38" s="66"/>
      <c r="HRC38" s="66"/>
      <c r="HRD38" s="66"/>
      <c r="HRE38" s="66"/>
      <c r="HRF38" s="66"/>
      <c r="HRG38" s="66"/>
      <c r="HRH38" s="66"/>
      <c r="HRI38" s="66"/>
      <c r="HRJ38" s="66"/>
      <c r="HRK38" s="66"/>
      <c r="HRL38" s="66"/>
      <c r="HRM38" s="66"/>
      <c r="HRN38" s="66"/>
      <c r="HRO38" s="66"/>
      <c r="HRP38" s="66"/>
      <c r="HRQ38" s="66"/>
      <c r="HRR38" s="66"/>
      <c r="HRS38" s="66"/>
      <c r="HRT38" s="66"/>
      <c r="HRU38" s="66"/>
      <c r="HRV38" s="66"/>
      <c r="HRW38" s="66"/>
      <c r="HRX38" s="66"/>
      <c r="HRY38" s="66"/>
      <c r="HRZ38" s="66"/>
      <c r="HSA38" s="66"/>
      <c r="HSB38" s="66"/>
      <c r="HSC38" s="66"/>
      <c r="HSD38" s="66"/>
      <c r="HSE38" s="66"/>
      <c r="HSF38" s="66"/>
      <c r="HSG38" s="66"/>
      <c r="HSH38" s="66"/>
      <c r="HSI38" s="66"/>
      <c r="HSJ38" s="66"/>
      <c r="HSK38" s="66"/>
      <c r="HSL38" s="66"/>
      <c r="HSM38" s="66"/>
      <c r="HSN38" s="66"/>
      <c r="HSO38" s="66"/>
      <c r="HSP38" s="66"/>
      <c r="HSQ38" s="66"/>
      <c r="HSR38" s="66"/>
      <c r="HSS38" s="66"/>
      <c r="HST38" s="66"/>
      <c r="HSU38" s="66"/>
      <c r="HSV38" s="66"/>
      <c r="HSW38" s="66"/>
      <c r="HSX38" s="66"/>
      <c r="HSY38" s="66"/>
      <c r="HSZ38" s="66"/>
      <c r="HTA38" s="66"/>
      <c r="HTB38" s="66"/>
      <c r="HTC38" s="66"/>
      <c r="HTD38" s="66"/>
      <c r="HTE38" s="66"/>
      <c r="HTF38" s="66"/>
      <c r="HTG38" s="66"/>
      <c r="HTH38" s="66"/>
      <c r="HTI38" s="66"/>
      <c r="HTJ38" s="66"/>
      <c r="HTK38" s="66"/>
      <c r="HTL38" s="66"/>
      <c r="HTM38" s="66"/>
      <c r="HTN38" s="66"/>
      <c r="HTO38" s="66"/>
      <c r="HTP38" s="66"/>
      <c r="HTQ38" s="66"/>
      <c r="HTR38" s="66"/>
      <c r="HTS38" s="66"/>
      <c r="HTT38" s="66"/>
      <c r="HTU38" s="66"/>
      <c r="HTV38" s="66"/>
      <c r="HTW38" s="66"/>
      <c r="HTX38" s="66"/>
      <c r="HTY38" s="66"/>
      <c r="HTZ38" s="66"/>
      <c r="HUA38" s="66"/>
      <c r="HUB38" s="66"/>
      <c r="HUC38" s="66"/>
      <c r="HUD38" s="66"/>
      <c r="HUE38" s="66"/>
      <c r="HUF38" s="66"/>
      <c r="HUG38" s="66"/>
      <c r="HUH38" s="66"/>
      <c r="HUI38" s="66"/>
      <c r="HUJ38" s="66"/>
      <c r="HUK38" s="66"/>
      <c r="HUL38" s="66"/>
      <c r="HUM38" s="66"/>
      <c r="HUN38" s="66"/>
      <c r="HUO38" s="66"/>
      <c r="HUP38" s="66"/>
      <c r="HUQ38" s="66"/>
      <c r="HUR38" s="66"/>
      <c r="HUS38" s="66"/>
      <c r="HUT38" s="66"/>
      <c r="HUU38" s="66"/>
      <c r="HUV38" s="66"/>
      <c r="HUW38" s="66"/>
      <c r="HUX38" s="66"/>
      <c r="HUY38" s="66"/>
      <c r="HUZ38" s="66"/>
      <c r="HVA38" s="66"/>
      <c r="HVB38" s="66"/>
      <c r="HVC38" s="66"/>
      <c r="HVD38" s="66"/>
      <c r="HVE38" s="66"/>
      <c r="HVF38" s="66"/>
      <c r="HVG38" s="66"/>
      <c r="HVH38" s="66"/>
      <c r="HVI38" s="66"/>
      <c r="HVJ38" s="66"/>
      <c r="HVK38" s="66"/>
      <c r="HVL38" s="66"/>
      <c r="HVM38" s="66"/>
      <c r="HVN38" s="66"/>
      <c r="HVO38" s="66"/>
      <c r="HVP38" s="66"/>
      <c r="HVQ38" s="66"/>
      <c r="HVR38" s="66"/>
      <c r="HVS38" s="66"/>
      <c r="HVT38" s="66"/>
      <c r="HVU38" s="66"/>
      <c r="HVV38" s="66"/>
      <c r="HVW38" s="66"/>
      <c r="HVX38" s="66"/>
      <c r="HVY38" s="66"/>
      <c r="HVZ38" s="66"/>
      <c r="HWA38" s="66"/>
      <c r="HWB38" s="66"/>
      <c r="HWC38" s="66"/>
      <c r="HWD38" s="66"/>
      <c r="HWE38" s="66"/>
      <c r="HWF38" s="66"/>
      <c r="HWG38" s="66"/>
      <c r="HWH38" s="66"/>
      <c r="HWI38" s="66"/>
      <c r="HWJ38" s="66"/>
      <c r="HWK38" s="66"/>
      <c r="HWL38" s="66"/>
      <c r="HWM38" s="66"/>
      <c r="HWN38" s="66"/>
      <c r="HWO38" s="66"/>
      <c r="HWP38" s="66"/>
      <c r="HWQ38" s="66"/>
      <c r="HWR38" s="66"/>
      <c r="HWS38" s="66"/>
      <c r="HWT38" s="66"/>
      <c r="HWU38" s="66"/>
      <c r="HWV38" s="66"/>
      <c r="HWW38" s="66"/>
      <c r="HWX38" s="66"/>
      <c r="HWY38" s="66"/>
      <c r="HWZ38" s="66"/>
      <c r="HXA38" s="66"/>
      <c r="HXB38" s="66"/>
      <c r="HXC38" s="66"/>
      <c r="HXD38" s="66"/>
      <c r="HXE38" s="66"/>
      <c r="HXF38" s="66"/>
      <c r="HXG38" s="66"/>
      <c r="HXH38" s="66"/>
      <c r="HXI38" s="66"/>
      <c r="HXJ38" s="66"/>
      <c r="HXK38" s="66"/>
      <c r="HXL38" s="66"/>
      <c r="HXM38" s="66"/>
      <c r="HXN38" s="66"/>
      <c r="HXO38" s="66"/>
      <c r="HXP38" s="66"/>
      <c r="HXQ38" s="66"/>
      <c r="HXR38" s="66"/>
      <c r="HXS38" s="66"/>
      <c r="HXT38" s="66"/>
      <c r="HXU38" s="66"/>
      <c r="HXV38" s="66"/>
      <c r="HXW38" s="66"/>
      <c r="HXX38" s="66"/>
      <c r="HXY38" s="66"/>
      <c r="HXZ38" s="66"/>
      <c r="HYA38" s="66"/>
      <c r="HYB38" s="66"/>
      <c r="HYC38" s="66"/>
      <c r="HYD38" s="66"/>
      <c r="HYE38" s="66"/>
      <c r="HYF38" s="66"/>
      <c r="HYG38" s="66"/>
      <c r="HYH38" s="66"/>
      <c r="HYI38" s="66"/>
      <c r="HYJ38" s="66"/>
      <c r="HYK38" s="66"/>
      <c r="HYL38" s="66"/>
      <c r="HYM38" s="66"/>
      <c r="HYN38" s="66"/>
      <c r="HYO38" s="66"/>
      <c r="HYP38" s="66"/>
      <c r="HYQ38" s="66"/>
      <c r="HYR38" s="66"/>
      <c r="HYS38" s="66"/>
      <c r="HYT38" s="66"/>
      <c r="HYU38" s="66"/>
      <c r="HYV38" s="66"/>
      <c r="HYW38" s="66"/>
      <c r="HYX38" s="66"/>
      <c r="HYY38" s="66"/>
      <c r="HYZ38" s="66"/>
      <c r="HZA38" s="66"/>
      <c r="HZB38" s="66"/>
      <c r="HZC38" s="66"/>
      <c r="HZD38" s="66"/>
      <c r="HZE38" s="66"/>
      <c r="HZF38" s="66"/>
      <c r="HZG38" s="66"/>
      <c r="HZH38" s="66"/>
      <c r="HZI38" s="66"/>
      <c r="HZJ38" s="66"/>
      <c r="HZK38" s="66"/>
      <c r="HZL38" s="66"/>
      <c r="HZM38" s="66"/>
      <c r="HZN38" s="66"/>
      <c r="HZO38" s="66"/>
      <c r="HZP38" s="66"/>
      <c r="HZQ38" s="66"/>
      <c r="HZR38" s="66"/>
      <c r="HZS38" s="66"/>
      <c r="HZT38" s="66"/>
      <c r="HZU38" s="66"/>
      <c r="HZV38" s="66"/>
      <c r="HZW38" s="66"/>
      <c r="HZX38" s="66"/>
      <c r="HZY38" s="66"/>
      <c r="HZZ38" s="66"/>
      <c r="IAA38" s="66"/>
      <c r="IAB38" s="66"/>
      <c r="IAC38" s="66"/>
      <c r="IAD38" s="66"/>
      <c r="IAE38" s="66"/>
      <c r="IAF38" s="66"/>
      <c r="IAG38" s="66"/>
      <c r="IAH38" s="66"/>
      <c r="IAI38" s="66"/>
      <c r="IAJ38" s="66"/>
      <c r="IAK38" s="66"/>
      <c r="IAL38" s="66"/>
      <c r="IAM38" s="66"/>
      <c r="IAN38" s="66"/>
      <c r="IAO38" s="66"/>
      <c r="IAP38" s="66"/>
      <c r="IAQ38" s="66"/>
      <c r="IAR38" s="66"/>
      <c r="IAS38" s="66"/>
      <c r="IAT38" s="66"/>
      <c r="IAU38" s="66"/>
      <c r="IAV38" s="66"/>
      <c r="IAW38" s="66"/>
      <c r="IAX38" s="66"/>
      <c r="IAY38" s="66"/>
      <c r="IAZ38" s="66"/>
      <c r="IBA38" s="66"/>
      <c r="IBB38" s="66"/>
      <c r="IBC38" s="66"/>
      <c r="IBD38" s="66"/>
      <c r="IBE38" s="66"/>
      <c r="IBF38" s="66"/>
      <c r="IBG38" s="66"/>
      <c r="IBH38" s="66"/>
      <c r="IBI38" s="66"/>
      <c r="IBJ38" s="66"/>
      <c r="IBK38" s="66"/>
      <c r="IBL38" s="66"/>
      <c r="IBM38" s="66"/>
      <c r="IBN38" s="66"/>
      <c r="IBO38" s="66"/>
      <c r="IBP38" s="66"/>
      <c r="IBQ38" s="66"/>
      <c r="IBR38" s="66"/>
      <c r="IBS38" s="66"/>
      <c r="IBT38" s="66"/>
      <c r="IBU38" s="66"/>
      <c r="IBV38" s="66"/>
      <c r="IBW38" s="66"/>
      <c r="IBX38" s="66"/>
      <c r="IBY38" s="66"/>
      <c r="IBZ38" s="66"/>
      <c r="ICA38" s="66"/>
      <c r="ICB38" s="66"/>
      <c r="ICC38" s="66"/>
      <c r="ICD38" s="66"/>
      <c r="ICE38" s="66"/>
      <c r="ICF38" s="66"/>
      <c r="ICG38" s="66"/>
      <c r="ICH38" s="66"/>
      <c r="ICI38" s="66"/>
      <c r="ICJ38" s="66"/>
      <c r="ICK38" s="66"/>
      <c r="ICL38" s="66"/>
      <c r="ICM38" s="66"/>
      <c r="ICN38" s="66"/>
      <c r="ICO38" s="66"/>
      <c r="ICP38" s="66"/>
      <c r="ICQ38" s="66"/>
      <c r="ICR38" s="66"/>
      <c r="ICS38" s="66"/>
      <c r="ICT38" s="66"/>
      <c r="ICU38" s="66"/>
      <c r="ICV38" s="66"/>
      <c r="ICW38" s="66"/>
      <c r="ICX38" s="66"/>
      <c r="ICY38" s="66"/>
      <c r="ICZ38" s="66"/>
      <c r="IDA38" s="66"/>
      <c r="IDB38" s="66"/>
      <c r="IDC38" s="66"/>
      <c r="IDD38" s="66"/>
      <c r="IDE38" s="66"/>
      <c r="IDF38" s="66"/>
      <c r="IDG38" s="66"/>
      <c r="IDH38" s="66"/>
      <c r="IDI38" s="66"/>
      <c r="IDJ38" s="66"/>
      <c r="IDK38" s="66"/>
      <c r="IDL38" s="66"/>
      <c r="IDM38" s="66"/>
      <c r="IDN38" s="66"/>
      <c r="IDO38" s="66"/>
      <c r="IDP38" s="66"/>
      <c r="IDQ38" s="66"/>
      <c r="IDR38" s="66"/>
      <c r="IDS38" s="66"/>
      <c r="IDT38" s="66"/>
      <c r="IDU38" s="66"/>
      <c r="IDV38" s="66"/>
      <c r="IDW38" s="66"/>
      <c r="IDX38" s="66"/>
      <c r="IDY38" s="66"/>
      <c r="IDZ38" s="66"/>
      <c r="IEA38" s="66"/>
      <c r="IEB38" s="66"/>
      <c r="IEC38" s="66"/>
      <c r="IED38" s="66"/>
      <c r="IEE38" s="66"/>
      <c r="IEF38" s="66"/>
      <c r="IEG38" s="66"/>
      <c r="IEH38" s="66"/>
      <c r="IEI38" s="66"/>
      <c r="IEJ38" s="66"/>
      <c r="IEK38" s="66"/>
      <c r="IEL38" s="66"/>
      <c r="IEM38" s="66"/>
      <c r="IEN38" s="66"/>
      <c r="IEO38" s="66"/>
      <c r="IEP38" s="66"/>
      <c r="IEQ38" s="66"/>
      <c r="IER38" s="66"/>
      <c r="IES38" s="66"/>
      <c r="IET38" s="66"/>
      <c r="IEU38" s="66"/>
      <c r="IEV38" s="66"/>
      <c r="IEW38" s="66"/>
      <c r="IEX38" s="66"/>
      <c r="IEY38" s="66"/>
      <c r="IEZ38" s="66"/>
      <c r="IFA38" s="66"/>
      <c r="IFB38" s="66"/>
      <c r="IFC38" s="66"/>
      <c r="IFD38" s="66"/>
      <c r="IFE38" s="66"/>
      <c r="IFF38" s="66"/>
      <c r="IFG38" s="66"/>
      <c r="IFH38" s="66"/>
      <c r="IFI38" s="66"/>
      <c r="IFJ38" s="66"/>
      <c r="IFK38" s="66"/>
      <c r="IFL38" s="66"/>
      <c r="IFM38" s="66"/>
      <c r="IFN38" s="66"/>
      <c r="IFO38" s="66"/>
      <c r="IFP38" s="66"/>
      <c r="IFQ38" s="66"/>
      <c r="IFR38" s="66"/>
      <c r="IFS38" s="66"/>
      <c r="IFT38" s="66"/>
      <c r="IFU38" s="66"/>
      <c r="IFV38" s="66"/>
      <c r="IFW38" s="66"/>
      <c r="IFX38" s="66"/>
      <c r="IFY38" s="66"/>
      <c r="IFZ38" s="66"/>
      <c r="IGA38" s="66"/>
      <c r="IGB38" s="66"/>
      <c r="IGC38" s="66"/>
      <c r="IGD38" s="66"/>
      <c r="IGE38" s="66"/>
      <c r="IGF38" s="66"/>
      <c r="IGG38" s="66"/>
      <c r="IGH38" s="66"/>
      <c r="IGI38" s="66"/>
      <c r="IGJ38" s="66"/>
      <c r="IGK38" s="66"/>
      <c r="IGL38" s="66"/>
      <c r="IGM38" s="66"/>
      <c r="IGN38" s="66"/>
      <c r="IGO38" s="66"/>
      <c r="IGP38" s="66"/>
      <c r="IGQ38" s="66"/>
      <c r="IGR38" s="66"/>
      <c r="IGS38" s="66"/>
      <c r="IGT38" s="66"/>
      <c r="IGU38" s="66"/>
      <c r="IGV38" s="66"/>
      <c r="IGW38" s="66"/>
      <c r="IGX38" s="66"/>
      <c r="IGY38" s="66"/>
      <c r="IGZ38" s="66"/>
      <c r="IHA38" s="66"/>
      <c r="IHB38" s="66"/>
      <c r="IHC38" s="66"/>
      <c r="IHD38" s="66"/>
      <c r="IHE38" s="66"/>
      <c r="IHF38" s="66"/>
      <c r="IHG38" s="66"/>
      <c r="IHH38" s="66"/>
      <c r="IHI38" s="66"/>
      <c r="IHJ38" s="66"/>
      <c r="IHK38" s="66"/>
      <c r="IHL38" s="66"/>
      <c r="IHM38" s="66"/>
      <c r="IHN38" s="66"/>
      <c r="IHO38" s="66"/>
      <c r="IHP38" s="66"/>
      <c r="IHQ38" s="66"/>
      <c r="IHR38" s="66"/>
      <c r="IHS38" s="66"/>
      <c r="IHT38" s="66"/>
      <c r="IHU38" s="66"/>
      <c r="IHV38" s="66"/>
      <c r="IHW38" s="66"/>
      <c r="IHX38" s="66"/>
      <c r="IHY38" s="66"/>
      <c r="IHZ38" s="66"/>
      <c r="IIA38" s="66"/>
      <c r="IIB38" s="66"/>
      <c r="IIC38" s="66"/>
      <c r="IID38" s="66"/>
      <c r="IIE38" s="66"/>
      <c r="IIF38" s="66"/>
      <c r="IIG38" s="66"/>
      <c r="IIH38" s="66"/>
      <c r="III38" s="66"/>
      <c r="IIJ38" s="66"/>
      <c r="IIK38" s="66"/>
      <c r="IIL38" s="66"/>
      <c r="IIM38" s="66"/>
      <c r="IIN38" s="66"/>
      <c r="IIO38" s="66"/>
      <c r="IIP38" s="66"/>
      <c r="IIQ38" s="66"/>
      <c r="IIR38" s="66"/>
      <c r="IIS38" s="66"/>
      <c r="IIT38" s="66"/>
      <c r="IIU38" s="66"/>
      <c r="IIV38" s="66"/>
      <c r="IIW38" s="66"/>
      <c r="IIX38" s="66"/>
      <c r="IIY38" s="66"/>
      <c r="IIZ38" s="66"/>
      <c r="IJA38" s="66"/>
      <c r="IJB38" s="66"/>
      <c r="IJC38" s="66"/>
      <c r="IJD38" s="66"/>
      <c r="IJE38" s="66"/>
      <c r="IJF38" s="66"/>
      <c r="IJG38" s="66"/>
      <c r="IJH38" s="66"/>
      <c r="IJI38" s="66"/>
      <c r="IJJ38" s="66"/>
      <c r="IJK38" s="66"/>
      <c r="IJL38" s="66"/>
      <c r="IJM38" s="66"/>
      <c r="IJN38" s="66"/>
      <c r="IJO38" s="66"/>
      <c r="IJP38" s="66"/>
      <c r="IJQ38" s="66"/>
      <c r="IJR38" s="66"/>
      <c r="IJS38" s="66"/>
      <c r="IJT38" s="66"/>
      <c r="IJU38" s="66"/>
      <c r="IJV38" s="66"/>
      <c r="IJW38" s="66"/>
      <c r="IJX38" s="66"/>
      <c r="IJY38" s="66"/>
      <c r="IJZ38" s="66"/>
      <c r="IKA38" s="66"/>
      <c r="IKB38" s="66"/>
      <c r="IKC38" s="66"/>
      <c r="IKD38" s="66"/>
      <c r="IKE38" s="66"/>
      <c r="IKF38" s="66"/>
      <c r="IKG38" s="66"/>
      <c r="IKH38" s="66"/>
      <c r="IKI38" s="66"/>
      <c r="IKJ38" s="66"/>
      <c r="IKK38" s="66"/>
      <c r="IKL38" s="66"/>
      <c r="IKM38" s="66"/>
      <c r="IKN38" s="66"/>
      <c r="IKO38" s="66"/>
      <c r="IKP38" s="66"/>
      <c r="IKQ38" s="66"/>
      <c r="IKR38" s="66"/>
      <c r="IKS38" s="66"/>
      <c r="IKT38" s="66"/>
      <c r="IKU38" s="66"/>
      <c r="IKV38" s="66"/>
      <c r="IKW38" s="66"/>
      <c r="IKX38" s="66"/>
      <c r="IKY38" s="66"/>
      <c r="IKZ38" s="66"/>
      <c r="ILA38" s="66"/>
      <c r="ILB38" s="66"/>
      <c r="ILC38" s="66"/>
      <c r="ILD38" s="66"/>
      <c r="ILE38" s="66"/>
      <c r="ILF38" s="66"/>
      <c r="ILG38" s="66"/>
      <c r="ILH38" s="66"/>
      <c r="ILI38" s="66"/>
      <c r="ILJ38" s="66"/>
      <c r="ILK38" s="66"/>
      <c r="ILL38" s="66"/>
      <c r="ILM38" s="66"/>
      <c r="ILN38" s="66"/>
      <c r="ILO38" s="66"/>
      <c r="ILP38" s="66"/>
      <c r="ILQ38" s="66"/>
      <c r="ILR38" s="66"/>
      <c r="ILS38" s="66"/>
      <c r="ILT38" s="66"/>
      <c r="ILU38" s="66"/>
      <c r="ILV38" s="66"/>
      <c r="ILW38" s="66"/>
      <c r="ILX38" s="66"/>
      <c r="ILY38" s="66"/>
      <c r="ILZ38" s="66"/>
      <c r="IMA38" s="66"/>
      <c r="IMB38" s="66"/>
      <c r="IMC38" s="66"/>
      <c r="IMD38" s="66"/>
      <c r="IME38" s="66"/>
      <c r="IMF38" s="66"/>
      <c r="IMG38" s="66"/>
      <c r="IMH38" s="66"/>
      <c r="IMI38" s="66"/>
      <c r="IMJ38" s="66"/>
      <c r="IMK38" s="66"/>
      <c r="IML38" s="66"/>
      <c r="IMM38" s="66"/>
      <c r="IMN38" s="66"/>
      <c r="IMO38" s="66"/>
      <c r="IMP38" s="66"/>
      <c r="IMQ38" s="66"/>
      <c r="IMR38" s="66"/>
      <c r="IMS38" s="66"/>
      <c r="IMT38" s="66"/>
      <c r="IMU38" s="66"/>
      <c r="IMV38" s="66"/>
      <c r="IMW38" s="66"/>
      <c r="IMX38" s="66"/>
      <c r="IMY38" s="66"/>
      <c r="IMZ38" s="66"/>
      <c r="INA38" s="66"/>
      <c r="INB38" s="66"/>
      <c r="INC38" s="66"/>
      <c r="IND38" s="66"/>
      <c r="INE38" s="66"/>
      <c r="INF38" s="66"/>
      <c r="ING38" s="66"/>
      <c r="INH38" s="66"/>
      <c r="INI38" s="66"/>
      <c r="INJ38" s="66"/>
      <c r="INK38" s="66"/>
      <c r="INL38" s="66"/>
      <c r="INM38" s="66"/>
      <c r="INN38" s="66"/>
      <c r="INO38" s="66"/>
      <c r="INP38" s="66"/>
      <c r="INQ38" s="66"/>
      <c r="INR38" s="66"/>
      <c r="INS38" s="66"/>
      <c r="INT38" s="66"/>
      <c r="INU38" s="66"/>
      <c r="INV38" s="66"/>
      <c r="INW38" s="66"/>
      <c r="INX38" s="66"/>
      <c r="INY38" s="66"/>
      <c r="INZ38" s="66"/>
      <c r="IOA38" s="66"/>
      <c r="IOB38" s="66"/>
      <c r="IOC38" s="66"/>
      <c r="IOD38" s="66"/>
      <c r="IOE38" s="66"/>
      <c r="IOF38" s="66"/>
      <c r="IOG38" s="66"/>
      <c r="IOH38" s="66"/>
      <c r="IOI38" s="66"/>
      <c r="IOJ38" s="66"/>
      <c r="IOK38" s="66"/>
      <c r="IOL38" s="66"/>
      <c r="IOM38" s="66"/>
      <c r="ION38" s="66"/>
      <c r="IOO38" s="66"/>
      <c r="IOP38" s="66"/>
      <c r="IOQ38" s="66"/>
      <c r="IOR38" s="66"/>
      <c r="IOS38" s="66"/>
      <c r="IOT38" s="66"/>
      <c r="IOU38" s="66"/>
      <c r="IOV38" s="66"/>
      <c r="IOW38" s="66"/>
      <c r="IOX38" s="66"/>
      <c r="IOY38" s="66"/>
      <c r="IOZ38" s="66"/>
      <c r="IPA38" s="66"/>
      <c r="IPB38" s="66"/>
      <c r="IPC38" s="66"/>
      <c r="IPD38" s="66"/>
      <c r="IPE38" s="66"/>
      <c r="IPF38" s="66"/>
      <c r="IPG38" s="66"/>
      <c r="IPH38" s="66"/>
      <c r="IPI38" s="66"/>
      <c r="IPJ38" s="66"/>
      <c r="IPK38" s="66"/>
      <c r="IPL38" s="66"/>
      <c r="IPM38" s="66"/>
      <c r="IPN38" s="66"/>
      <c r="IPO38" s="66"/>
      <c r="IPP38" s="66"/>
      <c r="IPQ38" s="66"/>
      <c r="IPR38" s="66"/>
      <c r="IPS38" s="66"/>
      <c r="IPT38" s="66"/>
      <c r="IPU38" s="66"/>
      <c r="IPV38" s="66"/>
      <c r="IPW38" s="66"/>
      <c r="IPX38" s="66"/>
      <c r="IPY38" s="66"/>
      <c r="IPZ38" s="66"/>
      <c r="IQA38" s="66"/>
      <c r="IQB38" s="66"/>
      <c r="IQC38" s="66"/>
      <c r="IQD38" s="66"/>
      <c r="IQE38" s="66"/>
      <c r="IQF38" s="66"/>
      <c r="IQG38" s="66"/>
      <c r="IQH38" s="66"/>
      <c r="IQI38" s="66"/>
      <c r="IQJ38" s="66"/>
      <c r="IQK38" s="66"/>
      <c r="IQL38" s="66"/>
      <c r="IQM38" s="66"/>
      <c r="IQN38" s="66"/>
      <c r="IQO38" s="66"/>
      <c r="IQP38" s="66"/>
      <c r="IQQ38" s="66"/>
      <c r="IQR38" s="66"/>
      <c r="IQS38" s="66"/>
      <c r="IQT38" s="66"/>
      <c r="IQU38" s="66"/>
      <c r="IQV38" s="66"/>
      <c r="IQW38" s="66"/>
      <c r="IQX38" s="66"/>
      <c r="IQY38" s="66"/>
      <c r="IQZ38" s="66"/>
      <c r="IRA38" s="66"/>
      <c r="IRB38" s="66"/>
      <c r="IRC38" s="66"/>
      <c r="IRD38" s="66"/>
      <c r="IRE38" s="66"/>
      <c r="IRF38" s="66"/>
      <c r="IRG38" s="66"/>
      <c r="IRH38" s="66"/>
      <c r="IRI38" s="66"/>
      <c r="IRJ38" s="66"/>
      <c r="IRK38" s="66"/>
      <c r="IRL38" s="66"/>
      <c r="IRM38" s="66"/>
      <c r="IRN38" s="66"/>
      <c r="IRO38" s="66"/>
      <c r="IRP38" s="66"/>
      <c r="IRQ38" s="66"/>
      <c r="IRR38" s="66"/>
      <c r="IRS38" s="66"/>
      <c r="IRT38" s="66"/>
      <c r="IRU38" s="66"/>
      <c r="IRV38" s="66"/>
      <c r="IRW38" s="66"/>
      <c r="IRX38" s="66"/>
      <c r="IRY38" s="66"/>
      <c r="IRZ38" s="66"/>
      <c r="ISA38" s="66"/>
      <c r="ISB38" s="66"/>
      <c r="ISC38" s="66"/>
      <c r="ISD38" s="66"/>
      <c r="ISE38" s="66"/>
      <c r="ISF38" s="66"/>
      <c r="ISG38" s="66"/>
      <c r="ISH38" s="66"/>
      <c r="ISI38" s="66"/>
      <c r="ISJ38" s="66"/>
      <c r="ISK38" s="66"/>
      <c r="ISL38" s="66"/>
      <c r="ISM38" s="66"/>
      <c r="ISN38" s="66"/>
      <c r="ISO38" s="66"/>
      <c r="ISP38" s="66"/>
      <c r="ISQ38" s="66"/>
      <c r="ISR38" s="66"/>
      <c r="ISS38" s="66"/>
      <c r="IST38" s="66"/>
      <c r="ISU38" s="66"/>
      <c r="ISV38" s="66"/>
      <c r="ISW38" s="66"/>
      <c r="ISX38" s="66"/>
      <c r="ISY38" s="66"/>
      <c r="ISZ38" s="66"/>
      <c r="ITA38" s="66"/>
      <c r="ITB38" s="66"/>
      <c r="ITC38" s="66"/>
      <c r="ITD38" s="66"/>
      <c r="ITE38" s="66"/>
      <c r="ITF38" s="66"/>
      <c r="ITG38" s="66"/>
      <c r="ITH38" s="66"/>
      <c r="ITI38" s="66"/>
      <c r="ITJ38" s="66"/>
      <c r="ITK38" s="66"/>
      <c r="ITL38" s="66"/>
      <c r="ITM38" s="66"/>
      <c r="ITN38" s="66"/>
      <c r="ITO38" s="66"/>
      <c r="ITP38" s="66"/>
      <c r="ITQ38" s="66"/>
      <c r="ITR38" s="66"/>
      <c r="ITS38" s="66"/>
      <c r="ITT38" s="66"/>
      <c r="ITU38" s="66"/>
      <c r="ITV38" s="66"/>
      <c r="ITW38" s="66"/>
      <c r="ITX38" s="66"/>
      <c r="ITY38" s="66"/>
      <c r="ITZ38" s="66"/>
      <c r="IUA38" s="66"/>
      <c r="IUB38" s="66"/>
      <c r="IUC38" s="66"/>
      <c r="IUD38" s="66"/>
      <c r="IUE38" s="66"/>
      <c r="IUF38" s="66"/>
      <c r="IUG38" s="66"/>
      <c r="IUH38" s="66"/>
      <c r="IUI38" s="66"/>
      <c r="IUJ38" s="66"/>
      <c r="IUK38" s="66"/>
      <c r="IUL38" s="66"/>
      <c r="IUM38" s="66"/>
      <c r="IUN38" s="66"/>
      <c r="IUO38" s="66"/>
      <c r="IUP38" s="66"/>
      <c r="IUQ38" s="66"/>
      <c r="IUR38" s="66"/>
      <c r="IUS38" s="66"/>
      <c r="IUT38" s="66"/>
      <c r="IUU38" s="66"/>
      <c r="IUV38" s="66"/>
      <c r="IUW38" s="66"/>
      <c r="IUX38" s="66"/>
      <c r="IUY38" s="66"/>
      <c r="IUZ38" s="66"/>
      <c r="IVA38" s="66"/>
      <c r="IVB38" s="66"/>
      <c r="IVC38" s="66"/>
      <c r="IVD38" s="66"/>
      <c r="IVE38" s="66"/>
      <c r="IVF38" s="66"/>
      <c r="IVG38" s="66"/>
      <c r="IVH38" s="66"/>
      <c r="IVI38" s="66"/>
      <c r="IVJ38" s="66"/>
      <c r="IVK38" s="66"/>
      <c r="IVL38" s="66"/>
      <c r="IVM38" s="66"/>
      <c r="IVN38" s="66"/>
      <c r="IVO38" s="66"/>
      <c r="IVP38" s="66"/>
      <c r="IVQ38" s="66"/>
      <c r="IVR38" s="66"/>
      <c r="IVS38" s="66"/>
      <c r="IVT38" s="66"/>
      <c r="IVU38" s="66"/>
      <c r="IVV38" s="66"/>
      <c r="IVW38" s="66"/>
      <c r="IVX38" s="66"/>
      <c r="IVY38" s="66"/>
      <c r="IVZ38" s="66"/>
      <c r="IWA38" s="66"/>
      <c r="IWB38" s="66"/>
      <c r="IWC38" s="66"/>
      <c r="IWD38" s="66"/>
      <c r="IWE38" s="66"/>
      <c r="IWF38" s="66"/>
      <c r="IWG38" s="66"/>
      <c r="IWH38" s="66"/>
      <c r="IWI38" s="66"/>
      <c r="IWJ38" s="66"/>
      <c r="IWK38" s="66"/>
      <c r="IWL38" s="66"/>
      <c r="IWM38" s="66"/>
      <c r="IWN38" s="66"/>
      <c r="IWO38" s="66"/>
      <c r="IWP38" s="66"/>
      <c r="IWQ38" s="66"/>
      <c r="IWR38" s="66"/>
      <c r="IWS38" s="66"/>
      <c r="IWT38" s="66"/>
      <c r="IWU38" s="66"/>
      <c r="IWV38" s="66"/>
      <c r="IWW38" s="66"/>
      <c r="IWX38" s="66"/>
      <c r="IWY38" s="66"/>
      <c r="IWZ38" s="66"/>
      <c r="IXA38" s="66"/>
      <c r="IXB38" s="66"/>
      <c r="IXC38" s="66"/>
      <c r="IXD38" s="66"/>
      <c r="IXE38" s="66"/>
      <c r="IXF38" s="66"/>
      <c r="IXG38" s="66"/>
      <c r="IXH38" s="66"/>
      <c r="IXI38" s="66"/>
      <c r="IXJ38" s="66"/>
      <c r="IXK38" s="66"/>
      <c r="IXL38" s="66"/>
      <c r="IXM38" s="66"/>
      <c r="IXN38" s="66"/>
      <c r="IXO38" s="66"/>
      <c r="IXP38" s="66"/>
      <c r="IXQ38" s="66"/>
      <c r="IXR38" s="66"/>
      <c r="IXS38" s="66"/>
      <c r="IXT38" s="66"/>
      <c r="IXU38" s="66"/>
      <c r="IXV38" s="66"/>
      <c r="IXW38" s="66"/>
      <c r="IXX38" s="66"/>
      <c r="IXY38" s="66"/>
      <c r="IXZ38" s="66"/>
      <c r="IYA38" s="66"/>
      <c r="IYB38" s="66"/>
      <c r="IYC38" s="66"/>
      <c r="IYD38" s="66"/>
      <c r="IYE38" s="66"/>
      <c r="IYF38" s="66"/>
      <c r="IYG38" s="66"/>
      <c r="IYH38" s="66"/>
      <c r="IYI38" s="66"/>
      <c r="IYJ38" s="66"/>
      <c r="IYK38" s="66"/>
      <c r="IYL38" s="66"/>
      <c r="IYM38" s="66"/>
      <c r="IYN38" s="66"/>
      <c r="IYO38" s="66"/>
      <c r="IYP38" s="66"/>
      <c r="IYQ38" s="66"/>
      <c r="IYR38" s="66"/>
      <c r="IYS38" s="66"/>
      <c r="IYT38" s="66"/>
      <c r="IYU38" s="66"/>
      <c r="IYV38" s="66"/>
      <c r="IYW38" s="66"/>
      <c r="IYX38" s="66"/>
      <c r="IYY38" s="66"/>
      <c r="IYZ38" s="66"/>
      <c r="IZA38" s="66"/>
      <c r="IZB38" s="66"/>
      <c r="IZC38" s="66"/>
      <c r="IZD38" s="66"/>
      <c r="IZE38" s="66"/>
      <c r="IZF38" s="66"/>
      <c r="IZG38" s="66"/>
      <c r="IZH38" s="66"/>
      <c r="IZI38" s="66"/>
      <c r="IZJ38" s="66"/>
      <c r="IZK38" s="66"/>
      <c r="IZL38" s="66"/>
      <c r="IZM38" s="66"/>
      <c r="IZN38" s="66"/>
      <c r="IZO38" s="66"/>
      <c r="IZP38" s="66"/>
      <c r="IZQ38" s="66"/>
      <c r="IZR38" s="66"/>
      <c r="IZS38" s="66"/>
      <c r="IZT38" s="66"/>
      <c r="IZU38" s="66"/>
      <c r="IZV38" s="66"/>
      <c r="IZW38" s="66"/>
      <c r="IZX38" s="66"/>
      <c r="IZY38" s="66"/>
      <c r="IZZ38" s="66"/>
      <c r="JAA38" s="66"/>
      <c r="JAB38" s="66"/>
      <c r="JAC38" s="66"/>
      <c r="JAD38" s="66"/>
      <c r="JAE38" s="66"/>
      <c r="JAF38" s="66"/>
      <c r="JAG38" s="66"/>
      <c r="JAH38" s="66"/>
      <c r="JAI38" s="66"/>
      <c r="JAJ38" s="66"/>
      <c r="JAK38" s="66"/>
      <c r="JAL38" s="66"/>
      <c r="JAM38" s="66"/>
      <c r="JAN38" s="66"/>
      <c r="JAO38" s="66"/>
      <c r="JAP38" s="66"/>
      <c r="JAQ38" s="66"/>
      <c r="JAR38" s="66"/>
      <c r="JAS38" s="66"/>
      <c r="JAT38" s="66"/>
      <c r="JAU38" s="66"/>
      <c r="JAV38" s="66"/>
      <c r="JAW38" s="66"/>
      <c r="JAX38" s="66"/>
      <c r="JAY38" s="66"/>
      <c r="JAZ38" s="66"/>
      <c r="JBA38" s="66"/>
      <c r="JBB38" s="66"/>
      <c r="JBC38" s="66"/>
      <c r="JBD38" s="66"/>
      <c r="JBE38" s="66"/>
      <c r="JBF38" s="66"/>
      <c r="JBG38" s="66"/>
      <c r="JBH38" s="66"/>
      <c r="JBI38" s="66"/>
      <c r="JBJ38" s="66"/>
      <c r="JBK38" s="66"/>
      <c r="JBL38" s="66"/>
      <c r="JBM38" s="66"/>
      <c r="JBN38" s="66"/>
      <c r="JBO38" s="66"/>
      <c r="JBP38" s="66"/>
      <c r="JBQ38" s="66"/>
      <c r="JBR38" s="66"/>
      <c r="JBS38" s="66"/>
      <c r="JBT38" s="66"/>
      <c r="JBU38" s="66"/>
      <c r="JBV38" s="66"/>
      <c r="JBW38" s="66"/>
      <c r="JBX38" s="66"/>
      <c r="JBY38" s="66"/>
      <c r="JBZ38" s="66"/>
      <c r="JCA38" s="66"/>
      <c r="JCB38" s="66"/>
      <c r="JCC38" s="66"/>
      <c r="JCD38" s="66"/>
      <c r="JCE38" s="66"/>
      <c r="JCF38" s="66"/>
      <c r="JCG38" s="66"/>
      <c r="JCH38" s="66"/>
      <c r="JCI38" s="66"/>
      <c r="JCJ38" s="66"/>
      <c r="JCK38" s="66"/>
      <c r="JCL38" s="66"/>
      <c r="JCM38" s="66"/>
      <c r="JCN38" s="66"/>
      <c r="JCO38" s="66"/>
      <c r="JCP38" s="66"/>
      <c r="JCQ38" s="66"/>
      <c r="JCR38" s="66"/>
      <c r="JCS38" s="66"/>
      <c r="JCT38" s="66"/>
      <c r="JCU38" s="66"/>
      <c r="JCV38" s="66"/>
      <c r="JCW38" s="66"/>
      <c r="JCX38" s="66"/>
      <c r="JCY38" s="66"/>
      <c r="JCZ38" s="66"/>
      <c r="JDA38" s="66"/>
      <c r="JDB38" s="66"/>
      <c r="JDC38" s="66"/>
      <c r="JDD38" s="66"/>
      <c r="JDE38" s="66"/>
      <c r="JDF38" s="66"/>
      <c r="JDG38" s="66"/>
      <c r="JDH38" s="66"/>
      <c r="JDI38" s="66"/>
      <c r="JDJ38" s="66"/>
      <c r="JDK38" s="66"/>
      <c r="JDL38" s="66"/>
      <c r="JDM38" s="66"/>
      <c r="JDN38" s="66"/>
      <c r="JDO38" s="66"/>
      <c r="JDP38" s="66"/>
      <c r="JDQ38" s="66"/>
      <c r="JDR38" s="66"/>
      <c r="JDS38" s="66"/>
      <c r="JDT38" s="66"/>
      <c r="JDU38" s="66"/>
      <c r="JDV38" s="66"/>
      <c r="JDW38" s="66"/>
      <c r="JDX38" s="66"/>
      <c r="JDY38" s="66"/>
      <c r="JDZ38" s="66"/>
      <c r="JEA38" s="66"/>
      <c r="JEB38" s="66"/>
      <c r="JEC38" s="66"/>
      <c r="JED38" s="66"/>
      <c r="JEE38" s="66"/>
      <c r="JEF38" s="66"/>
      <c r="JEG38" s="66"/>
      <c r="JEH38" s="66"/>
      <c r="JEI38" s="66"/>
      <c r="JEJ38" s="66"/>
      <c r="JEK38" s="66"/>
      <c r="JEL38" s="66"/>
      <c r="JEM38" s="66"/>
      <c r="JEN38" s="66"/>
      <c r="JEO38" s="66"/>
      <c r="JEP38" s="66"/>
      <c r="JEQ38" s="66"/>
      <c r="JER38" s="66"/>
      <c r="JES38" s="66"/>
      <c r="JET38" s="66"/>
      <c r="JEU38" s="66"/>
      <c r="JEV38" s="66"/>
      <c r="JEW38" s="66"/>
      <c r="JEX38" s="66"/>
      <c r="JEY38" s="66"/>
      <c r="JEZ38" s="66"/>
      <c r="JFA38" s="66"/>
      <c r="JFB38" s="66"/>
      <c r="JFC38" s="66"/>
      <c r="JFD38" s="66"/>
      <c r="JFE38" s="66"/>
      <c r="JFF38" s="66"/>
      <c r="JFG38" s="66"/>
      <c r="JFH38" s="66"/>
      <c r="JFI38" s="66"/>
      <c r="JFJ38" s="66"/>
      <c r="JFK38" s="66"/>
      <c r="JFL38" s="66"/>
      <c r="JFM38" s="66"/>
      <c r="JFN38" s="66"/>
      <c r="JFO38" s="66"/>
      <c r="JFP38" s="66"/>
      <c r="JFQ38" s="66"/>
      <c r="JFR38" s="66"/>
      <c r="JFS38" s="66"/>
      <c r="JFT38" s="66"/>
      <c r="JFU38" s="66"/>
      <c r="JFV38" s="66"/>
      <c r="JFW38" s="66"/>
      <c r="JFX38" s="66"/>
      <c r="JFY38" s="66"/>
      <c r="JFZ38" s="66"/>
      <c r="JGA38" s="66"/>
      <c r="JGB38" s="66"/>
      <c r="JGC38" s="66"/>
      <c r="JGD38" s="66"/>
      <c r="JGE38" s="66"/>
      <c r="JGF38" s="66"/>
      <c r="JGG38" s="66"/>
      <c r="JGH38" s="66"/>
      <c r="JGI38" s="66"/>
      <c r="JGJ38" s="66"/>
      <c r="JGK38" s="66"/>
      <c r="JGL38" s="66"/>
      <c r="JGM38" s="66"/>
      <c r="JGN38" s="66"/>
      <c r="JGO38" s="66"/>
      <c r="JGP38" s="66"/>
      <c r="JGQ38" s="66"/>
      <c r="JGR38" s="66"/>
      <c r="JGS38" s="66"/>
      <c r="JGT38" s="66"/>
      <c r="JGU38" s="66"/>
      <c r="JGV38" s="66"/>
      <c r="JGW38" s="66"/>
      <c r="JGX38" s="66"/>
      <c r="JGY38" s="66"/>
      <c r="JGZ38" s="66"/>
      <c r="JHA38" s="66"/>
      <c r="JHB38" s="66"/>
      <c r="JHC38" s="66"/>
      <c r="JHD38" s="66"/>
      <c r="JHE38" s="66"/>
      <c r="JHF38" s="66"/>
      <c r="JHG38" s="66"/>
      <c r="JHH38" s="66"/>
      <c r="JHI38" s="66"/>
      <c r="JHJ38" s="66"/>
      <c r="JHK38" s="66"/>
      <c r="JHL38" s="66"/>
      <c r="JHM38" s="66"/>
      <c r="JHN38" s="66"/>
      <c r="JHO38" s="66"/>
      <c r="JHP38" s="66"/>
      <c r="JHQ38" s="66"/>
      <c r="JHR38" s="66"/>
      <c r="JHS38" s="66"/>
      <c r="JHT38" s="66"/>
      <c r="JHU38" s="66"/>
      <c r="JHV38" s="66"/>
      <c r="JHW38" s="66"/>
      <c r="JHX38" s="66"/>
      <c r="JHY38" s="66"/>
      <c r="JHZ38" s="66"/>
      <c r="JIA38" s="66"/>
      <c r="JIB38" s="66"/>
      <c r="JIC38" s="66"/>
      <c r="JID38" s="66"/>
      <c r="JIE38" s="66"/>
      <c r="JIF38" s="66"/>
      <c r="JIG38" s="66"/>
      <c r="JIH38" s="66"/>
      <c r="JII38" s="66"/>
      <c r="JIJ38" s="66"/>
      <c r="JIK38" s="66"/>
      <c r="JIL38" s="66"/>
      <c r="JIM38" s="66"/>
      <c r="JIN38" s="66"/>
      <c r="JIO38" s="66"/>
      <c r="JIP38" s="66"/>
      <c r="JIQ38" s="66"/>
      <c r="JIR38" s="66"/>
      <c r="JIS38" s="66"/>
      <c r="JIT38" s="66"/>
      <c r="JIU38" s="66"/>
      <c r="JIV38" s="66"/>
      <c r="JIW38" s="66"/>
      <c r="JIX38" s="66"/>
      <c r="JIY38" s="66"/>
      <c r="JIZ38" s="66"/>
      <c r="JJA38" s="66"/>
      <c r="JJB38" s="66"/>
      <c r="JJC38" s="66"/>
      <c r="JJD38" s="66"/>
      <c r="JJE38" s="66"/>
      <c r="JJF38" s="66"/>
      <c r="JJG38" s="66"/>
      <c r="JJH38" s="66"/>
      <c r="JJI38" s="66"/>
      <c r="JJJ38" s="66"/>
      <c r="JJK38" s="66"/>
      <c r="JJL38" s="66"/>
      <c r="JJM38" s="66"/>
      <c r="JJN38" s="66"/>
      <c r="JJO38" s="66"/>
      <c r="JJP38" s="66"/>
      <c r="JJQ38" s="66"/>
      <c r="JJR38" s="66"/>
      <c r="JJS38" s="66"/>
      <c r="JJT38" s="66"/>
      <c r="JJU38" s="66"/>
      <c r="JJV38" s="66"/>
      <c r="JJW38" s="66"/>
      <c r="JJX38" s="66"/>
      <c r="JJY38" s="66"/>
      <c r="JJZ38" s="66"/>
      <c r="JKA38" s="66"/>
      <c r="JKB38" s="66"/>
      <c r="JKC38" s="66"/>
      <c r="JKD38" s="66"/>
      <c r="JKE38" s="66"/>
      <c r="JKF38" s="66"/>
      <c r="JKG38" s="66"/>
      <c r="JKH38" s="66"/>
      <c r="JKI38" s="66"/>
      <c r="JKJ38" s="66"/>
      <c r="JKK38" s="66"/>
      <c r="JKL38" s="66"/>
      <c r="JKM38" s="66"/>
      <c r="JKN38" s="66"/>
      <c r="JKO38" s="66"/>
      <c r="JKP38" s="66"/>
      <c r="JKQ38" s="66"/>
      <c r="JKR38" s="66"/>
      <c r="JKS38" s="66"/>
      <c r="JKT38" s="66"/>
      <c r="JKU38" s="66"/>
      <c r="JKV38" s="66"/>
      <c r="JKW38" s="66"/>
      <c r="JKX38" s="66"/>
      <c r="JKY38" s="66"/>
      <c r="JKZ38" s="66"/>
      <c r="JLA38" s="66"/>
      <c r="JLB38" s="66"/>
      <c r="JLC38" s="66"/>
      <c r="JLD38" s="66"/>
      <c r="JLE38" s="66"/>
      <c r="JLF38" s="66"/>
      <c r="JLG38" s="66"/>
      <c r="JLH38" s="66"/>
      <c r="JLI38" s="66"/>
      <c r="JLJ38" s="66"/>
      <c r="JLK38" s="66"/>
      <c r="JLL38" s="66"/>
      <c r="JLM38" s="66"/>
      <c r="JLN38" s="66"/>
      <c r="JLO38" s="66"/>
      <c r="JLP38" s="66"/>
      <c r="JLQ38" s="66"/>
      <c r="JLR38" s="66"/>
      <c r="JLS38" s="66"/>
      <c r="JLT38" s="66"/>
      <c r="JLU38" s="66"/>
      <c r="JLV38" s="66"/>
      <c r="JLW38" s="66"/>
      <c r="JLX38" s="66"/>
      <c r="JLY38" s="66"/>
      <c r="JLZ38" s="66"/>
      <c r="JMA38" s="66"/>
      <c r="JMB38" s="66"/>
      <c r="JMC38" s="66"/>
      <c r="JMD38" s="66"/>
      <c r="JME38" s="66"/>
      <c r="JMF38" s="66"/>
      <c r="JMG38" s="66"/>
      <c r="JMH38" s="66"/>
      <c r="JMI38" s="66"/>
      <c r="JMJ38" s="66"/>
      <c r="JMK38" s="66"/>
      <c r="JML38" s="66"/>
      <c r="JMM38" s="66"/>
      <c r="JMN38" s="66"/>
      <c r="JMO38" s="66"/>
      <c r="JMP38" s="66"/>
      <c r="JMQ38" s="66"/>
      <c r="JMR38" s="66"/>
      <c r="JMS38" s="66"/>
      <c r="JMT38" s="66"/>
      <c r="JMU38" s="66"/>
      <c r="JMV38" s="66"/>
      <c r="JMW38" s="66"/>
      <c r="JMX38" s="66"/>
      <c r="JMY38" s="66"/>
      <c r="JMZ38" s="66"/>
      <c r="JNA38" s="66"/>
      <c r="JNB38" s="66"/>
      <c r="JNC38" s="66"/>
      <c r="JND38" s="66"/>
      <c r="JNE38" s="66"/>
      <c r="JNF38" s="66"/>
      <c r="JNG38" s="66"/>
      <c r="JNH38" s="66"/>
      <c r="JNI38" s="66"/>
      <c r="JNJ38" s="66"/>
      <c r="JNK38" s="66"/>
      <c r="JNL38" s="66"/>
      <c r="JNM38" s="66"/>
      <c r="JNN38" s="66"/>
      <c r="JNO38" s="66"/>
      <c r="JNP38" s="66"/>
      <c r="JNQ38" s="66"/>
      <c r="JNR38" s="66"/>
      <c r="JNS38" s="66"/>
      <c r="JNT38" s="66"/>
      <c r="JNU38" s="66"/>
      <c r="JNV38" s="66"/>
      <c r="JNW38" s="66"/>
      <c r="JNX38" s="66"/>
      <c r="JNY38" s="66"/>
      <c r="JNZ38" s="66"/>
      <c r="JOA38" s="66"/>
      <c r="JOB38" s="66"/>
      <c r="JOC38" s="66"/>
      <c r="JOD38" s="66"/>
      <c r="JOE38" s="66"/>
      <c r="JOF38" s="66"/>
      <c r="JOG38" s="66"/>
      <c r="JOH38" s="66"/>
      <c r="JOI38" s="66"/>
      <c r="JOJ38" s="66"/>
      <c r="JOK38" s="66"/>
      <c r="JOL38" s="66"/>
      <c r="JOM38" s="66"/>
      <c r="JON38" s="66"/>
      <c r="JOO38" s="66"/>
      <c r="JOP38" s="66"/>
      <c r="JOQ38" s="66"/>
      <c r="JOR38" s="66"/>
      <c r="JOS38" s="66"/>
      <c r="JOT38" s="66"/>
      <c r="JOU38" s="66"/>
      <c r="JOV38" s="66"/>
      <c r="JOW38" s="66"/>
      <c r="JOX38" s="66"/>
      <c r="JOY38" s="66"/>
      <c r="JOZ38" s="66"/>
      <c r="JPA38" s="66"/>
      <c r="JPB38" s="66"/>
      <c r="JPC38" s="66"/>
      <c r="JPD38" s="66"/>
      <c r="JPE38" s="66"/>
      <c r="JPF38" s="66"/>
      <c r="JPG38" s="66"/>
      <c r="JPH38" s="66"/>
      <c r="JPI38" s="66"/>
      <c r="JPJ38" s="66"/>
      <c r="JPK38" s="66"/>
      <c r="JPL38" s="66"/>
      <c r="JPM38" s="66"/>
      <c r="JPN38" s="66"/>
      <c r="JPO38" s="66"/>
      <c r="JPP38" s="66"/>
      <c r="JPQ38" s="66"/>
      <c r="JPR38" s="66"/>
      <c r="JPS38" s="66"/>
      <c r="JPT38" s="66"/>
      <c r="JPU38" s="66"/>
      <c r="JPV38" s="66"/>
      <c r="JPW38" s="66"/>
      <c r="JPX38" s="66"/>
      <c r="JPY38" s="66"/>
      <c r="JPZ38" s="66"/>
      <c r="JQA38" s="66"/>
      <c r="JQB38" s="66"/>
      <c r="JQC38" s="66"/>
      <c r="JQD38" s="66"/>
      <c r="JQE38" s="66"/>
      <c r="JQF38" s="66"/>
      <c r="JQG38" s="66"/>
      <c r="JQH38" s="66"/>
      <c r="JQI38" s="66"/>
      <c r="JQJ38" s="66"/>
      <c r="JQK38" s="66"/>
      <c r="JQL38" s="66"/>
      <c r="JQM38" s="66"/>
      <c r="JQN38" s="66"/>
      <c r="JQO38" s="66"/>
      <c r="JQP38" s="66"/>
      <c r="JQQ38" s="66"/>
      <c r="JQR38" s="66"/>
      <c r="JQS38" s="66"/>
      <c r="JQT38" s="66"/>
      <c r="JQU38" s="66"/>
      <c r="JQV38" s="66"/>
      <c r="JQW38" s="66"/>
      <c r="JQX38" s="66"/>
      <c r="JQY38" s="66"/>
      <c r="JQZ38" s="66"/>
      <c r="JRA38" s="66"/>
      <c r="JRB38" s="66"/>
      <c r="JRC38" s="66"/>
      <c r="JRD38" s="66"/>
      <c r="JRE38" s="66"/>
      <c r="JRF38" s="66"/>
      <c r="JRG38" s="66"/>
      <c r="JRH38" s="66"/>
      <c r="JRI38" s="66"/>
      <c r="JRJ38" s="66"/>
      <c r="JRK38" s="66"/>
      <c r="JRL38" s="66"/>
      <c r="JRM38" s="66"/>
      <c r="JRN38" s="66"/>
      <c r="JRO38" s="66"/>
      <c r="JRP38" s="66"/>
      <c r="JRQ38" s="66"/>
      <c r="JRR38" s="66"/>
      <c r="JRS38" s="66"/>
      <c r="JRT38" s="66"/>
      <c r="JRU38" s="66"/>
      <c r="JRV38" s="66"/>
      <c r="JRW38" s="66"/>
      <c r="JRX38" s="66"/>
      <c r="JRY38" s="66"/>
      <c r="JRZ38" s="66"/>
      <c r="JSA38" s="66"/>
      <c r="JSB38" s="66"/>
      <c r="JSC38" s="66"/>
      <c r="JSD38" s="66"/>
      <c r="JSE38" s="66"/>
      <c r="JSF38" s="66"/>
      <c r="JSG38" s="66"/>
      <c r="JSH38" s="66"/>
      <c r="JSI38" s="66"/>
      <c r="JSJ38" s="66"/>
      <c r="JSK38" s="66"/>
      <c r="JSL38" s="66"/>
      <c r="JSM38" s="66"/>
      <c r="JSN38" s="66"/>
      <c r="JSO38" s="66"/>
      <c r="JSP38" s="66"/>
      <c r="JSQ38" s="66"/>
      <c r="JSR38" s="66"/>
      <c r="JSS38" s="66"/>
      <c r="JST38" s="66"/>
      <c r="JSU38" s="66"/>
      <c r="JSV38" s="66"/>
      <c r="JSW38" s="66"/>
      <c r="JSX38" s="66"/>
      <c r="JSY38" s="66"/>
      <c r="JSZ38" s="66"/>
      <c r="JTA38" s="66"/>
      <c r="JTB38" s="66"/>
      <c r="JTC38" s="66"/>
      <c r="JTD38" s="66"/>
      <c r="JTE38" s="66"/>
      <c r="JTF38" s="66"/>
      <c r="JTG38" s="66"/>
      <c r="JTH38" s="66"/>
      <c r="JTI38" s="66"/>
      <c r="JTJ38" s="66"/>
      <c r="JTK38" s="66"/>
      <c r="JTL38" s="66"/>
      <c r="JTM38" s="66"/>
      <c r="JTN38" s="66"/>
      <c r="JTO38" s="66"/>
      <c r="JTP38" s="66"/>
      <c r="JTQ38" s="66"/>
      <c r="JTR38" s="66"/>
      <c r="JTS38" s="66"/>
      <c r="JTT38" s="66"/>
      <c r="JTU38" s="66"/>
      <c r="JTV38" s="66"/>
      <c r="JTW38" s="66"/>
      <c r="JTX38" s="66"/>
      <c r="JTY38" s="66"/>
      <c r="JTZ38" s="66"/>
      <c r="JUA38" s="66"/>
      <c r="JUB38" s="66"/>
      <c r="JUC38" s="66"/>
      <c r="JUD38" s="66"/>
      <c r="JUE38" s="66"/>
      <c r="JUF38" s="66"/>
      <c r="JUG38" s="66"/>
      <c r="JUH38" s="66"/>
      <c r="JUI38" s="66"/>
      <c r="JUJ38" s="66"/>
      <c r="JUK38" s="66"/>
      <c r="JUL38" s="66"/>
      <c r="JUM38" s="66"/>
      <c r="JUN38" s="66"/>
      <c r="JUO38" s="66"/>
      <c r="JUP38" s="66"/>
      <c r="JUQ38" s="66"/>
      <c r="JUR38" s="66"/>
      <c r="JUS38" s="66"/>
      <c r="JUT38" s="66"/>
      <c r="JUU38" s="66"/>
      <c r="JUV38" s="66"/>
      <c r="JUW38" s="66"/>
      <c r="JUX38" s="66"/>
      <c r="JUY38" s="66"/>
      <c r="JUZ38" s="66"/>
      <c r="JVA38" s="66"/>
      <c r="JVB38" s="66"/>
      <c r="JVC38" s="66"/>
      <c r="JVD38" s="66"/>
      <c r="JVE38" s="66"/>
      <c r="JVF38" s="66"/>
      <c r="JVG38" s="66"/>
      <c r="JVH38" s="66"/>
      <c r="JVI38" s="66"/>
      <c r="JVJ38" s="66"/>
      <c r="JVK38" s="66"/>
      <c r="JVL38" s="66"/>
      <c r="JVM38" s="66"/>
      <c r="JVN38" s="66"/>
      <c r="JVO38" s="66"/>
      <c r="JVP38" s="66"/>
      <c r="JVQ38" s="66"/>
      <c r="JVR38" s="66"/>
      <c r="JVS38" s="66"/>
      <c r="JVT38" s="66"/>
      <c r="JVU38" s="66"/>
      <c r="JVV38" s="66"/>
      <c r="JVW38" s="66"/>
      <c r="JVX38" s="66"/>
      <c r="JVY38" s="66"/>
      <c r="JVZ38" s="66"/>
      <c r="JWA38" s="66"/>
      <c r="JWB38" s="66"/>
      <c r="JWC38" s="66"/>
      <c r="JWD38" s="66"/>
      <c r="JWE38" s="66"/>
      <c r="JWF38" s="66"/>
      <c r="JWG38" s="66"/>
      <c r="JWH38" s="66"/>
      <c r="JWI38" s="66"/>
      <c r="JWJ38" s="66"/>
      <c r="JWK38" s="66"/>
      <c r="JWL38" s="66"/>
      <c r="JWM38" s="66"/>
      <c r="JWN38" s="66"/>
      <c r="JWO38" s="66"/>
      <c r="JWP38" s="66"/>
      <c r="JWQ38" s="66"/>
      <c r="JWR38" s="66"/>
      <c r="JWS38" s="66"/>
      <c r="JWT38" s="66"/>
      <c r="JWU38" s="66"/>
      <c r="JWV38" s="66"/>
      <c r="JWW38" s="66"/>
      <c r="JWX38" s="66"/>
      <c r="JWY38" s="66"/>
      <c r="JWZ38" s="66"/>
      <c r="JXA38" s="66"/>
      <c r="JXB38" s="66"/>
      <c r="JXC38" s="66"/>
      <c r="JXD38" s="66"/>
      <c r="JXE38" s="66"/>
      <c r="JXF38" s="66"/>
      <c r="JXG38" s="66"/>
      <c r="JXH38" s="66"/>
      <c r="JXI38" s="66"/>
      <c r="JXJ38" s="66"/>
      <c r="JXK38" s="66"/>
      <c r="JXL38" s="66"/>
      <c r="JXM38" s="66"/>
      <c r="JXN38" s="66"/>
      <c r="JXO38" s="66"/>
      <c r="JXP38" s="66"/>
      <c r="JXQ38" s="66"/>
      <c r="JXR38" s="66"/>
      <c r="JXS38" s="66"/>
      <c r="JXT38" s="66"/>
      <c r="JXU38" s="66"/>
      <c r="JXV38" s="66"/>
      <c r="JXW38" s="66"/>
      <c r="JXX38" s="66"/>
      <c r="JXY38" s="66"/>
      <c r="JXZ38" s="66"/>
      <c r="JYA38" s="66"/>
      <c r="JYB38" s="66"/>
      <c r="JYC38" s="66"/>
      <c r="JYD38" s="66"/>
      <c r="JYE38" s="66"/>
      <c r="JYF38" s="66"/>
      <c r="JYG38" s="66"/>
      <c r="JYH38" s="66"/>
      <c r="JYI38" s="66"/>
      <c r="JYJ38" s="66"/>
      <c r="JYK38" s="66"/>
      <c r="JYL38" s="66"/>
      <c r="JYM38" s="66"/>
      <c r="JYN38" s="66"/>
      <c r="JYO38" s="66"/>
      <c r="JYP38" s="66"/>
      <c r="JYQ38" s="66"/>
      <c r="JYR38" s="66"/>
      <c r="JYS38" s="66"/>
      <c r="JYT38" s="66"/>
      <c r="JYU38" s="66"/>
      <c r="JYV38" s="66"/>
      <c r="JYW38" s="66"/>
      <c r="JYX38" s="66"/>
      <c r="JYY38" s="66"/>
      <c r="JYZ38" s="66"/>
      <c r="JZA38" s="66"/>
      <c r="JZB38" s="66"/>
      <c r="JZC38" s="66"/>
      <c r="JZD38" s="66"/>
      <c r="JZE38" s="66"/>
      <c r="JZF38" s="66"/>
      <c r="JZG38" s="66"/>
      <c r="JZH38" s="66"/>
      <c r="JZI38" s="66"/>
      <c r="JZJ38" s="66"/>
      <c r="JZK38" s="66"/>
      <c r="JZL38" s="66"/>
      <c r="JZM38" s="66"/>
      <c r="JZN38" s="66"/>
      <c r="JZO38" s="66"/>
      <c r="JZP38" s="66"/>
      <c r="JZQ38" s="66"/>
      <c r="JZR38" s="66"/>
      <c r="JZS38" s="66"/>
      <c r="JZT38" s="66"/>
      <c r="JZU38" s="66"/>
      <c r="JZV38" s="66"/>
      <c r="JZW38" s="66"/>
      <c r="JZX38" s="66"/>
      <c r="JZY38" s="66"/>
      <c r="JZZ38" s="66"/>
      <c r="KAA38" s="66"/>
      <c r="KAB38" s="66"/>
      <c r="KAC38" s="66"/>
      <c r="KAD38" s="66"/>
      <c r="KAE38" s="66"/>
      <c r="KAF38" s="66"/>
      <c r="KAG38" s="66"/>
      <c r="KAH38" s="66"/>
      <c r="KAI38" s="66"/>
      <c r="KAJ38" s="66"/>
      <c r="KAK38" s="66"/>
      <c r="KAL38" s="66"/>
      <c r="KAM38" s="66"/>
      <c r="KAN38" s="66"/>
      <c r="KAO38" s="66"/>
      <c r="KAP38" s="66"/>
      <c r="KAQ38" s="66"/>
      <c r="KAR38" s="66"/>
      <c r="KAS38" s="66"/>
      <c r="KAT38" s="66"/>
      <c r="KAU38" s="66"/>
      <c r="KAV38" s="66"/>
      <c r="KAW38" s="66"/>
      <c r="KAX38" s="66"/>
      <c r="KAY38" s="66"/>
      <c r="KAZ38" s="66"/>
      <c r="KBA38" s="66"/>
      <c r="KBB38" s="66"/>
      <c r="KBC38" s="66"/>
      <c r="KBD38" s="66"/>
      <c r="KBE38" s="66"/>
      <c r="KBF38" s="66"/>
      <c r="KBG38" s="66"/>
      <c r="KBH38" s="66"/>
      <c r="KBI38" s="66"/>
      <c r="KBJ38" s="66"/>
      <c r="KBK38" s="66"/>
      <c r="KBL38" s="66"/>
      <c r="KBM38" s="66"/>
      <c r="KBN38" s="66"/>
      <c r="KBO38" s="66"/>
      <c r="KBP38" s="66"/>
      <c r="KBQ38" s="66"/>
      <c r="KBR38" s="66"/>
      <c r="KBS38" s="66"/>
      <c r="KBT38" s="66"/>
      <c r="KBU38" s="66"/>
      <c r="KBV38" s="66"/>
      <c r="KBW38" s="66"/>
      <c r="KBX38" s="66"/>
      <c r="KBY38" s="66"/>
      <c r="KBZ38" s="66"/>
      <c r="KCA38" s="66"/>
      <c r="KCB38" s="66"/>
      <c r="KCC38" s="66"/>
      <c r="KCD38" s="66"/>
      <c r="KCE38" s="66"/>
      <c r="KCF38" s="66"/>
      <c r="KCG38" s="66"/>
      <c r="KCH38" s="66"/>
      <c r="KCI38" s="66"/>
      <c r="KCJ38" s="66"/>
      <c r="KCK38" s="66"/>
      <c r="KCL38" s="66"/>
      <c r="KCM38" s="66"/>
      <c r="KCN38" s="66"/>
      <c r="KCO38" s="66"/>
      <c r="KCP38" s="66"/>
      <c r="KCQ38" s="66"/>
      <c r="KCR38" s="66"/>
      <c r="KCS38" s="66"/>
      <c r="KCT38" s="66"/>
      <c r="KCU38" s="66"/>
      <c r="KCV38" s="66"/>
      <c r="KCW38" s="66"/>
      <c r="KCX38" s="66"/>
      <c r="KCY38" s="66"/>
      <c r="KCZ38" s="66"/>
      <c r="KDA38" s="66"/>
      <c r="KDB38" s="66"/>
      <c r="KDC38" s="66"/>
      <c r="KDD38" s="66"/>
      <c r="KDE38" s="66"/>
      <c r="KDF38" s="66"/>
      <c r="KDG38" s="66"/>
      <c r="KDH38" s="66"/>
      <c r="KDI38" s="66"/>
      <c r="KDJ38" s="66"/>
      <c r="KDK38" s="66"/>
      <c r="KDL38" s="66"/>
      <c r="KDM38" s="66"/>
      <c r="KDN38" s="66"/>
      <c r="KDO38" s="66"/>
      <c r="KDP38" s="66"/>
      <c r="KDQ38" s="66"/>
      <c r="KDR38" s="66"/>
      <c r="KDS38" s="66"/>
      <c r="KDT38" s="66"/>
      <c r="KDU38" s="66"/>
      <c r="KDV38" s="66"/>
      <c r="KDW38" s="66"/>
      <c r="KDX38" s="66"/>
      <c r="KDY38" s="66"/>
      <c r="KDZ38" s="66"/>
      <c r="KEA38" s="66"/>
      <c r="KEB38" s="66"/>
      <c r="KEC38" s="66"/>
      <c r="KED38" s="66"/>
      <c r="KEE38" s="66"/>
      <c r="KEF38" s="66"/>
      <c r="KEG38" s="66"/>
      <c r="KEH38" s="66"/>
      <c r="KEI38" s="66"/>
      <c r="KEJ38" s="66"/>
      <c r="KEK38" s="66"/>
      <c r="KEL38" s="66"/>
      <c r="KEM38" s="66"/>
      <c r="KEN38" s="66"/>
      <c r="KEO38" s="66"/>
      <c r="KEP38" s="66"/>
      <c r="KEQ38" s="66"/>
      <c r="KER38" s="66"/>
      <c r="KES38" s="66"/>
      <c r="KET38" s="66"/>
      <c r="KEU38" s="66"/>
      <c r="KEV38" s="66"/>
      <c r="KEW38" s="66"/>
      <c r="KEX38" s="66"/>
      <c r="KEY38" s="66"/>
      <c r="KEZ38" s="66"/>
      <c r="KFA38" s="66"/>
      <c r="KFB38" s="66"/>
      <c r="KFC38" s="66"/>
      <c r="KFD38" s="66"/>
      <c r="KFE38" s="66"/>
      <c r="KFF38" s="66"/>
      <c r="KFG38" s="66"/>
      <c r="KFH38" s="66"/>
      <c r="KFI38" s="66"/>
      <c r="KFJ38" s="66"/>
      <c r="KFK38" s="66"/>
      <c r="KFL38" s="66"/>
      <c r="KFM38" s="66"/>
      <c r="KFN38" s="66"/>
      <c r="KFO38" s="66"/>
      <c r="KFP38" s="66"/>
      <c r="KFQ38" s="66"/>
      <c r="KFR38" s="66"/>
      <c r="KFS38" s="66"/>
      <c r="KFT38" s="66"/>
      <c r="KFU38" s="66"/>
      <c r="KFV38" s="66"/>
      <c r="KFW38" s="66"/>
      <c r="KFX38" s="66"/>
      <c r="KFY38" s="66"/>
      <c r="KFZ38" s="66"/>
      <c r="KGA38" s="66"/>
      <c r="KGB38" s="66"/>
      <c r="KGC38" s="66"/>
      <c r="KGD38" s="66"/>
      <c r="KGE38" s="66"/>
      <c r="KGF38" s="66"/>
      <c r="KGG38" s="66"/>
      <c r="KGH38" s="66"/>
      <c r="KGI38" s="66"/>
      <c r="KGJ38" s="66"/>
      <c r="KGK38" s="66"/>
      <c r="KGL38" s="66"/>
      <c r="KGM38" s="66"/>
      <c r="KGN38" s="66"/>
      <c r="KGO38" s="66"/>
      <c r="KGP38" s="66"/>
      <c r="KGQ38" s="66"/>
      <c r="KGR38" s="66"/>
      <c r="KGS38" s="66"/>
      <c r="KGT38" s="66"/>
      <c r="KGU38" s="66"/>
      <c r="KGV38" s="66"/>
      <c r="KGW38" s="66"/>
      <c r="KGX38" s="66"/>
      <c r="KGY38" s="66"/>
      <c r="KGZ38" s="66"/>
      <c r="KHA38" s="66"/>
      <c r="KHB38" s="66"/>
      <c r="KHC38" s="66"/>
      <c r="KHD38" s="66"/>
      <c r="KHE38" s="66"/>
      <c r="KHF38" s="66"/>
      <c r="KHG38" s="66"/>
      <c r="KHH38" s="66"/>
      <c r="KHI38" s="66"/>
      <c r="KHJ38" s="66"/>
      <c r="KHK38" s="66"/>
      <c r="KHL38" s="66"/>
      <c r="KHM38" s="66"/>
      <c r="KHN38" s="66"/>
      <c r="KHO38" s="66"/>
      <c r="KHP38" s="66"/>
      <c r="KHQ38" s="66"/>
      <c r="KHR38" s="66"/>
      <c r="KHS38" s="66"/>
      <c r="KHT38" s="66"/>
      <c r="KHU38" s="66"/>
      <c r="KHV38" s="66"/>
      <c r="KHW38" s="66"/>
      <c r="KHX38" s="66"/>
      <c r="KHY38" s="66"/>
      <c r="KHZ38" s="66"/>
      <c r="KIA38" s="66"/>
      <c r="KIB38" s="66"/>
      <c r="KIC38" s="66"/>
      <c r="KID38" s="66"/>
      <c r="KIE38" s="66"/>
      <c r="KIF38" s="66"/>
      <c r="KIG38" s="66"/>
      <c r="KIH38" s="66"/>
      <c r="KII38" s="66"/>
      <c r="KIJ38" s="66"/>
      <c r="KIK38" s="66"/>
      <c r="KIL38" s="66"/>
      <c r="KIM38" s="66"/>
      <c r="KIN38" s="66"/>
      <c r="KIO38" s="66"/>
      <c r="KIP38" s="66"/>
      <c r="KIQ38" s="66"/>
      <c r="KIR38" s="66"/>
      <c r="KIS38" s="66"/>
      <c r="KIT38" s="66"/>
      <c r="KIU38" s="66"/>
      <c r="KIV38" s="66"/>
      <c r="KIW38" s="66"/>
      <c r="KIX38" s="66"/>
      <c r="KIY38" s="66"/>
      <c r="KIZ38" s="66"/>
      <c r="KJA38" s="66"/>
      <c r="KJB38" s="66"/>
      <c r="KJC38" s="66"/>
      <c r="KJD38" s="66"/>
      <c r="KJE38" s="66"/>
      <c r="KJF38" s="66"/>
      <c r="KJG38" s="66"/>
      <c r="KJH38" s="66"/>
      <c r="KJI38" s="66"/>
      <c r="KJJ38" s="66"/>
      <c r="KJK38" s="66"/>
      <c r="KJL38" s="66"/>
      <c r="KJM38" s="66"/>
      <c r="KJN38" s="66"/>
      <c r="KJO38" s="66"/>
      <c r="KJP38" s="66"/>
      <c r="KJQ38" s="66"/>
      <c r="KJR38" s="66"/>
      <c r="KJS38" s="66"/>
      <c r="KJT38" s="66"/>
      <c r="KJU38" s="66"/>
      <c r="KJV38" s="66"/>
      <c r="KJW38" s="66"/>
      <c r="KJX38" s="66"/>
      <c r="KJY38" s="66"/>
      <c r="KJZ38" s="66"/>
      <c r="KKA38" s="66"/>
      <c r="KKB38" s="66"/>
      <c r="KKC38" s="66"/>
      <c r="KKD38" s="66"/>
      <c r="KKE38" s="66"/>
      <c r="KKF38" s="66"/>
      <c r="KKG38" s="66"/>
      <c r="KKH38" s="66"/>
      <c r="KKI38" s="66"/>
      <c r="KKJ38" s="66"/>
      <c r="KKK38" s="66"/>
      <c r="KKL38" s="66"/>
      <c r="KKM38" s="66"/>
      <c r="KKN38" s="66"/>
      <c r="KKO38" s="66"/>
      <c r="KKP38" s="66"/>
      <c r="KKQ38" s="66"/>
      <c r="KKR38" s="66"/>
      <c r="KKS38" s="66"/>
      <c r="KKT38" s="66"/>
      <c r="KKU38" s="66"/>
      <c r="KKV38" s="66"/>
      <c r="KKW38" s="66"/>
      <c r="KKX38" s="66"/>
      <c r="KKY38" s="66"/>
      <c r="KKZ38" s="66"/>
      <c r="KLA38" s="66"/>
      <c r="KLB38" s="66"/>
      <c r="KLC38" s="66"/>
      <c r="KLD38" s="66"/>
      <c r="KLE38" s="66"/>
      <c r="KLF38" s="66"/>
      <c r="KLG38" s="66"/>
      <c r="KLH38" s="66"/>
      <c r="KLI38" s="66"/>
      <c r="KLJ38" s="66"/>
      <c r="KLK38" s="66"/>
      <c r="KLL38" s="66"/>
      <c r="KLM38" s="66"/>
      <c r="KLN38" s="66"/>
      <c r="KLO38" s="66"/>
      <c r="KLP38" s="66"/>
      <c r="KLQ38" s="66"/>
      <c r="KLR38" s="66"/>
      <c r="KLS38" s="66"/>
      <c r="KLT38" s="66"/>
      <c r="KLU38" s="66"/>
      <c r="KLV38" s="66"/>
      <c r="KLW38" s="66"/>
      <c r="KLX38" s="66"/>
      <c r="KLY38" s="66"/>
      <c r="KLZ38" s="66"/>
      <c r="KMA38" s="66"/>
      <c r="KMB38" s="66"/>
      <c r="KMC38" s="66"/>
      <c r="KMD38" s="66"/>
      <c r="KME38" s="66"/>
      <c r="KMF38" s="66"/>
      <c r="KMG38" s="66"/>
      <c r="KMH38" s="66"/>
      <c r="KMI38" s="66"/>
      <c r="KMJ38" s="66"/>
      <c r="KMK38" s="66"/>
      <c r="KML38" s="66"/>
      <c r="KMM38" s="66"/>
      <c r="KMN38" s="66"/>
      <c r="KMO38" s="66"/>
      <c r="KMP38" s="66"/>
      <c r="KMQ38" s="66"/>
      <c r="KMR38" s="66"/>
      <c r="KMS38" s="66"/>
      <c r="KMT38" s="66"/>
      <c r="KMU38" s="66"/>
      <c r="KMV38" s="66"/>
      <c r="KMW38" s="66"/>
      <c r="KMX38" s="66"/>
      <c r="KMY38" s="66"/>
      <c r="KMZ38" s="66"/>
      <c r="KNA38" s="66"/>
      <c r="KNB38" s="66"/>
      <c r="KNC38" s="66"/>
      <c r="KND38" s="66"/>
      <c r="KNE38" s="66"/>
      <c r="KNF38" s="66"/>
      <c r="KNG38" s="66"/>
      <c r="KNH38" s="66"/>
      <c r="KNI38" s="66"/>
      <c r="KNJ38" s="66"/>
      <c r="KNK38" s="66"/>
      <c r="KNL38" s="66"/>
      <c r="KNM38" s="66"/>
      <c r="KNN38" s="66"/>
      <c r="KNO38" s="66"/>
      <c r="KNP38" s="66"/>
      <c r="KNQ38" s="66"/>
      <c r="KNR38" s="66"/>
      <c r="KNS38" s="66"/>
      <c r="KNT38" s="66"/>
      <c r="KNU38" s="66"/>
      <c r="KNV38" s="66"/>
      <c r="KNW38" s="66"/>
      <c r="KNX38" s="66"/>
      <c r="KNY38" s="66"/>
      <c r="KNZ38" s="66"/>
      <c r="KOA38" s="66"/>
      <c r="KOB38" s="66"/>
      <c r="KOC38" s="66"/>
      <c r="KOD38" s="66"/>
      <c r="KOE38" s="66"/>
      <c r="KOF38" s="66"/>
      <c r="KOG38" s="66"/>
      <c r="KOH38" s="66"/>
      <c r="KOI38" s="66"/>
      <c r="KOJ38" s="66"/>
      <c r="KOK38" s="66"/>
      <c r="KOL38" s="66"/>
      <c r="KOM38" s="66"/>
      <c r="KON38" s="66"/>
      <c r="KOO38" s="66"/>
      <c r="KOP38" s="66"/>
      <c r="KOQ38" s="66"/>
      <c r="KOR38" s="66"/>
      <c r="KOS38" s="66"/>
      <c r="KOT38" s="66"/>
      <c r="KOU38" s="66"/>
      <c r="KOV38" s="66"/>
      <c r="KOW38" s="66"/>
      <c r="KOX38" s="66"/>
      <c r="KOY38" s="66"/>
      <c r="KOZ38" s="66"/>
      <c r="KPA38" s="66"/>
      <c r="KPB38" s="66"/>
      <c r="KPC38" s="66"/>
      <c r="KPD38" s="66"/>
      <c r="KPE38" s="66"/>
      <c r="KPF38" s="66"/>
      <c r="KPG38" s="66"/>
      <c r="KPH38" s="66"/>
      <c r="KPI38" s="66"/>
      <c r="KPJ38" s="66"/>
      <c r="KPK38" s="66"/>
      <c r="KPL38" s="66"/>
      <c r="KPM38" s="66"/>
      <c r="KPN38" s="66"/>
      <c r="KPO38" s="66"/>
      <c r="KPP38" s="66"/>
      <c r="KPQ38" s="66"/>
      <c r="KPR38" s="66"/>
      <c r="KPS38" s="66"/>
      <c r="KPT38" s="66"/>
      <c r="KPU38" s="66"/>
      <c r="KPV38" s="66"/>
      <c r="KPW38" s="66"/>
      <c r="KPX38" s="66"/>
      <c r="KPY38" s="66"/>
      <c r="KPZ38" s="66"/>
      <c r="KQA38" s="66"/>
      <c r="KQB38" s="66"/>
      <c r="KQC38" s="66"/>
      <c r="KQD38" s="66"/>
      <c r="KQE38" s="66"/>
      <c r="KQF38" s="66"/>
      <c r="KQG38" s="66"/>
      <c r="KQH38" s="66"/>
      <c r="KQI38" s="66"/>
      <c r="KQJ38" s="66"/>
      <c r="KQK38" s="66"/>
      <c r="KQL38" s="66"/>
      <c r="KQM38" s="66"/>
      <c r="KQN38" s="66"/>
      <c r="KQO38" s="66"/>
      <c r="KQP38" s="66"/>
      <c r="KQQ38" s="66"/>
      <c r="KQR38" s="66"/>
      <c r="KQS38" s="66"/>
      <c r="KQT38" s="66"/>
      <c r="KQU38" s="66"/>
      <c r="KQV38" s="66"/>
      <c r="KQW38" s="66"/>
      <c r="KQX38" s="66"/>
      <c r="KQY38" s="66"/>
      <c r="KQZ38" s="66"/>
      <c r="KRA38" s="66"/>
      <c r="KRB38" s="66"/>
      <c r="KRC38" s="66"/>
      <c r="KRD38" s="66"/>
      <c r="KRE38" s="66"/>
      <c r="KRF38" s="66"/>
      <c r="KRG38" s="66"/>
      <c r="KRH38" s="66"/>
      <c r="KRI38" s="66"/>
      <c r="KRJ38" s="66"/>
      <c r="KRK38" s="66"/>
      <c r="KRL38" s="66"/>
      <c r="KRM38" s="66"/>
      <c r="KRN38" s="66"/>
      <c r="KRO38" s="66"/>
      <c r="KRP38" s="66"/>
      <c r="KRQ38" s="66"/>
      <c r="KRR38" s="66"/>
      <c r="KRS38" s="66"/>
      <c r="KRT38" s="66"/>
      <c r="KRU38" s="66"/>
      <c r="KRV38" s="66"/>
      <c r="KRW38" s="66"/>
      <c r="KRX38" s="66"/>
      <c r="KRY38" s="66"/>
      <c r="KRZ38" s="66"/>
      <c r="KSA38" s="66"/>
      <c r="KSB38" s="66"/>
      <c r="KSC38" s="66"/>
      <c r="KSD38" s="66"/>
      <c r="KSE38" s="66"/>
      <c r="KSF38" s="66"/>
      <c r="KSG38" s="66"/>
      <c r="KSH38" s="66"/>
      <c r="KSI38" s="66"/>
      <c r="KSJ38" s="66"/>
      <c r="KSK38" s="66"/>
      <c r="KSL38" s="66"/>
      <c r="KSM38" s="66"/>
      <c r="KSN38" s="66"/>
      <c r="KSO38" s="66"/>
      <c r="KSP38" s="66"/>
      <c r="KSQ38" s="66"/>
      <c r="KSR38" s="66"/>
      <c r="KSS38" s="66"/>
      <c r="KST38" s="66"/>
      <c r="KSU38" s="66"/>
      <c r="KSV38" s="66"/>
      <c r="KSW38" s="66"/>
      <c r="KSX38" s="66"/>
      <c r="KSY38" s="66"/>
      <c r="KSZ38" s="66"/>
      <c r="KTA38" s="66"/>
      <c r="KTB38" s="66"/>
      <c r="KTC38" s="66"/>
      <c r="KTD38" s="66"/>
      <c r="KTE38" s="66"/>
      <c r="KTF38" s="66"/>
      <c r="KTG38" s="66"/>
      <c r="KTH38" s="66"/>
      <c r="KTI38" s="66"/>
      <c r="KTJ38" s="66"/>
      <c r="KTK38" s="66"/>
      <c r="KTL38" s="66"/>
      <c r="KTM38" s="66"/>
      <c r="KTN38" s="66"/>
      <c r="KTO38" s="66"/>
      <c r="KTP38" s="66"/>
      <c r="KTQ38" s="66"/>
      <c r="KTR38" s="66"/>
      <c r="KTS38" s="66"/>
      <c r="KTT38" s="66"/>
      <c r="KTU38" s="66"/>
      <c r="KTV38" s="66"/>
      <c r="KTW38" s="66"/>
      <c r="KTX38" s="66"/>
      <c r="KTY38" s="66"/>
      <c r="KTZ38" s="66"/>
      <c r="KUA38" s="66"/>
      <c r="KUB38" s="66"/>
      <c r="KUC38" s="66"/>
      <c r="KUD38" s="66"/>
      <c r="KUE38" s="66"/>
      <c r="KUF38" s="66"/>
      <c r="KUG38" s="66"/>
      <c r="KUH38" s="66"/>
      <c r="KUI38" s="66"/>
      <c r="KUJ38" s="66"/>
      <c r="KUK38" s="66"/>
      <c r="KUL38" s="66"/>
      <c r="KUM38" s="66"/>
      <c r="KUN38" s="66"/>
      <c r="KUO38" s="66"/>
      <c r="KUP38" s="66"/>
      <c r="KUQ38" s="66"/>
      <c r="KUR38" s="66"/>
      <c r="KUS38" s="66"/>
      <c r="KUT38" s="66"/>
      <c r="KUU38" s="66"/>
      <c r="KUV38" s="66"/>
      <c r="KUW38" s="66"/>
      <c r="KUX38" s="66"/>
      <c r="KUY38" s="66"/>
      <c r="KUZ38" s="66"/>
      <c r="KVA38" s="66"/>
      <c r="KVB38" s="66"/>
      <c r="KVC38" s="66"/>
      <c r="KVD38" s="66"/>
      <c r="KVE38" s="66"/>
      <c r="KVF38" s="66"/>
      <c r="KVG38" s="66"/>
      <c r="KVH38" s="66"/>
      <c r="KVI38" s="66"/>
      <c r="KVJ38" s="66"/>
      <c r="KVK38" s="66"/>
      <c r="KVL38" s="66"/>
      <c r="KVM38" s="66"/>
      <c r="KVN38" s="66"/>
      <c r="KVO38" s="66"/>
      <c r="KVP38" s="66"/>
      <c r="KVQ38" s="66"/>
      <c r="KVR38" s="66"/>
      <c r="KVS38" s="66"/>
      <c r="KVT38" s="66"/>
      <c r="KVU38" s="66"/>
      <c r="KVV38" s="66"/>
      <c r="KVW38" s="66"/>
      <c r="KVX38" s="66"/>
      <c r="KVY38" s="66"/>
      <c r="KVZ38" s="66"/>
      <c r="KWA38" s="66"/>
      <c r="KWB38" s="66"/>
      <c r="KWC38" s="66"/>
      <c r="KWD38" s="66"/>
      <c r="KWE38" s="66"/>
      <c r="KWF38" s="66"/>
      <c r="KWG38" s="66"/>
      <c r="KWH38" s="66"/>
      <c r="KWI38" s="66"/>
      <c r="KWJ38" s="66"/>
      <c r="KWK38" s="66"/>
      <c r="KWL38" s="66"/>
      <c r="KWM38" s="66"/>
      <c r="KWN38" s="66"/>
      <c r="KWO38" s="66"/>
      <c r="KWP38" s="66"/>
      <c r="KWQ38" s="66"/>
      <c r="KWR38" s="66"/>
      <c r="KWS38" s="66"/>
      <c r="KWT38" s="66"/>
      <c r="KWU38" s="66"/>
      <c r="KWV38" s="66"/>
      <c r="KWW38" s="66"/>
      <c r="KWX38" s="66"/>
      <c r="KWY38" s="66"/>
      <c r="KWZ38" s="66"/>
      <c r="KXA38" s="66"/>
      <c r="KXB38" s="66"/>
      <c r="KXC38" s="66"/>
      <c r="KXD38" s="66"/>
      <c r="KXE38" s="66"/>
      <c r="KXF38" s="66"/>
      <c r="KXG38" s="66"/>
      <c r="KXH38" s="66"/>
      <c r="KXI38" s="66"/>
      <c r="KXJ38" s="66"/>
      <c r="KXK38" s="66"/>
      <c r="KXL38" s="66"/>
      <c r="KXM38" s="66"/>
      <c r="KXN38" s="66"/>
      <c r="KXO38" s="66"/>
      <c r="KXP38" s="66"/>
      <c r="KXQ38" s="66"/>
      <c r="KXR38" s="66"/>
      <c r="KXS38" s="66"/>
      <c r="KXT38" s="66"/>
      <c r="KXU38" s="66"/>
      <c r="KXV38" s="66"/>
      <c r="KXW38" s="66"/>
      <c r="KXX38" s="66"/>
      <c r="KXY38" s="66"/>
      <c r="KXZ38" s="66"/>
      <c r="KYA38" s="66"/>
      <c r="KYB38" s="66"/>
      <c r="KYC38" s="66"/>
      <c r="KYD38" s="66"/>
      <c r="KYE38" s="66"/>
      <c r="KYF38" s="66"/>
      <c r="KYG38" s="66"/>
      <c r="KYH38" s="66"/>
      <c r="KYI38" s="66"/>
      <c r="KYJ38" s="66"/>
      <c r="KYK38" s="66"/>
      <c r="KYL38" s="66"/>
      <c r="KYM38" s="66"/>
      <c r="KYN38" s="66"/>
      <c r="KYO38" s="66"/>
      <c r="KYP38" s="66"/>
      <c r="KYQ38" s="66"/>
      <c r="KYR38" s="66"/>
      <c r="KYS38" s="66"/>
      <c r="KYT38" s="66"/>
      <c r="KYU38" s="66"/>
      <c r="KYV38" s="66"/>
      <c r="KYW38" s="66"/>
      <c r="KYX38" s="66"/>
      <c r="KYY38" s="66"/>
      <c r="KYZ38" s="66"/>
      <c r="KZA38" s="66"/>
      <c r="KZB38" s="66"/>
      <c r="KZC38" s="66"/>
      <c r="KZD38" s="66"/>
      <c r="KZE38" s="66"/>
      <c r="KZF38" s="66"/>
      <c r="KZG38" s="66"/>
      <c r="KZH38" s="66"/>
      <c r="KZI38" s="66"/>
      <c r="KZJ38" s="66"/>
      <c r="KZK38" s="66"/>
      <c r="KZL38" s="66"/>
      <c r="KZM38" s="66"/>
      <c r="KZN38" s="66"/>
      <c r="KZO38" s="66"/>
      <c r="KZP38" s="66"/>
      <c r="KZQ38" s="66"/>
      <c r="KZR38" s="66"/>
      <c r="KZS38" s="66"/>
      <c r="KZT38" s="66"/>
      <c r="KZU38" s="66"/>
      <c r="KZV38" s="66"/>
      <c r="KZW38" s="66"/>
      <c r="KZX38" s="66"/>
      <c r="KZY38" s="66"/>
      <c r="KZZ38" s="66"/>
      <c r="LAA38" s="66"/>
      <c r="LAB38" s="66"/>
      <c r="LAC38" s="66"/>
      <c r="LAD38" s="66"/>
      <c r="LAE38" s="66"/>
      <c r="LAF38" s="66"/>
      <c r="LAG38" s="66"/>
      <c r="LAH38" s="66"/>
      <c r="LAI38" s="66"/>
      <c r="LAJ38" s="66"/>
      <c r="LAK38" s="66"/>
      <c r="LAL38" s="66"/>
      <c r="LAM38" s="66"/>
      <c r="LAN38" s="66"/>
      <c r="LAO38" s="66"/>
      <c r="LAP38" s="66"/>
      <c r="LAQ38" s="66"/>
      <c r="LAR38" s="66"/>
      <c r="LAS38" s="66"/>
      <c r="LAT38" s="66"/>
      <c r="LAU38" s="66"/>
      <c r="LAV38" s="66"/>
      <c r="LAW38" s="66"/>
      <c r="LAX38" s="66"/>
      <c r="LAY38" s="66"/>
      <c r="LAZ38" s="66"/>
      <c r="LBA38" s="66"/>
      <c r="LBB38" s="66"/>
      <c r="LBC38" s="66"/>
      <c r="LBD38" s="66"/>
      <c r="LBE38" s="66"/>
      <c r="LBF38" s="66"/>
      <c r="LBG38" s="66"/>
      <c r="LBH38" s="66"/>
      <c r="LBI38" s="66"/>
      <c r="LBJ38" s="66"/>
      <c r="LBK38" s="66"/>
      <c r="LBL38" s="66"/>
      <c r="LBM38" s="66"/>
      <c r="LBN38" s="66"/>
      <c r="LBO38" s="66"/>
      <c r="LBP38" s="66"/>
      <c r="LBQ38" s="66"/>
      <c r="LBR38" s="66"/>
      <c r="LBS38" s="66"/>
      <c r="LBT38" s="66"/>
      <c r="LBU38" s="66"/>
      <c r="LBV38" s="66"/>
      <c r="LBW38" s="66"/>
      <c r="LBX38" s="66"/>
      <c r="LBY38" s="66"/>
      <c r="LBZ38" s="66"/>
      <c r="LCA38" s="66"/>
      <c r="LCB38" s="66"/>
      <c r="LCC38" s="66"/>
      <c r="LCD38" s="66"/>
      <c r="LCE38" s="66"/>
      <c r="LCF38" s="66"/>
      <c r="LCG38" s="66"/>
      <c r="LCH38" s="66"/>
      <c r="LCI38" s="66"/>
      <c r="LCJ38" s="66"/>
      <c r="LCK38" s="66"/>
      <c r="LCL38" s="66"/>
      <c r="LCM38" s="66"/>
      <c r="LCN38" s="66"/>
      <c r="LCO38" s="66"/>
      <c r="LCP38" s="66"/>
      <c r="LCQ38" s="66"/>
      <c r="LCR38" s="66"/>
      <c r="LCS38" s="66"/>
      <c r="LCT38" s="66"/>
      <c r="LCU38" s="66"/>
      <c r="LCV38" s="66"/>
      <c r="LCW38" s="66"/>
      <c r="LCX38" s="66"/>
      <c r="LCY38" s="66"/>
      <c r="LCZ38" s="66"/>
      <c r="LDA38" s="66"/>
      <c r="LDB38" s="66"/>
      <c r="LDC38" s="66"/>
      <c r="LDD38" s="66"/>
      <c r="LDE38" s="66"/>
      <c r="LDF38" s="66"/>
      <c r="LDG38" s="66"/>
      <c r="LDH38" s="66"/>
      <c r="LDI38" s="66"/>
      <c r="LDJ38" s="66"/>
      <c r="LDK38" s="66"/>
      <c r="LDL38" s="66"/>
      <c r="LDM38" s="66"/>
      <c r="LDN38" s="66"/>
      <c r="LDO38" s="66"/>
      <c r="LDP38" s="66"/>
      <c r="LDQ38" s="66"/>
      <c r="LDR38" s="66"/>
      <c r="LDS38" s="66"/>
      <c r="LDT38" s="66"/>
      <c r="LDU38" s="66"/>
      <c r="LDV38" s="66"/>
      <c r="LDW38" s="66"/>
      <c r="LDX38" s="66"/>
      <c r="LDY38" s="66"/>
      <c r="LDZ38" s="66"/>
      <c r="LEA38" s="66"/>
      <c r="LEB38" s="66"/>
      <c r="LEC38" s="66"/>
      <c r="LED38" s="66"/>
      <c r="LEE38" s="66"/>
      <c r="LEF38" s="66"/>
      <c r="LEG38" s="66"/>
      <c r="LEH38" s="66"/>
      <c r="LEI38" s="66"/>
      <c r="LEJ38" s="66"/>
      <c r="LEK38" s="66"/>
      <c r="LEL38" s="66"/>
      <c r="LEM38" s="66"/>
      <c r="LEN38" s="66"/>
      <c r="LEO38" s="66"/>
      <c r="LEP38" s="66"/>
      <c r="LEQ38" s="66"/>
      <c r="LER38" s="66"/>
      <c r="LES38" s="66"/>
      <c r="LET38" s="66"/>
      <c r="LEU38" s="66"/>
      <c r="LEV38" s="66"/>
      <c r="LEW38" s="66"/>
      <c r="LEX38" s="66"/>
      <c r="LEY38" s="66"/>
      <c r="LEZ38" s="66"/>
      <c r="LFA38" s="66"/>
      <c r="LFB38" s="66"/>
      <c r="LFC38" s="66"/>
      <c r="LFD38" s="66"/>
      <c r="LFE38" s="66"/>
      <c r="LFF38" s="66"/>
      <c r="LFG38" s="66"/>
      <c r="LFH38" s="66"/>
      <c r="LFI38" s="66"/>
      <c r="LFJ38" s="66"/>
      <c r="LFK38" s="66"/>
      <c r="LFL38" s="66"/>
      <c r="LFM38" s="66"/>
      <c r="LFN38" s="66"/>
      <c r="LFO38" s="66"/>
      <c r="LFP38" s="66"/>
      <c r="LFQ38" s="66"/>
      <c r="LFR38" s="66"/>
      <c r="LFS38" s="66"/>
      <c r="LFT38" s="66"/>
      <c r="LFU38" s="66"/>
      <c r="LFV38" s="66"/>
      <c r="LFW38" s="66"/>
      <c r="LFX38" s="66"/>
      <c r="LFY38" s="66"/>
      <c r="LFZ38" s="66"/>
      <c r="LGA38" s="66"/>
      <c r="LGB38" s="66"/>
      <c r="LGC38" s="66"/>
      <c r="LGD38" s="66"/>
      <c r="LGE38" s="66"/>
      <c r="LGF38" s="66"/>
      <c r="LGG38" s="66"/>
      <c r="LGH38" s="66"/>
      <c r="LGI38" s="66"/>
      <c r="LGJ38" s="66"/>
      <c r="LGK38" s="66"/>
      <c r="LGL38" s="66"/>
      <c r="LGM38" s="66"/>
      <c r="LGN38" s="66"/>
      <c r="LGO38" s="66"/>
      <c r="LGP38" s="66"/>
      <c r="LGQ38" s="66"/>
      <c r="LGR38" s="66"/>
      <c r="LGS38" s="66"/>
      <c r="LGT38" s="66"/>
      <c r="LGU38" s="66"/>
      <c r="LGV38" s="66"/>
      <c r="LGW38" s="66"/>
      <c r="LGX38" s="66"/>
      <c r="LGY38" s="66"/>
      <c r="LGZ38" s="66"/>
      <c r="LHA38" s="66"/>
      <c r="LHB38" s="66"/>
      <c r="LHC38" s="66"/>
      <c r="LHD38" s="66"/>
      <c r="LHE38" s="66"/>
      <c r="LHF38" s="66"/>
      <c r="LHG38" s="66"/>
      <c r="LHH38" s="66"/>
      <c r="LHI38" s="66"/>
      <c r="LHJ38" s="66"/>
      <c r="LHK38" s="66"/>
      <c r="LHL38" s="66"/>
      <c r="LHM38" s="66"/>
      <c r="LHN38" s="66"/>
      <c r="LHO38" s="66"/>
      <c r="LHP38" s="66"/>
      <c r="LHQ38" s="66"/>
      <c r="LHR38" s="66"/>
      <c r="LHS38" s="66"/>
      <c r="LHT38" s="66"/>
      <c r="LHU38" s="66"/>
      <c r="LHV38" s="66"/>
      <c r="LHW38" s="66"/>
      <c r="LHX38" s="66"/>
      <c r="LHY38" s="66"/>
      <c r="LHZ38" s="66"/>
      <c r="LIA38" s="66"/>
      <c r="LIB38" s="66"/>
      <c r="LIC38" s="66"/>
      <c r="LID38" s="66"/>
      <c r="LIE38" s="66"/>
      <c r="LIF38" s="66"/>
      <c r="LIG38" s="66"/>
      <c r="LIH38" s="66"/>
      <c r="LII38" s="66"/>
      <c r="LIJ38" s="66"/>
      <c r="LIK38" s="66"/>
      <c r="LIL38" s="66"/>
      <c r="LIM38" s="66"/>
      <c r="LIN38" s="66"/>
      <c r="LIO38" s="66"/>
      <c r="LIP38" s="66"/>
      <c r="LIQ38" s="66"/>
      <c r="LIR38" s="66"/>
      <c r="LIS38" s="66"/>
      <c r="LIT38" s="66"/>
      <c r="LIU38" s="66"/>
      <c r="LIV38" s="66"/>
      <c r="LIW38" s="66"/>
      <c r="LIX38" s="66"/>
      <c r="LIY38" s="66"/>
      <c r="LIZ38" s="66"/>
      <c r="LJA38" s="66"/>
      <c r="LJB38" s="66"/>
      <c r="LJC38" s="66"/>
      <c r="LJD38" s="66"/>
      <c r="LJE38" s="66"/>
      <c r="LJF38" s="66"/>
      <c r="LJG38" s="66"/>
      <c r="LJH38" s="66"/>
      <c r="LJI38" s="66"/>
      <c r="LJJ38" s="66"/>
      <c r="LJK38" s="66"/>
      <c r="LJL38" s="66"/>
      <c r="LJM38" s="66"/>
      <c r="LJN38" s="66"/>
      <c r="LJO38" s="66"/>
      <c r="LJP38" s="66"/>
      <c r="LJQ38" s="66"/>
      <c r="LJR38" s="66"/>
      <c r="LJS38" s="66"/>
      <c r="LJT38" s="66"/>
      <c r="LJU38" s="66"/>
      <c r="LJV38" s="66"/>
      <c r="LJW38" s="66"/>
      <c r="LJX38" s="66"/>
      <c r="LJY38" s="66"/>
      <c r="LJZ38" s="66"/>
      <c r="LKA38" s="66"/>
      <c r="LKB38" s="66"/>
      <c r="LKC38" s="66"/>
      <c r="LKD38" s="66"/>
      <c r="LKE38" s="66"/>
      <c r="LKF38" s="66"/>
      <c r="LKG38" s="66"/>
      <c r="LKH38" s="66"/>
      <c r="LKI38" s="66"/>
      <c r="LKJ38" s="66"/>
      <c r="LKK38" s="66"/>
      <c r="LKL38" s="66"/>
      <c r="LKM38" s="66"/>
      <c r="LKN38" s="66"/>
      <c r="LKO38" s="66"/>
      <c r="LKP38" s="66"/>
      <c r="LKQ38" s="66"/>
      <c r="LKR38" s="66"/>
      <c r="LKS38" s="66"/>
      <c r="LKT38" s="66"/>
      <c r="LKU38" s="66"/>
      <c r="LKV38" s="66"/>
      <c r="LKW38" s="66"/>
      <c r="LKX38" s="66"/>
      <c r="LKY38" s="66"/>
      <c r="LKZ38" s="66"/>
      <c r="LLA38" s="66"/>
      <c r="LLB38" s="66"/>
      <c r="LLC38" s="66"/>
      <c r="LLD38" s="66"/>
      <c r="LLE38" s="66"/>
      <c r="LLF38" s="66"/>
      <c r="LLG38" s="66"/>
      <c r="LLH38" s="66"/>
      <c r="LLI38" s="66"/>
      <c r="LLJ38" s="66"/>
      <c r="LLK38" s="66"/>
      <c r="LLL38" s="66"/>
      <c r="LLM38" s="66"/>
      <c r="LLN38" s="66"/>
      <c r="LLO38" s="66"/>
      <c r="LLP38" s="66"/>
      <c r="LLQ38" s="66"/>
      <c r="LLR38" s="66"/>
      <c r="LLS38" s="66"/>
      <c r="LLT38" s="66"/>
      <c r="LLU38" s="66"/>
      <c r="LLV38" s="66"/>
      <c r="LLW38" s="66"/>
      <c r="LLX38" s="66"/>
      <c r="LLY38" s="66"/>
      <c r="LLZ38" s="66"/>
      <c r="LMA38" s="66"/>
      <c r="LMB38" s="66"/>
      <c r="LMC38" s="66"/>
      <c r="LMD38" s="66"/>
      <c r="LME38" s="66"/>
      <c r="LMF38" s="66"/>
      <c r="LMG38" s="66"/>
      <c r="LMH38" s="66"/>
      <c r="LMI38" s="66"/>
      <c r="LMJ38" s="66"/>
      <c r="LMK38" s="66"/>
      <c r="LML38" s="66"/>
      <c r="LMM38" s="66"/>
      <c r="LMN38" s="66"/>
      <c r="LMO38" s="66"/>
      <c r="LMP38" s="66"/>
      <c r="LMQ38" s="66"/>
      <c r="LMR38" s="66"/>
      <c r="LMS38" s="66"/>
      <c r="LMT38" s="66"/>
      <c r="LMU38" s="66"/>
      <c r="LMV38" s="66"/>
      <c r="LMW38" s="66"/>
      <c r="LMX38" s="66"/>
      <c r="LMY38" s="66"/>
      <c r="LMZ38" s="66"/>
      <c r="LNA38" s="66"/>
      <c r="LNB38" s="66"/>
      <c r="LNC38" s="66"/>
      <c r="LND38" s="66"/>
      <c r="LNE38" s="66"/>
      <c r="LNF38" s="66"/>
      <c r="LNG38" s="66"/>
      <c r="LNH38" s="66"/>
      <c r="LNI38" s="66"/>
      <c r="LNJ38" s="66"/>
      <c r="LNK38" s="66"/>
      <c r="LNL38" s="66"/>
      <c r="LNM38" s="66"/>
      <c r="LNN38" s="66"/>
      <c r="LNO38" s="66"/>
      <c r="LNP38" s="66"/>
      <c r="LNQ38" s="66"/>
      <c r="LNR38" s="66"/>
      <c r="LNS38" s="66"/>
      <c r="LNT38" s="66"/>
      <c r="LNU38" s="66"/>
      <c r="LNV38" s="66"/>
      <c r="LNW38" s="66"/>
      <c r="LNX38" s="66"/>
      <c r="LNY38" s="66"/>
      <c r="LNZ38" s="66"/>
      <c r="LOA38" s="66"/>
      <c r="LOB38" s="66"/>
      <c r="LOC38" s="66"/>
      <c r="LOD38" s="66"/>
      <c r="LOE38" s="66"/>
      <c r="LOF38" s="66"/>
      <c r="LOG38" s="66"/>
      <c r="LOH38" s="66"/>
      <c r="LOI38" s="66"/>
      <c r="LOJ38" s="66"/>
      <c r="LOK38" s="66"/>
      <c r="LOL38" s="66"/>
      <c r="LOM38" s="66"/>
      <c r="LON38" s="66"/>
      <c r="LOO38" s="66"/>
      <c r="LOP38" s="66"/>
      <c r="LOQ38" s="66"/>
      <c r="LOR38" s="66"/>
      <c r="LOS38" s="66"/>
      <c r="LOT38" s="66"/>
      <c r="LOU38" s="66"/>
      <c r="LOV38" s="66"/>
      <c r="LOW38" s="66"/>
      <c r="LOX38" s="66"/>
      <c r="LOY38" s="66"/>
      <c r="LOZ38" s="66"/>
      <c r="LPA38" s="66"/>
      <c r="LPB38" s="66"/>
      <c r="LPC38" s="66"/>
      <c r="LPD38" s="66"/>
      <c r="LPE38" s="66"/>
      <c r="LPF38" s="66"/>
      <c r="LPG38" s="66"/>
      <c r="LPH38" s="66"/>
      <c r="LPI38" s="66"/>
      <c r="LPJ38" s="66"/>
      <c r="LPK38" s="66"/>
      <c r="LPL38" s="66"/>
      <c r="LPM38" s="66"/>
      <c r="LPN38" s="66"/>
      <c r="LPO38" s="66"/>
      <c r="LPP38" s="66"/>
      <c r="LPQ38" s="66"/>
      <c r="LPR38" s="66"/>
      <c r="LPS38" s="66"/>
      <c r="LPT38" s="66"/>
      <c r="LPU38" s="66"/>
      <c r="LPV38" s="66"/>
      <c r="LPW38" s="66"/>
      <c r="LPX38" s="66"/>
      <c r="LPY38" s="66"/>
      <c r="LPZ38" s="66"/>
      <c r="LQA38" s="66"/>
      <c r="LQB38" s="66"/>
      <c r="LQC38" s="66"/>
      <c r="LQD38" s="66"/>
      <c r="LQE38" s="66"/>
      <c r="LQF38" s="66"/>
      <c r="LQG38" s="66"/>
      <c r="LQH38" s="66"/>
      <c r="LQI38" s="66"/>
      <c r="LQJ38" s="66"/>
      <c r="LQK38" s="66"/>
      <c r="LQL38" s="66"/>
      <c r="LQM38" s="66"/>
      <c r="LQN38" s="66"/>
      <c r="LQO38" s="66"/>
      <c r="LQP38" s="66"/>
      <c r="LQQ38" s="66"/>
      <c r="LQR38" s="66"/>
      <c r="LQS38" s="66"/>
      <c r="LQT38" s="66"/>
      <c r="LQU38" s="66"/>
      <c r="LQV38" s="66"/>
      <c r="LQW38" s="66"/>
      <c r="LQX38" s="66"/>
      <c r="LQY38" s="66"/>
      <c r="LQZ38" s="66"/>
      <c r="LRA38" s="66"/>
      <c r="LRB38" s="66"/>
      <c r="LRC38" s="66"/>
      <c r="LRD38" s="66"/>
      <c r="LRE38" s="66"/>
      <c r="LRF38" s="66"/>
      <c r="LRG38" s="66"/>
      <c r="LRH38" s="66"/>
      <c r="LRI38" s="66"/>
      <c r="LRJ38" s="66"/>
      <c r="LRK38" s="66"/>
      <c r="LRL38" s="66"/>
      <c r="LRM38" s="66"/>
      <c r="LRN38" s="66"/>
      <c r="LRO38" s="66"/>
      <c r="LRP38" s="66"/>
      <c r="LRQ38" s="66"/>
      <c r="LRR38" s="66"/>
      <c r="LRS38" s="66"/>
      <c r="LRT38" s="66"/>
      <c r="LRU38" s="66"/>
      <c r="LRV38" s="66"/>
      <c r="LRW38" s="66"/>
      <c r="LRX38" s="66"/>
      <c r="LRY38" s="66"/>
      <c r="LRZ38" s="66"/>
      <c r="LSA38" s="66"/>
      <c r="LSB38" s="66"/>
      <c r="LSC38" s="66"/>
      <c r="LSD38" s="66"/>
      <c r="LSE38" s="66"/>
      <c r="LSF38" s="66"/>
      <c r="LSG38" s="66"/>
      <c r="LSH38" s="66"/>
      <c r="LSI38" s="66"/>
      <c r="LSJ38" s="66"/>
      <c r="LSK38" s="66"/>
      <c r="LSL38" s="66"/>
      <c r="LSM38" s="66"/>
      <c r="LSN38" s="66"/>
      <c r="LSO38" s="66"/>
      <c r="LSP38" s="66"/>
      <c r="LSQ38" s="66"/>
      <c r="LSR38" s="66"/>
      <c r="LSS38" s="66"/>
      <c r="LST38" s="66"/>
      <c r="LSU38" s="66"/>
      <c r="LSV38" s="66"/>
      <c r="LSW38" s="66"/>
      <c r="LSX38" s="66"/>
      <c r="LSY38" s="66"/>
      <c r="LSZ38" s="66"/>
      <c r="LTA38" s="66"/>
      <c r="LTB38" s="66"/>
      <c r="LTC38" s="66"/>
      <c r="LTD38" s="66"/>
      <c r="LTE38" s="66"/>
      <c r="LTF38" s="66"/>
      <c r="LTG38" s="66"/>
      <c r="LTH38" s="66"/>
      <c r="LTI38" s="66"/>
      <c r="LTJ38" s="66"/>
      <c r="LTK38" s="66"/>
      <c r="LTL38" s="66"/>
      <c r="LTM38" s="66"/>
      <c r="LTN38" s="66"/>
      <c r="LTO38" s="66"/>
      <c r="LTP38" s="66"/>
      <c r="LTQ38" s="66"/>
      <c r="LTR38" s="66"/>
      <c r="LTS38" s="66"/>
      <c r="LTT38" s="66"/>
      <c r="LTU38" s="66"/>
      <c r="LTV38" s="66"/>
      <c r="LTW38" s="66"/>
      <c r="LTX38" s="66"/>
      <c r="LTY38" s="66"/>
      <c r="LTZ38" s="66"/>
      <c r="LUA38" s="66"/>
      <c r="LUB38" s="66"/>
      <c r="LUC38" s="66"/>
      <c r="LUD38" s="66"/>
      <c r="LUE38" s="66"/>
      <c r="LUF38" s="66"/>
      <c r="LUG38" s="66"/>
      <c r="LUH38" s="66"/>
      <c r="LUI38" s="66"/>
      <c r="LUJ38" s="66"/>
      <c r="LUK38" s="66"/>
      <c r="LUL38" s="66"/>
      <c r="LUM38" s="66"/>
      <c r="LUN38" s="66"/>
      <c r="LUO38" s="66"/>
      <c r="LUP38" s="66"/>
      <c r="LUQ38" s="66"/>
      <c r="LUR38" s="66"/>
      <c r="LUS38" s="66"/>
      <c r="LUT38" s="66"/>
      <c r="LUU38" s="66"/>
      <c r="LUV38" s="66"/>
      <c r="LUW38" s="66"/>
      <c r="LUX38" s="66"/>
      <c r="LUY38" s="66"/>
      <c r="LUZ38" s="66"/>
      <c r="LVA38" s="66"/>
      <c r="LVB38" s="66"/>
      <c r="LVC38" s="66"/>
      <c r="LVD38" s="66"/>
      <c r="LVE38" s="66"/>
      <c r="LVF38" s="66"/>
      <c r="LVG38" s="66"/>
      <c r="LVH38" s="66"/>
      <c r="LVI38" s="66"/>
      <c r="LVJ38" s="66"/>
      <c r="LVK38" s="66"/>
      <c r="LVL38" s="66"/>
      <c r="LVM38" s="66"/>
      <c r="LVN38" s="66"/>
      <c r="LVO38" s="66"/>
      <c r="LVP38" s="66"/>
      <c r="LVQ38" s="66"/>
      <c r="LVR38" s="66"/>
      <c r="LVS38" s="66"/>
      <c r="LVT38" s="66"/>
      <c r="LVU38" s="66"/>
      <c r="LVV38" s="66"/>
      <c r="LVW38" s="66"/>
      <c r="LVX38" s="66"/>
      <c r="LVY38" s="66"/>
      <c r="LVZ38" s="66"/>
      <c r="LWA38" s="66"/>
      <c r="LWB38" s="66"/>
      <c r="LWC38" s="66"/>
      <c r="LWD38" s="66"/>
      <c r="LWE38" s="66"/>
      <c r="LWF38" s="66"/>
      <c r="LWG38" s="66"/>
      <c r="LWH38" s="66"/>
      <c r="LWI38" s="66"/>
      <c r="LWJ38" s="66"/>
      <c r="LWK38" s="66"/>
      <c r="LWL38" s="66"/>
      <c r="LWM38" s="66"/>
      <c r="LWN38" s="66"/>
      <c r="LWO38" s="66"/>
      <c r="LWP38" s="66"/>
      <c r="LWQ38" s="66"/>
      <c r="LWR38" s="66"/>
      <c r="LWS38" s="66"/>
      <c r="LWT38" s="66"/>
      <c r="LWU38" s="66"/>
      <c r="LWV38" s="66"/>
      <c r="LWW38" s="66"/>
      <c r="LWX38" s="66"/>
      <c r="LWY38" s="66"/>
      <c r="LWZ38" s="66"/>
      <c r="LXA38" s="66"/>
      <c r="LXB38" s="66"/>
      <c r="LXC38" s="66"/>
      <c r="LXD38" s="66"/>
      <c r="LXE38" s="66"/>
      <c r="LXF38" s="66"/>
      <c r="LXG38" s="66"/>
      <c r="LXH38" s="66"/>
      <c r="LXI38" s="66"/>
      <c r="LXJ38" s="66"/>
      <c r="LXK38" s="66"/>
      <c r="LXL38" s="66"/>
      <c r="LXM38" s="66"/>
      <c r="LXN38" s="66"/>
      <c r="LXO38" s="66"/>
      <c r="LXP38" s="66"/>
      <c r="LXQ38" s="66"/>
      <c r="LXR38" s="66"/>
      <c r="LXS38" s="66"/>
      <c r="LXT38" s="66"/>
      <c r="LXU38" s="66"/>
      <c r="LXV38" s="66"/>
      <c r="LXW38" s="66"/>
      <c r="LXX38" s="66"/>
      <c r="LXY38" s="66"/>
      <c r="LXZ38" s="66"/>
      <c r="LYA38" s="66"/>
      <c r="LYB38" s="66"/>
      <c r="LYC38" s="66"/>
      <c r="LYD38" s="66"/>
      <c r="LYE38" s="66"/>
      <c r="LYF38" s="66"/>
      <c r="LYG38" s="66"/>
      <c r="LYH38" s="66"/>
      <c r="LYI38" s="66"/>
      <c r="LYJ38" s="66"/>
      <c r="LYK38" s="66"/>
      <c r="LYL38" s="66"/>
      <c r="LYM38" s="66"/>
      <c r="LYN38" s="66"/>
      <c r="LYO38" s="66"/>
      <c r="LYP38" s="66"/>
      <c r="LYQ38" s="66"/>
      <c r="LYR38" s="66"/>
      <c r="LYS38" s="66"/>
      <c r="LYT38" s="66"/>
      <c r="LYU38" s="66"/>
      <c r="LYV38" s="66"/>
      <c r="LYW38" s="66"/>
      <c r="LYX38" s="66"/>
      <c r="LYY38" s="66"/>
      <c r="LYZ38" s="66"/>
      <c r="LZA38" s="66"/>
      <c r="LZB38" s="66"/>
      <c r="LZC38" s="66"/>
      <c r="LZD38" s="66"/>
      <c r="LZE38" s="66"/>
      <c r="LZF38" s="66"/>
      <c r="LZG38" s="66"/>
      <c r="LZH38" s="66"/>
      <c r="LZI38" s="66"/>
      <c r="LZJ38" s="66"/>
      <c r="LZK38" s="66"/>
      <c r="LZL38" s="66"/>
      <c r="LZM38" s="66"/>
      <c r="LZN38" s="66"/>
      <c r="LZO38" s="66"/>
      <c r="LZP38" s="66"/>
      <c r="LZQ38" s="66"/>
      <c r="LZR38" s="66"/>
      <c r="LZS38" s="66"/>
      <c r="LZT38" s="66"/>
      <c r="LZU38" s="66"/>
      <c r="LZV38" s="66"/>
      <c r="LZW38" s="66"/>
      <c r="LZX38" s="66"/>
      <c r="LZY38" s="66"/>
      <c r="LZZ38" s="66"/>
      <c r="MAA38" s="66"/>
      <c r="MAB38" s="66"/>
      <c r="MAC38" s="66"/>
      <c r="MAD38" s="66"/>
      <c r="MAE38" s="66"/>
      <c r="MAF38" s="66"/>
      <c r="MAG38" s="66"/>
      <c r="MAH38" s="66"/>
      <c r="MAI38" s="66"/>
      <c r="MAJ38" s="66"/>
      <c r="MAK38" s="66"/>
      <c r="MAL38" s="66"/>
      <c r="MAM38" s="66"/>
      <c r="MAN38" s="66"/>
      <c r="MAO38" s="66"/>
      <c r="MAP38" s="66"/>
      <c r="MAQ38" s="66"/>
      <c r="MAR38" s="66"/>
      <c r="MAS38" s="66"/>
      <c r="MAT38" s="66"/>
      <c r="MAU38" s="66"/>
      <c r="MAV38" s="66"/>
      <c r="MAW38" s="66"/>
      <c r="MAX38" s="66"/>
      <c r="MAY38" s="66"/>
      <c r="MAZ38" s="66"/>
      <c r="MBA38" s="66"/>
      <c r="MBB38" s="66"/>
      <c r="MBC38" s="66"/>
      <c r="MBD38" s="66"/>
      <c r="MBE38" s="66"/>
      <c r="MBF38" s="66"/>
      <c r="MBG38" s="66"/>
      <c r="MBH38" s="66"/>
      <c r="MBI38" s="66"/>
      <c r="MBJ38" s="66"/>
      <c r="MBK38" s="66"/>
      <c r="MBL38" s="66"/>
      <c r="MBM38" s="66"/>
      <c r="MBN38" s="66"/>
      <c r="MBO38" s="66"/>
      <c r="MBP38" s="66"/>
      <c r="MBQ38" s="66"/>
      <c r="MBR38" s="66"/>
      <c r="MBS38" s="66"/>
      <c r="MBT38" s="66"/>
      <c r="MBU38" s="66"/>
      <c r="MBV38" s="66"/>
      <c r="MBW38" s="66"/>
      <c r="MBX38" s="66"/>
      <c r="MBY38" s="66"/>
      <c r="MBZ38" s="66"/>
      <c r="MCA38" s="66"/>
      <c r="MCB38" s="66"/>
      <c r="MCC38" s="66"/>
      <c r="MCD38" s="66"/>
      <c r="MCE38" s="66"/>
      <c r="MCF38" s="66"/>
      <c r="MCG38" s="66"/>
      <c r="MCH38" s="66"/>
      <c r="MCI38" s="66"/>
      <c r="MCJ38" s="66"/>
      <c r="MCK38" s="66"/>
      <c r="MCL38" s="66"/>
      <c r="MCM38" s="66"/>
      <c r="MCN38" s="66"/>
      <c r="MCO38" s="66"/>
      <c r="MCP38" s="66"/>
      <c r="MCQ38" s="66"/>
      <c r="MCR38" s="66"/>
      <c r="MCS38" s="66"/>
      <c r="MCT38" s="66"/>
      <c r="MCU38" s="66"/>
      <c r="MCV38" s="66"/>
      <c r="MCW38" s="66"/>
      <c r="MCX38" s="66"/>
      <c r="MCY38" s="66"/>
      <c r="MCZ38" s="66"/>
      <c r="MDA38" s="66"/>
      <c r="MDB38" s="66"/>
      <c r="MDC38" s="66"/>
      <c r="MDD38" s="66"/>
      <c r="MDE38" s="66"/>
      <c r="MDF38" s="66"/>
      <c r="MDG38" s="66"/>
      <c r="MDH38" s="66"/>
      <c r="MDI38" s="66"/>
      <c r="MDJ38" s="66"/>
      <c r="MDK38" s="66"/>
      <c r="MDL38" s="66"/>
      <c r="MDM38" s="66"/>
      <c r="MDN38" s="66"/>
      <c r="MDO38" s="66"/>
      <c r="MDP38" s="66"/>
      <c r="MDQ38" s="66"/>
      <c r="MDR38" s="66"/>
      <c r="MDS38" s="66"/>
      <c r="MDT38" s="66"/>
      <c r="MDU38" s="66"/>
      <c r="MDV38" s="66"/>
      <c r="MDW38" s="66"/>
      <c r="MDX38" s="66"/>
      <c r="MDY38" s="66"/>
      <c r="MDZ38" s="66"/>
      <c r="MEA38" s="66"/>
      <c r="MEB38" s="66"/>
      <c r="MEC38" s="66"/>
      <c r="MED38" s="66"/>
      <c r="MEE38" s="66"/>
      <c r="MEF38" s="66"/>
      <c r="MEG38" s="66"/>
      <c r="MEH38" s="66"/>
      <c r="MEI38" s="66"/>
      <c r="MEJ38" s="66"/>
      <c r="MEK38" s="66"/>
      <c r="MEL38" s="66"/>
      <c r="MEM38" s="66"/>
      <c r="MEN38" s="66"/>
      <c r="MEO38" s="66"/>
      <c r="MEP38" s="66"/>
      <c r="MEQ38" s="66"/>
      <c r="MER38" s="66"/>
      <c r="MES38" s="66"/>
      <c r="MET38" s="66"/>
      <c r="MEU38" s="66"/>
      <c r="MEV38" s="66"/>
      <c r="MEW38" s="66"/>
      <c r="MEX38" s="66"/>
      <c r="MEY38" s="66"/>
      <c r="MEZ38" s="66"/>
      <c r="MFA38" s="66"/>
      <c r="MFB38" s="66"/>
      <c r="MFC38" s="66"/>
      <c r="MFD38" s="66"/>
      <c r="MFE38" s="66"/>
      <c r="MFF38" s="66"/>
      <c r="MFG38" s="66"/>
      <c r="MFH38" s="66"/>
      <c r="MFI38" s="66"/>
      <c r="MFJ38" s="66"/>
      <c r="MFK38" s="66"/>
      <c r="MFL38" s="66"/>
      <c r="MFM38" s="66"/>
      <c r="MFN38" s="66"/>
      <c r="MFO38" s="66"/>
      <c r="MFP38" s="66"/>
      <c r="MFQ38" s="66"/>
      <c r="MFR38" s="66"/>
      <c r="MFS38" s="66"/>
      <c r="MFT38" s="66"/>
      <c r="MFU38" s="66"/>
      <c r="MFV38" s="66"/>
      <c r="MFW38" s="66"/>
      <c r="MFX38" s="66"/>
      <c r="MFY38" s="66"/>
      <c r="MFZ38" s="66"/>
      <c r="MGA38" s="66"/>
      <c r="MGB38" s="66"/>
      <c r="MGC38" s="66"/>
      <c r="MGD38" s="66"/>
      <c r="MGE38" s="66"/>
      <c r="MGF38" s="66"/>
      <c r="MGG38" s="66"/>
      <c r="MGH38" s="66"/>
      <c r="MGI38" s="66"/>
      <c r="MGJ38" s="66"/>
      <c r="MGK38" s="66"/>
      <c r="MGL38" s="66"/>
      <c r="MGM38" s="66"/>
      <c r="MGN38" s="66"/>
      <c r="MGO38" s="66"/>
      <c r="MGP38" s="66"/>
      <c r="MGQ38" s="66"/>
      <c r="MGR38" s="66"/>
      <c r="MGS38" s="66"/>
      <c r="MGT38" s="66"/>
      <c r="MGU38" s="66"/>
      <c r="MGV38" s="66"/>
      <c r="MGW38" s="66"/>
      <c r="MGX38" s="66"/>
      <c r="MGY38" s="66"/>
      <c r="MGZ38" s="66"/>
      <c r="MHA38" s="66"/>
      <c r="MHB38" s="66"/>
      <c r="MHC38" s="66"/>
      <c r="MHD38" s="66"/>
      <c r="MHE38" s="66"/>
      <c r="MHF38" s="66"/>
      <c r="MHG38" s="66"/>
      <c r="MHH38" s="66"/>
      <c r="MHI38" s="66"/>
      <c r="MHJ38" s="66"/>
      <c r="MHK38" s="66"/>
      <c r="MHL38" s="66"/>
      <c r="MHM38" s="66"/>
      <c r="MHN38" s="66"/>
      <c r="MHO38" s="66"/>
      <c r="MHP38" s="66"/>
      <c r="MHQ38" s="66"/>
      <c r="MHR38" s="66"/>
      <c r="MHS38" s="66"/>
      <c r="MHT38" s="66"/>
      <c r="MHU38" s="66"/>
      <c r="MHV38" s="66"/>
      <c r="MHW38" s="66"/>
      <c r="MHX38" s="66"/>
      <c r="MHY38" s="66"/>
      <c r="MHZ38" s="66"/>
      <c r="MIA38" s="66"/>
      <c r="MIB38" s="66"/>
      <c r="MIC38" s="66"/>
      <c r="MID38" s="66"/>
      <c r="MIE38" s="66"/>
      <c r="MIF38" s="66"/>
      <c r="MIG38" s="66"/>
      <c r="MIH38" s="66"/>
      <c r="MII38" s="66"/>
      <c r="MIJ38" s="66"/>
      <c r="MIK38" s="66"/>
      <c r="MIL38" s="66"/>
      <c r="MIM38" s="66"/>
      <c r="MIN38" s="66"/>
      <c r="MIO38" s="66"/>
      <c r="MIP38" s="66"/>
      <c r="MIQ38" s="66"/>
      <c r="MIR38" s="66"/>
      <c r="MIS38" s="66"/>
      <c r="MIT38" s="66"/>
      <c r="MIU38" s="66"/>
      <c r="MIV38" s="66"/>
      <c r="MIW38" s="66"/>
      <c r="MIX38" s="66"/>
      <c r="MIY38" s="66"/>
      <c r="MIZ38" s="66"/>
      <c r="MJA38" s="66"/>
      <c r="MJB38" s="66"/>
      <c r="MJC38" s="66"/>
      <c r="MJD38" s="66"/>
      <c r="MJE38" s="66"/>
      <c r="MJF38" s="66"/>
      <c r="MJG38" s="66"/>
      <c r="MJH38" s="66"/>
      <c r="MJI38" s="66"/>
      <c r="MJJ38" s="66"/>
      <c r="MJK38" s="66"/>
      <c r="MJL38" s="66"/>
      <c r="MJM38" s="66"/>
      <c r="MJN38" s="66"/>
      <c r="MJO38" s="66"/>
      <c r="MJP38" s="66"/>
      <c r="MJQ38" s="66"/>
      <c r="MJR38" s="66"/>
      <c r="MJS38" s="66"/>
      <c r="MJT38" s="66"/>
      <c r="MJU38" s="66"/>
      <c r="MJV38" s="66"/>
      <c r="MJW38" s="66"/>
      <c r="MJX38" s="66"/>
      <c r="MJY38" s="66"/>
      <c r="MJZ38" s="66"/>
      <c r="MKA38" s="66"/>
      <c r="MKB38" s="66"/>
      <c r="MKC38" s="66"/>
      <c r="MKD38" s="66"/>
      <c r="MKE38" s="66"/>
      <c r="MKF38" s="66"/>
      <c r="MKG38" s="66"/>
      <c r="MKH38" s="66"/>
      <c r="MKI38" s="66"/>
      <c r="MKJ38" s="66"/>
      <c r="MKK38" s="66"/>
      <c r="MKL38" s="66"/>
      <c r="MKM38" s="66"/>
      <c r="MKN38" s="66"/>
      <c r="MKO38" s="66"/>
      <c r="MKP38" s="66"/>
      <c r="MKQ38" s="66"/>
      <c r="MKR38" s="66"/>
      <c r="MKS38" s="66"/>
      <c r="MKT38" s="66"/>
      <c r="MKU38" s="66"/>
      <c r="MKV38" s="66"/>
      <c r="MKW38" s="66"/>
      <c r="MKX38" s="66"/>
      <c r="MKY38" s="66"/>
      <c r="MKZ38" s="66"/>
      <c r="MLA38" s="66"/>
      <c r="MLB38" s="66"/>
      <c r="MLC38" s="66"/>
      <c r="MLD38" s="66"/>
      <c r="MLE38" s="66"/>
      <c r="MLF38" s="66"/>
      <c r="MLG38" s="66"/>
      <c r="MLH38" s="66"/>
      <c r="MLI38" s="66"/>
      <c r="MLJ38" s="66"/>
      <c r="MLK38" s="66"/>
      <c r="MLL38" s="66"/>
      <c r="MLM38" s="66"/>
      <c r="MLN38" s="66"/>
      <c r="MLO38" s="66"/>
      <c r="MLP38" s="66"/>
      <c r="MLQ38" s="66"/>
      <c r="MLR38" s="66"/>
      <c r="MLS38" s="66"/>
      <c r="MLT38" s="66"/>
      <c r="MLU38" s="66"/>
      <c r="MLV38" s="66"/>
      <c r="MLW38" s="66"/>
      <c r="MLX38" s="66"/>
      <c r="MLY38" s="66"/>
      <c r="MLZ38" s="66"/>
      <c r="MMA38" s="66"/>
      <c r="MMB38" s="66"/>
      <c r="MMC38" s="66"/>
      <c r="MMD38" s="66"/>
      <c r="MME38" s="66"/>
      <c r="MMF38" s="66"/>
      <c r="MMG38" s="66"/>
      <c r="MMH38" s="66"/>
      <c r="MMI38" s="66"/>
      <c r="MMJ38" s="66"/>
      <c r="MMK38" s="66"/>
      <c r="MML38" s="66"/>
      <c r="MMM38" s="66"/>
      <c r="MMN38" s="66"/>
      <c r="MMO38" s="66"/>
      <c r="MMP38" s="66"/>
      <c r="MMQ38" s="66"/>
      <c r="MMR38" s="66"/>
      <c r="MMS38" s="66"/>
      <c r="MMT38" s="66"/>
      <c r="MMU38" s="66"/>
      <c r="MMV38" s="66"/>
      <c r="MMW38" s="66"/>
      <c r="MMX38" s="66"/>
      <c r="MMY38" s="66"/>
      <c r="MMZ38" s="66"/>
      <c r="MNA38" s="66"/>
      <c r="MNB38" s="66"/>
      <c r="MNC38" s="66"/>
      <c r="MND38" s="66"/>
      <c r="MNE38" s="66"/>
      <c r="MNF38" s="66"/>
      <c r="MNG38" s="66"/>
      <c r="MNH38" s="66"/>
      <c r="MNI38" s="66"/>
      <c r="MNJ38" s="66"/>
      <c r="MNK38" s="66"/>
      <c r="MNL38" s="66"/>
      <c r="MNM38" s="66"/>
      <c r="MNN38" s="66"/>
      <c r="MNO38" s="66"/>
      <c r="MNP38" s="66"/>
      <c r="MNQ38" s="66"/>
      <c r="MNR38" s="66"/>
      <c r="MNS38" s="66"/>
      <c r="MNT38" s="66"/>
      <c r="MNU38" s="66"/>
      <c r="MNV38" s="66"/>
      <c r="MNW38" s="66"/>
      <c r="MNX38" s="66"/>
      <c r="MNY38" s="66"/>
      <c r="MNZ38" s="66"/>
      <c r="MOA38" s="66"/>
      <c r="MOB38" s="66"/>
      <c r="MOC38" s="66"/>
      <c r="MOD38" s="66"/>
      <c r="MOE38" s="66"/>
      <c r="MOF38" s="66"/>
      <c r="MOG38" s="66"/>
      <c r="MOH38" s="66"/>
      <c r="MOI38" s="66"/>
      <c r="MOJ38" s="66"/>
      <c r="MOK38" s="66"/>
      <c r="MOL38" s="66"/>
      <c r="MOM38" s="66"/>
      <c r="MON38" s="66"/>
      <c r="MOO38" s="66"/>
      <c r="MOP38" s="66"/>
      <c r="MOQ38" s="66"/>
      <c r="MOR38" s="66"/>
      <c r="MOS38" s="66"/>
      <c r="MOT38" s="66"/>
      <c r="MOU38" s="66"/>
      <c r="MOV38" s="66"/>
      <c r="MOW38" s="66"/>
      <c r="MOX38" s="66"/>
      <c r="MOY38" s="66"/>
      <c r="MOZ38" s="66"/>
      <c r="MPA38" s="66"/>
      <c r="MPB38" s="66"/>
      <c r="MPC38" s="66"/>
      <c r="MPD38" s="66"/>
      <c r="MPE38" s="66"/>
      <c r="MPF38" s="66"/>
      <c r="MPG38" s="66"/>
      <c r="MPH38" s="66"/>
      <c r="MPI38" s="66"/>
      <c r="MPJ38" s="66"/>
      <c r="MPK38" s="66"/>
      <c r="MPL38" s="66"/>
      <c r="MPM38" s="66"/>
      <c r="MPN38" s="66"/>
      <c r="MPO38" s="66"/>
      <c r="MPP38" s="66"/>
      <c r="MPQ38" s="66"/>
      <c r="MPR38" s="66"/>
      <c r="MPS38" s="66"/>
      <c r="MPT38" s="66"/>
      <c r="MPU38" s="66"/>
      <c r="MPV38" s="66"/>
      <c r="MPW38" s="66"/>
      <c r="MPX38" s="66"/>
      <c r="MPY38" s="66"/>
      <c r="MPZ38" s="66"/>
      <c r="MQA38" s="66"/>
      <c r="MQB38" s="66"/>
      <c r="MQC38" s="66"/>
      <c r="MQD38" s="66"/>
      <c r="MQE38" s="66"/>
      <c r="MQF38" s="66"/>
      <c r="MQG38" s="66"/>
      <c r="MQH38" s="66"/>
      <c r="MQI38" s="66"/>
      <c r="MQJ38" s="66"/>
      <c r="MQK38" s="66"/>
      <c r="MQL38" s="66"/>
      <c r="MQM38" s="66"/>
      <c r="MQN38" s="66"/>
      <c r="MQO38" s="66"/>
      <c r="MQP38" s="66"/>
      <c r="MQQ38" s="66"/>
      <c r="MQR38" s="66"/>
      <c r="MQS38" s="66"/>
      <c r="MQT38" s="66"/>
      <c r="MQU38" s="66"/>
      <c r="MQV38" s="66"/>
      <c r="MQW38" s="66"/>
      <c r="MQX38" s="66"/>
      <c r="MQY38" s="66"/>
      <c r="MQZ38" s="66"/>
      <c r="MRA38" s="66"/>
      <c r="MRB38" s="66"/>
      <c r="MRC38" s="66"/>
      <c r="MRD38" s="66"/>
      <c r="MRE38" s="66"/>
      <c r="MRF38" s="66"/>
      <c r="MRG38" s="66"/>
      <c r="MRH38" s="66"/>
      <c r="MRI38" s="66"/>
      <c r="MRJ38" s="66"/>
      <c r="MRK38" s="66"/>
      <c r="MRL38" s="66"/>
      <c r="MRM38" s="66"/>
      <c r="MRN38" s="66"/>
      <c r="MRO38" s="66"/>
      <c r="MRP38" s="66"/>
      <c r="MRQ38" s="66"/>
      <c r="MRR38" s="66"/>
      <c r="MRS38" s="66"/>
      <c r="MRT38" s="66"/>
      <c r="MRU38" s="66"/>
      <c r="MRV38" s="66"/>
      <c r="MRW38" s="66"/>
      <c r="MRX38" s="66"/>
      <c r="MRY38" s="66"/>
      <c r="MRZ38" s="66"/>
      <c r="MSA38" s="66"/>
      <c r="MSB38" s="66"/>
      <c r="MSC38" s="66"/>
      <c r="MSD38" s="66"/>
      <c r="MSE38" s="66"/>
      <c r="MSF38" s="66"/>
      <c r="MSG38" s="66"/>
      <c r="MSH38" s="66"/>
      <c r="MSI38" s="66"/>
      <c r="MSJ38" s="66"/>
      <c r="MSK38" s="66"/>
      <c r="MSL38" s="66"/>
      <c r="MSM38" s="66"/>
      <c r="MSN38" s="66"/>
      <c r="MSO38" s="66"/>
      <c r="MSP38" s="66"/>
      <c r="MSQ38" s="66"/>
      <c r="MSR38" s="66"/>
      <c r="MSS38" s="66"/>
      <c r="MST38" s="66"/>
      <c r="MSU38" s="66"/>
      <c r="MSV38" s="66"/>
      <c r="MSW38" s="66"/>
      <c r="MSX38" s="66"/>
      <c r="MSY38" s="66"/>
      <c r="MSZ38" s="66"/>
      <c r="MTA38" s="66"/>
      <c r="MTB38" s="66"/>
      <c r="MTC38" s="66"/>
      <c r="MTD38" s="66"/>
      <c r="MTE38" s="66"/>
      <c r="MTF38" s="66"/>
      <c r="MTG38" s="66"/>
      <c r="MTH38" s="66"/>
      <c r="MTI38" s="66"/>
      <c r="MTJ38" s="66"/>
      <c r="MTK38" s="66"/>
      <c r="MTL38" s="66"/>
      <c r="MTM38" s="66"/>
      <c r="MTN38" s="66"/>
      <c r="MTO38" s="66"/>
      <c r="MTP38" s="66"/>
      <c r="MTQ38" s="66"/>
      <c r="MTR38" s="66"/>
      <c r="MTS38" s="66"/>
      <c r="MTT38" s="66"/>
      <c r="MTU38" s="66"/>
      <c r="MTV38" s="66"/>
      <c r="MTW38" s="66"/>
      <c r="MTX38" s="66"/>
      <c r="MTY38" s="66"/>
      <c r="MTZ38" s="66"/>
      <c r="MUA38" s="66"/>
      <c r="MUB38" s="66"/>
      <c r="MUC38" s="66"/>
      <c r="MUD38" s="66"/>
      <c r="MUE38" s="66"/>
      <c r="MUF38" s="66"/>
      <c r="MUG38" s="66"/>
      <c r="MUH38" s="66"/>
      <c r="MUI38" s="66"/>
      <c r="MUJ38" s="66"/>
      <c r="MUK38" s="66"/>
      <c r="MUL38" s="66"/>
      <c r="MUM38" s="66"/>
      <c r="MUN38" s="66"/>
      <c r="MUO38" s="66"/>
      <c r="MUP38" s="66"/>
      <c r="MUQ38" s="66"/>
      <c r="MUR38" s="66"/>
      <c r="MUS38" s="66"/>
      <c r="MUT38" s="66"/>
      <c r="MUU38" s="66"/>
      <c r="MUV38" s="66"/>
      <c r="MUW38" s="66"/>
      <c r="MUX38" s="66"/>
      <c r="MUY38" s="66"/>
      <c r="MUZ38" s="66"/>
      <c r="MVA38" s="66"/>
      <c r="MVB38" s="66"/>
      <c r="MVC38" s="66"/>
      <c r="MVD38" s="66"/>
      <c r="MVE38" s="66"/>
      <c r="MVF38" s="66"/>
      <c r="MVG38" s="66"/>
      <c r="MVH38" s="66"/>
      <c r="MVI38" s="66"/>
      <c r="MVJ38" s="66"/>
      <c r="MVK38" s="66"/>
      <c r="MVL38" s="66"/>
      <c r="MVM38" s="66"/>
      <c r="MVN38" s="66"/>
      <c r="MVO38" s="66"/>
      <c r="MVP38" s="66"/>
      <c r="MVQ38" s="66"/>
      <c r="MVR38" s="66"/>
      <c r="MVS38" s="66"/>
      <c r="MVT38" s="66"/>
      <c r="MVU38" s="66"/>
      <c r="MVV38" s="66"/>
      <c r="MVW38" s="66"/>
      <c r="MVX38" s="66"/>
      <c r="MVY38" s="66"/>
      <c r="MVZ38" s="66"/>
      <c r="MWA38" s="66"/>
      <c r="MWB38" s="66"/>
      <c r="MWC38" s="66"/>
      <c r="MWD38" s="66"/>
      <c r="MWE38" s="66"/>
      <c r="MWF38" s="66"/>
      <c r="MWG38" s="66"/>
      <c r="MWH38" s="66"/>
      <c r="MWI38" s="66"/>
      <c r="MWJ38" s="66"/>
      <c r="MWK38" s="66"/>
      <c r="MWL38" s="66"/>
      <c r="MWM38" s="66"/>
      <c r="MWN38" s="66"/>
      <c r="MWO38" s="66"/>
      <c r="MWP38" s="66"/>
      <c r="MWQ38" s="66"/>
      <c r="MWR38" s="66"/>
      <c r="MWS38" s="66"/>
      <c r="MWT38" s="66"/>
      <c r="MWU38" s="66"/>
      <c r="MWV38" s="66"/>
      <c r="MWW38" s="66"/>
      <c r="MWX38" s="66"/>
      <c r="MWY38" s="66"/>
      <c r="MWZ38" s="66"/>
      <c r="MXA38" s="66"/>
      <c r="MXB38" s="66"/>
      <c r="MXC38" s="66"/>
      <c r="MXD38" s="66"/>
      <c r="MXE38" s="66"/>
      <c r="MXF38" s="66"/>
      <c r="MXG38" s="66"/>
      <c r="MXH38" s="66"/>
      <c r="MXI38" s="66"/>
      <c r="MXJ38" s="66"/>
      <c r="MXK38" s="66"/>
      <c r="MXL38" s="66"/>
      <c r="MXM38" s="66"/>
      <c r="MXN38" s="66"/>
      <c r="MXO38" s="66"/>
      <c r="MXP38" s="66"/>
      <c r="MXQ38" s="66"/>
      <c r="MXR38" s="66"/>
      <c r="MXS38" s="66"/>
      <c r="MXT38" s="66"/>
      <c r="MXU38" s="66"/>
      <c r="MXV38" s="66"/>
      <c r="MXW38" s="66"/>
      <c r="MXX38" s="66"/>
      <c r="MXY38" s="66"/>
      <c r="MXZ38" s="66"/>
      <c r="MYA38" s="66"/>
      <c r="MYB38" s="66"/>
      <c r="MYC38" s="66"/>
      <c r="MYD38" s="66"/>
      <c r="MYE38" s="66"/>
      <c r="MYF38" s="66"/>
      <c r="MYG38" s="66"/>
      <c r="MYH38" s="66"/>
      <c r="MYI38" s="66"/>
      <c r="MYJ38" s="66"/>
      <c r="MYK38" s="66"/>
      <c r="MYL38" s="66"/>
      <c r="MYM38" s="66"/>
      <c r="MYN38" s="66"/>
      <c r="MYO38" s="66"/>
      <c r="MYP38" s="66"/>
      <c r="MYQ38" s="66"/>
      <c r="MYR38" s="66"/>
      <c r="MYS38" s="66"/>
      <c r="MYT38" s="66"/>
      <c r="MYU38" s="66"/>
      <c r="MYV38" s="66"/>
      <c r="MYW38" s="66"/>
      <c r="MYX38" s="66"/>
      <c r="MYY38" s="66"/>
      <c r="MYZ38" s="66"/>
      <c r="MZA38" s="66"/>
      <c r="MZB38" s="66"/>
      <c r="MZC38" s="66"/>
      <c r="MZD38" s="66"/>
      <c r="MZE38" s="66"/>
      <c r="MZF38" s="66"/>
      <c r="MZG38" s="66"/>
      <c r="MZH38" s="66"/>
      <c r="MZI38" s="66"/>
      <c r="MZJ38" s="66"/>
      <c r="MZK38" s="66"/>
      <c r="MZL38" s="66"/>
      <c r="MZM38" s="66"/>
      <c r="MZN38" s="66"/>
      <c r="MZO38" s="66"/>
      <c r="MZP38" s="66"/>
      <c r="MZQ38" s="66"/>
      <c r="MZR38" s="66"/>
      <c r="MZS38" s="66"/>
      <c r="MZT38" s="66"/>
      <c r="MZU38" s="66"/>
      <c r="MZV38" s="66"/>
      <c r="MZW38" s="66"/>
      <c r="MZX38" s="66"/>
      <c r="MZY38" s="66"/>
      <c r="MZZ38" s="66"/>
      <c r="NAA38" s="66"/>
      <c r="NAB38" s="66"/>
      <c r="NAC38" s="66"/>
      <c r="NAD38" s="66"/>
      <c r="NAE38" s="66"/>
      <c r="NAF38" s="66"/>
      <c r="NAG38" s="66"/>
      <c r="NAH38" s="66"/>
      <c r="NAI38" s="66"/>
      <c r="NAJ38" s="66"/>
      <c r="NAK38" s="66"/>
      <c r="NAL38" s="66"/>
      <c r="NAM38" s="66"/>
      <c r="NAN38" s="66"/>
      <c r="NAO38" s="66"/>
      <c r="NAP38" s="66"/>
      <c r="NAQ38" s="66"/>
      <c r="NAR38" s="66"/>
      <c r="NAS38" s="66"/>
      <c r="NAT38" s="66"/>
      <c r="NAU38" s="66"/>
      <c r="NAV38" s="66"/>
      <c r="NAW38" s="66"/>
      <c r="NAX38" s="66"/>
      <c r="NAY38" s="66"/>
      <c r="NAZ38" s="66"/>
      <c r="NBA38" s="66"/>
      <c r="NBB38" s="66"/>
      <c r="NBC38" s="66"/>
      <c r="NBD38" s="66"/>
      <c r="NBE38" s="66"/>
      <c r="NBF38" s="66"/>
      <c r="NBG38" s="66"/>
      <c r="NBH38" s="66"/>
      <c r="NBI38" s="66"/>
      <c r="NBJ38" s="66"/>
      <c r="NBK38" s="66"/>
      <c r="NBL38" s="66"/>
      <c r="NBM38" s="66"/>
      <c r="NBN38" s="66"/>
      <c r="NBO38" s="66"/>
      <c r="NBP38" s="66"/>
      <c r="NBQ38" s="66"/>
      <c r="NBR38" s="66"/>
      <c r="NBS38" s="66"/>
      <c r="NBT38" s="66"/>
      <c r="NBU38" s="66"/>
      <c r="NBV38" s="66"/>
      <c r="NBW38" s="66"/>
      <c r="NBX38" s="66"/>
      <c r="NBY38" s="66"/>
      <c r="NBZ38" s="66"/>
      <c r="NCA38" s="66"/>
      <c r="NCB38" s="66"/>
      <c r="NCC38" s="66"/>
      <c r="NCD38" s="66"/>
      <c r="NCE38" s="66"/>
      <c r="NCF38" s="66"/>
      <c r="NCG38" s="66"/>
      <c r="NCH38" s="66"/>
      <c r="NCI38" s="66"/>
      <c r="NCJ38" s="66"/>
      <c r="NCK38" s="66"/>
      <c r="NCL38" s="66"/>
      <c r="NCM38" s="66"/>
      <c r="NCN38" s="66"/>
      <c r="NCO38" s="66"/>
      <c r="NCP38" s="66"/>
      <c r="NCQ38" s="66"/>
      <c r="NCR38" s="66"/>
      <c r="NCS38" s="66"/>
      <c r="NCT38" s="66"/>
      <c r="NCU38" s="66"/>
      <c r="NCV38" s="66"/>
      <c r="NCW38" s="66"/>
      <c r="NCX38" s="66"/>
      <c r="NCY38" s="66"/>
      <c r="NCZ38" s="66"/>
      <c r="NDA38" s="66"/>
      <c r="NDB38" s="66"/>
      <c r="NDC38" s="66"/>
      <c r="NDD38" s="66"/>
      <c r="NDE38" s="66"/>
      <c r="NDF38" s="66"/>
      <c r="NDG38" s="66"/>
      <c r="NDH38" s="66"/>
      <c r="NDI38" s="66"/>
      <c r="NDJ38" s="66"/>
      <c r="NDK38" s="66"/>
      <c r="NDL38" s="66"/>
      <c r="NDM38" s="66"/>
      <c r="NDN38" s="66"/>
      <c r="NDO38" s="66"/>
      <c r="NDP38" s="66"/>
      <c r="NDQ38" s="66"/>
      <c r="NDR38" s="66"/>
      <c r="NDS38" s="66"/>
      <c r="NDT38" s="66"/>
      <c r="NDU38" s="66"/>
      <c r="NDV38" s="66"/>
      <c r="NDW38" s="66"/>
      <c r="NDX38" s="66"/>
      <c r="NDY38" s="66"/>
      <c r="NDZ38" s="66"/>
      <c r="NEA38" s="66"/>
      <c r="NEB38" s="66"/>
      <c r="NEC38" s="66"/>
      <c r="NED38" s="66"/>
      <c r="NEE38" s="66"/>
      <c r="NEF38" s="66"/>
      <c r="NEG38" s="66"/>
      <c r="NEH38" s="66"/>
      <c r="NEI38" s="66"/>
      <c r="NEJ38" s="66"/>
      <c r="NEK38" s="66"/>
      <c r="NEL38" s="66"/>
      <c r="NEM38" s="66"/>
      <c r="NEN38" s="66"/>
      <c r="NEO38" s="66"/>
      <c r="NEP38" s="66"/>
      <c r="NEQ38" s="66"/>
      <c r="NER38" s="66"/>
      <c r="NES38" s="66"/>
      <c r="NET38" s="66"/>
      <c r="NEU38" s="66"/>
      <c r="NEV38" s="66"/>
      <c r="NEW38" s="66"/>
      <c r="NEX38" s="66"/>
      <c r="NEY38" s="66"/>
      <c r="NEZ38" s="66"/>
      <c r="NFA38" s="66"/>
      <c r="NFB38" s="66"/>
      <c r="NFC38" s="66"/>
      <c r="NFD38" s="66"/>
      <c r="NFE38" s="66"/>
      <c r="NFF38" s="66"/>
      <c r="NFG38" s="66"/>
      <c r="NFH38" s="66"/>
      <c r="NFI38" s="66"/>
      <c r="NFJ38" s="66"/>
      <c r="NFK38" s="66"/>
      <c r="NFL38" s="66"/>
      <c r="NFM38" s="66"/>
      <c r="NFN38" s="66"/>
      <c r="NFO38" s="66"/>
      <c r="NFP38" s="66"/>
      <c r="NFQ38" s="66"/>
      <c r="NFR38" s="66"/>
      <c r="NFS38" s="66"/>
      <c r="NFT38" s="66"/>
      <c r="NFU38" s="66"/>
      <c r="NFV38" s="66"/>
      <c r="NFW38" s="66"/>
      <c r="NFX38" s="66"/>
      <c r="NFY38" s="66"/>
      <c r="NFZ38" s="66"/>
      <c r="NGA38" s="66"/>
      <c r="NGB38" s="66"/>
      <c r="NGC38" s="66"/>
      <c r="NGD38" s="66"/>
      <c r="NGE38" s="66"/>
      <c r="NGF38" s="66"/>
      <c r="NGG38" s="66"/>
      <c r="NGH38" s="66"/>
      <c r="NGI38" s="66"/>
      <c r="NGJ38" s="66"/>
      <c r="NGK38" s="66"/>
      <c r="NGL38" s="66"/>
      <c r="NGM38" s="66"/>
      <c r="NGN38" s="66"/>
      <c r="NGO38" s="66"/>
      <c r="NGP38" s="66"/>
      <c r="NGQ38" s="66"/>
      <c r="NGR38" s="66"/>
      <c r="NGS38" s="66"/>
      <c r="NGT38" s="66"/>
      <c r="NGU38" s="66"/>
      <c r="NGV38" s="66"/>
      <c r="NGW38" s="66"/>
      <c r="NGX38" s="66"/>
      <c r="NGY38" s="66"/>
      <c r="NGZ38" s="66"/>
      <c r="NHA38" s="66"/>
      <c r="NHB38" s="66"/>
      <c r="NHC38" s="66"/>
      <c r="NHD38" s="66"/>
      <c r="NHE38" s="66"/>
      <c r="NHF38" s="66"/>
      <c r="NHG38" s="66"/>
      <c r="NHH38" s="66"/>
      <c r="NHI38" s="66"/>
      <c r="NHJ38" s="66"/>
      <c r="NHK38" s="66"/>
      <c r="NHL38" s="66"/>
      <c r="NHM38" s="66"/>
      <c r="NHN38" s="66"/>
      <c r="NHO38" s="66"/>
      <c r="NHP38" s="66"/>
      <c r="NHQ38" s="66"/>
      <c r="NHR38" s="66"/>
      <c r="NHS38" s="66"/>
      <c r="NHT38" s="66"/>
      <c r="NHU38" s="66"/>
      <c r="NHV38" s="66"/>
      <c r="NHW38" s="66"/>
      <c r="NHX38" s="66"/>
      <c r="NHY38" s="66"/>
      <c r="NHZ38" s="66"/>
      <c r="NIA38" s="66"/>
      <c r="NIB38" s="66"/>
      <c r="NIC38" s="66"/>
      <c r="NID38" s="66"/>
      <c r="NIE38" s="66"/>
      <c r="NIF38" s="66"/>
      <c r="NIG38" s="66"/>
      <c r="NIH38" s="66"/>
      <c r="NII38" s="66"/>
      <c r="NIJ38" s="66"/>
      <c r="NIK38" s="66"/>
      <c r="NIL38" s="66"/>
      <c r="NIM38" s="66"/>
      <c r="NIN38" s="66"/>
      <c r="NIO38" s="66"/>
      <c r="NIP38" s="66"/>
      <c r="NIQ38" s="66"/>
      <c r="NIR38" s="66"/>
      <c r="NIS38" s="66"/>
      <c r="NIT38" s="66"/>
      <c r="NIU38" s="66"/>
      <c r="NIV38" s="66"/>
      <c r="NIW38" s="66"/>
      <c r="NIX38" s="66"/>
      <c r="NIY38" s="66"/>
      <c r="NIZ38" s="66"/>
      <c r="NJA38" s="66"/>
      <c r="NJB38" s="66"/>
      <c r="NJC38" s="66"/>
      <c r="NJD38" s="66"/>
      <c r="NJE38" s="66"/>
      <c r="NJF38" s="66"/>
      <c r="NJG38" s="66"/>
      <c r="NJH38" s="66"/>
      <c r="NJI38" s="66"/>
      <c r="NJJ38" s="66"/>
      <c r="NJK38" s="66"/>
      <c r="NJL38" s="66"/>
      <c r="NJM38" s="66"/>
      <c r="NJN38" s="66"/>
      <c r="NJO38" s="66"/>
      <c r="NJP38" s="66"/>
      <c r="NJQ38" s="66"/>
      <c r="NJR38" s="66"/>
      <c r="NJS38" s="66"/>
      <c r="NJT38" s="66"/>
      <c r="NJU38" s="66"/>
      <c r="NJV38" s="66"/>
      <c r="NJW38" s="66"/>
      <c r="NJX38" s="66"/>
      <c r="NJY38" s="66"/>
      <c r="NJZ38" s="66"/>
      <c r="NKA38" s="66"/>
      <c r="NKB38" s="66"/>
      <c r="NKC38" s="66"/>
      <c r="NKD38" s="66"/>
      <c r="NKE38" s="66"/>
      <c r="NKF38" s="66"/>
      <c r="NKG38" s="66"/>
      <c r="NKH38" s="66"/>
      <c r="NKI38" s="66"/>
      <c r="NKJ38" s="66"/>
      <c r="NKK38" s="66"/>
      <c r="NKL38" s="66"/>
      <c r="NKM38" s="66"/>
      <c r="NKN38" s="66"/>
      <c r="NKO38" s="66"/>
      <c r="NKP38" s="66"/>
      <c r="NKQ38" s="66"/>
      <c r="NKR38" s="66"/>
      <c r="NKS38" s="66"/>
      <c r="NKT38" s="66"/>
      <c r="NKU38" s="66"/>
      <c r="NKV38" s="66"/>
      <c r="NKW38" s="66"/>
      <c r="NKX38" s="66"/>
      <c r="NKY38" s="66"/>
      <c r="NKZ38" s="66"/>
      <c r="NLA38" s="66"/>
      <c r="NLB38" s="66"/>
      <c r="NLC38" s="66"/>
      <c r="NLD38" s="66"/>
      <c r="NLE38" s="66"/>
      <c r="NLF38" s="66"/>
      <c r="NLG38" s="66"/>
      <c r="NLH38" s="66"/>
      <c r="NLI38" s="66"/>
      <c r="NLJ38" s="66"/>
      <c r="NLK38" s="66"/>
      <c r="NLL38" s="66"/>
      <c r="NLM38" s="66"/>
      <c r="NLN38" s="66"/>
      <c r="NLO38" s="66"/>
      <c r="NLP38" s="66"/>
      <c r="NLQ38" s="66"/>
      <c r="NLR38" s="66"/>
      <c r="NLS38" s="66"/>
      <c r="NLT38" s="66"/>
      <c r="NLU38" s="66"/>
      <c r="NLV38" s="66"/>
      <c r="NLW38" s="66"/>
      <c r="NLX38" s="66"/>
      <c r="NLY38" s="66"/>
      <c r="NLZ38" s="66"/>
      <c r="NMA38" s="66"/>
      <c r="NMB38" s="66"/>
      <c r="NMC38" s="66"/>
      <c r="NMD38" s="66"/>
      <c r="NME38" s="66"/>
      <c r="NMF38" s="66"/>
      <c r="NMG38" s="66"/>
      <c r="NMH38" s="66"/>
      <c r="NMI38" s="66"/>
      <c r="NMJ38" s="66"/>
      <c r="NMK38" s="66"/>
      <c r="NML38" s="66"/>
      <c r="NMM38" s="66"/>
      <c r="NMN38" s="66"/>
      <c r="NMO38" s="66"/>
      <c r="NMP38" s="66"/>
      <c r="NMQ38" s="66"/>
      <c r="NMR38" s="66"/>
      <c r="NMS38" s="66"/>
      <c r="NMT38" s="66"/>
      <c r="NMU38" s="66"/>
      <c r="NMV38" s="66"/>
      <c r="NMW38" s="66"/>
      <c r="NMX38" s="66"/>
      <c r="NMY38" s="66"/>
      <c r="NMZ38" s="66"/>
      <c r="NNA38" s="66"/>
      <c r="NNB38" s="66"/>
      <c r="NNC38" s="66"/>
      <c r="NND38" s="66"/>
      <c r="NNE38" s="66"/>
      <c r="NNF38" s="66"/>
      <c r="NNG38" s="66"/>
      <c r="NNH38" s="66"/>
      <c r="NNI38" s="66"/>
      <c r="NNJ38" s="66"/>
      <c r="NNK38" s="66"/>
      <c r="NNL38" s="66"/>
      <c r="NNM38" s="66"/>
      <c r="NNN38" s="66"/>
      <c r="NNO38" s="66"/>
      <c r="NNP38" s="66"/>
      <c r="NNQ38" s="66"/>
      <c r="NNR38" s="66"/>
      <c r="NNS38" s="66"/>
      <c r="NNT38" s="66"/>
      <c r="NNU38" s="66"/>
      <c r="NNV38" s="66"/>
      <c r="NNW38" s="66"/>
      <c r="NNX38" s="66"/>
      <c r="NNY38" s="66"/>
      <c r="NNZ38" s="66"/>
      <c r="NOA38" s="66"/>
      <c r="NOB38" s="66"/>
      <c r="NOC38" s="66"/>
      <c r="NOD38" s="66"/>
      <c r="NOE38" s="66"/>
      <c r="NOF38" s="66"/>
      <c r="NOG38" s="66"/>
      <c r="NOH38" s="66"/>
      <c r="NOI38" s="66"/>
      <c r="NOJ38" s="66"/>
      <c r="NOK38" s="66"/>
      <c r="NOL38" s="66"/>
      <c r="NOM38" s="66"/>
      <c r="NON38" s="66"/>
      <c r="NOO38" s="66"/>
      <c r="NOP38" s="66"/>
      <c r="NOQ38" s="66"/>
      <c r="NOR38" s="66"/>
      <c r="NOS38" s="66"/>
      <c r="NOT38" s="66"/>
      <c r="NOU38" s="66"/>
      <c r="NOV38" s="66"/>
      <c r="NOW38" s="66"/>
      <c r="NOX38" s="66"/>
      <c r="NOY38" s="66"/>
      <c r="NOZ38" s="66"/>
      <c r="NPA38" s="66"/>
      <c r="NPB38" s="66"/>
      <c r="NPC38" s="66"/>
      <c r="NPD38" s="66"/>
      <c r="NPE38" s="66"/>
      <c r="NPF38" s="66"/>
      <c r="NPG38" s="66"/>
      <c r="NPH38" s="66"/>
      <c r="NPI38" s="66"/>
      <c r="NPJ38" s="66"/>
      <c r="NPK38" s="66"/>
      <c r="NPL38" s="66"/>
      <c r="NPM38" s="66"/>
      <c r="NPN38" s="66"/>
      <c r="NPO38" s="66"/>
      <c r="NPP38" s="66"/>
      <c r="NPQ38" s="66"/>
      <c r="NPR38" s="66"/>
      <c r="NPS38" s="66"/>
      <c r="NPT38" s="66"/>
      <c r="NPU38" s="66"/>
      <c r="NPV38" s="66"/>
      <c r="NPW38" s="66"/>
      <c r="NPX38" s="66"/>
      <c r="NPY38" s="66"/>
      <c r="NPZ38" s="66"/>
      <c r="NQA38" s="66"/>
      <c r="NQB38" s="66"/>
      <c r="NQC38" s="66"/>
      <c r="NQD38" s="66"/>
      <c r="NQE38" s="66"/>
      <c r="NQF38" s="66"/>
      <c r="NQG38" s="66"/>
      <c r="NQH38" s="66"/>
      <c r="NQI38" s="66"/>
      <c r="NQJ38" s="66"/>
      <c r="NQK38" s="66"/>
      <c r="NQL38" s="66"/>
      <c r="NQM38" s="66"/>
      <c r="NQN38" s="66"/>
      <c r="NQO38" s="66"/>
      <c r="NQP38" s="66"/>
      <c r="NQQ38" s="66"/>
      <c r="NQR38" s="66"/>
      <c r="NQS38" s="66"/>
      <c r="NQT38" s="66"/>
      <c r="NQU38" s="66"/>
      <c r="NQV38" s="66"/>
      <c r="NQW38" s="66"/>
      <c r="NQX38" s="66"/>
      <c r="NQY38" s="66"/>
      <c r="NQZ38" s="66"/>
      <c r="NRA38" s="66"/>
      <c r="NRB38" s="66"/>
      <c r="NRC38" s="66"/>
      <c r="NRD38" s="66"/>
      <c r="NRE38" s="66"/>
      <c r="NRF38" s="66"/>
      <c r="NRG38" s="66"/>
      <c r="NRH38" s="66"/>
      <c r="NRI38" s="66"/>
      <c r="NRJ38" s="66"/>
      <c r="NRK38" s="66"/>
      <c r="NRL38" s="66"/>
      <c r="NRM38" s="66"/>
      <c r="NRN38" s="66"/>
      <c r="NRO38" s="66"/>
      <c r="NRP38" s="66"/>
      <c r="NRQ38" s="66"/>
      <c r="NRR38" s="66"/>
      <c r="NRS38" s="66"/>
      <c r="NRT38" s="66"/>
      <c r="NRU38" s="66"/>
      <c r="NRV38" s="66"/>
      <c r="NRW38" s="66"/>
      <c r="NRX38" s="66"/>
      <c r="NRY38" s="66"/>
      <c r="NRZ38" s="66"/>
      <c r="NSA38" s="66"/>
      <c r="NSB38" s="66"/>
      <c r="NSC38" s="66"/>
      <c r="NSD38" s="66"/>
      <c r="NSE38" s="66"/>
      <c r="NSF38" s="66"/>
      <c r="NSG38" s="66"/>
      <c r="NSH38" s="66"/>
      <c r="NSI38" s="66"/>
      <c r="NSJ38" s="66"/>
      <c r="NSK38" s="66"/>
      <c r="NSL38" s="66"/>
      <c r="NSM38" s="66"/>
      <c r="NSN38" s="66"/>
      <c r="NSO38" s="66"/>
      <c r="NSP38" s="66"/>
      <c r="NSQ38" s="66"/>
      <c r="NSR38" s="66"/>
      <c r="NSS38" s="66"/>
      <c r="NST38" s="66"/>
      <c r="NSU38" s="66"/>
      <c r="NSV38" s="66"/>
      <c r="NSW38" s="66"/>
      <c r="NSX38" s="66"/>
      <c r="NSY38" s="66"/>
      <c r="NSZ38" s="66"/>
      <c r="NTA38" s="66"/>
      <c r="NTB38" s="66"/>
      <c r="NTC38" s="66"/>
      <c r="NTD38" s="66"/>
      <c r="NTE38" s="66"/>
      <c r="NTF38" s="66"/>
      <c r="NTG38" s="66"/>
      <c r="NTH38" s="66"/>
      <c r="NTI38" s="66"/>
      <c r="NTJ38" s="66"/>
      <c r="NTK38" s="66"/>
      <c r="NTL38" s="66"/>
      <c r="NTM38" s="66"/>
      <c r="NTN38" s="66"/>
      <c r="NTO38" s="66"/>
      <c r="NTP38" s="66"/>
      <c r="NTQ38" s="66"/>
      <c r="NTR38" s="66"/>
      <c r="NTS38" s="66"/>
      <c r="NTT38" s="66"/>
      <c r="NTU38" s="66"/>
      <c r="NTV38" s="66"/>
      <c r="NTW38" s="66"/>
      <c r="NTX38" s="66"/>
      <c r="NTY38" s="66"/>
      <c r="NTZ38" s="66"/>
      <c r="NUA38" s="66"/>
      <c r="NUB38" s="66"/>
      <c r="NUC38" s="66"/>
      <c r="NUD38" s="66"/>
      <c r="NUE38" s="66"/>
      <c r="NUF38" s="66"/>
      <c r="NUG38" s="66"/>
      <c r="NUH38" s="66"/>
      <c r="NUI38" s="66"/>
      <c r="NUJ38" s="66"/>
      <c r="NUK38" s="66"/>
      <c r="NUL38" s="66"/>
      <c r="NUM38" s="66"/>
      <c r="NUN38" s="66"/>
      <c r="NUO38" s="66"/>
      <c r="NUP38" s="66"/>
      <c r="NUQ38" s="66"/>
      <c r="NUR38" s="66"/>
      <c r="NUS38" s="66"/>
      <c r="NUT38" s="66"/>
      <c r="NUU38" s="66"/>
      <c r="NUV38" s="66"/>
      <c r="NUW38" s="66"/>
      <c r="NUX38" s="66"/>
      <c r="NUY38" s="66"/>
      <c r="NUZ38" s="66"/>
      <c r="NVA38" s="66"/>
      <c r="NVB38" s="66"/>
      <c r="NVC38" s="66"/>
      <c r="NVD38" s="66"/>
      <c r="NVE38" s="66"/>
      <c r="NVF38" s="66"/>
      <c r="NVG38" s="66"/>
      <c r="NVH38" s="66"/>
      <c r="NVI38" s="66"/>
      <c r="NVJ38" s="66"/>
      <c r="NVK38" s="66"/>
      <c r="NVL38" s="66"/>
      <c r="NVM38" s="66"/>
      <c r="NVN38" s="66"/>
      <c r="NVO38" s="66"/>
      <c r="NVP38" s="66"/>
      <c r="NVQ38" s="66"/>
      <c r="NVR38" s="66"/>
      <c r="NVS38" s="66"/>
      <c r="NVT38" s="66"/>
      <c r="NVU38" s="66"/>
      <c r="NVV38" s="66"/>
      <c r="NVW38" s="66"/>
      <c r="NVX38" s="66"/>
      <c r="NVY38" s="66"/>
      <c r="NVZ38" s="66"/>
      <c r="NWA38" s="66"/>
      <c r="NWB38" s="66"/>
      <c r="NWC38" s="66"/>
      <c r="NWD38" s="66"/>
      <c r="NWE38" s="66"/>
      <c r="NWF38" s="66"/>
      <c r="NWG38" s="66"/>
      <c r="NWH38" s="66"/>
      <c r="NWI38" s="66"/>
      <c r="NWJ38" s="66"/>
      <c r="NWK38" s="66"/>
      <c r="NWL38" s="66"/>
      <c r="NWM38" s="66"/>
      <c r="NWN38" s="66"/>
      <c r="NWO38" s="66"/>
      <c r="NWP38" s="66"/>
      <c r="NWQ38" s="66"/>
      <c r="NWR38" s="66"/>
      <c r="NWS38" s="66"/>
      <c r="NWT38" s="66"/>
      <c r="NWU38" s="66"/>
      <c r="NWV38" s="66"/>
      <c r="NWW38" s="66"/>
      <c r="NWX38" s="66"/>
      <c r="NWY38" s="66"/>
      <c r="NWZ38" s="66"/>
      <c r="NXA38" s="66"/>
      <c r="NXB38" s="66"/>
      <c r="NXC38" s="66"/>
      <c r="NXD38" s="66"/>
      <c r="NXE38" s="66"/>
      <c r="NXF38" s="66"/>
      <c r="NXG38" s="66"/>
      <c r="NXH38" s="66"/>
      <c r="NXI38" s="66"/>
      <c r="NXJ38" s="66"/>
      <c r="NXK38" s="66"/>
      <c r="NXL38" s="66"/>
      <c r="NXM38" s="66"/>
      <c r="NXN38" s="66"/>
      <c r="NXO38" s="66"/>
      <c r="NXP38" s="66"/>
      <c r="NXQ38" s="66"/>
      <c r="NXR38" s="66"/>
      <c r="NXS38" s="66"/>
      <c r="NXT38" s="66"/>
      <c r="NXU38" s="66"/>
      <c r="NXV38" s="66"/>
      <c r="NXW38" s="66"/>
      <c r="NXX38" s="66"/>
      <c r="NXY38" s="66"/>
      <c r="NXZ38" s="66"/>
      <c r="NYA38" s="66"/>
      <c r="NYB38" s="66"/>
      <c r="NYC38" s="66"/>
      <c r="NYD38" s="66"/>
      <c r="NYE38" s="66"/>
      <c r="NYF38" s="66"/>
      <c r="NYG38" s="66"/>
      <c r="NYH38" s="66"/>
      <c r="NYI38" s="66"/>
      <c r="NYJ38" s="66"/>
      <c r="NYK38" s="66"/>
      <c r="NYL38" s="66"/>
      <c r="NYM38" s="66"/>
      <c r="NYN38" s="66"/>
      <c r="NYO38" s="66"/>
      <c r="NYP38" s="66"/>
      <c r="NYQ38" s="66"/>
      <c r="NYR38" s="66"/>
      <c r="NYS38" s="66"/>
      <c r="NYT38" s="66"/>
      <c r="NYU38" s="66"/>
      <c r="NYV38" s="66"/>
      <c r="NYW38" s="66"/>
      <c r="NYX38" s="66"/>
      <c r="NYY38" s="66"/>
      <c r="NYZ38" s="66"/>
      <c r="NZA38" s="66"/>
      <c r="NZB38" s="66"/>
      <c r="NZC38" s="66"/>
      <c r="NZD38" s="66"/>
      <c r="NZE38" s="66"/>
      <c r="NZF38" s="66"/>
      <c r="NZG38" s="66"/>
      <c r="NZH38" s="66"/>
      <c r="NZI38" s="66"/>
      <c r="NZJ38" s="66"/>
      <c r="NZK38" s="66"/>
      <c r="NZL38" s="66"/>
      <c r="NZM38" s="66"/>
      <c r="NZN38" s="66"/>
      <c r="NZO38" s="66"/>
      <c r="NZP38" s="66"/>
      <c r="NZQ38" s="66"/>
      <c r="NZR38" s="66"/>
      <c r="NZS38" s="66"/>
      <c r="NZT38" s="66"/>
      <c r="NZU38" s="66"/>
      <c r="NZV38" s="66"/>
      <c r="NZW38" s="66"/>
      <c r="NZX38" s="66"/>
      <c r="NZY38" s="66"/>
      <c r="NZZ38" s="66"/>
      <c r="OAA38" s="66"/>
      <c r="OAB38" s="66"/>
      <c r="OAC38" s="66"/>
      <c r="OAD38" s="66"/>
      <c r="OAE38" s="66"/>
      <c r="OAF38" s="66"/>
      <c r="OAG38" s="66"/>
      <c r="OAH38" s="66"/>
      <c r="OAI38" s="66"/>
      <c r="OAJ38" s="66"/>
      <c r="OAK38" s="66"/>
      <c r="OAL38" s="66"/>
      <c r="OAM38" s="66"/>
      <c r="OAN38" s="66"/>
      <c r="OAO38" s="66"/>
      <c r="OAP38" s="66"/>
      <c r="OAQ38" s="66"/>
      <c r="OAR38" s="66"/>
      <c r="OAS38" s="66"/>
      <c r="OAT38" s="66"/>
      <c r="OAU38" s="66"/>
      <c r="OAV38" s="66"/>
      <c r="OAW38" s="66"/>
      <c r="OAX38" s="66"/>
      <c r="OAY38" s="66"/>
      <c r="OAZ38" s="66"/>
      <c r="OBA38" s="66"/>
      <c r="OBB38" s="66"/>
      <c r="OBC38" s="66"/>
      <c r="OBD38" s="66"/>
      <c r="OBE38" s="66"/>
      <c r="OBF38" s="66"/>
      <c r="OBG38" s="66"/>
      <c r="OBH38" s="66"/>
      <c r="OBI38" s="66"/>
      <c r="OBJ38" s="66"/>
      <c r="OBK38" s="66"/>
      <c r="OBL38" s="66"/>
      <c r="OBM38" s="66"/>
      <c r="OBN38" s="66"/>
      <c r="OBO38" s="66"/>
      <c r="OBP38" s="66"/>
      <c r="OBQ38" s="66"/>
      <c r="OBR38" s="66"/>
      <c r="OBS38" s="66"/>
      <c r="OBT38" s="66"/>
      <c r="OBU38" s="66"/>
      <c r="OBV38" s="66"/>
      <c r="OBW38" s="66"/>
      <c r="OBX38" s="66"/>
      <c r="OBY38" s="66"/>
      <c r="OBZ38" s="66"/>
      <c r="OCA38" s="66"/>
      <c r="OCB38" s="66"/>
      <c r="OCC38" s="66"/>
      <c r="OCD38" s="66"/>
      <c r="OCE38" s="66"/>
      <c r="OCF38" s="66"/>
      <c r="OCG38" s="66"/>
      <c r="OCH38" s="66"/>
      <c r="OCI38" s="66"/>
      <c r="OCJ38" s="66"/>
      <c r="OCK38" s="66"/>
      <c r="OCL38" s="66"/>
      <c r="OCM38" s="66"/>
      <c r="OCN38" s="66"/>
      <c r="OCO38" s="66"/>
      <c r="OCP38" s="66"/>
      <c r="OCQ38" s="66"/>
      <c r="OCR38" s="66"/>
      <c r="OCS38" s="66"/>
      <c r="OCT38" s="66"/>
      <c r="OCU38" s="66"/>
      <c r="OCV38" s="66"/>
      <c r="OCW38" s="66"/>
      <c r="OCX38" s="66"/>
      <c r="OCY38" s="66"/>
      <c r="OCZ38" s="66"/>
      <c r="ODA38" s="66"/>
      <c r="ODB38" s="66"/>
      <c r="ODC38" s="66"/>
      <c r="ODD38" s="66"/>
      <c r="ODE38" s="66"/>
      <c r="ODF38" s="66"/>
      <c r="ODG38" s="66"/>
      <c r="ODH38" s="66"/>
      <c r="ODI38" s="66"/>
      <c r="ODJ38" s="66"/>
      <c r="ODK38" s="66"/>
      <c r="ODL38" s="66"/>
      <c r="ODM38" s="66"/>
      <c r="ODN38" s="66"/>
      <c r="ODO38" s="66"/>
      <c r="ODP38" s="66"/>
      <c r="ODQ38" s="66"/>
      <c r="ODR38" s="66"/>
      <c r="ODS38" s="66"/>
      <c r="ODT38" s="66"/>
      <c r="ODU38" s="66"/>
      <c r="ODV38" s="66"/>
      <c r="ODW38" s="66"/>
      <c r="ODX38" s="66"/>
      <c r="ODY38" s="66"/>
      <c r="ODZ38" s="66"/>
      <c r="OEA38" s="66"/>
      <c r="OEB38" s="66"/>
      <c r="OEC38" s="66"/>
      <c r="OED38" s="66"/>
      <c r="OEE38" s="66"/>
      <c r="OEF38" s="66"/>
      <c r="OEG38" s="66"/>
      <c r="OEH38" s="66"/>
      <c r="OEI38" s="66"/>
      <c r="OEJ38" s="66"/>
      <c r="OEK38" s="66"/>
      <c r="OEL38" s="66"/>
      <c r="OEM38" s="66"/>
      <c r="OEN38" s="66"/>
      <c r="OEO38" s="66"/>
      <c r="OEP38" s="66"/>
      <c r="OEQ38" s="66"/>
      <c r="OER38" s="66"/>
      <c r="OES38" s="66"/>
      <c r="OET38" s="66"/>
      <c r="OEU38" s="66"/>
      <c r="OEV38" s="66"/>
      <c r="OEW38" s="66"/>
      <c r="OEX38" s="66"/>
      <c r="OEY38" s="66"/>
      <c r="OEZ38" s="66"/>
      <c r="OFA38" s="66"/>
      <c r="OFB38" s="66"/>
      <c r="OFC38" s="66"/>
      <c r="OFD38" s="66"/>
      <c r="OFE38" s="66"/>
      <c r="OFF38" s="66"/>
      <c r="OFG38" s="66"/>
      <c r="OFH38" s="66"/>
      <c r="OFI38" s="66"/>
      <c r="OFJ38" s="66"/>
      <c r="OFK38" s="66"/>
      <c r="OFL38" s="66"/>
      <c r="OFM38" s="66"/>
      <c r="OFN38" s="66"/>
      <c r="OFO38" s="66"/>
      <c r="OFP38" s="66"/>
      <c r="OFQ38" s="66"/>
      <c r="OFR38" s="66"/>
      <c r="OFS38" s="66"/>
      <c r="OFT38" s="66"/>
      <c r="OFU38" s="66"/>
      <c r="OFV38" s="66"/>
      <c r="OFW38" s="66"/>
      <c r="OFX38" s="66"/>
      <c r="OFY38" s="66"/>
      <c r="OFZ38" s="66"/>
      <c r="OGA38" s="66"/>
      <c r="OGB38" s="66"/>
      <c r="OGC38" s="66"/>
      <c r="OGD38" s="66"/>
      <c r="OGE38" s="66"/>
      <c r="OGF38" s="66"/>
      <c r="OGG38" s="66"/>
      <c r="OGH38" s="66"/>
      <c r="OGI38" s="66"/>
      <c r="OGJ38" s="66"/>
      <c r="OGK38" s="66"/>
      <c r="OGL38" s="66"/>
      <c r="OGM38" s="66"/>
      <c r="OGN38" s="66"/>
      <c r="OGO38" s="66"/>
      <c r="OGP38" s="66"/>
      <c r="OGQ38" s="66"/>
      <c r="OGR38" s="66"/>
      <c r="OGS38" s="66"/>
      <c r="OGT38" s="66"/>
      <c r="OGU38" s="66"/>
      <c r="OGV38" s="66"/>
      <c r="OGW38" s="66"/>
      <c r="OGX38" s="66"/>
      <c r="OGY38" s="66"/>
      <c r="OGZ38" s="66"/>
      <c r="OHA38" s="66"/>
      <c r="OHB38" s="66"/>
      <c r="OHC38" s="66"/>
      <c r="OHD38" s="66"/>
      <c r="OHE38" s="66"/>
      <c r="OHF38" s="66"/>
      <c r="OHG38" s="66"/>
      <c r="OHH38" s="66"/>
      <c r="OHI38" s="66"/>
      <c r="OHJ38" s="66"/>
      <c r="OHK38" s="66"/>
      <c r="OHL38" s="66"/>
      <c r="OHM38" s="66"/>
      <c r="OHN38" s="66"/>
      <c r="OHO38" s="66"/>
      <c r="OHP38" s="66"/>
      <c r="OHQ38" s="66"/>
      <c r="OHR38" s="66"/>
      <c r="OHS38" s="66"/>
      <c r="OHT38" s="66"/>
      <c r="OHU38" s="66"/>
      <c r="OHV38" s="66"/>
      <c r="OHW38" s="66"/>
      <c r="OHX38" s="66"/>
      <c r="OHY38" s="66"/>
      <c r="OHZ38" s="66"/>
      <c r="OIA38" s="66"/>
      <c r="OIB38" s="66"/>
      <c r="OIC38" s="66"/>
      <c r="OID38" s="66"/>
      <c r="OIE38" s="66"/>
      <c r="OIF38" s="66"/>
      <c r="OIG38" s="66"/>
      <c r="OIH38" s="66"/>
      <c r="OII38" s="66"/>
      <c r="OIJ38" s="66"/>
      <c r="OIK38" s="66"/>
      <c r="OIL38" s="66"/>
      <c r="OIM38" s="66"/>
      <c r="OIN38" s="66"/>
      <c r="OIO38" s="66"/>
      <c r="OIP38" s="66"/>
      <c r="OIQ38" s="66"/>
      <c r="OIR38" s="66"/>
      <c r="OIS38" s="66"/>
      <c r="OIT38" s="66"/>
      <c r="OIU38" s="66"/>
      <c r="OIV38" s="66"/>
      <c r="OIW38" s="66"/>
      <c r="OIX38" s="66"/>
      <c r="OIY38" s="66"/>
      <c r="OIZ38" s="66"/>
      <c r="OJA38" s="66"/>
      <c r="OJB38" s="66"/>
      <c r="OJC38" s="66"/>
      <c r="OJD38" s="66"/>
      <c r="OJE38" s="66"/>
      <c r="OJF38" s="66"/>
      <c r="OJG38" s="66"/>
      <c r="OJH38" s="66"/>
      <c r="OJI38" s="66"/>
      <c r="OJJ38" s="66"/>
      <c r="OJK38" s="66"/>
      <c r="OJL38" s="66"/>
      <c r="OJM38" s="66"/>
      <c r="OJN38" s="66"/>
      <c r="OJO38" s="66"/>
      <c r="OJP38" s="66"/>
      <c r="OJQ38" s="66"/>
      <c r="OJR38" s="66"/>
      <c r="OJS38" s="66"/>
      <c r="OJT38" s="66"/>
      <c r="OJU38" s="66"/>
      <c r="OJV38" s="66"/>
      <c r="OJW38" s="66"/>
      <c r="OJX38" s="66"/>
      <c r="OJY38" s="66"/>
      <c r="OJZ38" s="66"/>
      <c r="OKA38" s="66"/>
      <c r="OKB38" s="66"/>
      <c r="OKC38" s="66"/>
      <c r="OKD38" s="66"/>
      <c r="OKE38" s="66"/>
      <c r="OKF38" s="66"/>
      <c r="OKG38" s="66"/>
      <c r="OKH38" s="66"/>
      <c r="OKI38" s="66"/>
      <c r="OKJ38" s="66"/>
      <c r="OKK38" s="66"/>
      <c r="OKL38" s="66"/>
      <c r="OKM38" s="66"/>
      <c r="OKN38" s="66"/>
      <c r="OKO38" s="66"/>
      <c r="OKP38" s="66"/>
      <c r="OKQ38" s="66"/>
      <c r="OKR38" s="66"/>
      <c r="OKS38" s="66"/>
      <c r="OKT38" s="66"/>
      <c r="OKU38" s="66"/>
      <c r="OKV38" s="66"/>
      <c r="OKW38" s="66"/>
      <c r="OKX38" s="66"/>
      <c r="OKY38" s="66"/>
      <c r="OKZ38" s="66"/>
      <c r="OLA38" s="66"/>
      <c r="OLB38" s="66"/>
      <c r="OLC38" s="66"/>
      <c r="OLD38" s="66"/>
      <c r="OLE38" s="66"/>
      <c r="OLF38" s="66"/>
      <c r="OLG38" s="66"/>
      <c r="OLH38" s="66"/>
      <c r="OLI38" s="66"/>
      <c r="OLJ38" s="66"/>
      <c r="OLK38" s="66"/>
      <c r="OLL38" s="66"/>
      <c r="OLM38" s="66"/>
      <c r="OLN38" s="66"/>
      <c r="OLO38" s="66"/>
      <c r="OLP38" s="66"/>
      <c r="OLQ38" s="66"/>
      <c r="OLR38" s="66"/>
      <c r="OLS38" s="66"/>
      <c r="OLT38" s="66"/>
      <c r="OLU38" s="66"/>
      <c r="OLV38" s="66"/>
      <c r="OLW38" s="66"/>
      <c r="OLX38" s="66"/>
      <c r="OLY38" s="66"/>
      <c r="OLZ38" s="66"/>
      <c r="OMA38" s="66"/>
      <c r="OMB38" s="66"/>
      <c r="OMC38" s="66"/>
      <c r="OMD38" s="66"/>
      <c r="OME38" s="66"/>
      <c r="OMF38" s="66"/>
      <c r="OMG38" s="66"/>
      <c r="OMH38" s="66"/>
      <c r="OMI38" s="66"/>
      <c r="OMJ38" s="66"/>
      <c r="OMK38" s="66"/>
      <c r="OML38" s="66"/>
      <c r="OMM38" s="66"/>
      <c r="OMN38" s="66"/>
      <c r="OMO38" s="66"/>
      <c r="OMP38" s="66"/>
      <c r="OMQ38" s="66"/>
      <c r="OMR38" s="66"/>
      <c r="OMS38" s="66"/>
      <c r="OMT38" s="66"/>
      <c r="OMU38" s="66"/>
      <c r="OMV38" s="66"/>
      <c r="OMW38" s="66"/>
      <c r="OMX38" s="66"/>
      <c r="OMY38" s="66"/>
      <c r="OMZ38" s="66"/>
      <c r="ONA38" s="66"/>
      <c r="ONB38" s="66"/>
      <c r="ONC38" s="66"/>
      <c r="OND38" s="66"/>
      <c r="ONE38" s="66"/>
      <c r="ONF38" s="66"/>
      <c r="ONG38" s="66"/>
      <c r="ONH38" s="66"/>
      <c r="ONI38" s="66"/>
      <c r="ONJ38" s="66"/>
      <c r="ONK38" s="66"/>
      <c r="ONL38" s="66"/>
      <c r="ONM38" s="66"/>
      <c r="ONN38" s="66"/>
      <c r="ONO38" s="66"/>
      <c r="ONP38" s="66"/>
      <c r="ONQ38" s="66"/>
      <c r="ONR38" s="66"/>
      <c r="ONS38" s="66"/>
      <c r="ONT38" s="66"/>
      <c r="ONU38" s="66"/>
      <c r="ONV38" s="66"/>
      <c r="ONW38" s="66"/>
      <c r="ONX38" s="66"/>
      <c r="ONY38" s="66"/>
      <c r="ONZ38" s="66"/>
      <c r="OOA38" s="66"/>
      <c r="OOB38" s="66"/>
      <c r="OOC38" s="66"/>
      <c r="OOD38" s="66"/>
      <c r="OOE38" s="66"/>
      <c r="OOF38" s="66"/>
      <c r="OOG38" s="66"/>
      <c r="OOH38" s="66"/>
      <c r="OOI38" s="66"/>
      <c r="OOJ38" s="66"/>
      <c r="OOK38" s="66"/>
      <c r="OOL38" s="66"/>
      <c r="OOM38" s="66"/>
      <c r="OON38" s="66"/>
      <c r="OOO38" s="66"/>
      <c r="OOP38" s="66"/>
      <c r="OOQ38" s="66"/>
      <c r="OOR38" s="66"/>
      <c r="OOS38" s="66"/>
      <c r="OOT38" s="66"/>
      <c r="OOU38" s="66"/>
      <c r="OOV38" s="66"/>
      <c r="OOW38" s="66"/>
      <c r="OOX38" s="66"/>
      <c r="OOY38" s="66"/>
      <c r="OOZ38" s="66"/>
      <c r="OPA38" s="66"/>
      <c r="OPB38" s="66"/>
      <c r="OPC38" s="66"/>
      <c r="OPD38" s="66"/>
      <c r="OPE38" s="66"/>
      <c r="OPF38" s="66"/>
      <c r="OPG38" s="66"/>
      <c r="OPH38" s="66"/>
      <c r="OPI38" s="66"/>
      <c r="OPJ38" s="66"/>
      <c r="OPK38" s="66"/>
      <c r="OPL38" s="66"/>
      <c r="OPM38" s="66"/>
      <c r="OPN38" s="66"/>
      <c r="OPO38" s="66"/>
      <c r="OPP38" s="66"/>
      <c r="OPQ38" s="66"/>
      <c r="OPR38" s="66"/>
      <c r="OPS38" s="66"/>
      <c r="OPT38" s="66"/>
      <c r="OPU38" s="66"/>
      <c r="OPV38" s="66"/>
      <c r="OPW38" s="66"/>
      <c r="OPX38" s="66"/>
      <c r="OPY38" s="66"/>
      <c r="OPZ38" s="66"/>
      <c r="OQA38" s="66"/>
      <c r="OQB38" s="66"/>
      <c r="OQC38" s="66"/>
      <c r="OQD38" s="66"/>
      <c r="OQE38" s="66"/>
      <c r="OQF38" s="66"/>
      <c r="OQG38" s="66"/>
      <c r="OQH38" s="66"/>
      <c r="OQI38" s="66"/>
      <c r="OQJ38" s="66"/>
      <c r="OQK38" s="66"/>
      <c r="OQL38" s="66"/>
      <c r="OQM38" s="66"/>
      <c r="OQN38" s="66"/>
      <c r="OQO38" s="66"/>
      <c r="OQP38" s="66"/>
      <c r="OQQ38" s="66"/>
      <c r="OQR38" s="66"/>
      <c r="OQS38" s="66"/>
      <c r="OQT38" s="66"/>
      <c r="OQU38" s="66"/>
      <c r="OQV38" s="66"/>
      <c r="OQW38" s="66"/>
      <c r="OQX38" s="66"/>
      <c r="OQY38" s="66"/>
      <c r="OQZ38" s="66"/>
      <c r="ORA38" s="66"/>
      <c r="ORB38" s="66"/>
      <c r="ORC38" s="66"/>
      <c r="ORD38" s="66"/>
      <c r="ORE38" s="66"/>
      <c r="ORF38" s="66"/>
      <c r="ORG38" s="66"/>
      <c r="ORH38" s="66"/>
      <c r="ORI38" s="66"/>
      <c r="ORJ38" s="66"/>
      <c r="ORK38" s="66"/>
      <c r="ORL38" s="66"/>
      <c r="ORM38" s="66"/>
      <c r="ORN38" s="66"/>
      <c r="ORO38" s="66"/>
      <c r="ORP38" s="66"/>
      <c r="ORQ38" s="66"/>
      <c r="ORR38" s="66"/>
      <c r="ORS38" s="66"/>
      <c r="ORT38" s="66"/>
      <c r="ORU38" s="66"/>
      <c r="ORV38" s="66"/>
      <c r="ORW38" s="66"/>
      <c r="ORX38" s="66"/>
      <c r="ORY38" s="66"/>
      <c r="ORZ38" s="66"/>
      <c r="OSA38" s="66"/>
      <c r="OSB38" s="66"/>
      <c r="OSC38" s="66"/>
      <c r="OSD38" s="66"/>
      <c r="OSE38" s="66"/>
      <c r="OSF38" s="66"/>
      <c r="OSG38" s="66"/>
      <c r="OSH38" s="66"/>
      <c r="OSI38" s="66"/>
      <c r="OSJ38" s="66"/>
      <c r="OSK38" s="66"/>
      <c r="OSL38" s="66"/>
      <c r="OSM38" s="66"/>
      <c r="OSN38" s="66"/>
      <c r="OSO38" s="66"/>
      <c r="OSP38" s="66"/>
      <c r="OSQ38" s="66"/>
      <c r="OSR38" s="66"/>
      <c r="OSS38" s="66"/>
      <c r="OST38" s="66"/>
      <c r="OSU38" s="66"/>
      <c r="OSV38" s="66"/>
      <c r="OSW38" s="66"/>
      <c r="OSX38" s="66"/>
      <c r="OSY38" s="66"/>
      <c r="OSZ38" s="66"/>
      <c r="OTA38" s="66"/>
      <c r="OTB38" s="66"/>
      <c r="OTC38" s="66"/>
      <c r="OTD38" s="66"/>
      <c r="OTE38" s="66"/>
      <c r="OTF38" s="66"/>
      <c r="OTG38" s="66"/>
      <c r="OTH38" s="66"/>
      <c r="OTI38" s="66"/>
      <c r="OTJ38" s="66"/>
      <c r="OTK38" s="66"/>
      <c r="OTL38" s="66"/>
      <c r="OTM38" s="66"/>
      <c r="OTN38" s="66"/>
      <c r="OTO38" s="66"/>
      <c r="OTP38" s="66"/>
      <c r="OTQ38" s="66"/>
      <c r="OTR38" s="66"/>
      <c r="OTS38" s="66"/>
      <c r="OTT38" s="66"/>
      <c r="OTU38" s="66"/>
      <c r="OTV38" s="66"/>
      <c r="OTW38" s="66"/>
      <c r="OTX38" s="66"/>
      <c r="OTY38" s="66"/>
      <c r="OTZ38" s="66"/>
      <c r="OUA38" s="66"/>
      <c r="OUB38" s="66"/>
      <c r="OUC38" s="66"/>
      <c r="OUD38" s="66"/>
      <c r="OUE38" s="66"/>
      <c r="OUF38" s="66"/>
      <c r="OUG38" s="66"/>
      <c r="OUH38" s="66"/>
      <c r="OUI38" s="66"/>
      <c r="OUJ38" s="66"/>
      <c r="OUK38" s="66"/>
      <c r="OUL38" s="66"/>
      <c r="OUM38" s="66"/>
      <c r="OUN38" s="66"/>
      <c r="OUO38" s="66"/>
      <c r="OUP38" s="66"/>
      <c r="OUQ38" s="66"/>
      <c r="OUR38" s="66"/>
      <c r="OUS38" s="66"/>
      <c r="OUT38" s="66"/>
      <c r="OUU38" s="66"/>
      <c r="OUV38" s="66"/>
      <c r="OUW38" s="66"/>
      <c r="OUX38" s="66"/>
      <c r="OUY38" s="66"/>
      <c r="OUZ38" s="66"/>
      <c r="OVA38" s="66"/>
      <c r="OVB38" s="66"/>
      <c r="OVC38" s="66"/>
      <c r="OVD38" s="66"/>
      <c r="OVE38" s="66"/>
      <c r="OVF38" s="66"/>
      <c r="OVG38" s="66"/>
      <c r="OVH38" s="66"/>
      <c r="OVI38" s="66"/>
      <c r="OVJ38" s="66"/>
      <c r="OVK38" s="66"/>
      <c r="OVL38" s="66"/>
      <c r="OVM38" s="66"/>
      <c r="OVN38" s="66"/>
      <c r="OVO38" s="66"/>
      <c r="OVP38" s="66"/>
      <c r="OVQ38" s="66"/>
      <c r="OVR38" s="66"/>
      <c r="OVS38" s="66"/>
      <c r="OVT38" s="66"/>
      <c r="OVU38" s="66"/>
      <c r="OVV38" s="66"/>
      <c r="OVW38" s="66"/>
      <c r="OVX38" s="66"/>
      <c r="OVY38" s="66"/>
      <c r="OVZ38" s="66"/>
      <c r="OWA38" s="66"/>
      <c r="OWB38" s="66"/>
      <c r="OWC38" s="66"/>
      <c r="OWD38" s="66"/>
      <c r="OWE38" s="66"/>
      <c r="OWF38" s="66"/>
      <c r="OWG38" s="66"/>
      <c r="OWH38" s="66"/>
      <c r="OWI38" s="66"/>
      <c r="OWJ38" s="66"/>
      <c r="OWK38" s="66"/>
      <c r="OWL38" s="66"/>
      <c r="OWM38" s="66"/>
      <c r="OWN38" s="66"/>
      <c r="OWO38" s="66"/>
      <c r="OWP38" s="66"/>
      <c r="OWQ38" s="66"/>
      <c r="OWR38" s="66"/>
      <c r="OWS38" s="66"/>
      <c r="OWT38" s="66"/>
      <c r="OWU38" s="66"/>
      <c r="OWV38" s="66"/>
      <c r="OWW38" s="66"/>
      <c r="OWX38" s="66"/>
      <c r="OWY38" s="66"/>
      <c r="OWZ38" s="66"/>
      <c r="OXA38" s="66"/>
      <c r="OXB38" s="66"/>
      <c r="OXC38" s="66"/>
      <c r="OXD38" s="66"/>
      <c r="OXE38" s="66"/>
      <c r="OXF38" s="66"/>
      <c r="OXG38" s="66"/>
      <c r="OXH38" s="66"/>
      <c r="OXI38" s="66"/>
      <c r="OXJ38" s="66"/>
      <c r="OXK38" s="66"/>
      <c r="OXL38" s="66"/>
      <c r="OXM38" s="66"/>
      <c r="OXN38" s="66"/>
      <c r="OXO38" s="66"/>
      <c r="OXP38" s="66"/>
      <c r="OXQ38" s="66"/>
      <c r="OXR38" s="66"/>
      <c r="OXS38" s="66"/>
      <c r="OXT38" s="66"/>
      <c r="OXU38" s="66"/>
      <c r="OXV38" s="66"/>
      <c r="OXW38" s="66"/>
      <c r="OXX38" s="66"/>
      <c r="OXY38" s="66"/>
      <c r="OXZ38" s="66"/>
      <c r="OYA38" s="66"/>
      <c r="OYB38" s="66"/>
      <c r="OYC38" s="66"/>
      <c r="OYD38" s="66"/>
      <c r="OYE38" s="66"/>
      <c r="OYF38" s="66"/>
      <c r="OYG38" s="66"/>
      <c r="OYH38" s="66"/>
      <c r="OYI38" s="66"/>
      <c r="OYJ38" s="66"/>
      <c r="OYK38" s="66"/>
      <c r="OYL38" s="66"/>
      <c r="OYM38" s="66"/>
      <c r="OYN38" s="66"/>
      <c r="OYO38" s="66"/>
      <c r="OYP38" s="66"/>
      <c r="OYQ38" s="66"/>
      <c r="OYR38" s="66"/>
      <c r="OYS38" s="66"/>
      <c r="OYT38" s="66"/>
      <c r="OYU38" s="66"/>
      <c r="OYV38" s="66"/>
      <c r="OYW38" s="66"/>
      <c r="OYX38" s="66"/>
      <c r="OYY38" s="66"/>
      <c r="OYZ38" s="66"/>
      <c r="OZA38" s="66"/>
      <c r="OZB38" s="66"/>
      <c r="OZC38" s="66"/>
      <c r="OZD38" s="66"/>
      <c r="OZE38" s="66"/>
      <c r="OZF38" s="66"/>
      <c r="OZG38" s="66"/>
      <c r="OZH38" s="66"/>
      <c r="OZI38" s="66"/>
      <c r="OZJ38" s="66"/>
      <c r="OZK38" s="66"/>
      <c r="OZL38" s="66"/>
      <c r="OZM38" s="66"/>
      <c r="OZN38" s="66"/>
      <c r="OZO38" s="66"/>
      <c r="OZP38" s="66"/>
      <c r="OZQ38" s="66"/>
      <c r="OZR38" s="66"/>
      <c r="OZS38" s="66"/>
      <c r="OZT38" s="66"/>
      <c r="OZU38" s="66"/>
      <c r="OZV38" s="66"/>
      <c r="OZW38" s="66"/>
      <c r="OZX38" s="66"/>
      <c r="OZY38" s="66"/>
      <c r="OZZ38" s="66"/>
      <c r="PAA38" s="66"/>
      <c r="PAB38" s="66"/>
      <c r="PAC38" s="66"/>
      <c r="PAD38" s="66"/>
      <c r="PAE38" s="66"/>
      <c r="PAF38" s="66"/>
      <c r="PAG38" s="66"/>
      <c r="PAH38" s="66"/>
      <c r="PAI38" s="66"/>
      <c r="PAJ38" s="66"/>
      <c r="PAK38" s="66"/>
      <c r="PAL38" s="66"/>
      <c r="PAM38" s="66"/>
      <c r="PAN38" s="66"/>
      <c r="PAO38" s="66"/>
      <c r="PAP38" s="66"/>
      <c r="PAQ38" s="66"/>
      <c r="PAR38" s="66"/>
      <c r="PAS38" s="66"/>
      <c r="PAT38" s="66"/>
      <c r="PAU38" s="66"/>
      <c r="PAV38" s="66"/>
      <c r="PAW38" s="66"/>
      <c r="PAX38" s="66"/>
      <c r="PAY38" s="66"/>
      <c r="PAZ38" s="66"/>
      <c r="PBA38" s="66"/>
      <c r="PBB38" s="66"/>
      <c r="PBC38" s="66"/>
      <c r="PBD38" s="66"/>
      <c r="PBE38" s="66"/>
      <c r="PBF38" s="66"/>
      <c r="PBG38" s="66"/>
      <c r="PBH38" s="66"/>
      <c r="PBI38" s="66"/>
      <c r="PBJ38" s="66"/>
      <c r="PBK38" s="66"/>
      <c r="PBL38" s="66"/>
      <c r="PBM38" s="66"/>
      <c r="PBN38" s="66"/>
      <c r="PBO38" s="66"/>
      <c r="PBP38" s="66"/>
      <c r="PBQ38" s="66"/>
      <c r="PBR38" s="66"/>
      <c r="PBS38" s="66"/>
      <c r="PBT38" s="66"/>
      <c r="PBU38" s="66"/>
      <c r="PBV38" s="66"/>
      <c r="PBW38" s="66"/>
      <c r="PBX38" s="66"/>
      <c r="PBY38" s="66"/>
      <c r="PBZ38" s="66"/>
      <c r="PCA38" s="66"/>
      <c r="PCB38" s="66"/>
      <c r="PCC38" s="66"/>
      <c r="PCD38" s="66"/>
      <c r="PCE38" s="66"/>
      <c r="PCF38" s="66"/>
      <c r="PCG38" s="66"/>
      <c r="PCH38" s="66"/>
      <c r="PCI38" s="66"/>
      <c r="PCJ38" s="66"/>
      <c r="PCK38" s="66"/>
      <c r="PCL38" s="66"/>
      <c r="PCM38" s="66"/>
      <c r="PCN38" s="66"/>
      <c r="PCO38" s="66"/>
      <c r="PCP38" s="66"/>
      <c r="PCQ38" s="66"/>
      <c r="PCR38" s="66"/>
      <c r="PCS38" s="66"/>
      <c r="PCT38" s="66"/>
      <c r="PCU38" s="66"/>
      <c r="PCV38" s="66"/>
      <c r="PCW38" s="66"/>
      <c r="PCX38" s="66"/>
      <c r="PCY38" s="66"/>
      <c r="PCZ38" s="66"/>
      <c r="PDA38" s="66"/>
      <c r="PDB38" s="66"/>
      <c r="PDC38" s="66"/>
      <c r="PDD38" s="66"/>
      <c r="PDE38" s="66"/>
      <c r="PDF38" s="66"/>
      <c r="PDG38" s="66"/>
      <c r="PDH38" s="66"/>
      <c r="PDI38" s="66"/>
      <c r="PDJ38" s="66"/>
      <c r="PDK38" s="66"/>
      <c r="PDL38" s="66"/>
      <c r="PDM38" s="66"/>
      <c r="PDN38" s="66"/>
      <c r="PDO38" s="66"/>
      <c r="PDP38" s="66"/>
      <c r="PDQ38" s="66"/>
      <c r="PDR38" s="66"/>
      <c r="PDS38" s="66"/>
      <c r="PDT38" s="66"/>
      <c r="PDU38" s="66"/>
      <c r="PDV38" s="66"/>
      <c r="PDW38" s="66"/>
      <c r="PDX38" s="66"/>
      <c r="PDY38" s="66"/>
      <c r="PDZ38" s="66"/>
      <c r="PEA38" s="66"/>
      <c r="PEB38" s="66"/>
      <c r="PEC38" s="66"/>
      <c r="PED38" s="66"/>
      <c r="PEE38" s="66"/>
      <c r="PEF38" s="66"/>
      <c r="PEG38" s="66"/>
      <c r="PEH38" s="66"/>
      <c r="PEI38" s="66"/>
      <c r="PEJ38" s="66"/>
      <c r="PEK38" s="66"/>
      <c r="PEL38" s="66"/>
      <c r="PEM38" s="66"/>
      <c r="PEN38" s="66"/>
      <c r="PEO38" s="66"/>
      <c r="PEP38" s="66"/>
      <c r="PEQ38" s="66"/>
      <c r="PER38" s="66"/>
      <c r="PES38" s="66"/>
      <c r="PET38" s="66"/>
      <c r="PEU38" s="66"/>
      <c r="PEV38" s="66"/>
      <c r="PEW38" s="66"/>
      <c r="PEX38" s="66"/>
      <c r="PEY38" s="66"/>
      <c r="PEZ38" s="66"/>
      <c r="PFA38" s="66"/>
      <c r="PFB38" s="66"/>
      <c r="PFC38" s="66"/>
      <c r="PFD38" s="66"/>
      <c r="PFE38" s="66"/>
      <c r="PFF38" s="66"/>
      <c r="PFG38" s="66"/>
      <c r="PFH38" s="66"/>
      <c r="PFI38" s="66"/>
      <c r="PFJ38" s="66"/>
      <c r="PFK38" s="66"/>
      <c r="PFL38" s="66"/>
      <c r="PFM38" s="66"/>
      <c r="PFN38" s="66"/>
      <c r="PFO38" s="66"/>
      <c r="PFP38" s="66"/>
      <c r="PFQ38" s="66"/>
      <c r="PFR38" s="66"/>
      <c r="PFS38" s="66"/>
      <c r="PFT38" s="66"/>
      <c r="PFU38" s="66"/>
      <c r="PFV38" s="66"/>
      <c r="PFW38" s="66"/>
      <c r="PFX38" s="66"/>
      <c r="PFY38" s="66"/>
      <c r="PFZ38" s="66"/>
      <c r="PGA38" s="66"/>
      <c r="PGB38" s="66"/>
      <c r="PGC38" s="66"/>
      <c r="PGD38" s="66"/>
      <c r="PGE38" s="66"/>
      <c r="PGF38" s="66"/>
      <c r="PGG38" s="66"/>
      <c r="PGH38" s="66"/>
      <c r="PGI38" s="66"/>
      <c r="PGJ38" s="66"/>
      <c r="PGK38" s="66"/>
      <c r="PGL38" s="66"/>
      <c r="PGM38" s="66"/>
      <c r="PGN38" s="66"/>
      <c r="PGO38" s="66"/>
      <c r="PGP38" s="66"/>
      <c r="PGQ38" s="66"/>
      <c r="PGR38" s="66"/>
      <c r="PGS38" s="66"/>
      <c r="PGT38" s="66"/>
      <c r="PGU38" s="66"/>
      <c r="PGV38" s="66"/>
      <c r="PGW38" s="66"/>
      <c r="PGX38" s="66"/>
      <c r="PGY38" s="66"/>
      <c r="PGZ38" s="66"/>
      <c r="PHA38" s="66"/>
      <c r="PHB38" s="66"/>
      <c r="PHC38" s="66"/>
      <c r="PHD38" s="66"/>
      <c r="PHE38" s="66"/>
      <c r="PHF38" s="66"/>
      <c r="PHG38" s="66"/>
      <c r="PHH38" s="66"/>
      <c r="PHI38" s="66"/>
      <c r="PHJ38" s="66"/>
      <c r="PHK38" s="66"/>
      <c r="PHL38" s="66"/>
      <c r="PHM38" s="66"/>
      <c r="PHN38" s="66"/>
      <c r="PHO38" s="66"/>
      <c r="PHP38" s="66"/>
      <c r="PHQ38" s="66"/>
      <c r="PHR38" s="66"/>
      <c r="PHS38" s="66"/>
      <c r="PHT38" s="66"/>
      <c r="PHU38" s="66"/>
      <c r="PHV38" s="66"/>
      <c r="PHW38" s="66"/>
      <c r="PHX38" s="66"/>
      <c r="PHY38" s="66"/>
      <c r="PHZ38" s="66"/>
      <c r="PIA38" s="66"/>
      <c r="PIB38" s="66"/>
      <c r="PIC38" s="66"/>
      <c r="PID38" s="66"/>
      <c r="PIE38" s="66"/>
      <c r="PIF38" s="66"/>
      <c r="PIG38" s="66"/>
      <c r="PIH38" s="66"/>
      <c r="PII38" s="66"/>
      <c r="PIJ38" s="66"/>
      <c r="PIK38" s="66"/>
      <c r="PIL38" s="66"/>
      <c r="PIM38" s="66"/>
      <c r="PIN38" s="66"/>
      <c r="PIO38" s="66"/>
      <c r="PIP38" s="66"/>
      <c r="PIQ38" s="66"/>
      <c r="PIR38" s="66"/>
      <c r="PIS38" s="66"/>
      <c r="PIT38" s="66"/>
      <c r="PIU38" s="66"/>
      <c r="PIV38" s="66"/>
      <c r="PIW38" s="66"/>
      <c r="PIX38" s="66"/>
      <c r="PIY38" s="66"/>
      <c r="PIZ38" s="66"/>
      <c r="PJA38" s="66"/>
      <c r="PJB38" s="66"/>
      <c r="PJC38" s="66"/>
      <c r="PJD38" s="66"/>
      <c r="PJE38" s="66"/>
      <c r="PJF38" s="66"/>
      <c r="PJG38" s="66"/>
      <c r="PJH38" s="66"/>
      <c r="PJI38" s="66"/>
      <c r="PJJ38" s="66"/>
      <c r="PJK38" s="66"/>
      <c r="PJL38" s="66"/>
      <c r="PJM38" s="66"/>
      <c r="PJN38" s="66"/>
      <c r="PJO38" s="66"/>
      <c r="PJP38" s="66"/>
      <c r="PJQ38" s="66"/>
      <c r="PJR38" s="66"/>
      <c r="PJS38" s="66"/>
      <c r="PJT38" s="66"/>
      <c r="PJU38" s="66"/>
      <c r="PJV38" s="66"/>
      <c r="PJW38" s="66"/>
      <c r="PJX38" s="66"/>
      <c r="PJY38" s="66"/>
      <c r="PJZ38" s="66"/>
      <c r="PKA38" s="66"/>
      <c r="PKB38" s="66"/>
      <c r="PKC38" s="66"/>
      <c r="PKD38" s="66"/>
      <c r="PKE38" s="66"/>
      <c r="PKF38" s="66"/>
      <c r="PKG38" s="66"/>
      <c r="PKH38" s="66"/>
      <c r="PKI38" s="66"/>
      <c r="PKJ38" s="66"/>
      <c r="PKK38" s="66"/>
      <c r="PKL38" s="66"/>
      <c r="PKM38" s="66"/>
      <c r="PKN38" s="66"/>
      <c r="PKO38" s="66"/>
      <c r="PKP38" s="66"/>
      <c r="PKQ38" s="66"/>
      <c r="PKR38" s="66"/>
      <c r="PKS38" s="66"/>
      <c r="PKT38" s="66"/>
      <c r="PKU38" s="66"/>
      <c r="PKV38" s="66"/>
      <c r="PKW38" s="66"/>
      <c r="PKX38" s="66"/>
      <c r="PKY38" s="66"/>
      <c r="PKZ38" s="66"/>
      <c r="PLA38" s="66"/>
      <c r="PLB38" s="66"/>
      <c r="PLC38" s="66"/>
      <c r="PLD38" s="66"/>
      <c r="PLE38" s="66"/>
      <c r="PLF38" s="66"/>
      <c r="PLG38" s="66"/>
      <c r="PLH38" s="66"/>
      <c r="PLI38" s="66"/>
      <c r="PLJ38" s="66"/>
      <c r="PLK38" s="66"/>
      <c r="PLL38" s="66"/>
      <c r="PLM38" s="66"/>
      <c r="PLN38" s="66"/>
      <c r="PLO38" s="66"/>
      <c r="PLP38" s="66"/>
      <c r="PLQ38" s="66"/>
      <c r="PLR38" s="66"/>
      <c r="PLS38" s="66"/>
      <c r="PLT38" s="66"/>
      <c r="PLU38" s="66"/>
      <c r="PLV38" s="66"/>
      <c r="PLW38" s="66"/>
      <c r="PLX38" s="66"/>
      <c r="PLY38" s="66"/>
      <c r="PLZ38" s="66"/>
      <c r="PMA38" s="66"/>
      <c r="PMB38" s="66"/>
      <c r="PMC38" s="66"/>
      <c r="PMD38" s="66"/>
      <c r="PME38" s="66"/>
      <c r="PMF38" s="66"/>
      <c r="PMG38" s="66"/>
      <c r="PMH38" s="66"/>
      <c r="PMI38" s="66"/>
      <c r="PMJ38" s="66"/>
      <c r="PMK38" s="66"/>
      <c r="PML38" s="66"/>
      <c r="PMM38" s="66"/>
      <c r="PMN38" s="66"/>
      <c r="PMO38" s="66"/>
      <c r="PMP38" s="66"/>
      <c r="PMQ38" s="66"/>
      <c r="PMR38" s="66"/>
      <c r="PMS38" s="66"/>
      <c r="PMT38" s="66"/>
      <c r="PMU38" s="66"/>
      <c r="PMV38" s="66"/>
      <c r="PMW38" s="66"/>
      <c r="PMX38" s="66"/>
      <c r="PMY38" s="66"/>
      <c r="PMZ38" s="66"/>
      <c r="PNA38" s="66"/>
      <c r="PNB38" s="66"/>
      <c r="PNC38" s="66"/>
      <c r="PND38" s="66"/>
      <c r="PNE38" s="66"/>
      <c r="PNF38" s="66"/>
      <c r="PNG38" s="66"/>
      <c r="PNH38" s="66"/>
      <c r="PNI38" s="66"/>
      <c r="PNJ38" s="66"/>
      <c r="PNK38" s="66"/>
      <c r="PNL38" s="66"/>
      <c r="PNM38" s="66"/>
      <c r="PNN38" s="66"/>
      <c r="PNO38" s="66"/>
      <c r="PNP38" s="66"/>
      <c r="PNQ38" s="66"/>
      <c r="PNR38" s="66"/>
      <c r="PNS38" s="66"/>
      <c r="PNT38" s="66"/>
      <c r="PNU38" s="66"/>
      <c r="PNV38" s="66"/>
      <c r="PNW38" s="66"/>
      <c r="PNX38" s="66"/>
      <c r="PNY38" s="66"/>
      <c r="PNZ38" s="66"/>
      <c r="POA38" s="66"/>
      <c r="POB38" s="66"/>
      <c r="POC38" s="66"/>
      <c r="POD38" s="66"/>
      <c r="POE38" s="66"/>
      <c r="POF38" s="66"/>
      <c r="POG38" s="66"/>
      <c r="POH38" s="66"/>
      <c r="POI38" s="66"/>
      <c r="POJ38" s="66"/>
      <c r="POK38" s="66"/>
      <c r="POL38" s="66"/>
      <c r="POM38" s="66"/>
      <c r="PON38" s="66"/>
      <c r="POO38" s="66"/>
      <c r="POP38" s="66"/>
      <c r="POQ38" s="66"/>
      <c r="POR38" s="66"/>
      <c r="POS38" s="66"/>
      <c r="POT38" s="66"/>
      <c r="POU38" s="66"/>
      <c r="POV38" s="66"/>
      <c r="POW38" s="66"/>
      <c r="POX38" s="66"/>
      <c r="POY38" s="66"/>
      <c r="POZ38" s="66"/>
      <c r="PPA38" s="66"/>
      <c r="PPB38" s="66"/>
      <c r="PPC38" s="66"/>
      <c r="PPD38" s="66"/>
      <c r="PPE38" s="66"/>
      <c r="PPF38" s="66"/>
      <c r="PPG38" s="66"/>
      <c r="PPH38" s="66"/>
      <c r="PPI38" s="66"/>
      <c r="PPJ38" s="66"/>
      <c r="PPK38" s="66"/>
      <c r="PPL38" s="66"/>
      <c r="PPM38" s="66"/>
      <c r="PPN38" s="66"/>
      <c r="PPO38" s="66"/>
      <c r="PPP38" s="66"/>
      <c r="PPQ38" s="66"/>
      <c r="PPR38" s="66"/>
      <c r="PPS38" s="66"/>
      <c r="PPT38" s="66"/>
      <c r="PPU38" s="66"/>
      <c r="PPV38" s="66"/>
      <c r="PPW38" s="66"/>
      <c r="PPX38" s="66"/>
      <c r="PPY38" s="66"/>
      <c r="PPZ38" s="66"/>
      <c r="PQA38" s="66"/>
      <c r="PQB38" s="66"/>
      <c r="PQC38" s="66"/>
      <c r="PQD38" s="66"/>
      <c r="PQE38" s="66"/>
      <c r="PQF38" s="66"/>
      <c r="PQG38" s="66"/>
      <c r="PQH38" s="66"/>
      <c r="PQI38" s="66"/>
      <c r="PQJ38" s="66"/>
      <c r="PQK38" s="66"/>
      <c r="PQL38" s="66"/>
      <c r="PQM38" s="66"/>
      <c r="PQN38" s="66"/>
      <c r="PQO38" s="66"/>
      <c r="PQP38" s="66"/>
      <c r="PQQ38" s="66"/>
      <c r="PQR38" s="66"/>
      <c r="PQS38" s="66"/>
      <c r="PQT38" s="66"/>
      <c r="PQU38" s="66"/>
      <c r="PQV38" s="66"/>
      <c r="PQW38" s="66"/>
      <c r="PQX38" s="66"/>
      <c r="PQY38" s="66"/>
      <c r="PQZ38" s="66"/>
      <c r="PRA38" s="66"/>
      <c r="PRB38" s="66"/>
      <c r="PRC38" s="66"/>
      <c r="PRD38" s="66"/>
      <c r="PRE38" s="66"/>
      <c r="PRF38" s="66"/>
      <c r="PRG38" s="66"/>
      <c r="PRH38" s="66"/>
      <c r="PRI38" s="66"/>
      <c r="PRJ38" s="66"/>
      <c r="PRK38" s="66"/>
      <c r="PRL38" s="66"/>
      <c r="PRM38" s="66"/>
      <c r="PRN38" s="66"/>
      <c r="PRO38" s="66"/>
      <c r="PRP38" s="66"/>
      <c r="PRQ38" s="66"/>
      <c r="PRR38" s="66"/>
      <c r="PRS38" s="66"/>
      <c r="PRT38" s="66"/>
      <c r="PRU38" s="66"/>
      <c r="PRV38" s="66"/>
      <c r="PRW38" s="66"/>
      <c r="PRX38" s="66"/>
      <c r="PRY38" s="66"/>
      <c r="PRZ38" s="66"/>
      <c r="PSA38" s="66"/>
      <c r="PSB38" s="66"/>
      <c r="PSC38" s="66"/>
      <c r="PSD38" s="66"/>
      <c r="PSE38" s="66"/>
      <c r="PSF38" s="66"/>
      <c r="PSG38" s="66"/>
      <c r="PSH38" s="66"/>
      <c r="PSI38" s="66"/>
      <c r="PSJ38" s="66"/>
      <c r="PSK38" s="66"/>
      <c r="PSL38" s="66"/>
      <c r="PSM38" s="66"/>
      <c r="PSN38" s="66"/>
      <c r="PSO38" s="66"/>
      <c r="PSP38" s="66"/>
      <c r="PSQ38" s="66"/>
      <c r="PSR38" s="66"/>
      <c r="PSS38" s="66"/>
      <c r="PST38" s="66"/>
      <c r="PSU38" s="66"/>
      <c r="PSV38" s="66"/>
      <c r="PSW38" s="66"/>
      <c r="PSX38" s="66"/>
      <c r="PSY38" s="66"/>
      <c r="PSZ38" s="66"/>
      <c r="PTA38" s="66"/>
      <c r="PTB38" s="66"/>
      <c r="PTC38" s="66"/>
      <c r="PTD38" s="66"/>
      <c r="PTE38" s="66"/>
      <c r="PTF38" s="66"/>
      <c r="PTG38" s="66"/>
      <c r="PTH38" s="66"/>
      <c r="PTI38" s="66"/>
      <c r="PTJ38" s="66"/>
      <c r="PTK38" s="66"/>
      <c r="PTL38" s="66"/>
      <c r="PTM38" s="66"/>
      <c r="PTN38" s="66"/>
      <c r="PTO38" s="66"/>
      <c r="PTP38" s="66"/>
      <c r="PTQ38" s="66"/>
      <c r="PTR38" s="66"/>
      <c r="PTS38" s="66"/>
      <c r="PTT38" s="66"/>
      <c r="PTU38" s="66"/>
      <c r="PTV38" s="66"/>
      <c r="PTW38" s="66"/>
      <c r="PTX38" s="66"/>
      <c r="PTY38" s="66"/>
      <c r="PTZ38" s="66"/>
      <c r="PUA38" s="66"/>
      <c r="PUB38" s="66"/>
      <c r="PUC38" s="66"/>
      <c r="PUD38" s="66"/>
      <c r="PUE38" s="66"/>
      <c r="PUF38" s="66"/>
      <c r="PUG38" s="66"/>
      <c r="PUH38" s="66"/>
      <c r="PUI38" s="66"/>
      <c r="PUJ38" s="66"/>
      <c r="PUK38" s="66"/>
      <c r="PUL38" s="66"/>
      <c r="PUM38" s="66"/>
      <c r="PUN38" s="66"/>
      <c r="PUO38" s="66"/>
      <c r="PUP38" s="66"/>
      <c r="PUQ38" s="66"/>
      <c r="PUR38" s="66"/>
      <c r="PUS38" s="66"/>
      <c r="PUT38" s="66"/>
      <c r="PUU38" s="66"/>
      <c r="PUV38" s="66"/>
      <c r="PUW38" s="66"/>
      <c r="PUX38" s="66"/>
      <c r="PUY38" s="66"/>
      <c r="PUZ38" s="66"/>
      <c r="PVA38" s="66"/>
      <c r="PVB38" s="66"/>
      <c r="PVC38" s="66"/>
      <c r="PVD38" s="66"/>
      <c r="PVE38" s="66"/>
      <c r="PVF38" s="66"/>
      <c r="PVG38" s="66"/>
      <c r="PVH38" s="66"/>
      <c r="PVI38" s="66"/>
      <c r="PVJ38" s="66"/>
      <c r="PVK38" s="66"/>
      <c r="PVL38" s="66"/>
      <c r="PVM38" s="66"/>
      <c r="PVN38" s="66"/>
      <c r="PVO38" s="66"/>
      <c r="PVP38" s="66"/>
      <c r="PVQ38" s="66"/>
      <c r="PVR38" s="66"/>
      <c r="PVS38" s="66"/>
      <c r="PVT38" s="66"/>
      <c r="PVU38" s="66"/>
      <c r="PVV38" s="66"/>
      <c r="PVW38" s="66"/>
      <c r="PVX38" s="66"/>
      <c r="PVY38" s="66"/>
      <c r="PVZ38" s="66"/>
      <c r="PWA38" s="66"/>
      <c r="PWB38" s="66"/>
      <c r="PWC38" s="66"/>
      <c r="PWD38" s="66"/>
      <c r="PWE38" s="66"/>
      <c r="PWF38" s="66"/>
      <c r="PWG38" s="66"/>
      <c r="PWH38" s="66"/>
      <c r="PWI38" s="66"/>
      <c r="PWJ38" s="66"/>
      <c r="PWK38" s="66"/>
      <c r="PWL38" s="66"/>
      <c r="PWM38" s="66"/>
      <c r="PWN38" s="66"/>
      <c r="PWO38" s="66"/>
      <c r="PWP38" s="66"/>
      <c r="PWQ38" s="66"/>
      <c r="PWR38" s="66"/>
      <c r="PWS38" s="66"/>
      <c r="PWT38" s="66"/>
      <c r="PWU38" s="66"/>
      <c r="PWV38" s="66"/>
      <c r="PWW38" s="66"/>
      <c r="PWX38" s="66"/>
      <c r="PWY38" s="66"/>
      <c r="PWZ38" s="66"/>
      <c r="PXA38" s="66"/>
      <c r="PXB38" s="66"/>
      <c r="PXC38" s="66"/>
      <c r="PXD38" s="66"/>
      <c r="PXE38" s="66"/>
      <c r="PXF38" s="66"/>
      <c r="PXG38" s="66"/>
      <c r="PXH38" s="66"/>
      <c r="PXI38" s="66"/>
      <c r="PXJ38" s="66"/>
      <c r="PXK38" s="66"/>
      <c r="PXL38" s="66"/>
      <c r="PXM38" s="66"/>
      <c r="PXN38" s="66"/>
      <c r="PXO38" s="66"/>
      <c r="PXP38" s="66"/>
      <c r="PXQ38" s="66"/>
      <c r="PXR38" s="66"/>
      <c r="PXS38" s="66"/>
      <c r="PXT38" s="66"/>
      <c r="PXU38" s="66"/>
      <c r="PXV38" s="66"/>
      <c r="PXW38" s="66"/>
      <c r="PXX38" s="66"/>
      <c r="PXY38" s="66"/>
      <c r="PXZ38" s="66"/>
      <c r="PYA38" s="66"/>
      <c r="PYB38" s="66"/>
      <c r="PYC38" s="66"/>
      <c r="PYD38" s="66"/>
      <c r="PYE38" s="66"/>
      <c r="PYF38" s="66"/>
      <c r="PYG38" s="66"/>
      <c r="PYH38" s="66"/>
      <c r="PYI38" s="66"/>
      <c r="PYJ38" s="66"/>
      <c r="PYK38" s="66"/>
      <c r="PYL38" s="66"/>
      <c r="PYM38" s="66"/>
      <c r="PYN38" s="66"/>
      <c r="PYO38" s="66"/>
      <c r="PYP38" s="66"/>
      <c r="PYQ38" s="66"/>
      <c r="PYR38" s="66"/>
      <c r="PYS38" s="66"/>
      <c r="PYT38" s="66"/>
      <c r="PYU38" s="66"/>
      <c r="PYV38" s="66"/>
      <c r="PYW38" s="66"/>
      <c r="PYX38" s="66"/>
      <c r="PYY38" s="66"/>
      <c r="PYZ38" s="66"/>
      <c r="PZA38" s="66"/>
      <c r="PZB38" s="66"/>
      <c r="PZC38" s="66"/>
      <c r="PZD38" s="66"/>
      <c r="PZE38" s="66"/>
      <c r="PZF38" s="66"/>
      <c r="PZG38" s="66"/>
      <c r="PZH38" s="66"/>
      <c r="PZI38" s="66"/>
      <c r="PZJ38" s="66"/>
      <c r="PZK38" s="66"/>
      <c r="PZL38" s="66"/>
      <c r="PZM38" s="66"/>
      <c r="PZN38" s="66"/>
      <c r="PZO38" s="66"/>
      <c r="PZP38" s="66"/>
      <c r="PZQ38" s="66"/>
      <c r="PZR38" s="66"/>
      <c r="PZS38" s="66"/>
      <c r="PZT38" s="66"/>
      <c r="PZU38" s="66"/>
      <c r="PZV38" s="66"/>
      <c r="PZW38" s="66"/>
      <c r="PZX38" s="66"/>
      <c r="PZY38" s="66"/>
      <c r="PZZ38" s="66"/>
      <c r="QAA38" s="66"/>
      <c r="QAB38" s="66"/>
      <c r="QAC38" s="66"/>
      <c r="QAD38" s="66"/>
      <c r="QAE38" s="66"/>
      <c r="QAF38" s="66"/>
      <c r="QAG38" s="66"/>
      <c r="QAH38" s="66"/>
      <c r="QAI38" s="66"/>
      <c r="QAJ38" s="66"/>
      <c r="QAK38" s="66"/>
      <c r="QAL38" s="66"/>
      <c r="QAM38" s="66"/>
      <c r="QAN38" s="66"/>
      <c r="QAO38" s="66"/>
      <c r="QAP38" s="66"/>
      <c r="QAQ38" s="66"/>
      <c r="QAR38" s="66"/>
      <c r="QAS38" s="66"/>
      <c r="QAT38" s="66"/>
      <c r="QAU38" s="66"/>
      <c r="QAV38" s="66"/>
      <c r="QAW38" s="66"/>
      <c r="QAX38" s="66"/>
      <c r="QAY38" s="66"/>
      <c r="QAZ38" s="66"/>
      <c r="QBA38" s="66"/>
      <c r="QBB38" s="66"/>
      <c r="QBC38" s="66"/>
      <c r="QBD38" s="66"/>
      <c r="QBE38" s="66"/>
      <c r="QBF38" s="66"/>
      <c r="QBG38" s="66"/>
      <c r="QBH38" s="66"/>
      <c r="QBI38" s="66"/>
      <c r="QBJ38" s="66"/>
      <c r="QBK38" s="66"/>
      <c r="QBL38" s="66"/>
      <c r="QBM38" s="66"/>
      <c r="QBN38" s="66"/>
      <c r="QBO38" s="66"/>
      <c r="QBP38" s="66"/>
      <c r="QBQ38" s="66"/>
      <c r="QBR38" s="66"/>
      <c r="QBS38" s="66"/>
      <c r="QBT38" s="66"/>
      <c r="QBU38" s="66"/>
      <c r="QBV38" s="66"/>
      <c r="QBW38" s="66"/>
      <c r="QBX38" s="66"/>
      <c r="QBY38" s="66"/>
      <c r="QBZ38" s="66"/>
      <c r="QCA38" s="66"/>
      <c r="QCB38" s="66"/>
      <c r="QCC38" s="66"/>
      <c r="QCD38" s="66"/>
      <c r="QCE38" s="66"/>
      <c r="QCF38" s="66"/>
      <c r="QCG38" s="66"/>
      <c r="QCH38" s="66"/>
      <c r="QCI38" s="66"/>
      <c r="QCJ38" s="66"/>
      <c r="QCK38" s="66"/>
      <c r="QCL38" s="66"/>
      <c r="QCM38" s="66"/>
      <c r="QCN38" s="66"/>
      <c r="QCO38" s="66"/>
      <c r="QCP38" s="66"/>
      <c r="QCQ38" s="66"/>
      <c r="QCR38" s="66"/>
      <c r="QCS38" s="66"/>
      <c r="QCT38" s="66"/>
      <c r="QCU38" s="66"/>
      <c r="QCV38" s="66"/>
      <c r="QCW38" s="66"/>
      <c r="QCX38" s="66"/>
      <c r="QCY38" s="66"/>
      <c r="QCZ38" s="66"/>
      <c r="QDA38" s="66"/>
      <c r="QDB38" s="66"/>
      <c r="QDC38" s="66"/>
      <c r="QDD38" s="66"/>
      <c r="QDE38" s="66"/>
      <c r="QDF38" s="66"/>
      <c r="QDG38" s="66"/>
      <c r="QDH38" s="66"/>
      <c r="QDI38" s="66"/>
      <c r="QDJ38" s="66"/>
      <c r="QDK38" s="66"/>
      <c r="QDL38" s="66"/>
      <c r="QDM38" s="66"/>
      <c r="QDN38" s="66"/>
      <c r="QDO38" s="66"/>
      <c r="QDP38" s="66"/>
      <c r="QDQ38" s="66"/>
      <c r="QDR38" s="66"/>
      <c r="QDS38" s="66"/>
      <c r="QDT38" s="66"/>
      <c r="QDU38" s="66"/>
      <c r="QDV38" s="66"/>
      <c r="QDW38" s="66"/>
      <c r="QDX38" s="66"/>
      <c r="QDY38" s="66"/>
      <c r="QDZ38" s="66"/>
      <c r="QEA38" s="66"/>
      <c r="QEB38" s="66"/>
      <c r="QEC38" s="66"/>
      <c r="QED38" s="66"/>
      <c r="QEE38" s="66"/>
      <c r="QEF38" s="66"/>
      <c r="QEG38" s="66"/>
      <c r="QEH38" s="66"/>
      <c r="QEI38" s="66"/>
      <c r="QEJ38" s="66"/>
      <c r="QEK38" s="66"/>
      <c r="QEL38" s="66"/>
      <c r="QEM38" s="66"/>
      <c r="QEN38" s="66"/>
      <c r="QEO38" s="66"/>
      <c r="QEP38" s="66"/>
      <c r="QEQ38" s="66"/>
      <c r="QER38" s="66"/>
      <c r="QES38" s="66"/>
      <c r="QET38" s="66"/>
      <c r="QEU38" s="66"/>
      <c r="QEV38" s="66"/>
      <c r="QEW38" s="66"/>
      <c r="QEX38" s="66"/>
      <c r="QEY38" s="66"/>
      <c r="QEZ38" s="66"/>
      <c r="QFA38" s="66"/>
      <c r="QFB38" s="66"/>
      <c r="QFC38" s="66"/>
      <c r="QFD38" s="66"/>
      <c r="QFE38" s="66"/>
      <c r="QFF38" s="66"/>
      <c r="QFG38" s="66"/>
      <c r="QFH38" s="66"/>
      <c r="QFI38" s="66"/>
      <c r="QFJ38" s="66"/>
      <c r="QFK38" s="66"/>
      <c r="QFL38" s="66"/>
      <c r="QFM38" s="66"/>
      <c r="QFN38" s="66"/>
      <c r="QFO38" s="66"/>
      <c r="QFP38" s="66"/>
      <c r="QFQ38" s="66"/>
      <c r="QFR38" s="66"/>
      <c r="QFS38" s="66"/>
      <c r="QFT38" s="66"/>
      <c r="QFU38" s="66"/>
      <c r="QFV38" s="66"/>
      <c r="QFW38" s="66"/>
      <c r="QFX38" s="66"/>
      <c r="QFY38" s="66"/>
      <c r="QFZ38" s="66"/>
      <c r="QGA38" s="66"/>
      <c r="QGB38" s="66"/>
      <c r="QGC38" s="66"/>
      <c r="QGD38" s="66"/>
      <c r="QGE38" s="66"/>
      <c r="QGF38" s="66"/>
      <c r="QGG38" s="66"/>
      <c r="QGH38" s="66"/>
      <c r="QGI38" s="66"/>
      <c r="QGJ38" s="66"/>
      <c r="QGK38" s="66"/>
      <c r="QGL38" s="66"/>
      <c r="QGM38" s="66"/>
      <c r="QGN38" s="66"/>
      <c r="QGO38" s="66"/>
      <c r="QGP38" s="66"/>
      <c r="QGQ38" s="66"/>
      <c r="QGR38" s="66"/>
      <c r="QGS38" s="66"/>
      <c r="QGT38" s="66"/>
      <c r="QGU38" s="66"/>
      <c r="QGV38" s="66"/>
      <c r="QGW38" s="66"/>
      <c r="QGX38" s="66"/>
      <c r="QGY38" s="66"/>
      <c r="QGZ38" s="66"/>
      <c r="QHA38" s="66"/>
      <c r="QHB38" s="66"/>
      <c r="QHC38" s="66"/>
      <c r="QHD38" s="66"/>
      <c r="QHE38" s="66"/>
      <c r="QHF38" s="66"/>
      <c r="QHG38" s="66"/>
      <c r="QHH38" s="66"/>
      <c r="QHI38" s="66"/>
      <c r="QHJ38" s="66"/>
      <c r="QHK38" s="66"/>
      <c r="QHL38" s="66"/>
      <c r="QHM38" s="66"/>
      <c r="QHN38" s="66"/>
      <c r="QHO38" s="66"/>
      <c r="QHP38" s="66"/>
      <c r="QHQ38" s="66"/>
      <c r="QHR38" s="66"/>
      <c r="QHS38" s="66"/>
      <c r="QHT38" s="66"/>
      <c r="QHU38" s="66"/>
      <c r="QHV38" s="66"/>
      <c r="QHW38" s="66"/>
      <c r="QHX38" s="66"/>
      <c r="QHY38" s="66"/>
      <c r="QHZ38" s="66"/>
      <c r="QIA38" s="66"/>
      <c r="QIB38" s="66"/>
      <c r="QIC38" s="66"/>
      <c r="QID38" s="66"/>
      <c r="QIE38" s="66"/>
      <c r="QIF38" s="66"/>
      <c r="QIG38" s="66"/>
      <c r="QIH38" s="66"/>
      <c r="QII38" s="66"/>
      <c r="QIJ38" s="66"/>
      <c r="QIK38" s="66"/>
      <c r="QIL38" s="66"/>
      <c r="QIM38" s="66"/>
      <c r="QIN38" s="66"/>
      <c r="QIO38" s="66"/>
      <c r="QIP38" s="66"/>
      <c r="QIQ38" s="66"/>
      <c r="QIR38" s="66"/>
      <c r="QIS38" s="66"/>
      <c r="QIT38" s="66"/>
      <c r="QIU38" s="66"/>
      <c r="QIV38" s="66"/>
      <c r="QIW38" s="66"/>
      <c r="QIX38" s="66"/>
      <c r="QIY38" s="66"/>
      <c r="QIZ38" s="66"/>
      <c r="QJA38" s="66"/>
      <c r="QJB38" s="66"/>
      <c r="QJC38" s="66"/>
      <c r="QJD38" s="66"/>
      <c r="QJE38" s="66"/>
      <c r="QJF38" s="66"/>
      <c r="QJG38" s="66"/>
      <c r="QJH38" s="66"/>
      <c r="QJI38" s="66"/>
      <c r="QJJ38" s="66"/>
      <c r="QJK38" s="66"/>
      <c r="QJL38" s="66"/>
      <c r="QJM38" s="66"/>
      <c r="QJN38" s="66"/>
      <c r="QJO38" s="66"/>
      <c r="QJP38" s="66"/>
      <c r="QJQ38" s="66"/>
      <c r="QJR38" s="66"/>
      <c r="QJS38" s="66"/>
      <c r="QJT38" s="66"/>
      <c r="QJU38" s="66"/>
      <c r="QJV38" s="66"/>
      <c r="QJW38" s="66"/>
      <c r="QJX38" s="66"/>
      <c r="QJY38" s="66"/>
      <c r="QJZ38" s="66"/>
      <c r="QKA38" s="66"/>
      <c r="QKB38" s="66"/>
      <c r="QKC38" s="66"/>
      <c r="QKD38" s="66"/>
      <c r="QKE38" s="66"/>
      <c r="QKF38" s="66"/>
      <c r="QKG38" s="66"/>
      <c r="QKH38" s="66"/>
      <c r="QKI38" s="66"/>
      <c r="QKJ38" s="66"/>
      <c r="QKK38" s="66"/>
      <c r="QKL38" s="66"/>
      <c r="QKM38" s="66"/>
      <c r="QKN38" s="66"/>
      <c r="QKO38" s="66"/>
      <c r="QKP38" s="66"/>
      <c r="QKQ38" s="66"/>
      <c r="QKR38" s="66"/>
      <c r="QKS38" s="66"/>
      <c r="QKT38" s="66"/>
      <c r="QKU38" s="66"/>
      <c r="QKV38" s="66"/>
      <c r="QKW38" s="66"/>
      <c r="QKX38" s="66"/>
      <c r="QKY38" s="66"/>
      <c r="QKZ38" s="66"/>
      <c r="QLA38" s="66"/>
      <c r="QLB38" s="66"/>
      <c r="QLC38" s="66"/>
      <c r="QLD38" s="66"/>
      <c r="QLE38" s="66"/>
      <c r="QLF38" s="66"/>
      <c r="QLG38" s="66"/>
      <c r="QLH38" s="66"/>
      <c r="QLI38" s="66"/>
      <c r="QLJ38" s="66"/>
      <c r="QLK38" s="66"/>
      <c r="QLL38" s="66"/>
      <c r="QLM38" s="66"/>
      <c r="QLN38" s="66"/>
      <c r="QLO38" s="66"/>
      <c r="QLP38" s="66"/>
      <c r="QLQ38" s="66"/>
      <c r="QLR38" s="66"/>
      <c r="QLS38" s="66"/>
      <c r="QLT38" s="66"/>
      <c r="QLU38" s="66"/>
      <c r="QLV38" s="66"/>
      <c r="QLW38" s="66"/>
      <c r="QLX38" s="66"/>
      <c r="QLY38" s="66"/>
      <c r="QLZ38" s="66"/>
      <c r="QMA38" s="66"/>
      <c r="QMB38" s="66"/>
      <c r="QMC38" s="66"/>
      <c r="QMD38" s="66"/>
      <c r="QME38" s="66"/>
      <c r="QMF38" s="66"/>
      <c r="QMG38" s="66"/>
      <c r="QMH38" s="66"/>
      <c r="QMI38" s="66"/>
      <c r="QMJ38" s="66"/>
      <c r="QMK38" s="66"/>
      <c r="QML38" s="66"/>
      <c r="QMM38" s="66"/>
      <c r="QMN38" s="66"/>
      <c r="QMO38" s="66"/>
      <c r="QMP38" s="66"/>
      <c r="QMQ38" s="66"/>
      <c r="QMR38" s="66"/>
      <c r="QMS38" s="66"/>
      <c r="QMT38" s="66"/>
      <c r="QMU38" s="66"/>
      <c r="QMV38" s="66"/>
      <c r="QMW38" s="66"/>
      <c r="QMX38" s="66"/>
      <c r="QMY38" s="66"/>
      <c r="QMZ38" s="66"/>
      <c r="QNA38" s="66"/>
      <c r="QNB38" s="66"/>
      <c r="QNC38" s="66"/>
      <c r="QND38" s="66"/>
      <c r="QNE38" s="66"/>
      <c r="QNF38" s="66"/>
      <c r="QNG38" s="66"/>
      <c r="QNH38" s="66"/>
      <c r="QNI38" s="66"/>
      <c r="QNJ38" s="66"/>
      <c r="QNK38" s="66"/>
      <c r="QNL38" s="66"/>
      <c r="QNM38" s="66"/>
      <c r="QNN38" s="66"/>
      <c r="QNO38" s="66"/>
      <c r="QNP38" s="66"/>
      <c r="QNQ38" s="66"/>
      <c r="QNR38" s="66"/>
      <c r="QNS38" s="66"/>
      <c r="QNT38" s="66"/>
      <c r="QNU38" s="66"/>
      <c r="QNV38" s="66"/>
      <c r="QNW38" s="66"/>
      <c r="QNX38" s="66"/>
      <c r="QNY38" s="66"/>
      <c r="QNZ38" s="66"/>
      <c r="QOA38" s="66"/>
      <c r="QOB38" s="66"/>
      <c r="QOC38" s="66"/>
      <c r="QOD38" s="66"/>
      <c r="QOE38" s="66"/>
      <c r="QOF38" s="66"/>
      <c r="QOG38" s="66"/>
      <c r="QOH38" s="66"/>
      <c r="QOI38" s="66"/>
      <c r="QOJ38" s="66"/>
      <c r="QOK38" s="66"/>
      <c r="QOL38" s="66"/>
      <c r="QOM38" s="66"/>
      <c r="QON38" s="66"/>
      <c r="QOO38" s="66"/>
      <c r="QOP38" s="66"/>
      <c r="QOQ38" s="66"/>
      <c r="QOR38" s="66"/>
      <c r="QOS38" s="66"/>
      <c r="QOT38" s="66"/>
      <c r="QOU38" s="66"/>
      <c r="QOV38" s="66"/>
      <c r="QOW38" s="66"/>
      <c r="QOX38" s="66"/>
      <c r="QOY38" s="66"/>
      <c r="QOZ38" s="66"/>
      <c r="QPA38" s="66"/>
      <c r="QPB38" s="66"/>
      <c r="QPC38" s="66"/>
      <c r="QPD38" s="66"/>
      <c r="QPE38" s="66"/>
      <c r="QPF38" s="66"/>
      <c r="QPG38" s="66"/>
      <c r="QPH38" s="66"/>
      <c r="QPI38" s="66"/>
      <c r="QPJ38" s="66"/>
      <c r="QPK38" s="66"/>
      <c r="QPL38" s="66"/>
      <c r="QPM38" s="66"/>
      <c r="QPN38" s="66"/>
      <c r="QPO38" s="66"/>
      <c r="QPP38" s="66"/>
      <c r="QPQ38" s="66"/>
      <c r="QPR38" s="66"/>
      <c r="QPS38" s="66"/>
      <c r="QPT38" s="66"/>
      <c r="QPU38" s="66"/>
      <c r="QPV38" s="66"/>
      <c r="QPW38" s="66"/>
      <c r="QPX38" s="66"/>
      <c r="QPY38" s="66"/>
      <c r="QPZ38" s="66"/>
      <c r="QQA38" s="66"/>
      <c r="QQB38" s="66"/>
      <c r="QQC38" s="66"/>
      <c r="QQD38" s="66"/>
      <c r="QQE38" s="66"/>
      <c r="QQF38" s="66"/>
      <c r="QQG38" s="66"/>
      <c r="QQH38" s="66"/>
      <c r="QQI38" s="66"/>
      <c r="QQJ38" s="66"/>
      <c r="QQK38" s="66"/>
      <c r="QQL38" s="66"/>
      <c r="QQM38" s="66"/>
      <c r="QQN38" s="66"/>
      <c r="QQO38" s="66"/>
      <c r="QQP38" s="66"/>
      <c r="QQQ38" s="66"/>
      <c r="QQR38" s="66"/>
      <c r="QQS38" s="66"/>
      <c r="QQT38" s="66"/>
      <c r="QQU38" s="66"/>
      <c r="QQV38" s="66"/>
      <c r="QQW38" s="66"/>
      <c r="QQX38" s="66"/>
      <c r="QQY38" s="66"/>
      <c r="QQZ38" s="66"/>
      <c r="QRA38" s="66"/>
      <c r="QRB38" s="66"/>
      <c r="QRC38" s="66"/>
      <c r="QRD38" s="66"/>
      <c r="QRE38" s="66"/>
      <c r="QRF38" s="66"/>
      <c r="QRG38" s="66"/>
      <c r="QRH38" s="66"/>
      <c r="QRI38" s="66"/>
      <c r="QRJ38" s="66"/>
      <c r="QRK38" s="66"/>
      <c r="QRL38" s="66"/>
      <c r="QRM38" s="66"/>
      <c r="QRN38" s="66"/>
      <c r="QRO38" s="66"/>
      <c r="QRP38" s="66"/>
      <c r="QRQ38" s="66"/>
      <c r="QRR38" s="66"/>
      <c r="QRS38" s="66"/>
      <c r="QRT38" s="66"/>
      <c r="QRU38" s="66"/>
      <c r="QRV38" s="66"/>
      <c r="QRW38" s="66"/>
      <c r="QRX38" s="66"/>
      <c r="QRY38" s="66"/>
      <c r="QRZ38" s="66"/>
      <c r="QSA38" s="66"/>
      <c r="QSB38" s="66"/>
      <c r="QSC38" s="66"/>
      <c r="QSD38" s="66"/>
      <c r="QSE38" s="66"/>
      <c r="QSF38" s="66"/>
      <c r="QSG38" s="66"/>
      <c r="QSH38" s="66"/>
      <c r="QSI38" s="66"/>
      <c r="QSJ38" s="66"/>
      <c r="QSK38" s="66"/>
      <c r="QSL38" s="66"/>
      <c r="QSM38" s="66"/>
      <c r="QSN38" s="66"/>
      <c r="QSO38" s="66"/>
      <c r="QSP38" s="66"/>
      <c r="QSQ38" s="66"/>
      <c r="QSR38" s="66"/>
      <c r="QSS38" s="66"/>
      <c r="QST38" s="66"/>
      <c r="QSU38" s="66"/>
      <c r="QSV38" s="66"/>
      <c r="QSW38" s="66"/>
      <c r="QSX38" s="66"/>
      <c r="QSY38" s="66"/>
      <c r="QSZ38" s="66"/>
      <c r="QTA38" s="66"/>
      <c r="QTB38" s="66"/>
      <c r="QTC38" s="66"/>
      <c r="QTD38" s="66"/>
      <c r="QTE38" s="66"/>
      <c r="QTF38" s="66"/>
      <c r="QTG38" s="66"/>
      <c r="QTH38" s="66"/>
      <c r="QTI38" s="66"/>
      <c r="QTJ38" s="66"/>
      <c r="QTK38" s="66"/>
      <c r="QTL38" s="66"/>
      <c r="QTM38" s="66"/>
      <c r="QTN38" s="66"/>
      <c r="QTO38" s="66"/>
      <c r="QTP38" s="66"/>
      <c r="QTQ38" s="66"/>
      <c r="QTR38" s="66"/>
      <c r="QTS38" s="66"/>
      <c r="QTT38" s="66"/>
      <c r="QTU38" s="66"/>
      <c r="QTV38" s="66"/>
      <c r="QTW38" s="66"/>
      <c r="QTX38" s="66"/>
      <c r="QTY38" s="66"/>
      <c r="QTZ38" s="66"/>
      <c r="QUA38" s="66"/>
      <c r="QUB38" s="66"/>
      <c r="QUC38" s="66"/>
      <c r="QUD38" s="66"/>
      <c r="QUE38" s="66"/>
      <c r="QUF38" s="66"/>
      <c r="QUG38" s="66"/>
      <c r="QUH38" s="66"/>
      <c r="QUI38" s="66"/>
      <c r="QUJ38" s="66"/>
      <c r="QUK38" s="66"/>
      <c r="QUL38" s="66"/>
      <c r="QUM38" s="66"/>
      <c r="QUN38" s="66"/>
      <c r="QUO38" s="66"/>
      <c r="QUP38" s="66"/>
      <c r="QUQ38" s="66"/>
      <c r="QUR38" s="66"/>
      <c r="QUS38" s="66"/>
      <c r="QUT38" s="66"/>
      <c r="QUU38" s="66"/>
      <c r="QUV38" s="66"/>
      <c r="QUW38" s="66"/>
      <c r="QUX38" s="66"/>
      <c r="QUY38" s="66"/>
      <c r="QUZ38" s="66"/>
      <c r="QVA38" s="66"/>
      <c r="QVB38" s="66"/>
      <c r="QVC38" s="66"/>
      <c r="QVD38" s="66"/>
      <c r="QVE38" s="66"/>
      <c r="QVF38" s="66"/>
      <c r="QVG38" s="66"/>
      <c r="QVH38" s="66"/>
      <c r="QVI38" s="66"/>
      <c r="QVJ38" s="66"/>
      <c r="QVK38" s="66"/>
      <c r="QVL38" s="66"/>
      <c r="QVM38" s="66"/>
      <c r="QVN38" s="66"/>
      <c r="QVO38" s="66"/>
      <c r="QVP38" s="66"/>
      <c r="QVQ38" s="66"/>
      <c r="QVR38" s="66"/>
      <c r="QVS38" s="66"/>
      <c r="QVT38" s="66"/>
      <c r="QVU38" s="66"/>
      <c r="QVV38" s="66"/>
      <c r="QVW38" s="66"/>
      <c r="QVX38" s="66"/>
      <c r="QVY38" s="66"/>
      <c r="QVZ38" s="66"/>
      <c r="QWA38" s="66"/>
      <c r="QWB38" s="66"/>
      <c r="QWC38" s="66"/>
      <c r="QWD38" s="66"/>
      <c r="QWE38" s="66"/>
      <c r="QWF38" s="66"/>
      <c r="QWG38" s="66"/>
      <c r="QWH38" s="66"/>
      <c r="QWI38" s="66"/>
      <c r="QWJ38" s="66"/>
      <c r="QWK38" s="66"/>
      <c r="QWL38" s="66"/>
      <c r="QWM38" s="66"/>
      <c r="QWN38" s="66"/>
      <c r="QWO38" s="66"/>
      <c r="QWP38" s="66"/>
      <c r="QWQ38" s="66"/>
      <c r="QWR38" s="66"/>
      <c r="QWS38" s="66"/>
      <c r="QWT38" s="66"/>
      <c r="QWU38" s="66"/>
      <c r="QWV38" s="66"/>
      <c r="QWW38" s="66"/>
      <c r="QWX38" s="66"/>
      <c r="QWY38" s="66"/>
      <c r="QWZ38" s="66"/>
      <c r="QXA38" s="66"/>
      <c r="QXB38" s="66"/>
      <c r="QXC38" s="66"/>
      <c r="QXD38" s="66"/>
      <c r="QXE38" s="66"/>
      <c r="QXF38" s="66"/>
      <c r="QXG38" s="66"/>
      <c r="QXH38" s="66"/>
      <c r="QXI38" s="66"/>
      <c r="QXJ38" s="66"/>
      <c r="QXK38" s="66"/>
      <c r="QXL38" s="66"/>
      <c r="QXM38" s="66"/>
      <c r="QXN38" s="66"/>
      <c r="QXO38" s="66"/>
      <c r="QXP38" s="66"/>
      <c r="QXQ38" s="66"/>
      <c r="QXR38" s="66"/>
      <c r="QXS38" s="66"/>
      <c r="QXT38" s="66"/>
      <c r="QXU38" s="66"/>
      <c r="QXV38" s="66"/>
      <c r="QXW38" s="66"/>
      <c r="QXX38" s="66"/>
      <c r="QXY38" s="66"/>
      <c r="QXZ38" s="66"/>
      <c r="QYA38" s="66"/>
      <c r="QYB38" s="66"/>
      <c r="QYC38" s="66"/>
      <c r="QYD38" s="66"/>
      <c r="QYE38" s="66"/>
      <c r="QYF38" s="66"/>
      <c r="QYG38" s="66"/>
      <c r="QYH38" s="66"/>
      <c r="QYI38" s="66"/>
      <c r="QYJ38" s="66"/>
      <c r="QYK38" s="66"/>
      <c r="QYL38" s="66"/>
      <c r="QYM38" s="66"/>
      <c r="QYN38" s="66"/>
      <c r="QYO38" s="66"/>
      <c r="QYP38" s="66"/>
      <c r="QYQ38" s="66"/>
      <c r="QYR38" s="66"/>
      <c r="QYS38" s="66"/>
      <c r="QYT38" s="66"/>
      <c r="QYU38" s="66"/>
      <c r="QYV38" s="66"/>
      <c r="QYW38" s="66"/>
      <c r="QYX38" s="66"/>
      <c r="QYY38" s="66"/>
      <c r="QYZ38" s="66"/>
      <c r="QZA38" s="66"/>
      <c r="QZB38" s="66"/>
      <c r="QZC38" s="66"/>
      <c r="QZD38" s="66"/>
      <c r="QZE38" s="66"/>
      <c r="QZF38" s="66"/>
      <c r="QZG38" s="66"/>
      <c r="QZH38" s="66"/>
      <c r="QZI38" s="66"/>
      <c r="QZJ38" s="66"/>
      <c r="QZK38" s="66"/>
      <c r="QZL38" s="66"/>
      <c r="QZM38" s="66"/>
      <c r="QZN38" s="66"/>
      <c r="QZO38" s="66"/>
      <c r="QZP38" s="66"/>
      <c r="QZQ38" s="66"/>
      <c r="QZR38" s="66"/>
      <c r="QZS38" s="66"/>
      <c r="QZT38" s="66"/>
      <c r="QZU38" s="66"/>
      <c r="QZV38" s="66"/>
      <c r="QZW38" s="66"/>
      <c r="QZX38" s="66"/>
      <c r="QZY38" s="66"/>
      <c r="QZZ38" s="66"/>
      <c r="RAA38" s="66"/>
      <c r="RAB38" s="66"/>
      <c r="RAC38" s="66"/>
      <c r="RAD38" s="66"/>
      <c r="RAE38" s="66"/>
      <c r="RAF38" s="66"/>
      <c r="RAG38" s="66"/>
      <c r="RAH38" s="66"/>
      <c r="RAI38" s="66"/>
      <c r="RAJ38" s="66"/>
      <c r="RAK38" s="66"/>
      <c r="RAL38" s="66"/>
      <c r="RAM38" s="66"/>
      <c r="RAN38" s="66"/>
      <c r="RAO38" s="66"/>
      <c r="RAP38" s="66"/>
      <c r="RAQ38" s="66"/>
      <c r="RAR38" s="66"/>
      <c r="RAS38" s="66"/>
      <c r="RAT38" s="66"/>
      <c r="RAU38" s="66"/>
      <c r="RAV38" s="66"/>
      <c r="RAW38" s="66"/>
      <c r="RAX38" s="66"/>
      <c r="RAY38" s="66"/>
      <c r="RAZ38" s="66"/>
      <c r="RBA38" s="66"/>
      <c r="RBB38" s="66"/>
      <c r="RBC38" s="66"/>
      <c r="RBD38" s="66"/>
      <c r="RBE38" s="66"/>
      <c r="RBF38" s="66"/>
      <c r="RBG38" s="66"/>
      <c r="RBH38" s="66"/>
      <c r="RBI38" s="66"/>
      <c r="RBJ38" s="66"/>
      <c r="RBK38" s="66"/>
      <c r="RBL38" s="66"/>
      <c r="RBM38" s="66"/>
      <c r="RBN38" s="66"/>
      <c r="RBO38" s="66"/>
      <c r="RBP38" s="66"/>
      <c r="RBQ38" s="66"/>
      <c r="RBR38" s="66"/>
      <c r="RBS38" s="66"/>
      <c r="RBT38" s="66"/>
      <c r="RBU38" s="66"/>
      <c r="RBV38" s="66"/>
      <c r="RBW38" s="66"/>
      <c r="RBX38" s="66"/>
      <c r="RBY38" s="66"/>
      <c r="RBZ38" s="66"/>
      <c r="RCA38" s="66"/>
      <c r="RCB38" s="66"/>
      <c r="RCC38" s="66"/>
      <c r="RCD38" s="66"/>
      <c r="RCE38" s="66"/>
      <c r="RCF38" s="66"/>
      <c r="RCG38" s="66"/>
      <c r="RCH38" s="66"/>
      <c r="RCI38" s="66"/>
      <c r="RCJ38" s="66"/>
      <c r="RCK38" s="66"/>
      <c r="RCL38" s="66"/>
      <c r="RCM38" s="66"/>
      <c r="RCN38" s="66"/>
      <c r="RCO38" s="66"/>
      <c r="RCP38" s="66"/>
      <c r="RCQ38" s="66"/>
      <c r="RCR38" s="66"/>
      <c r="RCS38" s="66"/>
      <c r="RCT38" s="66"/>
      <c r="RCU38" s="66"/>
      <c r="RCV38" s="66"/>
      <c r="RCW38" s="66"/>
      <c r="RCX38" s="66"/>
      <c r="RCY38" s="66"/>
      <c r="RCZ38" s="66"/>
      <c r="RDA38" s="66"/>
      <c r="RDB38" s="66"/>
      <c r="RDC38" s="66"/>
      <c r="RDD38" s="66"/>
      <c r="RDE38" s="66"/>
      <c r="RDF38" s="66"/>
      <c r="RDG38" s="66"/>
      <c r="RDH38" s="66"/>
      <c r="RDI38" s="66"/>
      <c r="RDJ38" s="66"/>
      <c r="RDK38" s="66"/>
      <c r="RDL38" s="66"/>
      <c r="RDM38" s="66"/>
      <c r="RDN38" s="66"/>
      <c r="RDO38" s="66"/>
      <c r="RDP38" s="66"/>
      <c r="RDQ38" s="66"/>
      <c r="RDR38" s="66"/>
      <c r="RDS38" s="66"/>
      <c r="RDT38" s="66"/>
      <c r="RDU38" s="66"/>
      <c r="RDV38" s="66"/>
      <c r="RDW38" s="66"/>
      <c r="RDX38" s="66"/>
      <c r="RDY38" s="66"/>
      <c r="RDZ38" s="66"/>
      <c r="REA38" s="66"/>
      <c r="REB38" s="66"/>
      <c r="REC38" s="66"/>
      <c r="RED38" s="66"/>
      <c r="REE38" s="66"/>
      <c r="REF38" s="66"/>
      <c r="REG38" s="66"/>
      <c r="REH38" s="66"/>
      <c r="REI38" s="66"/>
      <c r="REJ38" s="66"/>
      <c r="REK38" s="66"/>
      <c r="REL38" s="66"/>
      <c r="REM38" s="66"/>
      <c r="REN38" s="66"/>
      <c r="REO38" s="66"/>
      <c r="REP38" s="66"/>
      <c r="REQ38" s="66"/>
      <c r="RER38" s="66"/>
      <c r="RES38" s="66"/>
      <c r="RET38" s="66"/>
      <c r="REU38" s="66"/>
      <c r="REV38" s="66"/>
      <c r="REW38" s="66"/>
      <c r="REX38" s="66"/>
      <c r="REY38" s="66"/>
      <c r="REZ38" s="66"/>
      <c r="RFA38" s="66"/>
      <c r="RFB38" s="66"/>
      <c r="RFC38" s="66"/>
      <c r="RFD38" s="66"/>
      <c r="RFE38" s="66"/>
      <c r="RFF38" s="66"/>
      <c r="RFG38" s="66"/>
      <c r="RFH38" s="66"/>
      <c r="RFI38" s="66"/>
      <c r="RFJ38" s="66"/>
      <c r="RFK38" s="66"/>
      <c r="RFL38" s="66"/>
      <c r="RFM38" s="66"/>
      <c r="RFN38" s="66"/>
      <c r="RFO38" s="66"/>
      <c r="RFP38" s="66"/>
      <c r="RFQ38" s="66"/>
      <c r="RFR38" s="66"/>
      <c r="RFS38" s="66"/>
      <c r="RFT38" s="66"/>
      <c r="RFU38" s="66"/>
      <c r="RFV38" s="66"/>
      <c r="RFW38" s="66"/>
      <c r="RFX38" s="66"/>
      <c r="RFY38" s="66"/>
      <c r="RFZ38" s="66"/>
      <c r="RGA38" s="66"/>
      <c r="RGB38" s="66"/>
      <c r="RGC38" s="66"/>
      <c r="RGD38" s="66"/>
      <c r="RGE38" s="66"/>
      <c r="RGF38" s="66"/>
      <c r="RGG38" s="66"/>
      <c r="RGH38" s="66"/>
      <c r="RGI38" s="66"/>
      <c r="RGJ38" s="66"/>
      <c r="RGK38" s="66"/>
      <c r="RGL38" s="66"/>
      <c r="RGM38" s="66"/>
      <c r="RGN38" s="66"/>
      <c r="RGO38" s="66"/>
      <c r="RGP38" s="66"/>
      <c r="RGQ38" s="66"/>
      <c r="RGR38" s="66"/>
      <c r="RGS38" s="66"/>
      <c r="RGT38" s="66"/>
      <c r="RGU38" s="66"/>
      <c r="RGV38" s="66"/>
      <c r="RGW38" s="66"/>
      <c r="RGX38" s="66"/>
      <c r="RGY38" s="66"/>
      <c r="RGZ38" s="66"/>
      <c r="RHA38" s="66"/>
      <c r="RHB38" s="66"/>
      <c r="RHC38" s="66"/>
      <c r="RHD38" s="66"/>
      <c r="RHE38" s="66"/>
      <c r="RHF38" s="66"/>
      <c r="RHG38" s="66"/>
      <c r="RHH38" s="66"/>
      <c r="RHI38" s="66"/>
      <c r="RHJ38" s="66"/>
      <c r="RHK38" s="66"/>
      <c r="RHL38" s="66"/>
      <c r="RHM38" s="66"/>
      <c r="RHN38" s="66"/>
      <c r="RHO38" s="66"/>
      <c r="RHP38" s="66"/>
      <c r="RHQ38" s="66"/>
      <c r="RHR38" s="66"/>
      <c r="RHS38" s="66"/>
      <c r="RHT38" s="66"/>
      <c r="RHU38" s="66"/>
      <c r="RHV38" s="66"/>
      <c r="RHW38" s="66"/>
      <c r="RHX38" s="66"/>
      <c r="RHY38" s="66"/>
      <c r="RHZ38" s="66"/>
      <c r="RIA38" s="66"/>
      <c r="RIB38" s="66"/>
      <c r="RIC38" s="66"/>
      <c r="RID38" s="66"/>
      <c r="RIE38" s="66"/>
      <c r="RIF38" s="66"/>
      <c r="RIG38" s="66"/>
      <c r="RIH38" s="66"/>
      <c r="RII38" s="66"/>
      <c r="RIJ38" s="66"/>
      <c r="RIK38" s="66"/>
      <c r="RIL38" s="66"/>
      <c r="RIM38" s="66"/>
      <c r="RIN38" s="66"/>
      <c r="RIO38" s="66"/>
      <c r="RIP38" s="66"/>
      <c r="RIQ38" s="66"/>
      <c r="RIR38" s="66"/>
      <c r="RIS38" s="66"/>
      <c r="RIT38" s="66"/>
      <c r="RIU38" s="66"/>
      <c r="RIV38" s="66"/>
      <c r="RIW38" s="66"/>
      <c r="RIX38" s="66"/>
      <c r="RIY38" s="66"/>
      <c r="RIZ38" s="66"/>
      <c r="RJA38" s="66"/>
      <c r="RJB38" s="66"/>
      <c r="RJC38" s="66"/>
      <c r="RJD38" s="66"/>
      <c r="RJE38" s="66"/>
      <c r="RJF38" s="66"/>
      <c r="RJG38" s="66"/>
      <c r="RJH38" s="66"/>
      <c r="RJI38" s="66"/>
      <c r="RJJ38" s="66"/>
      <c r="RJK38" s="66"/>
      <c r="RJL38" s="66"/>
      <c r="RJM38" s="66"/>
      <c r="RJN38" s="66"/>
      <c r="RJO38" s="66"/>
      <c r="RJP38" s="66"/>
      <c r="RJQ38" s="66"/>
      <c r="RJR38" s="66"/>
      <c r="RJS38" s="66"/>
      <c r="RJT38" s="66"/>
      <c r="RJU38" s="66"/>
      <c r="RJV38" s="66"/>
      <c r="RJW38" s="66"/>
      <c r="RJX38" s="66"/>
      <c r="RJY38" s="66"/>
      <c r="RJZ38" s="66"/>
      <c r="RKA38" s="66"/>
      <c r="RKB38" s="66"/>
      <c r="RKC38" s="66"/>
      <c r="RKD38" s="66"/>
      <c r="RKE38" s="66"/>
      <c r="RKF38" s="66"/>
      <c r="RKG38" s="66"/>
      <c r="RKH38" s="66"/>
      <c r="RKI38" s="66"/>
      <c r="RKJ38" s="66"/>
      <c r="RKK38" s="66"/>
      <c r="RKL38" s="66"/>
      <c r="RKM38" s="66"/>
      <c r="RKN38" s="66"/>
      <c r="RKO38" s="66"/>
      <c r="RKP38" s="66"/>
      <c r="RKQ38" s="66"/>
      <c r="RKR38" s="66"/>
      <c r="RKS38" s="66"/>
      <c r="RKT38" s="66"/>
      <c r="RKU38" s="66"/>
      <c r="RKV38" s="66"/>
      <c r="RKW38" s="66"/>
      <c r="RKX38" s="66"/>
      <c r="RKY38" s="66"/>
      <c r="RKZ38" s="66"/>
      <c r="RLA38" s="66"/>
      <c r="RLB38" s="66"/>
      <c r="RLC38" s="66"/>
      <c r="RLD38" s="66"/>
      <c r="RLE38" s="66"/>
      <c r="RLF38" s="66"/>
      <c r="RLG38" s="66"/>
      <c r="RLH38" s="66"/>
      <c r="RLI38" s="66"/>
      <c r="RLJ38" s="66"/>
      <c r="RLK38" s="66"/>
      <c r="RLL38" s="66"/>
      <c r="RLM38" s="66"/>
      <c r="RLN38" s="66"/>
      <c r="RLO38" s="66"/>
      <c r="RLP38" s="66"/>
      <c r="RLQ38" s="66"/>
      <c r="RLR38" s="66"/>
      <c r="RLS38" s="66"/>
      <c r="RLT38" s="66"/>
      <c r="RLU38" s="66"/>
      <c r="RLV38" s="66"/>
      <c r="RLW38" s="66"/>
      <c r="RLX38" s="66"/>
      <c r="RLY38" s="66"/>
      <c r="RLZ38" s="66"/>
      <c r="RMA38" s="66"/>
      <c r="RMB38" s="66"/>
      <c r="RMC38" s="66"/>
      <c r="RMD38" s="66"/>
      <c r="RME38" s="66"/>
      <c r="RMF38" s="66"/>
      <c r="RMG38" s="66"/>
      <c r="RMH38" s="66"/>
      <c r="RMI38" s="66"/>
      <c r="RMJ38" s="66"/>
      <c r="RMK38" s="66"/>
      <c r="RML38" s="66"/>
      <c r="RMM38" s="66"/>
      <c r="RMN38" s="66"/>
      <c r="RMO38" s="66"/>
      <c r="RMP38" s="66"/>
      <c r="RMQ38" s="66"/>
      <c r="RMR38" s="66"/>
      <c r="RMS38" s="66"/>
      <c r="RMT38" s="66"/>
      <c r="RMU38" s="66"/>
      <c r="RMV38" s="66"/>
      <c r="RMW38" s="66"/>
      <c r="RMX38" s="66"/>
      <c r="RMY38" s="66"/>
      <c r="RMZ38" s="66"/>
      <c r="RNA38" s="66"/>
      <c r="RNB38" s="66"/>
      <c r="RNC38" s="66"/>
      <c r="RND38" s="66"/>
      <c r="RNE38" s="66"/>
      <c r="RNF38" s="66"/>
      <c r="RNG38" s="66"/>
      <c r="RNH38" s="66"/>
      <c r="RNI38" s="66"/>
      <c r="RNJ38" s="66"/>
      <c r="RNK38" s="66"/>
      <c r="RNL38" s="66"/>
      <c r="RNM38" s="66"/>
      <c r="RNN38" s="66"/>
      <c r="RNO38" s="66"/>
      <c r="RNP38" s="66"/>
      <c r="RNQ38" s="66"/>
      <c r="RNR38" s="66"/>
      <c r="RNS38" s="66"/>
      <c r="RNT38" s="66"/>
      <c r="RNU38" s="66"/>
      <c r="RNV38" s="66"/>
      <c r="RNW38" s="66"/>
      <c r="RNX38" s="66"/>
      <c r="RNY38" s="66"/>
      <c r="RNZ38" s="66"/>
      <c r="ROA38" s="66"/>
      <c r="ROB38" s="66"/>
      <c r="ROC38" s="66"/>
      <c r="ROD38" s="66"/>
      <c r="ROE38" s="66"/>
      <c r="ROF38" s="66"/>
      <c r="ROG38" s="66"/>
      <c r="ROH38" s="66"/>
      <c r="ROI38" s="66"/>
      <c r="ROJ38" s="66"/>
      <c r="ROK38" s="66"/>
      <c r="ROL38" s="66"/>
      <c r="ROM38" s="66"/>
      <c r="RON38" s="66"/>
      <c r="ROO38" s="66"/>
      <c r="ROP38" s="66"/>
      <c r="ROQ38" s="66"/>
      <c r="ROR38" s="66"/>
      <c r="ROS38" s="66"/>
      <c r="ROT38" s="66"/>
      <c r="ROU38" s="66"/>
      <c r="ROV38" s="66"/>
      <c r="ROW38" s="66"/>
      <c r="ROX38" s="66"/>
      <c r="ROY38" s="66"/>
      <c r="ROZ38" s="66"/>
      <c r="RPA38" s="66"/>
      <c r="RPB38" s="66"/>
      <c r="RPC38" s="66"/>
      <c r="RPD38" s="66"/>
      <c r="RPE38" s="66"/>
      <c r="RPF38" s="66"/>
      <c r="RPG38" s="66"/>
      <c r="RPH38" s="66"/>
      <c r="RPI38" s="66"/>
      <c r="RPJ38" s="66"/>
      <c r="RPK38" s="66"/>
      <c r="RPL38" s="66"/>
      <c r="RPM38" s="66"/>
      <c r="RPN38" s="66"/>
      <c r="RPO38" s="66"/>
      <c r="RPP38" s="66"/>
      <c r="RPQ38" s="66"/>
      <c r="RPR38" s="66"/>
      <c r="RPS38" s="66"/>
      <c r="RPT38" s="66"/>
      <c r="RPU38" s="66"/>
      <c r="RPV38" s="66"/>
      <c r="RPW38" s="66"/>
      <c r="RPX38" s="66"/>
      <c r="RPY38" s="66"/>
      <c r="RPZ38" s="66"/>
      <c r="RQA38" s="66"/>
      <c r="RQB38" s="66"/>
      <c r="RQC38" s="66"/>
      <c r="RQD38" s="66"/>
      <c r="RQE38" s="66"/>
      <c r="RQF38" s="66"/>
      <c r="RQG38" s="66"/>
      <c r="RQH38" s="66"/>
      <c r="RQI38" s="66"/>
      <c r="RQJ38" s="66"/>
      <c r="RQK38" s="66"/>
      <c r="RQL38" s="66"/>
      <c r="RQM38" s="66"/>
      <c r="RQN38" s="66"/>
      <c r="RQO38" s="66"/>
      <c r="RQP38" s="66"/>
      <c r="RQQ38" s="66"/>
      <c r="RQR38" s="66"/>
      <c r="RQS38" s="66"/>
      <c r="RQT38" s="66"/>
      <c r="RQU38" s="66"/>
      <c r="RQV38" s="66"/>
      <c r="RQW38" s="66"/>
      <c r="RQX38" s="66"/>
      <c r="RQY38" s="66"/>
      <c r="RQZ38" s="66"/>
      <c r="RRA38" s="66"/>
      <c r="RRB38" s="66"/>
      <c r="RRC38" s="66"/>
      <c r="RRD38" s="66"/>
      <c r="RRE38" s="66"/>
      <c r="RRF38" s="66"/>
      <c r="RRG38" s="66"/>
      <c r="RRH38" s="66"/>
      <c r="RRI38" s="66"/>
      <c r="RRJ38" s="66"/>
      <c r="RRK38" s="66"/>
      <c r="RRL38" s="66"/>
      <c r="RRM38" s="66"/>
      <c r="RRN38" s="66"/>
      <c r="RRO38" s="66"/>
      <c r="RRP38" s="66"/>
      <c r="RRQ38" s="66"/>
      <c r="RRR38" s="66"/>
      <c r="RRS38" s="66"/>
      <c r="RRT38" s="66"/>
      <c r="RRU38" s="66"/>
      <c r="RRV38" s="66"/>
      <c r="RRW38" s="66"/>
      <c r="RRX38" s="66"/>
      <c r="RRY38" s="66"/>
      <c r="RRZ38" s="66"/>
      <c r="RSA38" s="66"/>
      <c r="RSB38" s="66"/>
      <c r="RSC38" s="66"/>
      <c r="RSD38" s="66"/>
      <c r="RSE38" s="66"/>
      <c r="RSF38" s="66"/>
      <c r="RSG38" s="66"/>
      <c r="RSH38" s="66"/>
      <c r="RSI38" s="66"/>
      <c r="RSJ38" s="66"/>
      <c r="RSK38" s="66"/>
      <c r="RSL38" s="66"/>
      <c r="RSM38" s="66"/>
      <c r="RSN38" s="66"/>
      <c r="RSO38" s="66"/>
      <c r="RSP38" s="66"/>
      <c r="RSQ38" s="66"/>
      <c r="RSR38" s="66"/>
      <c r="RSS38" s="66"/>
      <c r="RST38" s="66"/>
      <c r="RSU38" s="66"/>
      <c r="RSV38" s="66"/>
      <c r="RSW38" s="66"/>
      <c r="RSX38" s="66"/>
      <c r="RSY38" s="66"/>
      <c r="RSZ38" s="66"/>
      <c r="RTA38" s="66"/>
      <c r="RTB38" s="66"/>
      <c r="RTC38" s="66"/>
      <c r="RTD38" s="66"/>
      <c r="RTE38" s="66"/>
      <c r="RTF38" s="66"/>
      <c r="RTG38" s="66"/>
      <c r="RTH38" s="66"/>
      <c r="RTI38" s="66"/>
      <c r="RTJ38" s="66"/>
      <c r="RTK38" s="66"/>
      <c r="RTL38" s="66"/>
      <c r="RTM38" s="66"/>
      <c r="RTN38" s="66"/>
      <c r="RTO38" s="66"/>
      <c r="RTP38" s="66"/>
      <c r="RTQ38" s="66"/>
      <c r="RTR38" s="66"/>
      <c r="RTS38" s="66"/>
      <c r="RTT38" s="66"/>
      <c r="RTU38" s="66"/>
      <c r="RTV38" s="66"/>
      <c r="RTW38" s="66"/>
      <c r="RTX38" s="66"/>
      <c r="RTY38" s="66"/>
      <c r="RTZ38" s="66"/>
      <c r="RUA38" s="66"/>
      <c r="RUB38" s="66"/>
      <c r="RUC38" s="66"/>
      <c r="RUD38" s="66"/>
      <c r="RUE38" s="66"/>
      <c r="RUF38" s="66"/>
      <c r="RUG38" s="66"/>
      <c r="RUH38" s="66"/>
      <c r="RUI38" s="66"/>
      <c r="RUJ38" s="66"/>
      <c r="RUK38" s="66"/>
      <c r="RUL38" s="66"/>
      <c r="RUM38" s="66"/>
      <c r="RUN38" s="66"/>
      <c r="RUO38" s="66"/>
      <c r="RUP38" s="66"/>
      <c r="RUQ38" s="66"/>
      <c r="RUR38" s="66"/>
      <c r="RUS38" s="66"/>
      <c r="RUT38" s="66"/>
      <c r="RUU38" s="66"/>
      <c r="RUV38" s="66"/>
      <c r="RUW38" s="66"/>
      <c r="RUX38" s="66"/>
      <c r="RUY38" s="66"/>
      <c r="RUZ38" s="66"/>
      <c r="RVA38" s="66"/>
      <c r="RVB38" s="66"/>
      <c r="RVC38" s="66"/>
      <c r="RVD38" s="66"/>
      <c r="RVE38" s="66"/>
      <c r="RVF38" s="66"/>
      <c r="RVG38" s="66"/>
      <c r="RVH38" s="66"/>
      <c r="RVI38" s="66"/>
      <c r="RVJ38" s="66"/>
      <c r="RVK38" s="66"/>
      <c r="RVL38" s="66"/>
      <c r="RVM38" s="66"/>
      <c r="RVN38" s="66"/>
      <c r="RVO38" s="66"/>
      <c r="RVP38" s="66"/>
      <c r="RVQ38" s="66"/>
      <c r="RVR38" s="66"/>
      <c r="RVS38" s="66"/>
      <c r="RVT38" s="66"/>
      <c r="RVU38" s="66"/>
      <c r="RVV38" s="66"/>
      <c r="RVW38" s="66"/>
      <c r="RVX38" s="66"/>
      <c r="RVY38" s="66"/>
      <c r="RVZ38" s="66"/>
      <c r="RWA38" s="66"/>
      <c r="RWB38" s="66"/>
      <c r="RWC38" s="66"/>
      <c r="RWD38" s="66"/>
      <c r="RWE38" s="66"/>
      <c r="RWF38" s="66"/>
      <c r="RWG38" s="66"/>
      <c r="RWH38" s="66"/>
      <c r="RWI38" s="66"/>
      <c r="RWJ38" s="66"/>
      <c r="RWK38" s="66"/>
      <c r="RWL38" s="66"/>
      <c r="RWM38" s="66"/>
      <c r="RWN38" s="66"/>
      <c r="RWO38" s="66"/>
      <c r="RWP38" s="66"/>
      <c r="RWQ38" s="66"/>
      <c r="RWR38" s="66"/>
      <c r="RWS38" s="66"/>
      <c r="RWT38" s="66"/>
      <c r="RWU38" s="66"/>
      <c r="RWV38" s="66"/>
      <c r="RWW38" s="66"/>
      <c r="RWX38" s="66"/>
      <c r="RWY38" s="66"/>
      <c r="RWZ38" s="66"/>
      <c r="RXA38" s="66"/>
      <c r="RXB38" s="66"/>
      <c r="RXC38" s="66"/>
      <c r="RXD38" s="66"/>
      <c r="RXE38" s="66"/>
      <c r="RXF38" s="66"/>
      <c r="RXG38" s="66"/>
      <c r="RXH38" s="66"/>
      <c r="RXI38" s="66"/>
      <c r="RXJ38" s="66"/>
      <c r="RXK38" s="66"/>
      <c r="RXL38" s="66"/>
      <c r="RXM38" s="66"/>
      <c r="RXN38" s="66"/>
      <c r="RXO38" s="66"/>
      <c r="RXP38" s="66"/>
      <c r="RXQ38" s="66"/>
      <c r="RXR38" s="66"/>
      <c r="RXS38" s="66"/>
      <c r="RXT38" s="66"/>
      <c r="RXU38" s="66"/>
      <c r="RXV38" s="66"/>
      <c r="RXW38" s="66"/>
      <c r="RXX38" s="66"/>
      <c r="RXY38" s="66"/>
      <c r="RXZ38" s="66"/>
      <c r="RYA38" s="66"/>
      <c r="RYB38" s="66"/>
      <c r="RYC38" s="66"/>
      <c r="RYD38" s="66"/>
      <c r="RYE38" s="66"/>
      <c r="RYF38" s="66"/>
      <c r="RYG38" s="66"/>
      <c r="RYH38" s="66"/>
      <c r="RYI38" s="66"/>
      <c r="RYJ38" s="66"/>
      <c r="RYK38" s="66"/>
      <c r="RYL38" s="66"/>
      <c r="RYM38" s="66"/>
      <c r="RYN38" s="66"/>
      <c r="RYO38" s="66"/>
      <c r="RYP38" s="66"/>
      <c r="RYQ38" s="66"/>
      <c r="RYR38" s="66"/>
      <c r="RYS38" s="66"/>
      <c r="RYT38" s="66"/>
      <c r="RYU38" s="66"/>
      <c r="RYV38" s="66"/>
      <c r="RYW38" s="66"/>
      <c r="RYX38" s="66"/>
      <c r="RYY38" s="66"/>
      <c r="RYZ38" s="66"/>
      <c r="RZA38" s="66"/>
      <c r="RZB38" s="66"/>
      <c r="RZC38" s="66"/>
      <c r="RZD38" s="66"/>
      <c r="RZE38" s="66"/>
      <c r="RZF38" s="66"/>
      <c r="RZG38" s="66"/>
      <c r="RZH38" s="66"/>
      <c r="RZI38" s="66"/>
      <c r="RZJ38" s="66"/>
      <c r="RZK38" s="66"/>
      <c r="RZL38" s="66"/>
      <c r="RZM38" s="66"/>
      <c r="RZN38" s="66"/>
      <c r="RZO38" s="66"/>
      <c r="RZP38" s="66"/>
      <c r="RZQ38" s="66"/>
      <c r="RZR38" s="66"/>
      <c r="RZS38" s="66"/>
      <c r="RZT38" s="66"/>
      <c r="RZU38" s="66"/>
      <c r="RZV38" s="66"/>
      <c r="RZW38" s="66"/>
      <c r="RZX38" s="66"/>
      <c r="RZY38" s="66"/>
      <c r="RZZ38" s="66"/>
      <c r="SAA38" s="66"/>
      <c r="SAB38" s="66"/>
      <c r="SAC38" s="66"/>
      <c r="SAD38" s="66"/>
      <c r="SAE38" s="66"/>
      <c r="SAF38" s="66"/>
      <c r="SAG38" s="66"/>
      <c r="SAH38" s="66"/>
      <c r="SAI38" s="66"/>
      <c r="SAJ38" s="66"/>
      <c r="SAK38" s="66"/>
      <c r="SAL38" s="66"/>
      <c r="SAM38" s="66"/>
      <c r="SAN38" s="66"/>
      <c r="SAO38" s="66"/>
      <c r="SAP38" s="66"/>
      <c r="SAQ38" s="66"/>
      <c r="SAR38" s="66"/>
      <c r="SAS38" s="66"/>
      <c r="SAT38" s="66"/>
      <c r="SAU38" s="66"/>
      <c r="SAV38" s="66"/>
      <c r="SAW38" s="66"/>
      <c r="SAX38" s="66"/>
      <c r="SAY38" s="66"/>
      <c r="SAZ38" s="66"/>
      <c r="SBA38" s="66"/>
      <c r="SBB38" s="66"/>
      <c r="SBC38" s="66"/>
      <c r="SBD38" s="66"/>
      <c r="SBE38" s="66"/>
      <c r="SBF38" s="66"/>
      <c r="SBG38" s="66"/>
      <c r="SBH38" s="66"/>
      <c r="SBI38" s="66"/>
      <c r="SBJ38" s="66"/>
      <c r="SBK38" s="66"/>
      <c r="SBL38" s="66"/>
      <c r="SBM38" s="66"/>
      <c r="SBN38" s="66"/>
      <c r="SBO38" s="66"/>
      <c r="SBP38" s="66"/>
      <c r="SBQ38" s="66"/>
      <c r="SBR38" s="66"/>
      <c r="SBS38" s="66"/>
      <c r="SBT38" s="66"/>
      <c r="SBU38" s="66"/>
      <c r="SBV38" s="66"/>
      <c r="SBW38" s="66"/>
      <c r="SBX38" s="66"/>
      <c r="SBY38" s="66"/>
      <c r="SBZ38" s="66"/>
      <c r="SCA38" s="66"/>
      <c r="SCB38" s="66"/>
      <c r="SCC38" s="66"/>
      <c r="SCD38" s="66"/>
      <c r="SCE38" s="66"/>
      <c r="SCF38" s="66"/>
      <c r="SCG38" s="66"/>
      <c r="SCH38" s="66"/>
      <c r="SCI38" s="66"/>
      <c r="SCJ38" s="66"/>
      <c r="SCK38" s="66"/>
      <c r="SCL38" s="66"/>
      <c r="SCM38" s="66"/>
      <c r="SCN38" s="66"/>
      <c r="SCO38" s="66"/>
      <c r="SCP38" s="66"/>
      <c r="SCQ38" s="66"/>
      <c r="SCR38" s="66"/>
      <c r="SCS38" s="66"/>
      <c r="SCT38" s="66"/>
      <c r="SCU38" s="66"/>
      <c r="SCV38" s="66"/>
      <c r="SCW38" s="66"/>
      <c r="SCX38" s="66"/>
      <c r="SCY38" s="66"/>
      <c r="SCZ38" s="66"/>
      <c r="SDA38" s="66"/>
      <c r="SDB38" s="66"/>
      <c r="SDC38" s="66"/>
      <c r="SDD38" s="66"/>
      <c r="SDE38" s="66"/>
      <c r="SDF38" s="66"/>
      <c r="SDG38" s="66"/>
      <c r="SDH38" s="66"/>
      <c r="SDI38" s="66"/>
      <c r="SDJ38" s="66"/>
      <c r="SDK38" s="66"/>
      <c r="SDL38" s="66"/>
      <c r="SDM38" s="66"/>
      <c r="SDN38" s="66"/>
      <c r="SDO38" s="66"/>
      <c r="SDP38" s="66"/>
      <c r="SDQ38" s="66"/>
      <c r="SDR38" s="66"/>
      <c r="SDS38" s="66"/>
      <c r="SDT38" s="66"/>
      <c r="SDU38" s="66"/>
      <c r="SDV38" s="66"/>
      <c r="SDW38" s="66"/>
      <c r="SDX38" s="66"/>
      <c r="SDY38" s="66"/>
      <c r="SDZ38" s="66"/>
      <c r="SEA38" s="66"/>
      <c r="SEB38" s="66"/>
      <c r="SEC38" s="66"/>
      <c r="SED38" s="66"/>
      <c r="SEE38" s="66"/>
      <c r="SEF38" s="66"/>
      <c r="SEG38" s="66"/>
      <c r="SEH38" s="66"/>
      <c r="SEI38" s="66"/>
      <c r="SEJ38" s="66"/>
      <c r="SEK38" s="66"/>
      <c r="SEL38" s="66"/>
      <c r="SEM38" s="66"/>
      <c r="SEN38" s="66"/>
      <c r="SEO38" s="66"/>
      <c r="SEP38" s="66"/>
      <c r="SEQ38" s="66"/>
      <c r="SER38" s="66"/>
      <c r="SES38" s="66"/>
      <c r="SET38" s="66"/>
      <c r="SEU38" s="66"/>
      <c r="SEV38" s="66"/>
      <c r="SEW38" s="66"/>
      <c r="SEX38" s="66"/>
      <c r="SEY38" s="66"/>
      <c r="SEZ38" s="66"/>
      <c r="SFA38" s="66"/>
      <c r="SFB38" s="66"/>
      <c r="SFC38" s="66"/>
      <c r="SFD38" s="66"/>
      <c r="SFE38" s="66"/>
      <c r="SFF38" s="66"/>
      <c r="SFG38" s="66"/>
      <c r="SFH38" s="66"/>
      <c r="SFI38" s="66"/>
      <c r="SFJ38" s="66"/>
      <c r="SFK38" s="66"/>
      <c r="SFL38" s="66"/>
      <c r="SFM38" s="66"/>
      <c r="SFN38" s="66"/>
      <c r="SFO38" s="66"/>
      <c r="SFP38" s="66"/>
      <c r="SFQ38" s="66"/>
      <c r="SFR38" s="66"/>
      <c r="SFS38" s="66"/>
      <c r="SFT38" s="66"/>
      <c r="SFU38" s="66"/>
      <c r="SFV38" s="66"/>
      <c r="SFW38" s="66"/>
      <c r="SFX38" s="66"/>
      <c r="SFY38" s="66"/>
      <c r="SFZ38" s="66"/>
      <c r="SGA38" s="66"/>
      <c r="SGB38" s="66"/>
      <c r="SGC38" s="66"/>
      <c r="SGD38" s="66"/>
      <c r="SGE38" s="66"/>
      <c r="SGF38" s="66"/>
      <c r="SGG38" s="66"/>
      <c r="SGH38" s="66"/>
      <c r="SGI38" s="66"/>
      <c r="SGJ38" s="66"/>
      <c r="SGK38" s="66"/>
      <c r="SGL38" s="66"/>
      <c r="SGM38" s="66"/>
      <c r="SGN38" s="66"/>
      <c r="SGO38" s="66"/>
      <c r="SGP38" s="66"/>
      <c r="SGQ38" s="66"/>
      <c r="SGR38" s="66"/>
      <c r="SGS38" s="66"/>
      <c r="SGT38" s="66"/>
      <c r="SGU38" s="66"/>
      <c r="SGV38" s="66"/>
      <c r="SGW38" s="66"/>
      <c r="SGX38" s="66"/>
      <c r="SGY38" s="66"/>
      <c r="SGZ38" s="66"/>
      <c r="SHA38" s="66"/>
      <c r="SHB38" s="66"/>
      <c r="SHC38" s="66"/>
      <c r="SHD38" s="66"/>
      <c r="SHE38" s="66"/>
      <c r="SHF38" s="66"/>
      <c r="SHG38" s="66"/>
      <c r="SHH38" s="66"/>
      <c r="SHI38" s="66"/>
      <c r="SHJ38" s="66"/>
      <c r="SHK38" s="66"/>
      <c r="SHL38" s="66"/>
      <c r="SHM38" s="66"/>
      <c r="SHN38" s="66"/>
      <c r="SHO38" s="66"/>
      <c r="SHP38" s="66"/>
      <c r="SHQ38" s="66"/>
      <c r="SHR38" s="66"/>
      <c r="SHS38" s="66"/>
      <c r="SHT38" s="66"/>
      <c r="SHU38" s="66"/>
      <c r="SHV38" s="66"/>
      <c r="SHW38" s="66"/>
      <c r="SHX38" s="66"/>
      <c r="SHY38" s="66"/>
      <c r="SHZ38" s="66"/>
      <c r="SIA38" s="66"/>
      <c r="SIB38" s="66"/>
      <c r="SIC38" s="66"/>
      <c r="SID38" s="66"/>
      <c r="SIE38" s="66"/>
      <c r="SIF38" s="66"/>
      <c r="SIG38" s="66"/>
      <c r="SIH38" s="66"/>
      <c r="SII38" s="66"/>
      <c r="SIJ38" s="66"/>
      <c r="SIK38" s="66"/>
      <c r="SIL38" s="66"/>
      <c r="SIM38" s="66"/>
      <c r="SIN38" s="66"/>
      <c r="SIO38" s="66"/>
      <c r="SIP38" s="66"/>
      <c r="SIQ38" s="66"/>
      <c r="SIR38" s="66"/>
      <c r="SIS38" s="66"/>
      <c r="SIT38" s="66"/>
      <c r="SIU38" s="66"/>
      <c r="SIV38" s="66"/>
      <c r="SIW38" s="66"/>
      <c r="SIX38" s="66"/>
      <c r="SIY38" s="66"/>
      <c r="SIZ38" s="66"/>
      <c r="SJA38" s="66"/>
      <c r="SJB38" s="66"/>
      <c r="SJC38" s="66"/>
      <c r="SJD38" s="66"/>
      <c r="SJE38" s="66"/>
      <c r="SJF38" s="66"/>
      <c r="SJG38" s="66"/>
      <c r="SJH38" s="66"/>
      <c r="SJI38" s="66"/>
      <c r="SJJ38" s="66"/>
      <c r="SJK38" s="66"/>
      <c r="SJL38" s="66"/>
      <c r="SJM38" s="66"/>
      <c r="SJN38" s="66"/>
      <c r="SJO38" s="66"/>
      <c r="SJP38" s="66"/>
      <c r="SJQ38" s="66"/>
      <c r="SJR38" s="66"/>
      <c r="SJS38" s="66"/>
      <c r="SJT38" s="66"/>
      <c r="SJU38" s="66"/>
      <c r="SJV38" s="66"/>
      <c r="SJW38" s="66"/>
      <c r="SJX38" s="66"/>
      <c r="SJY38" s="66"/>
      <c r="SJZ38" s="66"/>
      <c r="SKA38" s="66"/>
      <c r="SKB38" s="66"/>
      <c r="SKC38" s="66"/>
      <c r="SKD38" s="66"/>
      <c r="SKE38" s="66"/>
      <c r="SKF38" s="66"/>
      <c r="SKG38" s="66"/>
      <c r="SKH38" s="66"/>
      <c r="SKI38" s="66"/>
      <c r="SKJ38" s="66"/>
      <c r="SKK38" s="66"/>
      <c r="SKL38" s="66"/>
      <c r="SKM38" s="66"/>
      <c r="SKN38" s="66"/>
      <c r="SKO38" s="66"/>
      <c r="SKP38" s="66"/>
      <c r="SKQ38" s="66"/>
      <c r="SKR38" s="66"/>
      <c r="SKS38" s="66"/>
      <c r="SKT38" s="66"/>
      <c r="SKU38" s="66"/>
      <c r="SKV38" s="66"/>
      <c r="SKW38" s="66"/>
      <c r="SKX38" s="66"/>
      <c r="SKY38" s="66"/>
      <c r="SKZ38" s="66"/>
      <c r="SLA38" s="66"/>
      <c r="SLB38" s="66"/>
      <c r="SLC38" s="66"/>
      <c r="SLD38" s="66"/>
      <c r="SLE38" s="66"/>
      <c r="SLF38" s="66"/>
      <c r="SLG38" s="66"/>
      <c r="SLH38" s="66"/>
      <c r="SLI38" s="66"/>
      <c r="SLJ38" s="66"/>
      <c r="SLK38" s="66"/>
      <c r="SLL38" s="66"/>
      <c r="SLM38" s="66"/>
      <c r="SLN38" s="66"/>
      <c r="SLO38" s="66"/>
      <c r="SLP38" s="66"/>
      <c r="SLQ38" s="66"/>
      <c r="SLR38" s="66"/>
      <c r="SLS38" s="66"/>
      <c r="SLT38" s="66"/>
      <c r="SLU38" s="66"/>
      <c r="SLV38" s="66"/>
      <c r="SLW38" s="66"/>
      <c r="SLX38" s="66"/>
      <c r="SLY38" s="66"/>
      <c r="SLZ38" s="66"/>
      <c r="SMA38" s="66"/>
      <c r="SMB38" s="66"/>
      <c r="SMC38" s="66"/>
      <c r="SMD38" s="66"/>
      <c r="SME38" s="66"/>
      <c r="SMF38" s="66"/>
      <c r="SMG38" s="66"/>
      <c r="SMH38" s="66"/>
      <c r="SMI38" s="66"/>
      <c r="SMJ38" s="66"/>
      <c r="SMK38" s="66"/>
      <c r="SML38" s="66"/>
      <c r="SMM38" s="66"/>
      <c r="SMN38" s="66"/>
      <c r="SMO38" s="66"/>
      <c r="SMP38" s="66"/>
      <c r="SMQ38" s="66"/>
      <c r="SMR38" s="66"/>
      <c r="SMS38" s="66"/>
      <c r="SMT38" s="66"/>
      <c r="SMU38" s="66"/>
      <c r="SMV38" s="66"/>
      <c r="SMW38" s="66"/>
      <c r="SMX38" s="66"/>
      <c r="SMY38" s="66"/>
      <c r="SMZ38" s="66"/>
      <c r="SNA38" s="66"/>
      <c r="SNB38" s="66"/>
      <c r="SNC38" s="66"/>
      <c r="SND38" s="66"/>
      <c r="SNE38" s="66"/>
      <c r="SNF38" s="66"/>
      <c r="SNG38" s="66"/>
      <c r="SNH38" s="66"/>
      <c r="SNI38" s="66"/>
      <c r="SNJ38" s="66"/>
      <c r="SNK38" s="66"/>
      <c r="SNL38" s="66"/>
      <c r="SNM38" s="66"/>
      <c r="SNN38" s="66"/>
      <c r="SNO38" s="66"/>
      <c r="SNP38" s="66"/>
      <c r="SNQ38" s="66"/>
      <c r="SNR38" s="66"/>
      <c r="SNS38" s="66"/>
      <c r="SNT38" s="66"/>
      <c r="SNU38" s="66"/>
      <c r="SNV38" s="66"/>
      <c r="SNW38" s="66"/>
      <c r="SNX38" s="66"/>
      <c r="SNY38" s="66"/>
      <c r="SNZ38" s="66"/>
      <c r="SOA38" s="66"/>
      <c r="SOB38" s="66"/>
      <c r="SOC38" s="66"/>
      <c r="SOD38" s="66"/>
      <c r="SOE38" s="66"/>
      <c r="SOF38" s="66"/>
      <c r="SOG38" s="66"/>
      <c r="SOH38" s="66"/>
      <c r="SOI38" s="66"/>
      <c r="SOJ38" s="66"/>
      <c r="SOK38" s="66"/>
      <c r="SOL38" s="66"/>
      <c r="SOM38" s="66"/>
      <c r="SON38" s="66"/>
      <c r="SOO38" s="66"/>
      <c r="SOP38" s="66"/>
      <c r="SOQ38" s="66"/>
      <c r="SOR38" s="66"/>
      <c r="SOS38" s="66"/>
      <c r="SOT38" s="66"/>
      <c r="SOU38" s="66"/>
      <c r="SOV38" s="66"/>
      <c r="SOW38" s="66"/>
      <c r="SOX38" s="66"/>
      <c r="SOY38" s="66"/>
      <c r="SOZ38" s="66"/>
      <c r="SPA38" s="66"/>
      <c r="SPB38" s="66"/>
      <c r="SPC38" s="66"/>
      <c r="SPD38" s="66"/>
      <c r="SPE38" s="66"/>
      <c r="SPF38" s="66"/>
      <c r="SPG38" s="66"/>
      <c r="SPH38" s="66"/>
      <c r="SPI38" s="66"/>
      <c r="SPJ38" s="66"/>
      <c r="SPK38" s="66"/>
      <c r="SPL38" s="66"/>
      <c r="SPM38" s="66"/>
      <c r="SPN38" s="66"/>
      <c r="SPO38" s="66"/>
      <c r="SPP38" s="66"/>
      <c r="SPQ38" s="66"/>
      <c r="SPR38" s="66"/>
      <c r="SPS38" s="66"/>
      <c r="SPT38" s="66"/>
      <c r="SPU38" s="66"/>
      <c r="SPV38" s="66"/>
      <c r="SPW38" s="66"/>
      <c r="SPX38" s="66"/>
      <c r="SPY38" s="66"/>
      <c r="SPZ38" s="66"/>
      <c r="SQA38" s="66"/>
      <c r="SQB38" s="66"/>
      <c r="SQC38" s="66"/>
      <c r="SQD38" s="66"/>
      <c r="SQE38" s="66"/>
      <c r="SQF38" s="66"/>
      <c r="SQG38" s="66"/>
      <c r="SQH38" s="66"/>
      <c r="SQI38" s="66"/>
      <c r="SQJ38" s="66"/>
      <c r="SQK38" s="66"/>
      <c r="SQL38" s="66"/>
      <c r="SQM38" s="66"/>
      <c r="SQN38" s="66"/>
      <c r="SQO38" s="66"/>
      <c r="SQP38" s="66"/>
      <c r="SQQ38" s="66"/>
      <c r="SQR38" s="66"/>
      <c r="SQS38" s="66"/>
      <c r="SQT38" s="66"/>
      <c r="SQU38" s="66"/>
      <c r="SQV38" s="66"/>
      <c r="SQW38" s="66"/>
      <c r="SQX38" s="66"/>
      <c r="SQY38" s="66"/>
      <c r="SQZ38" s="66"/>
      <c r="SRA38" s="66"/>
      <c r="SRB38" s="66"/>
      <c r="SRC38" s="66"/>
      <c r="SRD38" s="66"/>
      <c r="SRE38" s="66"/>
      <c r="SRF38" s="66"/>
      <c r="SRG38" s="66"/>
      <c r="SRH38" s="66"/>
      <c r="SRI38" s="66"/>
      <c r="SRJ38" s="66"/>
      <c r="SRK38" s="66"/>
      <c r="SRL38" s="66"/>
      <c r="SRM38" s="66"/>
      <c r="SRN38" s="66"/>
      <c r="SRO38" s="66"/>
      <c r="SRP38" s="66"/>
      <c r="SRQ38" s="66"/>
      <c r="SRR38" s="66"/>
      <c r="SRS38" s="66"/>
      <c r="SRT38" s="66"/>
      <c r="SRU38" s="66"/>
      <c r="SRV38" s="66"/>
      <c r="SRW38" s="66"/>
      <c r="SRX38" s="66"/>
      <c r="SRY38" s="66"/>
      <c r="SRZ38" s="66"/>
      <c r="SSA38" s="66"/>
      <c r="SSB38" s="66"/>
      <c r="SSC38" s="66"/>
      <c r="SSD38" s="66"/>
      <c r="SSE38" s="66"/>
      <c r="SSF38" s="66"/>
      <c r="SSG38" s="66"/>
      <c r="SSH38" s="66"/>
      <c r="SSI38" s="66"/>
      <c r="SSJ38" s="66"/>
      <c r="SSK38" s="66"/>
      <c r="SSL38" s="66"/>
      <c r="SSM38" s="66"/>
      <c r="SSN38" s="66"/>
      <c r="SSO38" s="66"/>
      <c r="SSP38" s="66"/>
      <c r="SSQ38" s="66"/>
      <c r="SSR38" s="66"/>
      <c r="SSS38" s="66"/>
      <c r="SST38" s="66"/>
      <c r="SSU38" s="66"/>
      <c r="SSV38" s="66"/>
      <c r="SSW38" s="66"/>
      <c r="SSX38" s="66"/>
      <c r="SSY38" s="66"/>
      <c r="SSZ38" s="66"/>
      <c r="STA38" s="66"/>
      <c r="STB38" s="66"/>
      <c r="STC38" s="66"/>
      <c r="STD38" s="66"/>
      <c r="STE38" s="66"/>
      <c r="STF38" s="66"/>
      <c r="STG38" s="66"/>
      <c r="STH38" s="66"/>
      <c r="STI38" s="66"/>
      <c r="STJ38" s="66"/>
      <c r="STK38" s="66"/>
      <c r="STL38" s="66"/>
      <c r="STM38" s="66"/>
      <c r="STN38" s="66"/>
      <c r="STO38" s="66"/>
      <c r="STP38" s="66"/>
      <c r="STQ38" s="66"/>
      <c r="STR38" s="66"/>
      <c r="STS38" s="66"/>
      <c r="STT38" s="66"/>
      <c r="STU38" s="66"/>
      <c r="STV38" s="66"/>
      <c r="STW38" s="66"/>
      <c r="STX38" s="66"/>
      <c r="STY38" s="66"/>
      <c r="STZ38" s="66"/>
      <c r="SUA38" s="66"/>
      <c r="SUB38" s="66"/>
      <c r="SUC38" s="66"/>
      <c r="SUD38" s="66"/>
      <c r="SUE38" s="66"/>
      <c r="SUF38" s="66"/>
      <c r="SUG38" s="66"/>
      <c r="SUH38" s="66"/>
      <c r="SUI38" s="66"/>
      <c r="SUJ38" s="66"/>
      <c r="SUK38" s="66"/>
      <c r="SUL38" s="66"/>
      <c r="SUM38" s="66"/>
      <c r="SUN38" s="66"/>
      <c r="SUO38" s="66"/>
      <c r="SUP38" s="66"/>
      <c r="SUQ38" s="66"/>
      <c r="SUR38" s="66"/>
      <c r="SUS38" s="66"/>
      <c r="SUT38" s="66"/>
      <c r="SUU38" s="66"/>
      <c r="SUV38" s="66"/>
      <c r="SUW38" s="66"/>
      <c r="SUX38" s="66"/>
      <c r="SUY38" s="66"/>
      <c r="SUZ38" s="66"/>
      <c r="SVA38" s="66"/>
      <c r="SVB38" s="66"/>
      <c r="SVC38" s="66"/>
      <c r="SVD38" s="66"/>
      <c r="SVE38" s="66"/>
      <c r="SVF38" s="66"/>
      <c r="SVG38" s="66"/>
      <c r="SVH38" s="66"/>
      <c r="SVI38" s="66"/>
      <c r="SVJ38" s="66"/>
      <c r="SVK38" s="66"/>
      <c r="SVL38" s="66"/>
      <c r="SVM38" s="66"/>
      <c r="SVN38" s="66"/>
      <c r="SVO38" s="66"/>
      <c r="SVP38" s="66"/>
      <c r="SVQ38" s="66"/>
      <c r="SVR38" s="66"/>
      <c r="SVS38" s="66"/>
      <c r="SVT38" s="66"/>
      <c r="SVU38" s="66"/>
      <c r="SVV38" s="66"/>
      <c r="SVW38" s="66"/>
      <c r="SVX38" s="66"/>
      <c r="SVY38" s="66"/>
      <c r="SVZ38" s="66"/>
      <c r="SWA38" s="66"/>
      <c r="SWB38" s="66"/>
      <c r="SWC38" s="66"/>
      <c r="SWD38" s="66"/>
      <c r="SWE38" s="66"/>
      <c r="SWF38" s="66"/>
      <c r="SWG38" s="66"/>
      <c r="SWH38" s="66"/>
      <c r="SWI38" s="66"/>
      <c r="SWJ38" s="66"/>
      <c r="SWK38" s="66"/>
      <c r="SWL38" s="66"/>
      <c r="SWM38" s="66"/>
      <c r="SWN38" s="66"/>
      <c r="SWO38" s="66"/>
      <c r="SWP38" s="66"/>
      <c r="SWQ38" s="66"/>
      <c r="SWR38" s="66"/>
      <c r="SWS38" s="66"/>
      <c r="SWT38" s="66"/>
      <c r="SWU38" s="66"/>
      <c r="SWV38" s="66"/>
      <c r="SWW38" s="66"/>
      <c r="SWX38" s="66"/>
      <c r="SWY38" s="66"/>
      <c r="SWZ38" s="66"/>
      <c r="SXA38" s="66"/>
      <c r="SXB38" s="66"/>
      <c r="SXC38" s="66"/>
      <c r="SXD38" s="66"/>
      <c r="SXE38" s="66"/>
      <c r="SXF38" s="66"/>
      <c r="SXG38" s="66"/>
      <c r="SXH38" s="66"/>
      <c r="SXI38" s="66"/>
      <c r="SXJ38" s="66"/>
      <c r="SXK38" s="66"/>
      <c r="SXL38" s="66"/>
      <c r="SXM38" s="66"/>
      <c r="SXN38" s="66"/>
      <c r="SXO38" s="66"/>
      <c r="SXP38" s="66"/>
      <c r="SXQ38" s="66"/>
      <c r="SXR38" s="66"/>
      <c r="SXS38" s="66"/>
      <c r="SXT38" s="66"/>
      <c r="SXU38" s="66"/>
      <c r="SXV38" s="66"/>
      <c r="SXW38" s="66"/>
      <c r="SXX38" s="66"/>
      <c r="SXY38" s="66"/>
      <c r="SXZ38" s="66"/>
      <c r="SYA38" s="66"/>
      <c r="SYB38" s="66"/>
      <c r="SYC38" s="66"/>
      <c r="SYD38" s="66"/>
      <c r="SYE38" s="66"/>
      <c r="SYF38" s="66"/>
      <c r="SYG38" s="66"/>
      <c r="SYH38" s="66"/>
      <c r="SYI38" s="66"/>
      <c r="SYJ38" s="66"/>
      <c r="SYK38" s="66"/>
      <c r="SYL38" s="66"/>
      <c r="SYM38" s="66"/>
      <c r="SYN38" s="66"/>
      <c r="SYO38" s="66"/>
      <c r="SYP38" s="66"/>
      <c r="SYQ38" s="66"/>
      <c r="SYR38" s="66"/>
      <c r="SYS38" s="66"/>
      <c r="SYT38" s="66"/>
      <c r="SYU38" s="66"/>
      <c r="SYV38" s="66"/>
      <c r="SYW38" s="66"/>
      <c r="SYX38" s="66"/>
      <c r="SYY38" s="66"/>
      <c r="SYZ38" s="66"/>
      <c r="SZA38" s="66"/>
      <c r="SZB38" s="66"/>
      <c r="SZC38" s="66"/>
      <c r="SZD38" s="66"/>
      <c r="SZE38" s="66"/>
      <c r="SZF38" s="66"/>
      <c r="SZG38" s="66"/>
      <c r="SZH38" s="66"/>
      <c r="SZI38" s="66"/>
      <c r="SZJ38" s="66"/>
      <c r="SZK38" s="66"/>
      <c r="SZL38" s="66"/>
      <c r="SZM38" s="66"/>
      <c r="SZN38" s="66"/>
      <c r="SZO38" s="66"/>
      <c r="SZP38" s="66"/>
      <c r="SZQ38" s="66"/>
      <c r="SZR38" s="66"/>
      <c r="SZS38" s="66"/>
      <c r="SZT38" s="66"/>
      <c r="SZU38" s="66"/>
      <c r="SZV38" s="66"/>
      <c r="SZW38" s="66"/>
      <c r="SZX38" s="66"/>
      <c r="SZY38" s="66"/>
      <c r="SZZ38" s="66"/>
      <c r="TAA38" s="66"/>
      <c r="TAB38" s="66"/>
      <c r="TAC38" s="66"/>
      <c r="TAD38" s="66"/>
      <c r="TAE38" s="66"/>
      <c r="TAF38" s="66"/>
      <c r="TAG38" s="66"/>
      <c r="TAH38" s="66"/>
      <c r="TAI38" s="66"/>
      <c r="TAJ38" s="66"/>
      <c r="TAK38" s="66"/>
      <c r="TAL38" s="66"/>
      <c r="TAM38" s="66"/>
      <c r="TAN38" s="66"/>
      <c r="TAO38" s="66"/>
      <c r="TAP38" s="66"/>
      <c r="TAQ38" s="66"/>
      <c r="TAR38" s="66"/>
      <c r="TAS38" s="66"/>
      <c r="TAT38" s="66"/>
      <c r="TAU38" s="66"/>
      <c r="TAV38" s="66"/>
      <c r="TAW38" s="66"/>
      <c r="TAX38" s="66"/>
      <c r="TAY38" s="66"/>
      <c r="TAZ38" s="66"/>
      <c r="TBA38" s="66"/>
      <c r="TBB38" s="66"/>
      <c r="TBC38" s="66"/>
      <c r="TBD38" s="66"/>
      <c r="TBE38" s="66"/>
      <c r="TBF38" s="66"/>
      <c r="TBG38" s="66"/>
      <c r="TBH38" s="66"/>
      <c r="TBI38" s="66"/>
      <c r="TBJ38" s="66"/>
      <c r="TBK38" s="66"/>
      <c r="TBL38" s="66"/>
      <c r="TBM38" s="66"/>
      <c r="TBN38" s="66"/>
      <c r="TBO38" s="66"/>
      <c r="TBP38" s="66"/>
      <c r="TBQ38" s="66"/>
      <c r="TBR38" s="66"/>
      <c r="TBS38" s="66"/>
      <c r="TBT38" s="66"/>
      <c r="TBU38" s="66"/>
      <c r="TBV38" s="66"/>
      <c r="TBW38" s="66"/>
      <c r="TBX38" s="66"/>
      <c r="TBY38" s="66"/>
      <c r="TBZ38" s="66"/>
      <c r="TCA38" s="66"/>
      <c r="TCB38" s="66"/>
      <c r="TCC38" s="66"/>
      <c r="TCD38" s="66"/>
      <c r="TCE38" s="66"/>
      <c r="TCF38" s="66"/>
      <c r="TCG38" s="66"/>
      <c r="TCH38" s="66"/>
      <c r="TCI38" s="66"/>
      <c r="TCJ38" s="66"/>
      <c r="TCK38" s="66"/>
      <c r="TCL38" s="66"/>
      <c r="TCM38" s="66"/>
      <c r="TCN38" s="66"/>
      <c r="TCO38" s="66"/>
      <c r="TCP38" s="66"/>
      <c r="TCQ38" s="66"/>
      <c r="TCR38" s="66"/>
      <c r="TCS38" s="66"/>
      <c r="TCT38" s="66"/>
      <c r="TCU38" s="66"/>
      <c r="TCV38" s="66"/>
      <c r="TCW38" s="66"/>
      <c r="TCX38" s="66"/>
      <c r="TCY38" s="66"/>
      <c r="TCZ38" s="66"/>
      <c r="TDA38" s="66"/>
      <c r="TDB38" s="66"/>
      <c r="TDC38" s="66"/>
      <c r="TDD38" s="66"/>
      <c r="TDE38" s="66"/>
      <c r="TDF38" s="66"/>
      <c r="TDG38" s="66"/>
      <c r="TDH38" s="66"/>
      <c r="TDI38" s="66"/>
      <c r="TDJ38" s="66"/>
      <c r="TDK38" s="66"/>
      <c r="TDL38" s="66"/>
      <c r="TDM38" s="66"/>
      <c r="TDN38" s="66"/>
      <c r="TDO38" s="66"/>
      <c r="TDP38" s="66"/>
      <c r="TDQ38" s="66"/>
      <c r="TDR38" s="66"/>
      <c r="TDS38" s="66"/>
      <c r="TDT38" s="66"/>
      <c r="TDU38" s="66"/>
      <c r="TDV38" s="66"/>
      <c r="TDW38" s="66"/>
      <c r="TDX38" s="66"/>
      <c r="TDY38" s="66"/>
      <c r="TDZ38" s="66"/>
      <c r="TEA38" s="66"/>
      <c r="TEB38" s="66"/>
      <c r="TEC38" s="66"/>
      <c r="TED38" s="66"/>
      <c r="TEE38" s="66"/>
      <c r="TEF38" s="66"/>
      <c r="TEG38" s="66"/>
      <c r="TEH38" s="66"/>
      <c r="TEI38" s="66"/>
      <c r="TEJ38" s="66"/>
      <c r="TEK38" s="66"/>
      <c r="TEL38" s="66"/>
      <c r="TEM38" s="66"/>
      <c r="TEN38" s="66"/>
      <c r="TEO38" s="66"/>
      <c r="TEP38" s="66"/>
      <c r="TEQ38" s="66"/>
      <c r="TER38" s="66"/>
      <c r="TES38" s="66"/>
      <c r="TET38" s="66"/>
      <c r="TEU38" s="66"/>
      <c r="TEV38" s="66"/>
      <c r="TEW38" s="66"/>
      <c r="TEX38" s="66"/>
      <c r="TEY38" s="66"/>
      <c r="TEZ38" s="66"/>
      <c r="TFA38" s="66"/>
      <c r="TFB38" s="66"/>
      <c r="TFC38" s="66"/>
      <c r="TFD38" s="66"/>
      <c r="TFE38" s="66"/>
      <c r="TFF38" s="66"/>
      <c r="TFG38" s="66"/>
      <c r="TFH38" s="66"/>
      <c r="TFI38" s="66"/>
      <c r="TFJ38" s="66"/>
      <c r="TFK38" s="66"/>
      <c r="TFL38" s="66"/>
      <c r="TFM38" s="66"/>
      <c r="TFN38" s="66"/>
      <c r="TFO38" s="66"/>
      <c r="TFP38" s="66"/>
      <c r="TFQ38" s="66"/>
      <c r="TFR38" s="66"/>
      <c r="TFS38" s="66"/>
      <c r="TFT38" s="66"/>
      <c r="TFU38" s="66"/>
      <c r="TFV38" s="66"/>
      <c r="TFW38" s="66"/>
      <c r="TFX38" s="66"/>
      <c r="TFY38" s="66"/>
      <c r="TFZ38" s="66"/>
      <c r="TGA38" s="66"/>
      <c r="TGB38" s="66"/>
      <c r="TGC38" s="66"/>
      <c r="TGD38" s="66"/>
      <c r="TGE38" s="66"/>
      <c r="TGF38" s="66"/>
      <c r="TGG38" s="66"/>
      <c r="TGH38" s="66"/>
      <c r="TGI38" s="66"/>
      <c r="TGJ38" s="66"/>
      <c r="TGK38" s="66"/>
      <c r="TGL38" s="66"/>
      <c r="TGM38" s="66"/>
      <c r="TGN38" s="66"/>
      <c r="TGO38" s="66"/>
      <c r="TGP38" s="66"/>
      <c r="TGQ38" s="66"/>
      <c r="TGR38" s="66"/>
      <c r="TGS38" s="66"/>
      <c r="TGT38" s="66"/>
      <c r="TGU38" s="66"/>
      <c r="TGV38" s="66"/>
      <c r="TGW38" s="66"/>
      <c r="TGX38" s="66"/>
      <c r="TGY38" s="66"/>
      <c r="TGZ38" s="66"/>
      <c r="THA38" s="66"/>
      <c r="THB38" s="66"/>
      <c r="THC38" s="66"/>
      <c r="THD38" s="66"/>
      <c r="THE38" s="66"/>
      <c r="THF38" s="66"/>
      <c r="THG38" s="66"/>
      <c r="THH38" s="66"/>
      <c r="THI38" s="66"/>
      <c r="THJ38" s="66"/>
      <c r="THK38" s="66"/>
      <c r="THL38" s="66"/>
      <c r="THM38" s="66"/>
      <c r="THN38" s="66"/>
      <c r="THO38" s="66"/>
      <c r="THP38" s="66"/>
      <c r="THQ38" s="66"/>
      <c r="THR38" s="66"/>
      <c r="THS38" s="66"/>
      <c r="THT38" s="66"/>
      <c r="THU38" s="66"/>
      <c r="THV38" s="66"/>
      <c r="THW38" s="66"/>
      <c r="THX38" s="66"/>
      <c r="THY38" s="66"/>
      <c r="THZ38" s="66"/>
      <c r="TIA38" s="66"/>
      <c r="TIB38" s="66"/>
      <c r="TIC38" s="66"/>
      <c r="TID38" s="66"/>
      <c r="TIE38" s="66"/>
      <c r="TIF38" s="66"/>
      <c r="TIG38" s="66"/>
      <c r="TIH38" s="66"/>
      <c r="TII38" s="66"/>
      <c r="TIJ38" s="66"/>
      <c r="TIK38" s="66"/>
      <c r="TIL38" s="66"/>
      <c r="TIM38" s="66"/>
      <c r="TIN38" s="66"/>
      <c r="TIO38" s="66"/>
      <c r="TIP38" s="66"/>
      <c r="TIQ38" s="66"/>
      <c r="TIR38" s="66"/>
      <c r="TIS38" s="66"/>
      <c r="TIT38" s="66"/>
      <c r="TIU38" s="66"/>
      <c r="TIV38" s="66"/>
      <c r="TIW38" s="66"/>
      <c r="TIX38" s="66"/>
      <c r="TIY38" s="66"/>
      <c r="TIZ38" s="66"/>
      <c r="TJA38" s="66"/>
      <c r="TJB38" s="66"/>
      <c r="TJC38" s="66"/>
      <c r="TJD38" s="66"/>
      <c r="TJE38" s="66"/>
      <c r="TJF38" s="66"/>
      <c r="TJG38" s="66"/>
      <c r="TJH38" s="66"/>
      <c r="TJI38" s="66"/>
      <c r="TJJ38" s="66"/>
      <c r="TJK38" s="66"/>
      <c r="TJL38" s="66"/>
      <c r="TJM38" s="66"/>
      <c r="TJN38" s="66"/>
      <c r="TJO38" s="66"/>
      <c r="TJP38" s="66"/>
      <c r="TJQ38" s="66"/>
      <c r="TJR38" s="66"/>
      <c r="TJS38" s="66"/>
      <c r="TJT38" s="66"/>
      <c r="TJU38" s="66"/>
      <c r="TJV38" s="66"/>
      <c r="TJW38" s="66"/>
      <c r="TJX38" s="66"/>
      <c r="TJY38" s="66"/>
      <c r="TJZ38" s="66"/>
      <c r="TKA38" s="66"/>
      <c r="TKB38" s="66"/>
      <c r="TKC38" s="66"/>
      <c r="TKD38" s="66"/>
      <c r="TKE38" s="66"/>
      <c r="TKF38" s="66"/>
      <c r="TKG38" s="66"/>
      <c r="TKH38" s="66"/>
      <c r="TKI38" s="66"/>
      <c r="TKJ38" s="66"/>
      <c r="TKK38" s="66"/>
      <c r="TKL38" s="66"/>
      <c r="TKM38" s="66"/>
      <c r="TKN38" s="66"/>
      <c r="TKO38" s="66"/>
      <c r="TKP38" s="66"/>
      <c r="TKQ38" s="66"/>
      <c r="TKR38" s="66"/>
      <c r="TKS38" s="66"/>
      <c r="TKT38" s="66"/>
      <c r="TKU38" s="66"/>
      <c r="TKV38" s="66"/>
      <c r="TKW38" s="66"/>
      <c r="TKX38" s="66"/>
      <c r="TKY38" s="66"/>
      <c r="TKZ38" s="66"/>
      <c r="TLA38" s="66"/>
      <c r="TLB38" s="66"/>
      <c r="TLC38" s="66"/>
      <c r="TLD38" s="66"/>
      <c r="TLE38" s="66"/>
      <c r="TLF38" s="66"/>
      <c r="TLG38" s="66"/>
      <c r="TLH38" s="66"/>
      <c r="TLI38" s="66"/>
      <c r="TLJ38" s="66"/>
      <c r="TLK38" s="66"/>
      <c r="TLL38" s="66"/>
      <c r="TLM38" s="66"/>
      <c r="TLN38" s="66"/>
      <c r="TLO38" s="66"/>
      <c r="TLP38" s="66"/>
      <c r="TLQ38" s="66"/>
      <c r="TLR38" s="66"/>
      <c r="TLS38" s="66"/>
      <c r="TLT38" s="66"/>
      <c r="TLU38" s="66"/>
      <c r="TLV38" s="66"/>
      <c r="TLW38" s="66"/>
      <c r="TLX38" s="66"/>
      <c r="TLY38" s="66"/>
      <c r="TLZ38" s="66"/>
      <c r="TMA38" s="66"/>
      <c r="TMB38" s="66"/>
      <c r="TMC38" s="66"/>
      <c r="TMD38" s="66"/>
      <c r="TME38" s="66"/>
      <c r="TMF38" s="66"/>
      <c r="TMG38" s="66"/>
      <c r="TMH38" s="66"/>
      <c r="TMI38" s="66"/>
      <c r="TMJ38" s="66"/>
      <c r="TMK38" s="66"/>
      <c r="TML38" s="66"/>
      <c r="TMM38" s="66"/>
      <c r="TMN38" s="66"/>
      <c r="TMO38" s="66"/>
      <c r="TMP38" s="66"/>
      <c r="TMQ38" s="66"/>
      <c r="TMR38" s="66"/>
      <c r="TMS38" s="66"/>
      <c r="TMT38" s="66"/>
      <c r="TMU38" s="66"/>
      <c r="TMV38" s="66"/>
      <c r="TMW38" s="66"/>
      <c r="TMX38" s="66"/>
      <c r="TMY38" s="66"/>
      <c r="TMZ38" s="66"/>
      <c r="TNA38" s="66"/>
      <c r="TNB38" s="66"/>
      <c r="TNC38" s="66"/>
      <c r="TND38" s="66"/>
      <c r="TNE38" s="66"/>
      <c r="TNF38" s="66"/>
      <c r="TNG38" s="66"/>
      <c r="TNH38" s="66"/>
      <c r="TNI38" s="66"/>
      <c r="TNJ38" s="66"/>
      <c r="TNK38" s="66"/>
      <c r="TNL38" s="66"/>
      <c r="TNM38" s="66"/>
      <c r="TNN38" s="66"/>
      <c r="TNO38" s="66"/>
      <c r="TNP38" s="66"/>
      <c r="TNQ38" s="66"/>
      <c r="TNR38" s="66"/>
      <c r="TNS38" s="66"/>
      <c r="TNT38" s="66"/>
      <c r="TNU38" s="66"/>
      <c r="TNV38" s="66"/>
      <c r="TNW38" s="66"/>
      <c r="TNX38" s="66"/>
      <c r="TNY38" s="66"/>
      <c r="TNZ38" s="66"/>
      <c r="TOA38" s="66"/>
      <c r="TOB38" s="66"/>
      <c r="TOC38" s="66"/>
      <c r="TOD38" s="66"/>
      <c r="TOE38" s="66"/>
      <c r="TOF38" s="66"/>
      <c r="TOG38" s="66"/>
      <c r="TOH38" s="66"/>
      <c r="TOI38" s="66"/>
      <c r="TOJ38" s="66"/>
      <c r="TOK38" s="66"/>
      <c r="TOL38" s="66"/>
      <c r="TOM38" s="66"/>
      <c r="TON38" s="66"/>
      <c r="TOO38" s="66"/>
      <c r="TOP38" s="66"/>
      <c r="TOQ38" s="66"/>
      <c r="TOR38" s="66"/>
      <c r="TOS38" s="66"/>
      <c r="TOT38" s="66"/>
      <c r="TOU38" s="66"/>
      <c r="TOV38" s="66"/>
      <c r="TOW38" s="66"/>
      <c r="TOX38" s="66"/>
      <c r="TOY38" s="66"/>
      <c r="TOZ38" s="66"/>
      <c r="TPA38" s="66"/>
      <c r="TPB38" s="66"/>
      <c r="TPC38" s="66"/>
      <c r="TPD38" s="66"/>
      <c r="TPE38" s="66"/>
      <c r="TPF38" s="66"/>
      <c r="TPG38" s="66"/>
      <c r="TPH38" s="66"/>
      <c r="TPI38" s="66"/>
      <c r="TPJ38" s="66"/>
      <c r="TPK38" s="66"/>
      <c r="TPL38" s="66"/>
      <c r="TPM38" s="66"/>
      <c r="TPN38" s="66"/>
      <c r="TPO38" s="66"/>
      <c r="TPP38" s="66"/>
      <c r="TPQ38" s="66"/>
      <c r="TPR38" s="66"/>
      <c r="TPS38" s="66"/>
      <c r="TPT38" s="66"/>
      <c r="TPU38" s="66"/>
      <c r="TPV38" s="66"/>
      <c r="TPW38" s="66"/>
      <c r="TPX38" s="66"/>
      <c r="TPY38" s="66"/>
      <c r="TPZ38" s="66"/>
      <c r="TQA38" s="66"/>
      <c r="TQB38" s="66"/>
      <c r="TQC38" s="66"/>
      <c r="TQD38" s="66"/>
      <c r="TQE38" s="66"/>
      <c r="TQF38" s="66"/>
      <c r="TQG38" s="66"/>
      <c r="TQH38" s="66"/>
      <c r="TQI38" s="66"/>
      <c r="TQJ38" s="66"/>
      <c r="TQK38" s="66"/>
      <c r="TQL38" s="66"/>
      <c r="TQM38" s="66"/>
      <c r="TQN38" s="66"/>
      <c r="TQO38" s="66"/>
      <c r="TQP38" s="66"/>
      <c r="TQQ38" s="66"/>
      <c r="TQR38" s="66"/>
      <c r="TQS38" s="66"/>
      <c r="TQT38" s="66"/>
      <c r="TQU38" s="66"/>
      <c r="TQV38" s="66"/>
      <c r="TQW38" s="66"/>
      <c r="TQX38" s="66"/>
      <c r="TQY38" s="66"/>
      <c r="TQZ38" s="66"/>
      <c r="TRA38" s="66"/>
      <c r="TRB38" s="66"/>
      <c r="TRC38" s="66"/>
      <c r="TRD38" s="66"/>
      <c r="TRE38" s="66"/>
      <c r="TRF38" s="66"/>
      <c r="TRG38" s="66"/>
      <c r="TRH38" s="66"/>
      <c r="TRI38" s="66"/>
      <c r="TRJ38" s="66"/>
      <c r="TRK38" s="66"/>
      <c r="TRL38" s="66"/>
      <c r="TRM38" s="66"/>
      <c r="TRN38" s="66"/>
      <c r="TRO38" s="66"/>
      <c r="TRP38" s="66"/>
      <c r="TRQ38" s="66"/>
      <c r="TRR38" s="66"/>
      <c r="TRS38" s="66"/>
      <c r="TRT38" s="66"/>
      <c r="TRU38" s="66"/>
      <c r="TRV38" s="66"/>
      <c r="TRW38" s="66"/>
      <c r="TRX38" s="66"/>
      <c r="TRY38" s="66"/>
      <c r="TRZ38" s="66"/>
      <c r="TSA38" s="66"/>
      <c r="TSB38" s="66"/>
      <c r="TSC38" s="66"/>
      <c r="TSD38" s="66"/>
      <c r="TSE38" s="66"/>
      <c r="TSF38" s="66"/>
      <c r="TSG38" s="66"/>
      <c r="TSH38" s="66"/>
      <c r="TSI38" s="66"/>
      <c r="TSJ38" s="66"/>
      <c r="TSK38" s="66"/>
      <c r="TSL38" s="66"/>
      <c r="TSM38" s="66"/>
      <c r="TSN38" s="66"/>
      <c r="TSO38" s="66"/>
      <c r="TSP38" s="66"/>
      <c r="TSQ38" s="66"/>
      <c r="TSR38" s="66"/>
      <c r="TSS38" s="66"/>
      <c r="TST38" s="66"/>
      <c r="TSU38" s="66"/>
      <c r="TSV38" s="66"/>
      <c r="TSW38" s="66"/>
      <c r="TSX38" s="66"/>
      <c r="TSY38" s="66"/>
      <c r="TSZ38" s="66"/>
      <c r="TTA38" s="66"/>
      <c r="TTB38" s="66"/>
      <c r="TTC38" s="66"/>
      <c r="TTD38" s="66"/>
      <c r="TTE38" s="66"/>
      <c r="TTF38" s="66"/>
      <c r="TTG38" s="66"/>
      <c r="TTH38" s="66"/>
      <c r="TTI38" s="66"/>
      <c r="TTJ38" s="66"/>
      <c r="TTK38" s="66"/>
      <c r="TTL38" s="66"/>
      <c r="TTM38" s="66"/>
      <c r="TTN38" s="66"/>
      <c r="TTO38" s="66"/>
      <c r="TTP38" s="66"/>
      <c r="TTQ38" s="66"/>
      <c r="TTR38" s="66"/>
      <c r="TTS38" s="66"/>
      <c r="TTT38" s="66"/>
      <c r="TTU38" s="66"/>
      <c r="TTV38" s="66"/>
      <c r="TTW38" s="66"/>
      <c r="TTX38" s="66"/>
      <c r="TTY38" s="66"/>
      <c r="TTZ38" s="66"/>
      <c r="TUA38" s="66"/>
      <c r="TUB38" s="66"/>
      <c r="TUC38" s="66"/>
      <c r="TUD38" s="66"/>
      <c r="TUE38" s="66"/>
      <c r="TUF38" s="66"/>
      <c r="TUG38" s="66"/>
      <c r="TUH38" s="66"/>
      <c r="TUI38" s="66"/>
      <c r="TUJ38" s="66"/>
      <c r="TUK38" s="66"/>
      <c r="TUL38" s="66"/>
      <c r="TUM38" s="66"/>
      <c r="TUN38" s="66"/>
      <c r="TUO38" s="66"/>
      <c r="TUP38" s="66"/>
      <c r="TUQ38" s="66"/>
      <c r="TUR38" s="66"/>
      <c r="TUS38" s="66"/>
      <c r="TUT38" s="66"/>
      <c r="TUU38" s="66"/>
      <c r="TUV38" s="66"/>
      <c r="TUW38" s="66"/>
      <c r="TUX38" s="66"/>
      <c r="TUY38" s="66"/>
      <c r="TUZ38" s="66"/>
      <c r="TVA38" s="66"/>
      <c r="TVB38" s="66"/>
      <c r="TVC38" s="66"/>
      <c r="TVD38" s="66"/>
      <c r="TVE38" s="66"/>
      <c r="TVF38" s="66"/>
      <c r="TVG38" s="66"/>
      <c r="TVH38" s="66"/>
      <c r="TVI38" s="66"/>
      <c r="TVJ38" s="66"/>
      <c r="TVK38" s="66"/>
      <c r="TVL38" s="66"/>
      <c r="TVM38" s="66"/>
      <c r="TVN38" s="66"/>
      <c r="TVO38" s="66"/>
      <c r="TVP38" s="66"/>
      <c r="TVQ38" s="66"/>
      <c r="TVR38" s="66"/>
      <c r="TVS38" s="66"/>
      <c r="TVT38" s="66"/>
      <c r="TVU38" s="66"/>
      <c r="TVV38" s="66"/>
      <c r="TVW38" s="66"/>
      <c r="TVX38" s="66"/>
      <c r="TVY38" s="66"/>
      <c r="TVZ38" s="66"/>
      <c r="TWA38" s="66"/>
      <c r="TWB38" s="66"/>
      <c r="TWC38" s="66"/>
      <c r="TWD38" s="66"/>
      <c r="TWE38" s="66"/>
      <c r="TWF38" s="66"/>
      <c r="TWG38" s="66"/>
      <c r="TWH38" s="66"/>
      <c r="TWI38" s="66"/>
      <c r="TWJ38" s="66"/>
      <c r="TWK38" s="66"/>
      <c r="TWL38" s="66"/>
      <c r="TWM38" s="66"/>
      <c r="TWN38" s="66"/>
      <c r="TWO38" s="66"/>
      <c r="TWP38" s="66"/>
      <c r="TWQ38" s="66"/>
      <c r="TWR38" s="66"/>
      <c r="TWS38" s="66"/>
      <c r="TWT38" s="66"/>
      <c r="TWU38" s="66"/>
      <c r="TWV38" s="66"/>
      <c r="TWW38" s="66"/>
      <c r="TWX38" s="66"/>
      <c r="TWY38" s="66"/>
      <c r="TWZ38" s="66"/>
      <c r="TXA38" s="66"/>
      <c r="TXB38" s="66"/>
      <c r="TXC38" s="66"/>
      <c r="TXD38" s="66"/>
      <c r="TXE38" s="66"/>
      <c r="TXF38" s="66"/>
      <c r="TXG38" s="66"/>
      <c r="TXH38" s="66"/>
      <c r="TXI38" s="66"/>
      <c r="TXJ38" s="66"/>
      <c r="TXK38" s="66"/>
      <c r="TXL38" s="66"/>
      <c r="TXM38" s="66"/>
      <c r="TXN38" s="66"/>
      <c r="TXO38" s="66"/>
      <c r="TXP38" s="66"/>
      <c r="TXQ38" s="66"/>
      <c r="TXR38" s="66"/>
      <c r="TXS38" s="66"/>
      <c r="TXT38" s="66"/>
      <c r="TXU38" s="66"/>
      <c r="TXV38" s="66"/>
      <c r="TXW38" s="66"/>
      <c r="TXX38" s="66"/>
      <c r="TXY38" s="66"/>
      <c r="TXZ38" s="66"/>
      <c r="TYA38" s="66"/>
      <c r="TYB38" s="66"/>
      <c r="TYC38" s="66"/>
      <c r="TYD38" s="66"/>
      <c r="TYE38" s="66"/>
      <c r="TYF38" s="66"/>
      <c r="TYG38" s="66"/>
      <c r="TYH38" s="66"/>
      <c r="TYI38" s="66"/>
      <c r="TYJ38" s="66"/>
      <c r="TYK38" s="66"/>
      <c r="TYL38" s="66"/>
      <c r="TYM38" s="66"/>
      <c r="TYN38" s="66"/>
      <c r="TYO38" s="66"/>
      <c r="TYP38" s="66"/>
      <c r="TYQ38" s="66"/>
      <c r="TYR38" s="66"/>
      <c r="TYS38" s="66"/>
      <c r="TYT38" s="66"/>
      <c r="TYU38" s="66"/>
      <c r="TYV38" s="66"/>
      <c r="TYW38" s="66"/>
      <c r="TYX38" s="66"/>
      <c r="TYY38" s="66"/>
      <c r="TYZ38" s="66"/>
      <c r="TZA38" s="66"/>
      <c r="TZB38" s="66"/>
      <c r="TZC38" s="66"/>
      <c r="TZD38" s="66"/>
      <c r="TZE38" s="66"/>
      <c r="TZF38" s="66"/>
      <c r="TZG38" s="66"/>
      <c r="TZH38" s="66"/>
      <c r="TZI38" s="66"/>
      <c r="TZJ38" s="66"/>
      <c r="TZK38" s="66"/>
      <c r="TZL38" s="66"/>
      <c r="TZM38" s="66"/>
      <c r="TZN38" s="66"/>
      <c r="TZO38" s="66"/>
      <c r="TZP38" s="66"/>
      <c r="TZQ38" s="66"/>
      <c r="TZR38" s="66"/>
      <c r="TZS38" s="66"/>
      <c r="TZT38" s="66"/>
      <c r="TZU38" s="66"/>
      <c r="TZV38" s="66"/>
      <c r="TZW38" s="66"/>
      <c r="TZX38" s="66"/>
      <c r="TZY38" s="66"/>
      <c r="TZZ38" s="66"/>
      <c r="UAA38" s="66"/>
      <c r="UAB38" s="66"/>
      <c r="UAC38" s="66"/>
      <c r="UAD38" s="66"/>
      <c r="UAE38" s="66"/>
      <c r="UAF38" s="66"/>
      <c r="UAG38" s="66"/>
      <c r="UAH38" s="66"/>
      <c r="UAI38" s="66"/>
      <c r="UAJ38" s="66"/>
      <c r="UAK38" s="66"/>
      <c r="UAL38" s="66"/>
      <c r="UAM38" s="66"/>
      <c r="UAN38" s="66"/>
      <c r="UAO38" s="66"/>
      <c r="UAP38" s="66"/>
      <c r="UAQ38" s="66"/>
      <c r="UAR38" s="66"/>
      <c r="UAS38" s="66"/>
      <c r="UAT38" s="66"/>
      <c r="UAU38" s="66"/>
      <c r="UAV38" s="66"/>
      <c r="UAW38" s="66"/>
      <c r="UAX38" s="66"/>
      <c r="UAY38" s="66"/>
      <c r="UAZ38" s="66"/>
      <c r="UBA38" s="66"/>
      <c r="UBB38" s="66"/>
      <c r="UBC38" s="66"/>
      <c r="UBD38" s="66"/>
      <c r="UBE38" s="66"/>
      <c r="UBF38" s="66"/>
      <c r="UBG38" s="66"/>
      <c r="UBH38" s="66"/>
      <c r="UBI38" s="66"/>
      <c r="UBJ38" s="66"/>
      <c r="UBK38" s="66"/>
      <c r="UBL38" s="66"/>
      <c r="UBM38" s="66"/>
      <c r="UBN38" s="66"/>
      <c r="UBO38" s="66"/>
      <c r="UBP38" s="66"/>
      <c r="UBQ38" s="66"/>
      <c r="UBR38" s="66"/>
      <c r="UBS38" s="66"/>
      <c r="UBT38" s="66"/>
      <c r="UBU38" s="66"/>
      <c r="UBV38" s="66"/>
      <c r="UBW38" s="66"/>
      <c r="UBX38" s="66"/>
      <c r="UBY38" s="66"/>
      <c r="UBZ38" s="66"/>
      <c r="UCA38" s="66"/>
      <c r="UCB38" s="66"/>
      <c r="UCC38" s="66"/>
      <c r="UCD38" s="66"/>
      <c r="UCE38" s="66"/>
      <c r="UCF38" s="66"/>
      <c r="UCG38" s="66"/>
      <c r="UCH38" s="66"/>
      <c r="UCI38" s="66"/>
      <c r="UCJ38" s="66"/>
      <c r="UCK38" s="66"/>
      <c r="UCL38" s="66"/>
      <c r="UCM38" s="66"/>
      <c r="UCN38" s="66"/>
      <c r="UCO38" s="66"/>
      <c r="UCP38" s="66"/>
      <c r="UCQ38" s="66"/>
      <c r="UCR38" s="66"/>
      <c r="UCS38" s="66"/>
      <c r="UCT38" s="66"/>
      <c r="UCU38" s="66"/>
      <c r="UCV38" s="66"/>
      <c r="UCW38" s="66"/>
      <c r="UCX38" s="66"/>
      <c r="UCY38" s="66"/>
      <c r="UCZ38" s="66"/>
      <c r="UDA38" s="66"/>
      <c r="UDB38" s="66"/>
      <c r="UDC38" s="66"/>
      <c r="UDD38" s="66"/>
      <c r="UDE38" s="66"/>
      <c r="UDF38" s="66"/>
      <c r="UDG38" s="66"/>
      <c r="UDH38" s="66"/>
      <c r="UDI38" s="66"/>
      <c r="UDJ38" s="66"/>
      <c r="UDK38" s="66"/>
      <c r="UDL38" s="66"/>
      <c r="UDM38" s="66"/>
      <c r="UDN38" s="66"/>
      <c r="UDO38" s="66"/>
      <c r="UDP38" s="66"/>
      <c r="UDQ38" s="66"/>
      <c r="UDR38" s="66"/>
      <c r="UDS38" s="66"/>
      <c r="UDT38" s="66"/>
      <c r="UDU38" s="66"/>
      <c r="UDV38" s="66"/>
      <c r="UDW38" s="66"/>
      <c r="UDX38" s="66"/>
      <c r="UDY38" s="66"/>
      <c r="UDZ38" s="66"/>
      <c r="UEA38" s="66"/>
      <c r="UEB38" s="66"/>
      <c r="UEC38" s="66"/>
      <c r="UED38" s="66"/>
      <c r="UEE38" s="66"/>
      <c r="UEF38" s="66"/>
      <c r="UEG38" s="66"/>
      <c r="UEH38" s="66"/>
      <c r="UEI38" s="66"/>
      <c r="UEJ38" s="66"/>
      <c r="UEK38" s="66"/>
      <c r="UEL38" s="66"/>
      <c r="UEM38" s="66"/>
      <c r="UEN38" s="66"/>
      <c r="UEO38" s="66"/>
      <c r="UEP38" s="66"/>
      <c r="UEQ38" s="66"/>
      <c r="UER38" s="66"/>
      <c r="UES38" s="66"/>
      <c r="UET38" s="66"/>
      <c r="UEU38" s="66"/>
      <c r="UEV38" s="66"/>
      <c r="UEW38" s="66"/>
      <c r="UEX38" s="66"/>
      <c r="UEY38" s="66"/>
      <c r="UEZ38" s="66"/>
      <c r="UFA38" s="66"/>
      <c r="UFB38" s="66"/>
      <c r="UFC38" s="66"/>
      <c r="UFD38" s="66"/>
      <c r="UFE38" s="66"/>
      <c r="UFF38" s="66"/>
      <c r="UFG38" s="66"/>
      <c r="UFH38" s="66"/>
      <c r="UFI38" s="66"/>
      <c r="UFJ38" s="66"/>
      <c r="UFK38" s="66"/>
      <c r="UFL38" s="66"/>
      <c r="UFM38" s="66"/>
      <c r="UFN38" s="66"/>
      <c r="UFO38" s="66"/>
      <c r="UFP38" s="66"/>
      <c r="UFQ38" s="66"/>
      <c r="UFR38" s="66"/>
      <c r="UFS38" s="66"/>
      <c r="UFT38" s="66"/>
      <c r="UFU38" s="66"/>
      <c r="UFV38" s="66"/>
      <c r="UFW38" s="66"/>
      <c r="UFX38" s="66"/>
      <c r="UFY38" s="66"/>
      <c r="UFZ38" s="66"/>
      <c r="UGA38" s="66"/>
      <c r="UGB38" s="66"/>
      <c r="UGC38" s="66"/>
      <c r="UGD38" s="66"/>
      <c r="UGE38" s="66"/>
      <c r="UGF38" s="66"/>
      <c r="UGG38" s="66"/>
      <c r="UGH38" s="66"/>
      <c r="UGI38" s="66"/>
      <c r="UGJ38" s="66"/>
      <c r="UGK38" s="66"/>
      <c r="UGL38" s="66"/>
      <c r="UGM38" s="66"/>
      <c r="UGN38" s="66"/>
      <c r="UGO38" s="66"/>
      <c r="UGP38" s="66"/>
      <c r="UGQ38" s="66"/>
      <c r="UGR38" s="66"/>
      <c r="UGS38" s="66"/>
      <c r="UGT38" s="66"/>
      <c r="UGU38" s="66"/>
      <c r="UGV38" s="66"/>
      <c r="UGW38" s="66"/>
      <c r="UGX38" s="66"/>
      <c r="UGY38" s="66"/>
      <c r="UGZ38" s="66"/>
      <c r="UHA38" s="66"/>
      <c r="UHB38" s="66"/>
      <c r="UHC38" s="66"/>
      <c r="UHD38" s="66"/>
      <c r="UHE38" s="66"/>
      <c r="UHF38" s="66"/>
      <c r="UHG38" s="66"/>
      <c r="UHH38" s="66"/>
      <c r="UHI38" s="66"/>
      <c r="UHJ38" s="66"/>
      <c r="UHK38" s="66"/>
      <c r="UHL38" s="66"/>
      <c r="UHM38" s="66"/>
      <c r="UHN38" s="66"/>
      <c r="UHO38" s="66"/>
      <c r="UHP38" s="66"/>
      <c r="UHQ38" s="66"/>
      <c r="UHR38" s="66"/>
      <c r="UHS38" s="66"/>
      <c r="UHT38" s="66"/>
      <c r="UHU38" s="66"/>
      <c r="UHV38" s="66"/>
      <c r="UHW38" s="66"/>
      <c r="UHX38" s="66"/>
      <c r="UHY38" s="66"/>
      <c r="UHZ38" s="66"/>
      <c r="UIA38" s="66"/>
      <c r="UIB38" s="66"/>
      <c r="UIC38" s="66"/>
      <c r="UID38" s="66"/>
      <c r="UIE38" s="66"/>
      <c r="UIF38" s="66"/>
      <c r="UIG38" s="66"/>
      <c r="UIH38" s="66"/>
      <c r="UII38" s="66"/>
      <c r="UIJ38" s="66"/>
      <c r="UIK38" s="66"/>
      <c r="UIL38" s="66"/>
      <c r="UIM38" s="66"/>
      <c r="UIN38" s="66"/>
      <c r="UIO38" s="66"/>
      <c r="UIP38" s="66"/>
      <c r="UIQ38" s="66"/>
      <c r="UIR38" s="66"/>
      <c r="UIS38" s="66"/>
      <c r="UIT38" s="66"/>
      <c r="UIU38" s="66"/>
      <c r="UIV38" s="66"/>
      <c r="UIW38" s="66"/>
      <c r="UIX38" s="66"/>
      <c r="UIY38" s="66"/>
      <c r="UIZ38" s="66"/>
      <c r="UJA38" s="66"/>
      <c r="UJB38" s="66"/>
      <c r="UJC38" s="66"/>
      <c r="UJD38" s="66"/>
      <c r="UJE38" s="66"/>
      <c r="UJF38" s="66"/>
      <c r="UJG38" s="66"/>
      <c r="UJH38" s="66"/>
      <c r="UJI38" s="66"/>
      <c r="UJJ38" s="66"/>
      <c r="UJK38" s="66"/>
      <c r="UJL38" s="66"/>
      <c r="UJM38" s="66"/>
      <c r="UJN38" s="66"/>
      <c r="UJO38" s="66"/>
      <c r="UJP38" s="66"/>
      <c r="UJQ38" s="66"/>
      <c r="UJR38" s="66"/>
      <c r="UJS38" s="66"/>
      <c r="UJT38" s="66"/>
      <c r="UJU38" s="66"/>
      <c r="UJV38" s="66"/>
      <c r="UJW38" s="66"/>
      <c r="UJX38" s="66"/>
      <c r="UJY38" s="66"/>
      <c r="UJZ38" s="66"/>
      <c r="UKA38" s="66"/>
      <c r="UKB38" s="66"/>
      <c r="UKC38" s="66"/>
      <c r="UKD38" s="66"/>
      <c r="UKE38" s="66"/>
      <c r="UKF38" s="66"/>
      <c r="UKG38" s="66"/>
      <c r="UKH38" s="66"/>
      <c r="UKI38" s="66"/>
      <c r="UKJ38" s="66"/>
      <c r="UKK38" s="66"/>
      <c r="UKL38" s="66"/>
      <c r="UKM38" s="66"/>
      <c r="UKN38" s="66"/>
      <c r="UKO38" s="66"/>
      <c r="UKP38" s="66"/>
      <c r="UKQ38" s="66"/>
      <c r="UKR38" s="66"/>
      <c r="UKS38" s="66"/>
      <c r="UKT38" s="66"/>
      <c r="UKU38" s="66"/>
      <c r="UKV38" s="66"/>
      <c r="UKW38" s="66"/>
      <c r="UKX38" s="66"/>
      <c r="UKY38" s="66"/>
      <c r="UKZ38" s="66"/>
      <c r="ULA38" s="66"/>
      <c r="ULB38" s="66"/>
      <c r="ULC38" s="66"/>
      <c r="ULD38" s="66"/>
      <c r="ULE38" s="66"/>
      <c r="ULF38" s="66"/>
      <c r="ULG38" s="66"/>
      <c r="ULH38" s="66"/>
      <c r="ULI38" s="66"/>
      <c r="ULJ38" s="66"/>
      <c r="ULK38" s="66"/>
      <c r="ULL38" s="66"/>
      <c r="ULM38" s="66"/>
      <c r="ULN38" s="66"/>
      <c r="ULO38" s="66"/>
      <c r="ULP38" s="66"/>
      <c r="ULQ38" s="66"/>
      <c r="ULR38" s="66"/>
      <c r="ULS38" s="66"/>
      <c r="ULT38" s="66"/>
      <c r="ULU38" s="66"/>
      <c r="ULV38" s="66"/>
      <c r="ULW38" s="66"/>
      <c r="ULX38" s="66"/>
      <c r="ULY38" s="66"/>
      <c r="ULZ38" s="66"/>
      <c r="UMA38" s="66"/>
      <c r="UMB38" s="66"/>
      <c r="UMC38" s="66"/>
      <c r="UMD38" s="66"/>
      <c r="UME38" s="66"/>
      <c r="UMF38" s="66"/>
      <c r="UMG38" s="66"/>
      <c r="UMH38" s="66"/>
      <c r="UMI38" s="66"/>
      <c r="UMJ38" s="66"/>
      <c r="UMK38" s="66"/>
      <c r="UML38" s="66"/>
      <c r="UMM38" s="66"/>
      <c r="UMN38" s="66"/>
      <c r="UMO38" s="66"/>
      <c r="UMP38" s="66"/>
      <c r="UMQ38" s="66"/>
      <c r="UMR38" s="66"/>
      <c r="UMS38" s="66"/>
      <c r="UMT38" s="66"/>
      <c r="UMU38" s="66"/>
      <c r="UMV38" s="66"/>
      <c r="UMW38" s="66"/>
      <c r="UMX38" s="66"/>
      <c r="UMY38" s="66"/>
      <c r="UMZ38" s="66"/>
      <c r="UNA38" s="66"/>
      <c r="UNB38" s="66"/>
      <c r="UNC38" s="66"/>
      <c r="UND38" s="66"/>
      <c r="UNE38" s="66"/>
      <c r="UNF38" s="66"/>
      <c r="UNG38" s="66"/>
      <c r="UNH38" s="66"/>
      <c r="UNI38" s="66"/>
      <c r="UNJ38" s="66"/>
      <c r="UNK38" s="66"/>
      <c r="UNL38" s="66"/>
      <c r="UNM38" s="66"/>
      <c r="UNN38" s="66"/>
      <c r="UNO38" s="66"/>
      <c r="UNP38" s="66"/>
      <c r="UNQ38" s="66"/>
      <c r="UNR38" s="66"/>
      <c r="UNS38" s="66"/>
      <c r="UNT38" s="66"/>
      <c r="UNU38" s="66"/>
      <c r="UNV38" s="66"/>
      <c r="UNW38" s="66"/>
      <c r="UNX38" s="66"/>
      <c r="UNY38" s="66"/>
      <c r="UNZ38" s="66"/>
      <c r="UOA38" s="66"/>
      <c r="UOB38" s="66"/>
      <c r="UOC38" s="66"/>
      <c r="UOD38" s="66"/>
      <c r="UOE38" s="66"/>
      <c r="UOF38" s="66"/>
      <c r="UOG38" s="66"/>
      <c r="UOH38" s="66"/>
      <c r="UOI38" s="66"/>
      <c r="UOJ38" s="66"/>
      <c r="UOK38" s="66"/>
      <c r="UOL38" s="66"/>
      <c r="UOM38" s="66"/>
      <c r="UON38" s="66"/>
      <c r="UOO38" s="66"/>
      <c r="UOP38" s="66"/>
      <c r="UOQ38" s="66"/>
      <c r="UOR38" s="66"/>
      <c r="UOS38" s="66"/>
      <c r="UOT38" s="66"/>
      <c r="UOU38" s="66"/>
      <c r="UOV38" s="66"/>
      <c r="UOW38" s="66"/>
      <c r="UOX38" s="66"/>
      <c r="UOY38" s="66"/>
      <c r="UOZ38" s="66"/>
      <c r="UPA38" s="66"/>
      <c r="UPB38" s="66"/>
      <c r="UPC38" s="66"/>
      <c r="UPD38" s="66"/>
      <c r="UPE38" s="66"/>
      <c r="UPF38" s="66"/>
      <c r="UPG38" s="66"/>
      <c r="UPH38" s="66"/>
      <c r="UPI38" s="66"/>
      <c r="UPJ38" s="66"/>
      <c r="UPK38" s="66"/>
      <c r="UPL38" s="66"/>
      <c r="UPM38" s="66"/>
      <c r="UPN38" s="66"/>
      <c r="UPO38" s="66"/>
      <c r="UPP38" s="66"/>
      <c r="UPQ38" s="66"/>
      <c r="UPR38" s="66"/>
      <c r="UPS38" s="66"/>
      <c r="UPT38" s="66"/>
      <c r="UPU38" s="66"/>
      <c r="UPV38" s="66"/>
      <c r="UPW38" s="66"/>
      <c r="UPX38" s="66"/>
      <c r="UPY38" s="66"/>
      <c r="UPZ38" s="66"/>
      <c r="UQA38" s="66"/>
      <c r="UQB38" s="66"/>
      <c r="UQC38" s="66"/>
      <c r="UQD38" s="66"/>
      <c r="UQE38" s="66"/>
      <c r="UQF38" s="66"/>
      <c r="UQG38" s="66"/>
      <c r="UQH38" s="66"/>
      <c r="UQI38" s="66"/>
      <c r="UQJ38" s="66"/>
      <c r="UQK38" s="66"/>
      <c r="UQL38" s="66"/>
      <c r="UQM38" s="66"/>
      <c r="UQN38" s="66"/>
      <c r="UQO38" s="66"/>
      <c r="UQP38" s="66"/>
      <c r="UQQ38" s="66"/>
      <c r="UQR38" s="66"/>
      <c r="UQS38" s="66"/>
      <c r="UQT38" s="66"/>
      <c r="UQU38" s="66"/>
      <c r="UQV38" s="66"/>
      <c r="UQW38" s="66"/>
      <c r="UQX38" s="66"/>
      <c r="UQY38" s="66"/>
      <c r="UQZ38" s="66"/>
      <c r="URA38" s="66"/>
      <c r="URB38" s="66"/>
      <c r="URC38" s="66"/>
      <c r="URD38" s="66"/>
      <c r="URE38" s="66"/>
      <c r="URF38" s="66"/>
      <c r="URG38" s="66"/>
      <c r="URH38" s="66"/>
      <c r="URI38" s="66"/>
      <c r="URJ38" s="66"/>
      <c r="URK38" s="66"/>
      <c r="URL38" s="66"/>
      <c r="URM38" s="66"/>
      <c r="URN38" s="66"/>
      <c r="URO38" s="66"/>
      <c r="URP38" s="66"/>
      <c r="URQ38" s="66"/>
      <c r="URR38" s="66"/>
      <c r="URS38" s="66"/>
      <c r="URT38" s="66"/>
      <c r="URU38" s="66"/>
      <c r="URV38" s="66"/>
      <c r="URW38" s="66"/>
      <c r="URX38" s="66"/>
      <c r="URY38" s="66"/>
      <c r="URZ38" s="66"/>
      <c r="USA38" s="66"/>
      <c r="USB38" s="66"/>
      <c r="USC38" s="66"/>
      <c r="USD38" s="66"/>
      <c r="USE38" s="66"/>
      <c r="USF38" s="66"/>
      <c r="USG38" s="66"/>
      <c r="USH38" s="66"/>
      <c r="USI38" s="66"/>
      <c r="USJ38" s="66"/>
      <c r="USK38" s="66"/>
      <c r="USL38" s="66"/>
      <c r="USM38" s="66"/>
      <c r="USN38" s="66"/>
      <c r="USO38" s="66"/>
      <c r="USP38" s="66"/>
      <c r="USQ38" s="66"/>
      <c r="USR38" s="66"/>
      <c r="USS38" s="66"/>
      <c r="UST38" s="66"/>
      <c r="USU38" s="66"/>
      <c r="USV38" s="66"/>
      <c r="USW38" s="66"/>
      <c r="USX38" s="66"/>
      <c r="USY38" s="66"/>
      <c r="USZ38" s="66"/>
      <c r="UTA38" s="66"/>
      <c r="UTB38" s="66"/>
      <c r="UTC38" s="66"/>
      <c r="UTD38" s="66"/>
      <c r="UTE38" s="66"/>
      <c r="UTF38" s="66"/>
      <c r="UTG38" s="66"/>
      <c r="UTH38" s="66"/>
      <c r="UTI38" s="66"/>
      <c r="UTJ38" s="66"/>
      <c r="UTK38" s="66"/>
      <c r="UTL38" s="66"/>
      <c r="UTM38" s="66"/>
      <c r="UTN38" s="66"/>
      <c r="UTO38" s="66"/>
      <c r="UTP38" s="66"/>
      <c r="UTQ38" s="66"/>
      <c r="UTR38" s="66"/>
      <c r="UTS38" s="66"/>
      <c r="UTT38" s="66"/>
      <c r="UTU38" s="66"/>
      <c r="UTV38" s="66"/>
      <c r="UTW38" s="66"/>
      <c r="UTX38" s="66"/>
      <c r="UTY38" s="66"/>
      <c r="UTZ38" s="66"/>
      <c r="UUA38" s="66"/>
      <c r="UUB38" s="66"/>
      <c r="UUC38" s="66"/>
      <c r="UUD38" s="66"/>
      <c r="UUE38" s="66"/>
      <c r="UUF38" s="66"/>
      <c r="UUG38" s="66"/>
      <c r="UUH38" s="66"/>
      <c r="UUI38" s="66"/>
      <c r="UUJ38" s="66"/>
      <c r="UUK38" s="66"/>
      <c r="UUL38" s="66"/>
      <c r="UUM38" s="66"/>
      <c r="UUN38" s="66"/>
      <c r="UUO38" s="66"/>
      <c r="UUP38" s="66"/>
      <c r="UUQ38" s="66"/>
      <c r="UUR38" s="66"/>
      <c r="UUS38" s="66"/>
      <c r="UUT38" s="66"/>
      <c r="UUU38" s="66"/>
      <c r="UUV38" s="66"/>
      <c r="UUW38" s="66"/>
      <c r="UUX38" s="66"/>
      <c r="UUY38" s="66"/>
      <c r="UUZ38" s="66"/>
      <c r="UVA38" s="66"/>
      <c r="UVB38" s="66"/>
      <c r="UVC38" s="66"/>
      <c r="UVD38" s="66"/>
      <c r="UVE38" s="66"/>
      <c r="UVF38" s="66"/>
      <c r="UVG38" s="66"/>
      <c r="UVH38" s="66"/>
      <c r="UVI38" s="66"/>
      <c r="UVJ38" s="66"/>
      <c r="UVK38" s="66"/>
      <c r="UVL38" s="66"/>
      <c r="UVM38" s="66"/>
      <c r="UVN38" s="66"/>
      <c r="UVO38" s="66"/>
      <c r="UVP38" s="66"/>
      <c r="UVQ38" s="66"/>
      <c r="UVR38" s="66"/>
      <c r="UVS38" s="66"/>
      <c r="UVT38" s="66"/>
      <c r="UVU38" s="66"/>
      <c r="UVV38" s="66"/>
      <c r="UVW38" s="66"/>
      <c r="UVX38" s="66"/>
      <c r="UVY38" s="66"/>
      <c r="UVZ38" s="66"/>
      <c r="UWA38" s="66"/>
      <c r="UWB38" s="66"/>
      <c r="UWC38" s="66"/>
      <c r="UWD38" s="66"/>
      <c r="UWE38" s="66"/>
      <c r="UWF38" s="66"/>
      <c r="UWG38" s="66"/>
      <c r="UWH38" s="66"/>
      <c r="UWI38" s="66"/>
      <c r="UWJ38" s="66"/>
      <c r="UWK38" s="66"/>
      <c r="UWL38" s="66"/>
      <c r="UWM38" s="66"/>
      <c r="UWN38" s="66"/>
      <c r="UWO38" s="66"/>
      <c r="UWP38" s="66"/>
      <c r="UWQ38" s="66"/>
      <c r="UWR38" s="66"/>
      <c r="UWS38" s="66"/>
      <c r="UWT38" s="66"/>
      <c r="UWU38" s="66"/>
      <c r="UWV38" s="66"/>
      <c r="UWW38" s="66"/>
      <c r="UWX38" s="66"/>
      <c r="UWY38" s="66"/>
      <c r="UWZ38" s="66"/>
      <c r="UXA38" s="66"/>
      <c r="UXB38" s="66"/>
      <c r="UXC38" s="66"/>
      <c r="UXD38" s="66"/>
      <c r="UXE38" s="66"/>
      <c r="UXF38" s="66"/>
      <c r="UXG38" s="66"/>
      <c r="UXH38" s="66"/>
      <c r="UXI38" s="66"/>
      <c r="UXJ38" s="66"/>
      <c r="UXK38" s="66"/>
      <c r="UXL38" s="66"/>
      <c r="UXM38" s="66"/>
      <c r="UXN38" s="66"/>
      <c r="UXO38" s="66"/>
      <c r="UXP38" s="66"/>
      <c r="UXQ38" s="66"/>
      <c r="UXR38" s="66"/>
      <c r="UXS38" s="66"/>
      <c r="UXT38" s="66"/>
      <c r="UXU38" s="66"/>
      <c r="UXV38" s="66"/>
      <c r="UXW38" s="66"/>
      <c r="UXX38" s="66"/>
      <c r="UXY38" s="66"/>
      <c r="UXZ38" s="66"/>
      <c r="UYA38" s="66"/>
      <c r="UYB38" s="66"/>
      <c r="UYC38" s="66"/>
      <c r="UYD38" s="66"/>
      <c r="UYE38" s="66"/>
      <c r="UYF38" s="66"/>
      <c r="UYG38" s="66"/>
      <c r="UYH38" s="66"/>
      <c r="UYI38" s="66"/>
      <c r="UYJ38" s="66"/>
      <c r="UYK38" s="66"/>
      <c r="UYL38" s="66"/>
      <c r="UYM38" s="66"/>
      <c r="UYN38" s="66"/>
      <c r="UYO38" s="66"/>
      <c r="UYP38" s="66"/>
      <c r="UYQ38" s="66"/>
      <c r="UYR38" s="66"/>
      <c r="UYS38" s="66"/>
      <c r="UYT38" s="66"/>
      <c r="UYU38" s="66"/>
      <c r="UYV38" s="66"/>
      <c r="UYW38" s="66"/>
      <c r="UYX38" s="66"/>
      <c r="UYY38" s="66"/>
      <c r="UYZ38" s="66"/>
      <c r="UZA38" s="66"/>
      <c r="UZB38" s="66"/>
      <c r="UZC38" s="66"/>
      <c r="UZD38" s="66"/>
      <c r="UZE38" s="66"/>
      <c r="UZF38" s="66"/>
      <c r="UZG38" s="66"/>
      <c r="UZH38" s="66"/>
      <c r="UZI38" s="66"/>
      <c r="UZJ38" s="66"/>
      <c r="UZK38" s="66"/>
      <c r="UZL38" s="66"/>
      <c r="UZM38" s="66"/>
      <c r="UZN38" s="66"/>
      <c r="UZO38" s="66"/>
      <c r="UZP38" s="66"/>
      <c r="UZQ38" s="66"/>
      <c r="UZR38" s="66"/>
      <c r="UZS38" s="66"/>
      <c r="UZT38" s="66"/>
      <c r="UZU38" s="66"/>
      <c r="UZV38" s="66"/>
      <c r="UZW38" s="66"/>
      <c r="UZX38" s="66"/>
      <c r="UZY38" s="66"/>
      <c r="UZZ38" s="66"/>
      <c r="VAA38" s="66"/>
      <c r="VAB38" s="66"/>
      <c r="VAC38" s="66"/>
      <c r="VAD38" s="66"/>
      <c r="VAE38" s="66"/>
      <c r="VAF38" s="66"/>
      <c r="VAG38" s="66"/>
      <c r="VAH38" s="66"/>
      <c r="VAI38" s="66"/>
      <c r="VAJ38" s="66"/>
      <c r="VAK38" s="66"/>
      <c r="VAL38" s="66"/>
      <c r="VAM38" s="66"/>
      <c r="VAN38" s="66"/>
      <c r="VAO38" s="66"/>
      <c r="VAP38" s="66"/>
      <c r="VAQ38" s="66"/>
      <c r="VAR38" s="66"/>
      <c r="VAS38" s="66"/>
      <c r="VAT38" s="66"/>
      <c r="VAU38" s="66"/>
      <c r="VAV38" s="66"/>
      <c r="VAW38" s="66"/>
      <c r="VAX38" s="66"/>
      <c r="VAY38" s="66"/>
      <c r="VAZ38" s="66"/>
      <c r="VBA38" s="66"/>
      <c r="VBB38" s="66"/>
      <c r="VBC38" s="66"/>
      <c r="VBD38" s="66"/>
      <c r="VBE38" s="66"/>
      <c r="VBF38" s="66"/>
      <c r="VBG38" s="66"/>
      <c r="VBH38" s="66"/>
      <c r="VBI38" s="66"/>
      <c r="VBJ38" s="66"/>
      <c r="VBK38" s="66"/>
      <c r="VBL38" s="66"/>
      <c r="VBM38" s="66"/>
      <c r="VBN38" s="66"/>
      <c r="VBO38" s="66"/>
      <c r="VBP38" s="66"/>
      <c r="VBQ38" s="66"/>
      <c r="VBR38" s="66"/>
      <c r="VBS38" s="66"/>
      <c r="VBT38" s="66"/>
      <c r="VBU38" s="66"/>
      <c r="VBV38" s="66"/>
      <c r="VBW38" s="66"/>
      <c r="VBX38" s="66"/>
      <c r="VBY38" s="66"/>
      <c r="VBZ38" s="66"/>
      <c r="VCA38" s="66"/>
      <c r="VCB38" s="66"/>
      <c r="VCC38" s="66"/>
      <c r="VCD38" s="66"/>
      <c r="VCE38" s="66"/>
      <c r="VCF38" s="66"/>
      <c r="VCG38" s="66"/>
      <c r="VCH38" s="66"/>
      <c r="VCI38" s="66"/>
      <c r="VCJ38" s="66"/>
      <c r="VCK38" s="66"/>
      <c r="VCL38" s="66"/>
      <c r="VCM38" s="66"/>
      <c r="VCN38" s="66"/>
      <c r="VCO38" s="66"/>
      <c r="VCP38" s="66"/>
      <c r="VCQ38" s="66"/>
      <c r="VCR38" s="66"/>
      <c r="VCS38" s="66"/>
      <c r="VCT38" s="66"/>
      <c r="VCU38" s="66"/>
      <c r="VCV38" s="66"/>
      <c r="VCW38" s="66"/>
      <c r="VCX38" s="66"/>
      <c r="VCY38" s="66"/>
      <c r="VCZ38" s="66"/>
      <c r="VDA38" s="66"/>
      <c r="VDB38" s="66"/>
      <c r="VDC38" s="66"/>
      <c r="VDD38" s="66"/>
      <c r="VDE38" s="66"/>
      <c r="VDF38" s="66"/>
      <c r="VDG38" s="66"/>
      <c r="VDH38" s="66"/>
      <c r="VDI38" s="66"/>
      <c r="VDJ38" s="66"/>
      <c r="VDK38" s="66"/>
      <c r="VDL38" s="66"/>
      <c r="VDM38" s="66"/>
      <c r="VDN38" s="66"/>
      <c r="VDO38" s="66"/>
      <c r="VDP38" s="66"/>
      <c r="VDQ38" s="66"/>
      <c r="VDR38" s="66"/>
      <c r="VDS38" s="66"/>
      <c r="VDT38" s="66"/>
      <c r="VDU38" s="66"/>
      <c r="VDV38" s="66"/>
      <c r="VDW38" s="66"/>
      <c r="VDX38" s="66"/>
      <c r="VDY38" s="66"/>
      <c r="VDZ38" s="66"/>
      <c r="VEA38" s="66"/>
      <c r="VEB38" s="66"/>
      <c r="VEC38" s="66"/>
      <c r="VED38" s="66"/>
      <c r="VEE38" s="66"/>
      <c r="VEF38" s="66"/>
      <c r="VEG38" s="66"/>
      <c r="VEH38" s="66"/>
      <c r="VEI38" s="66"/>
      <c r="VEJ38" s="66"/>
      <c r="VEK38" s="66"/>
      <c r="VEL38" s="66"/>
      <c r="VEM38" s="66"/>
      <c r="VEN38" s="66"/>
      <c r="VEO38" s="66"/>
      <c r="VEP38" s="66"/>
      <c r="VEQ38" s="66"/>
      <c r="VER38" s="66"/>
      <c r="VES38" s="66"/>
      <c r="VET38" s="66"/>
      <c r="VEU38" s="66"/>
      <c r="VEV38" s="66"/>
      <c r="VEW38" s="66"/>
      <c r="VEX38" s="66"/>
      <c r="VEY38" s="66"/>
      <c r="VEZ38" s="66"/>
      <c r="VFA38" s="66"/>
      <c r="VFB38" s="66"/>
      <c r="VFC38" s="66"/>
      <c r="VFD38" s="66"/>
      <c r="VFE38" s="66"/>
      <c r="VFF38" s="66"/>
      <c r="VFG38" s="66"/>
      <c r="VFH38" s="66"/>
      <c r="VFI38" s="66"/>
      <c r="VFJ38" s="66"/>
      <c r="VFK38" s="66"/>
      <c r="VFL38" s="66"/>
      <c r="VFM38" s="66"/>
      <c r="VFN38" s="66"/>
      <c r="VFO38" s="66"/>
      <c r="VFP38" s="66"/>
      <c r="VFQ38" s="66"/>
      <c r="VFR38" s="66"/>
      <c r="VFS38" s="66"/>
      <c r="VFT38" s="66"/>
      <c r="VFU38" s="66"/>
      <c r="VFV38" s="66"/>
      <c r="VFW38" s="66"/>
      <c r="VFX38" s="66"/>
      <c r="VFY38" s="66"/>
      <c r="VFZ38" s="66"/>
      <c r="VGA38" s="66"/>
      <c r="VGB38" s="66"/>
      <c r="VGC38" s="66"/>
      <c r="VGD38" s="66"/>
      <c r="VGE38" s="66"/>
      <c r="VGF38" s="66"/>
      <c r="VGG38" s="66"/>
      <c r="VGH38" s="66"/>
      <c r="VGI38" s="66"/>
      <c r="VGJ38" s="66"/>
      <c r="VGK38" s="66"/>
      <c r="VGL38" s="66"/>
      <c r="VGM38" s="66"/>
      <c r="VGN38" s="66"/>
    </row>
    <row r="39" spans="1:15068" s="3" customFormat="1" ht="13.8">
      <c r="B39" s="121"/>
      <c r="C39" s="122" t="s">
        <v>80</v>
      </c>
      <c r="D39" s="127">
        <f>SUM(D41:D42)</f>
        <v>11218000</v>
      </c>
      <c r="E39" s="25" t="s">
        <v>16</v>
      </c>
      <c r="F39" s="107">
        <f>F40+F41+F42</f>
        <v>325450</v>
      </c>
      <c r="G39" s="107">
        <f>G40+G41+G42</f>
        <v>0</v>
      </c>
      <c r="H39" s="107">
        <f t="shared" ref="H39:T39" si="14">H40+H41+H42</f>
        <v>0</v>
      </c>
      <c r="I39" s="107">
        <f t="shared" si="14"/>
        <v>331800</v>
      </c>
      <c r="J39" s="107">
        <f t="shared" si="14"/>
        <v>0</v>
      </c>
      <c r="K39" s="107">
        <f t="shared" si="14"/>
        <v>0</v>
      </c>
      <c r="L39" s="107">
        <f t="shared" si="14"/>
        <v>0</v>
      </c>
      <c r="M39" s="107">
        <f t="shared" si="14"/>
        <v>0</v>
      </c>
      <c r="N39" s="107">
        <f t="shared" si="14"/>
        <v>0</v>
      </c>
      <c r="O39" s="107">
        <f t="shared" si="14"/>
        <v>0</v>
      </c>
      <c r="P39" s="107">
        <f t="shared" si="14"/>
        <v>0</v>
      </c>
      <c r="Q39" s="107">
        <f t="shared" si="14"/>
        <v>0</v>
      </c>
      <c r="R39" s="107">
        <f t="shared" si="14"/>
        <v>0</v>
      </c>
      <c r="S39" s="107">
        <f t="shared" si="14"/>
        <v>0</v>
      </c>
      <c r="T39" s="107">
        <f t="shared" si="14"/>
        <v>0</v>
      </c>
      <c r="U39" s="107">
        <f>U41+U42</f>
        <v>510187</v>
      </c>
      <c r="V39" s="107">
        <f t="shared" ref="V39:AJ39" si="15">V41+V42</f>
        <v>0</v>
      </c>
      <c r="W39" s="107">
        <f t="shared" si="15"/>
        <v>0</v>
      </c>
      <c r="X39" s="107">
        <f t="shared" si="15"/>
        <v>13330</v>
      </c>
      <c r="Y39" s="107">
        <f t="shared" si="15"/>
        <v>335300</v>
      </c>
      <c r="Z39" s="107">
        <f t="shared" si="15"/>
        <v>0</v>
      </c>
      <c r="AA39" s="107">
        <f t="shared" si="15"/>
        <v>0</v>
      </c>
      <c r="AB39" s="107">
        <f t="shared" si="15"/>
        <v>0</v>
      </c>
      <c r="AC39" s="107">
        <f t="shared" si="15"/>
        <v>457841</v>
      </c>
      <c r="AD39" s="107">
        <f t="shared" si="15"/>
        <v>0</v>
      </c>
      <c r="AE39" s="107">
        <f t="shared" si="15"/>
        <v>0</v>
      </c>
      <c r="AF39" s="107">
        <f t="shared" si="15"/>
        <v>0</v>
      </c>
      <c r="AG39" s="107">
        <f t="shared" si="15"/>
        <v>0</v>
      </c>
      <c r="AH39" s="107">
        <f t="shared" si="15"/>
        <v>0</v>
      </c>
      <c r="AI39" s="107">
        <f t="shared" si="15"/>
        <v>336730</v>
      </c>
      <c r="AJ39" s="109">
        <f t="shared" si="15"/>
        <v>0</v>
      </c>
      <c r="AL39" s="110">
        <f>SUM(F39:AJ39)</f>
        <v>2310638</v>
      </c>
      <c r="AM39" s="304"/>
      <c r="AN39" s="306"/>
      <c r="BR39" s="308"/>
      <c r="CY39" s="304"/>
    </row>
    <row r="40" spans="1:15068" s="3" customFormat="1" ht="13.8">
      <c r="B40" s="121"/>
      <c r="C40" s="122" t="s">
        <v>79</v>
      </c>
      <c r="D40" s="127"/>
      <c r="E40" s="25" t="s">
        <v>16</v>
      </c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7"/>
      <c r="AC40" s="107"/>
      <c r="AD40" s="107"/>
      <c r="AE40" s="107"/>
      <c r="AF40" s="107"/>
      <c r="AG40" s="108"/>
      <c r="AH40" s="108"/>
      <c r="AI40" s="108"/>
      <c r="AJ40" s="109"/>
      <c r="AL40" s="110">
        <f>SUM(F40:AJ40)</f>
        <v>0</v>
      </c>
      <c r="AM40" s="304"/>
      <c r="AN40" s="304"/>
      <c r="CY40" s="304"/>
    </row>
    <row r="41" spans="1:15068" s="3" customFormat="1" ht="13.8">
      <c r="B41" s="121"/>
      <c r="C41" s="122" t="s">
        <v>78</v>
      </c>
      <c r="D41" s="127">
        <v>6731000</v>
      </c>
      <c r="E41" s="25" t="s">
        <v>16</v>
      </c>
      <c r="F41" s="107">
        <v>195400</v>
      </c>
      <c r="G41" s="107"/>
      <c r="H41" s="107"/>
      <c r="I41" s="107">
        <v>199100</v>
      </c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>
        <v>306200</v>
      </c>
      <c r="V41" s="107"/>
      <c r="W41" s="107"/>
      <c r="X41" s="107">
        <v>8000</v>
      </c>
      <c r="Y41" s="107">
        <v>201200</v>
      </c>
      <c r="Z41" s="107"/>
      <c r="AA41" s="107"/>
      <c r="AB41" s="107"/>
      <c r="AC41" s="107">
        <v>275000</v>
      </c>
      <c r="AD41" s="107"/>
      <c r="AE41" s="107"/>
      <c r="AF41" s="107"/>
      <c r="AG41" s="108"/>
      <c r="AH41" s="108"/>
      <c r="AI41" s="108">
        <v>202400</v>
      </c>
      <c r="AJ41" s="109"/>
      <c r="AL41" s="110">
        <f>SUM(F41:AJ41)</f>
        <v>1387300</v>
      </c>
      <c r="AM41" s="304"/>
      <c r="AN41" s="310"/>
      <c r="BR41" s="304"/>
      <c r="CY41" s="304"/>
    </row>
    <row r="42" spans="1:15068" s="3" customFormat="1" ht="13.8">
      <c r="B42" s="121"/>
      <c r="C42" s="122" t="s">
        <v>77</v>
      </c>
      <c r="D42" s="127">
        <v>4487000</v>
      </c>
      <c r="E42" s="25" t="s">
        <v>16</v>
      </c>
      <c r="F42" s="107">
        <v>130050</v>
      </c>
      <c r="G42" s="107"/>
      <c r="H42" s="107"/>
      <c r="I42" s="107">
        <v>132700</v>
      </c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>
        <v>203987</v>
      </c>
      <c r="V42" s="107"/>
      <c r="W42" s="107"/>
      <c r="X42" s="107">
        <v>5330</v>
      </c>
      <c r="Y42" s="107">
        <v>134100</v>
      </c>
      <c r="Z42" s="107"/>
      <c r="AA42" s="107"/>
      <c r="AB42" s="107"/>
      <c r="AC42" s="107">
        <v>182841</v>
      </c>
      <c r="AD42" s="107"/>
      <c r="AE42" s="107"/>
      <c r="AF42" s="107"/>
      <c r="AG42" s="108"/>
      <c r="AH42" s="108"/>
      <c r="AI42" s="108">
        <f>196680-62350</f>
        <v>134330</v>
      </c>
      <c r="AJ42" s="109"/>
      <c r="AL42" s="110">
        <f>SUM(F42:AJ42)</f>
        <v>923338</v>
      </c>
      <c r="CY42" s="304"/>
    </row>
    <row r="43" spans="1:15068" s="3" customFormat="1" ht="13.8">
      <c r="B43" s="121"/>
      <c r="C43" s="152" t="s">
        <v>128</v>
      </c>
      <c r="D43" s="132">
        <v>100</v>
      </c>
      <c r="E43" s="5" t="s">
        <v>29</v>
      </c>
      <c r="F43" s="311">
        <f>(F21+F25+F34+F39+F29)/2000/1000*100</f>
        <v>35.804950000000005</v>
      </c>
      <c r="G43" s="311">
        <f t="shared" ref="G43:O43" si="16">(G21+G25+G34+G39+G29)/2000/1000*100</f>
        <v>52.702499999999993</v>
      </c>
      <c r="H43" s="311">
        <f t="shared" si="16"/>
        <v>29.832449999999998</v>
      </c>
      <c r="I43" s="311">
        <f t="shared" si="16"/>
        <v>25.121650000000002</v>
      </c>
      <c r="J43" s="311">
        <f t="shared" si="16"/>
        <v>47.884550000000004</v>
      </c>
      <c r="K43" s="311">
        <f t="shared" si="16"/>
        <v>35.612400000000001</v>
      </c>
      <c r="L43" s="311">
        <f t="shared" si="16"/>
        <v>70.289350000000013</v>
      </c>
      <c r="M43" s="311">
        <f t="shared" si="16"/>
        <v>62.826450000000001</v>
      </c>
      <c r="N43" s="311">
        <f t="shared" si="16"/>
        <v>69.740499999999997</v>
      </c>
      <c r="O43" s="311">
        <f t="shared" si="16"/>
        <v>73.119500000000002</v>
      </c>
      <c r="P43" s="311">
        <f>(P21+P25+P34+P39)/2000/1000*100</f>
        <v>73.358850000000004</v>
      </c>
      <c r="Q43" s="311">
        <f>(Q21+Q25+Q34+Q39)/2000/1000*100</f>
        <v>57.042300000000004</v>
      </c>
      <c r="R43" s="311">
        <f t="shared" ref="R43:AJ43" si="17">(R21+R25+R34+R39)/2000/1000*100</f>
        <v>24.061299999999999</v>
      </c>
      <c r="S43" s="311">
        <f t="shared" si="17"/>
        <v>5.7328000000000001</v>
      </c>
      <c r="T43" s="311">
        <f t="shared" si="17"/>
        <v>21.631450000000001</v>
      </c>
      <c r="U43" s="311">
        <f t="shared" si="17"/>
        <v>27.704600000000003</v>
      </c>
      <c r="V43" s="311">
        <f t="shared" si="17"/>
        <v>0</v>
      </c>
      <c r="W43" s="311">
        <f t="shared" si="17"/>
        <v>1.7847499999999998</v>
      </c>
      <c r="X43" s="311">
        <f t="shared" si="17"/>
        <v>33.659149999999997</v>
      </c>
      <c r="Y43" s="311">
        <f t="shared" si="17"/>
        <v>64.135749999999987</v>
      </c>
      <c r="Z43" s="311">
        <f t="shared" si="17"/>
        <v>98.92195000000001</v>
      </c>
      <c r="AA43" s="311">
        <f t="shared" si="17"/>
        <v>92.682749999999999</v>
      </c>
      <c r="AB43" s="311">
        <f t="shared" si="17"/>
        <v>72.357050000000001</v>
      </c>
      <c r="AC43" s="311">
        <f t="shared" si="17"/>
        <v>42.005600000000001</v>
      </c>
      <c r="AD43" s="311">
        <f t="shared" si="17"/>
        <v>62.058100000000003</v>
      </c>
      <c r="AE43" s="311">
        <f t="shared" si="17"/>
        <v>78.744450000000001</v>
      </c>
      <c r="AF43" s="311">
        <f t="shared" si="17"/>
        <v>85.664649999999995</v>
      </c>
      <c r="AG43" s="311">
        <f t="shared" si="17"/>
        <v>87.6631</v>
      </c>
      <c r="AH43" s="311">
        <f t="shared" si="17"/>
        <v>64.074950000000001</v>
      </c>
      <c r="AI43" s="311">
        <f t="shared" si="17"/>
        <v>29.319099999999999</v>
      </c>
      <c r="AJ43" s="332">
        <f t="shared" si="17"/>
        <v>78.056600000000003</v>
      </c>
      <c r="AK43" s="119"/>
      <c r="AL43" s="312">
        <f>(AL21+AL25+AL34+AL39)/62000/1000*100</f>
        <v>48.160616129032256</v>
      </c>
      <c r="CY43" s="304"/>
    </row>
    <row r="44" spans="1:15068">
      <c r="B44" s="69"/>
      <c r="C44" s="148" t="s">
        <v>76</v>
      </c>
      <c r="D44" s="149"/>
      <c r="E44" s="150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52"/>
      <c r="AH44" s="52"/>
      <c r="AI44" s="52"/>
      <c r="AJ44" s="60"/>
      <c r="AL44" s="151" t="s">
        <v>75</v>
      </c>
    </row>
    <row r="45" spans="1:15068">
      <c r="B45" s="121"/>
      <c r="C45" s="152" t="s">
        <v>74</v>
      </c>
      <c r="D45" s="14">
        <v>94.2</v>
      </c>
      <c r="E45" s="133" t="s">
        <v>29</v>
      </c>
      <c r="F45" s="10">
        <f t="shared" ref="F45:AJ45" si="18">(F18/(F11))*100</f>
        <v>95.25353997504385</v>
      </c>
      <c r="G45" s="10">
        <f t="shared" si="18"/>
        <v>95.189414016489991</v>
      </c>
      <c r="H45" s="10">
        <f t="shared" si="18"/>
        <v>95.319275399516386</v>
      </c>
      <c r="I45" s="10">
        <f t="shared" si="18"/>
        <v>94.983091001340199</v>
      </c>
      <c r="J45" s="10">
        <f t="shared" si="18"/>
        <v>95.010871418826738</v>
      </c>
      <c r="K45" s="10">
        <f t="shared" si="18"/>
        <v>94.302400648580473</v>
      </c>
      <c r="L45" s="10">
        <f t="shared" si="18"/>
        <v>95.354486334164108</v>
      </c>
      <c r="M45" s="10">
        <f t="shared" si="18"/>
        <v>95.35845306725291</v>
      </c>
      <c r="N45" s="10">
        <f t="shared" si="18"/>
        <v>95.160462056868539</v>
      </c>
      <c r="O45" s="10">
        <f t="shared" si="18"/>
        <v>95.18167866316864</v>
      </c>
      <c r="P45" s="10">
        <f t="shared" si="18"/>
        <v>95.137174011689055</v>
      </c>
      <c r="Q45" s="10">
        <f t="shared" si="18"/>
        <v>95.075510253622085</v>
      </c>
      <c r="R45" s="10">
        <f t="shared" si="18"/>
        <v>95.177963243849291</v>
      </c>
      <c r="S45" s="10">
        <f t="shared" si="18"/>
        <v>94.692580693276767</v>
      </c>
      <c r="T45" s="10">
        <f t="shared" si="18"/>
        <v>94.833663096019322</v>
      </c>
      <c r="U45" s="10">
        <f t="shared" si="18"/>
        <v>94.912199729624902</v>
      </c>
      <c r="V45" s="10">
        <f t="shared" si="18"/>
        <v>95.225506566905366</v>
      </c>
      <c r="W45" s="10">
        <f t="shared" si="18"/>
        <v>95.244803410720237</v>
      </c>
      <c r="X45" s="10">
        <f t="shared" si="18"/>
        <v>95.568142306782931</v>
      </c>
      <c r="Y45" s="10">
        <f t="shared" si="18"/>
        <v>95.18499408140346</v>
      </c>
      <c r="Z45" s="10">
        <f t="shared" si="18"/>
        <v>95.164434463209702</v>
      </c>
      <c r="AA45" s="10">
        <f t="shared" si="18"/>
        <v>94.74650372374002</v>
      </c>
      <c r="AB45" s="10">
        <f t="shared" si="18"/>
        <v>95.333549476226139</v>
      </c>
      <c r="AC45" s="10">
        <f t="shared" si="18"/>
        <v>95.658204578253077</v>
      </c>
      <c r="AD45" s="10">
        <f t="shared" si="18"/>
        <v>94.770411625167597</v>
      </c>
      <c r="AE45" s="10">
        <f t="shared" si="18"/>
        <v>95.262906495838578</v>
      </c>
      <c r="AF45" s="10">
        <f t="shared" si="18"/>
        <v>95.255609057033126</v>
      </c>
      <c r="AG45" s="10">
        <f t="shared" si="18"/>
        <v>95.305978098768591</v>
      </c>
      <c r="AH45" s="10">
        <f t="shared" si="18"/>
        <v>95.859595064697444</v>
      </c>
      <c r="AI45" s="10">
        <f t="shared" si="18"/>
        <v>95.577643178822768</v>
      </c>
      <c r="AJ45" s="20">
        <f t="shared" si="18"/>
        <v>94.934347026653725</v>
      </c>
      <c r="AK45" s="119"/>
      <c r="AL45" s="153">
        <f>(AL18/(AL11))*100</f>
        <v>95.202805607455403</v>
      </c>
    </row>
    <row r="46" spans="1:15068">
      <c r="B46" s="121"/>
      <c r="C46" s="152" t="s">
        <v>73</v>
      </c>
      <c r="D46" s="14">
        <v>5</v>
      </c>
      <c r="E46" s="133" t="s">
        <v>29</v>
      </c>
      <c r="F46" s="10">
        <f t="shared" ref="F46:AJ46" si="19">(F19/(F11))*100</f>
        <v>4.0189341193916492</v>
      </c>
      <c r="G46" s="10">
        <f t="shared" si="19"/>
        <v>4.0561690223792697</v>
      </c>
      <c r="H46" s="10">
        <f t="shared" si="19"/>
        <v>3.9438313047941964</v>
      </c>
      <c r="I46" s="10">
        <f t="shared" si="19"/>
        <v>4.2978975433943729</v>
      </c>
      <c r="J46" s="10">
        <f t="shared" si="19"/>
        <v>4.2364782287403369</v>
      </c>
      <c r="K46" s="10">
        <f t="shared" si="19"/>
        <v>4.9190843987186712</v>
      </c>
      <c r="L46" s="10">
        <f t="shared" si="19"/>
        <v>3.865898443671349</v>
      </c>
      <c r="M46" s="10">
        <f t="shared" si="19"/>
        <v>3.9419287654077304</v>
      </c>
      <c r="N46" s="10">
        <f t="shared" si="19"/>
        <v>4.1023558668759232</v>
      </c>
      <c r="O46" s="10">
        <f t="shared" si="19"/>
        <v>4.0444988718489148</v>
      </c>
      <c r="P46" s="10">
        <f t="shared" si="19"/>
        <v>4.1723903756259446</v>
      </c>
      <c r="Q46" s="10">
        <f t="shared" si="19"/>
        <v>4.1798129344959527</v>
      </c>
      <c r="R46" s="10">
        <f t="shared" si="19"/>
        <v>4.0821108290352859</v>
      </c>
      <c r="S46" s="10">
        <f t="shared" si="19"/>
        <v>4.5611559505742587</v>
      </c>
      <c r="T46" s="10">
        <f t="shared" si="19"/>
        <v>4.4319776057419826</v>
      </c>
      <c r="U46" s="10">
        <f t="shared" si="19"/>
        <v>4.3359282656593949</v>
      </c>
      <c r="V46" s="10">
        <f t="shared" si="19"/>
        <v>4.0558267236119585</v>
      </c>
      <c r="W46" s="10">
        <f t="shared" si="19"/>
        <v>4.0333530487721436</v>
      </c>
      <c r="X46" s="10">
        <f t="shared" si="19"/>
        <v>3.7085715080457855</v>
      </c>
      <c r="Y46" s="10">
        <f t="shared" si="19"/>
        <v>4.1389200837709046</v>
      </c>
      <c r="Z46" s="10">
        <f t="shared" si="19"/>
        <v>4.0677685486961268</v>
      </c>
      <c r="AA46" s="10">
        <f t="shared" si="19"/>
        <v>4.4937506623944588</v>
      </c>
      <c r="AB46" s="10">
        <f t="shared" si="19"/>
        <v>3.896753845030807</v>
      </c>
      <c r="AC46" s="10">
        <f t="shared" si="19"/>
        <v>3.7149152867326132</v>
      </c>
      <c r="AD46" s="10">
        <f t="shared" si="19"/>
        <v>4.4927404739803976</v>
      </c>
      <c r="AE46" s="10">
        <f t="shared" si="19"/>
        <v>4.0523063214594455</v>
      </c>
      <c r="AF46" s="10">
        <f t="shared" si="19"/>
        <v>4.1243577780045273</v>
      </c>
      <c r="AG46" s="10">
        <f t="shared" si="19"/>
        <v>4.0624653798627977</v>
      </c>
      <c r="AH46" s="10">
        <f t="shared" si="19"/>
        <v>3.3885040460289084</v>
      </c>
      <c r="AI46" s="10">
        <f t="shared" si="19"/>
        <v>3.696275912961148</v>
      </c>
      <c r="AJ46" s="20">
        <f t="shared" si="19"/>
        <v>4.3697816289728975</v>
      </c>
      <c r="AK46" s="119"/>
      <c r="AL46" s="153">
        <f>(AL19/(AL11))*100</f>
        <v>4.0746281910250479</v>
      </c>
      <c r="BN46" s="89"/>
    </row>
    <row r="47" spans="1:15068">
      <c r="B47" s="121"/>
      <c r="C47" s="152" t="s">
        <v>72</v>
      </c>
      <c r="D47" s="14">
        <v>82</v>
      </c>
      <c r="E47" s="133" t="s">
        <v>29</v>
      </c>
      <c r="F47" s="10">
        <f t="shared" ref="F47:AJ47" si="20">(F22/F21)*100</f>
        <v>80.149955586728751</v>
      </c>
      <c r="G47" s="10">
        <f t="shared" si="20"/>
        <v>82.745728968933747</v>
      </c>
      <c r="H47" s="10">
        <f t="shared" si="20"/>
        <v>80.320044918585069</v>
      </c>
      <c r="I47" s="10" t="e">
        <f t="shared" si="20"/>
        <v>#DIV/0!</v>
      </c>
      <c r="J47" s="10" t="e">
        <f t="shared" si="20"/>
        <v>#DIV/0!</v>
      </c>
      <c r="K47" s="10" t="e">
        <f t="shared" si="20"/>
        <v>#DIV/0!</v>
      </c>
      <c r="L47" s="10" t="e">
        <f t="shared" si="20"/>
        <v>#DIV/0!</v>
      </c>
      <c r="M47" s="10" t="e">
        <f t="shared" si="20"/>
        <v>#DIV/0!</v>
      </c>
      <c r="N47" s="10">
        <f t="shared" si="20"/>
        <v>82.030904048290481</v>
      </c>
      <c r="O47" s="10" t="e">
        <f t="shared" si="20"/>
        <v>#DIV/0!</v>
      </c>
      <c r="P47" s="10" t="e">
        <f t="shared" si="20"/>
        <v>#DIV/0!</v>
      </c>
      <c r="Q47" s="10">
        <f t="shared" si="20"/>
        <v>81.503880550058142</v>
      </c>
      <c r="R47" s="10">
        <f t="shared" si="20"/>
        <v>81.495181058380055</v>
      </c>
      <c r="S47" s="10">
        <f t="shared" si="20"/>
        <v>82.039317610940557</v>
      </c>
      <c r="T47" s="10">
        <f t="shared" si="20"/>
        <v>81.482979643066002</v>
      </c>
      <c r="U47" s="10">
        <f t="shared" si="20"/>
        <v>82.211593212618155</v>
      </c>
      <c r="V47" s="10" t="e">
        <f t="shared" si="20"/>
        <v>#DIV/0!</v>
      </c>
      <c r="W47" s="10" t="e">
        <f t="shared" si="20"/>
        <v>#DIV/0!</v>
      </c>
      <c r="X47" s="10" t="e">
        <f t="shared" si="20"/>
        <v>#DIV/0!</v>
      </c>
      <c r="Y47" s="10">
        <f t="shared" si="20"/>
        <v>82.031105692858986</v>
      </c>
      <c r="Z47" s="10">
        <f t="shared" si="20"/>
        <v>82.03229920154223</v>
      </c>
      <c r="AA47" s="10">
        <f t="shared" si="20"/>
        <v>82.032093350704415</v>
      </c>
      <c r="AB47" s="10">
        <f t="shared" si="20"/>
        <v>82.01633427565109</v>
      </c>
      <c r="AC47" s="10" t="e">
        <f t="shared" si="20"/>
        <v>#DIV/0!</v>
      </c>
      <c r="AD47" s="10">
        <f t="shared" si="20"/>
        <v>82.041218218481959</v>
      </c>
      <c r="AE47" s="10">
        <f t="shared" si="20"/>
        <v>82.034733876482719</v>
      </c>
      <c r="AF47" s="10">
        <f t="shared" si="20"/>
        <v>82.08035636636582</v>
      </c>
      <c r="AG47" s="10">
        <f t="shared" si="20"/>
        <v>82.027443702082181</v>
      </c>
      <c r="AH47" s="10">
        <f t="shared" si="20"/>
        <v>82.023786206622091</v>
      </c>
      <c r="AI47" s="10" t="e">
        <f t="shared" si="20"/>
        <v>#DIV/0!</v>
      </c>
      <c r="AJ47" s="20">
        <f t="shared" si="20"/>
        <v>82.470933263468012</v>
      </c>
      <c r="AK47" s="119"/>
      <c r="AL47" s="154">
        <f>AL22/AL21*100</f>
        <v>82.007540871591715</v>
      </c>
    </row>
    <row r="48" spans="1:15068">
      <c r="B48" s="121"/>
      <c r="C48" s="152" t="s">
        <v>70</v>
      </c>
      <c r="D48" s="14">
        <v>18</v>
      </c>
      <c r="E48" s="133" t="s">
        <v>29</v>
      </c>
      <c r="F48" s="10">
        <f t="shared" ref="F48:AJ48" si="21">(F23/F21)*100</f>
        <v>19.850044413271249</v>
      </c>
      <c r="G48" s="10">
        <f t="shared" si="21"/>
        <v>17.254271031066253</v>
      </c>
      <c r="H48" s="10">
        <f t="shared" si="21"/>
        <v>19.679955081414935</v>
      </c>
      <c r="I48" s="10" t="e">
        <f t="shared" si="21"/>
        <v>#DIV/0!</v>
      </c>
      <c r="J48" s="10" t="e">
        <f t="shared" si="21"/>
        <v>#DIV/0!</v>
      </c>
      <c r="K48" s="10" t="e">
        <f t="shared" si="21"/>
        <v>#DIV/0!</v>
      </c>
      <c r="L48" s="10" t="e">
        <f t="shared" si="21"/>
        <v>#DIV/0!</v>
      </c>
      <c r="M48" s="10" t="e">
        <f t="shared" si="21"/>
        <v>#DIV/0!</v>
      </c>
      <c r="N48" s="10">
        <f t="shared" si="21"/>
        <v>17.969095951709509</v>
      </c>
      <c r="O48" s="10" t="e">
        <f t="shared" si="21"/>
        <v>#DIV/0!</v>
      </c>
      <c r="P48" s="10" t="e">
        <f t="shared" si="21"/>
        <v>#DIV/0!</v>
      </c>
      <c r="Q48" s="10">
        <f t="shared" si="21"/>
        <v>18.496119449941862</v>
      </c>
      <c r="R48" s="10">
        <f t="shared" si="21"/>
        <v>18.504818941619945</v>
      </c>
      <c r="S48" s="10">
        <f t="shared" si="21"/>
        <v>17.96068238905945</v>
      </c>
      <c r="T48" s="10">
        <f t="shared" si="21"/>
        <v>18.517020356934001</v>
      </c>
      <c r="U48" s="10">
        <f t="shared" si="21"/>
        <v>17.788406787381845</v>
      </c>
      <c r="V48" s="10" t="e">
        <f t="shared" si="21"/>
        <v>#DIV/0!</v>
      </c>
      <c r="W48" s="10" t="e">
        <f t="shared" si="21"/>
        <v>#DIV/0!</v>
      </c>
      <c r="X48" s="10" t="e">
        <f t="shared" si="21"/>
        <v>#DIV/0!</v>
      </c>
      <c r="Y48" s="10">
        <f t="shared" si="21"/>
        <v>17.96889430714101</v>
      </c>
      <c r="Z48" s="10">
        <f t="shared" si="21"/>
        <v>17.967700798457777</v>
      </c>
      <c r="AA48" s="10">
        <f t="shared" si="21"/>
        <v>17.967906649295582</v>
      </c>
      <c r="AB48" s="10">
        <f t="shared" si="21"/>
        <v>17.983665724348903</v>
      </c>
      <c r="AC48" s="10" t="e">
        <f t="shared" si="21"/>
        <v>#DIV/0!</v>
      </c>
      <c r="AD48" s="10">
        <f t="shared" si="21"/>
        <v>17.958781781518038</v>
      </c>
      <c r="AE48" s="10">
        <f t="shared" si="21"/>
        <v>17.965266123517274</v>
      </c>
      <c r="AF48" s="10">
        <f t="shared" si="21"/>
        <v>17.919643633634177</v>
      </c>
      <c r="AG48" s="10">
        <f t="shared" si="21"/>
        <v>17.972556297917823</v>
      </c>
      <c r="AH48" s="10">
        <f t="shared" si="21"/>
        <v>17.976213793377912</v>
      </c>
      <c r="AI48" s="10" t="e">
        <f t="shared" si="21"/>
        <v>#DIV/0!</v>
      </c>
      <c r="AJ48" s="20">
        <f t="shared" si="21"/>
        <v>17.529066736531991</v>
      </c>
      <c r="AK48" s="119"/>
      <c r="AL48" s="154">
        <f>AL23/AL21*100</f>
        <v>17.992459128408278</v>
      </c>
    </row>
    <row r="49" spans="2:103 15069:15082">
      <c r="B49" s="121"/>
      <c r="C49" s="152" t="s">
        <v>131</v>
      </c>
      <c r="D49" s="14">
        <v>70</v>
      </c>
      <c r="E49" s="133" t="s">
        <v>29</v>
      </c>
      <c r="F49" s="10" t="e">
        <f t="shared" ref="F49:AJ49" si="22">(F26/F25)*100</f>
        <v>#DIV/0!</v>
      </c>
      <c r="G49" s="10" t="e">
        <f t="shared" si="22"/>
        <v>#DIV/0!</v>
      </c>
      <c r="H49" s="10" t="e">
        <f t="shared" si="22"/>
        <v>#DIV/0!</v>
      </c>
      <c r="I49" s="10">
        <f t="shared" si="22"/>
        <v>70.161105999425672</v>
      </c>
      <c r="J49" s="10">
        <f t="shared" si="22"/>
        <v>70.048898861950249</v>
      </c>
      <c r="K49" s="10">
        <f t="shared" si="22"/>
        <v>70.016202221698066</v>
      </c>
      <c r="L49" s="10">
        <f t="shared" si="22"/>
        <v>70.055349779162839</v>
      </c>
      <c r="M49" s="10">
        <f t="shared" si="22"/>
        <v>70.027193960505485</v>
      </c>
      <c r="N49" s="10">
        <f t="shared" si="22"/>
        <v>70.012874961276253</v>
      </c>
      <c r="O49" s="10" t="e">
        <f t="shared" si="22"/>
        <v>#DIV/0!</v>
      </c>
      <c r="P49" s="10">
        <f t="shared" si="22"/>
        <v>70.010026056842491</v>
      </c>
      <c r="Q49" s="10">
        <f t="shared" si="22"/>
        <v>70.01147037019912</v>
      </c>
      <c r="R49" s="10" t="e">
        <f t="shared" si="22"/>
        <v>#DIV/0!</v>
      </c>
      <c r="S49" s="10" t="e">
        <f t="shared" si="22"/>
        <v>#DIV/0!</v>
      </c>
      <c r="T49" s="10" t="e">
        <f t="shared" si="22"/>
        <v>#DIV/0!</v>
      </c>
      <c r="U49" s="10" t="e">
        <f t="shared" si="22"/>
        <v>#DIV/0!</v>
      </c>
      <c r="V49" s="10" t="e">
        <f t="shared" si="22"/>
        <v>#DIV/0!</v>
      </c>
      <c r="W49" s="10" t="e">
        <f t="shared" si="22"/>
        <v>#DIV/0!</v>
      </c>
      <c r="X49" s="10" t="e">
        <f t="shared" si="22"/>
        <v>#DIV/0!</v>
      </c>
      <c r="Y49" s="10" t="e">
        <f t="shared" si="22"/>
        <v>#DIV/0!</v>
      </c>
      <c r="Z49" s="10" t="e">
        <f t="shared" si="22"/>
        <v>#DIV/0!</v>
      </c>
      <c r="AA49" s="10" t="e">
        <f t="shared" si="22"/>
        <v>#DIV/0!</v>
      </c>
      <c r="AB49" s="10" t="e">
        <f t="shared" si="22"/>
        <v>#DIV/0!</v>
      </c>
      <c r="AC49" s="10" t="e">
        <f t="shared" si="22"/>
        <v>#DIV/0!</v>
      </c>
      <c r="AD49" s="10" t="e">
        <f t="shared" si="22"/>
        <v>#DIV/0!</v>
      </c>
      <c r="AE49" s="10" t="e">
        <f t="shared" si="22"/>
        <v>#DIV/0!</v>
      </c>
      <c r="AF49" s="10" t="e">
        <f t="shared" si="22"/>
        <v>#DIV/0!</v>
      </c>
      <c r="AG49" s="10" t="e">
        <f t="shared" si="22"/>
        <v>#DIV/0!</v>
      </c>
      <c r="AH49" s="10" t="e">
        <f t="shared" si="22"/>
        <v>#DIV/0!</v>
      </c>
      <c r="AI49" s="10" t="e">
        <f t="shared" si="22"/>
        <v>#DIV/0!</v>
      </c>
      <c r="AJ49" s="20" t="e">
        <f t="shared" si="22"/>
        <v>#DIV/0!</v>
      </c>
      <c r="AK49" s="119"/>
      <c r="AL49" s="155">
        <f>(AL26/AL25)*100</f>
        <v>70.030719996948662</v>
      </c>
    </row>
    <row r="50" spans="2:103 15069:15082">
      <c r="B50" s="121"/>
      <c r="C50" s="152" t="s">
        <v>70</v>
      </c>
      <c r="D50" s="14">
        <v>30</v>
      </c>
      <c r="E50" s="133" t="s">
        <v>29</v>
      </c>
      <c r="F50" s="10" t="e">
        <f t="shared" ref="F50:AJ50" si="23">(F27/F25)*100</f>
        <v>#DIV/0!</v>
      </c>
      <c r="G50" s="10" t="e">
        <f t="shared" si="23"/>
        <v>#DIV/0!</v>
      </c>
      <c r="H50" s="10" t="e">
        <f t="shared" si="23"/>
        <v>#DIV/0!</v>
      </c>
      <c r="I50" s="10">
        <f t="shared" si="23"/>
        <v>29.838894000574335</v>
      </c>
      <c r="J50" s="10">
        <f t="shared" si="23"/>
        <v>29.951101138049747</v>
      </c>
      <c r="K50" s="10">
        <f t="shared" si="23"/>
        <v>29.983797778301941</v>
      </c>
      <c r="L50" s="10">
        <f t="shared" si="23"/>
        <v>29.944650220837154</v>
      </c>
      <c r="M50" s="10">
        <f t="shared" si="23"/>
        <v>29.972806039494511</v>
      </c>
      <c r="N50" s="10">
        <f t="shared" si="23"/>
        <v>29.987125038723754</v>
      </c>
      <c r="O50" s="10" t="e">
        <f t="shared" si="23"/>
        <v>#DIV/0!</v>
      </c>
      <c r="P50" s="10">
        <f t="shared" si="23"/>
        <v>29.989973943157505</v>
      </c>
      <c r="Q50" s="10">
        <f t="shared" si="23"/>
        <v>29.988529629800887</v>
      </c>
      <c r="R50" s="10" t="e">
        <f t="shared" si="23"/>
        <v>#DIV/0!</v>
      </c>
      <c r="S50" s="10" t="e">
        <f t="shared" si="23"/>
        <v>#DIV/0!</v>
      </c>
      <c r="T50" s="10" t="e">
        <f t="shared" si="23"/>
        <v>#DIV/0!</v>
      </c>
      <c r="U50" s="10" t="e">
        <f t="shared" si="23"/>
        <v>#DIV/0!</v>
      </c>
      <c r="V50" s="10" t="e">
        <f t="shared" si="23"/>
        <v>#DIV/0!</v>
      </c>
      <c r="W50" s="10" t="e">
        <f t="shared" si="23"/>
        <v>#DIV/0!</v>
      </c>
      <c r="X50" s="10" t="e">
        <f t="shared" si="23"/>
        <v>#DIV/0!</v>
      </c>
      <c r="Y50" s="10" t="e">
        <f t="shared" si="23"/>
        <v>#DIV/0!</v>
      </c>
      <c r="Z50" s="10" t="e">
        <f t="shared" si="23"/>
        <v>#DIV/0!</v>
      </c>
      <c r="AA50" s="10" t="e">
        <f t="shared" si="23"/>
        <v>#DIV/0!</v>
      </c>
      <c r="AB50" s="10" t="e">
        <f t="shared" si="23"/>
        <v>#DIV/0!</v>
      </c>
      <c r="AC50" s="10" t="e">
        <f t="shared" si="23"/>
        <v>#DIV/0!</v>
      </c>
      <c r="AD50" s="10" t="e">
        <f t="shared" si="23"/>
        <v>#DIV/0!</v>
      </c>
      <c r="AE50" s="10" t="e">
        <f t="shared" si="23"/>
        <v>#DIV/0!</v>
      </c>
      <c r="AF50" s="10" t="e">
        <f t="shared" si="23"/>
        <v>#DIV/0!</v>
      </c>
      <c r="AG50" s="10" t="e">
        <f t="shared" si="23"/>
        <v>#DIV/0!</v>
      </c>
      <c r="AH50" s="10" t="e">
        <f t="shared" si="23"/>
        <v>#DIV/0!</v>
      </c>
      <c r="AI50" s="10" t="e">
        <f t="shared" si="23"/>
        <v>#DIV/0!</v>
      </c>
      <c r="AJ50" s="20" t="e">
        <f t="shared" si="23"/>
        <v>#DIV/0!</v>
      </c>
      <c r="AK50" s="119"/>
      <c r="AL50" s="155">
        <f>(AL27/AL25)*100</f>
        <v>29.969280003051342</v>
      </c>
    </row>
    <row r="51" spans="2:103 15069:15082">
      <c r="B51" s="121"/>
      <c r="C51" s="152" t="s">
        <v>134</v>
      </c>
      <c r="D51" s="14">
        <v>75</v>
      </c>
      <c r="E51" s="324"/>
      <c r="F51" s="311" t="e">
        <f>(F30/F29)*100</f>
        <v>#DIV/0!</v>
      </c>
      <c r="G51" s="311">
        <f t="shared" ref="G51:T51" si="24">(G30/G29)*100</f>
        <v>70.066810458204003</v>
      </c>
      <c r="H51" s="311">
        <f t="shared" si="24"/>
        <v>75.057639607310009</v>
      </c>
      <c r="I51" s="311" t="e">
        <f t="shared" si="24"/>
        <v>#DIV/0!</v>
      </c>
      <c r="J51" s="311" t="e">
        <f t="shared" si="24"/>
        <v>#DIV/0!</v>
      </c>
      <c r="K51" s="311" t="e">
        <f t="shared" si="24"/>
        <v>#DIV/0!</v>
      </c>
      <c r="L51" s="311" t="e">
        <f t="shared" si="24"/>
        <v>#DIV/0!</v>
      </c>
      <c r="M51" s="311" t="e">
        <f t="shared" si="24"/>
        <v>#DIV/0!</v>
      </c>
      <c r="N51" s="311">
        <f t="shared" si="24"/>
        <v>75.024777006937555</v>
      </c>
      <c r="O51" s="311">
        <f t="shared" si="24"/>
        <v>75.010496515977266</v>
      </c>
      <c r="P51" s="311" t="e">
        <f t="shared" si="24"/>
        <v>#DIV/0!</v>
      </c>
      <c r="Q51" s="311">
        <f t="shared" si="24"/>
        <v>75.066760619877087</v>
      </c>
      <c r="R51" s="311">
        <f t="shared" si="24"/>
        <v>75.050327683282362</v>
      </c>
      <c r="S51" s="311">
        <f t="shared" si="24"/>
        <v>76.78541262980076</v>
      </c>
      <c r="T51" s="311">
        <f t="shared" si="24"/>
        <v>75.022700142233063</v>
      </c>
      <c r="U51" s="311">
        <f>(U30/U29)*100</f>
        <v>75.033210850047368</v>
      </c>
      <c r="V51" s="311">
        <f t="shared" ref="V51:AB51" si="25">(V30/V29)*100</f>
        <v>75.032382572738626</v>
      </c>
      <c r="W51" s="311">
        <f t="shared" si="25"/>
        <v>75.022775250252522</v>
      </c>
      <c r="X51" s="311" t="e">
        <f t="shared" si="25"/>
        <v>#DIV/0!</v>
      </c>
      <c r="Y51" s="311" t="e">
        <f t="shared" si="25"/>
        <v>#DIV/0!</v>
      </c>
      <c r="Z51" s="311" t="e">
        <f t="shared" si="25"/>
        <v>#DIV/0!</v>
      </c>
      <c r="AA51" s="311" t="e">
        <f t="shared" si="25"/>
        <v>#DIV/0!</v>
      </c>
      <c r="AB51" s="311" t="e">
        <f t="shared" si="25"/>
        <v>#DIV/0!</v>
      </c>
      <c r="AC51" s="311" t="e">
        <f>(AC30/AC29)*100</f>
        <v>#DIV/0!</v>
      </c>
      <c r="AD51" s="311" t="e">
        <f t="shared" ref="AD51:AJ51" si="26">(AD30/AD29)*100</f>
        <v>#DIV/0!</v>
      </c>
      <c r="AE51" s="311" t="e">
        <f t="shared" si="26"/>
        <v>#DIV/0!</v>
      </c>
      <c r="AF51" s="311" t="e">
        <f t="shared" si="26"/>
        <v>#DIV/0!</v>
      </c>
      <c r="AG51" s="311" t="e">
        <f t="shared" si="26"/>
        <v>#DIV/0!</v>
      </c>
      <c r="AH51" s="311" t="e">
        <f t="shared" si="26"/>
        <v>#DIV/0!</v>
      </c>
      <c r="AI51" s="311" t="e">
        <f t="shared" si="26"/>
        <v>#DIV/0!</v>
      </c>
      <c r="AJ51" s="331" t="e">
        <f t="shared" si="26"/>
        <v>#DIV/0!</v>
      </c>
      <c r="AK51" s="119"/>
      <c r="AL51" s="155">
        <f>(AL30/AL29)*100</f>
        <v>75.021720109017252</v>
      </c>
    </row>
    <row r="52" spans="2:103 15069:15082">
      <c r="B52" s="121"/>
      <c r="C52" s="152" t="s">
        <v>70</v>
      </c>
      <c r="D52" s="14">
        <v>25</v>
      </c>
      <c r="E52" s="324"/>
      <c r="F52" s="311" t="e">
        <f>(F31/F29)*100</f>
        <v>#DIV/0!</v>
      </c>
      <c r="G52" s="311">
        <f t="shared" ref="G52:AJ52" si="27">(G31/G29)*100</f>
        <v>29.93318954179599</v>
      </c>
      <c r="H52" s="311">
        <f t="shared" si="27"/>
        <v>24.942360392689984</v>
      </c>
      <c r="I52" s="311" t="e">
        <f t="shared" si="27"/>
        <v>#DIV/0!</v>
      </c>
      <c r="J52" s="311" t="e">
        <f t="shared" si="27"/>
        <v>#DIV/0!</v>
      </c>
      <c r="K52" s="311" t="e">
        <f t="shared" si="27"/>
        <v>#DIV/0!</v>
      </c>
      <c r="L52" s="311" t="e">
        <f t="shared" si="27"/>
        <v>#DIV/0!</v>
      </c>
      <c r="M52" s="311" t="e">
        <f t="shared" si="27"/>
        <v>#DIV/0!</v>
      </c>
      <c r="N52" s="311">
        <f t="shared" si="27"/>
        <v>24.975222993062438</v>
      </c>
      <c r="O52" s="311">
        <f t="shared" si="27"/>
        <v>24.98950348402273</v>
      </c>
      <c r="P52" s="311" t="e">
        <f t="shared" si="27"/>
        <v>#DIV/0!</v>
      </c>
      <c r="Q52" s="311">
        <f t="shared" si="27"/>
        <v>24.933239380122906</v>
      </c>
      <c r="R52" s="311">
        <f t="shared" si="27"/>
        <v>24.949672316717646</v>
      </c>
      <c r="S52" s="311">
        <f t="shared" si="27"/>
        <v>23.214587370199236</v>
      </c>
      <c r="T52" s="311">
        <f t="shared" si="27"/>
        <v>24.977299857766941</v>
      </c>
      <c r="U52" s="311">
        <f t="shared" si="27"/>
        <v>24.966789149952628</v>
      </c>
      <c r="V52" s="311">
        <f t="shared" si="27"/>
        <v>24.967617427261377</v>
      </c>
      <c r="W52" s="311">
        <f t="shared" si="27"/>
        <v>24.977224749747474</v>
      </c>
      <c r="X52" s="311" t="e">
        <f t="shared" si="27"/>
        <v>#DIV/0!</v>
      </c>
      <c r="Y52" s="311" t="e">
        <f t="shared" si="27"/>
        <v>#DIV/0!</v>
      </c>
      <c r="Z52" s="311" t="e">
        <f t="shared" si="27"/>
        <v>#DIV/0!</v>
      </c>
      <c r="AA52" s="311" t="e">
        <f t="shared" si="27"/>
        <v>#DIV/0!</v>
      </c>
      <c r="AB52" s="311" t="e">
        <f t="shared" si="27"/>
        <v>#DIV/0!</v>
      </c>
      <c r="AC52" s="311" t="e">
        <f t="shared" si="27"/>
        <v>#DIV/0!</v>
      </c>
      <c r="AD52" s="311" t="e">
        <f t="shared" si="27"/>
        <v>#DIV/0!</v>
      </c>
      <c r="AE52" s="311" t="e">
        <f t="shared" si="27"/>
        <v>#DIV/0!</v>
      </c>
      <c r="AF52" s="311" t="e">
        <f t="shared" si="27"/>
        <v>#DIV/0!</v>
      </c>
      <c r="AG52" s="311" t="e">
        <f t="shared" si="27"/>
        <v>#DIV/0!</v>
      </c>
      <c r="AH52" s="311" t="e">
        <f t="shared" si="27"/>
        <v>#DIV/0!</v>
      </c>
      <c r="AI52" s="311" t="e">
        <f t="shared" si="27"/>
        <v>#DIV/0!</v>
      </c>
      <c r="AJ52" s="331" t="e">
        <f t="shared" si="27"/>
        <v>#DIV/0!</v>
      </c>
      <c r="AK52" s="119"/>
      <c r="AL52" s="155">
        <f>(AL31/AL29)*100</f>
        <v>24.978279890982751</v>
      </c>
    </row>
    <row r="53" spans="2:103 15069:15082">
      <c r="B53" s="121"/>
      <c r="C53" s="152" t="s">
        <v>124</v>
      </c>
      <c r="D53" s="14">
        <v>75</v>
      </c>
      <c r="E53" s="133" t="s">
        <v>29</v>
      </c>
      <c r="F53" s="10" t="e">
        <f>F35/F34*100</f>
        <v>#DIV/0!</v>
      </c>
      <c r="G53" s="10" t="e">
        <f t="shared" ref="G53:AH53" si="28">G35/G34*100</f>
        <v>#DIV/0!</v>
      </c>
      <c r="H53" s="10" t="e">
        <f t="shared" si="28"/>
        <v>#DIV/0!</v>
      </c>
      <c r="I53" s="10" t="e">
        <f t="shared" si="28"/>
        <v>#DIV/0!</v>
      </c>
      <c r="J53" s="10" t="e">
        <f t="shared" si="28"/>
        <v>#DIV/0!</v>
      </c>
      <c r="K53" s="10" t="e">
        <f t="shared" si="28"/>
        <v>#DIV/0!</v>
      </c>
      <c r="L53" s="10" t="e">
        <f t="shared" si="28"/>
        <v>#DIV/0!</v>
      </c>
      <c r="M53" s="10" t="e">
        <f t="shared" si="28"/>
        <v>#DIV/0!</v>
      </c>
      <c r="N53" s="10" t="e">
        <f t="shared" si="28"/>
        <v>#DIV/0!</v>
      </c>
      <c r="O53" s="10" t="e">
        <f t="shared" si="28"/>
        <v>#DIV/0!</v>
      </c>
      <c r="P53" s="10" t="e">
        <f>P35/P34*100</f>
        <v>#DIV/0!</v>
      </c>
      <c r="Q53" s="10" t="e">
        <f>Q35/Q34*100</f>
        <v>#DIV/0!</v>
      </c>
      <c r="R53" s="10" t="e">
        <f>R35/R34*100</f>
        <v>#DIV/0!</v>
      </c>
      <c r="S53" s="10" t="e">
        <f t="shared" si="28"/>
        <v>#DIV/0!</v>
      </c>
      <c r="T53" s="10" t="e">
        <f t="shared" si="28"/>
        <v>#DIV/0!</v>
      </c>
      <c r="U53" s="10" t="e">
        <f t="shared" si="28"/>
        <v>#DIV/0!</v>
      </c>
      <c r="V53" s="10" t="e">
        <f t="shared" si="28"/>
        <v>#DIV/0!</v>
      </c>
      <c r="W53" s="10">
        <f t="shared" si="28"/>
        <v>75.010505673063449</v>
      </c>
      <c r="X53" s="10">
        <f t="shared" si="28"/>
        <v>75.041107640641172</v>
      </c>
      <c r="Y53" s="10" t="e">
        <f t="shared" si="28"/>
        <v>#DIV/0!</v>
      </c>
      <c r="Z53" s="10" t="e">
        <f t="shared" si="28"/>
        <v>#DIV/0!</v>
      </c>
      <c r="AA53" s="10" t="e">
        <f t="shared" si="28"/>
        <v>#DIV/0!</v>
      </c>
      <c r="AB53" s="10" t="e">
        <f t="shared" si="28"/>
        <v>#DIV/0!</v>
      </c>
      <c r="AC53" s="10">
        <f t="shared" si="28"/>
        <v>75.015107083718092</v>
      </c>
      <c r="AD53" s="10">
        <f t="shared" si="28"/>
        <v>75.014296854691963</v>
      </c>
      <c r="AE53" s="10" t="e">
        <f t="shared" si="28"/>
        <v>#DIV/0!</v>
      </c>
      <c r="AF53" s="10" t="e">
        <f t="shared" si="28"/>
        <v>#DIV/0!</v>
      </c>
      <c r="AG53" s="10" t="e">
        <f t="shared" si="28"/>
        <v>#DIV/0!</v>
      </c>
      <c r="AH53" s="10" t="e">
        <f t="shared" si="28"/>
        <v>#DIV/0!</v>
      </c>
      <c r="AI53" s="10">
        <f>AI35/AI34*100</f>
        <v>75.025235127297194</v>
      </c>
      <c r="AJ53" s="20">
        <f>AJ35/AJ34*100</f>
        <v>75.015403573629087</v>
      </c>
      <c r="AK53" s="119"/>
      <c r="AL53" s="156">
        <f>AL35/AL34*100</f>
        <v>75.02659264353484</v>
      </c>
      <c r="BN53" s="89"/>
    </row>
    <row r="54" spans="2:103 15069:15082">
      <c r="B54" s="121"/>
      <c r="C54" s="152" t="s">
        <v>70</v>
      </c>
      <c r="D54" s="14">
        <v>25</v>
      </c>
      <c r="E54" s="133" t="s">
        <v>29</v>
      </c>
      <c r="F54" s="10" t="e">
        <f t="shared" ref="F54:AH54" si="29">F36/F34*100</f>
        <v>#DIV/0!</v>
      </c>
      <c r="G54" s="10" t="e">
        <f t="shared" si="29"/>
        <v>#DIV/0!</v>
      </c>
      <c r="H54" s="10" t="e">
        <f t="shared" si="29"/>
        <v>#DIV/0!</v>
      </c>
      <c r="I54" s="10" t="e">
        <f t="shared" si="29"/>
        <v>#DIV/0!</v>
      </c>
      <c r="J54" s="10" t="e">
        <f t="shared" si="29"/>
        <v>#DIV/0!</v>
      </c>
      <c r="K54" s="10" t="e">
        <f t="shared" si="29"/>
        <v>#DIV/0!</v>
      </c>
      <c r="L54" s="10" t="e">
        <f t="shared" si="29"/>
        <v>#DIV/0!</v>
      </c>
      <c r="M54" s="10" t="e">
        <f t="shared" si="29"/>
        <v>#DIV/0!</v>
      </c>
      <c r="N54" s="10" t="e">
        <f t="shared" si="29"/>
        <v>#DIV/0!</v>
      </c>
      <c r="O54" s="10" t="e">
        <f t="shared" si="29"/>
        <v>#DIV/0!</v>
      </c>
      <c r="P54" s="10" t="e">
        <f t="shared" si="29"/>
        <v>#DIV/0!</v>
      </c>
      <c r="Q54" s="10" t="e">
        <f t="shared" si="29"/>
        <v>#DIV/0!</v>
      </c>
      <c r="R54" s="10" t="e">
        <f t="shared" si="29"/>
        <v>#DIV/0!</v>
      </c>
      <c r="S54" s="10" t="e">
        <f>S36/S34*100</f>
        <v>#DIV/0!</v>
      </c>
      <c r="T54" s="10" t="e">
        <f t="shared" si="29"/>
        <v>#DIV/0!</v>
      </c>
      <c r="U54" s="10" t="e">
        <f t="shared" si="29"/>
        <v>#DIV/0!</v>
      </c>
      <c r="V54" s="10" t="e">
        <f t="shared" si="29"/>
        <v>#DIV/0!</v>
      </c>
      <c r="W54" s="10">
        <f t="shared" si="29"/>
        <v>24.989494326936544</v>
      </c>
      <c r="X54" s="10">
        <f t="shared" si="29"/>
        <v>24.958892359358828</v>
      </c>
      <c r="Y54" s="10" t="e">
        <f t="shared" si="29"/>
        <v>#DIV/0!</v>
      </c>
      <c r="Z54" s="10" t="e">
        <f t="shared" si="29"/>
        <v>#DIV/0!</v>
      </c>
      <c r="AA54" s="10" t="e">
        <f t="shared" si="29"/>
        <v>#DIV/0!</v>
      </c>
      <c r="AB54" s="10" t="e">
        <f t="shared" si="29"/>
        <v>#DIV/0!</v>
      </c>
      <c r="AC54" s="10">
        <f t="shared" si="29"/>
        <v>24.984892916281904</v>
      </c>
      <c r="AD54" s="10">
        <f t="shared" si="29"/>
        <v>24.985703145308033</v>
      </c>
      <c r="AE54" s="10" t="e">
        <f t="shared" si="29"/>
        <v>#DIV/0!</v>
      </c>
      <c r="AF54" s="10" t="e">
        <f t="shared" si="29"/>
        <v>#DIV/0!</v>
      </c>
      <c r="AG54" s="10" t="e">
        <f t="shared" si="29"/>
        <v>#DIV/0!</v>
      </c>
      <c r="AH54" s="10" t="e">
        <f t="shared" si="29"/>
        <v>#DIV/0!</v>
      </c>
      <c r="AI54" s="10">
        <f>AI36/AI34*100</f>
        <v>24.974764872702799</v>
      </c>
      <c r="AJ54" s="20">
        <f>AJ36/AJ34*100</f>
        <v>24.984596426370917</v>
      </c>
      <c r="AK54" s="36"/>
      <c r="AL54" s="156">
        <f>AL36/AL34*100</f>
        <v>24.973407356465167</v>
      </c>
    </row>
    <row r="55" spans="2:103 15069:15082">
      <c r="B55" s="121"/>
      <c r="C55" s="152" t="s">
        <v>69</v>
      </c>
      <c r="D55" s="14">
        <v>60</v>
      </c>
      <c r="E55" s="133" t="s">
        <v>29</v>
      </c>
      <c r="F55" s="10">
        <f t="shared" ref="F55:AH55" si="30">F41/F39*100</f>
        <v>60.039944691964976</v>
      </c>
      <c r="G55" s="10" t="e">
        <f t="shared" si="30"/>
        <v>#DIV/0!</v>
      </c>
      <c r="H55" s="10" t="e">
        <f>H41/H39*100</f>
        <v>#DIV/0!</v>
      </c>
      <c r="I55" s="10">
        <f t="shared" si="30"/>
        <v>60.006027727546716</v>
      </c>
      <c r="J55" s="10" t="e">
        <f t="shared" si="30"/>
        <v>#DIV/0!</v>
      </c>
      <c r="K55" s="10" t="e">
        <f t="shared" si="30"/>
        <v>#DIV/0!</v>
      </c>
      <c r="L55" s="10" t="e">
        <f t="shared" si="30"/>
        <v>#DIV/0!</v>
      </c>
      <c r="M55" s="10" t="e">
        <f t="shared" si="30"/>
        <v>#DIV/0!</v>
      </c>
      <c r="N55" s="10" t="e">
        <f t="shared" si="30"/>
        <v>#DIV/0!</v>
      </c>
      <c r="O55" s="10" t="e">
        <f t="shared" si="30"/>
        <v>#DIV/0!</v>
      </c>
      <c r="P55" s="10" t="e">
        <f t="shared" si="30"/>
        <v>#DIV/0!</v>
      </c>
      <c r="Q55" s="10" t="e">
        <f t="shared" si="30"/>
        <v>#DIV/0!</v>
      </c>
      <c r="R55" s="10" t="e">
        <f t="shared" si="30"/>
        <v>#DIV/0!</v>
      </c>
      <c r="S55" s="10" t="e">
        <f t="shared" si="30"/>
        <v>#DIV/0!</v>
      </c>
      <c r="T55" s="10" t="e">
        <f t="shared" si="30"/>
        <v>#DIV/0!</v>
      </c>
      <c r="U55" s="10">
        <f>(U41+U40)/U39*100</f>
        <v>60.017209376169909</v>
      </c>
      <c r="V55" s="10" t="e">
        <f>(V41+V40)/V39*100</f>
        <v>#DIV/0!</v>
      </c>
      <c r="W55" s="10" t="e">
        <f>(W41+W40)/W39*100</f>
        <v>#DIV/0!</v>
      </c>
      <c r="X55" s="10">
        <f t="shared" si="30"/>
        <v>60.015003750937737</v>
      </c>
      <c r="Y55" s="10">
        <f t="shared" si="30"/>
        <v>60.005964807634946</v>
      </c>
      <c r="Z55" s="10" t="e">
        <f t="shared" si="30"/>
        <v>#DIV/0!</v>
      </c>
      <c r="AA55" s="10" t="e">
        <f t="shared" si="30"/>
        <v>#DIV/0!</v>
      </c>
      <c r="AB55" s="10" t="e">
        <f t="shared" si="30"/>
        <v>#DIV/0!</v>
      </c>
      <c r="AC55" s="10">
        <f t="shared" si="30"/>
        <v>60.064520215533335</v>
      </c>
      <c r="AD55" s="10" t="e">
        <f t="shared" si="30"/>
        <v>#DIV/0!</v>
      </c>
      <c r="AE55" s="10" t="e">
        <f t="shared" si="30"/>
        <v>#DIV/0!</v>
      </c>
      <c r="AF55" s="10" t="e">
        <f t="shared" si="30"/>
        <v>#DIV/0!</v>
      </c>
      <c r="AG55" s="10" t="e">
        <f t="shared" si="30"/>
        <v>#DIV/0!</v>
      </c>
      <c r="AH55" s="10" t="e">
        <f t="shared" si="30"/>
        <v>#DIV/0!</v>
      </c>
      <c r="AI55" s="10">
        <f>AI41/AI39*100</f>
        <v>60.10750452885101</v>
      </c>
      <c r="AJ55" s="20" t="e">
        <f>AJ41/AJ39*100</f>
        <v>#DIV/0!</v>
      </c>
      <c r="AK55" s="119"/>
      <c r="AL55" s="154">
        <f>(AL41+AL40)/AL39*100</f>
        <v>60.039694664417368</v>
      </c>
    </row>
    <row r="56" spans="2:103 15069:15082" ht="15" thickBot="1">
      <c r="B56" s="157"/>
      <c r="C56" s="152" t="s">
        <v>68</v>
      </c>
      <c r="D56" s="14">
        <v>40</v>
      </c>
      <c r="E56" s="133" t="s">
        <v>29</v>
      </c>
      <c r="F56" s="10">
        <f t="shared" ref="F56:AH56" si="31">F42/F39*100</f>
        <v>39.960055308035031</v>
      </c>
      <c r="G56" s="10" t="e">
        <f t="shared" si="31"/>
        <v>#DIV/0!</v>
      </c>
      <c r="H56" s="10" t="e">
        <f t="shared" si="31"/>
        <v>#DIV/0!</v>
      </c>
      <c r="I56" s="10">
        <f t="shared" si="31"/>
        <v>39.993972272453284</v>
      </c>
      <c r="J56" s="10" t="e">
        <f t="shared" si="31"/>
        <v>#DIV/0!</v>
      </c>
      <c r="K56" s="10" t="e">
        <f t="shared" si="31"/>
        <v>#DIV/0!</v>
      </c>
      <c r="L56" s="10" t="e">
        <f t="shared" si="31"/>
        <v>#DIV/0!</v>
      </c>
      <c r="M56" s="10" t="e">
        <f t="shared" si="31"/>
        <v>#DIV/0!</v>
      </c>
      <c r="N56" s="10" t="e">
        <f t="shared" si="31"/>
        <v>#DIV/0!</v>
      </c>
      <c r="O56" s="10" t="e">
        <f t="shared" si="31"/>
        <v>#DIV/0!</v>
      </c>
      <c r="P56" s="10" t="e">
        <f t="shared" si="31"/>
        <v>#DIV/0!</v>
      </c>
      <c r="Q56" s="10" t="e">
        <f t="shared" si="31"/>
        <v>#DIV/0!</v>
      </c>
      <c r="R56" s="10" t="e">
        <f t="shared" si="31"/>
        <v>#DIV/0!</v>
      </c>
      <c r="S56" s="10" t="e">
        <f t="shared" si="31"/>
        <v>#DIV/0!</v>
      </c>
      <c r="T56" s="10" t="e">
        <f t="shared" si="31"/>
        <v>#DIV/0!</v>
      </c>
      <c r="U56" s="10">
        <f t="shared" si="31"/>
        <v>39.982790623830084</v>
      </c>
      <c r="V56" s="10" t="e">
        <f t="shared" si="31"/>
        <v>#DIV/0!</v>
      </c>
      <c r="W56" s="10" t="e">
        <f t="shared" si="31"/>
        <v>#DIV/0!</v>
      </c>
      <c r="X56" s="10">
        <f t="shared" si="31"/>
        <v>39.984996249062263</v>
      </c>
      <c r="Y56" s="10">
        <f t="shared" si="31"/>
        <v>39.994035192365047</v>
      </c>
      <c r="Z56" s="10" t="e">
        <f t="shared" si="31"/>
        <v>#DIV/0!</v>
      </c>
      <c r="AA56" s="10" t="e">
        <f t="shared" si="31"/>
        <v>#DIV/0!</v>
      </c>
      <c r="AB56" s="10" t="e">
        <f t="shared" si="31"/>
        <v>#DIV/0!</v>
      </c>
      <c r="AC56" s="10">
        <f t="shared" si="31"/>
        <v>39.935479784466658</v>
      </c>
      <c r="AD56" s="10" t="e">
        <f t="shared" si="31"/>
        <v>#DIV/0!</v>
      </c>
      <c r="AE56" s="10" t="e">
        <f t="shared" si="31"/>
        <v>#DIV/0!</v>
      </c>
      <c r="AF56" s="10" t="e">
        <f t="shared" si="31"/>
        <v>#DIV/0!</v>
      </c>
      <c r="AG56" s="10" t="e">
        <f t="shared" si="31"/>
        <v>#DIV/0!</v>
      </c>
      <c r="AH56" s="10" t="e">
        <f t="shared" si="31"/>
        <v>#DIV/0!</v>
      </c>
      <c r="AI56" s="10">
        <f>AI42/AI39*100</f>
        <v>39.89249547114899</v>
      </c>
      <c r="AJ56" s="20" t="e">
        <f>AJ42/AJ39*100</f>
        <v>#DIV/0!</v>
      </c>
      <c r="AK56" s="36"/>
      <c r="AL56" s="154">
        <f>AL42/AL39*100</f>
        <v>39.960305335582639</v>
      </c>
    </row>
    <row r="57" spans="2:103 15069:15082">
      <c r="B57" s="69">
        <v>2</v>
      </c>
      <c r="C57" s="158" t="s">
        <v>67</v>
      </c>
      <c r="D57" s="149"/>
      <c r="E57" s="150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52"/>
      <c r="AH57" s="52"/>
      <c r="AI57" s="52"/>
      <c r="AJ57" s="60"/>
      <c r="AL57" s="159" t="s">
        <v>66</v>
      </c>
    </row>
    <row r="58" spans="2:103 15069:15082">
      <c r="B58" s="69"/>
      <c r="C58" s="70" t="s">
        <v>65</v>
      </c>
      <c r="D58" s="14">
        <v>8</v>
      </c>
      <c r="E58" s="8" t="s">
        <v>63</v>
      </c>
      <c r="F58" s="1">
        <f>13197-5450</f>
        <v>7747</v>
      </c>
      <c r="G58" s="1">
        <v>14995</v>
      </c>
      <c r="H58" s="1">
        <f>14835-2100</f>
        <v>12735</v>
      </c>
      <c r="I58" s="1">
        <f>4692-3500</f>
        <v>1192</v>
      </c>
      <c r="J58" s="1">
        <v>4216</v>
      </c>
      <c r="K58" s="1">
        <v>8364</v>
      </c>
      <c r="L58" s="1">
        <v>12852</v>
      </c>
      <c r="M58" s="1">
        <v>15161</v>
      </c>
      <c r="N58" s="1">
        <v>12872</v>
      </c>
      <c r="O58" s="1">
        <v>16167</v>
      </c>
      <c r="P58" s="1">
        <v>16310</v>
      </c>
      <c r="Q58" s="1">
        <v>15167</v>
      </c>
      <c r="R58" s="1">
        <v>11227</v>
      </c>
      <c r="S58" s="1">
        <v>3791</v>
      </c>
      <c r="T58" s="1">
        <f>15207-5000</f>
        <v>10207</v>
      </c>
      <c r="U58" s="1">
        <f>7614-3590</f>
        <v>4024</v>
      </c>
      <c r="V58" s="1">
        <f>9285+2500</f>
        <v>11785</v>
      </c>
      <c r="W58" s="1">
        <f>17848-7000-600</f>
        <v>10248</v>
      </c>
      <c r="X58" s="1">
        <f>6306-500</f>
        <v>5806</v>
      </c>
      <c r="Y58" s="1">
        <f>11261-3000</f>
        <v>8261</v>
      </c>
      <c r="Z58" s="1">
        <v>14864</v>
      </c>
      <c r="AA58" s="1">
        <v>15550</v>
      </c>
      <c r="AB58" s="1">
        <f>18762-3000</f>
        <v>15762</v>
      </c>
      <c r="AC58" s="1">
        <f>16269-14030+3000+3000</f>
        <v>8239</v>
      </c>
      <c r="AD58" s="1">
        <f>11637-4880+3000</f>
        <v>9757</v>
      </c>
      <c r="AE58" s="1">
        <v>14448</v>
      </c>
      <c r="AF58" s="1">
        <v>14517</v>
      </c>
      <c r="AG58" s="50">
        <v>11385</v>
      </c>
      <c r="AH58" s="50">
        <f>10200+2000</f>
        <v>12200</v>
      </c>
      <c r="AI58" s="50">
        <f>12868-9800+5970+1000</f>
        <v>10038</v>
      </c>
      <c r="AJ58" s="21">
        <f>17270-1100-2000-1000</f>
        <v>13170</v>
      </c>
      <c r="AL58" s="160">
        <f>SUM(F58:AJ58)</f>
        <v>343057</v>
      </c>
      <c r="AN58" s="89"/>
    </row>
    <row r="59" spans="2:103 15069:15082">
      <c r="B59" s="121"/>
      <c r="C59" s="161"/>
      <c r="D59" s="117"/>
      <c r="E59" s="8" t="s">
        <v>29</v>
      </c>
      <c r="F59" s="10">
        <f t="shared" ref="F59:AJ59" si="32">F58/(F12)*100</f>
        <v>1.0136431526320366</v>
      </c>
      <c r="G59" s="10">
        <f t="shared" si="32"/>
        <v>1.1038722025912839</v>
      </c>
      <c r="H59" s="10">
        <f t="shared" si="32"/>
        <v>1.0751989139097897</v>
      </c>
      <c r="I59" s="10">
        <f t="shared" si="32"/>
        <v>0.81991081392733256</v>
      </c>
      <c r="J59" s="10">
        <f t="shared" si="32"/>
        <v>0.74891996361982727</v>
      </c>
      <c r="K59" s="10">
        <f t="shared" si="32"/>
        <v>1.1415671571511048</v>
      </c>
      <c r="L59" s="10">
        <f t="shared" si="32"/>
        <v>0.82875226098087074</v>
      </c>
      <c r="M59" s="10">
        <f t="shared" si="32"/>
        <v>1.0319010638225465</v>
      </c>
      <c r="N59" s="10">
        <f t="shared" si="32"/>
        <v>0.92838349335302806</v>
      </c>
      <c r="O59" s="10">
        <f t="shared" si="32"/>
        <v>0.94233110811773346</v>
      </c>
      <c r="P59" s="10">
        <f t="shared" si="32"/>
        <v>1.0096839274538074</v>
      </c>
      <c r="Q59" s="10">
        <f t="shared" si="32"/>
        <v>0.94404155849329285</v>
      </c>
      <c r="R59" s="10">
        <f t="shared" si="32"/>
        <v>0.81948785476225572</v>
      </c>
      <c r="S59" s="10">
        <f t="shared" si="32"/>
        <v>0.89755215201801264</v>
      </c>
      <c r="T59" s="10">
        <f t="shared" si="32"/>
        <v>0.83937350023765933</v>
      </c>
      <c r="U59" s="10">
        <f t="shared" si="32"/>
        <v>0.91532503082507854</v>
      </c>
      <c r="V59" s="10">
        <f t="shared" si="32"/>
        <v>0.9460999967887993</v>
      </c>
      <c r="W59" s="10">
        <f t="shared" si="32"/>
        <v>0.80193761541670783</v>
      </c>
      <c r="X59" s="10">
        <f t="shared" si="32"/>
        <v>0.79141903540004177</v>
      </c>
      <c r="Y59" s="10">
        <f t="shared" si="32"/>
        <v>0.85551376757268238</v>
      </c>
      <c r="Z59" s="10">
        <f t="shared" si="32"/>
        <v>0.9923080106974862</v>
      </c>
      <c r="AA59" s="10">
        <f t="shared" si="32"/>
        <v>1.0365015174248904</v>
      </c>
      <c r="AB59" s="10">
        <f t="shared" si="32"/>
        <v>1.0365651956893303</v>
      </c>
      <c r="AC59" s="10">
        <f t="shared" si="32"/>
        <v>1.2574336045953123</v>
      </c>
      <c r="AD59" s="10">
        <f t="shared" si="32"/>
        <v>0.99045710533466758</v>
      </c>
      <c r="AE59" s="10">
        <f t="shared" si="32"/>
        <v>0.89278155709062468</v>
      </c>
      <c r="AF59" s="10">
        <f t="shared" si="32"/>
        <v>0.82752794481550929</v>
      </c>
      <c r="AG59" s="10">
        <f t="shared" si="32"/>
        <v>0.97021602965614206</v>
      </c>
      <c r="AH59" s="10">
        <f t="shared" si="32"/>
        <v>0.88161372889366141</v>
      </c>
      <c r="AI59" s="10">
        <f t="shared" si="32"/>
        <v>0.84245387989826637</v>
      </c>
      <c r="AJ59" s="20">
        <f t="shared" si="32"/>
        <v>0.81008720402348433</v>
      </c>
      <c r="AL59" s="56">
        <f>AL58/(AL12)*100</f>
        <v>0.935545143823027</v>
      </c>
      <c r="BM59" s="313">
        <f>K59*10</f>
        <v>11.415671571511048</v>
      </c>
      <c r="BN59" s="313">
        <f>L59*10</f>
        <v>8.2875226098087076</v>
      </c>
    </row>
    <row r="60" spans="2:103 15069:15082" s="3" customFormat="1">
      <c r="B60" s="69"/>
      <c r="C60" s="162" t="s">
        <v>64</v>
      </c>
      <c r="D60" s="163">
        <v>16</v>
      </c>
      <c r="E60" s="164" t="s">
        <v>63</v>
      </c>
      <c r="F60" s="165">
        <v>5450</v>
      </c>
      <c r="G60" s="165"/>
      <c r="H60" s="165"/>
      <c r="I60" s="165">
        <v>5600</v>
      </c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>
        <f>5000+3590</f>
        <v>8590</v>
      </c>
      <c r="V60" s="166"/>
      <c r="W60" s="166">
        <v>600</v>
      </c>
      <c r="X60" s="166">
        <f>7000+500+3700</f>
        <v>11200</v>
      </c>
      <c r="Y60" s="166">
        <f>9300-3600</f>
        <v>5700</v>
      </c>
      <c r="Z60" s="166"/>
      <c r="AA60" s="165"/>
      <c r="AB60" s="165"/>
      <c r="AC60" s="165">
        <v>14030</v>
      </c>
      <c r="AD60" s="165">
        <v>4880</v>
      </c>
      <c r="AE60" s="165"/>
      <c r="AF60" s="165"/>
      <c r="AG60" s="167"/>
      <c r="AH60" s="167"/>
      <c r="AI60" s="167">
        <v>9800</v>
      </c>
      <c r="AJ60" s="168">
        <v>1100</v>
      </c>
      <c r="AL60" s="169">
        <f>SUM(F60:AJ60)</f>
        <v>66950</v>
      </c>
      <c r="CY60" s="16"/>
      <c r="VGO60" s="347"/>
      <c r="VGP60" s="347"/>
      <c r="VGQ60" s="347"/>
      <c r="VGR60" s="347"/>
      <c r="VGS60" s="347"/>
      <c r="VGT60" s="347"/>
      <c r="VGU60" s="347"/>
      <c r="VGV60" s="347"/>
      <c r="VGW60" s="347"/>
      <c r="VGX60" s="347"/>
      <c r="VGY60" s="347"/>
      <c r="VGZ60" s="347"/>
      <c r="VHA60" s="347"/>
      <c r="VHB60" s="347"/>
    </row>
    <row r="61" spans="2:103 15069:15082" s="3" customFormat="1">
      <c r="B61" s="121"/>
      <c r="C61" s="170"/>
      <c r="D61" s="171"/>
      <c r="E61" s="172" t="s">
        <v>29</v>
      </c>
      <c r="F61" s="173">
        <f t="shared" ref="F61:AJ61" si="33">F60/(F13)*100</f>
        <v>1.5951199657827284</v>
      </c>
      <c r="G61" s="173" t="e">
        <f t="shared" si="33"/>
        <v>#DIV/0!</v>
      </c>
      <c r="H61" s="173" t="e">
        <f t="shared" si="33"/>
        <v>#DIV/0!</v>
      </c>
      <c r="I61" s="173">
        <f t="shared" si="33"/>
        <v>1.6030901434825349</v>
      </c>
      <c r="J61" s="173" t="e">
        <f t="shared" si="33"/>
        <v>#DIV/0!</v>
      </c>
      <c r="K61" s="173" t="e">
        <f t="shared" si="33"/>
        <v>#DIV/0!</v>
      </c>
      <c r="L61" s="173" t="e">
        <f t="shared" si="33"/>
        <v>#DIV/0!</v>
      </c>
      <c r="M61" s="173" t="e">
        <f t="shared" si="33"/>
        <v>#DIV/0!</v>
      </c>
      <c r="N61" s="173" t="e">
        <f t="shared" si="33"/>
        <v>#DIV/0!</v>
      </c>
      <c r="O61" s="173" t="e">
        <f t="shared" si="33"/>
        <v>#DIV/0!</v>
      </c>
      <c r="P61" s="173" t="e">
        <f t="shared" si="33"/>
        <v>#DIV/0!</v>
      </c>
      <c r="Q61" s="173" t="e">
        <f t="shared" si="33"/>
        <v>#DIV/0!</v>
      </c>
      <c r="R61" s="173" t="e">
        <f t="shared" si="33"/>
        <v>#DIV/0!</v>
      </c>
      <c r="S61" s="173" t="e">
        <f t="shared" si="33"/>
        <v>#DIV/0!</v>
      </c>
      <c r="T61" s="173" t="e">
        <f t="shared" si="33"/>
        <v>#DIV/0!</v>
      </c>
      <c r="U61" s="173">
        <f t="shared" si="33"/>
        <v>1.5980332616814579</v>
      </c>
      <c r="V61" s="173" t="e">
        <f t="shared" si="33"/>
        <v>#DIV/0!</v>
      </c>
      <c r="W61" s="173">
        <f t="shared" si="33"/>
        <v>1.6009772250016006</v>
      </c>
      <c r="X61" s="173">
        <f t="shared" si="33"/>
        <v>1.5900033034642422</v>
      </c>
      <c r="Y61" s="173">
        <f t="shared" si="33"/>
        <v>1.6181165113748872</v>
      </c>
      <c r="Z61" s="173" t="e">
        <f t="shared" si="33"/>
        <v>#DIV/0!</v>
      </c>
      <c r="AA61" s="173" t="e">
        <f t="shared" si="33"/>
        <v>#DIV/0!</v>
      </c>
      <c r="AB61" s="173" t="e">
        <f t="shared" si="33"/>
        <v>#DIV/0!</v>
      </c>
      <c r="AC61" s="173">
        <f t="shared" si="33"/>
        <v>1.5975067731836836</v>
      </c>
      <c r="AD61" s="173">
        <f t="shared" si="33"/>
        <v>1.6029100033994208</v>
      </c>
      <c r="AE61" s="173" t="e">
        <f t="shared" si="33"/>
        <v>#DIV/0!</v>
      </c>
      <c r="AF61" s="173" t="e">
        <f t="shared" si="33"/>
        <v>#DIV/0!</v>
      </c>
      <c r="AG61" s="173" t="e">
        <f t="shared" si="33"/>
        <v>#DIV/0!</v>
      </c>
      <c r="AH61" s="173" t="e">
        <f t="shared" si="33"/>
        <v>#DIV/0!</v>
      </c>
      <c r="AI61" s="173">
        <f t="shared" si="33"/>
        <v>1.5973561656948254</v>
      </c>
      <c r="AJ61" s="174">
        <f t="shared" si="33"/>
        <v>1.6085610247892654</v>
      </c>
      <c r="AL61" s="56">
        <f>AL60/(AL13)*100</f>
        <v>1.5988993512643046</v>
      </c>
      <c r="CY61" s="16"/>
      <c r="VGO61" s="347"/>
      <c r="VGP61" s="347"/>
      <c r="VGQ61" s="347"/>
      <c r="VGR61" s="347"/>
      <c r="VGS61" s="347"/>
      <c r="VGT61" s="347"/>
      <c r="VGU61" s="347"/>
      <c r="VGV61" s="347"/>
      <c r="VGW61" s="347"/>
      <c r="VGX61" s="347"/>
      <c r="VGY61" s="347"/>
      <c r="VGZ61" s="347"/>
      <c r="VHA61" s="347"/>
      <c r="VHB61" s="347"/>
    </row>
    <row r="62" spans="2:103 15069:15082">
      <c r="B62" s="121"/>
      <c r="C62" s="70" t="s">
        <v>62</v>
      </c>
      <c r="D62" s="14">
        <v>0.55000000000000004</v>
      </c>
      <c r="E62" s="8" t="s">
        <v>16</v>
      </c>
      <c r="F62" s="1">
        <v>605.154</v>
      </c>
      <c r="G62" s="1">
        <v>707.76199999999994</v>
      </c>
      <c r="H62" s="1">
        <v>629.64</v>
      </c>
      <c r="I62" s="1">
        <v>298.49599999999998</v>
      </c>
      <c r="J62" s="1">
        <v>267.01400000000001</v>
      </c>
      <c r="K62" s="1">
        <v>422.09199999999998</v>
      </c>
      <c r="L62" s="1">
        <v>855.84400000000005</v>
      </c>
      <c r="M62" s="1">
        <v>822.03</v>
      </c>
      <c r="N62" s="1">
        <v>713.59199999999998</v>
      </c>
      <c r="O62" s="1">
        <v>923.47199999999998</v>
      </c>
      <c r="P62" s="1">
        <v>894.322</v>
      </c>
      <c r="Q62" s="175">
        <v>850</v>
      </c>
      <c r="R62" s="1">
        <v>691.43799999999999</v>
      </c>
      <c r="S62" s="1">
        <v>207.548</v>
      </c>
      <c r="T62" s="1">
        <v>610.98400000000004</v>
      </c>
      <c r="U62" s="1">
        <v>493.21800000000002</v>
      </c>
      <c r="V62" s="1">
        <v>608.65200000000004</v>
      </c>
      <c r="W62" s="1">
        <v>742.74199999999996</v>
      </c>
      <c r="X62" s="1">
        <v>757.9</v>
      </c>
      <c r="Y62" s="1">
        <v>724.08600000000001</v>
      </c>
      <c r="Z62" s="1">
        <v>797.54399999999998</v>
      </c>
      <c r="AA62" s="1">
        <v>784.71799999999996</v>
      </c>
      <c r="AB62" s="1">
        <v>841.85199999999998</v>
      </c>
      <c r="AC62" s="1">
        <v>806.87199999999996</v>
      </c>
      <c r="AD62" s="1">
        <v>693.77</v>
      </c>
      <c r="AE62" s="1">
        <v>898.98599999999999</v>
      </c>
      <c r="AF62" s="1">
        <v>996.93</v>
      </c>
      <c r="AG62" s="50">
        <v>533.85</v>
      </c>
      <c r="AH62" s="50">
        <v>818.53200000000004</v>
      </c>
      <c r="AI62" s="50">
        <v>953.78800000000001</v>
      </c>
      <c r="AJ62" s="21">
        <v>874.5</v>
      </c>
      <c r="AL62" s="169">
        <f>SUM(F62:AJ62)</f>
        <v>21827.328000000001</v>
      </c>
    </row>
    <row r="63" spans="2:103 15069:15082" ht="15" thickBot="1">
      <c r="B63" s="157"/>
      <c r="C63" s="176"/>
      <c r="D63" s="117"/>
      <c r="E63" s="177" t="s">
        <v>29</v>
      </c>
      <c r="F63" s="178">
        <f t="shared" ref="F63:AJ63" si="34">F62/(F11)*100</f>
        <v>5.4718519992042969E-2</v>
      </c>
      <c r="G63" s="178">
        <f t="shared" si="34"/>
        <v>5.2102620730270902E-2</v>
      </c>
      <c r="H63" s="178">
        <f t="shared" si="34"/>
        <v>5.3159657962635248E-2</v>
      </c>
      <c r="I63" s="178">
        <f t="shared" si="34"/>
        <v>6.0337937405373278E-2</v>
      </c>
      <c r="J63" s="178">
        <f t="shared" si="34"/>
        <v>4.7431716120964078E-2</v>
      </c>
      <c r="K63" s="178">
        <f t="shared" si="34"/>
        <v>5.760956055669824E-2</v>
      </c>
      <c r="L63" s="178">
        <f t="shared" si="34"/>
        <v>5.5188503738477467E-2</v>
      </c>
      <c r="M63" s="178">
        <f t="shared" si="34"/>
        <v>5.5949715156918933E-2</v>
      </c>
      <c r="N63" s="178">
        <f t="shared" si="34"/>
        <v>5.1467295974889221E-2</v>
      </c>
      <c r="O63" s="178">
        <f t="shared" si="34"/>
        <v>5.3826708299356679E-2</v>
      </c>
      <c r="P63" s="178">
        <f t="shared" si="34"/>
        <v>5.5363736932455179E-2</v>
      </c>
      <c r="Q63" s="178">
        <f t="shared" si="34"/>
        <v>5.2906660824111496E-2</v>
      </c>
      <c r="R63" s="178">
        <f t="shared" si="34"/>
        <v>5.0469853328681272E-2</v>
      </c>
      <c r="S63" s="178">
        <f t="shared" si="34"/>
        <v>4.9138790305205612E-2</v>
      </c>
      <c r="T63" s="178">
        <f t="shared" si="34"/>
        <v>5.0244320433938089E-2</v>
      </c>
      <c r="U63" s="178">
        <f t="shared" si="34"/>
        <v>5.0474589141400447E-2</v>
      </c>
      <c r="V63" s="178">
        <f t="shared" si="34"/>
        <v>4.8862592723419286E-2</v>
      </c>
      <c r="W63" s="178">
        <f t="shared" si="34"/>
        <v>5.6465878353208418E-2</v>
      </c>
      <c r="X63" s="178">
        <f t="shared" si="34"/>
        <v>5.2704413012336408E-2</v>
      </c>
      <c r="Y63" s="178">
        <f t="shared" si="34"/>
        <v>5.494324217682945E-2</v>
      </c>
      <c r="Z63" s="178">
        <f t="shared" si="34"/>
        <v>5.3243359801111133E-2</v>
      </c>
      <c r="AA63" s="178">
        <f t="shared" si="34"/>
        <v>5.230619921225884E-2</v>
      </c>
      <c r="AB63" s="178">
        <f t="shared" si="34"/>
        <v>5.5363182535303521E-2</v>
      </c>
      <c r="AC63" s="178">
        <f t="shared" si="34"/>
        <v>5.2617500083144919E-2</v>
      </c>
      <c r="AD63" s="178">
        <f t="shared" si="34"/>
        <v>5.3799512542001181E-2</v>
      </c>
      <c r="AE63" s="178">
        <f t="shared" si="34"/>
        <v>5.5550811246032138E-2</v>
      </c>
      <c r="AF63" s="178">
        <f t="shared" si="34"/>
        <v>5.6829057933796619E-2</v>
      </c>
      <c r="AG63" s="178">
        <f t="shared" si="34"/>
        <v>4.5494055988751121E-2</v>
      </c>
      <c r="AH63" s="178">
        <f>AH62/(AH11)*100</f>
        <v>5.9149922027769385E-2</v>
      </c>
      <c r="AI63" s="178">
        <f t="shared" si="34"/>
        <v>5.2840474384678843E-2</v>
      </c>
      <c r="AJ63" s="179">
        <f t="shared" si="34"/>
        <v>5.1619262927688758E-2</v>
      </c>
      <c r="AL63" s="180">
        <f>AL62/(AL11)*100</f>
        <v>5.3424417737178632E-2</v>
      </c>
    </row>
    <row r="64" spans="2:103 15069:15082" s="287" customFormat="1" ht="13.8">
      <c r="B64" s="181">
        <v>3</v>
      </c>
      <c r="C64" s="288" t="s">
        <v>61</v>
      </c>
      <c r="D64" s="289">
        <v>0.8</v>
      </c>
      <c r="E64" s="290" t="s">
        <v>29</v>
      </c>
      <c r="F64" s="291">
        <f t="shared" ref="F64:AJ64" si="35">((SUM(F18:F19))-(SUM(F11)))/(SUM(F11))*100</f>
        <v>-0.72752590556449714</v>
      </c>
      <c r="G64" s="291">
        <f t="shared" si="35"/>
        <v>-0.75441696113074208</v>
      </c>
      <c r="H64" s="291">
        <f t="shared" si="35"/>
        <v>-0.73689329568941064</v>
      </c>
      <c r="I64" s="291">
        <f t="shared" si="35"/>
        <v>-0.71901145526543997</v>
      </c>
      <c r="J64" s="291">
        <f t="shared" si="35"/>
        <v>-0.75265035243292411</v>
      </c>
      <c r="K64" s="291">
        <f t="shared" si="35"/>
        <v>-0.77851495270084903</v>
      </c>
      <c r="L64" s="291">
        <f t="shared" si="35"/>
        <v>-0.7796152221645446</v>
      </c>
      <c r="M64" s="291">
        <f t="shared" si="35"/>
        <v>-0.69961816733935467</v>
      </c>
      <c r="N64" s="291">
        <f t="shared" si="35"/>
        <v>-0.73718207625553911</v>
      </c>
      <c r="O64" s="291">
        <f t="shared" si="35"/>
        <v>-0.77382246498243512</v>
      </c>
      <c r="P64" s="291">
        <f t="shared" si="35"/>
        <v>-0.69043561268499776</v>
      </c>
      <c r="Q64" s="291">
        <f t="shared" si="35"/>
        <v>-0.74467681188196466</v>
      </c>
      <c r="R64" s="291">
        <f t="shared" si="35"/>
        <v>-0.73992592711543492</v>
      </c>
      <c r="S64" s="291">
        <f t="shared" si="35"/>
        <v>-0.7462633561489781</v>
      </c>
      <c r="T64" s="291">
        <f t="shared" si="35"/>
        <v>-0.73435929823868906</v>
      </c>
      <c r="U64" s="291">
        <f t="shared" si="35"/>
        <v>-0.75187200471570192</v>
      </c>
      <c r="V64" s="291">
        <f t="shared" si="35"/>
        <v>-0.71866670948267553</v>
      </c>
      <c r="W64" s="291">
        <f t="shared" si="35"/>
        <v>-0.72184354050762434</v>
      </c>
      <c r="X64" s="291">
        <f t="shared" si="35"/>
        <v>-0.72328618517127719</v>
      </c>
      <c r="Y64" s="291">
        <f t="shared" si="35"/>
        <v>-0.67608583482562912</v>
      </c>
      <c r="Z64" s="291">
        <f t="shared" si="35"/>
        <v>-0.76779698809417318</v>
      </c>
      <c r="AA64" s="291">
        <f t="shared" si="35"/>
        <v>-0.75974561386552408</v>
      </c>
      <c r="AB64" s="291">
        <f t="shared" si="35"/>
        <v>-0.76969667874304792</v>
      </c>
      <c r="AC64" s="291">
        <f t="shared" si="35"/>
        <v>-0.62688013501431727</v>
      </c>
      <c r="AD64" s="291">
        <f t="shared" si="35"/>
        <v>-0.73684790085200469</v>
      </c>
      <c r="AE64" s="291">
        <f t="shared" si="35"/>
        <v>-0.68478718270198657</v>
      </c>
      <c r="AF64" s="291">
        <f t="shared" si="35"/>
        <v>-0.62003316496234029</v>
      </c>
      <c r="AG64" s="291">
        <f t="shared" si="35"/>
        <v>-0.63155652136861395</v>
      </c>
      <c r="AH64" s="291">
        <f t="shared" si="35"/>
        <v>-0.75190088927365151</v>
      </c>
      <c r="AI64" s="291">
        <f t="shared" si="35"/>
        <v>-0.72608090821608251</v>
      </c>
      <c r="AJ64" s="292">
        <f t="shared" si="35"/>
        <v>-0.69587134437338227</v>
      </c>
      <c r="AL64" s="293">
        <f>((SUM(AL18:AL19))-(SUM(AL11)))/(SUM(AL11))*100</f>
        <v>-0.72256620151954409</v>
      </c>
      <c r="CY64" s="294"/>
    </row>
    <row r="65" spans="2:103" s="119" customFormat="1" ht="13.8">
      <c r="B65" s="131"/>
      <c r="C65" s="152" t="s">
        <v>60</v>
      </c>
      <c r="D65" s="182">
        <v>22</v>
      </c>
      <c r="E65" s="133" t="s">
        <v>29</v>
      </c>
      <c r="F65" s="10">
        <v>22.06</v>
      </c>
      <c r="G65" s="10">
        <v>22.05</v>
      </c>
      <c r="H65" s="10">
        <v>22.03</v>
      </c>
      <c r="I65" s="10">
        <v>22.02</v>
      </c>
      <c r="J65" s="10">
        <v>22.1</v>
      </c>
      <c r="K65" s="10">
        <v>22.12</v>
      </c>
      <c r="L65" s="10">
        <v>22.11</v>
      </c>
      <c r="M65" s="10">
        <v>22.09</v>
      </c>
      <c r="N65" s="10">
        <v>22.05</v>
      </c>
      <c r="O65" s="10">
        <v>22.04</v>
      </c>
      <c r="P65" s="10">
        <v>22.01</v>
      </c>
      <c r="Q65" s="183">
        <v>22.14</v>
      </c>
      <c r="R65" s="10">
        <v>22.07</v>
      </c>
      <c r="S65" s="10">
        <v>22.09</v>
      </c>
      <c r="T65" s="10">
        <v>22.03</v>
      </c>
      <c r="U65" s="10">
        <v>22.12</v>
      </c>
      <c r="V65" s="10">
        <v>22.08</v>
      </c>
      <c r="W65" s="10">
        <v>22.09</v>
      </c>
      <c r="X65" s="10">
        <v>22.06</v>
      </c>
      <c r="Y65" s="10">
        <v>22.07</v>
      </c>
      <c r="Z65" s="10">
        <v>21.97</v>
      </c>
      <c r="AA65" s="10">
        <v>21.96</v>
      </c>
      <c r="AB65" s="10">
        <v>21.99</v>
      </c>
      <c r="AC65" s="10">
        <v>22.01</v>
      </c>
      <c r="AD65" s="10">
        <v>22.04</v>
      </c>
      <c r="AE65" s="10">
        <v>22.08</v>
      </c>
      <c r="AF65" s="10">
        <v>22.03</v>
      </c>
      <c r="AG65" s="49">
        <v>21.9</v>
      </c>
      <c r="AH65" s="49">
        <v>21.94</v>
      </c>
      <c r="AI65" s="49">
        <v>21.89</v>
      </c>
      <c r="AJ65" s="20">
        <v>21.9</v>
      </c>
      <c r="AL65" s="184">
        <f>AVERAGE(F65:AJ65)</f>
        <v>22.036774193548386</v>
      </c>
      <c r="CY65" s="305"/>
    </row>
    <row r="66" spans="2:103" s="119" customFormat="1" thickBot="1">
      <c r="B66" s="185"/>
      <c r="C66" s="186" t="s">
        <v>59</v>
      </c>
      <c r="D66" s="117"/>
      <c r="E66" s="187" t="s">
        <v>16</v>
      </c>
      <c r="F66" s="10">
        <f>SUM(F58,F60)+(F65%*SUM(F58,F60))</f>
        <v>16108.2582</v>
      </c>
      <c r="G66" s="10">
        <f t="shared" ref="G66:AI66" si="36">SUM(G58,G60)+(G65%*SUM(G58,G60))</f>
        <v>18301.397499999999</v>
      </c>
      <c r="H66" s="10">
        <f t="shared" si="36"/>
        <v>15540.520500000001</v>
      </c>
      <c r="I66" s="10">
        <f t="shared" si="36"/>
        <v>8287.5984000000008</v>
      </c>
      <c r="J66" s="10">
        <f t="shared" si="36"/>
        <v>5147.7359999999999</v>
      </c>
      <c r="K66" s="10">
        <f>SUM(K58,K60)+(K65%*SUM(K58,K60))</f>
        <v>10214.1168</v>
      </c>
      <c r="L66" s="10">
        <f>SUM(L58,L60)+(L65%*SUM(L58,L60))</f>
        <v>15693.5772</v>
      </c>
      <c r="M66" s="10">
        <f t="shared" si="36"/>
        <v>18510.064900000001</v>
      </c>
      <c r="N66" s="10">
        <f t="shared" si="36"/>
        <v>15710.276</v>
      </c>
      <c r="O66" s="10">
        <f t="shared" si="36"/>
        <v>19730.2068</v>
      </c>
      <c r="P66" s="10">
        <f t="shared" si="36"/>
        <v>19899.830999999998</v>
      </c>
      <c r="Q66" s="10">
        <f>SUM(Q58,Q60)+(Q65%*SUM(Q58,Q60))</f>
        <v>18524.9738</v>
      </c>
      <c r="R66" s="10">
        <f>SUM(R58,R60)+(R65%*SUM(R58,R60))</f>
        <v>13704.7989</v>
      </c>
      <c r="S66" s="10">
        <f>SUM(S58,S60)+(S65%*SUM(S58,S60))</f>
        <v>4628.4318999999996</v>
      </c>
      <c r="T66" s="10">
        <f t="shared" si="36"/>
        <v>12455.6021</v>
      </c>
      <c r="U66" s="10">
        <f t="shared" si="36"/>
        <v>15404.2168</v>
      </c>
      <c r="V66" s="10">
        <f t="shared" si="36"/>
        <v>14387.128000000001</v>
      </c>
      <c r="W66" s="10">
        <f t="shared" si="36"/>
        <v>13244.323199999999</v>
      </c>
      <c r="X66" s="10">
        <f t="shared" si="36"/>
        <v>20757.5236</v>
      </c>
      <c r="Y66" s="10">
        <f t="shared" si="36"/>
        <v>17042.1927</v>
      </c>
      <c r="Z66" s="10">
        <f t="shared" si="36"/>
        <v>18129.620800000001</v>
      </c>
      <c r="AA66" s="10">
        <f t="shared" si="36"/>
        <v>18964.78</v>
      </c>
      <c r="AB66" s="10">
        <f t="shared" si="36"/>
        <v>19228.0638</v>
      </c>
      <c r="AC66" s="10">
        <f t="shared" si="36"/>
        <v>27170.406900000002</v>
      </c>
      <c r="AD66" s="10">
        <f t="shared" si="36"/>
        <v>17862.9948</v>
      </c>
      <c r="AE66" s="10">
        <f t="shared" si="36"/>
        <v>17638.118399999999</v>
      </c>
      <c r="AF66" s="10">
        <f t="shared" si="36"/>
        <v>17715.095099999999</v>
      </c>
      <c r="AG66" s="10">
        <f t="shared" si="36"/>
        <v>13878.314999999999</v>
      </c>
      <c r="AH66" s="10">
        <f t="shared" si="36"/>
        <v>14876.68</v>
      </c>
      <c r="AI66" s="10">
        <f t="shared" si="36"/>
        <v>24180.538199999999</v>
      </c>
      <c r="AJ66" s="20">
        <f>SUM(AJ58,AJ60)+(AJ65%*SUM(AJ58,AJ60))</f>
        <v>17395.13</v>
      </c>
      <c r="AL66" s="184">
        <f>SUM(AL58,AL60)+(AL65%*SUM(AL58,AL60))</f>
        <v>500359.31676774193</v>
      </c>
      <c r="CY66" s="305"/>
    </row>
    <row r="67" spans="2:103">
      <c r="B67" s="69">
        <v>4</v>
      </c>
      <c r="C67" s="71" t="s">
        <v>58</v>
      </c>
      <c r="D67" s="87"/>
      <c r="E67" s="18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88"/>
      <c r="AD67" s="6"/>
      <c r="AE67" s="6"/>
      <c r="AF67" s="6"/>
      <c r="AG67" s="52"/>
      <c r="AH67" s="52"/>
      <c r="AI67" s="52"/>
      <c r="AJ67" s="60"/>
      <c r="AK67" s="89"/>
      <c r="AL67" s="151" t="s">
        <v>45</v>
      </c>
    </row>
    <row r="68" spans="2:103" s="198" customFormat="1" ht="13.8">
      <c r="B68" s="69"/>
      <c r="C68" s="75" t="s">
        <v>57</v>
      </c>
      <c r="D68" s="188"/>
      <c r="E68" s="102" t="s">
        <v>16</v>
      </c>
      <c r="F68" s="189">
        <v>195682</v>
      </c>
      <c r="G68" s="189"/>
      <c r="H68" s="189"/>
      <c r="I68" s="189">
        <v>199194</v>
      </c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>
        <v>182645</v>
      </c>
      <c r="V68" s="189"/>
      <c r="W68" s="189"/>
      <c r="X68" s="189"/>
      <c r="Y68" s="189">
        <v>210819</v>
      </c>
      <c r="Z68" s="189"/>
      <c r="AA68" s="189"/>
      <c r="AB68" s="189"/>
      <c r="AC68" s="189">
        <v>277070</v>
      </c>
      <c r="AD68" s="189"/>
      <c r="AE68" s="189"/>
      <c r="AF68" s="189"/>
      <c r="AG68" s="190"/>
      <c r="AH68" s="190"/>
      <c r="AI68" s="190">
        <v>198787</v>
      </c>
      <c r="AJ68" s="191">
        <v>3613</v>
      </c>
      <c r="AK68" s="192"/>
      <c r="AL68" s="193">
        <f>SUM(F68:AJ68)</f>
        <v>1267810</v>
      </c>
      <c r="BE68" s="192"/>
      <c r="CY68" s="310"/>
    </row>
    <row r="69" spans="2:103" s="3" customFormat="1" ht="13.8">
      <c r="B69" s="121"/>
      <c r="C69" s="72" t="s">
        <v>52</v>
      </c>
      <c r="D69" s="194"/>
      <c r="E69" s="8" t="s">
        <v>16</v>
      </c>
      <c r="F69" s="195">
        <v>37296.86</v>
      </c>
      <c r="G69" s="196">
        <v>41382.93</v>
      </c>
      <c r="H69" s="4"/>
      <c r="I69" s="4">
        <v>599.11</v>
      </c>
      <c r="J69" s="4">
        <v>84002.1</v>
      </c>
      <c r="K69" s="4"/>
      <c r="L69" s="4"/>
      <c r="M69" s="4"/>
      <c r="N69" s="197"/>
      <c r="O69" s="197"/>
      <c r="P69" s="4"/>
      <c r="Q69" s="4"/>
      <c r="R69" s="4"/>
      <c r="S69" s="4"/>
      <c r="T69" s="4">
        <v>10057.27</v>
      </c>
      <c r="U69" s="196">
        <v>14119.81</v>
      </c>
      <c r="V69" s="4"/>
      <c r="W69" s="4"/>
      <c r="X69" s="4"/>
      <c r="Y69" s="4"/>
      <c r="Z69" s="4"/>
      <c r="AA69" s="4"/>
      <c r="AB69" s="196"/>
      <c r="AC69" s="4">
        <v>24142.639999999999</v>
      </c>
      <c r="AD69" s="4"/>
      <c r="AE69" s="4"/>
      <c r="AF69" s="4"/>
      <c r="AG69" s="112">
        <v>25682.09</v>
      </c>
      <c r="AH69" s="112">
        <v>25660.42</v>
      </c>
      <c r="AI69" s="112">
        <v>25682.09</v>
      </c>
      <c r="AJ69" s="113"/>
      <c r="AK69" s="198"/>
      <c r="AL69" s="193">
        <f>SUM(F69:AJ69)</f>
        <v>288625.32</v>
      </c>
      <c r="CY69" s="304"/>
    </row>
    <row r="70" spans="2:103" s="3" customFormat="1">
      <c r="B70" s="121"/>
      <c r="C70" s="73" t="s">
        <v>44</v>
      </c>
      <c r="D70" s="117"/>
      <c r="E70" s="8" t="s">
        <v>16</v>
      </c>
      <c r="F70" s="10">
        <f>SUM(F74:F75)*10.86</f>
        <v>37293.24</v>
      </c>
      <c r="G70" s="10">
        <f t="shared" ref="G70:AH70" si="37">SUM(G74:G75)*10.86</f>
        <v>41398.32</v>
      </c>
      <c r="H70" s="10">
        <f t="shared" si="37"/>
        <v>0</v>
      </c>
      <c r="I70" s="10">
        <f t="shared" si="37"/>
        <v>597.29999999999995</v>
      </c>
      <c r="J70" s="10">
        <f t="shared" si="37"/>
        <v>84382.2</v>
      </c>
      <c r="K70" s="10">
        <f t="shared" si="37"/>
        <v>0</v>
      </c>
      <c r="L70" s="10">
        <f t="shared" si="37"/>
        <v>0</v>
      </c>
      <c r="M70" s="10">
        <f t="shared" si="37"/>
        <v>0</v>
      </c>
      <c r="N70" s="10">
        <f t="shared" si="37"/>
        <v>0</v>
      </c>
      <c r="O70" s="10">
        <f t="shared" si="37"/>
        <v>0</v>
      </c>
      <c r="P70" s="10">
        <f t="shared" si="37"/>
        <v>0</v>
      </c>
      <c r="Q70" s="10">
        <f t="shared" si="37"/>
        <v>0</v>
      </c>
      <c r="R70" s="10">
        <f t="shared" si="37"/>
        <v>0</v>
      </c>
      <c r="S70" s="10">
        <f t="shared" si="37"/>
        <v>0</v>
      </c>
      <c r="T70" s="10">
        <f t="shared" si="37"/>
        <v>10056.359999999999</v>
      </c>
      <c r="U70" s="10">
        <f t="shared" si="37"/>
        <v>14118</v>
      </c>
      <c r="V70" s="10">
        <f t="shared" si="37"/>
        <v>0</v>
      </c>
      <c r="W70" s="10">
        <f t="shared" si="37"/>
        <v>0</v>
      </c>
      <c r="X70" s="10">
        <f t="shared" si="37"/>
        <v>0</v>
      </c>
      <c r="Y70" s="10">
        <f t="shared" si="37"/>
        <v>0</v>
      </c>
      <c r="Z70" s="10">
        <f t="shared" si="37"/>
        <v>0</v>
      </c>
      <c r="AA70" s="10">
        <f t="shared" si="37"/>
        <v>0</v>
      </c>
      <c r="AB70" s="10">
        <f t="shared" si="37"/>
        <v>0</v>
      </c>
      <c r="AC70" s="10">
        <f t="shared" si="37"/>
        <v>24196.079999999998</v>
      </c>
      <c r="AD70" s="10">
        <f t="shared" si="37"/>
        <v>0</v>
      </c>
      <c r="AE70" s="10">
        <f t="shared" si="37"/>
        <v>0</v>
      </c>
      <c r="AF70" s="199">
        <f t="shared" si="37"/>
        <v>0</v>
      </c>
      <c r="AG70" s="199">
        <f t="shared" si="37"/>
        <v>25738.199999999997</v>
      </c>
      <c r="AH70" s="199">
        <f t="shared" si="37"/>
        <v>25727.34</v>
      </c>
      <c r="AI70" s="199">
        <f t="shared" ref="AI70" si="38">SUM(AI74:AI75)*10.86</f>
        <v>25749.059999999998</v>
      </c>
      <c r="AJ70" s="200">
        <f>SUM(AJ74:AJ75)*10.86</f>
        <v>0</v>
      </c>
      <c r="AL70" s="114">
        <f>SUM(F70:AJ70)</f>
        <v>289256.09999999998</v>
      </c>
      <c r="CY70" s="304"/>
    </row>
    <row r="71" spans="2:103" s="3" customFormat="1">
      <c r="B71" s="121"/>
      <c r="C71" s="73" t="s">
        <v>43</v>
      </c>
      <c r="D71" s="117"/>
      <c r="E71" s="8" t="s">
        <v>16</v>
      </c>
      <c r="F71" s="10">
        <f>F69-F70</f>
        <v>3.6200000000026193</v>
      </c>
      <c r="G71" s="10">
        <f t="shared" ref="G71:AI71" si="39">G69-G70</f>
        <v>-15.389999999999418</v>
      </c>
      <c r="H71" s="10">
        <f t="shared" si="39"/>
        <v>0</v>
      </c>
      <c r="I71" s="10">
        <f t="shared" si="39"/>
        <v>1.8100000000000591</v>
      </c>
      <c r="J71" s="10">
        <f t="shared" si="39"/>
        <v>-380.09999999999127</v>
      </c>
      <c r="K71" s="10">
        <f t="shared" si="39"/>
        <v>0</v>
      </c>
      <c r="L71" s="10">
        <f t="shared" si="39"/>
        <v>0</v>
      </c>
      <c r="M71" s="10">
        <f t="shared" si="39"/>
        <v>0</v>
      </c>
      <c r="N71" s="10">
        <f t="shared" si="39"/>
        <v>0</v>
      </c>
      <c r="O71" s="10">
        <f t="shared" si="39"/>
        <v>0</v>
      </c>
      <c r="P71" s="10">
        <f t="shared" si="39"/>
        <v>0</v>
      </c>
      <c r="Q71" s="10">
        <f t="shared" si="39"/>
        <v>0</v>
      </c>
      <c r="R71" s="10">
        <f t="shared" si="39"/>
        <v>0</v>
      </c>
      <c r="S71" s="10">
        <f t="shared" si="39"/>
        <v>0</v>
      </c>
      <c r="T71" s="10">
        <f t="shared" si="39"/>
        <v>0.91000000000167347</v>
      </c>
      <c r="U71" s="10">
        <f t="shared" si="39"/>
        <v>1.8099999999994907</v>
      </c>
      <c r="V71" s="10">
        <f t="shared" si="39"/>
        <v>0</v>
      </c>
      <c r="W71" s="10">
        <f t="shared" si="39"/>
        <v>0</v>
      </c>
      <c r="X71" s="10">
        <f t="shared" si="39"/>
        <v>0</v>
      </c>
      <c r="Y71" s="10">
        <f t="shared" si="39"/>
        <v>0</v>
      </c>
      <c r="Z71" s="10">
        <f>Z69-Z70</f>
        <v>0</v>
      </c>
      <c r="AA71" s="10">
        <f t="shared" si="39"/>
        <v>0</v>
      </c>
      <c r="AB71" s="10">
        <f t="shared" si="39"/>
        <v>0</v>
      </c>
      <c r="AC71" s="10">
        <f t="shared" si="39"/>
        <v>-53.43999999999869</v>
      </c>
      <c r="AD71" s="10">
        <f t="shared" si="39"/>
        <v>0</v>
      </c>
      <c r="AE71" s="10">
        <f t="shared" si="39"/>
        <v>0</v>
      </c>
      <c r="AF71" s="10">
        <f t="shared" si="39"/>
        <v>0</v>
      </c>
      <c r="AG71" s="10">
        <f t="shared" si="39"/>
        <v>-56.109999999996944</v>
      </c>
      <c r="AH71" s="10">
        <f t="shared" si="39"/>
        <v>-66.920000000001892</v>
      </c>
      <c r="AI71" s="10">
        <f t="shared" si="39"/>
        <v>-66.969999999997526</v>
      </c>
      <c r="AJ71" s="20">
        <f>AJ69-AJ70</f>
        <v>0</v>
      </c>
      <c r="AL71" s="114">
        <f>SUM(F71:AJ71)</f>
        <v>-630.7799999999819</v>
      </c>
      <c r="CY71" s="304"/>
    </row>
    <row r="72" spans="2:103" s="3" customFormat="1">
      <c r="B72" s="121"/>
      <c r="C72" s="73" t="s">
        <v>56</v>
      </c>
      <c r="D72" s="117"/>
      <c r="E72" s="5" t="s">
        <v>16</v>
      </c>
      <c r="F72" s="10">
        <v>0</v>
      </c>
      <c r="G72" s="10"/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/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/>
      <c r="AF72" s="10">
        <v>0</v>
      </c>
      <c r="AG72" s="10">
        <v>0</v>
      </c>
      <c r="AH72" s="10">
        <v>0</v>
      </c>
      <c r="AI72" s="10">
        <v>0</v>
      </c>
      <c r="AJ72" s="20">
        <v>0</v>
      </c>
      <c r="AL72" s="114">
        <f>SUM(F72:AJ72)</f>
        <v>0</v>
      </c>
      <c r="CY72" s="304"/>
    </row>
    <row r="73" spans="2:103" s="3" customFormat="1">
      <c r="B73" s="121"/>
      <c r="C73" s="73" t="s">
        <v>33</v>
      </c>
      <c r="D73" s="117"/>
      <c r="E73" s="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50"/>
      <c r="AH73" s="50"/>
      <c r="AI73" s="50"/>
      <c r="AJ73" s="21"/>
      <c r="AL73" s="120" t="s">
        <v>33</v>
      </c>
      <c r="CY73" s="304"/>
    </row>
    <row r="74" spans="2:103" s="66" customFormat="1" ht="13.8">
      <c r="B74" s="143"/>
      <c r="C74" s="201" t="s">
        <v>55</v>
      </c>
      <c r="D74" s="101"/>
      <c r="E74" s="17" t="s">
        <v>36</v>
      </c>
      <c r="F74" s="7">
        <v>3434</v>
      </c>
      <c r="G74" s="7">
        <v>3812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>
        <v>926</v>
      </c>
      <c r="U74" s="7">
        <v>1300</v>
      </c>
      <c r="V74" s="7"/>
      <c r="W74" s="7"/>
      <c r="X74" s="7"/>
      <c r="Y74" s="7"/>
      <c r="Z74" s="7"/>
      <c r="AA74" s="7"/>
      <c r="AB74" s="7"/>
      <c r="AC74" s="7">
        <v>2228</v>
      </c>
      <c r="AD74" s="7"/>
      <c r="AE74" s="7"/>
      <c r="AF74" s="7"/>
      <c r="AG74" s="51">
        <v>2370</v>
      </c>
      <c r="AH74" s="51">
        <v>2369</v>
      </c>
      <c r="AI74" s="51">
        <v>2371</v>
      </c>
      <c r="AJ74" s="38"/>
      <c r="AL74" s="103">
        <f>SUM(F74:AJ74)</f>
        <v>18810</v>
      </c>
      <c r="CY74" s="314"/>
    </row>
    <row r="75" spans="2:103" s="66" customFormat="1" ht="13.8">
      <c r="B75" s="143"/>
      <c r="C75" s="201" t="s">
        <v>54</v>
      </c>
      <c r="D75" s="101"/>
      <c r="E75" s="17" t="s">
        <v>36</v>
      </c>
      <c r="F75" s="7"/>
      <c r="G75" s="7"/>
      <c r="H75" s="7"/>
      <c r="I75" s="7">
        <v>55</v>
      </c>
      <c r="J75" s="7">
        <v>7770</v>
      </c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51"/>
      <c r="AH75" s="51"/>
      <c r="AI75" s="51"/>
      <c r="AJ75" s="38"/>
      <c r="AL75" s="103">
        <f>SUM(F75:AJ75)</f>
        <v>7825</v>
      </c>
      <c r="CY75" s="314"/>
    </row>
    <row r="76" spans="2:103" s="3" customFormat="1">
      <c r="B76" s="121"/>
      <c r="C76" s="73" t="s">
        <v>32</v>
      </c>
      <c r="D76" s="117"/>
      <c r="E76" s="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50"/>
      <c r="AH76" s="50"/>
      <c r="AI76" s="50"/>
      <c r="AJ76" s="21"/>
      <c r="AL76" s="120" t="s">
        <v>32</v>
      </c>
      <c r="CY76" s="304"/>
    </row>
    <row r="77" spans="2:103" s="3" customFormat="1" ht="13.8">
      <c r="B77" s="121"/>
      <c r="C77" s="70" t="s">
        <v>55</v>
      </c>
      <c r="D77" s="117"/>
      <c r="E77" s="8" t="s">
        <v>32</v>
      </c>
      <c r="F77" s="1">
        <f t="shared" ref="F77:AI77" si="40">F74*12</f>
        <v>41208</v>
      </c>
      <c r="G77" s="1">
        <f t="shared" si="40"/>
        <v>45744</v>
      </c>
      <c r="H77" s="1">
        <f t="shared" si="40"/>
        <v>0</v>
      </c>
      <c r="I77" s="1">
        <f t="shared" si="40"/>
        <v>0</v>
      </c>
      <c r="J77" s="1">
        <f t="shared" si="40"/>
        <v>0</v>
      </c>
      <c r="K77" s="1">
        <f t="shared" si="40"/>
        <v>0</v>
      </c>
      <c r="L77" s="1">
        <f t="shared" si="40"/>
        <v>0</v>
      </c>
      <c r="M77" s="1">
        <f t="shared" si="40"/>
        <v>0</v>
      </c>
      <c r="N77" s="1">
        <f t="shared" si="40"/>
        <v>0</v>
      </c>
      <c r="O77" s="1">
        <f t="shared" si="40"/>
        <v>0</v>
      </c>
      <c r="P77" s="1">
        <f t="shared" si="40"/>
        <v>0</v>
      </c>
      <c r="Q77" s="1">
        <f t="shared" si="40"/>
        <v>0</v>
      </c>
      <c r="R77" s="1">
        <f t="shared" si="40"/>
        <v>0</v>
      </c>
      <c r="S77" s="1">
        <f t="shared" si="40"/>
        <v>0</v>
      </c>
      <c r="T77" s="1">
        <f t="shared" si="40"/>
        <v>11112</v>
      </c>
      <c r="U77" s="1">
        <f t="shared" si="40"/>
        <v>15600</v>
      </c>
      <c r="V77" s="1">
        <f t="shared" si="40"/>
        <v>0</v>
      </c>
      <c r="W77" s="1">
        <f t="shared" si="40"/>
        <v>0</v>
      </c>
      <c r="X77" s="1">
        <f t="shared" si="40"/>
        <v>0</v>
      </c>
      <c r="Y77" s="1">
        <f t="shared" si="40"/>
        <v>0</v>
      </c>
      <c r="Z77" s="1">
        <f t="shared" si="40"/>
        <v>0</v>
      </c>
      <c r="AA77" s="1">
        <f t="shared" si="40"/>
        <v>0</v>
      </c>
      <c r="AB77" s="1">
        <f t="shared" si="40"/>
        <v>0</v>
      </c>
      <c r="AC77" s="1">
        <f t="shared" si="40"/>
        <v>26736</v>
      </c>
      <c r="AD77" s="1">
        <f t="shared" si="40"/>
        <v>0</v>
      </c>
      <c r="AE77" s="1">
        <f t="shared" si="40"/>
        <v>0</v>
      </c>
      <c r="AF77" s="1">
        <f t="shared" si="40"/>
        <v>0</v>
      </c>
      <c r="AG77" s="1">
        <f t="shared" si="40"/>
        <v>28440</v>
      </c>
      <c r="AH77" s="1">
        <f t="shared" si="40"/>
        <v>28428</v>
      </c>
      <c r="AI77" s="1">
        <f t="shared" si="40"/>
        <v>28452</v>
      </c>
      <c r="AJ77" s="21">
        <f>AJ74*12</f>
        <v>0</v>
      </c>
      <c r="AL77" s="103">
        <f>AL74*12</f>
        <v>225720</v>
      </c>
      <c r="CY77" s="304"/>
    </row>
    <row r="78" spans="2:103" s="3" customFormat="1" ht="13.8">
      <c r="B78" s="121"/>
      <c r="C78" s="70" t="s">
        <v>54</v>
      </c>
      <c r="D78" s="117"/>
      <c r="E78" s="8" t="s">
        <v>32</v>
      </c>
      <c r="F78" s="1">
        <f t="shared" ref="F78:AI78" si="41">F75*6</f>
        <v>0</v>
      </c>
      <c r="G78" s="1">
        <f t="shared" si="41"/>
        <v>0</v>
      </c>
      <c r="H78" s="1">
        <v>0</v>
      </c>
      <c r="I78" s="1">
        <f t="shared" si="41"/>
        <v>330</v>
      </c>
      <c r="J78" s="1">
        <f t="shared" si="41"/>
        <v>46620</v>
      </c>
      <c r="K78" s="1">
        <f t="shared" si="41"/>
        <v>0</v>
      </c>
      <c r="L78" s="1">
        <f t="shared" si="41"/>
        <v>0</v>
      </c>
      <c r="M78" s="1">
        <f t="shared" si="41"/>
        <v>0</v>
      </c>
      <c r="N78" s="1">
        <f t="shared" si="41"/>
        <v>0</v>
      </c>
      <c r="O78" s="1">
        <f t="shared" si="41"/>
        <v>0</v>
      </c>
      <c r="P78" s="1">
        <f t="shared" si="41"/>
        <v>0</v>
      </c>
      <c r="Q78" s="1">
        <f t="shared" si="41"/>
        <v>0</v>
      </c>
      <c r="R78" s="1">
        <f t="shared" si="41"/>
        <v>0</v>
      </c>
      <c r="S78" s="1">
        <f t="shared" si="41"/>
        <v>0</v>
      </c>
      <c r="T78" s="1">
        <f t="shared" si="41"/>
        <v>0</v>
      </c>
      <c r="U78" s="1">
        <f t="shared" si="41"/>
        <v>0</v>
      </c>
      <c r="V78" s="1">
        <f t="shared" si="41"/>
        <v>0</v>
      </c>
      <c r="W78" s="1">
        <f t="shared" si="41"/>
        <v>0</v>
      </c>
      <c r="X78" s="1">
        <f t="shared" si="41"/>
        <v>0</v>
      </c>
      <c r="Y78" s="1">
        <f t="shared" si="41"/>
        <v>0</v>
      </c>
      <c r="Z78" s="1">
        <f t="shared" si="41"/>
        <v>0</v>
      </c>
      <c r="AA78" s="1">
        <f t="shared" si="41"/>
        <v>0</v>
      </c>
      <c r="AB78" s="1">
        <f t="shared" si="41"/>
        <v>0</v>
      </c>
      <c r="AC78" s="1">
        <f t="shared" si="41"/>
        <v>0</v>
      </c>
      <c r="AD78" s="1">
        <f t="shared" si="41"/>
        <v>0</v>
      </c>
      <c r="AE78" s="1">
        <f t="shared" si="41"/>
        <v>0</v>
      </c>
      <c r="AF78" s="1">
        <f t="shared" si="41"/>
        <v>0</v>
      </c>
      <c r="AG78" s="1">
        <f t="shared" si="41"/>
        <v>0</v>
      </c>
      <c r="AH78" s="1">
        <f t="shared" si="41"/>
        <v>0</v>
      </c>
      <c r="AI78" s="1">
        <f t="shared" si="41"/>
        <v>0</v>
      </c>
      <c r="AJ78" s="21">
        <f>AJ75*6</f>
        <v>0</v>
      </c>
      <c r="AL78" s="103">
        <f>AL75*6</f>
        <v>46950</v>
      </c>
      <c r="CY78" s="304"/>
    </row>
    <row r="79" spans="2:103" s="3" customFormat="1">
      <c r="B79" s="121"/>
      <c r="C79" s="73" t="s">
        <v>41</v>
      </c>
      <c r="D79" s="117"/>
      <c r="E79" s="8" t="s">
        <v>40</v>
      </c>
      <c r="F79" s="202">
        <f>(F69*45)/1700</f>
        <v>987.26982352941172</v>
      </c>
      <c r="G79" s="203">
        <f>(G69*45)/1700</f>
        <v>1095.4305000000002</v>
      </c>
      <c r="H79" s="203">
        <f t="shared" ref="H79:AI79" si="42">(H69*45)/1700</f>
        <v>0</v>
      </c>
      <c r="I79" s="203">
        <f t="shared" si="42"/>
        <v>15.85879411764706</v>
      </c>
      <c r="J79" s="203">
        <f t="shared" si="42"/>
        <v>2223.5850000000005</v>
      </c>
      <c r="K79" s="203">
        <f t="shared" si="42"/>
        <v>0</v>
      </c>
      <c r="L79" s="203">
        <f t="shared" si="42"/>
        <v>0</v>
      </c>
      <c r="M79" s="203">
        <f t="shared" si="42"/>
        <v>0</v>
      </c>
      <c r="N79" s="203">
        <f t="shared" si="42"/>
        <v>0</v>
      </c>
      <c r="O79" s="203">
        <f t="shared" si="42"/>
        <v>0</v>
      </c>
      <c r="P79" s="203">
        <f t="shared" si="42"/>
        <v>0</v>
      </c>
      <c r="Q79" s="203">
        <f t="shared" si="42"/>
        <v>0</v>
      </c>
      <c r="R79" s="203">
        <f t="shared" si="42"/>
        <v>0</v>
      </c>
      <c r="S79" s="203">
        <f t="shared" si="42"/>
        <v>0</v>
      </c>
      <c r="T79" s="203">
        <f t="shared" si="42"/>
        <v>266.22185294117651</v>
      </c>
      <c r="U79" s="203">
        <f t="shared" si="42"/>
        <v>373.7596764705882</v>
      </c>
      <c r="V79" s="203">
        <f t="shared" si="42"/>
        <v>0</v>
      </c>
      <c r="W79" s="203">
        <f t="shared" si="42"/>
        <v>0</v>
      </c>
      <c r="X79" s="203">
        <f t="shared" si="42"/>
        <v>0</v>
      </c>
      <c r="Y79" s="203">
        <f t="shared" si="42"/>
        <v>0</v>
      </c>
      <c r="Z79" s="203">
        <f t="shared" si="42"/>
        <v>0</v>
      </c>
      <c r="AA79" s="203">
        <f t="shared" si="42"/>
        <v>0</v>
      </c>
      <c r="AB79" s="203">
        <f t="shared" si="42"/>
        <v>0</v>
      </c>
      <c r="AC79" s="203">
        <f t="shared" si="42"/>
        <v>639.06988235294125</v>
      </c>
      <c r="AD79" s="203">
        <f t="shared" si="42"/>
        <v>0</v>
      </c>
      <c r="AE79" s="203">
        <f t="shared" si="42"/>
        <v>0</v>
      </c>
      <c r="AF79" s="203">
        <f t="shared" si="42"/>
        <v>0</v>
      </c>
      <c r="AG79" s="203">
        <f t="shared" si="42"/>
        <v>679.82002941176472</v>
      </c>
      <c r="AH79" s="203">
        <f t="shared" si="42"/>
        <v>679.24641176470584</v>
      </c>
      <c r="AI79" s="203">
        <f t="shared" si="42"/>
        <v>679.82002941176472</v>
      </c>
      <c r="AJ79" s="204">
        <f>(AJ69*45)/1700</f>
        <v>0</v>
      </c>
      <c r="AL79" s="103">
        <f>SUM(F79:AJ79)</f>
        <v>7640.0820000000022</v>
      </c>
      <c r="CY79" s="304"/>
    </row>
    <row r="80" spans="2:103" s="3" customFormat="1">
      <c r="B80" s="121"/>
      <c r="C80" s="73" t="s">
        <v>39</v>
      </c>
      <c r="D80" s="117"/>
      <c r="E80" s="8" t="s">
        <v>38</v>
      </c>
      <c r="F80" s="1">
        <f t="shared" ref="F80:AH80" si="43">SUM(F74:F75)/500</f>
        <v>6.8680000000000003</v>
      </c>
      <c r="G80" s="1">
        <f t="shared" si="43"/>
        <v>7.6239999999999997</v>
      </c>
      <c r="H80" s="1">
        <f t="shared" si="43"/>
        <v>0</v>
      </c>
      <c r="I80" s="1">
        <f t="shared" si="43"/>
        <v>0.11</v>
      </c>
      <c r="J80" s="1">
        <f t="shared" si="43"/>
        <v>15.54</v>
      </c>
      <c r="K80" s="1">
        <f t="shared" si="43"/>
        <v>0</v>
      </c>
      <c r="L80" s="1">
        <f t="shared" si="43"/>
        <v>0</v>
      </c>
      <c r="M80" s="1">
        <f t="shared" si="43"/>
        <v>0</v>
      </c>
      <c r="N80" s="1">
        <f t="shared" si="43"/>
        <v>0</v>
      </c>
      <c r="O80" s="1">
        <f t="shared" si="43"/>
        <v>0</v>
      </c>
      <c r="P80" s="1">
        <f t="shared" si="43"/>
        <v>0</v>
      </c>
      <c r="Q80" s="1">
        <f t="shared" si="43"/>
        <v>0</v>
      </c>
      <c r="R80" s="1">
        <f t="shared" si="43"/>
        <v>0</v>
      </c>
      <c r="S80" s="1">
        <f t="shared" si="43"/>
        <v>0</v>
      </c>
      <c r="T80" s="1">
        <f t="shared" si="43"/>
        <v>1.8520000000000001</v>
      </c>
      <c r="U80" s="1">
        <f t="shared" si="43"/>
        <v>2.6</v>
      </c>
      <c r="V80" s="1">
        <f t="shared" si="43"/>
        <v>0</v>
      </c>
      <c r="W80" s="1">
        <f t="shared" si="43"/>
        <v>0</v>
      </c>
      <c r="X80" s="1">
        <f t="shared" si="43"/>
        <v>0</v>
      </c>
      <c r="Y80" s="1">
        <f t="shared" si="43"/>
        <v>0</v>
      </c>
      <c r="Z80" s="1">
        <f t="shared" si="43"/>
        <v>0</v>
      </c>
      <c r="AA80" s="1">
        <f t="shared" si="43"/>
        <v>0</v>
      </c>
      <c r="AB80" s="1">
        <f t="shared" si="43"/>
        <v>0</v>
      </c>
      <c r="AC80" s="1">
        <f t="shared" si="43"/>
        <v>4.4560000000000004</v>
      </c>
      <c r="AD80" s="1">
        <f t="shared" si="43"/>
        <v>0</v>
      </c>
      <c r="AE80" s="1">
        <f t="shared" si="43"/>
        <v>0</v>
      </c>
      <c r="AF80" s="1">
        <f t="shared" si="43"/>
        <v>0</v>
      </c>
      <c r="AG80" s="1">
        <f t="shared" si="43"/>
        <v>4.74</v>
      </c>
      <c r="AH80" s="1">
        <f t="shared" si="43"/>
        <v>4.7380000000000004</v>
      </c>
      <c r="AI80" s="1">
        <f t="shared" ref="AI80" si="44">SUM(AI74:AI75)/500</f>
        <v>4.742</v>
      </c>
      <c r="AJ80" s="21">
        <f>SUM(AJ74:AJ75)/500</f>
        <v>0</v>
      </c>
      <c r="AL80" s="103">
        <f>SUM(F80:AJ80)</f>
        <v>53.27</v>
      </c>
      <c r="CY80" s="304"/>
    </row>
    <row r="81" spans="2:103 15069:15461" s="3" customFormat="1">
      <c r="B81" s="69"/>
      <c r="C81" s="71" t="s">
        <v>37</v>
      </c>
      <c r="D81" s="87"/>
      <c r="E81" s="18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88"/>
      <c r="AD81" s="6"/>
      <c r="AE81" s="6"/>
      <c r="AF81" s="6"/>
      <c r="AG81" s="52"/>
      <c r="AH81" s="52"/>
      <c r="AI81" s="52"/>
      <c r="AJ81" s="60"/>
      <c r="AK81" s="89"/>
      <c r="AL81" s="151" t="s">
        <v>34</v>
      </c>
      <c r="CY81" s="16"/>
      <c r="VGO81" s="347"/>
      <c r="VGP81" s="347"/>
      <c r="VGQ81" s="347"/>
      <c r="VGR81" s="347"/>
      <c r="VGS81" s="347"/>
      <c r="VGT81" s="347"/>
      <c r="VGU81" s="347"/>
      <c r="VGV81" s="347"/>
      <c r="VGW81" s="347"/>
      <c r="VGX81" s="347"/>
      <c r="VGY81" s="347"/>
      <c r="VGZ81" s="347"/>
      <c r="VHA81" s="347"/>
      <c r="VHB81" s="347"/>
      <c r="VHC81" s="347"/>
      <c r="VHD81" s="347"/>
      <c r="VHE81" s="347"/>
      <c r="VHF81" s="347"/>
      <c r="VHG81" s="347"/>
      <c r="VHH81" s="347"/>
      <c r="VHI81" s="347"/>
      <c r="VHJ81" s="347"/>
      <c r="VHK81" s="347"/>
      <c r="VHL81" s="347"/>
      <c r="VHM81" s="347"/>
      <c r="VHN81" s="347"/>
      <c r="VHO81" s="347"/>
      <c r="VHP81" s="347"/>
      <c r="VHQ81" s="347"/>
      <c r="VHR81" s="347"/>
      <c r="VHS81" s="347"/>
      <c r="VHT81" s="347"/>
      <c r="VHU81" s="347"/>
      <c r="VHV81" s="347"/>
      <c r="VHW81" s="347"/>
      <c r="VHX81" s="347"/>
      <c r="VHY81" s="347"/>
      <c r="VHZ81" s="347"/>
      <c r="VIA81" s="347"/>
      <c r="VIB81" s="347"/>
      <c r="VIC81" s="347"/>
      <c r="VID81" s="347"/>
      <c r="VIE81" s="347"/>
      <c r="VIF81" s="347"/>
      <c r="VIG81" s="347"/>
      <c r="VIH81" s="347"/>
      <c r="VII81" s="347"/>
      <c r="VIJ81" s="347"/>
      <c r="VIK81" s="347"/>
      <c r="VIL81" s="347"/>
      <c r="VIM81" s="347"/>
      <c r="VIN81" s="347"/>
      <c r="VIO81" s="347"/>
      <c r="VIP81" s="347"/>
      <c r="VIQ81" s="347"/>
      <c r="VIR81" s="347"/>
      <c r="VIS81" s="347"/>
      <c r="VIT81" s="347"/>
      <c r="VIU81" s="347"/>
      <c r="VIV81" s="347"/>
      <c r="VIW81" s="347"/>
      <c r="VIX81" s="347"/>
      <c r="VIY81" s="347"/>
      <c r="VIZ81" s="347"/>
      <c r="VJA81" s="347"/>
      <c r="VJB81" s="347"/>
      <c r="VJC81" s="347"/>
      <c r="VJD81" s="347"/>
      <c r="VJE81" s="347"/>
      <c r="VJF81" s="347"/>
      <c r="VJG81" s="347"/>
      <c r="VJH81" s="347"/>
      <c r="VJI81" s="347"/>
      <c r="VJJ81" s="347"/>
      <c r="VJK81" s="347"/>
      <c r="VJL81" s="347"/>
      <c r="VJM81" s="347"/>
      <c r="VJN81" s="347"/>
      <c r="VJO81" s="347"/>
      <c r="VJP81" s="347"/>
      <c r="VJQ81" s="347"/>
      <c r="VJR81" s="347"/>
      <c r="VJS81" s="347"/>
      <c r="VJT81" s="347"/>
      <c r="VJU81" s="347"/>
      <c r="VJV81" s="347"/>
      <c r="VJW81" s="347"/>
      <c r="VJX81" s="347"/>
      <c r="VJY81" s="347"/>
      <c r="VJZ81" s="347"/>
      <c r="VKA81" s="347"/>
      <c r="VKB81" s="347"/>
      <c r="VKC81" s="347"/>
      <c r="VKD81" s="347"/>
      <c r="VKE81" s="347"/>
      <c r="VKF81" s="347"/>
      <c r="VKG81" s="347"/>
      <c r="VKH81" s="347"/>
      <c r="VKI81" s="347"/>
      <c r="VKJ81" s="347"/>
      <c r="VKK81" s="347"/>
      <c r="VKL81" s="347"/>
      <c r="VKM81" s="347"/>
      <c r="VKN81" s="347"/>
      <c r="VKO81" s="347"/>
      <c r="VKP81" s="347"/>
      <c r="VKQ81" s="347"/>
      <c r="VKR81" s="347"/>
      <c r="VKS81" s="347"/>
      <c r="VKT81" s="347"/>
      <c r="VKU81" s="347"/>
      <c r="VKV81" s="347"/>
      <c r="VKW81" s="347"/>
      <c r="VKX81" s="347"/>
      <c r="VKY81" s="347"/>
      <c r="VKZ81" s="347"/>
      <c r="VLA81" s="347"/>
      <c r="VLB81" s="347"/>
      <c r="VLC81" s="347"/>
      <c r="VLD81" s="347"/>
      <c r="VLE81" s="347"/>
      <c r="VLF81" s="347"/>
      <c r="VLG81" s="347"/>
      <c r="VLH81" s="347"/>
      <c r="VLI81" s="347"/>
      <c r="VLJ81" s="347"/>
      <c r="VLK81" s="347"/>
      <c r="VLL81" s="347"/>
      <c r="VLM81" s="347"/>
      <c r="VLN81" s="347"/>
      <c r="VLO81" s="347"/>
      <c r="VLP81" s="347"/>
      <c r="VLQ81" s="347"/>
      <c r="VLR81" s="347"/>
      <c r="VLS81" s="347"/>
      <c r="VLT81" s="347"/>
      <c r="VLU81" s="347"/>
      <c r="VLV81" s="347"/>
      <c r="VLW81" s="347"/>
      <c r="VLX81" s="347"/>
      <c r="VLY81" s="347"/>
      <c r="VLZ81" s="347"/>
      <c r="VMA81" s="347"/>
      <c r="VMB81" s="347"/>
      <c r="VMC81" s="347"/>
      <c r="VMD81" s="347"/>
      <c r="VME81" s="347"/>
      <c r="VMF81" s="347"/>
      <c r="VMG81" s="347"/>
      <c r="VMH81" s="347"/>
      <c r="VMI81" s="347"/>
      <c r="VMJ81" s="347"/>
      <c r="VMK81" s="347"/>
      <c r="VML81" s="347"/>
      <c r="VMM81" s="347"/>
      <c r="VMN81" s="347"/>
      <c r="VMO81" s="347"/>
      <c r="VMP81" s="347"/>
      <c r="VMQ81" s="347"/>
      <c r="VMR81" s="347"/>
      <c r="VMS81" s="347"/>
      <c r="VMT81" s="347"/>
      <c r="VMU81" s="347"/>
      <c r="VMV81" s="347"/>
      <c r="VMW81" s="347"/>
      <c r="VMX81" s="347"/>
      <c r="VMY81" s="347"/>
      <c r="VMZ81" s="347"/>
      <c r="VNA81" s="347"/>
      <c r="VNB81" s="347"/>
      <c r="VNC81" s="347"/>
      <c r="VND81" s="347"/>
      <c r="VNE81" s="347"/>
      <c r="VNF81" s="347"/>
      <c r="VNG81" s="347"/>
      <c r="VNH81" s="347"/>
      <c r="VNI81" s="347"/>
      <c r="VNJ81" s="347"/>
      <c r="VNK81" s="347"/>
      <c r="VNL81" s="347"/>
      <c r="VNM81" s="347"/>
      <c r="VNN81" s="347"/>
      <c r="VNO81" s="347"/>
      <c r="VNP81" s="347"/>
      <c r="VNQ81" s="347"/>
      <c r="VNR81" s="347"/>
      <c r="VNS81" s="347"/>
      <c r="VNT81" s="347"/>
      <c r="VNU81" s="347"/>
      <c r="VNV81" s="347"/>
      <c r="VNW81" s="347"/>
      <c r="VNX81" s="347"/>
      <c r="VNY81" s="347"/>
      <c r="VNZ81" s="347"/>
      <c r="VOA81" s="347"/>
      <c r="VOB81" s="347"/>
      <c r="VOC81" s="347"/>
      <c r="VOD81" s="347"/>
      <c r="VOE81" s="347"/>
      <c r="VOF81" s="347"/>
      <c r="VOG81" s="347"/>
      <c r="VOH81" s="347"/>
      <c r="VOI81" s="347"/>
      <c r="VOJ81" s="347"/>
      <c r="VOK81" s="347"/>
      <c r="VOL81" s="347"/>
      <c r="VOM81" s="347"/>
      <c r="VON81" s="347"/>
      <c r="VOO81" s="347"/>
      <c r="VOP81" s="347"/>
      <c r="VOQ81" s="347"/>
      <c r="VOR81" s="347"/>
      <c r="VOS81" s="347"/>
      <c r="VOT81" s="347"/>
      <c r="VOU81" s="347"/>
      <c r="VOV81" s="347"/>
      <c r="VOW81" s="347"/>
      <c r="VOX81" s="347"/>
      <c r="VOY81" s="347"/>
      <c r="VOZ81" s="347"/>
      <c r="VPA81" s="347"/>
      <c r="VPB81" s="347"/>
      <c r="VPC81" s="347"/>
      <c r="VPD81" s="347"/>
      <c r="VPE81" s="347"/>
      <c r="VPF81" s="347"/>
      <c r="VPG81" s="347"/>
      <c r="VPH81" s="347"/>
      <c r="VPI81" s="347"/>
      <c r="VPJ81" s="347"/>
      <c r="VPK81" s="347"/>
      <c r="VPL81" s="347"/>
      <c r="VPM81" s="347"/>
      <c r="VPN81" s="347"/>
      <c r="VPO81" s="347"/>
      <c r="VPP81" s="347"/>
      <c r="VPQ81" s="347"/>
      <c r="VPR81" s="347"/>
      <c r="VPS81" s="347"/>
      <c r="VPT81" s="347"/>
      <c r="VPU81" s="347"/>
      <c r="VPV81" s="347"/>
      <c r="VPW81" s="347"/>
      <c r="VPX81" s="347"/>
      <c r="VPY81" s="347"/>
      <c r="VPZ81" s="347"/>
      <c r="VQA81" s="347"/>
      <c r="VQB81" s="347"/>
      <c r="VQC81" s="347"/>
      <c r="VQD81" s="347"/>
      <c r="VQE81" s="347"/>
      <c r="VQF81" s="347"/>
      <c r="VQG81" s="347"/>
      <c r="VQH81" s="347"/>
      <c r="VQI81" s="347"/>
      <c r="VQJ81" s="347"/>
      <c r="VQK81" s="347"/>
      <c r="VQL81" s="347"/>
      <c r="VQM81" s="347"/>
      <c r="VQN81" s="347"/>
      <c r="VQO81" s="347"/>
      <c r="VQP81" s="347"/>
      <c r="VQQ81" s="347"/>
      <c r="VQR81" s="347"/>
      <c r="VQS81" s="347"/>
      <c r="VQT81" s="347"/>
      <c r="VQU81" s="347"/>
      <c r="VQV81" s="347"/>
      <c r="VQW81" s="347"/>
      <c r="VQX81" s="347"/>
      <c r="VQY81" s="347"/>
      <c r="VQZ81" s="347"/>
      <c r="VRA81" s="347"/>
      <c r="VRB81" s="347"/>
      <c r="VRC81" s="347"/>
      <c r="VRD81" s="347"/>
      <c r="VRE81" s="347"/>
      <c r="VRF81" s="347"/>
      <c r="VRG81" s="347"/>
      <c r="VRH81" s="347"/>
      <c r="VRI81" s="347"/>
      <c r="VRJ81" s="347"/>
      <c r="VRK81" s="347"/>
      <c r="VRL81" s="347"/>
      <c r="VRM81" s="347"/>
      <c r="VRN81" s="347"/>
      <c r="VRO81" s="347"/>
      <c r="VRP81" s="347"/>
      <c r="VRQ81" s="347"/>
      <c r="VRR81" s="347"/>
      <c r="VRS81" s="347"/>
      <c r="VRT81" s="347"/>
      <c r="VRU81" s="347"/>
      <c r="VRV81" s="347"/>
      <c r="VRW81" s="347"/>
      <c r="VRX81" s="347"/>
      <c r="VRY81" s="347"/>
      <c r="VRZ81" s="347"/>
      <c r="VSA81" s="347"/>
      <c r="VSB81" s="347"/>
      <c r="VSC81" s="347"/>
      <c r="VSD81" s="347"/>
      <c r="VSE81" s="347"/>
      <c r="VSF81" s="347"/>
      <c r="VSG81" s="347"/>
      <c r="VSH81" s="347"/>
      <c r="VSI81" s="347"/>
      <c r="VSJ81" s="347"/>
      <c r="VSK81" s="347"/>
      <c r="VSL81" s="347"/>
      <c r="VSM81" s="347"/>
      <c r="VSN81" s="347"/>
      <c r="VSO81" s="347"/>
      <c r="VSP81" s="347"/>
      <c r="VSQ81" s="347"/>
      <c r="VSR81" s="347"/>
      <c r="VSS81" s="347"/>
      <c r="VST81" s="347"/>
      <c r="VSU81" s="347"/>
      <c r="VSV81" s="347"/>
      <c r="VSW81" s="347"/>
      <c r="VSX81" s="347"/>
      <c r="VSY81" s="347"/>
      <c r="VSZ81" s="347"/>
      <c r="VTA81" s="347"/>
      <c r="VTB81" s="347"/>
      <c r="VTC81" s="347"/>
      <c r="VTD81" s="347"/>
      <c r="VTE81" s="347"/>
      <c r="VTF81" s="347"/>
      <c r="VTG81" s="347"/>
      <c r="VTH81" s="347"/>
      <c r="VTI81" s="347"/>
      <c r="VTJ81" s="347"/>
      <c r="VTK81" s="347"/>
      <c r="VTL81" s="347"/>
      <c r="VTM81" s="347"/>
      <c r="VTN81" s="347"/>
      <c r="VTO81" s="347"/>
      <c r="VTP81" s="347"/>
      <c r="VTQ81" s="347"/>
      <c r="VTR81" s="347"/>
      <c r="VTS81" s="347"/>
      <c r="VTT81" s="347"/>
      <c r="VTU81" s="347"/>
      <c r="VTV81" s="347"/>
      <c r="VTW81" s="347"/>
      <c r="VTX81" s="347"/>
      <c r="VTY81" s="347"/>
      <c r="VTZ81" s="347"/>
      <c r="VUA81" s="347"/>
      <c r="VUB81" s="347"/>
      <c r="VUC81" s="347"/>
      <c r="VUD81" s="347"/>
      <c r="VUE81" s="347"/>
      <c r="VUF81" s="347"/>
      <c r="VUG81" s="347"/>
      <c r="VUH81" s="347"/>
      <c r="VUI81" s="347"/>
      <c r="VUJ81" s="347"/>
      <c r="VUK81" s="347"/>
      <c r="VUL81" s="347"/>
      <c r="VUM81" s="347"/>
      <c r="VUN81" s="347"/>
      <c r="VUO81" s="347"/>
      <c r="VUP81" s="347"/>
      <c r="VUQ81" s="347"/>
      <c r="VUR81" s="347"/>
      <c r="VUS81" s="347"/>
      <c r="VUT81" s="347"/>
      <c r="VUU81" s="347"/>
      <c r="VUV81" s="347"/>
      <c r="VUW81" s="347"/>
      <c r="VUX81" s="347"/>
      <c r="VUY81" s="347"/>
      <c r="VUZ81" s="347"/>
      <c r="VVA81" s="347"/>
      <c r="VVB81" s="347"/>
      <c r="VVC81" s="347"/>
      <c r="VVD81" s="347"/>
      <c r="VVE81" s="347"/>
      <c r="VVF81" s="347"/>
      <c r="VVG81" s="347"/>
      <c r="VVH81" s="347"/>
      <c r="VVI81" s="347"/>
      <c r="VVJ81" s="347"/>
      <c r="VVK81" s="347"/>
      <c r="VVL81" s="347"/>
      <c r="VVM81" s="347"/>
      <c r="VVN81" s="347"/>
      <c r="VVO81" s="347"/>
      <c r="VVP81" s="347"/>
      <c r="VVQ81" s="347"/>
    </row>
    <row r="82" spans="2:103 15069:15461" s="3" customFormat="1">
      <c r="B82" s="121"/>
      <c r="C82" s="73" t="s">
        <v>33</v>
      </c>
      <c r="D82" s="117"/>
      <c r="E82" s="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50"/>
      <c r="AH82" s="50"/>
      <c r="AI82" s="50"/>
      <c r="AJ82" s="21"/>
      <c r="AL82" s="120" t="s">
        <v>33</v>
      </c>
      <c r="CY82" s="304"/>
    </row>
    <row r="83" spans="2:103 15069:15461" s="3" customFormat="1" ht="13.8">
      <c r="B83" s="121"/>
      <c r="C83" s="70" t="s">
        <v>55</v>
      </c>
      <c r="D83" s="117"/>
      <c r="E83" s="8" t="s">
        <v>36</v>
      </c>
      <c r="F83" s="1"/>
      <c r="G83" s="1">
        <v>2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1</v>
      </c>
      <c r="V83" s="1"/>
      <c r="W83" s="1"/>
      <c r="X83" s="1"/>
      <c r="Y83" s="1"/>
      <c r="Z83" s="1"/>
      <c r="AA83" s="1"/>
      <c r="AB83" s="1"/>
      <c r="AC83" s="1">
        <v>2</v>
      </c>
      <c r="AD83" s="1"/>
      <c r="AE83" s="1"/>
      <c r="AF83" s="1"/>
      <c r="AG83" s="50"/>
      <c r="AH83" s="50">
        <v>1</v>
      </c>
      <c r="AI83" s="50">
        <v>1</v>
      </c>
      <c r="AJ83" s="21"/>
      <c r="AL83" s="103">
        <f>SUM(F83:AJ83)</f>
        <v>7</v>
      </c>
      <c r="CY83" s="304"/>
    </row>
    <row r="84" spans="2:103 15069:15461" s="3" customFormat="1" ht="13.8">
      <c r="B84" s="121"/>
      <c r="C84" s="70" t="s">
        <v>54</v>
      </c>
      <c r="D84" s="117"/>
      <c r="E84" s="8" t="s">
        <v>36</v>
      </c>
      <c r="F84" s="1"/>
      <c r="G84" s="1"/>
      <c r="H84" s="1"/>
      <c r="I84" s="1"/>
      <c r="J84" s="1">
        <v>19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50"/>
      <c r="AH84" s="50"/>
      <c r="AI84" s="50"/>
      <c r="AJ84" s="21"/>
      <c r="AL84" s="103">
        <f>SUM(F84:AJ84)</f>
        <v>19</v>
      </c>
      <c r="CY84" s="304"/>
    </row>
    <row r="85" spans="2:103 15069:15461" s="3" customFormat="1">
      <c r="B85" s="121"/>
      <c r="C85" s="73" t="s">
        <v>32</v>
      </c>
      <c r="D85" s="117"/>
      <c r="E85" s="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50"/>
      <c r="AH85" s="50"/>
      <c r="AI85" s="50"/>
      <c r="AJ85" s="21"/>
      <c r="AL85" s="120" t="s">
        <v>32</v>
      </c>
      <c r="CG85" s="304"/>
      <c r="CH85" s="304"/>
      <c r="CI85" s="304"/>
      <c r="CJ85" s="304"/>
      <c r="CK85" s="304"/>
      <c r="CL85" s="304"/>
      <c r="CM85" s="304"/>
      <c r="CN85" s="304"/>
      <c r="CO85" s="304"/>
      <c r="CP85" s="304"/>
      <c r="CY85" s="304"/>
    </row>
    <row r="86" spans="2:103 15069:15461" s="3" customFormat="1" ht="13.8">
      <c r="B86" s="121"/>
      <c r="C86" s="70" t="s">
        <v>55</v>
      </c>
      <c r="D86" s="117"/>
      <c r="E86" s="8" t="s">
        <v>32</v>
      </c>
      <c r="F86" s="7">
        <f>F83*12</f>
        <v>0</v>
      </c>
      <c r="G86" s="7">
        <f t="shared" ref="G86:AJ86" si="45">G83*12</f>
        <v>24</v>
      </c>
      <c r="H86" s="7">
        <f t="shared" si="45"/>
        <v>0</v>
      </c>
      <c r="I86" s="7">
        <f t="shared" si="45"/>
        <v>0</v>
      </c>
      <c r="J86" s="7">
        <f t="shared" si="45"/>
        <v>0</v>
      </c>
      <c r="K86" s="7">
        <f t="shared" si="45"/>
        <v>0</v>
      </c>
      <c r="L86" s="7"/>
      <c r="M86" s="7">
        <f t="shared" si="45"/>
        <v>0</v>
      </c>
      <c r="N86" s="7">
        <f t="shared" si="45"/>
        <v>0</v>
      </c>
      <c r="O86" s="7">
        <f t="shared" si="45"/>
        <v>0</v>
      </c>
      <c r="P86" s="7">
        <f t="shared" si="45"/>
        <v>0</v>
      </c>
      <c r="Q86" s="7">
        <f t="shared" si="45"/>
        <v>0</v>
      </c>
      <c r="R86" s="7">
        <f t="shared" si="45"/>
        <v>0</v>
      </c>
      <c r="S86" s="7">
        <f t="shared" si="45"/>
        <v>0</v>
      </c>
      <c r="T86" s="7">
        <f t="shared" si="45"/>
        <v>0</v>
      </c>
      <c r="U86" s="7">
        <f t="shared" si="45"/>
        <v>12</v>
      </c>
      <c r="V86" s="7">
        <f t="shared" si="45"/>
        <v>0</v>
      </c>
      <c r="W86" s="7">
        <f t="shared" si="45"/>
        <v>0</v>
      </c>
      <c r="X86" s="7">
        <f t="shared" si="45"/>
        <v>0</v>
      </c>
      <c r="Y86" s="7">
        <f t="shared" si="45"/>
        <v>0</v>
      </c>
      <c r="Z86" s="7">
        <f t="shared" si="45"/>
        <v>0</v>
      </c>
      <c r="AA86" s="7">
        <f t="shared" si="45"/>
        <v>0</v>
      </c>
      <c r="AB86" s="7">
        <f t="shared" si="45"/>
        <v>0</v>
      </c>
      <c r="AC86" s="7">
        <f t="shared" si="45"/>
        <v>24</v>
      </c>
      <c r="AD86" s="7">
        <f t="shared" si="45"/>
        <v>0</v>
      </c>
      <c r="AE86" s="7">
        <f t="shared" si="45"/>
        <v>0</v>
      </c>
      <c r="AF86" s="7">
        <f t="shared" si="45"/>
        <v>0</v>
      </c>
      <c r="AG86" s="7">
        <f t="shared" si="45"/>
        <v>0</v>
      </c>
      <c r="AH86" s="7">
        <f t="shared" si="45"/>
        <v>12</v>
      </c>
      <c r="AI86" s="7">
        <f t="shared" si="45"/>
        <v>12</v>
      </c>
      <c r="AJ86" s="38">
        <f t="shared" si="45"/>
        <v>0</v>
      </c>
      <c r="AL86" s="103">
        <f>SUM(F86:AJ86)</f>
        <v>84</v>
      </c>
      <c r="CG86" s="310"/>
      <c r="CH86" s="304"/>
      <c r="CI86" s="304"/>
      <c r="CJ86" s="304"/>
      <c r="CK86" s="315"/>
      <c r="CL86" s="304"/>
      <c r="CM86" s="304"/>
      <c r="CN86" s="304"/>
      <c r="CO86" s="304"/>
      <c r="CP86" s="304"/>
      <c r="CY86" s="304"/>
    </row>
    <row r="87" spans="2:103 15069:15461" s="3" customFormat="1" ht="13.8">
      <c r="B87" s="121"/>
      <c r="C87" s="70" t="s">
        <v>54</v>
      </c>
      <c r="D87" s="117"/>
      <c r="E87" s="8" t="s">
        <v>32</v>
      </c>
      <c r="F87" s="7">
        <f>F84*6</f>
        <v>0</v>
      </c>
      <c r="G87" s="7">
        <f t="shared" ref="G87:AJ87" si="46">G84*6</f>
        <v>0</v>
      </c>
      <c r="H87" s="7">
        <f t="shared" si="46"/>
        <v>0</v>
      </c>
      <c r="I87" s="7">
        <f t="shared" si="46"/>
        <v>0</v>
      </c>
      <c r="J87" s="7">
        <f t="shared" si="46"/>
        <v>114</v>
      </c>
      <c r="K87" s="7">
        <f t="shared" si="46"/>
        <v>0</v>
      </c>
      <c r="L87" s="7">
        <f t="shared" si="46"/>
        <v>0</v>
      </c>
      <c r="M87" s="7">
        <f t="shared" si="46"/>
        <v>0</v>
      </c>
      <c r="N87" s="7">
        <f t="shared" si="46"/>
        <v>0</v>
      </c>
      <c r="O87" s="7">
        <f t="shared" si="46"/>
        <v>0</v>
      </c>
      <c r="P87" s="7">
        <f t="shared" si="46"/>
        <v>0</v>
      </c>
      <c r="Q87" s="7">
        <f t="shared" si="46"/>
        <v>0</v>
      </c>
      <c r="R87" s="7">
        <f t="shared" si="46"/>
        <v>0</v>
      </c>
      <c r="S87" s="7">
        <f t="shared" si="46"/>
        <v>0</v>
      </c>
      <c r="T87" s="7">
        <f t="shared" si="46"/>
        <v>0</v>
      </c>
      <c r="U87" s="7">
        <f t="shared" si="46"/>
        <v>0</v>
      </c>
      <c r="V87" s="7">
        <f t="shared" si="46"/>
        <v>0</v>
      </c>
      <c r="W87" s="7">
        <f t="shared" si="46"/>
        <v>0</v>
      </c>
      <c r="X87" s="7">
        <f t="shared" si="46"/>
        <v>0</v>
      </c>
      <c r="Y87" s="7">
        <f t="shared" si="46"/>
        <v>0</v>
      </c>
      <c r="Z87" s="7">
        <f t="shared" si="46"/>
        <v>0</v>
      </c>
      <c r="AA87" s="7">
        <f t="shared" si="46"/>
        <v>0</v>
      </c>
      <c r="AB87" s="7">
        <f t="shared" si="46"/>
        <v>0</v>
      </c>
      <c r="AC87" s="7">
        <f t="shared" si="46"/>
        <v>0</v>
      </c>
      <c r="AD87" s="7">
        <f t="shared" si="46"/>
        <v>0</v>
      </c>
      <c r="AE87" s="7">
        <f t="shared" si="46"/>
        <v>0</v>
      </c>
      <c r="AF87" s="7">
        <f t="shared" si="46"/>
        <v>0</v>
      </c>
      <c r="AG87" s="7">
        <f t="shared" si="46"/>
        <v>0</v>
      </c>
      <c r="AH87" s="7">
        <f t="shared" si="46"/>
        <v>0</v>
      </c>
      <c r="AI87" s="7">
        <f t="shared" si="46"/>
        <v>0</v>
      </c>
      <c r="AJ87" s="38">
        <f t="shared" si="46"/>
        <v>0</v>
      </c>
      <c r="AL87" s="103">
        <f>SUM(F87:AJ87)</f>
        <v>114</v>
      </c>
      <c r="CG87" s="16"/>
      <c r="CH87" s="304"/>
      <c r="CI87" s="304"/>
      <c r="CJ87" s="304"/>
      <c r="CK87" s="304"/>
      <c r="CL87" s="304"/>
      <c r="CM87" s="304"/>
      <c r="CN87" s="304"/>
      <c r="CO87" s="304"/>
      <c r="CP87" s="304"/>
      <c r="CY87" s="304"/>
    </row>
    <row r="88" spans="2:103 15069:15461">
      <c r="B88" s="69"/>
      <c r="C88" s="71" t="s">
        <v>35</v>
      </c>
      <c r="D88" s="87"/>
      <c r="E88" s="18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88"/>
      <c r="AD88" s="6"/>
      <c r="AE88" s="6"/>
      <c r="AF88" s="6"/>
      <c r="AG88" s="52"/>
      <c r="AH88" s="52"/>
      <c r="AI88" s="52"/>
      <c r="AJ88" s="60"/>
      <c r="AK88" s="89"/>
      <c r="AL88" s="151" t="s">
        <v>34</v>
      </c>
      <c r="CG88" s="16"/>
      <c r="CH88" s="16"/>
      <c r="CI88" s="16"/>
      <c r="CJ88" s="16"/>
      <c r="CK88" s="16"/>
      <c r="CL88" s="16"/>
      <c r="CM88" s="16"/>
      <c r="CN88" s="16"/>
      <c r="CO88" s="16"/>
      <c r="CP88" s="16"/>
    </row>
    <row r="89" spans="2:103 15069:15461" s="3" customFormat="1">
      <c r="B89" s="121"/>
      <c r="C89" s="73" t="s">
        <v>33</v>
      </c>
      <c r="D89" s="117"/>
      <c r="E89" s="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50"/>
      <c r="AH89" s="50"/>
      <c r="AI89" s="50"/>
      <c r="AJ89" s="21"/>
      <c r="AL89" s="120" t="s">
        <v>33</v>
      </c>
      <c r="CG89" s="304"/>
      <c r="CH89" s="304"/>
      <c r="CI89" s="304"/>
      <c r="CJ89" s="304"/>
      <c r="CK89" s="304"/>
      <c r="CL89" s="304"/>
      <c r="CM89" s="304"/>
      <c r="CN89" s="304"/>
      <c r="CO89" s="304"/>
      <c r="CP89" s="304"/>
      <c r="CY89" s="304"/>
    </row>
    <row r="90" spans="2:103 15069:15461" s="3" customFormat="1" ht="13.8">
      <c r="B90" s="121"/>
      <c r="C90" s="70" t="s">
        <v>55</v>
      </c>
      <c r="D90" s="14">
        <v>0.3</v>
      </c>
      <c r="E90" s="8" t="s">
        <v>29</v>
      </c>
      <c r="F90" s="10">
        <f t="shared" ref="F90:AI91" si="47">F83/F74*100</f>
        <v>0</v>
      </c>
      <c r="G90" s="10">
        <f t="shared" si="47"/>
        <v>5.2465897166841552E-2</v>
      </c>
      <c r="H90" s="10" t="e">
        <f t="shared" si="47"/>
        <v>#DIV/0!</v>
      </c>
      <c r="I90" s="10" t="e">
        <f t="shared" si="47"/>
        <v>#DIV/0!</v>
      </c>
      <c r="J90" s="10" t="e">
        <f t="shared" si="47"/>
        <v>#DIV/0!</v>
      </c>
      <c r="K90" s="10" t="e">
        <f t="shared" si="47"/>
        <v>#DIV/0!</v>
      </c>
      <c r="L90" s="10" t="e">
        <f t="shared" si="47"/>
        <v>#DIV/0!</v>
      </c>
      <c r="M90" s="10" t="e">
        <f t="shared" si="47"/>
        <v>#DIV/0!</v>
      </c>
      <c r="N90" s="10" t="e">
        <f t="shared" si="47"/>
        <v>#DIV/0!</v>
      </c>
      <c r="O90" s="10" t="e">
        <f t="shared" si="47"/>
        <v>#DIV/0!</v>
      </c>
      <c r="P90" s="10" t="e">
        <f t="shared" si="47"/>
        <v>#DIV/0!</v>
      </c>
      <c r="Q90" s="10" t="e">
        <f t="shared" si="47"/>
        <v>#DIV/0!</v>
      </c>
      <c r="R90" s="10" t="e">
        <f t="shared" si="47"/>
        <v>#DIV/0!</v>
      </c>
      <c r="S90" s="10" t="e">
        <f t="shared" si="47"/>
        <v>#DIV/0!</v>
      </c>
      <c r="T90" s="10">
        <f t="shared" si="47"/>
        <v>0</v>
      </c>
      <c r="U90" s="10">
        <f t="shared" si="47"/>
        <v>7.6923076923076927E-2</v>
      </c>
      <c r="V90" s="10" t="e">
        <f t="shared" si="47"/>
        <v>#DIV/0!</v>
      </c>
      <c r="W90" s="10" t="e">
        <f t="shared" si="47"/>
        <v>#DIV/0!</v>
      </c>
      <c r="X90" s="10" t="e">
        <f t="shared" si="47"/>
        <v>#DIV/0!</v>
      </c>
      <c r="Y90" s="10" t="e">
        <f t="shared" si="47"/>
        <v>#DIV/0!</v>
      </c>
      <c r="Z90" s="10" t="e">
        <f t="shared" si="47"/>
        <v>#DIV/0!</v>
      </c>
      <c r="AA90" s="10" t="e">
        <f t="shared" si="47"/>
        <v>#DIV/0!</v>
      </c>
      <c r="AB90" s="10" t="e">
        <f t="shared" si="47"/>
        <v>#DIV/0!</v>
      </c>
      <c r="AC90" s="10">
        <f t="shared" si="47"/>
        <v>8.9766606822262118E-2</v>
      </c>
      <c r="AD90" s="10" t="e">
        <f t="shared" si="47"/>
        <v>#DIV/0!</v>
      </c>
      <c r="AE90" s="10" t="e">
        <f>AE83/AE74*100</f>
        <v>#DIV/0!</v>
      </c>
      <c r="AF90" s="10" t="e">
        <f t="shared" si="47"/>
        <v>#DIV/0!</v>
      </c>
      <c r="AG90" s="10">
        <f t="shared" si="47"/>
        <v>0</v>
      </c>
      <c r="AH90" s="10">
        <f t="shared" si="47"/>
        <v>4.2211903756859431E-2</v>
      </c>
      <c r="AI90" s="10">
        <f t="shared" si="47"/>
        <v>4.2176296921130327E-2</v>
      </c>
      <c r="AJ90" s="20" t="e">
        <f>AJ83/AJ74*100</f>
        <v>#DIV/0!</v>
      </c>
      <c r="AL90" s="114">
        <f>AL83/AL74*100</f>
        <v>3.7214247740563533E-2</v>
      </c>
      <c r="CG90" s="304"/>
      <c r="CH90" s="304"/>
      <c r="CI90" s="304"/>
      <c r="CJ90" s="304"/>
      <c r="CK90" s="304"/>
      <c r="CL90" s="304"/>
      <c r="CM90" s="304"/>
      <c r="CN90" s="304"/>
      <c r="CO90" s="304"/>
      <c r="CP90" s="304"/>
      <c r="CY90" s="304"/>
    </row>
    <row r="91" spans="2:103 15069:15461" s="3" customFormat="1" ht="13.8">
      <c r="B91" s="121"/>
      <c r="C91" s="70" t="s">
        <v>54</v>
      </c>
      <c r="D91" s="14">
        <v>0.3</v>
      </c>
      <c r="E91" s="8" t="s">
        <v>29</v>
      </c>
      <c r="F91" s="10" t="e">
        <f t="shared" si="47"/>
        <v>#DIV/0!</v>
      </c>
      <c r="G91" s="10" t="e">
        <f t="shared" si="47"/>
        <v>#DIV/0!</v>
      </c>
      <c r="H91" s="10" t="e">
        <f t="shared" si="47"/>
        <v>#DIV/0!</v>
      </c>
      <c r="I91" s="10">
        <f t="shared" si="47"/>
        <v>0</v>
      </c>
      <c r="J91" s="10">
        <f t="shared" si="47"/>
        <v>0.24453024453024455</v>
      </c>
      <c r="K91" s="10" t="e">
        <f t="shared" si="47"/>
        <v>#DIV/0!</v>
      </c>
      <c r="L91" s="10" t="e">
        <f t="shared" si="47"/>
        <v>#DIV/0!</v>
      </c>
      <c r="M91" s="10" t="e">
        <f t="shared" si="47"/>
        <v>#DIV/0!</v>
      </c>
      <c r="N91" s="10" t="e">
        <f t="shared" si="47"/>
        <v>#DIV/0!</v>
      </c>
      <c r="O91" s="10" t="e">
        <f t="shared" si="47"/>
        <v>#DIV/0!</v>
      </c>
      <c r="P91" s="10" t="e">
        <f t="shared" si="47"/>
        <v>#DIV/0!</v>
      </c>
      <c r="Q91" s="10" t="e">
        <f t="shared" si="47"/>
        <v>#DIV/0!</v>
      </c>
      <c r="R91" s="10" t="e">
        <f t="shared" si="47"/>
        <v>#DIV/0!</v>
      </c>
      <c r="S91" s="10" t="e">
        <f t="shared" si="47"/>
        <v>#DIV/0!</v>
      </c>
      <c r="T91" s="10" t="e">
        <f t="shared" si="47"/>
        <v>#DIV/0!</v>
      </c>
      <c r="U91" s="10" t="e">
        <f t="shared" si="47"/>
        <v>#DIV/0!</v>
      </c>
      <c r="V91" s="10" t="e">
        <f t="shared" si="47"/>
        <v>#DIV/0!</v>
      </c>
      <c r="W91" s="10" t="e">
        <f t="shared" si="47"/>
        <v>#DIV/0!</v>
      </c>
      <c r="X91" s="10" t="e">
        <f t="shared" si="47"/>
        <v>#DIV/0!</v>
      </c>
      <c r="Y91" s="10" t="e">
        <f t="shared" si="47"/>
        <v>#DIV/0!</v>
      </c>
      <c r="Z91" s="10" t="e">
        <f t="shared" si="47"/>
        <v>#DIV/0!</v>
      </c>
      <c r="AA91" s="10" t="e">
        <f t="shared" si="47"/>
        <v>#DIV/0!</v>
      </c>
      <c r="AB91" s="10" t="e">
        <f t="shared" si="47"/>
        <v>#DIV/0!</v>
      </c>
      <c r="AC91" s="10" t="e">
        <f t="shared" si="47"/>
        <v>#DIV/0!</v>
      </c>
      <c r="AD91" s="10" t="e">
        <f t="shared" si="47"/>
        <v>#DIV/0!</v>
      </c>
      <c r="AE91" s="10" t="e">
        <f t="shared" si="47"/>
        <v>#DIV/0!</v>
      </c>
      <c r="AF91" s="10" t="e">
        <f t="shared" si="47"/>
        <v>#DIV/0!</v>
      </c>
      <c r="AG91" s="10" t="e">
        <f t="shared" si="47"/>
        <v>#DIV/0!</v>
      </c>
      <c r="AH91" s="10" t="e">
        <f t="shared" si="47"/>
        <v>#DIV/0!</v>
      </c>
      <c r="AI91" s="10" t="e">
        <f t="shared" si="47"/>
        <v>#DIV/0!</v>
      </c>
      <c r="AJ91" s="20" t="e">
        <f>AJ84/AJ75*100</f>
        <v>#DIV/0!</v>
      </c>
      <c r="AL91" s="114">
        <f>AL84/AL75*100</f>
        <v>0.24281150159744408</v>
      </c>
      <c r="CG91" s="304"/>
      <c r="CH91" s="304"/>
      <c r="CI91" s="304"/>
      <c r="CJ91" s="304"/>
      <c r="CK91" s="304"/>
      <c r="CL91" s="304"/>
      <c r="CM91" s="304"/>
      <c r="CN91" s="304"/>
      <c r="CO91" s="304"/>
      <c r="CP91" s="304"/>
      <c r="CY91" s="304"/>
    </row>
    <row r="92" spans="2:103 15069:15461" s="3" customFormat="1">
      <c r="B92" s="121"/>
      <c r="C92" s="73" t="s">
        <v>32</v>
      </c>
      <c r="D92" s="14"/>
      <c r="E92" s="5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20"/>
      <c r="AL92" s="120" t="s">
        <v>32</v>
      </c>
      <c r="CG92" s="304"/>
      <c r="CH92" s="304"/>
      <c r="CI92" s="304"/>
      <c r="CJ92" s="304"/>
      <c r="CK92" s="304"/>
      <c r="CL92" s="304"/>
      <c r="CM92" s="304"/>
      <c r="CN92" s="304"/>
      <c r="CO92" s="304"/>
      <c r="CP92" s="304"/>
      <c r="CY92" s="304"/>
    </row>
    <row r="93" spans="2:103 15069:15461" s="3" customFormat="1" ht="13.8">
      <c r="B93" s="121"/>
      <c r="C93" s="70" t="s">
        <v>55</v>
      </c>
      <c r="D93" s="14">
        <v>0.5</v>
      </c>
      <c r="E93" s="8" t="s">
        <v>29</v>
      </c>
      <c r="F93" s="10">
        <f t="shared" ref="F93:AI94" si="48">F86/F77*100</f>
        <v>0</v>
      </c>
      <c r="G93" s="10">
        <f t="shared" si="48"/>
        <v>5.2465897166841552E-2</v>
      </c>
      <c r="H93" s="10" t="e">
        <f t="shared" si="48"/>
        <v>#DIV/0!</v>
      </c>
      <c r="I93" s="10" t="e">
        <f t="shared" si="48"/>
        <v>#DIV/0!</v>
      </c>
      <c r="J93" s="10" t="e">
        <f t="shared" si="48"/>
        <v>#DIV/0!</v>
      </c>
      <c r="K93" s="10" t="e">
        <f t="shared" si="48"/>
        <v>#DIV/0!</v>
      </c>
      <c r="L93" s="205" t="e">
        <f t="shared" si="48"/>
        <v>#DIV/0!</v>
      </c>
      <c r="M93" s="10" t="e">
        <f t="shared" si="48"/>
        <v>#DIV/0!</v>
      </c>
      <c r="N93" s="10" t="e">
        <f t="shared" si="48"/>
        <v>#DIV/0!</v>
      </c>
      <c r="O93" s="10" t="e">
        <f t="shared" si="48"/>
        <v>#DIV/0!</v>
      </c>
      <c r="P93" s="10" t="e">
        <f t="shared" si="48"/>
        <v>#DIV/0!</v>
      </c>
      <c r="Q93" s="10" t="e">
        <f t="shared" si="48"/>
        <v>#DIV/0!</v>
      </c>
      <c r="R93" s="10" t="e">
        <f t="shared" si="48"/>
        <v>#DIV/0!</v>
      </c>
      <c r="S93" s="10" t="e">
        <f t="shared" si="48"/>
        <v>#DIV/0!</v>
      </c>
      <c r="T93" s="10">
        <f t="shared" si="48"/>
        <v>0</v>
      </c>
      <c r="U93" s="10">
        <f t="shared" si="48"/>
        <v>7.6923076923076927E-2</v>
      </c>
      <c r="V93" s="10" t="e">
        <f t="shared" si="48"/>
        <v>#DIV/0!</v>
      </c>
      <c r="W93" s="10" t="e">
        <f t="shared" si="48"/>
        <v>#DIV/0!</v>
      </c>
      <c r="X93" s="10" t="e">
        <f t="shared" si="48"/>
        <v>#DIV/0!</v>
      </c>
      <c r="Y93" s="10" t="e">
        <f t="shared" si="48"/>
        <v>#DIV/0!</v>
      </c>
      <c r="Z93" s="10" t="e">
        <f t="shared" si="48"/>
        <v>#DIV/0!</v>
      </c>
      <c r="AA93" s="10" t="e">
        <f t="shared" si="48"/>
        <v>#DIV/0!</v>
      </c>
      <c r="AB93" s="10" t="e">
        <f t="shared" si="48"/>
        <v>#DIV/0!</v>
      </c>
      <c r="AC93" s="10">
        <f t="shared" si="48"/>
        <v>8.9766606822262118E-2</v>
      </c>
      <c r="AD93" s="10" t="e">
        <f t="shared" si="48"/>
        <v>#DIV/0!</v>
      </c>
      <c r="AE93" s="10" t="e">
        <f t="shared" si="48"/>
        <v>#DIV/0!</v>
      </c>
      <c r="AF93" s="10" t="e">
        <f t="shared" si="48"/>
        <v>#DIV/0!</v>
      </c>
      <c r="AG93" s="10">
        <f t="shared" si="48"/>
        <v>0</v>
      </c>
      <c r="AH93" s="10">
        <f t="shared" si="48"/>
        <v>4.2211903756859431E-2</v>
      </c>
      <c r="AI93" s="10">
        <f t="shared" si="48"/>
        <v>4.2176296921130327E-2</v>
      </c>
      <c r="AJ93" s="20" t="e">
        <f>AJ86/AJ77*100</f>
        <v>#DIV/0!</v>
      </c>
      <c r="AL93" s="114">
        <f>AL86/AL77*100</f>
        <v>3.7214247740563533E-2</v>
      </c>
      <c r="CG93" s="304"/>
      <c r="CH93" s="304"/>
      <c r="CI93" s="304"/>
      <c r="CJ93" s="304"/>
      <c r="CK93" s="304"/>
      <c r="CL93" s="304"/>
      <c r="CM93" s="304"/>
      <c r="CN93" s="304"/>
      <c r="CO93" s="304"/>
      <c r="CP93" s="304"/>
      <c r="CY93" s="304"/>
    </row>
    <row r="94" spans="2:103 15069:15461" s="3" customFormat="1" thickBot="1">
      <c r="B94" s="157"/>
      <c r="C94" s="70" t="s">
        <v>54</v>
      </c>
      <c r="D94" s="14">
        <v>0.5</v>
      </c>
      <c r="E94" s="8" t="s">
        <v>29</v>
      </c>
      <c r="F94" s="10" t="e">
        <f t="shared" si="48"/>
        <v>#DIV/0!</v>
      </c>
      <c r="G94" s="10" t="e">
        <f t="shared" si="48"/>
        <v>#DIV/0!</v>
      </c>
      <c r="H94" s="10" t="e">
        <f t="shared" si="48"/>
        <v>#DIV/0!</v>
      </c>
      <c r="I94" s="10">
        <f t="shared" si="48"/>
        <v>0</v>
      </c>
      <c r="J94" s="10">
        <f t="shared" si="48"/>
        <v>0.24453024453024455</v>
      </c>
      <c r="K94" s="10" t="e">
        <f t="shared" si="48"/>
        <v>#DIV/0!</v>
      </c>
      <c r="L94" s="10" t="e">
        <f t="shared" si="48"/>
        <v>#DIV/0!</v>
      </c>
      <c r="M94" s="10" t="e">
        <f t="shared" si="48"/>
        <v>#DIV/0!</v>
      </c>
      <c r="N94" s="10" t="e">
        <f t="shared" si="48"/>
        <v>#DIV/0!</v>
      </c>
      <c r="O94" s="10" t="e">
        <f t="shared" si="48"/>
        <v>#DIV/0!</v>
      </c>
      <c r="P94" s="10" t="e">
        <f t="shared" si="48"/>
        <v>#DIV/0!</v>
      </c>
      <c r="Q94" s="10" t="e">
        <f t="shared" si="48"/>
        <v>#DIV/0!</v>
      </c>
      <c r="R94" s="10" t="e">
        <f t="shared" si="48"/>
        <v>#DIV/0!</v>
      </c>
      <c r="S94" s="10" t="e">
        <f t="shared" si="48"/>
        <v>#DIV/0!</v>
      </c>
      <c r="T94" s="10" t="e">
        <f t="shared" si="48"/>
        <v>#DIV/0!</v>
      </c>
      <c r="U94" s="10" t="e">
        <f t="shared" si="48"/>
        <v>#DIV/0!</v>
      </c>
      <c r="V94" s="10" t="e">
        <f t="shared" si="48"/>
        <v>#DIV/0!</v>
      </c>
      <c r="W94" s="10" t="e">
        <f t="shared" si="48"/>
        <v>#DIV/0!</v>
      </c>
      <c r="X94" s="10" t="e">
        <f t="shared" si="48"/>
        <v>#DIV/0!</v>
      </c>
      <c r="Y94" s="10" t="e">
        <f t="shared" si="48"/>
        <v>#DIV/0!</v>
      </c>
      <c r="Z94" s="10" t="e">
        <f t="shared" si="48"/>
        <v>#DIV/0!</v>
      </c>
      <c r="AA94" s="10" t="e">
        <f t="shared" si="48"/>
        <v>#DIV/0!</v>
      </c>
      <c r="AB94" s="10" t="e">
        <f t="shared" si="48"/>
        <v>#DIV/0!</v>
      </c>
      <c r="AC94" s="10" t="e">
        <f t="shared" si="48"/>
        <v>#DIV/0!</v>
      </c>
      <c r="AD94" s="10" t="e">
        <f t="shared" si="48"/>
        <v>#DIV/0!</v>
      </c>
      <c r="AE94" s="10" t="e">
        <f t="shared" si="48"/>
        <v>#DIV/0!</v>
      </c>
      <c r="AF94" s="10" t="e">
        <f t="shared" si="48"/>
        <v>#DIV/0!</v>
      </c>
      <c r="AG94" s="10" t="e">
        <f t="shared" si="48"/>
        <v>#DIV/0!</v>
      </c>
      <c r="AH94" s="10" t="e">
        <f t="shared" si="48"/>
        <v>#DIV/0!</v>
      </c>
      <c r="AI94" s="10" t="e">
        <f t="shared" si="48"/>
        <v>#DIV/0!</v>
      </c>
      <c r="AJ94" s="20" t="e">
        <f>AJ87/AJ78*100</f>
        <v>#DIV/0!</v>
      </c>
      <c r="AL94" s="114">
        <f>AL87/AL78*100</f>
        <v>0.24281150159744408</v>
      </c>
      <c r="CG94" s="304"/>
      <c r="CH94" s="304"/>
      <c r="CI94" s="304"/>
      <c r="CJ94" s="304"/>
      <c r="CK94" s="304"/>
      <c r="CL94" s="304"/>
      <c r="CM94" s="304"/>
      <c r="CN94" s="304"/>
      <c r="CO94" s="304"/>
      <c r="CP94" s="304"/>
      <c r="CY94" s="304"/>
    </row>
    <row r="95" spans="2:103 15069:15461" s="3" customFormat="1">
      <c r="B95" s="69">
        <v>5</v>
      </c>
      <c r="C95" s="71" t="s">
        <v>53</v>
      </c>
      <c r="D95" s="87"/>
      <c r="E95" s="18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88"/>
      <c r="AD95" s="6"/>
      <c r="AE95" s="6"/>
      <c r="AF95" s="6"/>
      <c r="AG95" s="52"/>
      <c r="AH95" s="52"/>
      <c r="AI95" s="52"/>
      <c r="AJ95" s="60"/>
      <c r="AK95" s="89"/>
      <c r="AL95" s="151" t="s">
        <v>45</v>
      </c>
      <c r="CG95" s="16"/>
      <c r="CH95" s="16"/>
      <c r="CI95" s="304"/>
      <c r="CJ95" s="304"/>
      <c r="CK95" s="16"/>
      <c r="CL95" s="304"/>
      <c r="CM95" s="16"/>
      <c r="CN95" s="16"/>
      <c r="CO95" s="16"/>
      <c r="CP95" s="16"/>
      <c r="CY95" s="16"/>
      <c r="VGO95" s="347"/>
      <c r="VGP95" s="347"/>
      <c r="VGQ95" s="347"/>
      <c r="VGR95" s="347"/>
      <c r="VGS95" s="347"/>
      <c r="VGT95" s="347"/>
      <c r="VGU95" s="347"/>
      <c r="VGV95" s="347"/>
      <c r="VGW95" s="347"/>
      <c r="VGX95" s="347"/>
      <c r="VGY95" s="347"/>
      <c r="VGZ95" s="347"/>
      <c r="VHA95" s="347"/>
      <c r="VHB95" s="347"/>
      <c r="VHC95" s="347"/>
      <c r="VHD95" s="347"/>
      <c r="VHE95" s="347"/>
      <c r="VHF95" s="347"/>
      <c r="VHG95" s="347"/>
      <c r="VHH95" s="347"/>
      <c r="VHI95" s="347"/>
      <c r="VHJ95" s="347"/>
      <c r="VHK95" s="347"/>
      <c r="VHL95" s="347"/>
      <c r="VHM95" s="347"/>
      <c r="VHN95" s="347"/>
      <c r="VHO95" s="347"/>
      <c r="VHP95" s="347"/>
      <c r="VHQ95" s="347"/>
      <c r="VHR95" s="347"/>
      <c r="VHS95" s="347"/>
      <c r="VHT95" s="347"/>
      <c r="VHU95" s="347"/>
      <c r="VHV95" s="347"/>
      <c r="VHW95" s="347"/>
      <c r="VHX95" s="347"/>
      <c r="VHY95" s="347"/>
      <c r="VHZ95" s="347"/>
      <c r="VIA95" s="347"/>
      <c r="VIB95" s="347"/>
      <c r="VIC95" s="347"/>
      <c r="VID95" s="347"/>
      <c r="VIE95" s="347"/>
      <c r="VIF95" s="347"/>
      <c r="VIG95" s="347"/>
      <c r="VIH95" s="347"/>
      <c r="VII95" s="347"/>
      <c r="VIJ95" s="347"/>
      <c r="VIK95" s="347"/>
      <c r="VIL95" s="347"/>
      <c r="VIM95" s="347"/>
      <c r="VIN95" s="347"/>
      <c r="VIO95" s="347"/>
      <c r="VIP95" s="347"/>
      <c r="VIQ95" s="347"/>
      <c r="VIR95" s="347"/>
      <c r="VIS95" s="347"/>
      <c r="VIT95" s="347"/>
      <c r="VIU95" s="347"/>
      <c r="VIV95" s="347"/>
      <c r="VIW95" s="347"/>
      <c r="VIX95" s="347"/>
      <c r="VIY95" s="347"/>
      <c r="VIZ95" s="347"/>
      <c r="VJA95" s="347"/>
      <c r="VJB95" s="347"/>
      <c r="VJC95" s="347"/>
      <c r="VJD95" s="347"/>
      <c r="VJE95" s="347"/>
      <c r="VJF95" s="347"/>
      <c r="VJG95" s="347"/>
      <c r="VJH95" s="347"/>
      <c r="VJI95" s="347"/>
      <c r="VJJ95" s="347"/>
      <c r="VJK95" s="347"/>
      <c r="VJL95" s="347"/>
      <c r="VJM95" s="347"/>
      <c r="VJN95" s="347"/>
      <c r="VJO95" s="347"/>
      <c r="VJP95" s="347"/>
      <c r="VJQ95" s="347"/>
      <c r="VJR95" s="347"/>
      <c r="VJS95" s="347"/>
      <c r="VJT95" s="347"/>
      <c r="VJU95" s="347"/>
      <c r="VJV95" s="347"/>
      <c r="VJW95" s="347"/>
      <c r="VJX95" s="347"/>
      <c r="VJY95" s="347"/>
      <c r="VJZ95" s="347"/>
      <c r="VKA95" s="347"/>
      <c r="VKB95" s="347"/>
      <c r="VKC95" s="347"/>
      <c r="VKD95" s="347"/>
      <c r="VKE95" s="347"/>
      <c r="VKF95" s="347"/>
      <c r="VKG95" s="347"/>
      <c r="VKH95" s="347"/>
      <c r="VKI95" s="347"/>
      <c r="VKJ95" s="347"/>
      <c r="VKK95" s="347"/>
      <c r="VKL95" s="347"/>
      <c r="VKM95" s="347"/>
      <c r="VKN95" s="347"/>
      <c r="VKO95" s="347"/>
      <c r="VKP95" s="347"/>
      <c r="VKQ95" s="347"/>
      <c r="VKR95" s="347"/>
      <c r="VKS95" s="347"/>
      <c r="VKT95" s="347"/>
      <c r="VKU95" s="347"/>
      <c r="VKV95" s="347"/>
      <c r="VKW95" s="347"/>
      <c r="VKX95" s="347"/>
      <c r="VKY95" s="347"/>
      <c r="VKZ95" s="347"/>
      <c r="VLA95" s="347"/>
      <c r="VLB95" s="347"/>
      <c r="VLC95" s="347"/>
      <c r="VLD95" s="347"/>
      <c r="VLE95" s="347"/>
      <c r="VLF95" s="347"/>
      <c r="VLG95" s="347"/>
      <c r="VLH95" s="347"/>
      <c r="VLI95" s="347"/>
      <c r="VLJ95" s="347"/>
      <c r="VLK95" s="347"/>
      <c r="VLL95" s="347"/>
      <c r="VLM95" s="347"/>
      <c r="VLN95" s="347"/>
      <c r="VLO95" s="347"/>
      <c r="VLP95" s="347"/>
      <c r="VLQ95" s="347"/>
      <c r="VLR95" s="347"/>
      <c r="VLS95" s="347"/>
      <c r="VLT95" s="347"/>
      <c r="VLU95" s="347"/>
      <c r="VLV95" s="347"/>
      <c r="VLW95" s="347"/>
      <c r="VLX95" s="347"/>
      <c r="VLY95" s="347"/>
      <c r="VLZ95" s="347"/>
      <c r="VMA95" s="347"/>
      <c r="VMB95" s="347"/>
      <c r="VMC95" s="347"/>
      <c r="VMD95" s="347"/>
      <c r="VME95" s="347"/>
      <c r="VMF95" s="347"/>
      <c r="VMG95" s="347"/>
      <c r="VMH95" s="347"/>
      <c r="VMI95" s="347"/>
      <c r="VMJ95" s="347"/>
      <c r="VMK95" s="347"/>
      <c r="VML95" s="347"/>
      <c r="VMM95" s="347"/>
      <c r="VMN95" s="347"/>
      <c r="VMO95" s="347"/>
      <c r="VMP95" s="347"/>
      <c r="VMQ95" s="347"/>
      <c r="VMR95" s="347"/>
      <c r="VMS95" s="347"/>
      <c r="VMT95" s="347"/>
      <c r="VMU95" s="347"/>
      <c r="VMV95" s="347"/>
      <c r="VMW95" s="347"/>
      <c r="VMX95" s="347"/>
      <c r="VMY95" s="347"/>
      <c r="VMZ95" s="347"/>
      <c r="VNA95" s="347"/>
      <c r="VNB95" s="347"/>
      <c r="VNC95" s="347"/>
      <c r="VND95" s="347"/>
      <c r="VNE95" s="347"/>
      <c r="VNF95" s="347"/>
      <c r="VNG95" s="347"/>
      <c r="VNH95" s="347"/>
      <c r="VNI95" s="347"/>
      <c r="VNJ95" s="347"/>
      <c r="VNK95" s="347"/>
      <c r="VNL95" s="347"/>
      <c r="VNM95" s="347"/>
      <c r="VNN95" s="347"/>
      <c r="VNO95" s="347"/>
      <c r="VNP95" s="347"/>
      <c r="VNQ95" s="347"/>
      <c r="VNR95" s="347"/>
      <c r="VNS95" s="347"/>
      <c r="VNT95" s="347"/>
      <c r="VNU95" s="347"/>
      <c r="VNV95" s="347"/>
      <c r="VNW95" s="347"/>
      <c r="VNX95" s="347"/>
      <c r="VNY95" s="347"/>
      <c r="VNZ95" s="347"/>
      <c r="VOA95" s="347"/>
      <c r="VOB95" s="347"/>
      <c r="VOC95" s="347"/>
      <c r="VOD95" s="347"/>
      <c r="VOE95" s="347"/>
      <c r="VOF95" s="347"/>
      <c r="VOG95" s="347"/>
      <c r="VOH95" s="347"/>
      <c r="VOI95" s="347"/>
      <c r="VOJ95" s="347"/>
      <c r="VOK95" s="347"/>
      <c r="VOL95" s="347"/>
      <c r="VOM95" s="347"/>
      <c r="VON95" s="347"/>
      <c r="VOO95" s="347"/>
      <c r="VOP95" s="347"/>
      <c r="VOQ95" s="347"/>
      <c r="VOR95" s="347"/>
      <c r="VOS95" s="347"/>
      <c r="VOT95" s="347"/>
      <c r="VOU95" s="347"/>
      <c r="VOV95" s="347"/>
      <c r="VOW95" s="347"/>
      <c r="VOX95" s="347"/>
      <c r="VOY95" s="347"/>
      <c r="VOZ95" s="347"/>
      <c r="VPA95" s="347"/>
      <c r="VPB95" s="347"/>
      <c r="VPC95" s="347"/>
      <c r="VPD95" s="347"/>
      <c r="VPE95" s="347"/>
      <c r="VPF95" s="347"/>
      <c r="VPG95" s="347"/>
      <c r="VPH95" s="347"/>
      <c r="VPI95" s="347"/>
      <c r="VPJ95" s="347"/>
      <c r="VPK95" s="347"/>
      <c r="VPL95" s="347"/>
      <c r="VPM95" s="347"/>
      <c r="VPN95" s="347"/>
      <c r="VPO95" s="347"/>
      <c r="VPP95" s="347"/>
      <c r="VPQ95" s="347"/>
      <c r="VPR95" s="347"/>
      <c r="VPS95" s="347"/>
      <c r="VPT95" s="347"/>
      <c r="VPU95" s="347"/>
      <c r="VPV95" s="347"/>
      <c r="VPW95" s="347"/>
      <c r="VPX95" s="347"/>
      <c r="VPY95" s="347"/>
      <c r="VPZ95" s="347"/>
      <c r="VQA95" s="347"/>
      <c r="VQB95" s="347"/>
      <c r="VQC95" s="347"/>
      <c r="VQD95" s="347"/>
      <c r="VQE95" s="347"/>
      <c r="VQF95" s="347"/>
      <c r="VQG95" s="347"/>
      <c r="VQH95" s="347"/>
      <c r="VQI95" s="347"/>
      <c r="VQJ95" s="347"/>
      <c r="VQK95" s="347"/>
      <c r="VQL95" s="347"/>
      <c r="VQM95" s="347"/>
      <c r="VQN95" s="347"/>
      <c r="VQO95" s="347"/>
      <c r="VQP95" s="347"/>
      <c r="VQQ95" s="347"/>
      <c r="VQR95" s="347"/>
      <c r="VQS95" s="347"/>
      <c r="VQT95" s="347"/>
      <c r="VQU95" s="347"/>
      <c r="VQV95" s="347"/>
      <c r="VQW95" s="347"/>
      <c r="VQX95" s="347"/>
      <c r="VQY95" s="347"/>
      <c r="VQZ95" s="347"/>
      <c r="VRA95" s="347"/>
      <c r="VRB95" s="347"/>
      <c r="VRC95" s="347"/>
      <c r="VRD95" s="347"/>
      <c r="VRE95" s="347"/>
      <c r="VRF95" s="347"/>
      <c r="VRG95" s="347"/>
      <c r="VRH95" s="347"/>
      <c r="VRI95" s="347"/>
      <c r="VRJ95" s="347"/>
      <c r="VRK95" s="347"/>
      <c r="VRL95" s="347"/>
      <c r="VRM95" s="347"/>
      <c r="VRN95" s="347"/>
      <c r="VRO95" s="347"/>
      <c r="VRP95" s="347"/>
      <c r="VRQ95" s="347"/>
      <c r="VRR95" s="347"/>
      <c r="VRS95" s="347"/>
      <c r="VRT95" s="347"/>
      <c r="VRU95" s="347"/>
      <c r="VRV95" s="347"/>
      <c r="VRW95" s="347"/>
      <c r="VRX95" s="347"/>
      <c r="VRY95" s="347"/>
      <c r="VRZ95" s="347"/>
      <c r="VSA95" s="347"/>
      <c r="VSB95" s="347"/>
      <c r="VSC95" s="347"/>
      <c r="VSD95" s="347"/>
      <c r="VSE95" s="347"/>
      <c r="VSF95" s="347"/>
      <c r="VSG95" s="347"/>
      <c r="VSH95" s="347"/>
      <c r="VSI95" s="347"/>
      <c r="VSJ95" s="347"/>
      <c r="VSK95" s="347"/>
      <c r="VSL95" s="347"/>
      <c r="VSM95" s="347"/>
      <c r="VSN95" s="347"/>
      <c r="VSO95" s="347"/>
      <c r="VSP95" s="347"/>
      <c r="VSQ95" s="347"/>
      <c r="VSR95" s="347"/>
      <c r="VSS95" s="347"/>
      <c r="VST95" s="347"/>
      <c r="VSU95" s="347"/>
      <c r="VSV95" s="347"/>
      <c r="VSW95" s="347"/>
      <c r="VSX95" s="347"/>
      <c r="VSY95" s="347"/>
      <c r="VSZ95" s="347"/>
      <c r="VTA95" s="347"/>
      <c r="VTB95" s="347"/>
      <c r="VTC95" s="347"/>
      <c r="VTD95" s="347"/>
      <c r="VTE95" s="347"/>
      <c r="VTF95" s="347"/>
      <c r="VTG95" s="347"/>
      <c r="VTH95" s="347"/>
      <c r="VTI95" s="347"/>
      <c r="VTJ95" s="347"/>
      <c r="VTK95" s="347"/>
      <c r="VTL95" s="347"/>
      <c r="VTM95" s="347"/>
      <c r="VTN95" s="347"/>
      <c r="VTO95" s="347"/>
      <c r="VTP95" s="347"/>
      <c r="VTQ95" s="347"/>
      <c r="VTR95" s="347"/>
      <c r="VTS95" s="347"/>
      <c r="VTT95" s="347"/>
      <c r="VTU95" s="347"/>
      <c r="VTV95" s="347"/>
      <c r="VTW95" s="347"/>
      <c r="VTX95" s="347"/>
      <c r="VTY95" s="347"/>
      <c r="VTZ95" s="347"/>
      <c r="VUA95" s="347"/>
      <c r="VUB95" s="347"/>
      <c r="VUC95" s="347"/>
      <c r="VUD95" s="347"/>
      <c r="VUE95" s="347"/>
      <c r="VUF95" s="347"/>
      <c r="VUG95" s="347"/>
      <c r="VUH95" s="347"/>
      <c r="VUI95" s="347"/>
      <c r="VUJ95" s="347"/>
      <c r="VUK95" s="347"/>
      <c r="VUL95" s="347"/>
      <c r="VUM95" s="347"/>
      <c r="VUN95" s="347"/>
      <c r="VUO95" s="347"/>
      <c r="VUP95" s="347"/>
      <c r="VUQ95" s="347"/>
      <c r="VUR95" s="347"/>
      <c r="VUS95" s="347"/>
      <c r="VUT95" s="347"/>
      <c r="VUU95" s="347"/>
      <c r="VUV95" s="347"/>
      <c r="VUW95" s="347"/>
      <c r="VUX95" s="347"/>
      <c r="VUY95" s="347"/>
      <c r="VUZ95" s="347"/>
      <c r="VVA95" s="347"/>
      <c r="VVB95" s="347"/>
      <c r="VVC95" s="347"/>
      <c r="VVD95" s="347"/>
      <c r="VVE95" s="347"/>
      <c r="VVF95" s="347"/>
      <c r="VVG95" s="347"/>
      <c r="VVH95" s="347"/>
      <c r="VVI95" s="347"/>
      <c r="VVJ95" s="347"/>
      <c r="VVK95" s="347"/>
      <c r="VVL95" s="347"/>
      <c r="VVM95" s="347"/>
      <c r="VVN95" s="347"/>
      <c r="VVO95" s="347"/>
      <c r="VVP95" s="347"/>
      <c r="VVQ95" s="347"/>
    </row>
    <row r="96" spans="2:103 15069:15461" s="3" customFormat="1" ht="13.8">
      <c r="B96" s="121"/>
      <c r="C96" s="72" t="s">
        <v>52</v>
      </c>
      <c r="D96" s="194"/>
      <c r="E96" s="8" t="s">
        <v>16</v>
      </c>
      <c r="F96" s="57"/>
      <c r="G96" s="57">
        <v>42573.01</v>
      </c>
      <c r="H96" s="57">
        <v>42381.15</v>
      </c>
      <c r="I96" s="10">
        <v>42413.73</v>
      </c>
      <c r="J96" s="57">
        <v>43932.32</v>
      </c>
      <c r="K96" s="57">
        <v>40817.31</v>
      </c>
      <c r="L96" s="57">
        <v>28272.2</v>
      </c>
      <c r="M96" s="57"/>
      <c r="N96" s="57"/>
      <c r="O96" s="57"/>
      <c r="P96" s="12"/>
      <c r="Q96" s="57"/>
      <c r="R96" s="57"/>
      <c r="S96" s="57"/>
      <c r="T96" s="57"/>
      <c r="U96" s="57"/>
      <c r="V96" s="57">
        <v>82090.740000000005</v>
      </c>
      <c r="W96" s="10">
        <v>56511.82</v>
      </c>
      <c r="X96" s="7">
        <v>29153.67</v>
      </c>
      <c r="Y96" s="7">
        <v>65115.34</v>
      </c>
      <c r="Z96" s="7">
        <v>51276.59</v>
      </c>
      <c r="AA96" s="7">
        <v>51310</v>
      </c>
      <c r="AB96" s="7">
        <v>42622.29</v>
      </c>
      <c r="AC96" s="7">
        <f>1519.58+52451.26</f>
        <v>53970.840000000004</v>
      </c>
      <c r="AD96" s="10">
        <v>77175.37</v>
      </c>
      <c r="AE96" s="57"/>
      <c r="AF96" s="7"/>
      <c r="AG96" s="7"/>
      <c r="AH96" s="7"/>
      <c r="AI96" s="51"/>
      <c r="AJ96" s="38"/>
      <c r="AK96" s="198"/>
      <c r="AL96" s="193">
        <f>SUM(F96:AJ96)</f>
        <v>749616.38</v>
      </c>
      <c r="CG96" s="16"/>
      <c r="CH96" s="304"/>
      <c r="CI96" s="304"/>
      <c r="CJ96" s="304"/>
      <c r="CK96" s="16"/>
      <c r="CL96" s="304"/>
      <c r="CM96" s="304"/>
      <c r="CN96" s="304"/>
      <c r="CO96" s="304"/>
      <c r="CP96" s="304"/>
      <c r="CY96" s="304"/>
    </row>
    <row r="97" spans="2:103 15069:15461" s="3" customFormat="1">
      <c r="B97" s="121"/>
      <c r="C97" s="73" t="s">
        <v>44</v>
      </c>
      <c r="D97" s="117"/>
      <c r="E97" s="8" t="s">
        <v>16</v>
      </c>
      <c r="F97" s="10">
        <f t="shared" ref="F97:AF97" si="49">SUM(F101:F102)*10.86</f>
        <v>0</v>
      </c>
      <c r="G97" s="10">
        <f t="shared" si="49"/>
        <v>42571.199999999997</v>
      </c>
      <c r="H97" s="10">
        <f t="shared" si="49"/>
        <v>42397.439999999995</v>
      </c>
      <c r="I97" s="10">
        <f t="shared" si="49"/>
        <v>42440.88</v>
      </c>
      <c r="J97" s="10">
        <f t="shared" si="49"/>
        <v>44167.619999999995</v>
      </c>
      <c r="K97" s="10">
        <f t="shared" si="49"/>
        <v>40844.46</v>
      </c>
      <c r="L97" s="10">
        <f t="shared" si="49"/>
        <v>28301.16</v>
      </c>
      <c r="M97" s="10">
        <f t="shared" si="49"/>
        <v>0</v>
      </c>
      <c r="N97" s="10">
        <f t="shared" si="49"/>
        <v>0</v>
      </c>
      <c r="O97" s="10">
        <f t="shared" si="49"/>
        <v>0</v>
      </c>
      <c r="P97" s="10">
        <f t="shared" si="49"/>
        <v>0</v>
      </c>
      <c r="Q97" s="10">
        <f t="shared" si="49"/>
        <v>0</v>
      </c>
      <c r="R97" s="10">
        <f t="shared" si="49"/>
        <v>0</v>
      </c>
      <c r="S97" s="10">
        <f t="shared" si="49"/>
        <v>0</v>
      </c>
      <c r="T97" s="10">
        <f t="shared" si="49"/>
        <v>0</v>
      </c>
      <c r="U97" s="10">
        <f t="shared" si="49"/>
        <v>0</v>
      </c>
      <c r="V97" s="10">
        <f t="shared" si="49"/>
        <v>82177.62</v>
      </c>
      <c r="W97" s="10">
        <f>SUM(W101:W102)*10.86</f>
        <v>56558.879999999997</v>
      </c>
      <c r="X97" s="10">
        <f t="shared" si="49"/>
        <v>29224.26</v>
      </c>
      <c r="Y97" s="10">
        <f t="shared" si="49"/>
        <v>65322.899999999994</v>
      </c>
      <c r="Z97" s="10">
        <f t="shared" si="49"/>
        <v>51443.82</v>
      </c>
      <c r="AA97" s="10">
        <f t="shared" si="49"/>
        <v>51476.399999999994</v>
      </c>
      <c r="AB97" s="10">
        <f t="shared" si="49"/>
        <v>42777.54</v>
      </c>
      <c r="AC97" s="10">
        <f t="shared" si="49"/>
        <v>54147.96</v>
      </c>
      <c r="AD97" s="10">
        <f t="shared" si="49"/>
        <v>77431.8</v>
      </c>
      <c r="AE97" s="10">
        <f t="shared" si="49"/>
        <v>0</v>
      </c>
      <c r="AF97" s="10">
        <f t="shared" si="49"/>
        <v>0</v>
      </c>
      <c r="AG97" s="10">
        <f>SUM(AG101:AG102)*10.86</f>
        <v>0</v>
      </c>
      <c r="AH97" s="10">
        <f>SUM(AH101:AH102)*10.86</f>
        <v>0</v>
      </c>
      <c r="AI97" s="10">
        <f>SUM(AI101:AI102)*10.86</f>
        <v>0</v>
      </c>
      <c r="AJ97" s="20">
        <f>SUM(AJ101:AJ102)*10.86</f>
        <v>0</v>
      </c>
      <c r="AL97" s="114">
        <f>SUM(F97:AJ97)</f>
        <v>751283.94000000006</v>
      </c>
      <c r="CG97" s="316"/>
      <c r="CH97" s="310"/>
      <c r="CI97" s="310"/>
      <c r="CJ97" s="310"/>
      <c r="CK97" s="310"/>
      <c r="CL97" s="310"/>
      <c r="CM97" s="304"/>
      <c r="CN97" s="304"/>
      <c r="CO97" s="304"/>
      <c r="CP97" s="304"/>
      <c r="CY97" s="304"/>
    </row>
    <row r="98" spans="2:103 15069:15461" s="3" customFormat="1">
      <c r="B98" s="121"/>
      <c r="C98" s="73" t="s">
        <v>43</v>
      </c>
      <c r="D98" s="117"/>
      <c r="E98" s="8" t="s">
        <v>16</v>
      </c>
      <c r="F98" s="10">
        <f t="shared" ref="F98:AF98" si="50">F96-F97</f>
        <v>0</v>
      </c>
      <c r="G98" s="10">
        <f t="shared" si="50"/>
        <v>1.8100000000049477</v>
      </c>
      <c r="H98" s="10">
        <f t="shared" si="50"/>
        <v>-16.289999999993597</v>
      </c>
      <c r="I98" s="10">
        <f t="shared" si="50"/>
        <v>-27.149999999994179</v>
      </c>
      <c r="J98" s="10">
        <f t="shared" si="50"/>
        <v>-235.29999999999563</v>
      </c>
      <c r="K98" s="10">
        <f t="shared" si="50"/>
        <v>-27.150000000001455</v>
      </c>
      <c r="L98" s="10">
        <f t="shared" si="50"/>
        <v>-28.959999999999127</v>
      </c>
      <c r="M98" s="10">
        <f t="shared" si="50"/>
        <v>0</v>
      </c>
      <c r="N98" s="10">
        <f t="shared" si="50"/>
        <v>0</v>
      </c>
      <c r="O98" s="10">
        <f t="shared" si="50"/>
        <v>0</v>
      </c>
      <c r="P98" s="10">
        <f t="shared" si="50"/>
        <v>0</v>
      </c>
      <c r="Q98" s="10">
        <f t="shared" si="50"/>
        <v>0</v>
      </c>
      <c r="R98" s="10">
        <f t="shared" si="50"/>
        <v>0</v>
      </c>
      <c r="S98" s="10">
        <f t="shared" si="50"/>
        <v>0</v>
      </c>
      <c r="T98" s="10">
        <f t="shared" si="50"/>
        <v>0</v>
      </c>
      <c r="U98" s="10">
        <f t="shared" si="50"/>
        <v>0</v>
      </c>
      <c r="V98" s="10">
        <f t="shared" si="50"/>
        <v>-86.879999999990105</v>
      </c>
      <c r="W98" s="10">
        <f t="shared" si="50"/>
        <v>-47.059999999997672</v>
      </c>
      <c r="X98" s="10">
        <f t="shared" si="50"/>
        <v>-70.590000000000146</v>
      </c>
      <c r="Y98" s="10">
        <f t="shared" si="50"/>
        <v>-207.55999999999767</v>
      </c>
      <c r="Z98" s="10">
        <f t="shared" si="50"/>
        <v>-167.2300000000032</v>
      </c>
      <c r="AA98" s="10">
        <f t="shared" si="50"/>
        <v>-166.39999999999418</v>
      </c>
      <c r="AB98" s="10">
        <f t="shared" si="50"/>
        <v>-155.25</v>
      </c>
      <c r="AC98" s="10">
        <f t="shared" si="50"/>
        <v>-177.11999999999534</v>
      </c>
      <c r="AD98" s="10">
        <f t="shared" si="50"/>
        <v>-256.43000000000757</v>
      </c>
      <c r="AE98" s="10">
        <f t="shared" si="50"/>
        <v>0</v>
      </c>
      <c r="AF98" s="10">
        <f t="shared" si="50"/>
        <v>0</v>
      </c>
      <c r="AG98" s="10">
        <f>AG96-AG97</f>
        <v>0</v>
      </c>
      <c r="AH98" s="10">
        <f>AH96-AH97</f>
        <v>0</v>
      </c>
      <c r="AI98" s="10">
        <f>AI96-AI97</f>
        <v>0</v>
      </c>
      <c r="AJ98" s="20">
        <f>AJ96-AJ97</f>
        <v>0</v>
      </c>
      <c r="AL98" s="114">
        <f>SUM(F98:AJ98)</f>
        <v>-1667.5599999999649</v>
      </c>
      <c r="CG98" s="304"/>
      <c r="CH98" s="304"/>
      <c r="CI98" s="304"/>
      <c r="CJ98" s="304"/>
      <c r="CK98" s="304"/>
      <c r="CL98" s="304"/>
      <c r="CM98" s="304"/>
      <c r="CN98" s="304"/>
      <c r="CO98" s="304"/>
      <c r="CP98" s="304"/>
      <c r="CY98" s="304"/>
    </row>
    <row r="99" spans="2:103 15069:15461" s="3" customFormat="1">
      <c r="B99" s="121"/>
      <c r="C99" s="73" t="s">
        <v>56</v>
      </c>
      <c r="D99" s="117"/>
      <c r="E99" s="5" t="s">
        <v>16</v>
      </c>
      <c r="F99" s="10">
        <v>0</v>
      </c>
      <c r="G99" s="10"/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/>
      <c r="T99" s="10">
        <v>0</v>
      </c>
      <c r="U99" s="10">
        <v>0</v>
      </c>
      <c r="V99" s="10"/>
      <c r="W99" s="10">
        <v>0</v>
      </c>
      <c r="X99" s="10">
        <v>0</v>
      </c>
      <c r="Y99" s="10"/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/>
      <c r="AF99" s="10">
        <v>0</v>
      </c>
      <c r="AG99" s="10">
        <v>0</v>
      </c>
      <c r="AH99" s="10">
        <v>0</v>
      </c>
      <c r="AI99" s="10">
        <v>0</v>
      </c>
      <c r="AJ99" s="20">
        <v>0</v>
      </c>
      <c r="AL99" s="114">
        <f>SUM(F99:AJ99)</f>
        <v>0</v>
      </c>
      <c r="CY99" s="304"/>
    </row>
    <row r="100" spans="2:103 15069:15461" s="3" customFormat="1">
      <c r="B100" s="121"/>
      <c r="C100" s="73" t="s">
        <v>33</v>
      </c>
      <c r="D100" s="117"/>
      <c r="E100" s="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21"/>
      <c r="AL100" s="120" t="s">
        <v>33</v>
      </c>
      <c r="CG100" s="304"/>
      <c r="CH100" s="304"/>
      <c r="CI100" s="304"/>
      <c r="CJ100" s="304"/>
      <c r="CK100" s="304"/>
      <c r="CL100" s="304"/>
      <c r="CM100" s="304"/>
      <c r="CN100" s="304"/>
      <c r="CO100" s="304"/>
      <c r="CP100" s="304"/>
      <c r="CY100" s="304"/>
    </row>
    <row r="101" spans="2:103 15069:15461" s="66" customFormat="1" ht="13.8">
      <c r="B101" s="143"/>
      <c r="C101" s="74" t="s">
        <v>51</v>
      </c>
      <c r="D101" s="101"/>
      <c r="E101" s="17" t="s">
        <v>36</v>
      </c>
      <c r="F101" s="7"/>
      <c r="G101" s="7">
        <v>3920</v>
      </c>
      <c r="H101" s="7">
        <v>3904</v>
      </c>
      <c r="I101" s="7">
        <v>3908</v>
      </c>
      <c r="J101" s="7">
        <v>4067</v>
      </c>
      <c r="K101" s="7">
        <v>3761</v>
      </c>
      <c r="L101" s="7">
        <v>2606</v>
      </c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>
        <v>140</v>
      </c>
      <c r="AD101" s="7"/>
      <c r="AE101" s="7"/>
      <c r="AF101" s="7"/>
      <c r="AG101" s="7">
        <v>0</v>
      </c>
      <c r="AH101" s="7">
        <v>0</v>
      </c>
      <c r="AI101" s="7">
        <v>0</v>
      </c>
      <c r="AJ101" s="38"/>
      <c r="AL101" s="207">
        <f>SUM(F101:AJ101)</f>
        <v>22306</v>
      </c>
      <c r="CG101" s="314"/>
      <c r="CH101" s="314"/>
      <c r="CI101" s="314"/>
      <c r="CJ101" s="314"/>
      <c r="CK101" s="314"/>
      <c r="CL101" s="314"/>
      <c r="CM101" s="314"/>
      <c r="CN101" s="314"/>
      <c r="CO101" s="314"/>
      <c r="CP101" s="314"/>
      <c r="CY101" s="314"/>
    </row>
    <row r="102" spans="2:103 15069:15461" s="66" customFormat="1" ht="13.8">
      <c r="B102" s="143"/>
      <c r="C102" s="74" t="s">
        <v>50</v>
      </c>
      <c r="D102" s="101"/>
      <c r="E102" s="17" t="s">
        <v>36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>
        <v>7567</v>
      </c>
      <c r="W102" s="7">
        <v>5208</v>
      </c>
      <c r="X102" s="7">
        <v>2691</v>
      </c>
      <c r="Y102" s="7">
        <v>6015</v>
      </c>
      <c r="Z102" s="7">
        <v>4737</v>
      </c>
      <c r="AA102" s="7">
        <v>4740</v>
      </c>
      <c r="AB102" s="7">
        <v>3939</v>
      </c>
      <c r="AC102" s="7">
        <v>4846</v>
      </c>
      <c r="AD102" s="1">
        <v>7130</v>
      </c>
      <c r="AE102" s="7"/>
      <c r="AF102" s="7"/>
      <c r="AG102" s="7">
        <v>0</v>
      </c>
      <c r="AH102" s="7">
        <v>0</v>
      </c>
      <c r="AI102" s="7">
        <v>0</v>
      </c>
      <c r="AJ102" s="38">
        <v>0</v>
      </c>
      <c r="AL102" s="207">
        <f>SUM(F102:AJ102)</f>
        <v>46873</v>
      </c>
      <c r="CG102" s="314"/>
      <c r="CH102" s="314"/>
      <c r="CI102" s="314"/>
      <c r="CJ102" s="314"/>
      <c r="CK102" s="314"/>
      <c r="CL102" s="314"/>
      <c r="CM102" s="314"/>
      <c r="CN102" s="314"/>
      <c r="CO102" s="314"/>
      <c r="CP102" s="314"/>
      <c r="CY102" s="314"/>
    </row>
    <row r="103" spans="2:103 15069:15461" s="3" customFormat="1">
      <c r="B103" s="121"/>
      <c r="C103" s="73" t="s">
        <v>32</v>
      </c>
      <c r="D103" s="117"/>
      <c r="E103" s="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21"/>
      <c r="AL103" s="120" t="s">
        <v>32</v>
      </c>
      <c r="CG103" s="304"/>
      <c r="CH103" s="304"/>
      <c r="CI103" s="304"/>
      <c r="CJ103" s="304"/>
      <c r="CK103" s="304"/>
      <c r="CL103" s="304"/>
      <c r="CM103" s="304"/>
      <c r="CN103" s="304"/>
      <c r="CO103" s="304"/>
      <c r="CP103" s="304"/>
      <c r="CY103" s="304"/>
    </row>
    <row r="104" spans="2:103 15069:15461" s="3" customFormat="1" ht="13.8">
      <c r="B104" s="121"/>
      <c r="C104" s="74" t="s">
        <v>51</v>
      </c>
      <c r="D104" s="117"/>
      <c r="E104" s="8" t="s">
        <v>32</v>
      </c>
      <c r="F104" s="1">
        <f t="shared" ref="F104:AF104" si="51">F101*12</f>
        <v>0</v>
      </c>
      <c r="G104" s="1">
        <f t="shared" si="51"/>
        <v>47040</v>
      </c>
      <c r="H104" s="1">
        <f t="shared" si="51"/>
        <v>46848</v>
      </c>
      <c r="I104" s="1">
        <f t="shared" si="51"/>
        <v>46896</v>
      </c>
      <c r="J104" s="1">
        <f t="shared" si="51"/>
        <v>48804</v>
      </c>
      <c r="K104" s="1">
        <f t="shared" si="51"/>
        <v>45132</v>
      </c>
      <c r="L104" s="1">
        <f t="shared" si="51"/>
        <v>31272</v>
      </c>
      <c r="M104" s="1">
        <f t="shared" si="51"/>
        <v>0</v>
      </c>
      <c r="N104" s="1">
        <f t="shared" si="51"/>
        <v>0</v>
      </c>
      <c r="O104" s="1">
        <f t="shared" si="51"/>
        <v>0</v>
      </c>
      <c r="P104" s="1">
        <f t="shared" si="51"/>
        <v>0</v>
      </c>
      <c r="Q104" s="1">
        <f t="shared" si="51"/>
        <v>0</v>
      </c>
      <c r="R104" s="1">
        <f t="shared" si="51"/>
        <v>0</v>
      </c>
      <c r="S104" s="1">
        <f t="shared" si="51"/>
        <v>0</v>
      </c>
      <c r="T104" s="1">
        <f t="shared" si="51"/>
        <v>0</v>
      </c>
      <c r="U104" s="1">
        <f t="shared" si="51"/>
        <v>0</v>
      </c>
      <c r="V104" s="1">
        <f t="shared" si="51"/>
        <v>0</v>
      </c>
      <c r="W104" s="1">
        <f t="shared" si="51"/>
        <v>0</v>
      </c>
      <c r="X104" s="1">
        <f t="shared" si="51"/>
        <v>0</v>
      </c>
      <c r="Y104" s="1">
        <f t="shared" si="51"/>
        <v>0</v>
      </c>
      <c r="Z104" s="1">
        <f t="shared" si="51"/>
        <v>0</v>
      </c>
      <c r="AA104" s="1">
        <f t="shared" si="51"/>
        <v>0</v>
      </c>
      <c r="AB104" s="1">
        <f t="shared" si="51"/>
        <v>0</v>
      </c>
      <c r="AC104" s="1">
        <f t="shared" si="51"/>
        <v>1680</v>
      </c>
      <c r="AD104" s="1">
        <f t="shared" si="51"/>
        <v>0</v>
      </c>
      <c r="AE104" s="1">
        <f t="shared" si="51"/>
        <v>0</v>
      </c>
      <c r="AF104" s="1">
        <f t="shared" si="51"/>
        <v>0</v>
      </c>
      <c r="AG104" s="1">
        <f>AG101*12</f>
        <v>0</v>
      </c>
      <c r="AH104" s="1">
        <f>AH101*12</f>
        <v>0</v>
      </c>
      <c r="AI104" s="1">
        <f>AI101*12</f>
        <v>0</v>
      </c>
      <c r="AJ104" s="21">
        <f>AJ101*12</f>
        <v>0</v>
      </c>
      <c r="AL104" s="103">
        <f>AL101*12</f>
        <v>267672</v>
      </c>
      <c r="CG104" s="304"/>
      <c r="CH104" s="304"/>
      <c r="CI104" s="304"/>
      <c r="CJ104" s="304"/>
      <c r="CK104" s="304"/>
      <c r="CL104" s="304"/>
      <c r="CM104" s="304"/>
      <c r="CN104" s="304"/>
      <c r="CO104" s="304"/>
      <c r="CP104" s="304"/>
      <c r="CY104" s="304"/>
    </row>
    <row r="105" spans="2:103 15069:15461" s="3" customFormat="1" ht="13.8">
      <c r="B105" s="121"/>
      <c r="C105" s="74" t="s">
        <v>50</v>
      </c>
      <c r="D105" s="117"/>
      <c r="E105" s="8" t="s">
        <v>32</v>
      </c>
      <c r="F105" s="1">
        <f t="shared" ref="F105:AF105" si="52">F102*6</f>
        <v>0</v>
      </c>
      <c r="G105" s="1">
        <f t="shared" si="52"/>
        <v>0</v>
      </c>
      <c r="H105" s="1">
        <f t="shared" si="52"/>
        <v>0</v>
      </c>
      <c r="I105" s="1">
        <f t="shared" si="52"/>
        <v>0</v>
      </c>
      <c r="J105" s="1">
        <f t="shared" si="52"/>
        <v>0</v>
      </c>
      <c r="K105" s="1">
        <f t="shared" si="52"/>
        <v>0</v>
      </c>
      <c r="L105" s="1">
        <f t="shared" si="52"/>
        <v>0</v>
      </c>
      <c r="M105" s="1">
        <f t="shared" si="52"/>
        <v>0</v>
      </c>
      <c r="N105" s="1">
        <f t="shared" si="52"/>
        <v>0</v>
      </c>
      <c r="O105" s="1">
        <f t="shared" si="52"/>
        <v>0</v>
      </c>
      <c r="P105" s="1">
        <f t="shared" si="52"/>
        <v>0</v>
      </c>
      <c r="Q105" s="1">
        <f t="shared" si="52"/>
        <v>0</v>
      </c>
      <c r="R105" s="1">
        <f t="shared" si="52"/>
        <v>0</v>
      </c>
      <c r="S105" s="1">
        <f t="shared" si="52"/>
        <v>0</v>
      </c>
      <c r="T105" s="1">
        <f t="shared" si="52"/>
        <v>0</v>
      </c>
      <c r="U105" s="1">
        <f t="shared" si="52"/>
        <v>0</v>
      </c>
      <c r="V105" s="1">
        <f t="shared" si="52"/>
        <v>45402</v>
      </c>
      <c r="W105" s="1">
        <f t="shared" si="52"/>
        <v>31248</v>
      </c>
      <c r="X105" s="1">
        <f t="shared" si="52"/>
        <v>16146</v>
      </c>
      <c r="Y105" s="1">
        <f t="shared" si="52"/>
        <v>36090</v>
      </c>
      <c r="Z105" s="1">
        <f t="shared" si="52"/>
        <v>28422</v>
      </c>
      <c r="AA105" s="1">
        <f t="shared" si="52"/>
        <v>28440</v>
      </c>
      <c r="AB105" s="1">
        <f t="shared" si="52"/>
        <v>23634</v>
      </c>
      <c r="AC105" s="1">
        <f t="shared" si="52"/>
        <v>29076</v>
      </c>
      <c r="AD105" s="1">
        <f t="shared" si="52"/>
        <v>42780</v>
      </c>
      <c r="AE105" s="1">
        <f t="shared" si="52"/>
        <v>0</v>
      </c>
      <c r="AF105" s="1">
        <f t="shared" si="52"/>
        <v>0</v>
      </c>
      <c r="AG105" s="1">
        <f>AG102*6</f>
        <v>0</v>
      </c>
      <c r="AH105" s="1">
        <f>AH102*6</f>
        <v>0</v>
      </c>
      <c r="AI105" s="1">
        <f>AI102*6</f>
        <v>0</v>
      </c>
      <c r="AJ105" s="21">
        <f>AJ102*6</f>
        <v>0</v>
      </c>
      <c r="AL105" s="103">
        <f>AL102*6</f>
        <v>281238</v>
      </c>
      <c r="CG105" s="304"/>
      <c r="CH105" s="304"/>
      <c r="CI105" s="304"/>
      <c r="CJ105" s="304"/>
      <c r="CK105" s="304"/>
      <c r="CL105" s="304"/>
      <c r="CM105" s="304"/>
      <c r="CN105" s="304"/>
      <c r="CO105" s="304"/>
      <c r="CP105" s="304"/>
      <c r="CY105" s="304"/>
    </row>
    <row r="106" spans="2:103 15069:15461" s="3" customFormat="1">
      <c r="B106" s="121"/>
      <c r="C106" s="73" t="s">
        <v>41</v>
      </c>
      <c r="D106" s="117"/>
      <c r="E106" s="8" t="s">
        <v>40</v>
      </c>
      <c r="F106" s="1">
        <v>0</v>
      </c>
      <c r="G106" s="1">
        <f>(G96*45)/1700</f>
        <v>1126.932617647059</v>
      </c>
      <c r="H106" s="1">
        <f t="shared" ref="H106:Y106" si="53">(H96*45)/1700</f>
        <v>1121.8539705882354</v>
      </c>
      <c r="I106" s="1">
        <f t="shared" si="53"/>
        <v>1122.7163823529413</v>
      </c>
      <c r="J106" s="1">
        <f t="shared" si="53"/>
        <v>1162.9143529411765</v>
      </c>
      <c r="K106" s="1">
        <f t="shared" si="53"/>
        <v>1080.458205882353</v>
      </c>
      <c r="L106" s="1">
        <f t="shared" si="53"/>
        <v>748.38176470588235</v>
      </c>
      <c r="M106" s="1">
        <f t="shared" si="53"/>
        <v>0</v>
      </c>
      <c r="N106" s="1">
        <f t="shared" si="53"/>
        <v>0</v>
      </c>
      <c r="O106" s="1">
        <f t="shared" si="53"/>
        <v>0</v>
      </c>
      <c r="P106" s="1">
        <f t="shared" si="53"/>
        <v>0</v>
      </c>
      <c r="Q106" s="1">
        <f t="shared" si="53"/>
        <v>0</v>
      </c>
      <c r="R106" s="1">
        <f t="shared" si="53"/>
        <v>0</v>
      </c>
      <c r="S106" s="1">
        <f t="shared" si="53"/>
        <v>0</v>
      </c>
      <c r="T106" s="1">
        <f t="shared" si="53"/>
        <v>0</v>
      </c>
      <c r="U106" s="1">
        <f t="shared" si="53"/>
        <v>0</v>
      </c>
      <c r="V106" s="1">
        <f t="shared" si="53"/>
        <v>2172.9901764705883</v>
      </c>
      <c r="W106" s="1">
        <f t="shared" si="53"/>
        <v>1495.9011176470588</v>
      </c>
      <c r="X106" s="1">
        <f t="shared" si="53"/>
        <v>771.71479411764699</v>
      </c>
      <c r="Y106" s="1">
        <f t="shared" si="53"/>
        <v>1723.6413529411764</v>
      </c>
      <c r="Z106" s="1">
        <f t="shared" ref="Z106:AF106" si="54">Z96*45/1700</f>
        <v>1357.3214999999998</v>
      </c>
      <c r="AA106" s="1">
        <f t="shared" si="54"/>
        <v>1358.2058823529412</v>
      </c>
      <c r="AB106" s="1">
        <f t="shared" si="54"/>
        <v>1128.2370882352941</v>
      </c>
      <c r="AC106" s="1">
        <f t="shared" si="54"/>
        <v>1428.6398823529414</v>
      </c>
      <c r="AD106" s="1">
        <f t="shared" si="54"/>
        <v>2042.8774411764705</v>
      </c>
      <c r="AE106" s="1">
        <f t="shared" si="54"/>
        <v>0</v>
      </c>
      <c r="AF106" s="1">
        <f t="shared" si="54"/>
        <v>0</v>
      </c>
      <c r="AG106" s="1">
        <f>AG96*45/1700</f>
        <v>0</v>
      </c>
      <c r="AH106" s="1">
        <f>AH96*45/1700</f>
        <v>0</v>
      </c>
      <c r="AI106" s="1">
        <f>AI96*45/1700</f>
        <v>0</v>
      </c>
      <c r="AJ106" s="21">
        <f>AJ96*45/1700</f>
        <v>0</v>
      </c>
      <c r="AL106" s="103">
        <f>SUM(F106:AJ106)</f>
        <v>19842.786529411766</v>
      </c>
      <c r="CG106" s="304"/>
      <c r="CH106" s="304"/>
      <c r="CI106" s="304"/>
      <c r="CJ106" s="304"/>
      <c r="CK106" s="304"/>
      <c r="CL106" s="304"/>
      <c r="CM106" s="304"/>
      <c r="CN106" s="304"/>
      <c r="CO106" s="304"/>
      <c r="CP106" s="304"/>
      <c r="CY106" s="304"/>
    </row>
    <row r="107" spans="2:103 15069:15461" s="3" customFormat="1">
      <c r="B107" s="121"/>
      <c r="C107" s="73" t="s">
        <v>39</v>
      </c>
      <c r="D107" s="117"/>
      <c r="E107" s="8" t="s">
        <v>38</v>
      </c>
      <c r="F107" s="1">
        <f t="shared" ref="F107:AF107" si="55">SUM(F101:F102)/500</f>
        <v>0</v>
      </c>
      <c r="G107" s="1">
        <f t="shared" si="55"/>
        <v>7.84</v>
      </c>
      <c r="H107" s="1">
        <f t="shared" si="55"/>
        <v>7.8079999999999998</v>
      </c>
      <c r="I107" s="1">
        <f t="shared" si="55"/>
        <v>7.8159999999999998</v>
      </c>
      <c r="J107" s="1">
        <f t="shared" si="55"/>
        <v>8.1340000000000003</v>
      </c>
      <c r="K107" s="1">
        <f t="shared" si="55"/>
        <v>7.5220000000000002</v>
      </c>
      <c r="L107" s="1">
        <f t="shared" si="55"/>
        <v>5.2119999999999997</v>
      </c>
      <c r="M107" s="1">
        <f t="shared" si="55"/>
        <v>0</v>
      </c>
      <c r="N107" s="1">
        <f t="shared" si="55"/>
        <v>0</v>
      </c>
      <c r="O107" s="1">
        <f t="shared" si="55"/>
        <v>0</v>
      </c>
      <c r="P107" s="1">
        <f t="shared" si="55"/>
        <v>0</v>
      </c>
      <c r="Q107" s="1">
        <f t="shared" si="55"/>
        <v>0</v>
      </c>
      <c r="R107" s="1">
        <f t="shared" si="55"/>
        <v>0</v>
      </c>
      <c r="S107" s="1">
        <f t="shared" si="55"/>
        <v>0</v>
      </c>
      <c r="T107" s="1">
        <f t="shared" si="55"/>
        <v>0</v>
      </c>
      <c r="U107" s="1">
        <f t="shared" si="55"/>
        <v>0</v>
      </c>
      <c r="V107" s="1">
        <f t="shared" si="55"/>
        <v>15.134</v>
      </c>
      <c r="W107" s="1">
        <f t="shared" si="55"/>
        <v>10.416</v>
      </c>
      <c r="X107" s="1">
        <f t="shared" si="55"/>
        <v>5.3819999999999997</v>
      </c>
      <c r="Y107" s="1">
        <f t="shared" si="55"/>
        <v>12.03</v>
      </c>
      <c r="Z107" s="1">
        <f t="shared" si="55"/>
        <v>9.4740000000000002</v>
      </c>
      <c r="AA107" s="1">
        <f t="shared" si="55"/>
        <v>9.48</v>
      </c>
      <c r="AB107" s="1">
        <f t="shared" si="55"/>
        <v>7.8780000000000001</v>
      </c>
      <c r="AC107" s="1">
        <f t="shared" si="55"/>
        <v>9.9719999999999995</v>
      </c>
      <c r="AD107" s="1">
        <f t="shared" si="55"/>
        <v>14.26</v>
      </c>
      <c r="AE107" s="1">
        <f t="shared" si="55"/>
        <v>0</v>
      </c>
      <c r="AF107" s="208">
        <f t="shared" si="55"/>
        <v>0</v>
      </c>
      <c r="AG107" s="208">
        <f>SUM(AG101:AG102)/500</f>
        <v>0</v>
      </c>
      <c r="AH107" s="208">
        <f>SUM(AH101:AH102)/500</f>
        <v>0</v>
      </c>
      <c r="AI107" s="208">
        <f>SUM(AI101:AI102)/500</f>
        <v>0</v>
      </c>
      <c r="AJ107" s="209">
        <f>SUM(AJ101:AJ102)/500</f>
        <v>0</v>
      </c>
      <c r="AL107" s="103">
        <f>SUM(F107:AJ107)</f>
        <v>138.358</v>
      </c>
      <c r="CG107" s="304"/>
      <c r="CH107" s="304"/>
      <c r="CI107" s="304"/>
      <c r="CJ107" s="304"/>
      <c r="CK107" s="304"/>
      <c r="CL107" s="304"/>
      <c r="CM107" s="304"/>
      <c r="CN107" s="304"/>
      <c r="CO107" s="304"/>
      <c r="CP107" s="304"/>
      <c r="CY107" s="304"/>
    </row>
    <row r="108" spans="2:103 15069:15461" s="3" customFormat="1">
      <c r="B108" s="69"/>
      <c r="C108" s="71" t="s">
        <v>37</v>
      </c>
      <c r="D108" s="87"/>
      <c r="E108" s="18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88"/>
      <c r="AD108" s="6"/>
      <c r="AE108" s="6"/>
      <c r="AF108" s="6"/>
      <c r="AG108" s="52"/>
      <c r="AH108" s="52"/>
      <c r="AI108" s="52"/>
      <c r="AJ108" s="60"/>
      <c r="AK108" s="89"/>
      <c r="AL108" s="151" t="s">
        <v>34</v>
      </c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Y108" s="16"/>
      <c r="VGO108" s="347"/>
      <c r="VGP108" s="347"/>
      <c r="VGQ108" s="347"/>
      <c r="VGR108" s="347"/>
      <c r="VGS108" s="347"/>
      <c r="VGT108" s="347"/>
      <c r="VGU108" s="347"/>
      <c r="VGV108" s="347"/>
      <c r="VGW108" s="347"/>
      <c r="VGX108" s="347"/>
      <c r="VGY108" s="347"/>
      <c r="VGZ108" s="347"/>
      <c r="VHA108" s="347"/>
      <c r="VHB108" s="347"/>
      <c r="VHC108" s="347"/>
      <c r="VHD108" s="347"/>
      <c r="VHE108" s="347"/>
      <c r="VHF108" s="347"/>
      <c r="VHG108" s="347"/>
      <c r="VHH108" s="347"/>
      <c r="VHI108" s="347"/>
      <c r="VHJ108" s="347"/>
      <c r="VHK108" s="347"/>
      <c r="VHL108" s="347"/>
      <c r="VHM108" s="347"/>
      <c r="VHN108" s="347"/>
      <c r="VHO108" s="347"/>
      <c r="VHP108" s="347"/>
      <c r="VHQ108" s="347"/>
      <c r="VHR108" s="347"/>
      <c r="VHS108" s="347"/>
      <c r="VHT108" s="347"/>
      <c r="VHU108" s="347"/>
      <c r="VHV108" s="347"/>
      <c r="VHW108" s="347"/>
      <c r="VHX108" s="347"/>
      <c r="VHY108" s="347"/>
      <c r="VHZ108" s="347"/>
      <c r="VIA108" s="347"/>
      <c r="VIB108" s="347"/>
      <c r="VIC108" s="347"/>
      <c r="VID108" s="347"/>
      <c r="VIE108" s="347"/>
      <c r="VIF108" s="347"/>
      <c r="VIG108" s="347"/>
      <c r="VIH108" s="347"/>
      <c r="VII108" s="347"/>
      <c r="VIJ108" s="347"/>
      <c r="VIK108" s="347"/>
      <c r="VIL108" s="347"/>
      <c r="VIM108" s="347"/>
      <c r="VIN108" s="347"/>
      <c r="VIO108" s="347"/>
      <c r="VIP108" s="347"/>
      <c r="VIQ108" s="347"/>
      <c r="VIR108" s="347"/>
      <c r="VIS108" s="347"/>
      <c r="VIT108" s="347"/>
      <c r="VIU108" s="347"/>
      <c r="VIV108" s="347"/>
      <c r="VIW108" s="347"/>
      <c r="VIX108" s="347"/>
      <c r="VIY108" s="347"/>
      <c r="VIZ108" s="347"/>
      <c r="VJA108" s="347"/>
      <c r="VJB108" s="347"/>
      <c r="VJC108" s="347"/>
      <c r="VJD108" s="347"/>
      <c r="VJE108" s="347"/>
      <c r="VJF108" s="347"/>
      <c r="VJG108" s="347"/>
      <c r="VJH108" s="347"/>
      <c r="VJI108" s="347"/>
      <c r="VJJ108" s="347"/>
      <c r="VJK108" s="347"/>
      <c r="VJL108" s="347"/>
      <c r="VJM108" s="347"/>
      <c r="VJN108" s="347"/>
      <c r="VJO108" s="347"/>
      <c r="VJP108" s="347"/>
      <c r="VJQ108" s="347"/>
      <c r="VJR108" s="347"/>
      <c r="VJS108" s="347"/>
      <c r="VJT108" s="347"/>
      <c r="VJU108" s="347"/>
      <c r="VJV108" s="347"/>
      <c r="VJW108" s="347"/>
      <c r="VJX108" s="347"/>
      <c r="VJY108" s="347"/>
      <c r="VJZ108" s="347"/>
      <c r="VKA108" s="347"/>
      <c r="VKB108" s="347"/>
      <c r="VKC108" s="347"/>
      <c r="VKD108" s="347"/>
      <c r="VKE108" s="347"/>
      <c r="VKF108" s="347"/>
      <c r="VKG108" s="347"/>
      <c r="VKH108" s="347"/>
      <c r="VKI108" s="347"/>
      <c r="VKJ108" s="347"/>
      <c r="VKK108" s="347"/>
      <c r="VKL108" s="347"/>
      <c r="VKM108" s="347"/>
      <c r="VKN108" s="347"/>
      <c r="VKO108" s="347"/>
      <c r="VKP108" s="347"/>
      <c r="VKQ108" s="347"/>
      <c r="VKR108" s="347"/>
      <c r="VKS108" s="347"/>
      <c r="VKT108" s="347"/>
      <c r="VKU108" s="347"/>
      <c r="VKV108" s="347"/>
      <c r="VKW108" s="347"/>
      <c r="VKX108" s="347"/>
      <c r="VKY108" s="347"/>
      <c r="VKZ108" s="347"/>
      <c r="VLA108" s="347"/>
      <c r="VLB108" s="347"/>
      <c r="VLC108" s="347"/>
      <c r="VLD108" s="347"/>
      <c r="VLE108" s="347"/>
      <c r="VLF108" s="347"/>
      <c r="VLG108" s="347"/>
      <c r="VLH108" s="347"/>
      <c r="VLI108" s="347"/>
      <c r="VLJ108" s="347"/>
      <c r="VLK108" s="347"/>
      <c r="VLL108" s="347"/>
      <c r="VLM108" s="347"/>
      <c r="VLN108" s="347"/>
      <c r="VLO108" s="347"/>
      <c r="VLP108" s="347"/>
      <c r="VLQ108" s="347"/>
      <c r="VLR108" s="347"/>
      <c r="VLS108" s="347"/>
      <c r="VLT108" s="347"/>
      <c r="VLU108" s="347"/>
      <c r="VLV108" s="347"/>
      <c r="VLW108" s="347"/>
      <c r="VLX108" s="347"/>
      <c r="VLY108" s="347"/>
      <c r="VLZ108" s="347"/>
      <c r="VMA108" s="347"/>
      <c r="VMB108" s="347"/>
      <c r="VMC108" s="347"/>
      <c r="VMD108" s="347"/>
      <c r="VME108" s="347"/>
      <c r="VMF108" s="347"/>
      <c r="VMG108" s="347"/>
      <c r="VMH108" s="347"/>
      <c r="VMI108" s="347"/>
      <c r="VMJ108" s="347"/>
      <c r="VMK108" s="347"/>
      <c r="VML108" s="347"/>
      <c r="VMM108" s="347"/>
      <c r="VMN108" s="347"/>
      <c r="VMO108" s="347"/>
      <c r="VMP108" s="347"/>
      <c r="VMQ108" s="347"/>
      <c r="VMR108" s="347"/>
      <c r="VMS108" s="347"/>
      <c r="VMT108" s="347"/>
      <c r="VMU108" s="347"/>
      <c r="VMV108" s="347"/>
      <c r="VMW108" s="347"/>
      <c r="VMX108" s="347"/>
      <c r="VMY108" s="347"/>
      <c r="VMZ108" s="347"/>
      <c r="VNA108" s="347"/>
      <c r="VNB108" s="347"/>
      <c r="VNC108" s="347"/>
      <c r="VND108" s="347"/>
      <c r="VNE108" s="347"/>
      <c r="VNF108" s="347"/>
      <c r="VNG108" s="347"/>
      <c r="VNH108" s="347"/>
      <c r="VNI108" s="347"/>
      <c r="VNJ108" s="347"/>
      <c r="VNK108" s="347"/>
      <c r="VNL108" s="347"/>
      <c r="VNM108" s="347"/>
      <c r="VNN108" s="347"/>
      <c r="VNO108" s="347"/>
      <c r="VNP108" s="347"/>
      <c r="VNQ108" s="347"/>
      <c r="VNR108" s="347"/>
      <c r="VNS108" s="347"/>
      <c r="VNT108" s="347"/>
      <c r="VNU108" s="347"/>
      <c r="VNV108" s="347"/>
      <c r="VNW108" s="347"/>
      <c r="VNX108" s="347"/>
      <c r="VNY108" s="347"/>
      <c r="VNZ108" s="347"/>
      <c r="VOA108" s="347"/>
      <c r="VOB108" s="347"/>
      <c r="VOC108" s="347"/>
      <c r="VOD108" s="347"/>
      <c r="VOE108" s="347"/>
      <c r="VOF108" s="347"/>
      <c r="VOG108" s="347"/>
      <c r="VOH108" s="347"/>
      <c r="VOI108" s="347"/>
      <c r="VOJ108" s="347"/>
      <c r="VOK108" s="347"/>
      <c r="VOL108" s="347"/>
      <c r="VOM108" s="347"/>
      <c r="VON108" s="347"/>
      <c r="VOO108" s="347"/>
      <c r="VOP108" s="347"/>
      <c r="VOQ108" s="347"/>
      <c r="VOR108" s="347"/>
      <c r="VOS108" s="347"/>
      <c r="VOT108" s="347"/>
      <c r="VOU108" s="347"/>
      <c r="VOV108" s="347"/>
      <c r="VOW108" s="347"/>
      <c r="VOX108" s="347"/>
      <c r="VOY108" s="347"/>
      <c r="VOZ108" s="347"/>
      <c r="VPA108" s="347"/>
      <c r="VPB108" s="347"/>
      <c r="VPC108" s="347"/>
      <c r="VPD108" s="347"/>
      <c r="VPE108" s="347"/>
      <c r="VPF108" s="347"/>
      <c r="VPG108" s="347"/>
      <c r="VPH108" s="347"/>
      <c r="VPI108" s="347"/>
      <c r="VPJ108" s="347"/>
      <c r="VPK108" s="347"/>
      <c r="VPL108" s="347"/>
      <c r="VPM108" s="347"/>
      <c r="VPN108" s="347"/>
      <c r="VPO108" s="347"/>
      <c r="VPP108" s="347"/>
      <c r="VPQ108" s="347"/>
      <c r="VPR108" s="347"/>
      <c r="VPS108" s="347"/>
      <c r="VPT108" s="347"/>
      <c r="VPU108" s="347"/>
      <c r="VPV108" s="347"/>
      <c r="VPW108" s="347"/>
      <c r="VPX108" s="347"/>
      <c r="VPY108" s="347"/>
      <c r="VPZ108" s="347"/>
      <c r="VQA108" s="347"/>
      <c r="VQB108" s="347"/>
      <c r="VQC108" s="347"/>
      <c r="VQD108" s="347"/>
      <c r="VQE108" s="347"/>
      <c r="VQF108" s="347"/>
      <c r="VQG108" s="347"/>
      <c r="VQH108" s="347"/>
      <c r="VQI108" s="347"/>
      <c r="VQJ108" s="347"/>
      <c r="VQK108" s="347"/>
      <c r="VQL108" s="347"/>
      <c r="VQM108" s="347"/>
      <c r="VQN108" s="347"/>
      <c r="VQO108" s="347"/>
      <c r="VQP108" s="347"/>
      <c r="VQQ108" s="347"/>
      <c r="VQR108" s="347"/>
      <c r="VQS108" s="347"/>
      <c r="VQT108" s="347"/>
      <c r="VQU108" s="347"/>
      <c r="VQV108" s="347"/>
      <c r="VQW108" s="347"/>
      <c r="VQX108" s="347"/>
      <c r="VQY108" s="347"/>
      <c r="VQZ108" s="347"/>
      <c r="VRA108" s="347"/>
      <c r="VRB108" s="347"/>
      <c r="VRC108" s="347"/>
      <c r="VRD108" s="347"/>
      <c r="VRE108" s="347"/>
      <c r="VRF108" s="347"/>
      <c r="VRG108" s="347"/>
      <c r="VRH108" s="347"/>
      <c r="VRI108" s="347"/>
      <c r="VRJ108" s="347"/>
      <c r="VRK108" s="347"/>
      <c r="VRL108" s="347"/>
      <c r="VRM108" s="347"/>
      <c r="VRN108" s="347"/>
      <c r="VRO108" s="347"/>
      <c r="VRP108" s="347"/>
      <c r="VRQ108" s="347"/>
      <c r="VRR108" s="347"/>
      <c r="VRS108" s="347"/>
      <c r="VRT108" s="347"/>
      <c r="VRU108" s="347"/>
      <c r="VRV108" s="347"/>
      <c r="VRW108" s="347"/>
      <c r="VRX108" s="347"/>
      <c r="VRY108" s="347"/>
      <c r="VRZ108" s="347"/>
      <c r="VSA108" s="347"/>
      <c r="VSB108" s="347"/>
      <c r="VSC108" s="347"/>
      <c r="VSD108" s="347"/>
      <c r="VSE108" s="347"/>
      <c r="VSF108" s="347"/>
      <c r="VSG108" s="347"/>
      <c r="VSH108" s="347"/>
      <c r="VSI108" s="347"/>
      <c r="VSJ108" s="347"/>
      <c r="VSK108" s="347"/>
      <c r="VSL108" s="347"/>
      <c r="VSM108" s="347"/>
      <c r="VSN108" s="347"/>
      <c r="VSO108" s="347"/>
      <c r="VSP108" s="347"/>
      <c r="VSQ108" s="347"/>
      <c r="VSR108" s="347"/>
      <c r="VSS108" s="347"/>
      <c r="VST108" s="347"/>
      <c r="VSU108" s="347"/>
      <c r="VSV108" s="347"/>
      <c r="VSW108" s="347"/>
      <c r="VSX108" s="347"/>
      <c r="VSY108" s="347"/>
      <c r="VSZ108" s="347"/>
      <c r="VTA108" s="347"/>
      <c r="VTB108" s="347"/>
      <c r="VTC108" s="347"/>
      <c r="VTD108" s="347"/>
      <c r="VTE108" s="347"/>
      <c r="VTF108" s="347"/>
      <c r="VTG108" s="347"/>
      <c r="VTH108" s="347"/>
      <c r="VTI108" s="347"/>
      <c r="VTJ108" s="347"/>
      <c r="VTK108" s="347"/>
      <c r="VTL108" s="347"/>
      <c r="VTM108" s="347"/>
      <c r="VTN108" s="347"/>
      <c r="VTO108" s="347"/>
      <c r="VTP108" s="347"/>
      <c r="VTQ108" s="347"/>
      <c r="VTR108" s="347"/>
      <c r="VTS108" s="347"/>
      <c r="VTT108" s="347"/>
      <c r="VTU108" s="347"/>
      <c r="VTV108" s="347"/>
      <c r="VTW108" s="347"/>
      <c r="VTX108" s="347"/>
      <c r="VTY108" s="347"/>
      <c r="VTZ108" s="347"/>
      <c r="VUA108" s="347"/>
      <c r="VUB108" s="347"/>
      <c r="VUC108" s="347"/>
      <c r="VUD108" s="347"/>
      <c r="VUE108" s="347"/>
      <c r="VUF108" s="347"/>
      <c r="VUG108" s="347"/>
      <c r="VUH108" s="347"/>
      <c r="VUI108" s="347"/>
      <c r="VUJ108" s="347"/>
      <c r="VUK108" s="347"/>
      <c r="VUL108" s="347"/>
      <c r="VUM108" s="347"/>
      <c r="VUN108" s="347"/>
      <c r="VUO108" s="347"/>
      <c r="VUP108" s="347"/>
      <c r="VUQ108" s="347"/>
      <c r="VUR108" s="347"/>
      <c r="VUS108" s="347"/>
      <c r="VUT108" s="347"/>
      <c r="VUU108" s="347"/>
      <c r="VUV108" s="347"/>
      <c r="VUW108" s="347"/>
      <c r="VUX108" s="347"/>
      <c r="VUY108" s="347"/>
      <c r="VUZ108" s="347"/>
      <c r="VVA108" s="347"/>
      <c r="VVB108" s="347"/>
      <c r="VVC108" s="347"/>
      <c r="VVD108" s="347"/>
      <c r="VVE108" s="347"/>
      <c r="VVF108" s="347"/>
      <c r="VVG108" s="347"/>
      <c r="VVH108" s="347"/>
      <c r="VVI108" s="347"/>
      <c r="VVJ108" s="347"/>
      <c r="VVK108" s="347"/>
      <c r="VVL108" s="347"/>
      <c r="VVM108" s="347"/>
      <c r="VVN108" s="347"/>
      <c r="VVO108" s="347"/>
      <c r="VVP108" s="347"/>
      <c r="VVQ108" s="347"/>
    </row>
    <row r="109" spans="2:103 15069:15461" s="3" customFormat="1">
      <c r="B109" s="121"/>
      <c r="C109" s="73" t="s">
        <v>33</v>
      </c>
      <c r="D109" s="117"/>
      <c r="E109" s="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50"/>
      <c r="AH109" s="50"/>
      <c r="AI109" s="50"/>
      <c r="AJ109" s="21"/>
      <c r="AL109" s="120" t="s">
        <v>33</v>
      </c>
      <c r="CY109" s="304"/>
    </row>
    <row r="110" spans="2:103 15069:15461" s="3" customFormat="1" ht="13.8">
      <c r="B110" s="121"/>
      <c r="C110" s="74" t="s">
        <v>51</v>
      </c>
      <c r="D110" s="117"/>
      <c r="E110" s="8" t="s">
        <v>36</v>
      </c>
      <c r="F110" s="7"/>
      <c r="G110" s="7"/>
      <c r="H110" s="7">
        <v>2</v>
      </c>
      <c r="I110" s="1">
        <v>3</v>
      </c>
      <c r="J110" s="7">
        <v>22</v>
      </c>
      <c r="K110" s="7">
        <v>3</v>
      </c>
      <c r="L110" s="7">
        <v>3</v>
      </c>
      <c r="M110" s="7"/>
      <c r="N110" s="7"/>
      <c r="O110" s="7"/>
      <c r="P110" s="1"/>
      <c r="Q110" s="7"/>
      <c r="R110" s="7"/>
      <c r="S110" s="7"/>
      <c r="T110" s="7"/>
      <c r="U110" s="7"/>
      <c r="V110" s="7"/>
      <c r="W110" s="1"/>
      <c r="X110" s="7"/>
      <c r="Y110" s="7"/>
      <c r="Z110" s="7"/>
      <c r="AA110" s="7"/>
      <c r="AB110" s="7"/>
      <c r="AC110" s="7"/>
      <c r="AD110" s="1"/>
      <c r="AE110" s="7"/>
      <c r="AF110" s="7">
        <v>0</v>
      </c>
      <c r="AG110" s="7">
        <v>0</v>
      </c>
      <c r="AH110" s="7">
        <v>0</v>
      </c>
      <c r="AI110" s="7">
        <v>0</v>
      </c>
      <c r="AJ110" s="38">
        <v>0</v>
      </c>
      <c r="AL110" s="103">
        <f>SUM(F110:AJ110)</f>
        <v>33</v>
      </c>
      <c r="CY110" s="304"/>
    </row>
    <row r="111" spans="2:103 15069:15461" s="3" customFormat="1" ht="13.8">
      <c r="B111" s="121"/>
      <c r="C111" s="74" t="s">
        <v>50</v>
      </c>
      <c r="D111" s="117"/>
      <c r="E111" s="8" t="s">
        <v>36</v>
      </c>
      <c r="F111" s="7"/>
      <c r="G111" s="7"/>
      <c r="H111" s="7"/>
      <c r="I111" s="1"/>
      <c r="J111" s="7"/>
      <c r="K111" s="7"/>
      <c r="L111" s="7"/>
      <c r="M111" s="7"/>
      <c r="N111" s="7"/>
      <c r="O111" s="7"/>
      <c r="P111" s="1"/>
      <c r="Q111" s="7"/>
      <c r="R111" s="7"/>
      <c r="S111" s="7"/>
      <c r="T111" s="7"/>
      <c r="U111" s="7"/>
      <c r="V111" s="7">
        <v>9</v>
      </c>
      <c r="W111" s="1">
        <v>5</v>
      </c>
      <c r="X111" s="7">
        <v>7</v>
      </c>
      <c r="Y111" s="7">
        <v>6</v>
      </c>
      <c r="Z111" s="7">
        <v>5</v>
      </c>
      <c r="AA111" s="7">
        <v>5</v>
      </c>
      <c r="AB111" s="7">
        <v>6</v>
      </c>
      <c r="AC111" s="7">
        <v>6</v>
      </c>
      <c r="AD111" s="1">
        <v>8</v>
      </c>
      <c r="AE111" s="7"/>
      <c r="AF111" s="7">
        <v>0</v>
      </c>
      <c r="AG111" s="7">
        <v>0</v>
      </c>
      <c r="AH111" s="7">
        <v>0</v>
      </c>
      <c r="AI111" s="7">
        <v>0</v>
      </c>
      <c r="AJ111" s="38">
        <v>0</v>
      </c>
      <c r="AL111" s="103">
        <f>SUM(F111:AJ111)</f>
        <v>57</v>
      </c>
      <c r="CY111" s="304"/>
    </row>
    <row r="112" spans="2:103 15069:15461" s="3" customFormat="1">
      <c r="B112" s="121"/>
      <c r="C112" s="73" t="s">
        <v>32</v>
      </c>
      <c r="D112" s="117"/>
      <c r="E112" s="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21"/>
      <c r="AL112" s="120" t="s">
        <v>32</v>
      </c>
      <c r="CY112" s="304"/>
    </row>
    <row r="113" spans="2:103 15069:15461" s="3" customFormat="1" ht="13.8">
      <c r="B113" s="121"/>
      <c r="C113" s="74" t="s">
        <v>51</v>
      </c>
      <c r="D113" s="117"/>
      <c r="E113" s="8" t="s">
        <v>32</v>
      </c>
      <c r="F113" s="7">
        <f>F110*12</f>
        <v>0</v>
      </c>
      <c r="G113" s="7">
        <f t="shared" ref="G113:AJ113" si="56">G110*12</f>
        <v>0</v>
      </c>
      <c r="H113" s="7">
        <f t="shared" si="56"/>
        <v>24</v>
      </c>
      <c r="I113" s="7">
        <f t="shared" si="56"/>
        <v>36</v>
      </c>
      <c r="J113" s="7">
        <f t="shared" si="56"/>
        <v>264</v>
      </c>
      <c r="K113" s="7">
        <f t="shared" si="56"/>
        <v>36</v>
      </c>
      <c r="L113" s="7">
        <f t="shared" si="56"/>
        <v>36</v>
      </c>
      <c r="M113" s="7">
        <f t="shared" si="56"/>
        <v>0</v>
      </c>
      <c r="N113" s="7">
        <f t="shared" si="56"/>
        <v>0</v>
      </c>
      <c r="O113" s="7">
        <f t="shared" si="56"/>
        <v>0</v>
      </c>
      <c r="P113" s="7">
        <f t="shared" si="56"/>
        <v>0</v>
      </c>
      <c r="Q113" s="7">
        <f t="shared" si="56"/>
        <v>0</v>
      </c>
      <c r="R113" s="7">
        <f t="shared" si="56"/>
        <v>0</v>
      </c>
      <c r="S113" s="7">
        <f t="shared" si="56"/>
        <v>0</v>
      </c>
      <c r="T113" s="7">
        <f t="shared" si="56"/>
        <v>0</v>
      </c>
      <c r="U113" s="7">
        <f t="shared" si="56"/>
        <v>0</v>
      </c>
      <c r="V113" s="7">
        <f t="shared" si="56"/>
        <v>0</v>
      </c>
      <c r="W113" s="7">
        <f t="shared" si="56"/>
        <v>0</v>
      </c>
      <c r="X113" s="7">
        <f t="shared" si="56"/>
        <v>0</v>
      </c>
      <c r="Y113" s="7">
        <f t="shared" si="56"/>
        <v>0</v>
      </c>
      <c r="Z113" s="7">
        <f t="shared" si="56"/>
        <v>0</v>
      </c>
      <c r="AA113" s="7">
        <f t="shared" si="56"/>
        <v>0</v>
      </c>
      <c r="AB113" s="7">
        <f t="shared" si="56"/>
        <v>0</v>
      </c>
      <c r="AC113" s="7">
        <f t="shared" si="56"/>
        <v>0</v>
      </c>
      <c r="AD113" s="7">
        <f t="shared" si="56"/>
        <v>0</v>
      </c>
      <c r="AE113" s="7">
        <f t="shared" si="56"/>
        <v>0</v>
      </c>
      <c r="AF113" s="7">
        <f t="shared" si="56"/>
        <v>0</v>
      </c>
      <c r="AG113" s="7">
        <f t="shared" si="56"/>
        <v>0</v>
      </c>
      <c r="AH113" s="7">
        <f t="shared" si="56"/>
        <v>0</v>
      </c>
      <c r="AI113" s="7">
        <f t="shared" si="56"/>
        <v>0</v>
      </c>
      <c r="AJ113" s="38">
        <f t="shared" si="56"/>
        <v>0</v>
      </c>
      <c r="AL113" s="103">
        <f>SUM(F113:AJ113)</f>
        <v>396</v>
      </c>
      <c r="CY113" s="304"/>
    </row>
    <row r="114" spans="2:103 15069:15461" s="3" customFormat="1" ht="13.8">
      <c r="B114" s="121"/>
      <c r="C114" s="74" t="s">
        <v>50</v>
      </c>
      <c r="D114" s="117"/>
      <c r="E114" s="8" t="s">
        <v>32</v>
      </c>
      <c r="F114" s="7">
        <f>F111*6</f>
        <v>0</v>
      </c>
      <c r="G114" s="7">
        <f t="shared" ref="G114:AJ114" si="57">G111*6</f>
        <v>0</v>
      </c>
      <c r="H114" s="7">
        <f t="shared" si="57"/>
        <v>0</v>
      </c>
      <c r="I114" s="7">
        <f t="shared" si="57"/>
        <v>0</v>
      </c>
      <c r="J114" s="7">
        <f t="shared" si="57"/>
        <v>0</v>
      </c>
      <c r="K114" s="7">
        <f t="shared" si="57"/>
        <v>0</v>
      </c>
      <c r="L114" s="7">
        <f t="shared" si="57"/>
        <v>0</v>
      </c>
      <c r="M114" s="7">
        <f t="shared" si="57"/>
        <v>0</v>
      </c>
      <c r="N114" s="7">
        <f t="shared" si="57"/>
        <v>0</v>
      </c>
      <c r="O114" s="7">
        <f t="shared" si="57"/>
        <v>0</v>
      </c>
      <c r="P114" s="7">
        <f t="shared" si="57"/>
        <v>0</v>
      </c>
      <c r="Q114" s="7">
        <f t="shared" si="57"/>
        <v>0</v>
      </c>
      <c r="R114" s="7">
        <f t="shared" si="57"/>
        <v>0</v>
      </c>
      <c r="S114" s="7">
        <f t="shared" si="57"/>
        <v>0</v>
      </c>
      <c r="T114" s="7">
        <f t="shared" si="57"/>
        <v>0</v>
      </c>
      <c r="U114" s="7">
        <f t="shared" si="57"/>
        <v>0</v>
      </c>
      <c r="V114" s="7">
        <f t="shared" si="57"/>
        <v>54</v>
      </c>
      <c r="W114" s="7">
        <f t="shared" si="57"/>
        <v>30</v>
      </c>
      <c r="X114" s="7">
        <f t="shared" si="57"/>
        <v>42</v>
      </c>
      <c r="Y114" s="7">
        <f t="shared" si="57"/>
        <v>36</v>
      </c>
      <c r="Z114" s="7">
        <f t="shared" si="57"/>
        <v>30</v>
      </c>
      <c r="AA114" s="7">
        <f t="shared" si="57"/>
        <v>30</v>
      </c>
      <c r="AB114" s="7">
        <f t="shared" si="57"/>
        <v>36</v>
      </c>
      <c r="AC114" s="7">
        <f t="shared" si="57"/>
        <v>36</v>
      </c>
      <c r="AD114" s="7">
        <f t="shared" si="57"/>
        <v>48</v>
      </c>
      <c r="AE114" s="7">
        <f t="shared" si="57"/>
        <v>0</v>
      </c>
      <c r="AF114" s="7">
        <f t="shared" si="57"/>
        <v>0</v>
      </c>
      <c r="AG114" s="7">
        <f t="shared" si="57"/>
        <v>0</v>
      </c>
      <c r="AH114" s="7">
        <f t="shared" si="57"/>
        <v>0</v>
      </c>
      <c r="AI114" s="7">
        <f t="shared" si="57"/>
        <v>0</v>
      </c>
      <c r="AJ114" s="38">
        <f t="shared" si="57"/>
        <v>0</v>
      </c>
      <c r="AL114" s="103">
        <f>SUM(F114:AJ114)</f>
        <v>342</v>
      </c>
      <c r="CY114" s="304"/>
    </row>
    <row r="115" spans="2:103 15069:15461" s="3" customFormat="1">
      <c r="B115" s="69"/>
      <c r="C115" s="71" t="s">
        <v>35</v>
      </c>
      <c r="D115" s="87"/>
      <c r="E115" s="18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88"/>
      <c r="AD115" s="6"/>
      <c r="AE115" s="6"/>
      <c r="AF115" s="6"/>
      <c r="AG115" s="52"/>
      <c r="AH115" s="52"/>
      <c r="AI115" s="52"/>
      <c r="AJ115" s="60"/>
      <c r="AK115" s="89"/>
      <c r="AL115" s="151" t="s">
        <v>34</v>
      </c>
      <c r="CY115" s="16"/>
      <c r="VGO115" s="347"/>
      <c r="VGP115" s="347"/>
      <c r="VGQ115" s="347"/>
      <c r="VGR115" s="347"/>
      <c r="VGS115" s="347"/>
      <c r="VGT115" s="347"/>
      <c r="VGU115" s="347"/>
      <c r="VGV115" s="347"/>
      <c r="VGW115" s="347"/>
      <c r="VGX115" s="347"/>
      <c r="VGY115" s="347"/>
      <c r="VGZ115" s="347"/>
      <c r="VHA115" s="347"/>
      <c r="VHB115" s="347"/>
      <c r="VHC115" s="347"/>
      <c r="VHD115" s="347"/>
      <c r="VHE115" s="347"/>
      <c r="VHF115" s="347"/>
      <c r="VHG115" s="347"/>
      <c r="VHH115" s="347"/>
      <c r="VHI115" s="347"/>
      <c r="VHJ115" s="347"/>
      <c r="VHK115" s="347"/>
      <c r="VHL115" s="347"/>
      <c r="VHM115" s="347"/>
      <c r="VHN115" s="347"/>
      <c r="VHO115" s="347"/>
      <c r="VHP115" s="347"/>
      <c r="VHQ115" s="347"/>
      <c r="VHR115" s="347"/>
      <c r="VHS115" s="347"/>
      <c r="VHT115" s="347"/>
      <c r="VHU115" s="347"/>
      <c r="VHV115" s="347"/>
      <c r="VHW115" s="347"/>
      <c r="VHX115" s="347"/>
      <c r="VHY115" s="347"/>
      <c r="VHZ115" s="347"/>
      <c r="VIA115" s="347"/>
      <c r="VIB115" s="347"/>
      <c r="VIC115" s="347"/>
      <c r="VID115" s="347"/>
      <c r="VIE115" s="347"/>
      <c r="VIF115" s="347"/>
      <c r="VIG115" s="347"/>
      <c r="VIH115" s="347"/>
      <c r="VII115" s="347"/>
      <c r="VIJ115" s="347"/>
      <c r="VIK115" s="347"/>
      <c r="VIL115" s="347"/>
      <c r="VIM115" s="347"/>
      <c r="VIN115" s="347"/>
      <c r="VIO115" s="347"/>
      <c r="VIP115" s="347"/>
      <c r="VIQ115" s="347"/>
      <c r="VIR115" s="347"/>
      <c r="VIS115" s="347"/>
      <c r="VIT115" s="347"/>
      <c r="VIU115" s="347"/>
      <c r="VIV115" s="347"/>
      <c r="VIW115" s="347"/>
      <c r="VIX115" s="347"/>
      <c r="VIY115" s="347"/>
      <c r="VIZ115" s="347"/>
      <c r="VJA115" s="347"/>
      <c r="VJB115" s="347"/>
      <c r="VJC115" s="347"/>
      <c r="VJD115" s="347"/>
      <c r="VJE115" s="347"/>
      <c r="VJF115" s="347"/>
      <c r="VJG115" s="347"/>
      <c r="VJH115" s="347"/>
      <c r="VJI115" s="347"/>
      <c r="VJJ115" s="347"/>
      <c r="VJK115" s="347"/>
      <c r="VJL115" s="347"/>
      <c r="VJM115" s="347"/>
      <c r="VJN115" s="347"/>
      <c r="VJO115" s="347"/>
      <c r="VJP115" s="347"/>
      <c r="VJQ115" s="347"/>
      <c r="VJR115" s="347"/>
      <c r="VJS115" s="347"/>
      <c r="VJT115" s="347"/>
      <c r="VJU115" s="347"/>
      <c r="VJV115" s="347"/>
      <c r="VJW115" s="347"/>
      <c r="VJX115" s="347"/>
      <c r="VJY115" s="347"/>
      <c r="VJZ115" s="347"/>
      <c r="VKA115" s="347"/>
      <c r="VKB115" s="347"/>
      <c r="VKC115" s="347"/>
      <c r="VKD115" s="347"/>
      <c r="VKE115" s="347"/>
      <c r="VKF115" s="347"/>
      <c r="VKG115" s="347"/>
      <c r="VKH115" s="347"/>
      <c r="VKI115" s="347"/>
      <c r="VKJ115" s="347"/>
      <c r="VKK115" s="347"/>
      <c r="VKL115" s="347"/>
      <c r="VKM115" s="347"/>
      <c r="VKN115" s="347"/>
      <c r="VKO115" s="347"/>
      <c r="VKP115" s="347"/>
      <c r="VKQ115" s="347"/>
      <c r="VKR115" s="347"/>
      <c r="VKS115" s="347"/>
      <c r="VKT115" s="347"/>
      <c r="VKU115" s="347"/>
      <c r="VKV115" s="347"/>
      <c r="VKW115" s="347"/>
      <c r="VKX115" s="347"/>
      <c r="VKY115" s="347"/>
      <c r="VKZ115" s="347"/>
      <c r="VLA115" s="347"/>
      <c r="VLB115" s="347"/>
      <c r="VLC115" s="347"/>
      <c r="VLD115" s="347"/>
      <c r="VLE115" s="347"/>
      <c r="VLF115" s="347"/>
      <c r="VLG115" s="347"/>
      <c r="VLH115" s="347"/>
      <c r="VLI115" s="347"/>
      <c r="VLJ115" s="347"/>
      <c r="VLK115" s="347"/>
      <c r="VLL115" s="347"/>
      <c r="VLM115" s="347"/>
      <c r="VLN115" s="347"/>
      <c r="VLO115" s="347"/>
      <c r="VLP115" s="347"/>
      <c r="VLQ115" s="347"/>
      <c r="VLR115" s="347"/>
      <c r="VLS115" s="347"/>
      <c r="VLT115" s="347"/>
      <c r="VLU115" s="347"/>
      <c r="VLV115" s="347"/>
      <c r="VLW115" s="347"/>
      <c r="VLX115" s="347"/>
      <c r="VLY115" s="347"/>
      <c r="VLZ115" s="347"/>
      <c r="VMA115" s="347"/>
      <c r="VMB115" s="347"/>
      <c r="VMC115" s="347"/>
      <c r="VMD115" s="347"/>
      <c r="VME115" s="347"/>
      <c r="VMF115" s="347"/>
      <c r="VMG115" s="347"/>
      <c r="VMH115" s="347"/>
      <c r="VMI115" s="347"/>
      <c r="VMJ115" s="347"/>
      <c r="VMK115" s="347"/>
      <c r="VML115" s="347"/>
      <c r="VMM115" s="347"/>
      <c r="VMN115" s="347"/>
      <c r="VMO115" s="347"/>
      <c r="VMP115" s="347"/>
      <c r="VMQ115" s="347"/>
      <c r="VMR115" s="347"/>
      <c r="VMS115" s="347"/>
      <c r="VMT115" s="347"/>
      <c r="VMU115" s="347"/>
      <c r="VMV115" s="347"/>
      <c r="VMW115" s="347"/>
      <c r="VMX115" s="347"/>
      <c r="VMY115" s="347"/>
      <c r="VMZ115" s="347"/>
      <c r="VNA115" s="347"/>
      <c r="VNB115" s="347"/>
      <c r="VNC115" s="347"/>
      <c r="VND115" s="347"/>
      <c r="VNE115" s="347"/>
      <c r="VNF115" s="347"/>
      <c r="VNG115" s="347"/>
      <c r="VNH115" s="347"/>
      <c r="VNI115" s="347"/>
      <c r="VNJ115" s="347"/>
      <c r="VNK115" s="347"/>
      <c r="VNL115" s="347"/>
      <c r="VNM115" s="347"/>
      <c r="VNN115" s="347"/>
      <c r="VNO115" s="347"/>
      <c r="VNP115" s="347"/>
      <c r="VNQ115" s="347"/>
      <c r="VNR115" s="347"/>
      <c r="VNS115" s="347"/>
      <c r="VNT115" s="347"/>
      <c r="VNU115" s="347"/>
      <c r="VNV115" s="347"/>
      <c r="VNW115" s="347"/>
      <c r="VNX115" s="347"/>
      <c r="VNY115" s="347"/>
      <c r="VNZ115" s="347"/>
      <c r="VOA115" s="347"/>
      <c r="VOB115" s="347"/>
      <c r="VOC115" s="347"/>
      <c r="VOD115" s="347"/>
      <c r="VOE115" s="347"/>
      <c r="VOF115" s="347"/>
      <c r="VOG115" s="347"/>
      <c r="VOH115" s="347"/>
      <c r="VOI115" s="347"/>
      <c r="VOJ115" s="347"/>
      <c r="VOK115" s="347"/>
      <c r="VOL115" s="347"/>
      <c r="VOM115" s="347"/>
      <c r="VON115" s="347"/>
      <c r="VOO115" s="347"/>
      <c r="VOP115" s="347"/>
      <c r="VOQ115" s="347"/>
      <c r="VOR115" s="347"/>
      <c r="VOS115" s="347"/>
      <c r="VOT115" s="347"/>
      <c r="VOU115" s="347"/>
      <c r="VOV115" s="347"/>
      <c r="VOW115" s="347"/>
      <c r="VOX115" s="347"/>
      <c r="VOY115" s="347"/>
      <c r="VOZ115" s="347"/>
      <c r="VPA115" s="347"/>
      <c r="VPB115" s="347"/>
      <c r="VPC115" s="347"/>
      <c r="VPD115" s="347"/>
      <c r="VPE115" s="347"/>
      <c r="VPF115" s="347"/>
      <c r="VPG115" s="347"/>
      <c r="VPH115" s="347"/>
      <c r="VPI115" s="347"/>
      <c r="VPJ115" s="347"/>
      <c r="VPK115" s="347"/>
      <c r="VPL115" s="347"/>
      <c r="VPM115" s="347"/>
      <c r="VPN115" s="347"/>
      <c r="VPO115" s="347"/>
      <c r="VPP115" s="347"/>
      <c r="VPQ115" s="347"/>
      <c r="VPR115" s="347"/>
      <c r="VPS115" s="347"/>
      <c r="VPT115" s="347"/>
      <c r="VPU115" s="347"/>
      <c r="VPV115" s="347"/>
      <c r="VPW115" s="347"/>
      <c r="VPX115" s="347"/>
      <c r="VPY115" s="347"/>
      <c r="VPZ115" s="347"/>
      <c r="VQA115" s="347"/>
      <c r="VQB115" s="347"/>
      <c r="VQC115" s="347"/>
      <c r="VQD115" s="347"/>
      <c r="VQE115" s="347"/>
      <c r="VQF115" s="347"/>
      <c r="VQG115" s="347"/>
      <c r="VQH115" s="347"/>
      <c r="VQI115" s="347"/>
      <c r="VQJ115" s="347"/>
      <c r="VQK115" s="347"/>
      <c r="VQL115" s="347"/>
      <c r="VQM115" s="347"/>
      <c r="VQN115" s="347"/>
      <c r="VQO115" s="347"/>
      <c r="VQP115" s="347"/>
      <c r="VQQ115" s="347"/>
      <c r="VQR115" s="347"/>
      <c r="VQS115" s="347"/>
      <c r="VQT115" s="347"/>
      <c r="VQU115" s="347"/>
      <c r="VQV115" s="347"/>
      <c r="VQW115" s="347"/>
      <c r="VQX115" s="347"/>
      <c r="VQY115" s="347"/>
      <c r="VQZ115" s="347"/>
      <c r="VRA115" s="347"/>
      <c r="VRB115" s="347"/>
      <c r="VRC115" s="347"/>
      <c r="VRD115" s="347"/>
      <c r="VRE115" s="347"/>
      <c r="VRF115" s="347"/>
      <c r="VRG115" s="347"/>
      <c r="VRH115" s="347"/>
      <c r="VRI115" s="347"/>
      <c r="VRJ115" s="347"/>
      <c r="VRK115" s="347"/>
      <c r="VRL115" s="347"/>
      <c r="VRM115" s="347"/>
      <c r="VRN115" s="347"/>
      <c r="VRO115" s="347"/>
      <c r="VRP115" s="347"/>
      <c r="VRQ115" s="347"/>
      <c r="VRR115" s="347"/>
      <c r="VRS115" s="347"/>
      <c r="VRT115" s="347"/>
      <c r="VRU115" s="347"/>
      <c r="VRV115" s="347"/>
      <c r="VRW115" s="347"/>
      <c r="VRX115" s="347"/>
      <c r="VRY115" s="347"/>
      <c r="VRZ115" s="347"/>
      <c r="VSA115" s="347"/>
      <c r="VSB115" s="347"/>
      <c r="VSC115" s="347"/>
      <c r="VSD115" s="347"/>
      <c r="VSE115" s="347"/>
      <c r="VSF115" s="347"/>
      <c r="VSG115" s="347"/>
      <c r="VSH115" s="347"/>
      <c r="VSI115" s="347"/>
      <c r="VSJ115" s="347"/>
      <c r="VSK115" s="347"/>
      <c r="VSL115" s="347"/>
      <c r="VSM115" s="347"/>
      <c r="VSN115" s="347"/>
      <c r="VSO115" s="347"/>
      <c r="VSP115" s="347"/>
      <c r="VSQ115" s="347"/>
      <c r="VSR115" s="347"/>
      <c r="VSS115" s="347"/>
      <c r="VST115" s="347"/>
      <c r="VSU115" s="347"/>
      <c r="VSV115" s="347"/>
      <c r="VSW115" s="347"/>
      <c r="VSX115" s="347"/>
      <c r="VSY115" s="347"/>
      <c r="VSZ115" s="347"/>
      <c r="VTA115" s="347"/>
      <c r="VTB115" s="347"/>
      <c r="VTC115" s="347"/>
      <c r="VTD115" s="347"/>
      <c r="VTE115" s="347"/>
      <c r="VTF115" s="347"/>
      <c r="VTG115" s="347"/>
      <c r="VTH115" s="347"/>
      <c r="VTI115" s="347"/>
      <c r="VTJ115" s="347"/>
      <c r="VTK115" s="347"/>
      <c r="VTL115" s="347"/>
      <c r="VTM115" s="347"/>
      <c r="VTN115" s="347"/>
      <c r="VTO115" s="347"/>
      <c r="VTP115" s="347"/>
      <c r="VTQ115" s="347"/>
      <c r="VTR115" s="347"/>
      <c r="VTS115" s="347"/>
      <c r="VTT115" s="347"/>
      <c r="VTU115" s="347"/>
      <c r="VTV115" s="347"/>
      <c r="VTW115" s="347"/>
      <c r="VTX115" s="347"/>
      <c r="VTY115" s="347"/>
      <c r="VTZ115" s="347"/>
      <c r="VUA115" s="347"/>
      <c r="VUB115" s="347"/>
      <c r="VUC115" s="347"/>
      <c r="VUD115" s="347"/>
      <c r="VUE115" s="347"/>
      <c r="VUF115" s="347"/>
      <c r="VUG115" s="347"/>
      <c r="VUH115" s="347"/>
      <c r="VUI115" s="347"/>
      <c r="VUJ115" s="347"/>
      <c r="VUK115" s="347"/>
      <c r="VUL115" s="347"/>
      <c r="VUM115" s="347"/>
      <c r="VUN115" s="347"/>
      <c r="VUO115" s="347"/>
      <c r="VUP115" s="347"/>
      <c r="VUQ115" s="347"/>
      <c r="VUR115" s="347"/>
      <c r="VUS115" s="347"/>
      <c r="VUT115" s="347"/>
      <c r="VUU115" s="347"/>
      <c r="VUV115" s="347"/>
      <c r="VUW115" s="347"/>
      <c r="VUX115" s="347"/>
      <c r="VUY115" s="347"/>
      <c r="VUZ115" s="347"/>
      <c r="VVA115" s="347"/>
      <c r="VVB115" s="347"/>
      <c r="VVC115" s="347"/>
      <c r="VVD115" s="347"/>
      <c r="VVE115" s="347"/>
      <c r="VVF115" s="347"/>
      <c r="VVG115" s="347"/>
      <c r="VVH115" s="347"/>
      <c r="VVI115" s="347"/>
      <c r="VVJ115" s="347"/>
      <c r="VVK115" s="347"/>
      <c r="VVL115" s="347"/>
      <c r="VVM115" s="347"/>
      <c r="VVN115" s="347"/>
      <c r="VVO115" s="347"/>
      <c r="VVP115" s="347"/>
      <c r="VVQ115" s="347"/>
    </row>
    <row r="116" spans="2:103 15069:15461" s="3" customFormat="1">
      <c r="B116" s="121"/>
      <c r="C116" s="73" t="s">
        <v>33</v>
      </c>
      <c r="D116" s="117"/>
      <c r="E116" s="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50"/>
      <c r="AH116" s="50"/>
      <c r="AI116" s="50"/>
      <c r="AJ116" s="21"/>
      <c r="AL116" s="120" t="s">
        <v>33</v>
      </c>
      <c r="CY116" s="304"/>
    </row>
    <row r="117" spans="2:103 15069:15461" s="3" customFormat="1" ht="13.8">
      <c r="B117" s="121"/>
      <c r="C117" s="74" t="s">
        <v>51</v>
      </c>
      <c r="D117" s="14">
        <v>0.3</v>
      </c>
      <c r="E117" s="8" t="s">
        <v>29</v>
      </c>
      <c r="F117" s="10" t="e">
        <f t="shared" ref="F117:AI118" si="58">F110/F101*100</f>
        <v>#DIV/0!</v>
      </c>
      <c r="G117" s="10">
        <f t="shared" si="58"/>
        <v>0</v>
      </c>
      <c r="H117" s="10">
        <f t="shared" si="58"/>
        <v>5.1229508196721313E-2</v>
      </c>
      <c r="I117" s="10">
        <f t="shared" si="58"/>
        <v>7.6765609007164781E-2</v>
      </c>
      <c r="J117" s="10">
        <f t="shared" si="58"/>
        <v>0.54093926727317432</v>
      </c>
      <c r="K117" s="10">
        <f t="shared" si="58"/>
        <v>7.976601967561818E-2</v>
      </c>
      <c r="L117" s="10">
        <f t="shared" si="58"/>
        <v>0.11511895625479662</v>
      </c>
      <c r="M117" s="10" t="e">
        <f t="shared" si="58"/>
        <v>#DIV/0!</v>
      </c>
      <c r="N117" s="10" t="e">
        <f t="shared" si="58"/>
        <v>#DIV/0!</v>
      </c>
      <c r="O117" s="10" t="e">
        <f t="shared" si="58"/>
        <v>#DIV/0!</v>
      </c>
      <c r="P117" s="10" t="e">
        <f t="shared" si="58"/>
        <v>#DIV/0!</v>
      </c>
      <c r="Q117" s="10" t="e">
        <f t="shared" si="58"/>
        <v>#DIV/0!</v>
      </c>
      <c r="R117" s="10" t="e">
        <f t="shared" si="58"/>
        <v>#DIV/0!</v>
      </c>
      <c r="S117" s="10" t="e">
        <f t="shared" si="58"/>
        <v>#DIV/0!</v>
      </c>
      <c r="T117" s="10" t="e">
        <f t="shared" si="58"/>
        <v>#DIV/0!</v>
      </c>
      <c r="U117" s="10" t="e">
        <f t="shared" si="58"/>
        <v>#DIV/0!</v>
      </c>
      <c r="V117" s="10" t="e">
        <f t="shared" si="58"/>
        <v>#DIV/0!</v>
      </c>
      <c r="W117" s="10" t="e">
        <f t="shared" si="58"/>
        <v>#DIV/0!</v>
      </c>
      <c r="X117" s="10" t="e">
        <f t="shared" si="58"/>
        <v>#DIV/0!</v>
      </c>
      <c r="Y117" s="10" t="e">
        <f t="shared" si="58"/>
        <v>#DIV/0!</v>
      </c>
      <c r="Z117" s="10" t="e">
        <f t="shared" si="58"/>
        <v>#DIV/0!</v>
      </c>
      <c r="AA117" s="10" t="e">
        <f t="shared" si="58"/>
        <v>#DIV/0!</v>
      </c>
      <c r="AB117" s="10" t="e">
        <f t="shared" si="58"/>
        <v>#DIV/0!</v>
      </c>
      <c r="AC117" s="10">
        <f t="shared" si="58"/>
        <v>0</v>
      </c>
      <c r="AD117" s="10" t="e">
        <f t="shared" si="58"/>
        <v>#DIV/0!</v>
      </c>
      <c r="AE117" s="10" t="e">
        <f t="shared" si="58"/>
        <v>#DIV/0!</v>
      </c>
      <c r="AF117" s="10" t="e">
        <f t="shared" si="58"/>
        <v>#DIV/0!</v>
      </c>
      <c r="AG117" s="10" t="e">
        <f t="shared" si="58"/>
        <v>#DIV/0!</v>
      </c>
      <c r="AH117" s="10" t="e">
        <f t="shared" si="58"/>
        <v>#DIV/0!</v>
      </c>
      <c r="AI117" s="10" t="e">
        <f t="shared" si="58"/>
        <v>#DIV/0!</v>
      </c>
      <c r="AJ117" s="20" t="e">
        <f>AJ110/AJ101*100</f>
        <v>#DIV/0!</v>
      </c>
      <c r="AL117" s="114">
        <f>AL110/AL101*100</f>
        <v>0.14794225768851429</v>
      </c>
      <c r="CY117" s="304"/>
    </row>
    <row r="118" spans="2:103 15069:15461" s="3" customFormat="1" ht="13.8">
      <c r="B118" s="121"/>
      <c r="C118" s="74" t="s">
        <v>50</v>
      </c>
      <c r="D118" s="14">
        <v>0.3</v>
      </c>
      <c r="E118" s="8" t="s">
        <v>29</v>
      </c>
      <c r="F118" s="10" t="e">
        <f t="shared" si="58"/>
        <v>#DIV/0!</v>
      </c>
      <c r="G118" s="10" t="e">
        <f t="shared" si="58"/>
        <v>#DIV/0!</v>
      </c>
      <c r="H118" s="10" t="e">
        <f t="shared" si="58"/>
        <v>#DIV/0!</v>
      </c>
      <c r="I118" s="10" t="e">
        <f t="shared" si="58"/>
        <v>#DIV/0!</v>
      </c>
      <c r="J118" s="10" t="e">
        <f t="shared" si="58"/>
        <v>#DIV/0!</v>
      </c>
      <c r="K118" s="10" t="e">
        <f t="shared" si="58"/>
        <v>#DIV/0!</v>
      </c>
      <c r="L118" s="10" t="e">
        <f t="shared" si="58"/>
        <v>#DIV/0!</v>
      </c>
      <c r="M118" s="10" t="e">
        <f t="shared" si="58"/>
        <v>#DIV/0!</v>
      </c>
      <c r="N118" s="10" t="e">
        <f t="shared" si="58"/>
        <v>#DIV/0!</v>
      </c>
      <c r="O118" s="10" t="e">
        <f t="shared" si="58"/>
        <v>#DIV/0!</v>
      </c>
      <c r="P118" s="10" t="e">
        <f t="shared" si="58"/>
        <v>#DIV/0!</v>
      </c>
      <c r="Q118" s="10" t="e">
        <f t="shared" si="58"/>
        <v>#DIV/0!</v>
      </c>
      <c r="R118" s="10" t="e">
        <f t="shared" si="58"/>
        <v>#DIV/0!</v>
      </c>
      <c r="S118" s="10" t="e">
        <f t="shared" si="58"/>
        <v>#DIV/0!</v>
      </c>
      <c r="T118" s="10" t="e">
        <f t="shared" si="58"/>
        <v>#DIV/0!</v>
      </c>
      <c r="U118" s="10" t="e">
        <f t="shared" si="58"/>
        <v>#DIV/0!</v>
      </c>
      <c r="V118" s="10">
        <f t="shared" si="58"/>
        <v>0.11893749174045196</v>
      </c>
      <c r="W118" s="10">
        <f t="shared" si="58"/>
        <v>9.6006144393241163E-2</v>
      </c>
      <c r="X118" s="10">
        <f t="shared" si="58"/>
        <v>0.2601263470828688</v>
      </c>
      <c r="Y118" s="10">
        <f t="shared" si="58"/>
        <v>9.9750623441396499E-2</v>
      </c>
      <c r="Z118" s="10">
        <f t="shared" si="58"/>
        <v>0.10555203715431707</v>
      </c>
      <c r="AA118" s="10">
        <f t="shared" si="58"/>
        <v>0.10548523206751054</v>
      </c>
      <c r="AB118" s="10">
        <f t="shared" si="58"/>
        <v>0.15232292460015232</v>
      </c>
      <c r="AC118" s="10">
        <f t="shared" si="58"/>
        <v>0.12381345439537762</v>
      </c>
      <c r="AD118" s="10">
        <f t="shared" si="58"/>
        <v>0.11220196353436186</v>
      </c>
      <c r="AE118" s="10" t="e">
        <f t="shared" si="58"/>
        <v>#DIV/0!</v>
      </c>
      <c r="AF118" s="10" t="e">
        <f t="shared" si="58"/>
        <v>#DIV/0!</v>
      </c>
      <c r="AG118" s="10" t="e">
        <f t="shared" si="58"/>
        <v>#DIV/0!</v>
      </c>
      <c r="AH118" s="10" t="e">
        <f t="shared" si="58"/>
        <v>#DIV/0!</v>
      </c>
      <c r="AI118" s="10" t="e">
        <f t="shared" si="58"/>
        <v>#DIV/0!</v>
      </c>
      <c r="AJ118" s="20" t="e">
        <f>AJ111/AJ102*100</f>
        <v>#DIV/0!</v>
      </c>
      <c r="AL118" s="114">
        <f>AL111/AL102*100</f>
        <v>0.12160518848804217</v>
      </c>
      <c r="CY118" s="304"/>
    </row>
    <row r="119" spans="2:103 15069:15461" s="3" customFormat="1">
      <c r="B119" s="121"/>
      <c r="C119" s="73" t="s">
        <v>32</v>
      </c>
      <c r="D119" s="14"/>
      <c r="E119" s="5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20"/>
      <c r="AL119" s="120" t="s">
        <v>32</v>
      </c>
      <c r="CY119" s="304"/>
    </row>
    <row r="120" spans="2:103 15069:15461" s="3" customFormat="1" ht="13.8">
      <c r="B120" s="121"/>
      <c r="C120" s="74" t="s">
        <v>51</v>
      </c>
      <c r="D120" s="14">
        <v>0.5</v>
      </c>
      <c r="E120" s="8" t="s">
        <v>29</v>
      </c>
      <c r="F120" s="10" t="e">
        <f t="shared" ref="F120:AI121" si="59">F113/F104*100</f>
        <v>#DIV/0!</v>
      </c>
      <c r="G120" s="10">
        <f t="shared" si="59"/>
        <v>0</v>
      </c>
      <c r="H120" s="10">
        <f t="shared" si="59"/>
        <v>5.1229508196721313E-2</v>
      </c>
      <c r="I120" s="10">
        <f t="shared" si="59"/>
        <v>7.6765609007164781E-2</v>
      </c>
      <c r="J120" s="10">
        <f t="shared" si="59"/>
        <v>0.54093926727317432</v>
      </c>
      <c r="K120" s="10">
        <f t="shared" si="59"/>
        <v>7.976601967561818E-2</v>
      </c>
      <c r="L120" s="10">
        <f t="shared" si="59"/>
        <v>0.11511895625479662</v>
      </c>
      <c r="M120" s="10" t="e">
        <f t="shared" si="59"/>
        <v>#DIV/0!</v>
      </c>
      <c r="N120" s="10" t="e">
        <f t="shared" si="59"/>
        <v>#DIV/0!</v>
      </c>
      <c r="O120" s="10" t="e">
        <f t="shared" si="59"/>
        <v>#DIV/0!</v>
      </c>
      <c r="P120" s="10" t="e">
        <f t="shared" si="59"/>
        <v>#DIV/0!</v>
      </c>
      <c r="Q120" s="10" t="e">
        <f t="shared" si="59"/>
        <v>#DIV/0!</v>
      </c>
      <c r="R120" s="10" t="e">
        <f t="shared" si="59"/>
        <v>#DIV/0!</v>
      </c>
      <c r="S120" s="10" t="e">
        <f t="shared" si="59"/>
        <v>#DIV/0!</v>
      </c>
      <c r="T120" s="10" t="e">
        <f t="shared" si="59"/>
        <v>#DIV/0!</v>
      </c>
      <c r="U120" s="10" t="e">
        <f t="shared" si="59"/>
        <v>#DIV/0!</v>
      </c>
      <c r="V120" s="10" t="e">
        <f t="shared" si="59"/>
        <v>#DIV/0!</v>
      </c>
      <c r="W120" s="10" t="e">
        <f t="shared" si="59"/>
        <v>#DIV/0!</v>
      </c>
      <c r="X120" s="10" t="e">
        <f t="shared" si="59"/>
        <v>#DIV/0!</v>
      </c>
      <c r="Y120" s="10" t="e">
        <f t="shared" si="59"/>
        <v>#DIV/0!</v>
      </c>
      <c r="Z120" s="10" t="e">
        <f t="shared" si="59"/>
        <v>#DIV/0!</v>
      </c>
      <c r="AA120" s="10" t="e">
        <f t="shared" si="59"/>
        <v>#DIV/0!</v>
      </c>
      <c r="AB120" s="10" t="e">
        <f t="shared" si="59"/>
        <v>#DIV/0!</v>
      </c>
      <c r="AC120" s="10">
        <f t="shared" si="59"/>
        <v>0</v>
      </c>
      <c r="AD120" s="10" t="e">
        <f t="shared" si="59"/>
        <v>#DIV/0!</v>
      </c>
      <c r="AE120" s="10" t="e">
        <f t="shared" si="59"/>
        <v>#DIV/0!</v>
      </c>
      <c r="AF120" s="10" t="e">
        <f t="shared" si="59"/>
        <v>#DIV/0!</v>
      </c>
      <c r="AG120" s="10" t="e">
        <f t="shared" si="59"/>
        <v>#DIV/0!</v>
      </c>
      <c r="AH120" s="10" t="e">
        <f t="shared" si="59"/>
        <v>#DIV/0!</v>
      </c>
      <c r="AI120" s="10" t="e">
        <f t="shared" si="59"/>
        <v>#DIV/0!</v>
      </c>
      <c r="AJ120" s="20" t="e">
        <f>AJ113/AJ104*100</f>
        <v>#DIV/0!</v>
      </c>
      <c r="AL120" s="114">
        <f>AL113/AL104*100</f>
        <v>0.14794225768851429</v>
      </c>
      <c r="CY120" s="304"/>
    </row>
    <row r="121" spans="2:103 15069:15461" s="3" customFormat="1" ht="13.8">
      <c r="B121" s="121"/>
      <c r="C121" s="74" t="s">
        <v>50</v>
      </c>
      <c r="D121" s="14">
        <v>0.5</v>
      </c>
      <c r="E121" s="8" t="s">
        <v>29</v>
      </c>
      <c r="F121" s="10" t="e">
        <f t="shared" si="59"/>
        <v>#DIV/0!</v>
      </c>
      <c r="G121" s="10" t="e">
        <f t="shared" si="59"/>
        <v>#DIV/0!</v>
      </c>
      <c r="H121" s="10" t="e">
        <f t="shared" si="59"/>
        <v>#DIV/0!</v>
      </c>
      <c r="I121" s="10" t="e">
        <f t="shared" si="59"/>
        <v>#DIV/0!</v>
      </c>
      <c r="J121" s="10" t="e">
        <f t="shared" si="59"/>
        <v>#DIV/0!</v>
      </c>
      <c r="K121" s="10" t="e">
        <f t="shared" si="59"/>
        <v>#DIV/0!</v>
      </c>
      <c r="L121" s="10" t="e">
        <f t="shared" si="59"/>
        <v>#DIV/0!</v>
      </c>
      <c r="M121" s="10" t="e">
        <f t="shared" si="59"/>
        <v>#DIV/0!</v>
      </c>
      <c r="N121" s="10" t="e">
        <f t="shared" si="59"/>
        <v>#DIV/0!</v>
      </c>
      <c r="O121" s="10" t="e">
        <f t="shared" si="59"/>
        <v>#DIV/0!</v>
      </c>
      <c r="P121" s="10" t="e">
        <f t="shared" si="59"/>
        <v>#DIV/0!</v>
      </c>
      <c r="Q121" s="10" t="e">
        <f t="shared" si="59"/>
        <v>#DIV/0!</v>
      </c>
      <c r="R121" s="10" t="e">
        <f t="shared" si="59"/>
        <v>#DIV/0!</v>
      </c>
      <c r="S121" s="10" t="e">
        <f t="shared" si="59"/>
        <v>#DIV/0!</v>
      </c>
      <c r="T121" s="10" t="e">
        <f t="shared" si="59"/>
        <v>#DIV/0!</v>
      </c>
      <c r="U121" s="10" t="e">
        <f t="shared" si="59"/>
        <v>#DIV/0!</v>
      </c>
      <c r="V121" s="10">
        <f t="shared" si="59"/>
        <v>0.11893749174045196</v>
      </c>
      <c r="W121" s="10">
        <f t="shared" si="59"/>
        <v>9.6006144393241163E-2</v>
      </c>
      <c r="X121" s="10">
        <f t="shared" si="59"/>
        <v>0.2601263470828688</v>
      </c>
      <c r="Y121" s="10">
        <f t="shared" si="59"/>
        <v>9.9750623441396499E-2</v>
      </c>
      <c r="Z121" s="10">
        <f t="shared" si="59"/>
        <v>0.10555203715431707</v>
      </c>
      <c r="AA121" s="10">
        <f t="shared" si="59"/>
        <v>0.10548523206751054</v>
      </c>
      <c r="AB121" s="10">
        <f t="shared" si="59"/>
        <v>0.15232292460015232</v>
      </c>
      <c r="AC121" s="10">
        <f t="shared" si="59"/>
        <v>0.12381345439537762</v>
      </c>
      <c r="AD121" s="10">
        <f t="shared" si="59"/>
        <v>0.11220196353436186</v>
      </c>
      <c r="AE121" s="10" t="e">
        <f t="shared" si="59"/>
        <v>#DIV/0!</v>
      </c>
      <c r="AF121" s="10" t="e">
        <f t="shared" si="59"/>
        <v>#DIV/0!</v>
      </c>
      <c r="AG121" s="10" t="e">
        <f t="shared" si="59"/>
        <v>#DIV/0!</v>
      </c>
      <c r="AH121" s="10" t="e">
        <f t="shared" si="59"/>
        <v>#DIV/0!</v>
      </c>
      <c r="AI121" s="10" t="e">
        <f t="shared" si="59"/>
        <v>#DIV/0!</v>
      </c>
      <c r="AJ121" s="20" t="e">
        <f>AJ114/AJ105*100</f>
        <v>#DIV/0!</v>
      </c>
      <c r="AL121" s="114">
        <f>AL114/AL105*100</f>
        <v>0.12160518848804217</v>
      </c>
      <c r="CY121" s="304"/>
    </row>
    <row r="122" spans="2:103 15069:15461" s="3" customFormat="1" ht="13.8">
      <c r="B122" s="121"/>
      <c r="C122" s="71" t="s">
        <v>49</v>
      </c>
      <c r="D122" s="210"/>
      <c r="E122" s="15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211"/>
      <c r="V122" s="211"/>
      <c r="W122" s="211"/>
      <c r="X122" s="211"/>
      <c r="Y122" s="211"/>
      <c r="Z122" s="211"/>
      <c r="AA122" s="211"/>
      <c r="AB122" s="211"/>
      <c r="AC122" s="211"/>
      <c r="AD122" s="211"/>
      <c r="AE122" s="211"/>
      <c r="AF122" s="211"/>
      <c r="AG122" s="212"/>
      <c r="AH122" s="212"/>
      <c r="AI122" s="212"/>
      <c r="AJ122" s="213"/>
      <c r="AK122" s="214"/>
      <c r="AL122" s="151" t="s">
        <v>45</v>
      </c>
    </row>
    <row r="123" spans="2:103 15069:15461" s="3" customFormat="1" ht="13.8">
      <c r="B123" s="121"/>
      <c r="C123" s="72" t="s">
        <v>116</v>
      </c>
      <c r="D123" s="14"/>
      <c r="E123" s="8" t="s">
        <v>16</v>
      </c>
      <c r="F123" s="12">
        <v>159743</v>
      </c>
      <c r="G123" s="12">
        <v>33666</v>
      </c>
      <c r="H123" s="12">
        <v>76592</v>
      </c>
      <c r="I123" s="12">
        <v>35587</v>
      </c>
      <c r="J123" s="12"/>
      <c r="K123" s="12">
        <v>30750</v>
      </c>
      <c r="L123" s="12"/>
      <c r="M123" s="12">
        <v>25428</v>
      </c>
      <c r="N123" s="12">
        <v>50110</v>
      </c>
      <c r="O123" s="12">
        <v>33653</v>
      </c>
      <c r="P123" s="12">
        <v>69626</v>
      </c>
      <c r="Q123" s="12">
        <v>67794</v>
      </c>
      <c r="R123" s="12">
        <v>71515</v>
      </c>
      <c r="S123" s="12">
        <v>81180</v>
      </c>
      <c r="T123" s="12">
        <v>57907</v>
      </c>
      <c r="U123" s="12">
        <f>33194+81057</f>
        <v>114251</v>
      </c>
      <c r="V123" s="12">
        <v>33328</v>
      </c>
      <c r="W123" s="12">
        <v>63321</v>
      </c>
      <c r="X123" s="12">
        <v>64397</v>
      </c>
      <c r="Y123" s="12">
        <v>18819</v>
      </c>
      <c r="Z123" s="12"/>
      <c r="AA123" s="12"/>
      <c r="AB123" s="12"/>
      <c r="AC123" s="12">
        <v>14487</v>
      </c>
      <c r="AD123" s="12">
        <v>30040</v>
      </c>
      <c r="AE123" s="12">
        <v>18083</v>
      </c>
      <c r="AF123" s="12">
        <v>61097</v>
      </c>
      <c r="AG123" s="48">
        <v>68804</v>
      </c>
      <c r="AH123" s="48">
        <v>98409</v>
      </c>
      <c r="AI123" s="48">
        <v>84297</v>
      </c>
      <c r="AJ123" s="19">
        <v>28751</v>
      </c>
      <c r="AK123" s="34"/>
      <c r="AL123" s="193">
        <f>SUM(C123:AJ123)</f>
        <v>1491635</v>
      </c>
    </row>
    <row r="124" spans="2:103 15069:15461" s="3" customFormat="1" ht="13.8">
      <c r="B124" s="121"/>
      <c r="C124" s="72" t="s">
        <v>117</v>
      </c>
      <c r="D124" s="14"/>
      <c r="E124" s="8" t="s">
        <v>16</v>
      </c>
      <c r="F124" s="57">
        <f>41291.53+68630.54</f>
        <v>109922.06999999999</v>
      </c>
      <c r="G124" s="57">
        <v>38391.32</v>
      </c>
      <c r="H124" s="57">
        <v>76152.100000000006</v>
      </c>
      <c r="I124" s="57">
        <f>38041.91+58.52</f>
        <v>38100.43</v>
      </c>
      <c r="J124" s="57"/>
      <c r="K124" s="57">
        <v>72845.67</v>
      </c>
      <c r="L124" s="57"/>
      <c r="M124" s="57"/>
      <c r="N124" s="57">
        <v>25361.58</v>
      </c>
      <c r="O124" s="57">
        <v>38042.720000000001</v>
      </c>
      <c r="P124" s="57">
        <v>76630.009999999995</v>
      </c>
      <c r="Q124" s="57">
        <v>76153</v>
      </c>
      <c r="R124" s="57">
        <v>73274.81</v>
      </c>
      <c r="S124" s="57">
        <v>50723.15</v>
      </c>
      <c r="T124" s="57">
        <v>25508.78</v>
      </c>
      <c r="U124" s="57">
        <v>30913.75</v>
      </c>
      <c r="V124" s="57">
        <f>76121.94+146.3</f>
        <v>76268.240000000005</v>
      </c>
      <c r="W124" s="57">
        <v>76083.820000000007</v>
      </c>
      <c r="X124" s="57">
        <v>69275.899999999994</v>
      </c>
      <c r="Y124" s="57">
        <v>34003.97</v>
      </c>
      <c r="Z124" s="57"/>
      <c r="AA124" s="57"/>
      <c r="AB124" s="57">
        <v>204.82</v>
      </c>
      <c r="AC124" s="57">
        <v>67024.38</v>
      </c>
      <c r="AD124" s="57"/>
      <c r="AE124" s="57">
        <v>69315.820000000007</v>
      </c>
      <c r="AF124" s="57">
        <v>36004.339999999997</v>
      </c>
      <c r="AG124" s="64">
        <v>88597.54</v>
      </c>
      <c r="AH124" s="64">
        <v>94508.15</v>
      </c>
      <c r="AI124" s="64">
        <v>90597.9</v>
      </c>
      <c r="AJ124" s="65">
        <v>34892.44</v>
      </c>
      <c r="AK124" s="35"/>
      <c r="AL124" s="295">
        <f>SUM(F124:AJ124)</f>
        <v>1468796.71</v>
      </c>
    </row>
    <row r="125" spans="2:103 15069:15461" s="3" customFormat="1">
      <c r="B125" s="121"/>
      <c r="C125" s="73" t="s">
        <v>44</v>
      </c>
      <c r="D125" s="14"/>
      <c r="E125" s="8" t="s">
        <v>16</v>
      </c>
      <c r="F125" s="10">
        <f t="shared" ref="F125:AH125" si="60">SUM(F128:F129)*9.75348</f>
        <v>110370.37968</v>
      </c>
      <c r="G125" s="10">
        <f t="shared" si="60"/>
        <v>384735.77207999997</v>
      </c>
      <c r="H125" s="10">
        <f t="shared" si="60"/>
        <v>76233.199679999991</v>
      </c>
      <c r="I125" s="10">
        <f t="shared" si="60"/>
        <v>38145.860280000001</v>
      </c>
      <c r="J125" s="10">
        <f t="shared" si="60"/>
        <v>0</v>
      </c>
      <c r="K125" s="10">
        <f t="shared" si="60"/>
        <v>73053.565199999997</v>
      </c>
      <c r="L125" s="10">
        <f t="shared" si="60"/>
        <v>0</v>
      </c>
      <c r="M125" s="10">
        <f t="shared" si="60"/>
        <v>0</v>
      </c>
      <c r="N125" s="10">
        <f t="shared" si="60"/>
        <v>25368.801479999998</v>
      </c>
      <c r="O125" s="10">
        <f t="shared" si="60"/>
        <v>38048.32548</v>
      </c>
      <c r="P125" s="10">
        <f t="shared" si="60"/>
        <v>76623.338879999996</v>
      </c>
      <c r="Q125" s="10">
        <f t="shared" si="60"/>
        <v>76194.185759999993</v>
      </c>
      <c r="R125" s="10">
        <f t="shared" si="60"/>
        <v>73268.141759999999</v>
      </c>
      <c r="S125" s="10">
        <f t="shared" si="60"/>
        <v>50718.095999999998</v>
      </c>
      <c r="T125" s="10">
        <f t="shared" si="60"/>
        <v>25515.10368</v>
      </c>
      <c r="U125" s="10">
        <f t="shared" si="60"/>
        <v>30947.79204</v>
      </c>
      <c r="V125" s="10">
        <f t="shared" si="60"/>
        <v>76291.720560000002</v>
      </c>
      <c r="W125" s="10">
        <f t="shared" si="60"/>
        <v>76077.144</v>
      </c>
      <c r="X125" s="10">
        <f t="shared" si="60"/>
        <v>69366.749759999992</v>
      </c>
      <c r="Y125" s="10">
        <f t="shared" si="60"/>
        <v>34098.166079999995</v>
      </c>
      <c r="Z125" s="10">
        <f t="shared" si="60"/>
        <v>0</v>
      </c>
      <c r="AA125" s="10">
        <f t="shared" si="60"/>
        <v>0</v>
      </c>
      <c r="AB125" s="10">
        <f t="shared" si="60"/>
        <v>204.82308</v>
      </c>
      <c r="AC125" s="10">
        <f t="shared" si="60"/>
        <v>67259.998080000005</v>
      </c>
      <c r="AD125" s="10">
        <f t="shared" si="60"/>
        <v>0</v>
      </c>
      <c r="AE125" s="10">
        <f t="shared" si="60"/>
        <v>69405.763680000004</v>
      </c>
      <c r="AF125" s="10">
        <f t="shared" si="60"/>
        <v>36195.164279999997</v>
      </c>
      <c r="AG125" s="10">
        <f t="shared" si="60"/>
        <v>88854.202799999999</v>
      </c>
      <c r="AH125" s="10">
        <f t="shared" si="60"/>
        <v>94686.783840000004</v>
      </c>
      <c r="AI125" s="10">
        <f t="shared" ref="AI125" si="61">SUM(AI128:AI129)*9.75348</f>
        <v>90853.666199999992</v>
      </c>
      <c r="AJ125" s="20">
        <f>SUM(AJ128:AJ129)*9.75348</f>
        <v>34897.951439999997</v>
      </c>
      <c r="AK125" s="36"/>
      <c r="AL125" s="114">
        <f>SUM(C125:S125)</f>
        <v>1022759.6662800001</v>
      </c>
    </row>
    <row r="126" spans="2:103 15069:15461" s="3" customFormat="1">
      <c r="B126" s="121"/>
      <c r="C126" s="73" t="s">
        <v>43</v>
      </c>
      <c r="D126" s="14"/>
      <c r="E126" s="8" t="s">
        <v>16</v>
      </c>
      <c r="F126" s="10">
        <f t="shared" ref="F126:AI126" si="62">F124-F125</f>
        <v>-448.30968000000576</v>
      </c>
      <c r="G126" s="10">
        <f t="shared" si="62"/>
        <v>-346344.45207999996</v>
      </c>
      <c r="H126" s="10">
        <f t="shared" si="62"/>
        <v>-81.099679999984801</v>
      </c>
      <c r="I126" s="10">
        <f t="shared" si="62"/>
        <v>-45.430280000000494</v>
      </c>
      <c r="J126" s="10">
        <f>J124-J125</f>
        <v>0</v>
      </c>
      <c r="K126" s="10">
        <f t="shared" si="62"/>
        <v>-207.89519999999902</v>
      </c>
      <c r="L126" s="10">
        <f t="shared" si="62"/>
        <v>0</v>
      </c>
      <c r="M126" s="10">
        <f t="shared" si="62"/>
        <v>0</v>
      </c>
      <c r="N126" s="10">
        <f t="shared" si="62"/>
        <v>-7.221479999996518</v>
      </c>
      <c r="O126" s="10">
        <f t="shared" si="62"/>
        <v>-5.6054799999983516</v>
      </c>
      <c r="P126" s="10">
        <f t="shared" si="62"/>
        <v>6.671119999999064</v>
      </c>
      <c r="Q126" s="10">
        <f t="shared" si="62"/>
        <v>-41.185759999993024</v>
      </c>
      <c r="R126" s="10">
        <f t="shared" si="62"/>
        <v>6.6682399999990594</v>
      </c>
      <c r="S126" s="10">
        <f t="shared" si="62"/>
        <v>5.0540000000037253</v>
      </c>
      <c r="T126" s="10">
        <f t="shared" si="62"/>
        <v>-6.3236800000013318</v>
      </c>
      <c r="U126" s="10">
        <f t="shared" si="62"/>
        <v>-34.04204000000027</v>
      </c>
      <c r="V126" s="10">
        <f t="shared" si="62"/>
        <v>-23.480559999996331</v>
      </c>
      <c r="W126" s="10">
        <f t="shared" si="62"/>
        <v>6.6760000000067521</v>
      </c>
      <c r="X126" s="10">
        <f t="shared" si="62"/>
        <v>-90.849759999997332</v>
      </c>
      <c r="Y126" s="10">
        <f t="shared" si="62"/>
        <v>-94.196079999994254</v>
      </c>
      <c r="Z126" s="10">
        <f t="shared" si="62"/>
        <v>0</v>
      </c>
      <c r="AA126" s="10">
        <f t="shared" si="62"/>
        <v>0</v>
      </c>
      <c r="AB126" s="10">
        <f t="shared" si="62"/>
        <v>-3.0800000000112959E-3</v>
      </c>
      <c r="AC126" s="10">
        <f t="shared" si="62"/>
        <v>-235.61808000000019</v>
      </c>
      <c r="AD126" s="10">
        <f t="shared" si="62"/>
        <v>0</v>
      </c>
      <c r="AE126" s="10">
        <f t="shared" si="62"/>
        <v>-89.943679999996675</v>
      </c>
      <c r="AF126" s="10">
        <f t="shared" si="62"/>
        <v>-190.82428000000073</v>
      </c>
      <c r="AG126" s="10">
        <f t="shared" si="62"/>
        <v>-256.66280000000552</v>
      </c>
      <c r="AH126" s="10">
        <f t="shared" si="62"/>
        <v>-178.63384000000951</v>
      </c>
      <c r="AI126" s="10">
        <f t="shared" si="62"/>
        <v>-255.76619999999821</v>
      </c>
      <c r="AJ126" s="20">
        <f>AJ124-AJ125</f>
        <v>-5.5114399999947636</v>
      </c>
      <c r="AK126" s="36"/>
      <c r="AL126" s="114">
        <f>SUM(C126:AJ126)</f>
        <v>-348617.98579999991</v>
      </c>
    </row>
    <row r="127" spans="2:103 15069:15461" s="3" customFormat="1">
      <c r="B127" s="121"/>
      <c r="C127" s="73" t="s">
        <v>33</v>
      </c>
      <c r="D127" s="14"/>
      <c r="E127" s="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50"/>
      <c r="AH127" s="50"/>
      <c r="AI127" s="50"/>
      <c r="AJ127" s="21"/>
      <c r="AK127" s="37"/>
      <c r="AL127" s="120" t="s">
        <v>33</v>
      </c>
    </row>
    <row r="128" spans="2:103 15069:15461" s="3" customFormat="1" ht="13.8">
      <c r="B128" s="121"/>
      <c r="C128" s="74" t="s">
        <v>48</v>
      </c>
      <c r="D128" s="14"/>
      <c r="E128" s="17" t="s">
        <v>36</v>
      </c>
      <c r="F128" s="7">
        <v>4243</v>
      </c>
      <c r="G128" s="7">
        <v>39446</v>
      </c>
      <c r="H128" s="7">
        <v>7816</v>
      </c>
      <c r="I128" s="7">
        <v>3905</v>
      </c>
      <c r="J128" s="7"/>
      <c r="K128" s="7"/>
      <c r="L128" s="7"/>
      <c r="M128" s="7"/>
      <c r="N128" s="7">
        <v>2601</v>
      </c>
      <c r="O128" s="7">
        <v>3901</v>
      </c>
      <c r="P128" s="7">
        <v>7856</v>
      </c>
      <c r="Q128" s="7">
        <v>7812</v>
      </c>
      <c r="R128" s="7">
        <v>7512</v>
      </c>
      <c r="S128" s="7">
        <v>5200</v>
      </c>
      <c r="T128" s="7">
        <v>2616</v>
      </c>
      <c r="U128" s="7">
        <v>3173</v>
      </c>
      <c r="V128" s="7">
        <v>7807</v>
      </c>
      <c r="W128" s="7">
        <v>7800</v>
      </c>
      <c r="X128" s="7">
        <v>7112</v>
      </c>
      <c r="Y128" s="7">
        <v>3496</v>
      </c>
      <c r="Z128" s="7"/>
      <c r="AA128" s="7"/>
      <c r="AB128" s="7"/>
      <c r="AC128" s="7"/>
      <c r="AD128" s="7"/>
      <c r="AE128" s="7">
        <v>7116</v>
      </c>
      <c r="AF128" s="7">
        <v>3711</v>
      </c>
      <c r="AG128" s="51">
        <v>9110</v>
      </c>
      <c r="AH128" s="51">
        <v>9708</v>
      </c>
      <c r="AI128" s="51">
        <v>9315</v>
      </c>
      <c r="AJ128" s="38">
        <v>3578</v>
      </c>
      <c r="AK128" s="39"/>
      <c r="AL128" s="207">
        <f>SUM(C128:AJ128)</f>
        <v>164834</v>
      </c>
    </row>
    <row r="129" spans="2:38" s="3" customFormat="1" ht="13.8">
      <c r="B129" s="121"/>
      <c r="C129" s="74" t="s">
        <v>47</v>
      </c>
      <c r="D129" s="14"/>
      <c r="E129" s="17" t="s">
        <v>36</v>
      </c>
      <c r="F129" s="7">
        <v>7073</v>
      </c>
      <c r="G129" s="7"/>
      <c r="H129" s="7"/>
      <c r="I129" s="7">
        <v>6</v>
      </c>
      <c r="J129" s="7"/>
      <c r="K129" s="7">
        <v>7490</v>
      </c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>
        <v>15</v>
      </c>
      <c r="W129" s="7"/>
      <c r="X129" s="7"/>
      <c r="Y129" s="7"/>
      <c r="Z129" s="7"/>
      <c r="AA129" s="7"/>
      <c r="AB129" s="7">
        <v>21</v>
      </c>
      <c r="AC129" s="7">
        <v>6896</v>
      </c>
      <c r="AD129" s="7"/>
      <c r="AE129" s="7"/>
      <c r="AF129" s="7"/>
      <c r="AG129" s="51"/>
      <c r="AH129" s="51"/>
      <c r="AI129" s="51"/>
      <c r="AJ129" s="38"/>
      <c r="AK129" s="39"/>
      <c r="AL129" s="207">
        <f>SUM(C129:AJ129)</f>
        <v>21501</v>
      </c>
    </row>
    <row r="130" spans="2:38" s="3" customFormat="1">
      <c r="B130" s="121"/>
      <c r="C130" s="73" t="s">
        <v>32</v>
      </c>
      <c r="D130" s="14"/>
      <c r="E130" s="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50"/>
      <c r="AH130" s="50"/>
      <c r="AI130" s="50"/>
      <c r="AJ130" s="21"/>
      <c r="AK130" s="37"/>
      <c r="AL130" s="120" t="s">
        <v>32</v>
      </c>
    </row>
    <row r="131" spans="2:38" s="3" customFormat="1" ht="13.8">
      <c r="B131" s="121"/>
      <c r="C131" s="74" t="s">
        <v>48</v>
      </c>
      <c r="D131" s="14"/>
      <c r="E131" s="8" t="s">
        <v>32</v>
      </c>
      <c r="F131" s="1">
        <f t="shared" ref="F131:AI131" si="63">F128*12</f>
        <v>50916</v>
      </c>
      <c r="G131" s="1">
        <f t="shared" si="63"/>
        <v>473352</v>
      </c>
      <c r="H131" s="1">
        <f t="shared" si="63"/>
        <v>93792</v>
      </c>
      <c r="I131" s="1">
        <f t="shared" si="63"/>
        <v>46860</v>
      </c>
      <c r="J131" s="1">
        <f t="shared" si="63"/>
        <v>0</v>
      </c>
      <c r="K131" s="1">
        <f t="shared" si="63"/>
        <v>0</v>
      </c>
      <c r="L131" s="1">
        <f t="shared" si="63"/>
        <v>0</v>
      </c>
      <c r="M131" s="1">
        <f t="shared" si="63"/>
        <v>0</v>
      </c>
      <c r="N131" s="1">
        <f t="shared" si="63"/>
        <v>31212</v>
      </c>
      <c r="O131" s="1">
        <f t="shared" si="63"/>
        <v>46812</v>
      </c>
      <c r="P131" s="1">
        <f t="shared" si="63"/>
        <v>94272</v>
      </c>
      <c r="Q131" s="1">
        <f t="shared" si="63"/>
        <v>93744</v>
      </c>
      <c r="R131" s="1">
        <f t="shared" si="63"/>
        <v>90144</v>
      </c>
      <c r="S131" s="1">
        <f t="shared" si="63"/>
        <v>62400</v>
      </c>
      <c r="T131" s="1">
        <f t="shared" si="63"/>
        <v>31392</v>
      </c>
      <c r="U131" s="1">
        <f t="shared" si="63"/>
        <v>38076</v>
      </c>
      <c r="V131" s="1">
        <f t="shared" si="63"/>
        <v>93684</v>
      </c>
      <c r="W131" s="1">
        <f t="shared" si="63"/>
        <v>93600</v>
      </c>
      <c r="X131" s="1">
        <f t="shared" si="63"/>
        <v>85344</v>
      </c>
      <c r="Y131" s="1">
        <f t="shared" si="63"/>
        <v>41952</v>
      </c>
      <c r="Z131" s="1">
        <f t="shared" si="63"/>
        <v>0</v>
      </c>
      <c r="AA131" s="1">
        <f t="shared" si="63"/>
        <v>0</v>
      </c>
      <c r="AB131" s="1">
        <f t="shared" si="63"/>
        <v>0</v>
      </c>
      <c r="AC131" s="1">
        <f t="shared" si="63"/>
        <v>0</v>
      </c>
      <c r="AD131" s="1">
        <f t="shared" si="63"/>
        <v>0</v>
      </c>
      <c r="AE131" s="1">
        <f t="shared" si="63"/>
        <v>85392</v>
      </c>
      <c r="AF131" s="1">
        <f t="shared" si="63"/>
        <v>44532</v>
      </c>
      <c r="AG131" s="1">
        <f t="shared" si="63"/>
        <v>109320</v>
      </c>
      <c r="AH131" s="1">
        <f t="shared" si="63"/>
        <v>116496</v>
      </c>
      <c r="AI131" s="1">
        <f t="shared" si="63"/>
        <v>111780</v>
      </c>
      <c r="AJ131" s="21">
        <f>AJ128*12</f>
        <v>42936</v>
      </c>
      <c r="AK131" s="37"/>
      <c r="AL131" s="103">
        <f>AL128*12</f>
        <v>1978008</v>
      </c>
    </row>
    <row r="132" spans="2:38" s="3" customFormat="1" ht="13.8">
      <c r="B132" s="121"/>
      <c r="C132" s="74" t="s">
        <v>47</v>
      </c>
      <c r="D132" s="14"/>
      <c r="E132" s="8" t="s">
        <v>32</v>
      </c>
      <c r="F132" s="1">
        <f t="shared" ref="F132:AI132" si="64">F129*6</f>
        <v>42438</v>
      </c>
      <c r="G132" s="1">
        <f t="shared" si="64"/>
        <v>0</v>
      </c>
      <c r="H132" s="1">
        <f t="shared" si="64"/>
        <v>0</v>
      </c>
      <c r="I132" s="1">
        <f t="shared" si="64"/>
        <v>36</v>
      </c>
      <c r="J132" s="1">
        <f t="shared" si="64"/>
        <v>0</v>
      </c>
      <c r="K132" s="1">
        <f t="shared" si="64"/>
        <v>44940</v>
      </c>
      <c r="L132" s="1">
        <f t="shared" si="64"/>
        <v>0</v>
      </c>
      <c r="M132" s="1">
        <f t="shared" si="64"/>
        <v>0</v>
      </c>
      <c r="N132" s="1">
        <f t="shared" si="64"/>
        <v>0</v>
      </c>
      <c r="O132" s="1">
        <f t="shared" si="64"/>
        <v>0</v>
      </c>
      <c r="P132" s="1">
        <f t="shared" si="64"/>
        <v>0</v>
      </c>
      <c r="Q132" s="1">
        <f t="shared" si="64"/>
        <v>0</v>
      </c>
      <c r="R132" s="1">
        <f t="shared" si="64"/>
        <v>0</v>
      </c>
      <c r="S132" s="1">
        <f t="shared" si="64"/>
        <v>0</v>
      </c>
      <c r="T132" s="1">
        <f t="shared" si="64"/>
        <v>0</v>
      </c>
      <c r="U132" s="1">
        <f t="shared" si="64"/>
        <v>0</v>
      </c>
      <c r="V132" s="1">
        <f t="shared" si="64"/>
        <v>90</v>
      </c>
      <c r="W132" s="1">
        <f t="shared" si="64"/>
        <v>0</v>
      </c>
      <c r="X132" s="1">
        <f t="shared" si="64"/>
        <v>0</v>
      </c>
      <c r="Y132" s="1">
        <f t="shared" si="64"/>
        <v>0</v>
      </c>
      <c r="Z132" s="1">
        <f t="shared" si="64"/>
        <v>0</v>
      </c>
      <c r="AA132" s="1">
        <f t="shared" si="64"/>
        <v>0</v>
      </c>
      <c r="AB132" s="1">
        <f t="shared" si="64"/>
        <v>126</v>
      </c>
      <c r="AC132" s="1">
        <f t="shared" si="64"/>
        <v>41376</v>
      </c>
      <c r="AD132" s="1">
        <f t="shared" si="64"/>
        <v>0</v>
      </c>
      <c r="AE132" s="1">
        <f t="shared" si="64"/>
        <v>0</v>
      </c>
      <c r="AF132" s="1">
        <f t="shared" si="64"/>
        <v>0</v>
      </c>
      <c r="AG132" s="1">
        <f t="shared" si="64"/>
        <v>0</v>
      </c>
      <c r="AH132" s="1">
        <f t="shared" si="64"/>
        <v>0</v>
      </c>
      <c r="AI132" s="1">
        <f t="shared" si="64"/>
        <v>0</v>
      </c>
      <c r="AJ132" s="21">
        <f>AJ129*6</f>
        <v>0</v>
      </c>
      <c r="AK132" s="37"/>
      <c r="AL132" s="103">
        <f>AL129*6</f>
        <v>129006</v>
      </c>
    </row>
    <row r="133" spans="2:38" s="3" customFormat="1">
      <c r="B133" s="121"/>
      <c r="C133" s="73" t="s">
        <v>41</v>
      </c>
      <c r="D133" s="14"/>
      <c r="E133" s="8" t="s">
        <v>40</v>
      </c>
      <c r="F133" s="1">
        <f t="shared" ref="F133:AI133" si="65">F124*45/1700</f>
        <v>2909.7018529411762</v>
      </c>
      <c r="G133" s="1">
        <f t="shared" si="65"/>
        <v>1016.2408235294117</v>
      </c>
      <c r="H133" s="1">
        <f t="shared" si="65"/>
        <v>2015.7908823529415</v>
      </c>
      <c r="I133" s="1">
        <f t="shared" si="65"/>
        <v>1008.5407941176471</v>
      </c>
      <c r="J133" s="1">
        <f t="shared" si="65"/>
        <v>0</v>
      </c>
      <c r="K133" s="1">
        <f t="shared" si="65"/>
        <v>1928.2677352941175</v>
      </c>
      <c r="L133" s="1">
        <f t="shared" si="65"/>
        <v>0</v>
      </c>
      <c r="M133" s="1">
        <f t="shared" si="65"/>
        <v>0</v>
      </c>
      <c r="N133" s="1">
        <f t="shared" si="65"/>
        <v>671.33594117647067</v>
      </c>
      <c r="O133" s="1">
        <f t="shared" si="65"/>
        <v>1007.0131764705883</v>
      </c>
      <c r="P133" s="1">
        <f t="shared" si="65"/>
        <v>2028.4414411764703</v>
      </c>
      <c r="Q133" s="1">
        <f t="shared" si="65"/>
        <v>2015.8147058823529</v>
      </c>
      <c r="R133" s="1">
        <f t="shared" si="65"/>
        <v>1939.6273235294116</v>
      </c>
      <c r="S133" s="1">
        <f t="shared" si="65"/>
        <v>1342.6716176470588</v>
      </c>
      <c r="T133" s="1">
        <f t="shared" si="65"/>
        <v>675.23241176470583</v>
      </c>
      <c r="U133" s="1">
        <f t="shared" si="65"/>
        <v>818.30514705882354</v>
      </c>
      <c r="V133" s="1">
        <f t="shared" si="65"/>
        <v>2018.8651764705885</v>
      </c>
      <c r="W133" s="1">
        <f t="shared" si="65"/>
        <v>2013.9834705882356</v>
      </c>
      <c r="X133" s="1">
        <f t="shared" si="65"/>
        <v>1833.7738235294114</v>
      </c>
      <c r="Y133" s="1">
        <f t="shared" si="65"/>
        <v>900.10508823529415</v>
      </c>
      <c r="Z133" s="1">
        <f t="shared" si="65"/>
        <v>0</v>
      </c>
      <c r="AA133" s="1">
        <f t="shared" si="65"/>
        <v>0</v>
      </c>
      <c r="AB133" s="1">
        <f t="shared" si="65"/>
        <v>5.4217058823529412</v>
      </c>
      <c r="AC133" s="1">
        <f t="shared" si="65"/>
        <v>1774.1747647058824</v>
      </c>
      <c r="AD133" s="1">
        <f t="shared" si="65"/>
        <v>0</v>
      </c>
      <c r="AE133" s="1">
        <f t="shared" si="65"/>
        <v>1834.8305294117649</v>
      </c>
      <c r="AF133" s="1">
        <f t="shared" si="65"/>
        <v>953.05605882352927</v>
      </c>
      <c r="AG133" s="1">
        <f t="shared" si="65"/>
        <v>2345.2289999999998</v>
      </c>
      <c r="AH133" s="1">
        <f t="shared" si="65"/>
        <v>2501.6863235294118</v>
      </c>
      <c r="AI133" s="1">
        <f t="shared" si="65"/>
        <v>2398.1797058823527</v>
      </c>
      <c r="AJ133" s="21">
        <f>AJ124*45/1700</f>
        <v>923.62341176470591</v>
      </c>
      <c r="AK133" s="37"/>
      <c r="AL133" s="103">
        <f>SUM(C133:AJ133)</f>
        <v>38879.912911764703</v>
      </c>
    </row>
    <row r="134" spans="2:38" s="3" customFormat="1">
      <c r="B134" s="121"/>
      <c r="C134" s="73" t="s">
        <v>39</v>
      </c>
      <c r="D134" s="14"/>
      <c r="E134" s="8" t="s">
        <v>38</v>
      </c>
      <c r="F134" s="1">
        <f>SUM(F128:F129)/500</f>
        <v>22.632000000000001</v>
      </c>
      <c r="G134" s="1">
        <f t="shared" ref="G134:AH134" si="66">SUM(G128:G129)/500</f>
        <v>78.891999999999996</v>
      </c>
      <c r="H134" s="1">
        <f t="shared" si="66"/>
        <v>15.632</v>
      </c>
      <c r="I134" s="1">
        <f t="shared" si="66"/>
        <v>7.8220000000000001</v>
      </c>
      <c r="J134" s="1">
        <f t="shared" si="66"/>
        <v>0</v>
      </c>
      <c r="K134" s="1">
        <f t="shared" si="66"/>
        <v>14.98</v>
      </c>
      <c r="L134" s="1">
        <f t="shared" si="66"/>
        <v>0</v>
      </c>
      <c r="M134" s="1">
        <f t="shared" si="66"/>
        <v>0</v>
      </c>
      <c r="N134" s="1">
        <f t="shared" si="66"/>
        <v>5.202</v>
      </c>
      <c r="O134" s="1">
        <f t="shared" si="66"/>
        <v>7.8019999999999996</v>
      </c>
      <c r="P134" s="1">
        <f t="shared" si="66"/>
        <v>15.712</v>
      </c>
      <c r="Q134" s="1">
        <f t="shared" si="66"/>
        <v>15.624000000000001</v>
      </c>
      <c r="R134" s="1">
        <f t="shared" si="66"/>
        <v>15.023999999999999</v>
      </c>
      <c r="S134" s="1">
        <f t="shared" si="66"/>
        <v>10.4</v>
      </c>
      <c r="T134" s="1">
        <f t="shared" si="66"/>
        <v>5.2320000000000002</v>
      </c>
      <c r="U134" s="1">
        <f t="shared" si="66"/>
        <v>6.3460000000000001</v>
      </c>
      <c r="V134" s="1">
        <f t="shared" si="66"/>
        <v>15.644</v>
      </c>
      <c r="W134" s="1">
        <f t="shared" si="66"/>
        <v>15.6</v>
      </c>
      <c r="X134" s="1">
        <f t="shared" si="66"/>
        <v>14.224</v>
      </c>
      <c r="Y134" s="1">
        <f t="shared" si="66"/>
        <v>6.992</v>
      </c>
      <c r="Z134" s="1">
        <f t="shared" si="66"/>
        <v>0</v>
      </c>
      <c r="AA134" s="1">
        <f t="shared" si="66"/>
        <v>0</v>
      </c>
      <c r="AB134" s="1">
        <f t="shared" si="66"/>
        <v>4.2000000000000003E-2</v>
      </c>
      <c r="AC134" s="1">
        <f t="shared" si="66"/>
        <v>13.792</v>
      </c>
      <c r="AD134" s="1">
        <f t="shared" si="66"/>
        <v>0</v>
      </c>
      <c r="AE134" s="1">
        <f t="shared" si="66"/>
        <v>14.231999999999999</v>
      </c>
      <c r="AF134" s="1">
        <f t="shared" si="66"/>
        <v>7.4219999999999997</v>
      </c>
      <c r="AG134" s="1">
        <f t="shared" si="66"/>
        <v>18.22</v>
      </c>
      <c r="AH134" s="1">
        <f t="shared" si="66"/>
        <v>19.416</v>
      </c>
      <c r="AI134" s="1">
        <f t="shared" ref="AI134" si="67">SUM(AI128:AI129)/500</f>
        <v>18.63</v>
      </c>
      <c r="AJ134" s="21">
        <f>SUM(AJ128:AJ129)/500</f>
        <v>7.1559999999999997</v>
      </c>
      <c r="AK134" s="37"/>
      <c r="AL134" s="103">
        <f>SUM(C134:AJ134)</f>
        <v>372.66999999999996</v>
      </c>
    </row>
    <row r="135" spans="2:38" s="3" customFormat="1" ht="13.8">
      <c r="B135" s="121"/>
      <c r="C135" s="71" t="s">
        <v>37</v>
      </c>
      <c r="D135" s="210"/>
      <c r="E135" s="18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52"/>
      <c r="AH135" s="52"/>
      <c r="AI135" s="52"/>
      <c r="AJ135" s="60"/>
      <c r="AK135" s="214"/>
      <c r="AL135" s="151" t="s">
        <v>34</v>
      </c>
    </row>
    <row r="136" spans="2:38" s="3" customFormat="1">
      <c r="B136" s="121"/>
      <c r="C136" s="73" t="s">
        <v>33</v>
      </c>
      <c r="D136" s="14"/>
      <c r="E136" s="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50"/>
      <c r="AH136" s="50"/>
      <c r="AI136" s="50"/>
      <c r="AJ136" s="21"/>
      <c r="AK136" s="36"/>
      <c r="AL136" s="120" t="s">
        <v>33</v>
      </c>
    </row>
    <row r="137" spans="2:38" s="3" customFormat="1" ht="13.8">
      <c r="B137" s="121"/>
      <c r="C137" s="74" t="s">
        <v>48</v>
      </c>
      <c r="D137" s="14"/>
      <c r="E137" s="8" t="s">
        <v>36</v>
      </c>
      <c r="F137" s="7">
        <v>10</v>
      </c>
      <c r="G137" s="7">
        <v>10</v>
      </c>
      <c r="H137" s="7">
        <v>9</v>
      </c>
      <c r="I137" s="7">
        <v>5</v>
      </c>
      <c r="J137" s="7"/>
      <c r="K137" s="7"/>
      <c r="L137" s="7"/>
      <c r="M137" s="7"/>
      <c r="N137" s="7">
        <v>1</v>
      </c>
      <c r="O137" s="7">
        <v>1</v>
      </c>
      <c r="P137" s="7"/>
      <c r="Q137" s="7">
        <v>5</v>
      </c>
      <c r="R137" s="7"/>
      <c r="S137" s="7"/>
      <c r="T137" s="7">
        <v>1</v>
      </c>
      <c r="U137" s="7">
        <v>4</v>
      </c>
      <c r="V137" s="7">
        <v>3</v>
      </c>
      <c r="W137" s="7"/>
      <c r="X137" s="7">
        <v>10</v>
      </c>
      <c r="Y137" s="7">
        <v>10</v>
      </c>
      <c r="Z137" s="7"/>
      <c r="AA137" s="7"/>
      <c r="AB137" s="7"/>
      <c r="AC137" s="7"/>
      <c r="AD137" s="7"/>
      <c r="AE137" s="7">
        <v>10</v>
      </c>
      <c r="AF137" s="7">
        <v>20</v>
      </c>
      <c r="AG137" s="51">
        <v>27</v>
      </c>
      <c r="AH137" s="51">
        <v>19</v>
      </c>
      <c r="AI137" s="51">
        <v>27</v>
      </c>
      <c r="AJ137" s="38">
        <v>1</v>
      </c>
      <c r="AK137" s="36"/>
      <c r="AL137" s="103">
        <f>SUM(C137:AJ137)</f>
        <v>173</v>
      </c>
    </row>
    <row r="138" spans="2:38" s="3" customFormat="1" ht="13.8">
      <c r="B138" s="121"/>
      <c r="C138" s="74" t="s">
        <v>47</v>
      </c>
      <c r="D138" s="14"/>
      <c r="E138" s="8" t="s">
        <v>36</v>
      </c>
      <c r="F138" s="7">
        <v>37</v>
      </c>
      <c r="G138" s="7"/>
      <c r="H138" s="7"/>
      <c r="I138" s="7"/>
      <c r="J138" s="7"/>
      <c r="K138" s="7">
        <v>22</v>
      </c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>
        <v>25</v>
      </c>
      <c r="AD138" s="7"/>
      <c r="AE138" s="7"/>
      <c r="AF138" s="7"/>
      <c r="AG138" s="51"/>
      <c r="AH138" s="51"/>
      <c r="AI138" s="51"/>
      <c r="AJ138" s="38"/>
      <c r="AK138" s="36"/>
      <c r="AL138" s="103">
        <f>SUM(C138:AJ138)</f>
        <v>84</v>
      </c>
    </row>
    <row r="139" spans="2:38" s="3" customFormat="1">
      <c r="B139" s="121"/>
      <c r="C139" s="73" t="s">
        <v>32</v>
      </c>
      <c r="D139" s="14"/>
      <c r="E139" s="5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51"/>
      <c r="AH139" s="51"/>
      <c r="AI139" s="51"/>
      <c r="AJ139" s="38"/>
      <c r="AK139" s="36"/>
      <c r="AL139" s="120" t="s">
        <v>32</v>
      </c>
    </row>
    <row r="140" spans="2:38" s="3" customFormat="1" ht="13.8">
      <c r="B140" s="121"/>
      <c r="C140" s="74" t="str">
        <f>C137</f>
        <v xml:space="preserve">INL SP 900 mL  </v>
      </c>
      <c r="D140" s="14"/>
      <c r="E140" s="8" t="s">
        <v>32</v>
      </c>
      <c r="F140" s="7">
        <f>F137*12</f>
        <v>120</v>
      </c>
      <c r="G140" s="7">
        <f t="shared" ref="G140:AJ140" si="68">G137*12</f>
        <v>120</v>
      </c>
      <c r="H140" s="7">
        <f t="shared" si="68"/>
        <v>108</v>
      </c>
      <c r="I140" s="7">
        <f t="shared" si="68"/>
        <v>60</v>
      </c>
      <c r="J140" s="7">
        <f t="shared" si="68"/>
        <v>0</v>
      </c>
      <c r="K140" s="7">
        <f t="shared" si="68"/>
        <v>0</v>
      </c>
      <c r="L140" s="7">
        <f t="shared" si="68"/>
        <v>0</v>
      </c>
      <c r="M140" s="7">
        <f t="shared" si="68"/>
        <v>0</v>
      </c>
      <c r="N140" s="7">
        <f t="shared" si="68"/>
        <v>12</v>
      </c>
      <c r="O140" s="7">
        <f t="shared" si="68"/>
        <v>12</v>
      </c>
      <c r="P140" s="7">
        <f t="shared" si="68"/>
        <v>0</v>
      </c>
      <c r="Q140" s="7">
        <f t="shared" si="68"/>
        <v>60</v>
      </c>
      <c r="R140" s="7">
        <f t="shared" si="68"/>
        <v>0</v>
      </c>
      <c r="S140" s="7">
        <f t="shared" si="68"/>
        <v>0</v>
      </c>
      <c r="T140" s="7">
        <f t="shared" si="68"/>
        <v>12</v>
      </c>
      <c r="U140" s="7">
        <f t="shared" si="68"/>
        <v>48</v>
      </c>
      <c r="V140" s="7">
        <f t="shared" si="68"/>
        <v>36</v>
      </c>
      <c r="W140" s="7">
        <f t="shared" si="68"/>
        <v>0</v>
      </c>
      <c r="X140" s="7">
        <f t="shared" si="68"/>
        <v>120</v>
      </c>
      <c r="Y140" s="7">
        <f t="shared" si="68"/>
        <v>120</v>
      </c>
      <c r="Z140" s="7">
        <f t="shared" si="68"/>
        <v>0</v>
      </c>
      <c r="AA140" s="7">
        <f t="shared" si="68"/>
        <v>0</v>
      </c>
      <c r="AB140" s="7">
        <f t="shared" si="68"/>
        <v>0</v>
      </c>
      <c r="AC140" s="7">
        <f t="shared" si="68"/>
        <v>0</v>
      </c>
      <c r="AD140" s="7">
        <f t="shared" si="68"/>
        <v>0</v>
      </c>
      <c r="AE140" s="7">
        <f t="shared" si="68"/>
        <v>120</v>
      </c>
      <c r="AF140" s="7">
        <f t="shared" si="68"/>
        <v>240</v>
      </c>
      <c r="AG140" s="7">
        <f t="shared" si="68"/>
        <v>324</v>
      </c>
      <c r="AH140" s="7">
        <f t="shared" si="68"/>
        <v>228</v>
      </c>
      <c r="AI140" s="7">
        <f t="shared" si="68"/>
        <v>324</v>
      </c>
      <c r="AJ140" s="38">
        <f t="shared" si="68"/>
        <v>12</v>
      </c>
      <c r="AK140" s="36"/>
      <c r="AL140" s="103">
        <f>SUM(C140:AJ140)</f>
        <v>2076</v>
      </c>
    </row>
    <row r="141" spans="2:38" s="3" customFormat="1" ht="13.8">
      <c r="B141" s="121"/>
      <c r="C141" s="74" t="str">
        <f>C138</f>
        <v>INL SP 1,8 L</v>
      </c>
      <c r="D141" s="14"/>
      <c r="E141" s="8" t="s">
        <v>32</v>
      </c>
      <c r="F141" s="7">
        <f>F138*6</f>
        <v>222</v>
      </c>
      <c r="G141" s="7">
        <f t="shared" ref="G141:AJ141" si="69">G138*6</f>
        <v>0</v>
      </c>
      <c r="H141" s="7">
        <f t="shared" si="69"/>
        <v>0</v>
      </c>
      <c r="I141" s="7">
        <f t="shared" si="69"/>
        <v>0</v>
      </c>
      <c r="J141" s="7">
        <f t="shared" si="69"/>
        <v>0</v>
      </c>
      <c r="K141" s="7">
        <f t="shared" si="69"/>
        <v>132</v>
      </c>
      <c r="L141" s="7">
        <f t="shared" si="69"/>
        <v>0</v>
      </c>
      <c r="M141" s="7">
        <f t="shared" si="69"/>
        <v>0</v>
      </c>
      <c r="N141" s="7">
        <f t="shared" si="69"/>
        <v>0</v>
      </c>
      <c r="O141" s="7">
        <f t="shared" si="69"/>
        <v>0</v>
      </c>
      <c r="P141" s="7">
        <f t="shared" si="69"/>
        <v>0</v>
      </c>
      <c r="Q141" s="7">
        <f t="shared" si="69"/>
        <v>0</v>
      </c>
      <c r="R141" s="7">
        <f t="shared" si="69"/>
        <v>0</v>
      </c>
      <c r="S141" s="7">
        <f t="shared" si="69"/>
        <v>0</v>
      </c>
      <c r="T141" s="7">
        <f t="shared" si="69"/>
        <v>0</v>
      </c>
      <c r="U141" s="7">
        <f t="shared" si="69"/>
        <v>0</v>
      </c>
      <c r="V141" s="7">
        <f t="shared" si="69"/>
        <v>0</v>
      </c>
      <c r="W141" s="7">
        <f t="shared" si="69"/>
        <v>0</v>
      </c>
      <c r="X141" s="7">
        <f t="shared" si="69"/>
        <v>0</v>
      </c>
      <c r="Y141" s="7">
        <f t="shared" si="69"/>
        <v>0</v>
      </c>
      <c r="Z141" s="7">
        <f t="shared" si="69"/>
        <v>0</v>
      </c>
      <c r="AA141" s="7">
        <f t="shared" si="69"/>
        <v>0</v>
      </c>
      <c r="AB141" s="7">
        <f t="shared" si="69"/>
        <v>0</v>
      </c>
      <c r="AC141" s="7">
        <f t="shared" si="69"/>
        <v>150</v>
      </c>
      <c r="AD141" s="7">
        <f t="shared" si="69"/>
        <v>0</v>
      </c>
      <c r="AE141" s="7">
        <f t="shared" si="69"/>
        <v>0</v>
      </c>
      <c r="AF141" s="7">
        <f t="shared" si="69"/>
        <v>0</v>
      </c>
      <c r="AG141" s="7">
        <f t="shared" si="69"/>
        <v>0</v>
      </c>
      <c r="AH141" s="7">
        <f t="shared" si="69"/>
        <v>0</v>
      </c>
      <c r="AI141" s="7">
        <f t="shared" si="69"/>
        <v>0</v>
      </c>
      <c r="AJ141" s="82">
        <f t="shared" si="69"/>
        <v>0</v>
      </c>
      <c r="AK141" s="36"/>
      <c r="AL141" s="103">
        <f>SUM(C141:AJ141)</f>
        <v>504</v>
      </c>
    </row>
    <row r="142" spans="2:38" s="3" customFormat="1" ht="13.8">
      <c r="B142" s="121"/>
      <c r="C142" s="71" t="s">
        <v>35</v>
      </c>
      <c r="D142" s="210"/>
      <c r="E142" s="15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53"/>
      <c r="AH142" s="53"/>
      <c r="AI142" s="53"/>
      <c r="AJ142" s="61"/>
      <c r="AK142" s="214"/>
      <c r="AL142" s="215"/>
    </row>
    <row r="143" spans="2:38" s="3" customFormat="1">
      <c r="B143" s="121"/>
      <c r="C143" s="73" t="s">
        <v>33</v>
      </c>
      <c r="D143" s="14"/>
      <c r="E143" s="8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51"/>
      <c r="AH143" s="51"/>
      <c r="AI143" s="51"/>
      <c r="AJ143" s="38"/>
      <c r="AK143" s="36"/>
      <c r="AL143" s="103"/>
    </row>
    <row r="144" spans="2:38" s="3" customFormat="1" ht="13.8">
      <c r="B144" s="121"/>
      <c r="C144" s="74" t="s">
        <v>48</v>
      </c>
      <c r="D144" s="14"/>
      <c r="E144" s="8" t="s">
        <v>29</v>
      </c>
      <c r="F144" s="7">
        <f>F137/F128*100</f>
        <v>0.23568230025925052</v>
      </c>
      <c r="G144" s="7">
        <f t="shared" ref="G144:AI145" si="70">G137/G128*100</f>
        <v>2.5351112913856919E-2</v>
      </c>
      <c r="H144" s="7">
        <f t="shared" si="70"/>
        <v>0.11514841351074719</v>
      </c>
      <c r="I144" s="7">
        <f t="shared" si="70"/>
        <v>0.12804097311139565</v>
      </c>
      <c r="J144" s="7" t="e">
        <f t="shared" si="70"/>
        <v>#DIV/0!</v>
      </c>
      <c r="K144" s="7" t="e">
        <f>K137/K128*100</f>
        <v>#DIV/0!</v>
      </c>
      <c r="L144" s="7" t="e">
        <f t="shared" si="70"/>
        <v>#DIV/0!</v>
      </c>
      <c r="M144" s="7" t="e">
        <f t="shared" si="70"/>
        <v>#DIV/0!</v>
      </c>
      <c r="N144" s="7">
        <f t="shared" si="70"/>
        <v>3.844675124951942E-2</v>
      </c>
      <c r="O144" s="7">
        <f t="shared" si="70"/>
        <v>2.5634452704434759E-2</v>
      </c>
      <c r="P144" s="7">
        <f t="shared" si="70"/>
        <v>0</v>
      </c>
      <c r="Q144" s="7">
        <f t="shared" si="70"/>
        <v>6.4004096262160776E-2</v>
      </c>
      <c r="R144" s="7">
        <f t="shared" si="70"/>
        <v>0</v>
      </c>
      <c r="S144" s="7">
        <f t="shared" si="70"/>
        <v>0</v>
      </c>
      <c r="T144" s="7">
        <f t="shared" si="70"/>
        <v>3.82262996941896E-2</v>
      </c>
      <c r="U144" s="7">
        <f t="shared" si="70"/>
        <v>0.12606366214938544</v>
      </c>
      <c r="V144" s="7">
        <f t="shared" si="70"/>
        <v>3.8427052645062125E-2</v>
      </c>
      <c r="W144" s="7">
        <f t="shared" si="70"/>
        <v>0</v>
      </c>
      <c r="X144" s="7">
        <f t="shared" si="70"/>
        <v>0.14060742407199101</v>
      </c>
      <c r="Y144" s="7">
        <f t="shared" si="70"/>
        <v>0.28604118993135008</v>
      </c>
      <c r="Z144" s="7" t="e">
        <f t="shared" si="70"/>
        <v>#DIV/0!</v>
      </c>
      <c r="AA144" s="7" t="e">
        <f t="shared" si="70"/>
        <v>#DIV/0!</v>
      </c>
      <c r="AB144" s="7" t="e">
        <f t="shared" si="70"/>
        <v>#DIV/0!</v>
      </c>
      <c r="AC144" s="7" t="e">
        <f t="shared" si="70"/>
        <v>#DIV/0!</v>
      </c>
      <c r="AD144" s="7" t="e">
        <f t="shared" si="70"/>
        <v>#DIV/0!</v>
      </c>
      <c r="AE144" s="7">
        <f t="shared" si="70"/>
        <v>0.1405283867341203</v>
      </c>
      <c r="AF144" s="7">
        <f t="shared" si="70"/>
        <v>0.53893829156561579</v>
      </c>
      <c r="AG144" s="7">
        <f t="shared" si="70"/>
        <v>0.29637760702524696</v>
      </c>
      <c r="AH144" s="7">
        <f t="shared" si="70"/>
        <v>0.1957148743304491</v>
      </c>
      <c r="AI144" s="7">
        <f t="shared" si="70"/>
        <v>0.28985507246376813</v>
      </c>
      <c r="AJ144" s="38">
        <f>AJ137/AJ128*100</f>
        <v>2.7948574622694244E-2</v>
      </c>
      <c r="AK144" s="39"/>
      <c r="AL144" s="103" t="e">
        <f>SUM(C144:AJ144)</f>
        <v>#DIV/0!</v>
      </c>
    </row>
    <row r="145" spans="2:103 15069:15461" s="3" customFormat="1" ht="13.8">
      <c r="B145" s="121"/>
      <c r="C145" s="74" t="s">
        <v>103</v>
      </c>
      <c r="D145" s="14"/>
      <c r="E145" s="8" t="s">
        <v>29</v>
      </c>
      <c r="F145" s="7">
        <f>F138/F129*100</f>
        <v>0.52311607521560866</v>
      </c>
      <c r="G145" s="7" t="e">
        <f t="shared" si="70"/>
        <v>#DIV/0!</v>
      </c>
      <c r="H145" s="7" t="e">
        <f t="shared" si="70"/>
        <v>#DIV/0!</v>
      </c>
      <c r="I145" s="7">
        <f>I138/I129*100</f>
        <v>0</v>
      </c>
      <c r="J145" s="7" t="e">
        <f t="shared" si="70"/>
        <v>#DIV/0!</v>
      </c>
      <c r="K145" s="7">
        <f t="shared" si="70"/>
        <v>0.29372496662216291</v>
      </c>
      <c r="L145" s="7" t="e">
        <f t="shared" si="70"/>
        <v>#DIV/0!</v>
      </c>
      <c r="M145" s="7" t="e">
        <f t="shared" si="70"/>
        <v>#DIV/0!</v>
      </c>
      <c r="N145" s="7" t="e">
        <f t="shared" si="70"/>
        <v>#DIV/0!</v>
      </c>
      <c r="O145" s="7" t="e">
        <f t="shared" si="70"/>
        <v>#DIV/0!</v>
      </c>
      <c r="P145" s="7" t="e">
        <f t="shared" si="70"/>
        <v>#DIV/0!</v>
      </c>
      <c r="Q145" s="7" t="e">
        <f t="shared" si="70"/>
        <v>#DIV/0!</v>
      </c>
      <c r="R145" s="7" t="e">
        <f t="shared" si="70"/>
        <v>#DIV/0!</v>
      </c>
      <c r="S145" s="7" t="e">
        <f t="shared" si="70"/>
        <v>#DIV/0!</v>
      </c>
      <c r="T145" s="7" t="e">
        <f t="shared" si="70"/>
        <v>#DIV/0!</v>
      </c>
      <c r="U145" s="7" t="e">
        <f t="shared" si="70"/>
        <v>#DIV/0!</v>
      </c>
      <c r="V145" s="7">
        <f t="shared" si="70"/>
        <v>0</v>
      </c>
      <c r="W145" s="7" t="e">
        <f t="shared" si="70"/>
        <v>#DIV/0!</v>
      </c>
      <c r="X145" s="7" t="e">
        <f t="shared" si="70"/>
        <v>#DIV/0!</v>
      </c>
      <c r="Y145" s="7" t="e">
        <f t="shared" si="70"/>
        <v>#DIV/0!</v>
      </c>
      <c r="Z145" s="7" t="e">
        <f t="shared" si="70"/>
        <v>#DIV/0!</v>
      </c>
      <c r="AA145" s="7" t="e">
        <f t="shared" si="70"/>
        <v>#DIV/0!</v>
      </c>
      <c r="AB145" s="7">
        <f t="shared" si="70"/>
        <v>0</v>
      </c>
      <c r="AC145" s="7">
        <f t="shared" si="70"/>
        <v>0.36252900232018559</v>
      </c>
      <c r="AD145" s="7" t="e">
        <f t="shared" si="70"/>
        <v>#DIV/0!</v>
      </c>
      <c r="AE145" s="7" t="e">
        <f t="shared" si="70"/>
        <v>#DIV/0!</v>
      </c>
      <c r="AF145" s="7" t="e">
        <f t="shared" si="70"/>
        <v>#DIV/0!</v>
      </c>
      <c r="AG145" s="7" t="e">
        <f t="shared" si="70"/>
        <v>#DIV/0!</v>
      </c>
      <c r="AH145" s="7" t="e">
        <f t="shared" si="70"/>
        <v>#DIV/0!</v>
      </c>
      <c r="AI145" s="7" t="e">
        <f t="shared" si="70"/>
        <v>#DIV/0!</v>
      </c>
      <c r="AJ145" s="38" t="e">
        <f>AJ138/AJ129*100</f>
        <v>#DIV/0!</v>
      </c>
      <c r="AK145" s="39"/>
      <c r="AL145" s="103" t="e">
        <f>SUM(C145:AJ145)</f>
        <v>#DIV/0!</v>
      </c>
    </row>
    <row r="146" spans="2:103 15069:15461" s="3" customFormat="1">
      <c r="B146" s="121"/>
      <c r="C146" s="73" t="s">
        <v>32</v>
      </c>
      <c r="D146" s="14"/>
      <c r="E146" s="5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38"/>
      <c r="AK146" s="39"/>
      <c r="AL146" s="103"/>
    </row>
    <row r="147" spans="2:103 15069:15461" s="3" customFormat="1" ht="13.8">
      <c r="B147" s="121"/>
      <c r="C147" s="74" t="s">
        <v>48</v>
      </c>
      <c r="D147" s="14"/>
      <c r="E147" s="8" t="s">
        <v>29</v>
      </c>
      <c r="F147" s="7">
        <f>F140/F131*100</f>
        <v>0.23568230025925052</v>
      </c>
      <c r="G147" s="7">
        <f t="shared" ref="F147:AI148" si="71">G140/G131*100</f>
        <v>2.5351112913856919E-2</v>
      </c>
      <c r="H147" s="7">
        <f t="shared" si="71"/>
        <v>0.11514841351074719</v>
      </c>
      <c r="I147" s="7">
        <f t="shared" si="71"/>
        <v>0.12804097311139565</v>
      </c>
      <c r="J147" s="7" t="e">
        <f t="shared" si="71"/>
        <v>#DIV/0!</v>
      </c>
      <c r="K147" s="7" t="e">
        <f t="shared" si="71"/>
        <v>#DIV/0!</v>
      </c>
      <c r="L147" s="7" t="e">
        <f t="shared" si="71"/>
        <v>#DIV/0!</v>
      </c>
      <c r="M147" s="7" t="e">
        <f t="shared" si="71"/>
        <v>#DIV/0!</v>
      </c>
      <c r="N147" s="7">
        <f t="shared" si="71"/>
        <v>3.844675124951942E-2</v>
      </c>
      <c r="O147" s="7">
        <f t="shared" si="71"/>
        <v>2.5634452704434759E-2</v>
      </c>
      <c r="P147" s="7">
        <f t="shared" si="71"/>
        <v>0</v>
      </c>
      <c r="Q147" s="7">
        <f t="shared" si="71"/>
        <v>6.4004096262160776E-2</v>
      </c>
      <c r="R147" s="7">
        <f t="shared" si="71"/>
        <v>0</v>
      </c>
      <c r="S147" s="7">
        <f t="shared" si="71"/>
        <v>0</v>
      </c>
      <c r="T147" s="7">
        <f t="shared" si="71"/>
        <v>3.82262996941896E-2</v>
      </c>
      <c r="U147" s="7">
        <f t="shared" si="71"/>
        <v>0.12606366214938544</v>
      </c>
      <c r="V147" s="7">
        <f t="shared" si="71"/>
        <v>3.8427052645062125E-2</v>
      </c>
      <c r="W147" s="7">
        <f t="shared" si="71"/>
        <v>0</v>
      </c>
      <c r="X147" s="7">
        <f t="shared" si="71"/>
        <v>0.14060742407199101</v>
      </c>
      <c r="Y147" s="7">
        <f t="shared" si="71"/>
        <v>0.28604118993135008</v>
      </c>
      <c r="Z147" s="7" t="e">
        <f t="shared" si="71"/>
        <v>#DIV/0!</v>
      </c>
      <c r="AA147" s="7" t="e">
        <f t="shared" si="71"/>
        <v>#DIV/0!</v>
      </c>
      <c r="AB147" s="7" t="e">
        <f t="shared" si="71"/>
        <v>#DIV/0!</v>
      </c>
      <c r="AC147" s="7" t="e">
        <f t="shared" si="71"/>
        <v>#DIV/0!</v>
      </c>
      <c r="AD147" s="7" t="e">
        <f t="shared" si="71"/>
        <v>#DIV/0!</v>
      </c>
      <c r="AE147" s="7">
        <f t="shared" si="71"/>
        <v>0.1405283867341203</v>
      </c>
      <c r="AF147" s="7">
        <f t="shared" si="71"/>
        <v>0.53893829156561579</v>
      </c>
      <c r="AG147" s="7">
        <f t="shared" si="71"/>
        <v>0.29637760702524696</v>
      </c>
      <c r="AH147" s="7">
        <f t="shared" si="71"/>
        <v>0.1957148743304491</v>
      </c>
      <c r="AI147" s="7">
        <f t="shared" si="71"/>
        <v>0.28985507246376813</v>
      </c>
      <c r="AJ147" s="38">
        <f>AJ140/AJ131*100</f>
        <v>2.7948574622694244E-2</v>
      </c>
      <c r="AK147" s="39"/>
      <c r="AL147" s="103" t="e">
        <f>SUM(C147:AJ147)</f>
        <v>#DIV/0!</v>
      </c>
    </row>
    <row r="148" spans="2:103 15069:15461" s="3" customFormat="1" thickBot="1">
      <c r="B148" s="157"/>
      <c r="C148" s="74" t="s">
        <v>103</v>
      </c>
      <c r="D148" s="14"/>
      <c r="E148" s="8" t="s">
        <v>29</v>
      </c>
      <c r="F148" s="7">
        <f t="shared" si="71"/>
        <v>0.52311607521560866</v>
      </c>
      <c r="G148" s="7" t="e">
        <f t="shared" si="71"/>
        <v>#DIV/0!</v>
      </c>
      <c r="H148" s="7" t="e">
        <f t="shared" si="71"/>
        <v>#DIV/0!</v>
      </c>
      <c r="I148" s="7">
        <f t="shared" si="71"/>
        <v>0</v>
      </c>
      <c r="J148" s="7" t="e">
        <f t="shared" si="71"/>
        <v>#DIV/0!</v>
      </c>
      <c r="K148" s="7">
        <f t="shared" si="71"/>
        <v>0.29372496662216291</v>
      </c>
      <c r="L148" s="7" t="e">
        <f t="shared" si="71"/>
        <v>#DIV/0!</v>
      </c>
      <c r="M148" s="7" t="e">
        <f t="shared" si="71"/>
        <v>#DIV/0!</v>
      </c>
      <c r="N148" s="7" t="e">
        <f t="shared" si="71"/>
        <v>#DIV/0!</v>
      </c>
      <c r="O148" s="7" t="e">
        <f t="shared" si="71"/>
        <v>#DIV/0!</v>
      </c>
      <c r="P148" s="7" t="e">
        <f t="shared" si="71"/>
        <v>#DIV/0!</v>
      </c>
      <c r="Q148" s="7" t="e">
        <f t="shared" si="71"/>
        <v>#DIV/0!</v>
      </c>
      <c r="R148" s="7" t="e">
        <f t="shared" si="71"/>
        <v>#DIV/0!</v>
      </c>
      <c r="S148" s="7" t="e">
        <f t="shared" si="71"/>
        <v>#DIV/0!</v>
      </c>
      <c r="T148" s="7" t="e">
        <f t="shared" si="71"/>
        <v>#DIV/0!</v>
      </c>
      <c r="U148" s="7" t="e">
        <f t="shared" si="71"/>
        <v>#DIV/0!</v>
      </c>
      <c r="V148" s="7">
        <f t="shared" si="71"/>
        <v>0</v>
      </c>
      <c r="W148" s="7" t="e">
        <f t="shared" si="71"/>
        <v>#DIV/0!</v>
      </c>
      <c r="X148" s="7" t="e">
        <f t="shared" si="71"/>
        <v>#DIV/0!</v>
      </c>
      <c r="Y148" s="7" t="e">
        <f t="shared" si="71"/>
        <v>#DIV/0!</v>
      </c>
      <c r="Z148" s="7" t="e">
        <f t="shared" si="71"/>
        <v>#DIV/0!</v>
      </c>
      <c r="AA148" s="7" t="e">
        <f t="shared" si="71"/>
        <v>#DIV/0!</v>
      </c>
      <c r="AB148" s="7">
        <f t="shared" si="71"/>
        <v>0</v>
      </c>
      <c r="AC148" s="7">
        <f t="shared" si="71"/>
        <v>0.36252900232018559</v>
      </c>
      <c r="AD148" s="7" t="e">
        <f t="shared" si="71"/>
        <v>#DIV/0!</v>
      </c>
      <c r="AE148" s="7" t="e">
        <f t="shared" si="71"/>
        <v>#DIV/0!</v>
      </c>
      <c r="AF148" s="7" t="e">
        <f t="shared" si="71"/>
        <v>#DIV/0!</v>
      </c>
      <c r="AG148" s="7" t="e">
        <f t="shared" si="71"/>
        <v>#DIV/0!</v>
      </c>
      <c r="AH148" s="7" t="e">
        <f t="shared" si="71"/>
        <v>#DIV/0!</v>
      </c>
      <c r="AI148" s="7" t="e">
        <f t="shared" si="71"/>
        <v>#DIV/0!</v>
      </c>
      <c r="AJ148" s="38" t="e">
        <f>AJ141/AJ132*100</f>
        <v>#DIV/0!</v>
      </c>
      <c r="AK148" s="39"/>
      <c r="AL148" s="103" t="e">
        <f>SUM(C148:AJ148)</f>
        <v>#DIV/0!</v>
      </c>
    </row>
    <row r="149" spans="2:103 15069:15461" s="3" customFormat="1">
      <c r="B149" s="69">
        <v>6</v>
      </c>
      <c r="C149" s="71" t="s">
        <v>46</v>
      </c>
      <c r="D149" s="87"/>
      <c r="E149" s="18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88"/>
      <c r="AD149" s="6"/>
      <c r="AE149" s="6"/>
      <c r="AF149" s="6"/>
      <c r="AG149" s="52"/>
      <c r="AH149" s="52"/>
      <c r="AI149" s="52"/>
      <c r="AJ149" s="60"/>
      <c r="AK149" s="89"/>
      <c r="AL149" s="151" t="s">
        <v>45</v>
      </c>
      <c r="CY149" s="16"/>
      <c r="VGO149" s="347"/>
      <c r="VGP149" s="347"/>
      <c r="VGQ149" s="347"/>
      <c r="VGR149" s="347"/>
      <c r="VGS149" s="347"/>
      <c r="VGT149" s="347"/>
      <c r="VGU149" s="347"/>
      <c r="VGV149" s="347"/>
      <c r="VGW149" s="347"/>
      <c r="VGX149" s="347"/>
      <c r="VGY149" s="347"/>
      <c r="VGZ149" s="347"/>
      <c r="VHA149" s="347"/>
      <c r="VHB149" s="347"/>
      <c r="VHC149" s="347"/>
      <c r="VHD149" s="347"/>
      <c r="VHE149" s="347"/>
      <c r="VHF149" s="347"/>
      <c r="VHG149" s="347"/>
      <c r="VHH149" s="347"/>
      <c r="VHI149" s="347"/>
      <c r="VHJ149" s="347"/>
      <c r="VHK149" s="347"/>
      <c r="VHL149" s="347"/>
      <c r="VHM149" s="347"/>
      <c r="VHN149" s="347"/>
      <c r="VHO149" s="347"/>
      <c r="VHP149" s="347"/>
      <c r="VHQ149" s="347"/>
      <c r="VHR149" s="347"/>
      <c r="VHS149" s="347"/>
      <c r="VHT149" s="347"/>
      <c r="VHU149" s="347"/>
      <c r="VHV149" s="347"/>
      <c r="VHW149" s="347"/>
      <c r="VHX149" s="347"/>
      <c r="VHY149" s="347"/>
      <c r="VHZ149" s="347"/>
      <c r="VIA149" s="347"/>
      <c r="VIB149" s="347"/>
      <c r="VIC149" s="347"/>
      <c r="VID149" s="347"/>
      <c r="VIE149" s="347"/>
      <c r="VIF149" s="347"/>
      <c r="VIG149" s="347"/>
      <c r="VIH149" s="347"/>
      <c r="VII149" s="347"/>
      <c r="VIJ149" s="347"/>
      <c r="VIK149" s="347"/>
      <c r="VIL149" s="347"/>
      <c r="VIM149" s="347"/>
      <c r="VIN149" s="347"/>
      <c r="VIO149" s="347"/>
      <c r="VIP149" s="347"/>
      <c r="VIQ149" s="347"/>
      <c r="VIR149" s="347"/>
      <c r="VIS149" s="347"/>
      <c r="VIT149" s="347"/>
      <c r="VIU149" s="347"/>
      <c r="VIV149" s="347"/>
      <c r="VIW149" s="347"/>
      <c r="VIX149" s="347"/>
      <c r="VIY149" s="347"/>
      <c r="VIZ149" s="347"/>
      <c r="VJA149" s="347"/>
      <c r="VJB149" s="347"/>
      <c r="VJC149" s="347"/>
      <c r="VJD149" s="347"/>
      <c r="VJE149" s="347"/>
      <c r="VJF149" s="347"/>
      <c r="VJG149" s="347"/>
      <c r="VJH149" s="347"/>
      <c r="VJI149" s="347"/>
      <c r="VJJ149" s="347"/>
      <c r="VJK149" s="347"/>
      <c r="VJL149" s="347"/>
      <c r="VJM149" s="347"/>
      <c r="VJN149" s="347"/>
      <c r="VJO149" s="347"/>
      <c r="VJP149" s="347"/>
      <c r="VJQ149" s="347"/>
      <c r="VJR149" s="347"/>
      <c r="VJS149" s="347"/>
      <c r="VJT149" s="347"/>
      <c r="VJU149" s="347"/>
      <c r="VJV149" s="347"/>
      <c r="VJW149" s="347"/>
      <c r="VJX149" s="347"/>
      <c r="VJY149" s="347"/>
      <c r="VJZ149" s="347"/>
      <c r="VKA149" s="347"/>
      <c r="VKB149" s="347"/>
      <c r="VKC149" s="347"/>
      <c r="VKD149" s="347"/>
      <c r="VKE149" s="347"/>
      <c r="VKF149" s="347"/>
      <c r="VKG149" s="347"/>
      <c r="VKH149" s="347"/>
      <c r="VKI149" s="347"/>
      <c r="VKJ149" s="347"/>
      <c r="VKK149" s="347"/>
      <c r="VKL149" s="347"/>
      <c r="VKM149" s="347"/>
      <c r="VKN149" s="347"/>
      <c r="VKO149" s="347"/>
      <c r="VKP149" s="347"/>
      <c r="VKQ149" s="347"/>
      <c r="VKR149" s="347"/>
      <c r="VKS149" s="347"/>
      <c r="VKT149" s="347"/>
      <c r="VKU149" s="347"/>
      <c r="VKV149" s="347"/>
      <c r="VKW149" s="347"/>
      <c r="VKX149" s="347"/>
      <c r="VKY149" s="347"/>
      <c r="VKZ149" s="347"/>
      <c r="VLA149" s="347"/>
      <c r="VLB149" s="347"/>
      <c r="VLC149" s="347"/>
      <c r="VLD149" s="347"/>
      <c r="VLE149" s="347"/>
      <c r="VLF149" s="347"/>
      <c r="VLG149" s="347"/>
      <c r="VLH149" s="347"/>
      <c r="VLI149" s="347"/>
      <c r="VLJ149" s="347"/>
      <c r="VLK149" s="347"/>
      <c r="VLL149" s="347"/>
      <c r="VLM149" s="347"/>
      <c r="VLN149" s="347"/>
      <c r="VLO149" s="347"/>
      <c r="VLP149" s="347"/>
      <c r="VLQ149" s="347"/>
      <c r="VLR149" s="347"/>
      <c r="VLS149" s="347"/>
      <c r="VLT149" s="347"/>
      <c r="VLU149" s="347"/>
      <c r="VLV149" s="347"/>
      <c r="VLW149" s="347"/>
      <c r="VLX149" s="347"/>
      <c r="VLY149" s="347"/>
      <c r="VLZ149" s="347"/>
      <c r="VMA149" s="347"/>
      <c r="VMB149" s="347"/>
      <c r="VMC149" s="347"/>
      <c r="VMD149" s="347"/>
      <c r="VME149" s="347"/>
      <c r="VMF149" s="347"/>
      <c r="VMG149" s="347"/>
      <c r="VMH149" s="347"/>
      <c r="VMI149" s="347"/>
      <c r="VMJ149" s="347"/>
      <c r="VMK149" s="347"/>
      <c r="VML149" s="347"/>
      <c r="VMM149" s="347"/>
      <c r="VMN149" s="347"/>
      <c r="VMO149" s="347"/>
      <c r="VMP149" s="347"/>
      <c r="VMQ149" s="347"/>
      <c r="VMR149" s="347"/>
      <c r="VMS149" s="347"/>
      <c r="VMT149" s="347"/>
      <c r="VMU149" s="347"/>
      <c r="VMV149" s="347"/>
      <c r="VMW149" s="347"/>
      <c r="VMX149" s="347"/>
      <c r="VMY149" s="347"/>
      <c r="VMZ149" s="347"/>
      <c r="VNA149" s="347"/>
      <c r="VNB149" s="347"/>
      <c r="VNC149" s="347"/>
      <c r="VND149" s="347"/>
      <c r="VNE149" s="347"/>
      <c r="VNF149" s="347"/>
      <c r="VNG149" s="347"/>
      <c r="VNH149" s="347"/>
      <c r="VNI149" s="347"/>
      <c r="VNJ149" s="347"/>
      <c r="VNK149" s="347"/>
      <c r="VNL149" s="347"/>
      <c r="VNM149" s="347"/>
      <c r="VNN149" s="347"/>
      <c r="VNO149" s="347"/>
      <c r="VNP149" s="347"/>
      <c r="VNQ149" s="347"/>
      <c r="VNR149" s="347"/>
      <c r="VNS149" s="347"/>
      <c r="VNT149" s="347"/>
      <c r="VNU149" s="347"/>
      <c r="VNV149" s="347"/>
      <c r="VNW149" s="347"/>
      <c r="VNX149" s="347"/>
      <c r="VNY149" s="347"/>
      <c r="VNZ149" s="347"/>
      <c r="VOA149" s="347"/>
      <c r="VOB149" s="347"/>
      <c r="VOC149" s="347"/>
      <c r="VOD149" s="347"/>
      <c r="VOE149" s="347"/>
      <c r="VOF149" s="347"/>
      <c r="VOG149" s="347"/>
      <c r="VOH149" s="347"/>
      <c r="VOI149" s="347"/>
      <c r="VOJ149" s="347"/>
      <c r="VOK149" s="347"/>
      <c r="VOL149" s="347"/>
      <c r="VOM149" s="347"/>
      <c r="VON149" s="347"/>
      <c r="VOO149" s="347"/>
      <c r="VOP149" s="347"/>
      <c r="VOQ149" s="347"/>
      <c r="VOR149" s="347"/>
      <c r="VOS149" s="347"/>
      <c r="VOT149" s="347"/>
      <c r="VOU149" s="347"/>
      <c r="VOV149" s="347"/>
      <c r="VOW149" s="347"/>
      <c r="VOX149" s="347"/>
      <c r="VOY149" s="347"/>
      <c r="VOZ149" s="347"/>
      <c r="VPA149" s="347"/>
      <c r="VPB149" s="347"/>
      <c r="VPC149" s="347"/>
      <c r="VPD149" s="347"/>
      <c r="VPE149" s="347"/>
      <c r="VPF149" s="347"/>
      <c r="VPG149" s="347"/>
      <c r="VPH149" s="347"/>
      <c r="VPI149" s="347"/>
      <c r="VPJ149" s="347"/>
      <c r="VPK149" s="347"/>
      <c r="VPL149" s="347"/>
      <c r="VPM149" s="347"/>
      <c r="VPN149" s="347"/>
      <c r="VPO149" s="347"/>
      <c r="VPP149" s="347"/>
      <c r="VPQ149" s="347"/>
      <c r="VPR149" s="347"/>
      <c r="VPS149" s="347"/>
      <c r="VPT149" s="347"/>
      <c r="VPU149" s="347"/>
      <c r="VPV149" s="347"/>
      <c r="VPW149" s="347"/>
      <c r="VPX149" s="347"/>
      <c r="VPY149" s="347"/>
      <c r="VPZ149" s="347"/>
      <c r="VQA149" s="347"/>
      <c r="VQB149" s="347"/>
      <c r="VQC149" s="347"/>
      <c r="VQD149" s="347"/>
      <c r="VQE149" s="347"/>
      <c r="VQF149" s="347"/>
      <c r="VQG149" s="347"/>
      <c r="VQH149" s="347"/>
      <c r="VQI149" s="347"/>
      <c r="VQJ149" s="347"/>
      <c r="VQK149" s="347"/>
      <c r="VQL149" s="347"/>
      <c r="VQM149" s="347"/>
      <c r="VQN149" s="347"/>
      <c r="VQO149" s="347"/>
      <c r="VQP149" s="347"/>
      <c r="VQQ149" s="347"/>
      <c r="VQR149" s="347"/>
      <c r="VQS149" s="347"/>
      <c r="VQT149" s="347"/>
      <c r="VQU149" s="347"/>
      <c r="VQV149" s="347"/>
      <c r="VQW149" s="347"/>
      <c r="VQX149" s="347"/>
      <c r="VQY149" s="347"/>
      <c r="VQZ149" s="347"/>
      <c r="VRA149" s="347"/>
      <c r="VRB149" s="347"/>
      <c r="VRC149" s="347"/>
      <c r="VRD149" s="347"/>
      <c r="VRE149" s="347"/>
      <c r="VRF149" s="347"/>
      <c r="VRG149" s="347"/>
      <c r="VRH149" s="347"/>
      <c r="VRI149" s="347"/>
      <c r="VRJ149" s="347"/>
      <c r="VRK149" s="347"/>
      <c r="VRL149" s="347"/>
      <c r="VRM149" s="347"/>
      <c r="VRN149" s="347"/>
      <c r="VRO149" s="347"/>
      <c r="VRP149" s="347"/>
      <c r="VRQ149" s="347"/>
      <c r="VRR149" s="347"/>
      <c r="VRS149" s="347"/>
      <c r="VRT149" s="347"/>
      <c r="VRU149" s="347"/>
      <c r="VRV149" s="347"/>
      <c r="VRW149" s="347"/>
      <c r="VRX149" s="347"/>
      <c r="VRY149" s="347"/>
      <c r="VRZ149" s="347"/>
      <c r="VSA149" s="347"/>
      <c r="VSB149" s="347"/>
      <c r="VSC149" s="347"/>
      <c r="VSD149" s="347"/>
      <c r="VSE149" s="347"/>
      <c r="VSF149" s="347"/>
      <c r="VSG149" s="347"/>
      <c r="VSH149" s="347"/>
      <c r="VSI149" s="347"/>
      <c r="VSJ149" s="347"/>
      <c r="VSK149" s="347"/>
      <c r="VSL149" s="347"/>
      <c r="VSM149" s="347"/>
      <c r="VSN149" s="347"/>
      <c r="VSO149" s="347"/>
      <c r="VSP149" s="347"/>
      <c r="VSQ149" s="347"/>
      <c r="VSR149" s="347"/>
      <c r="VSS149" s="347"/>
      <c r="VST149" s="347"/>
      <c r="VSU149" s="347"/>
      <c r="VSV149" s="347"/>
      <c r="VSW149" s="347"/>
      <c r="VSX149" s="347"/>
      <c r="VSY149" s="347"/>
      <c r="VSZ149" s="347"/>
      <c r="VTA149" s="347"/>
      <c r="VTB149" s="347"/>
      <c r="VTC149" s="347"/>
      <c r="VTD149" s="347"/>
      <c r="VTE149" s="347"/>
      <c r="VTF149" s="347"/>
      <c r="VTG149" s="347"/>
      <c r="VTH149" s="347"/>
      <c r="VTI149" s="347"/>
      <c r="VTJ149" s="347"/>
      <c r="VTK149" s="347"/>
      <c r="VTL149" s="347"/>
      <c r="VTM149" s="347"/>
      <c r="VTN149" s="347"/>
      <c r="VTO149" s="347"/>
      <c r="VTP149" s="347"/>
      <c r="VTQ149" s="347"/>
      <c r="VTR149" s="347"/>
      <c r="VTS149" s="347"/>
      <c r="VTT149" s="347"/>
      <c r="VTU149" s="347"/>
      <c r="VTV149" s="347"/>
      <c r="VTW149" s="347"/>
      <c r="VTX149" s="347"/>
      <c r="VTY149" s="347"/>
      <c r="VTZ149" s="347"/>
      <c r="VUA149" s="347"/>
      <c r="VUB149" s="347"/>
      <c r="VUC149" s="347"/>
      <c r="VUD149" s="347"/>
      <c r="VUE149" s="347"/>
      <c r="VUF149" s="347"/>
      <c r="VUG149" s="347"/>
      <c r="VUH149" s="347"/>
      <c r="VUI149" s="347"/>
      <c r="VUJ149" s="347"/>
      <c r="VUK149" s="347"/>
      <c r="VUL149" s="347"/>
      <c r="VUM149" s="347"/>
      <c r="VUN149" s="347"/>
      <c r="VUO149" s="347"/>
      <c r="VUP149" s="347"/>
      <c r="VUQ149" s="347"/>
      <c r="VUR149" s="347"/>
      <c r="VUS149" s="347"/>
      <c r="VUT149" s="347"/>
      <c r="VUU149" s="347"/>
      <c r="VUV149" s="347"/>
      <c r="VUW149" s="347"/>
      <c r="VUX149" s="347"/>
      <c r="VUY149" s="347"/>
      <c r="VUZ149" s="347"/>
      <c r="VVA149" s="347"/>
      <c r="VVB149" s="347"/>
      <c r="VVC149" s="347"/>
      <c r="VVD149" s="347"/>
      <c r="VVE149" s="347"/>
      <c r="VVF149" s="347"/>
      <c r="VVG149" s="347"/>
      <c r="VVH149" s="347"/>
      <c r="VVI149" s="347"/>
      <c r="VVJ149" s="347"/>
      <c r="VVK149" s="347"/>
      <c r="VVL149" s="347"/>
      <c r="VVM149" s="347"/>
      <c r="VVN149" s="347"/>
      <c r="VVO149" s="347"/>
      <c r="VVP149" s="347"/>
      <c r="VVQ149" s="347"/>
    </row>
    <row r="150" spans="2:103 15069:15461" s="3" customFormat="1" ht="13.8">
      <c r="B150" s="121"/>
      <c r="C150" s="72" t="s">
        <v>117</v>
      </c>
      <c r="D150" s="194"/>
      <c r="E150" s="8" t="s">
        <v>16</v>
      </c>
      <c r="F150" s="12">
        <v>1170.42</v>
      </c>
      <c r="G150" s="12"/>
      <c r="H150" s="12"/>
      <c r="I150" s="12">
        <v>1148.74</v>
      </c>
      <c r="J150" s="12">
        <v>780.28</v>
      </c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48"/>
      <c r="AJ150" s="19"/>
      <c r="AK150" s="198"/>
      <c r="AL150" s="193">
        <f>SUM(AL151:AL152)</f>
        <v>3099.4399999999996</v>
      </c>
      <c r="CY150" s="304"/>
    </row>
    <row r="151" spans="2:103 15069:15461" s="3" customFormat="1">
      <c r="B151" s="121"/>
      <c r="C151" s="73" t="s">
        <v>44</v>
      </c>
      <c r="D151" s="117"/>
      <c r="E151" s="8" t="s">
        <v>16</v>
      </c>
      <c r="F151" s="10">
        <f>SUM(F154:F157)*9.75348</f>
        <v>1053.3758399999999</v>
      </c>
      <c r="G151" s="10">
        <f t="shared" ref="G151:T151" si="72">SUM(G154:G157)*9.75348</f>
        <v>0</v>
      </c>
      <c r="H151" s="10">
        <f t="shared" si="72"/>
        <v>0</v>
      </c>
      <c r="I151" s="10">
        <f t="shared" si="72"/>
        <v>1033.86888</v>
      </c>
      <c r="J151" s="10">
        <f t="shared" si="72"/>
        <v>702.25055999999995</v>
      </c>
      <c r="K151" s="10">
        <f t="shared" si="72"/>
        <v>0</v>
      </c>
      <c r="L151" s="10">
        <f t="shared" si="72"/>
        <v>0</v>
      </c>
      <c r="M151" s="10">
        <f t="shared" si="72"/>
        <v>0</v>
      </c>
      <c r="N151" s="10">
        <f t="shared" si="72"/>
        <v>0</v>
      </c>
      <c r="O151" s="10">
        <f t="shared" si="72"/>
        <v>0</v>
      </c>
      <c r="P151" s="10">
        <f t="shared" si="72"/>
        <v>0</v>
      </c>
      <c r="Q151" s="10">
        <f t="shared" si="72"/>
        <v>0</v>
      </c>
      <c r="R151" s="10">
        <f t="shared" si="72"/>
        <v>0</v>
      </c>
      <c r="S151" s="10">
        <f t="shared" si="72"/>
        <v>0</v>
      </c>
      <c r="T151" s="10">
        <f t="shared" si="72"/>
        <v>0</v>
      </c>
      <c r="U151" s="10">
        <f t="shared" ref="U151:AF151" si="73">SUM(U155:U157)*9.75348</f>
        <v>0</v>
      </c>
      <c r="V151" s="10">
        <f t="shared" si="73"/>
        <v>0</v>
      </c>
      <c r="W151" s="10">
        <f t="shared" si="73"/>
        <v>0</v>
      </c>
      <c r="X151" s="10">
        <f t="shared" si="73"/>
        <v>0</v>
      </c>
      <c r="Y151" s="10">
        <f t="shared" si="73"/>
        <v>0</v>
      </c>
      <c r="Z151" s="10">
        <f t="shared" si="73"/>
        <v>0</v>
      </c>
      <c r="AA151" s="10">
        <f t="shared" si="73"/>
        <v>0</v>
      </c>
      <c r="AB151" s="10">
        <f t="shared" si="73"/>
        <v>0</v>
      </c>
      <c r="AC151" s="10">
        <f t="shared" si="73"/>
        <v>0</v>
      </c>
      <c r="AD151" s="10">
        <f t="shared" si="73"/>
        <v>0</v>
      </c>
      <c r="AE151" s="10">
        <f t="shared" si="73"/>
        <v>0</v>
      </c>
      <c r="AF151" s="10">
        <f t="shared" si="73"/>
        <v>0</v>
      </c>
      <c r="AG151" s="10">
        <f>SUM(AG155:AG157)*9.75348</f>
        <v>0</v>
      </c>
      <c r="AH151" s="10">
        <f>SUM(AH155:AH157)*9.75348</f>
        <v>0</v>
      </c>
      <c r="AI151" s="10">
        <f>SUM(AI155:AI157)*9.75348</f>
        <v>0</v>
      </c>
      <c r="AJ151" s="20">
        <f>SUM(AJ155:AJ157)*9.75348</f>
        <v>0</v>
      </c>
      <c r="AL151" s="114">
        <f>SUM(F151:AJ151)</f>
        <v>2789.4952799999996</v>
      </c>
      <c r="CY151" s="304"/>
    </row>
    <row r="152" spans="2:103 15069:15461" s="3" customFormat="1">
      <c r="B152" s="121"/>
      <c r="C152" s="73" t="s">
        <v>43</v>
      </c>
      <c r="D152" s="117"/>
      <c r="E152" s="8" t="s">
        <v>16</v>
      </c>
      <c r="F152" s="10">
        <f t="shared" ref="F152:AF152" si="74">F150-F151</f>
        <v>117.04416000000015</v>
      </c>
      <c r="G152" s="10">
        <f t="shared" si="74"/>
        <v>0</v>
      </c>
      <c r="H152" s="10">
        <f t="shared" si="74"/>
        <v>0</v>
      </c>
      <c r="I152" s="10">
        <f t="shared" si="74"/>
        <v>114.87112000000002</v>
      </c>
      <c r="J152" s="10">
        <f t="shared" si="74"/>
        <v>78.029440000000022</v>
      </c>
      <c r="K152" s="10">
        <f t="shared" si="74"/>
        <v>0</v>
      </c>
      <c r="L152" s="10">
        <f t="shared" si="74"/>
        <v>0</v>
      </c>
      <c r="M152" s="10">
        <f t="shared" si="74"/>
        <v>0</v>
      </c>
      <c r="N152" s="10">
        <f t="shared" si="74"/>
        <v>0</v>
      </c>
      <c r="O152" s="10">
        <f t="shared" si="74"/>
        <v>0</v>
      </c>
      <c r="P152" s="10">
        <f t="shared" si="74"/>
        <v>0</v>
      </c>
      <c r="Q152" s="10">
        <f t="shared" si="74"/>
        <v>0</v>
      </c>
      <c r="R152" s="1">
        <v>0</v>
      </c>
      <c r="S152" s="1">
        <v>0</v>
      </c>
      <c r="T152" s="10">
        <f t="shared" si="74"/>
        <v>0</v>
      </c>
      <c r="U152" s="10">
        <f t="shared" si="74"/>
        <v>0</v>
      </c>
      <c r="V152" s="10">
        <f t="shared" si="74"/>
        <v>0</v>
      </c>
      <c r="W152" s="10">
        <f t="shared" si="74"/>
        <v>0</v>
      </c>
      <c r="X152" s="10">
        <f t="shared" si="74"/>
        <v>0</v>
      </c>
      <c r="Y152" s="10">
        <f t="shared" si="74"/>
        <v>0</v>
      </c>
      <c r="Z152" s="10">
        <f t="shared" si="74"/>
        <v>0</v>
      </c>
      <c r="AA152" s="10">
        <f t="shared" si="74"/>
        <v>0</v>
      </c>
      <c r="AB152" s="10">
        <f t="shared" si="74"/>
        <v>0</v>
      </c>
      <c r="AC152" s="10">
        <f t="shared" si="74"/>
        <v>0</v>
      </c>
      <c r="AD152" s="10">
        <f t="shared" si="74"/>
        <v>0</v>
      </c>
      <c r="AE152" s="10">
        <f t="shared" si="74"/>
        <v>0</v>
      </c>
      <c r="AF152" s="10">
        <f t="shared" si="74"/>
        <v>0</v>
      </c>
      <c r="AG152" s="10">
        <f>AG150-AG151</f>
        <v>0</v>
      </c>
      <c r="AH152" s="10">
        <f>AH150-AH151</f>
        <v>0</v>
      </c>
      <c r="AI152" s="10">
        <f>AI150-AI151</f>
        <v>0</v>
      </c>
      <c r="AJ152" s="20">
        <f>AJ150-AJ151</f>
        <v>0</v>
      </c>
      <c r="AL152" s="114">
        <f>SUM(F152:AJ152)</f>
        <v>309.94472000000019</v>
      </c>
      <c r="CY152" s="304"/>
    </row>
    <row r="153" spans="2:103 15069:15461" s="3" customFormat="1">
      <c r="B153" s="121"/>
      <c r="C153" s="73" t="s">
        <v>33</v>
      </c>
      <c r="D153" s="117"/>
      <c r="E153" s="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50"/>
      <c r="AJ153" s="21"/>
      <c r="AL153" s="120" t="s">
        <v>33</v>
      </c>
      <c r="CY153" s="304"/>
    </row>
    <row r="154" spans="2:103 15069:15461" s="3" customFormat="1" ht="13.8">
      <c r="B154" s="121"/>
      <c r="C154" s="74" t="s">
        <v>138</v>
      </c>
      <c r="D154" s="117"/>
      <c r="E154" s="17" t="s">
        <v>36</v>
      </c>
      <c r="F154" s="1">
        <v>108</v>
      </c>
      <c r="G154" s="1"/>
      <c r="H154" s="1"/>
      <c r="I154" s="1">
        <v>106</v>
      </c>
      <c r="J154" s="1">
        <v>72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50"/>
      <c r="AJ154" s="21"/>
      <c r="AL154" s="207">
        <f>SUM(F154:AJ154)</f>
        <v>286</v>
      </c>
      <c r="CY154" s="304"/>
    </row>
    <row r="155" spans="2:103 15069:15461" s="66" customFormat="1" ht="13.8">
      <c r="B155" s="143"/>
      <c r="C155" s="74" t="s">
        <v>31</v>
      </c>
      <c r="D155" s="101"/>
      <c r="E155" s="17" t="s">
        <v>36</v>
      </c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51"/>
      <c r="AJ155" s="38"/>
      <c r="AL155" s="207">
        <f>SUM(F155:AJ155)</f>
        <v>0</v>
      </c>
      <c r="CY155" s="314"/>
    </row>
    <row r="156" spans="2:103 15069:15461" s="66" customFormat="1" ht="13.8">
      <c r="B156" s="143"/>
      <c r="C156" s="74" t="s">
        <v>30</v>
      </c>
      <c r="D156" s="101"/>
      <c r="E156" s="17" t="s">
        <v>36</v>
      </c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51"/>
      <c r="AJ156" s="38"/>
      <c r="AL156" s="207">
        <f>SUM(F156:AJ156)</f>
        <v>0</v>
      </c>
      <c r="CY156" s="314"/>
    </row>
    <row r="157" spans="2:103 15069:15461" s="66" customFormat="1" ht="13.8">
      <c r="B157" s="143"/>
      <c r="C157" s="74" t="s">
        <v>42</v>
      </c>
      <c r="D157" s="101"/>
      <c r="E157" s="17" t="s">
        <v>36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51"/>
      <c r="AJ157" s="38"/>
      <c r="AL157" s="207">
        <f>SUM(F157:AJ157)</f>
        <v>0</v>
      </c>
      <c r="CY157" s="314"/>
    </row>
    <row r="158" spans="2:103 15069:15461" s="3" customFormat="1">
      <c r="B158" s="121"/>
      <c r="C158" s="73" t="s">
        <v>32</v>
      </c>
      <c r="D158" s="117"/>
      <c r="E158" s="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50"/>
      <c r="AJ158" s="21"/>
      <c r="AL158" s="120" t="s">
        <v>32</v>
      </c>
      <c r="CY158" s="304"/>
    </row>
    <row r="159" spans="2:103 15069:15461" s="3" customFormat="1">
      <c r="B159" s="121"/>
      <c r="C159" s="74" t="s">
        <v>138</v>
      </c>
      <c r="D159" s="117"/>
      <c r="E159" s="8" t="s">
        <v>32</v>
      </c>
      <c r="F159" s="1">
        <f>F154*24</f>
        <v>2592</v>
      </c>
      <c r="G159" s="1">
        <f t="shared" ref="G159:V160" si="75">G154*24</f>
        <v>0</v>
      </c>
      <c r="H159" s="1">
        <f t="shared" si="75"/>
        <v>0</v>
      </c>
      <c r="I159" s="1">
        <f t="shared" si="75"/>
        <v>2544</v>
      </c>
      <c r="J159" s="1">
        <f t="shared" si="75"/>
        <v>1728</v>
      </c>
      <c r="K159" s="1">
        <f t="shared" si="75"/>
        <v>0</v>
      </c>
      <c r="L159" s="1">
        <f t="shared" si="75"/>
        <v>0</v>
      </c>
      <c r="M159" s="1">
        <f t="shared" si="75"/>
        <v>0</v>
      </c>
      <c r="N159" s="1">
        <f t="shared" si="75"/>
        <v>0</v>
      </c>
      <c r="O159" s="1">
        <f t="shared" si="75"/>
        <v>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50"/>
      <c r="AJ159" s="21"/>
      <c r="AL159" s="120"/>
      <c r="CY159" s="304"/>
    </row>
    <row r="160" spans="2:103 15069:15461" s="3" customFormat="1" ht="13.8">
      <c r="B160" s="121"/>
      <c r="C160" s="74" t="s">
        <v>31</v>
      </c>
      <c r="D160" s="117"/>
      <c r="E160" s="8" t="s">
        <v>32</v>
      </c>
      <c r="F160" s="1">
        <f>F155*24</f>
        <v>0</v>
      </c>
      <c r="G160" s="1">
        <f t="shared" si="75"/>
        <v>0</v>
      </c>
      <c r="H160" s="1">
        <f t="shared" si="75"/>
        <v>0</v>
      </c>
      <c r="I160" s="1">
        <f t="shared" si="75"/>
        <v>0</v>
      </c>
      <c r="J160" s="1">
        <f t="shared" si="75"/>
        <v>0</v>
      </c>
      <c r="K160" s="1">
        <f t="shared" si="75"/>
        <v>0</v>
      </c>
      <c r="L160" s="1">
        <f t="shared" si="75"/>
        <v>0</v>
      </c>
      <c r="M160" s="1">
        <f t="shared" si="75"/>
        <v>0</v>
      </c>
      <c r="N160" s="1">
        <f t="shared" si="75"/>
        <v>0</v>
      </c>
      <c r="O160" s="1">
        <f t="shared" si="75"/>
        <v>0</v>
      </c>
      <c r="P160" s="1">
        <f t="shared" si="75"/>
        <v>0</v>
      </c>
      <c r="Q160" s="1">
        <f t="shared" si="75"/>
        <v>0</v>
      </c>
      <c r="R160" s="1">
        <f t="shared" si="75"/>
        <v>0</v>
      </c>
      <c r="S160" s="1">
        <f t="shared" si="75"/>
        <v>0</v>
      </c>
      <c r="T160" s="1">
        <f t="shared" si="75"/>
        <v>0</v>
      </c>
      <c r="U160" s="1">
        <f t="shared" si="75"/>
        <v>0</v>
      </c>
      <c r="V160" s="1">
        <f t="shared" si="75"/>
        <v>0</v>
      </c>
      <c r="W160" s="1">
        <f t="shared" ref="W160:AF160" si="76">W155*24</f>
        <v>0</v>
      </c>
      <c r="X160" s="1">
        <f t="shared" si="76"/>
        <v>0</v>
      </c>
      <c r="Y160" s="1">
        <f t="shared" si="76"/>
        <v>0</v>
      </c>
      <c r="Z160" s="1">
        <f t="shared" si="76"/>
        <v>0</v>
      </c>
      <c r="AA160" s="1">
        <f t="shared" si="76"/>
        <v>0</v>
      </c>
      <c r="AB160" s="1">
        <f t="shared" si="76"/>
        <v>0</v>
      </c>
      <c r="AC160" s="1">
        <f t="shared" si="76"/>
        <v>0</v>
      </c>
      <c r="AD160" s="1">
        <f t="shared" si="76"/>
        <v>0</v>
      </c>
      <c r="AE160" s="1">
        <f t="shared" si="76"/>
        <v>0</v>
      </c>
      <c r="AF160" s="1">
        <f t="shared" si="76"/>
        <v>0</v>
      </c>
      <c r="AG160" s="1">
        <f>AG155*24</f>
        <v>0</v>
      </c>
      <c r="AH160" s="1">
        <f>AH155*24</f>
        <v>0</v>
      </c>
      <c r="AI160" s="1">
        <f>AI155*24</f>
        <v>0</v>
      </c>
      <c r="AJ160" s="21">
        <f>AJ155*24</f>
        <v>0</v>
      </c>
      <c r="AL160" s="103">
        <f>AL155*24</f>
        <v>0</v>
      </c>
      <c r="CY160" s="304"/>
    </row>
    <row r="161" spans="2:103 15069:15461" s="3" customFormat="1" ht="13.8">
      <c r="B161" s="121"/>
      <c r="C161" s="74" t="s">
        <v>30</v>
      </c>
      <c r="D161" s="117"/>
      <c r="E161" s="8" t="s">
        <v>32</v>
      </c>
      <c r="F161" s="1">
        <f t="shared" ref="F161:AJ162" si="77">F156*12</f>
        <v>0</v>
      </c>
      <c r="G161" s="1">
        <f t="shared" si="77"/>
        <v>0</v>
      </c>
      <c r="H161" s="1">
        <f t="shared" si="77"/>
        <v>0</v>
      </c>
      <c r="I161" s="1">
        <f t="shared" si="77"/>
        <v>0</v>
      </c>
      <c r="J161" s="1">
        <f t="shared" si="77"/>
        <v>0</v>
      </c>
      <c r="K161" s="1">
        <f t="shared" si="77"/>
        <v>0</v>
      </c>
      <c r="L161" s="1">
        <f t="shared" si="77"/>
        <v>0</v>
      </c>
      <c r="M161" s="1">
        <f t="shared" si="77"/>
        <v>0</v>
      </c>
      <c r="N161" s="1">
        <f t="shared" si="77"/>
        <v>0</v>
      </c>
      <c r="O161" s="1">
        <f t="shared" si="77"/>
        <v>0</v>
      </c>
      <c r="P161" s="1">
        <f t="shared" si="77"/>
        <v>0</v>
      </c>
      <c r="Q161" s="1">
        <f t="shared" si="77"/>
        <v>0</v>
      </c>
      <c r="R161" s="1">
        <f t="shared" si="77"/>
        <v>0</v>
      </c>
      <c r="S161" s="1">
        <f t="shared" si="77"/>
        <v>0</v>
      </c>
      <c r="T161" s="1">
        <f t="shared" si="77"/>
        <v>0</v>
      </c>
      <c r="U161" s="1">
        <f t="shared" si="77"/>
        <v>0</v>
      </c>
      <c r="V161" s="1">
        <f t="shared" si="77"/>
        <v>0</v>
      </c>
      <c r="W161" s="1">
        <f t="shared" si="77"/>
        <v>0</v>
      </c>
      <c r="X161" s="1">
        <f t="shared" si="77"/>
        <v>0</v>
      </c>
      <c r="Y161" s="1">
        <f t="shared" si="77"/>
        <v>0</v>
      </c>
      <c r="Z161" s="1">
        <f t="shared" si="77"/>
        <v>0</v>
      </c>
      <c r="AA161" s="1">
        <f t="shared" si="77"/>
        <v>0</v>
      </c>
      <c r="AB161" s="1">
        <f t="shared" si="77"/>
        <v>0</v>
      </c>
      <c r="AC161" s="1">
        <f t="shared" si="77"/>
        <v>0</v>
      </c>
      <c r="AD161" s="1">
        <f t="shared" si="77"/>
        <v>0</v>
      </c>
      <c r="AE161" s="1">
        <f t="shared" si="77"/>
        <v>0</v>
      </c>
      <c r="AF161" s="1">
        <f t="shared" si="77"/>
        <v>0</v>
      </c>
      <c r="AG161" s="1">
        <f t="shared" si="77"/>
        <v>0</v>
      </c>
      <c r="AH161" s="1">
        <f t="shared" si="77"/>
        <v>0</v>
      </c>
      <c r="AI161" s="1">
        <f t="shared" si="77"/>
        <v>0</v>
      </c>
      <c r="AJ161" s="21">
        <f t="shared" si="77"/>
        <v>0</v>
      </c>
      <c r="AL161" s="103">
        <f>AL156*12</f>
        <v>0</v>
      </c>
      <c r="CY161" s="304"/>
    </row>
    <row r="162" spans="2:103 15069:15461" s="3" customFormat="1" ht="13.8">
      <c r="B162" s="121"/>
      <c r="C162" s="74" t="s">
        <v>42</v>
      </c>
      <c r="D162" s="117"/>
      <c r="E162" s="8" t="s">
        <v>32</v>
      </c>
      <c r="F162" s="1">
        <f>F157*6</f>
        <v>0</v>
      </c>
      <c r="G162" s="1">
        <f t="shared" ref="G162:AC162" si="78">G157*6</f>
        <v>0</v>
      </c>
      <c r="H162" s="1">
        <f t="shared" si="78"/>
        <v>0</v>
      </c>
      <c r="I162" s="1">
        <f t="shared" si="78"/>
        <v>0</v>
      </c>
      <c r="J162" s="1">
        <f t="shared" si="78"/>
        <v>0</v>
      </c>
      <c r="K162" s="1">
        <f t="shared" si="78"/>
        <v>0</v>
      </c>
      <c r="L162" s="1">
        <f t="shared" si="78"/>
        <v>0</v>
      </c>
      <c r="M162" s="1">
        <f t="shared" si="78"/>
        <v>0</v>
      </c>
      <c r="N162" s="1">
        <f t="shared" si="78"/>
        <v>0</v>
      </c>
      <c r="O162" s="1">
        <f t="shared" si="78"/>
        <v>0</v>
      </c>
      <c r="P162" s="1">
        <f t="shared" si="78"/>
        <v>0</v>
      </c>
      <c r="Q162" s="1">
        <f t="shared" si="78"/>
        <v>0</v>
      </c>
      <c r="R162" s="1">
        <f t="shared" si="78"/>
        <v>0</v>
      </c>
      <c r="S162" s="1">
        <f t="shared" si="78"/>
        <v>0</v>
      </c>
      <c r="T162" s="1">
        <f t="shared" si="78"/>
        <v>0</v>
      </c>
      <c r="U162" s="1">
        <f t="shared" si="78"/>
        <v>0</v>
      </c>
      <c r="V162" s="1">
        <f t="shared" si="78"/>
        <v>0</v>
      </c>
      <c r="W162" s="1">
        <f t="shared" si="78"/>
        <v>0</v>
      </c>
      <c r="X162" s="1">
        <f t="shared" si="78"/>
        <v>0</v>
      </c>
      <c r="Y162" s="1">
        <f t="shared" si="78"/>
        <v>0</v>
      </c>
      <c r="Z162" s="1">
        <f t="shared" si="78"/>
        <v>0</v>
      </c>
      <c r="AA162" s="1">
        <f t="shared" si="78"/>
        <v>0</v>
      </c>
      <c r="AB162" s="1">
        <f t="shared" si="78"/>
        <v>0</v>
      </c>
      <c r="AC162" s="1">
        <f t="shared" si="78"/>
        <v>0</v>
      </c>
      <c r="AD162" s="1">
        <f t="shared" si="77"/>
        <v>0</v>
      </c>
      <c r="AE162" s="1">
        <f t="shared" si="77"/>
        <v>0</v>
      </c>
      <c r="AF162" s="1">
        <f t="shared" si="77"/>
        <v>0</v>
      </c>
      <c r="AG162" s="1">
        <f t="shared" si="77"/>
        <v>0</v>
      </c>
      <c r="AH162" s="1">
        <f t="shared" si="77"/>
        <v>0</v>
      </c>
      <c r="AI162" s="1">
        <f t="shared" si="77"/>
        <v>0</v>
      </c>
      <c r="AJ162" s="21">
        <f t="shared" si="77"/>
        <v>0</v>
      </c>
      <c r="AL162" s="103">
        <f>AL157*6</f>
        <v>0</v>
      </c>
      <c r="CY162" s="304"/>
    </row>
    <row r="163" spans="2:103 15069:15461" s="3" customFormat="1">
      <c r="B163" s="121"/>
      <c r="C163" s="73" t="s">
        <v>41</v>
      </c>
      <c r="D163" s="117"/>
      <c r="E163" s="8" t="s">
        <v>40</v>
      </c>
      <c r="F163" s="1">
        <f>F150*45/1700</f>
        <v>30.981705882352941</v>
      </c>
      <c r="G163" s="1">
        <f t="shared" ref="G163:AF163" si="79">G150*45/1700</f>
        <v>0</v>
      </c>
      <c r="H163" s="1">
        <f t="shared" si="79"/>
        <v>0</v>
      </c>
      <c r="I163" s="1">
        <f t="shared" si="79"/>
        <v>30.407823529411765</v>
      </c>
      <c r="J163" s="1">
        <f t="shared" si="79"/>
        <v>20.654470588235295</v>
      </c>
      <c r="K163" s="1">
        <f t="shared" si="79"/>
        <v>0</v>
      </c>
      <c r="L163" s="1">
        <f t="shared" si="79"/>
        <v>0</v>
      </c>
      <c r="M163" s="1">
        <f t="shared" si="79"/>
        <v>0</v>
      </c>
      <c r="N163" s="1">
        <f t="shared" si="79"/>
        <v>0</v>
      </c>
      <c r="O163" s="1">
        <f t="shared" si="79"/>
        <v>0</v>
      </c>
      <c r="P163" s="1">
        <f t="shared" si="79"/>
        <v>0</v>
      </c>
      <c r="Q163" s="1">
        <f t="shared" si="79"/>
        <v>0</v>
      </c>
      <c r="R163" s="1">
        <f t="shared" si="79"/>
        <v>0</v>
      </c>
      <c r="S163" s="1">
        <f t="shared" si="79"/>
        <v>0</v>
      </c>
      <c r="T163" s="1">
        <f t="shared" si="79"/>
        <v>0</v>
      </c>
      <c r="U163" s="1">
        <f>U150*45/1700</f>
        <v>0</v>
      </c>
      <c r="V163" s="1">
        <f t="shared" si="79"/>
        <v>0</v>
      </c>
      <c r="W163" s="1">
        <f t="shared" si="79"/>
        <v>0</v>
      </c>
      <c r="X163" s="1">
        <f t="shared" si="79"/>
        <v>0</v>
      </c>
      <c r="Y163" s="1">
        <f t="shared" si="79"/>
        <v>0</v>
      </c>
      <c r="Z163" s="1">
        <f t="shared" si="79"/>
        <v>0</v>
      </c>
      <c r="AA163" s="1">
        <f t="shared" si="79"/>
        <v>0</v>
      </c>
      <c r="AB163" s="1">
        <f t="shared" si="79"/>
        <v>0</v>
      </c>
      <c r="AC163" s="1">
        <f t="shared" si="79"/>
        <v>0</v>
      </c>
      <c r="AD163" s="1">
        <f t="shared" si="79"/>
        <v>0</v>
      </c>
      <c r="AE163" s="1">
        <f t="shared" si="79"/>
        <v>0</v>
      </c>
      <c r="AF163" s="1">
        <f t="shared" si="79"/>
        <v>0</v>
      </c>
      <c r="AG163" s="1">
        <f>AG150*45/1700</f>
        <v>0</v>
      </c>
      <c r="AH163" s="1">
        <f>AH150*45/1700</f>
        <v>0</v>
      </c>
      <c r="AI163" s="1">
        <f>AI150*45/1700</f>
        <v>0</v>
      </c>
      <c r="AJ163" s="21">
        <f>AJ150*45/1700</f>
        <v>0</v>
      </c>
      <c r="AL163" s="103">
        <f>SUM(F163:AJ163)</f>
        <v>82.043999999999997</v>
      </c>
      <c r="CY163" s="304"/>
    </row>
    <row r="164" spans="2:103 15069:15461" s="3" customFormat="1">
      <c r="B164" s="121"/>
      <c r="C164" s="73" t="s">
        <v>39</v>
      </c>
      <c r="D164" s="117"/>
      <c r="E164" s="8" t="s">
        <v>38</v>
      </c>
      <c r="F164" s="1">
        <f t="shared" ref="F164:AF164" si="80">SUM(F155:F157)/500</f>
        <v>0</v>
      </c>
      <c r="G164" s="1">
        <f t="shared" si="80"/>
        <v>0</v>
      </c>
      <c r="H164" s="1">
        <f t="shared" si="80"/>
        <v>0</v>
      </c>
      <c r="I164" s="1">
        <f t="shared" si="80"/>
        <v>0</v>
      </c>
      <c r="J164" s="1">
        <f t="shared" si="80"/>
        <v>0</v>
      </c>
      <c r="K164" s="1">
        <f t="shared" si="80"/>
        <v>0</v>
      </c>
      <c r="L164" s="1">
        <f t="shared" si="80"/>
        <v>0</v>
      </c>
      <c r="M164" s="1">
        <f t="shared" si="80"/>
        <v>0</v>
      </c>
      <c r="N164" s="1">
        <f t="shared" si="80"/>
        <v>0</v>
      </c>
      <c r="O164" s="1">
        <f t="shared" si="80"/>
        <v>0</v>
      </c>
      <c r="P164" s="1">
        <f t="shared" si="80"/>
        <v>0</v>
      </c>
      <c r="Q164" s="1">
        <f t="shared" si="80"/>
        <v>0</v>
      </c>
      <c r="R164" s="1">
        <f t="shared" si="80"/>
        <v>0</v>
      </c>
      <c r="S164" s="1">
        <f t="shared" si="80"/>
        <v>0</v>
      </c>
      <c r="T164" s="1">
        <f t="shared" si="80"/>
        <v>0</v>
      </c>
      <c r="U164" s="1">
        <f>SUM(U155:U157)/500</f>
        <v>0</v>
      </c>
      <c r="V164" s="1">
        <f t="shared" si="80"/>
        <v>0</v>
      </c>
      <c r="W164" s="1">
        <f t="shared" si="80"/>
        <v>0</v>
      </c>
      <c r="X164" s="1">
        <f t="shared" si="80"/>
        <v>0</v>
      </c>
      <c r="Y164" s="1">
        <f t="shared" si="80"/>
        <v>0</v>
      </c>
      <c r="Z164" s="1">
        <f t="shared" si="80"/>
        <v>0</v>
      </c>
      <c r="AA164" s="1">
        <f t="shared" si="80"/>
        <v>0</v>
      </c>
      <c r="AB164" s="1">
        <f t="shared" si="80"/>
        <v>0</v>
      </c>
      <c r="AC164" s="1">
        <f t="shared" si="80"/>
        <v>0</v>
      </c>
      <c r="AD164" s="1">
        <f t="shared" si="80"/>
        <v>0</v>
      </c>
      <c r="AE164" s="1">
        <f t="shared" si="80"/>
        <v>0</v>
      </c>
      <c r="AF164" s="1">
        <f t="shared" si="80"/>
        <v>0</v>
      </c>
      <c r="AG164" s="1">
        <f>SUM(AG155:AG157)/500</f>
        <v>0</v>
      </c>
      <c r="AH164" s="1">
        <f>SUM(AH155:AH157)/500</f>
        <v>0</v>
      </c>
      <c r="AI164" s="1">
        <f>SUM(AI155:AI157)/500</f>
        <v>0</v>
      </c>
      <c r="AJ164" s="21">
        <f>SUM(AJ155:AJ157)/500</f>
        <v>0</v>
      </c>
      <c r="AL164" s="103">
        <f>SUM(F164:AJ164)</f>
        <v>0</v>
      </c>
      <c r="CY164" s="304"/>
    </row>
    <row r="165" spans="2:103 15069:15461" s="3" customFormat="1">
      <c r="B165" s="69"/>
      <c r="C165" s="71" t="s">
        <v>37</v>
      </c>
      <c r="D165" s="87"/>
      <c r="E165" s="18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88"/>
      <c r="AD165" s="6"/>
      <c r="AE165" s="6"/>
      <c r="AF165" s="6"/>
      <c r="AG165" s="52"/>
      <c r="AH165" s="52"/>
      <c r="AI165" s="52"/>
      <c r="AJ165" s="60"/>
      <c r="AK165" s="89"/>
      <c r="AL165" s="151" t="s">
        <v>34</v>
      </c>
      <c r="CY165" s="16"/>
      <c r="VGO165" s="347"/>
      <c r="VGP165" s="347"/>
      <c r="VGQ165" s="347"/>
      <c r="VGR165" s="347"/>
      <c r="VGS165" s="347"/>
      <c r="VGT165" s="347"/>
      <c r="VGU165" s="347"/>
      <c r="VGV165" s="347"/>
      <c r="VGW165" s="347"/>
      <c r="VGX165" s="347"/>
      <c r="VGY165" s="347"/>
      <c r="VGZ165" s="347"/>
      <c r="VHA165" s="347"/>
      <c r="VHB165" s="347"/>
      <c r="VHC165" s="347"/>
      <c r="VHD165" s="347"/>
      <c r="VHE165" s="347"/>
      <c r="VHF165" s="347"/>
      <c r="VHG165" s="347"/>
      <c r="VHH165" s="347"/>
      <c r="VHI165" s="347"/>
      <c r="VHJ165" s="347"/>
      <c r="VHK165" s="347"/>
      <c r="VHL165" s="347"/>
      <c r="VHM165" s="347"/>
      <c r="VHN165" s="347"/>
      <c r="VHO165" s="347"/>
      <c r="VHP165" s="347"/>
      <c r="VHQ165" s="347"/>
      <c r="VHR165" s="347"/>
      <c r="VHS165" s="347"/>
      <c r="VHT165" s="347"/>
      <c r="VHU165" s="347"/>
      <c r="VHV165" s="347"/>
      <c r="VHW165" s="347"/>
      <c r="VHX165" s="347"/>
      <c r="VHY165" s="347"/>
      <c r="VHZ165" s="347"/>
      <c r="VIA165" s="347"/>
      <c r="VIB165" s="347"/>
      <c r="VIC165" s="347"/>
      <c r="VID165" s="347"/>
      <c r="VIE165" s="347"/>
      <c r="VIF165" s="347"/>
      <c r="VIG165" s="347"/>
      <c r="VIH165" s="347"/>
      <c r="VII165" s="347"/>
      <c r="VIJ165" s="347"/>
      <c r="VIK165" s="347"/>
      <c r="VIL165" s="347"/>
      <c r="VIM165" s="347"/>
      <c r="VIN165" s="347"/>
      <c r="VIO165" s="347"/>
      <c r="VIP165" s="347"/>
      <c r="VIQ165" s="347"/>
      <c r="VIR165" s="347"/>
      <c r="VIS165" s="347"/>
      <c r="VIT165" s="347"/>
      <c r="VIU165" s="347"/>
      <c r="VIV165" s="347"/>
      <c r="VIW165" s="347"/>
      <c r="VIX165" s="347"/>
      <c r="VIY165" s="347"/>
      <c r="VIZ165" s="347"/>
      <c r="VJA165" s="347"/>
      <c r="VJB165" s="347"/>
      <c r="VJC165" s="347"/>
      <c r="VJD165" s="347"/>
      <c r="VJE165" s="347"/>
      <c r="VJF165" s="347"/>
      <c r="VJG165" s="347"/>
      <c r="VJH165" s="347"/>
      <c r="VJI165" s="347"/>
      <c r="VJJ165" s="347"/>
      <c r="VJK165" s="347"/>
      <c r="VJL165" s="347"/>
      <c r="VJM165" s="347"/>
      <c r="VJN165" s="347"/>
      <c r="VJO165" s="347"/>
      <c r="VJP165" s="347"/>
      <c r="VJQ165" s="347"/>
      <c r="VJR165" s="347"/>
      <c r="VJS165" s="347"/>
      <c r="VJT165" s="347"/>
      <c r="VJU165" s="347"/>
      <c r="VJV165" s="347"/>
      <c r="VJW165" s="347"/>
      <c r="VJX165" s="347"/>
      <c r="VJY165" s="347"/>
      <c r="VJZ165" s="347"/>
      <c r="VKA165" s="347"/>
      <c r="VKB165" s="347"/>
      <c r="VKC165" s="347"/>
      <c r="VKD165" s="347"/>
      <c r="VKE165" s="347"/>
      <c r="VKF165" s="347"/>
      <c r="VKG165" s="347"/>
      <c r="VKH165" s="347"/>
      <c r="VKI165" s="347"/>
      <c r="VKJ165" s="347"/>
      <c r="VKK165" s="347"/>
      <c r="VKL165" s="347"/>
      <c r="VKM165" s="347"/>
      <c r="VKN165" s="347"/>
      <c r="VKO165" s="347"/>
      <c r="VKP165" s="347"/>
      <c r="VKQ165" s="347"/>
      <c r="VKR165" s="347"/>
      <c r="VKS165" s="347"/>
      <c r="VKT165" s="347"/>
      <c r="VKU165" s="347"/>
      <c r="VKV165" s="347"/>
      <c r="VKW165" s="347"/>
      <c r="VKX165" s="347"/>
      <c r="VKY165" s="347"/>
      <c r="VKZ165" s="347"/>
      <c r="VLA165" s="347"/>
      <c r="VLB165" s="347"/>
      <c r="VLC165" s="347"/>
      <c r="VLD165" s="347"/>
      <c r="VLE165" s="347"/>
      <c r="VLF165" s="347"/>
      <c r="VLG165" s="347"/>
      <c r="VLH165" s="347"/>
      <c r="VLI165" s="347"/>
      <c r="VLJ165" s="347"/>
      <c r="VLK165" s="347"/>
      <c r="VLL165" s="347"/>
      <c r="VLM165" s="347"/>
      <c r="VLN165" s="347"/>
      <c r="VLO165" s="347"/>
      <c r="VLP165" s="347"/>
      <c r="VLQ165" s="347"/>
      <c r="VLR165" s="347"/>
      <c r="VLS165" s="347"/>
      <c r="VLT165" s="347"/>
      <c r="VLU165" s="347"/>
      <c r="VLV165" s="347"/>
      <c r="VLW165" s="347"/>
      <c r="VLX165" s="347"/>
      <c r="VLY165" s="347"/>
      <c r="VLZ165" s="347"/>
      <c r="VMA165" s="347"/>
      <c r="VMB165" s="347"/>
      <c r="VMC165" s="347"/>
      <c r="VMD165" s="347"/>
      <c r="VME165" s="347"/>
      <c r="VMF165" s="347"/>
      <c r="VMG165" s="347"/>
      <c r="VMH165" s="347"/>
      <c r="VMI165" s="347"/>
      <c r="VMJ165" s="347"/>
      <c r="VMK165" s="347"/>
      <c r="VML165" s="347"/>
      <c r="VMM165" s="347"/>
      <c r="VMN165" s="347"/>
      <c r="VMO165" s="347"/>
      <c r="VMP165" s="347"/>
      <c r="VMQ165" s="347"/>
      <c r="VMR165" s="347"/>
      <c r="VMS165" s="347"/>
      <c r="VMT165" s="347"/>
      <c r="VMU165" s="347"/>
      <c r="VMV165" s="347"/>
      <c r="VMW165" s="347"/>
      <c r="VMX165" s="347"/>
      <c r="VMY165" s="347"/>
      <c r="VMZ165" s="347"/>
      <c r="VNA165" s="347"/>
      <c r="VNB165" s="347"/>
      <c r="VNC165" s="347"/>
      <c r="VND165" s="347"/>
      <c r="VNE165" s="347"/>
      <c r="VNF165" s="347"/>
      <c r="VNG165" s="347"/>
      <c r="VNH165" s="347"/>
      <c r="VNI165" s="347"/>
      <c r="VNJ165" s="347"/>
      <c r="VNK165" s="347"/>
      <c r="VNL165" s="347"/>
      <c r="VNM165" s="347"/>
      <c r="VNN165" s="347"/>
      <c r="VNO165" s="347"/>
      <c r="VNP165" s="347"/>
      <c r="VNQ165" s="347"/>
      <c r="VNR165" s="347"/>
      <c r="VNS165" s="347"/>
      <c r="VNT165" s="347"/>
      <c r="VNU165" s="347"/>
      <c r="VNV165" s="347"/>
      <c r="VNW165" s="347"/>
      <c r="VNX165" s="347"/>
      <c r="VNY165" s="347"/>
      <c r="VNZ165" s="347"/>
      <c r="VOA165" s="347"/>
      <c r="VOB165" s="347"/>
      <c r="VOC165" s="347"/>
      <c r="VOD165" s="347"/>
      <c r="VOE165" s="347"/>
      <c r="VOF165" s="347"/>
      <c r="VOG165" s="347"/>
      <c r="VOH165" s="347"/>
      <c r="VOI165" s="347"/>
      <c r="VOJ165" s="347"/>
      <c r="VOK165" s="347"/>
      <c r="VOL165" s="347"/>
      <c r="VOM165" s="347"/>
      <c r="VON165" s="347"/>
      <c r="VOO165" s="347"/>
      <c r="VOP165" s="347"/>
      <c r="VOQ165" s="347"/>
      <c r="VOR165" s="347"/>
      <c r="VOS165" s="347"/>
      <c r="VOT165" s="347"/>
      <c r="VOU165" s="347"/>
      <c r="VOV165" s="347"/>
      <c r="VOW165" s="347"/>
      <c r="VOX165" s="347"/>
      <c r="VOY165" s="347"/>
      <c r="VOZ165" s="347"/>
      <c r="VPA165" s="347"/>
      <c r="VPB165" s="347"/>
      <c r="VPC165" s="347"/>
      <c r="VPD165" s="347"/>
      <c r="VPE165" s="347"/>
      <c r="VPF165" s="347"/>
      <c r="VPG165" s="347"/>
      <c r="VPH165" s="347"/>
      <c r="VPI165" s="347"/>
      <c r="VPJ165" s="347"/>
      <c r="VPK165" s="347"/>
      <c r="VPL165" s="347"/>
      <c r="VPM165" s="347"/>
      <c r="VPN165" s="347"/>
      <c r="VPO165" s="347"/>
      <c r="VPP165" s="347"/>
      <c r="VPQ165" s="347"/>
      <c r="VPR165" s="347"/>
      <c r="VPS165" s="347"/>
      <c r="VPT165" s="347"/>
      <c r="VPU165" s="347"/>
      <c r="VPV165" s="347"/>
      <c r="VPW165" s="347"/>
      <c r="VPX165" s="347"/>
      <c r="VPY165" s="347"/>
      <c r="VPZ165" s="347"/>
      <c r="VQA165" s="347"/>
      <c r="VQB165" s="347"/>
      <c r="VQC165" s="347"/>
      <c r="VQD165" s="347"/>
      <c r="VQE165" s="347"/>
      <c r="VQF165" s="347"/>
      <c r="VQG165" s="347"/>
      <c r="VQH165" s="347"/>
      <c r="VQI165" s="347"/>
      <c r="VQJ165" s="347"/>
      <c r="VQK165" s="347"/>
      <c r="VQL165" s="347"/>
      <c r="VQM165" s="347"/>
      <c r="VQN165" s="347"/>
      <c r="VQO165" s="347"/>
      <c r="VQP165" s="347"/>
      <c r="VQQ165" s="347"/>
      <c r="VQR165" s="347"/>
      <c r="VQS165" s="347"/>
      <c r="VQT165" s="347"/>
      <c r="VQU165" s="347"/>
      <c r="VQV165" s="347"/>
      <c r="VQW165" s="347"/>
      <c r="VQX165" s="347"/>
      <c r="VQY165" s="347"/>
      <c r="VQZ165" s="347"/>
      <c r="VRA165" s="347"/>
      <c r="VRB165" s="347"/>
      <c r="VRC165" s="347"/>
      <c r="VRD165" s="347"/>
      <c r="VRE165" s="347"/>
      <c r="VRF165" s="347"/>
      <c r="VRG165" s="347"/>
      <c r="VRH165" s="347"/>
      <c r="VRI165" s="347"/>
      <c r="VRJ165" s="347"/>
      <c r="VRK165" s="347"/>
      <c r="VRL165" s="347"/>
      <c r="VRM165" s="347"/>
      <c r="VRN165" s="347"/>
      <c r="VRO165" s="347"/>
      <c r="VRP165" s="347"/>
      <c r="VRQ165" s="347"/>
      <c r="VRR165" s="347"/>
      <c r="VRS165" s="347"/>
      <c r="VRT165" s="347"/>
      <c r="VRU165" s="347"/>
      <c r="VRV165" s="347"/>
      <c r="VRW165" s="347"/>
      <c r="VRX165" s="347"/>
      <c r="VRY165" s="347"/>
      <c r="VRZ165" s="347"/>
      <c r="VSA165" s="347"/>
      <c r="VSB165" s="347"/>
      <c r="VSC165" s="347"/>
      <c r="VSD165" s="347"/>
      <c r="VSE165" s="347"/>
      <c r="VSF165" s="347"/>
      <c r="VSG165" s="347"/>
      <c r="VSH165" s="347"/>
      <c r="VSI165" s="347"/>
      <c r="VSJ165" s="347"/>
      <c r="VSK165" s="347"/>
      <c r="VSL165" s="347"/>
      <c r="VSM165" s="347"/>
      <c r="VSN165" s="347"/>
      <c r="VSO165" s="347"/>
      <c r="VSP165" s="347"/>
      <c r="VSQ165" s="347"/>
      <c r="VSR165" s="347"/>
      <c r="VSS165" s="347"/>
      <c r="VST165" s="347"/>
      <c r="VSU165" s="347"/>
      <c r="VSV165" s="347"/>
      <c r="VSW165" s="347"/>
      <c r="VSX165" s="347"/>
      <c r="VSY165" s="347"/>
      <c r="VSZ165" s="347"/>
      <c r="VTA165" s="347"/>
      <c r="VTB165" s="347"/>
      <c r="VTC165" s="347"/>
      <c r="VTD165" s="347"/>
      <c r="VTE165" s="347"/>
      <c r="VTF165" s="347"/>
      <c r="VTG165" s="347"/>
      <c r="VTH165" s="347"/>
      <c r="VTI165" s="347"/>
      <c r="VTJ165" s="347"/>
      <c r="VTK165" s="347"/>
      <c r="VTL165" s="347"/>
      <c r="VTM165" s="347"/>
      <c r="VTN165" s="347"/>
      <c r="VTO165" s="347"/>
      <c r="VTP165" s="347"/>
      <c r="VTQ165" s="347"/>
      <c r="VTR165" s="347"/>
      <c r="VTS165" s="347"/>
      <c r="VTT165" s="347"/>
      <c r="VTU165" s="347"/>
      <c r="VTV165" s="347"/>
      <c r="VTW165" s="347"/>
      <c r="VTX165" s="347"/>
      <c r="VTY165" s="347"/>
      <c r="VTZ165" s="347"/>
      <c r="VUA165" s="347"/>
      <c r="VUB165" s="347"/>
      <c r="VUC165" s="347"/>
      <c r="VUD165" s="347"/>
      <c r="VUE165" s="347"/>
      <c r="VUF165" s="347"/>
      <c r="VUG165" s="347"/>
      <c r="VUH165" s="347"/>
      <c r="VUI165" s="347"/>
      <c r="VUJ165" s="347"/>
      <c r="VUK165" s="347"/>
      <c r="VUL165" s="347"/>
      <c r="VUM165" s="347"/>
      <c r="VUN165" s="347"/>
      <c r="VUO165" s="347"/>
      <c r="VUP165" s="347"/>
      <c r="VUQ165" s="347"/>
      <c r="VUR165" s="347"/>
      <c r="VUS165" s="347"/>
      <c r="VUT165" s="347"/>
      <c r="VUU165" s="347"/>
      <c r="VUV165" s="347"/>
      <c r="VUW165" s="347"/>
      <c r="VUX165" s="347"/>
      <c r="VUY165" s="347"/>
      <c r="VUZ165" s="347"/>
      <c r="VVA165" s="347"/>
      <c r="VVB165" s="347"/>
      <c r="VVC165" s="347"/>
      <c r="VVD165" s="347"/>
      <c r="VVE165" s="347"/>
      <c r="VVF165" s="347"/>
      <c r="VVG165" s="347"/>
      <c r="VVH165" s="347"/>
      <c r="VVI165" s="347"/>
      <c r="VVJ165" s="347"/>
      <c r="VVK165" s="347"/>
      <c r="VVL165" s="347"/>
      <c r="VVM165" s="347"/>
      <c r="VVN165" s="347"/>
      <c r="VVO165" s="347"/>
      <c r="VVP165" s="347"/>
      <c r="VVQ165" s="347"/>
    </row>
    <row r="166" spans="2:103 15069:15461" s="3" customFormat="1">
      <c r="B166" s="121"/>
      <c r="C166" s="73" t="s">
        <v>33</v>
      </c>
      <c r="D166" s="117"/>
      <c r="E166" s="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50"/>
      <c r="AH166" s="50"/>
      <c r="AI166" s="50"/>
      <c r="AJ166" s="21"/>
      <c r="AL166" s="120" t="s">
        <v>33</v>
      </c>
      <c r="CY166" s="304"/>
    </row>
    <row r="167" spans="2:103 15069:15461" s="3" customFormat="1">
      <c r="B167" s="121"/>
      <c r="C167" s="74" t="s">
        <v>138</v>
      </c>
      <c r="D167" s="117"/>
      <c r="E167" s="8" t="s">
        <v>36</v>
      </c>
      <c r="F167" s="1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50"/>
      <c r="AH167" s="50"/>
      <c r="AI167" s="50"/>
      <c r="AJ167" s="21"/>
      <c r="AL167" s="120"/>
      <c r="CY167" s="304"/>
    </row>
    <row r="168" spans="2:103 15069:15461" s="3" customFormat="1" ht="13.8">
      <c r="B168" s="121"/>
      <c r="C168" s="74" t="s">
        <v>31</v>
      </c>
      <c r="D168" s="117"/>
      <c r="E168" s="8" t="s">
        <v>36</v>
      </c>
      <c r="F168" s="1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50"/>
      <c r="AH168" s="50"/>
      <c r="AI168" s="50"/>
      <c r="AJ168" s="21"/>
      <c r="AL168" s="103">
        <f>SUM(F168:AJ168)</f>
        <v>0</v>
      </c>
      <c r="CY168" s="304"/>
    </row>
    <row r="169" spans="2:103 15069:15461" s="3" customFormat="1" ht="13.8">
      <c r="B169" s="121"/>
      <c r="C169" s="74" t="s">
        <v>30</v>
      </c>
      <c r="D169" s="117"/>
      <c r="E169" s="8" t="s">
        <v>36</v>
      </c>
      <c r="F169" s="1">
        <v>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50"/>
      <c r="AH169" s="50"/>
      <c r="AI169" s="50"/>
      <c r="AJ169" s="21"/>
      <c r="AL169" s="103">
        <f>SUM(F169:AJ169)</f>
        <v>0</v>
      </c>
      <c r="CY169" s="304"/>
    </row>
    <row r="170" spans="2:103 15069:15461" s="3" customFormat="1">
      <c r="B170" s="121"/>
      <c r="C170" s="73" t="s">
        <v>32</v>
      </c>
      <c r="D170" s="117"/>
      <c r="E170" s="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50"/>
      <c r="AH170" s="50"/>
      <c r="AI170" s="50"/>
      <c r="AJ170" s="21"/>
      <c r="AL170" s="120" t="s">
        <v>32</v>
      </c>
      <c r="CY170" s="304"/>
    </row>
    <row r="171" spans="2:103 15069:15461" s="3" customFormat="1">
      <c r="B171" s="121"/>
      <c r="C171" s="74" t="s">
        <v>138</v>
      </c>
      <c r="D171" s="117"/>
      <c r="E171" s="8" t="s">
        <v>32</v>
      </c>
      <c r="F171" s="7">
        <f>F162/F151*100</f>
        <v>0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50"/>
      <c r="AH171" s="50"/>
      <c r="AI171" s="50"/>
      <c r="AJ171" s="21"/>
      <c r="AL171" s="120"/>
      <c r="CY171" s="304"/>
    </row>
    <row r="172" spans="2:103 15069:15461" s="3" customFormat="1" ht="13.8">
      <c r="B172" s="121"/>
      <c r="C172" s="74" t="s">
        <v>31</v>
      </c>
      <c r="D172" s="117"/>
      <c r="E172" s="8" t="s">
        <v>32</v>
      </c>
      <c r="F172" s="7">
        <f>F163/F152*100</f>
        <v>26.470099731890002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50"/>
      <c r="AH172" s="50"/>
      <c r="AI172" s="50"/>
      <c r="AJ172" s="21"/>
      <c r="AL172" s="103">
        <f>SUM(F172:AJ172)</f>
        <v>26.470099731890002</v>
      </c>
      <c r="CY172" s="304"/>
    </row>
    <row r="173" spans="2:103 15069:15461" s="3" customFormat="1" ht="13.8">
      <c r="B173" s="121"/>
      <c r="C173" s="74" t="s">
        <v>30</v>
      </c>
      <c r="D173" s="117"/>
      <c r="E173" s="8" t="s">
        <v>32</v>
      </c>
      <c r="F173" s="7" t="e">
        <f>F164/F153*100</f>
        <v>#DIV/0!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50"/>
      <c r="AH173" s="50"/>
      <c r="AI173" s="50"/>
      <c r="AJ173" s="21"/>
      <c r="AL173" s="103" t="e">
        <f>SUM(F173:AJ173)</f>
        <v>#DIV/0!</v>
      </c>
      <c r="CY173" s="304"/>
    </row>
    <row r="174" spans="2:103 15069:15461" s="3" customFormat="1">
      <c r="B174" s="69"/>
      <c r="C174" s="71" t="s">
        <v>35</v>
      </c>
      <c r="D174" s="87"/>
      <c r="E174" s="18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88"/>
      <c r="AD174" s="6"/>
      <c r="AE174" s="6"/>
      <c r="AF174" s="6"/>
      <c r="AG174" s="52"/>
      <c r="AH174" s="52"/>
      <c r="AI174" s="52"/>
      <c r="AJ174" s="60"/>
      <c r="AK174" s="89"/>
      <c r="AL174" s="151" t="s">
        <v>34</v>
      </c>
      <c r="CY174" s="16"/>
      <c r="VGO174" s="347"/>
      <c r="VGP174" s="347"/>
      <c r="VGQ174" s="347"/>
      <c r="VGR174" s="347"/>
      <c r="VGS174" s="347"/>
      <c r="VGT174" s="347"/>
      <c r="VGU174" s="347"/>
      <c r="VGV174" s="347"/>
      <c r="VGW174" s="347"/>
      <c r="VGX174" s="347"/>
      <c r="VGY174" s="347"/>
      <c r="VGZ174" s="347"/>
      <c r="VHA174" s="347"/>
      <c r="VHB174" s="347"/>
      <c r="VHC174" s="347"/>
      <c r="VHD174" s="347"/>
      <c r="VHE174" s="347"/>
      <c r="VHF174" s="347"/>
      <c r="VHG174" s="347"/>
      <c r="VHH174" s="347"/>
      <c r="VHI174" s="347"/>
      <c r="VHJ174" s="347"/>
      <c r="VHK174" s="347"/>
      <c r="VHL174" s="347"/>
      <c r="VHM174" s="347"/>
      <c r="VHN174" s="347"/>
      <c r="VHO174" s="347"/>
      <c r="VHP174" s="347"/>
      <c r="VHQ174" s="347"/>
      <c r="VHR174" s="347"/>
      <c r="VHS174" s="347"/>
      <c r="VHT174" s="347"/>
      <c r="VHU174" s="347"/>
      <c r="VHV174" s="347"/>
      <c r="VHW174" s="347"/>
      <c r="VHX174" s="347"/>
      <c r="VHY174" s="347"/>
      <c r="VHZ174" s="347"/>
      <c r="VIA174" s="347"/>
      <c r="VIB174" s="347"/>
      <c r="VIC174" s="347"/>
      <c r="VID174" s="347"/>
      <c r="VIE174" s="347"/>
      <c r="VIF174" s="347"/>
      <c r="VIG174" s="347"/>
      <c r="VIH174" s="347"/>
      <c r="VII174" s="347"/>
      <c r="VIJ174" s="347"/>
      <c r="VIK174" s="347"/>
      <c r="VIL174" s="347"/>
      <c r="VIM174" s="347"/>
      <c r="VIN174" s="347"/>
      <c r="VIO174" s="347"/>
      <c r="VIP174" s="347"/>
      <c r="VIQ174" s="347"/>
      <c r="VIR174" s="347"/>
      <c r="VIS174" s="347"/>
      <c r="VIT174" s="347"/>
      <c r="VIU174" s="347"/>
      <c r="VIV174" s="347"/>
      <c r="VIW174" s="347"/>
      <c r="VIX174" s="347"/>
      <c r="VIY174" s="347"/>
      <c r="VIZ174" s="347"/>
      <c r="VJA174" s="347"/>
      <c r="VJB174" s="347"/>
      <c r="VJC174" s="347"/>
      <c r="VJD174" s="347"/>
      <c r="VJE174" s="347"/>
      <c r="VJF174" s="347"/>
      <c r="VJG174" s="347"/>
      <c r="VJH174" s="347"/>
      <c r="VJI174" s="347"/>
      <c r="VJJ174" s="347"/>
      <c r="VJK174" s="347"/>
      <c r="VJL174" s="347"/>
      <c r="VJM174" s="347"/>
      <c r="VJN174" s="347"/>
      <c r="VJO174" s="347"/>
      <c r="VJP174" s="347"/>
      <c r="VJQ174" s="347"/>
      <c r="VJR174" s="347"/>
      <c r="VJS174" s="347"/>
      <c r="VJT174" s="347"/>
      <c r="VJU174" s="347"/>
      <c r="VJV174" s="347"/>
      <c r="VJW174" s="347"/>
      <c r="VJX174" s="347"/>
      <c r="VJY174" s="347"/>
      <c r="VJZ174" s="347"/>
      <c r="VKA174" s="347"/>
      <c r="VKB174" s="347"/>
      <c r="VKC174" s="347"/>
      <c r="VKD174" s="347"/>
      <c r="VKE174" s="347"/>
      <c r="VKF174" s="347"/>
      <c r="VKG174" s="347"/>
      <c r="VKH174" s="347"/>
      <c r="VKI174" s="347"/>
      <c r="VKJ174" s="347"/>
      <c r="VKK174" s="347"/>
      <c r="VKL174" s="347"/>
      <c r="VKM174" s="347"/>
      <c r="VKN174" s="347"/>
      <c r="VKO174" s="347"/>
      <c r="VKP174" s="347"/>
      <c r="VKQ174" s="347"/>
      <c r="VKR174" s="347"/>
      <c r="VKS174" s="347"/>
      <c r="VKT174" s="347"/>
      <c r="VKU174" s="347"/>
      <c r="VKV174" s="347"/>
      <c r="VKW174" s="347"/>
      <c r="VKX174" s="347"/>
      <c r="VKY174" s="347"/>
      <c r="VKZ174" s="347"/>
      <c r="VLA174" s="347"/>
      <c r="VLB174" s="347"/>
      <c r="VLC174" s="347"/>
      <c r="VLD174" s="347"/>
      <c r="VLE174" s="347"/>
      <c r="VLF174" s="347"/>
      <c r="VLG174" s="347"/>
      <c r="VLH174" s="347"/>
      <c r="VLI174" s="347"/>
      <c r="VLJ174" s="347"/>
      <c r="VLK174" s="347"/>
      <c r="VLL174" s="347"/>
      <c r="VLM174" s="347"/>
      <c r="VLN174" s="347"/>
      <c r="VLO174" s="347"/>
      <c r="VLP174" s="347"/>
      <c r="VLQ174" s="347"/>
      <c r="VLR174" s="347"/>
      <c r="VLS174" s="347"/>
      <c r="VLT174" s="347"/>
      <c r="VLU174" s="347"/>
      <c r="VLV174" s="347"/>
      <c r="VLW174" s="347"/>
      <c r="VLX174" s="347"/>
      <c r="VLY174" s="347"/>
      <c r="VLZ174" s="347"/>
      <c r="VMA174" s="347"/>
      <c r="VMB174" s="347"/>
      <c r="VMC174" s="347"/>
      <c r="VMD174" s="347"/>
      <c r="VME174" s="347"/>
      <c r="VMF174" s="347"/>
      <c r="VMG174" s="347"/>
      <c r="VMH174" s="347"/>
      <c r="VMI174" s="347"/>
      <c r="VMJ174" s="347"/>
      <c r="VMK174" s="347"/>
      <c r="VML174" s="347"/>
      <c r="VMM174" s="347"/>
      <c r="VMN174" s="347"/>
      <c r="VMO174" s="347"/>
      <c r="VMP174" s="347"/>
      <c r="VMQ174" s="347"/>
      <c r="VMR174" s="347"/>
      <c r="VMS174" s="347"/>
      <c r="VMT174" s="347"/>
      <c r="VMU174" s="347"/>
      <c r="VMV174" s="347"/>
      <c r="VMW174" s="347"/>
      <c r="VMX174" s="347"/>
      <c r="VMY174" s="347"/>
      <c r="VMZ174" s="347"/>
      <c r="VNA174" s="347"/>
      <c r="VNB174" s="347"/>
      <c r="VNC174" s="347"/>
      <c r="VND174" s="347"/>
      <c r="VNE174" s="347"/>
      <c r="VNF174" s="347"/>
      <c r="VNG174" s="347"/>
      <c r="VNH174" s="347"/>
      <c r="VNI174" s="347"/>
      <c r="VNJ174" s="347"/>
      <c r="VNK174" s="347"/>
      <c r="VNL174" s="347"/>
      <c r="VNM174" s="347"/>
      <c r="VNN174" s="347"/>
      <c r="VNO174" s="347"/>
      <c r="VNP174" s="347"/>
      <c r="VNQ174" s="347"/>
      <c r="VNR174" s="347"/>
      <c r="VNS174" s="347"/>
      <c r="VNT174" s="347"/>
      <c r="VNU174" s="347"/>
      <c r="VNV174" s="347"/>
      <c r="VNW174" s="347"/>
      <c r="VNX174" s="347"/>
      <c r="VNY174" s="347"/>
      <c r="VNZ174" s="347"/>
      <c r="VOA174" s="347"/>
      <c r="VOB174" s="347"/>
      <c r="VOC174" s="347"/>
      <c r="VOD174" s="347"/>
      <c r="VOE174" s="347"/>
      <c r="VOF174" s="347"/>
      <c r="VOG174" s="347"/>
      <c r="VOH174" s="347"/>
      <c r="VOI174" s="347"/>
      <c r="VOJ174" s="347"/>
      <c r="VOK174" s="347"/>
      <c r="VOL174" s="347"/>
      <c r="VOM174" s="347"/>
      <c r="VON174" s="347"/>
      <c r="VOO174" s="347"/>
      <c r="VOP174" s="347"/>
      <c r="VOQ174" s="347"/>
      <c r="VOR174" s="347"/>
      <c r="VOS174" s="347"/>
      <c r="VOT174" s="347"/>
      <c r="VOU174" s="347"/>
      <c r="VOV174" s="347"/>
      <c r="VOW174" s="347"/>
      <c r="VOX174" s="347"/>
      <c r="VOY174" s="347"/>
      <c r="VOZ174" s="347"/>
      <c r="VPA174" s="347"/>
      <c r="VPB174" s="347"/>
      <c r="VPC174" s="347"/>
      <c r="VPD174" s="347"/>
      <c r="VPE174" s="347"/>
      <c r="VPF174" s="347"/>
      <c r="VPG174" s="347"/>
      <c r="VPH174" s="347"/>
      <c r="VPI174" s="347"/>
      <c r="VPJ174" s="347"/>
      <c r="VPK174" s="347"/>
      <c r="VPL174" s="347"/>
      <c r="VPM174" s="347"/>
      <c r="VPN174" s="347"/>
      <c r="VPO174" s="347"/>
      <c r="VPP174" s="347"/>
      <c r="VPQ174" s="347"/>
      <c r="VPR174" s="347"/>
      <c r="VPS174" s="347"/>
      <c r="VPT174" s="347"/>
      <c r="VPU174" s="347"/>
      <c r="VPV174" s="347"/>
      <c r="VPW174" s="347"/>
      <c r="VPX174" s="347"/>
      <c r="VPY174" s="347"/>
      <c r="VPZ174" s="347"/>
      <c r="VQA174" s="347"/>
      <c r="VQB174" s="347"/>
      <c r="VQC174" s="347"/>
      <c r="VQD174" s="347"/>
      <c r="VQE174" s="347"/>
      <c r="VQF174" s="347"/>
      <c r="VQG174" s="347"/>
      <c r="VQH174" s="347"/>
      <c r="VQI174" s="347"/>
      <c r="VQJ174" s="347"/>
      <c r="VQK174" s="347"/>
      <c r="VQL174" s="347"/>
      <c r="VQM174" s="347"/>
      <c r="VQN174" s="347"/>
      <c r="VQO174" s="347"/>
      <c r="VQP174" s="347"/>
      <c r="VQQ174" s="347"/>
      <c r="VQR174" s="347"/>
      <c r="VQS174" s="347"/>
      <c r="VQT174" s="347"/>
      <c r="VQU174" s="347"/>
      <c r="VQV174" s="347"/>
      <c r="VQW174" s="347"/>
      <c r="VQX174" s="347"/>
      <c r="VQY174" s="347"/>
      <c r="VQZ174" s="347"/>
      <c r="VRA174" s="347"/>
      <c r="VRB174" s="347"/>
      <c r="VRC174" s="347"/>
      <c r="VRD174" s="347"/>
      <c r="VRE174" s="347"/>
      <c r="VRF174" s="347"/>
      <c r="VRG174" s="347"/>
      <c r="VRH174" s="347"/>
      <c r="VRI174" s="347"/>
      <c r="VRJ174" s="347"/>
      <c r="VRK174" s="347"/>
      <c r="VRL174" s="347"/>
      <c r="VRM174" s="347"/>
      <c r="VRN174" s="347"/>
      <c r="VRO174" s="347"/>
      <c r="VRP174" s="347"/>
      <c r="VRQ174" s="347"/>
      <c r="VRR174" s="347"/>
      <c r="VRS174" s="347"/>
      <c r="VRT174" s="347"/>
      <c r="VRU174" s="347"/>
      <c r="VRV174" s="347"/>
      <c r="VRW174" s="347"/>
      <c r="VRX174" s="347"/>
      <c r="VRY174" s="347"/>
      <c r="VRZ174" s="347"/>
      <c r="VSA174" s="347"/>
      <c r="VSB174" s="347"/>
      <c r="VSC174" s="347"/>
      <c r="VSD174" s="347"/>
      <c r="VSE174" s="347"/>
      <c r="VSF174" s="347"/>
      <c r="VSG174" s="347"/>
      <c r="VSH174" s="347"/>
      <c r="VSI174" s="347"/>
      <c r="VSJ174" s="347"/>
      <c r="VSK174" s="347"/>
      <c r="VSL174" s="347"/>
      <c r="VSM174" s="347"/>
      <c r="VSN174" s="347"/>
      <c r="VSO174" s="347"/>
      <c r="VSP174" s="347"/>
      <c r="VSQ174" s="347"/>
      <c r="VSR174" s="347"/>
      <c r="VSS174" s="347"/>
      <c r="VST174" s="347"/>
      <c r="VSU174" s="347"/>
      <c r="VSV174" s="347"/>
      <c r="VSW174" s="347"/>
      <c r="VSX174" s="347"/>
      <c r="VSY174" s="347"/>
      <c r="VSZ174" s="347"/>
      <c r="VTA174" s="347"/>
      <c r="VTB174" s="347"/>
      <c r="VTC174" s="347"/>
      <c r="VTD174" s="347"/>
      <c r="VTE174" s="347"/>
      <c r="VTF174" s="347"/>
      <c r="VTG174" s="347"/>
      <c r="VTH174" s="347"/>
      <c r="VTI174" s="347"/>
      <c r="VTJ174" s="347"/>
      <c r="VTK174" s="347"/>
      <c r="VTL174" s="347"/>
      <c r="VTM174" s="347"/>
      <c r="VTN174" s="347"/>
      <c r="VTO174" s="347"/>
      <c r="VTP174" s="347"/>
      <c r="VTQ174" s="347"/>
      <c r="VTR174" s="347"/>
      <c r="VTS174" s="347"/>
      <c r="VTT174" s="347"/>
      <c r="VTU174" s="347"/>
      <c r="VTV174" s="347"/>
      <c r="VTW174" s="347"/>
      <c r="VTX174" s="347"/>
      <c r="VTY174" s="347"/>
      <c r="VTZ174" s="347"/>
      <c r="VUA174" s="347"/>
      <c r="VUB174" s="347"/>
      <c r="VUC174" s="347"/>
      <c r="VUD174" s="347"/>
      <c r="VUE174" s="347"/>
      <c r="VUF174" s="347"/>
      <c r="VUG174" s="347"/>
      <c r="VUH174" s="347"/>
      <c r="VUI174" s="347"/>
      <c r="VUJ174" s="347"/>
      <c r="VUK174" s="347"/>
      <c r="VUL174" s="347"/>
      <c r="VUM174" s="347"/>
      <c r="VUN174" s="347"/>
      <c r="VUO174" s="347"/>
      <c r="VUP174" s="347"/>
      <c r="VUQ174" s="347"/>
      <c r="VUR174" s="347"/>
      <c r="VUS174" s="347"/>
      <c r="VUT174" s="347"/>
      <c r="VUU174" s="347"/>
      <c r="VUV174" s="347"/>
      <c r="VUW174" s="347"/>
      <c r="VUX174" s="347"/>
      <c r="VUY174" s="347"/>
      <c r="VUZ174" s="347"/>
      <c r="VVA174" s="347"/>
      <c r="VVB174" s="347"/>
      <c r="VVC174" s="347"/>
      <c r="VVD174" s="347"/>
      <c r="VVE174" s="347"/>
      <c r="VVF174" s="347"/>
      <c r="VVG174" s="347"/>
      <c r="VVH174" s="347"/>
      <c r="VVI174" s="347"/>
      <c r="VVJ174" s="347"/>
      <c r="VVK174" s="347"/>
      <c r="VVL174" s="347"/>
      <c r="VVM174" s="347"/>
      <c r="VVN174" s="347"/>
      <c r="VVO174" s="347"/>
      <c r="VVP174" s="347"/>
      <c r="VVQ174" s="347"/>
    </row>
    <row r="175" spans="2:103 15069:15461" s="3" customFormat="1">
      <c r="B175" s="121"/>
      <c r="C175" s="73" t="s">
        <v>33</v>
      </c>
      <c r="D175" s="117"/>
      <c r="E175" s="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50"/>
      <c r="AH175" s="50"/>
      <c r="AI175" s="50"/>
      <c r="AJ175" s="21"/>
      <c r="AL175" s="120" t="s">
        <v>33</v>
      </c>
      <c r="CY175" s="304"/>
    </row>
    <row r="176" spans="2:103 15069:15461" s="3" customFormat="1">
      <c r="B176" s="121"/>
      <c r="C176" s="74" t="s">
        <v>138</v>
      </c>
      <c r="D176" s="14">
        <v>0.3</v>
      </c>
      <c r="E176" s="8" t="s">
        <v>29</v>
      </c>
      <c r="F176" s="10">
        <f>F167/F154*100</f>
        <v>0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50"/>
      <c r="AH176" s="50"/>
      <c r="AI176" s="50"/>
      <c r="AJ176" s="21"/>
      <c r="AL176" s="120"/>
      <c r="CY176" s="304"/>
    </row>
    <row r="177" spans="2:103" s="3" customFormat="1" ht="13.8">
      <c r="B177" s="121"/>
      <c r="C177" s="74" t="s">
        <v>31</v>
      </c>
      <c r="D177" s="14">
        <v>0.3</v>
      </c>
      <c r="E177" s="8" t="s">
        <v>29</v>
      </c>
      <c r="F177" s="10" t="e">
        <f>F168/F155*100</f>
        <v>#DIV/0!</v>
      </c>
      <c r="G177" s="10" t="e">
        <f t="shared" ref="G177:AI177" si="81">G168/G155*100</f>
        <v>#DIV/0!</v>
      </c>
      <c r="H177" s="10" t="e">
        <f t="shared" si="81"/>
        <v>#DIV/0!</v>
      </c>
      <c r="I177" s="10" t="e">
        <f t="shared" si="81"/>
        <v>#DIV/0!</v>
      </c>
      <c r="J177" s="10" t="e">
        <f t="shared" si="81"/>
        <v>#DIV/0!</v>
      </c>
      <c r="K177" s="10" t="e">
        <f t="shared" si="81"/>
        <v>#DIV/0!</v>
      </c>
      <c r="L177" s="10" t="e">
        <f t="shared" si="81"/>
        <v>#DIV/0!</v>
      </c>
      <c r="M177" s="10" t="e">
        <f t="shared" si="81"/>
        <v>#DIV/0!</v>
      </c>
      <c r="N177" s="10" t="e">
        <f t="shared" si="81"/>
        <v>#DIV/0!</v>
      </c>
      <c r="O177" s="10" t="e">
        <f t="shared" si="81"/>
        <v>#DIV/0!</v>
      </c>
      <c r="P177" s="10" t="e">
        <f t="shared" si="81"/>
        <v>#DIV/0!</v>
      </c>
      <c r="Q177" s="10" t="e">
        <f t="shared" si="81"/>
        <v>#DIV/0!</v>
      </c>
      <c r="R177" s="10" t="e">
        <f t="shared" si="81"/>
        <v>#DIV/0!</v>
      </c>
      <c r="S177" s="10" t="e">
        <f t="shared" si="81"/>
        <v>#DIV/0!</v>
      </c>
      <c r="T177" s="10" t="e">
        <f t="shared" si="81"/>
        <v>#DIV/0!</v>
      </c>
      <c r="U177" s="10" t="e">
        <f t="shared" si="81"/>
        <v>#DIV/0!</v>
      </c>
      <c r="V177" s="10" t="e">
        <f t="shared" si="81"/>
        <v>#DIV/0!</v>
      </c>
      <c r="W177" s="10" t="e">
        <f t="shared" si="81"/>
        <v>#DIV/0!</v>
      </c>
      <c r="X177" s="10" t="e">
        <f t="shared" si="81"/>
        <v>#DIV/0!</v>
      </c>
      <c r="Y177" s="10" t="e">
        <f t="shared" si="81"/>
        <v>#DIV/0!</v>
      </c>
      <c r="Z177" s="10" t="e">
        <f t="shared" si="81"/>
        <v>#DIV/0!</v>
      </c>
      <c r="AA177" s="10" t="e">
        <f t="shared" si="81"/>
        <v>#DIV/0!</v>
      </c>
      <c r="AB177" s="10" t="e">
        <f t="shared" si="81"/>
        <v>#DIV/0!</v>
      </c>
      <c r="AC177" s="10" t="e">
        <f t="shared" si="81"/>
        <v>#DIV/0!</v>
      </c>
      <c r="AD177" s="10" t="e">
        <f t="shared" si="81"/>
        <v>#DIV/0!</v>
      </c>
      <c r="AE177" s="10" t="e">
        <f t="shared" si="81"/>
        <v>#DIV/0!</v>
      </c>
      <c r="AF177" s="10" t="e">
        <f t="shared" si="81"/>
        <v>#DIV/0!</v>
      </c>
      <c r="AG177" s="10" t="e">
        <f t="shared" si="81"/>
        <v>#DIV/0!</v>
      </c>
      <c r="AH177" s="10" t="e">
        <f t="shared" si="81"/>
        <v>#DIV/0!</v>
      </c>
      <c r="AI177" s="10" t="e">
        <f t="shared" si="81"/>
        <v>#DIV/0!</v>
      </c>
      <c r="AJ177" s="20" t="e">
        <f>AJ168/AJ155*100</f>
        <v>#DIV/0!</v>
      </c>
      <c r="AL177" s="114" t="e">
        <f>AL168/AL155*100</f>
        <v>#DIV/0!</v>
      </c>
      <c r="CY177" s="304"/>
    </row>
    <row r="178" spans="2:103" s="3" customFormat="1" ht="13.8">
      <c r="B178" s="121"/>
      <c r="C178" s="74" t="s">
        <v>30</v>
      </c>
      <c r="D178" s="14">
        <v>0.3</v>
      </c>
      <c r="E178" s="8" t="s">
        <v>29</v>
      </c>
      <c r="F178" s="10" t="e">
        <f t="shared" ref="F178:AI178" si="82">F169/F157*100</f>
        <v>#DIV/0!</v>
      </c>
      <c r="G178" s="10" t="e">
        <f t="shared" si="82"/>
        <v>#DIV/0!</v>
      </c>
      <c r="H178" s="10" t="e">
        <f t="shared" si="82"/>
        <v>#DIV/0!</v>
      </c>
      <c r="I178" s="10" t="e">
        <f t="shared" si="82"/>
        <v>#DIV/0!</v>
      </c>
      <c r="J178" s="10" t="e">
        <f t="shared" si="82"/>
        <v>#DIV/0!</v>
      </c>
      <c r="K178" s="10" t="e">
        <f t="shared" si="82"/>
        <v>#DIV/0!</v>
      </c>
      <c r="L178" s="10" t="e">
        <f t="shared" si="82"/>
        <v>#DIV/0!</v>
      </c>
      <c r="M178" s="10" t="e">
        <f t="shared" si="82"/>
        <v>#DIV/0!</v>
      </c>
      <c r="N178" s="10" t="e">
        <f t="shared" si="82"/>
        <v>#DIV/0!</v>
      </c>
      <c r="O178" s="10" t="e">
        <f t="shared" si="82"/>
        <v>#DIV/0!</v>
      </c>
      <c r="P178" s="10" t="e">
        <f t="shared" si="82"/>
        <v>#DIV/0!</v>
      </c>
      <c r="Q178" s="10" t="e">
        <f t="shared" si="82"/>
        <v>#DIV/0!</v>
      </c>
      <c r="R178" s="10" t="e">
        <f t="shared" si="82"/>
        <v>#DIV/0!</v>
      </c>
      <c r="S178" s="10" t="e">
        <f t="shared" si="82"/>
        <v>#DIV/0!</v>
      </c>
      <c r="T178" s="10" t="e">
        <f t="shared" si="82"/>
        <v>#DIV/0!</v>
      </c>
      <c r="U178" s="10" t="e">
        <f t="shared" si="82"/>
        <v>#DIV/0!</v>
      </c>
      <c r="V178" s="10" t="e">
        <f t="shared" si="82"/>
        <v>#DIV/0!</v>
      </c>
      <c r="W178" s="10" t="e">
        <f t="shared" si="82"/>
        <v>#DIV/0!</v>
      </c>
      <c r="X178" s="10" t="e">
        <f t="shared" si="82"/>
        <v>#DIV/0!</v>
      </c>
      <c r="Y178" s="10" t="e">
        <f t="shared" si="82"/>
        <v>#DIV/0!</v>
      </c>
      <c r="Z178" s="10" t="e">
        <f t="shared" si="82"/>
        <v>#DIV/0!</v>
      </c>
      <c r="AA178" s="10" t="e">
        <f t="shared" si="82"/>
        <v>#DIV/0!</v>
      </c>
      <c r="AB178" s="10" t="e">
        <f t="shared" si="82"/>
        <v>#DIV/0!</v>
      </c>
      <c r="AC178" s="10" t="e">
        <f t="shared" si="82"/>
        <v>#DIV/0!</v>
      </c>
      <c r="AD178" s="10" t="e">
        <f t="shared" si="82"/>
        <v>#DIV/0!</v>
      </c>
      <c r="AE178" s="10" t="e">
        <f t="shared" si="82"/>
        <v>#DIV/0!</v>
      </c>
      <c r="AF178" s="10" t="e">
        <f t="shared" si="82"/>
        <v>#DIV/0!</v>
      </c>
      <c r="AG178" s="10" t="e">
        <f t="shared" si="82"/>
        <v>#DIV/0!</v>
      </c>
      <c r="AH178" s="10" t="e">
        <f t="shared" si="82"/>
        <v>#DIV/0!</v>
      </c>
      <c r="AI178" s="10" t="e">
        <f t="shared" si="82"/>
        <v>#DIV/0!</v>
      </c>
      <c r="AJ178" s="20" t="e">
        <f>AJ169/AJ157*100</f>
        <v>#DIV/0!</v>
      </c>
      <c r="AL178" s="114" t="e">
        <f>AL169/AL157*100</f>
        <v>#DIV/0!</v>
      </c>
      <c r="CY178" s="304"/>
    </row>
    <row r="179" spans="2:103" s="3" customFormat="1">
      <c r="B179" s="121"/>
      <c r="C179" s="73" t="s">
        <v>32</v>
      </c>
      <c r="D179" s="14"/>
      <c r="E179" s="5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20"/>
      <c r="AL179" s="120" t="s">
        <v>32</v>
      </c>
      <c r="CY179" s="304"/>
    </row>
    <row r="180" spans="2:103" s="3" customFormat="1">
      <c r="B180" s="121"/>
      <c r="C180" s="74" t="s">
        <v>138</v>
      </c>
      <c r="D180" s="14">
        <v>0.5</v>
      </c>
      <c r="E180" s="8" t="s">
        <v>29</v>
      </c>
      <c r="F180" s="10">
        <f>F171/F159*100</f>
        <v>0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20"/>
      <c r="AL180" s="120"/>
      <c r="CY180" s="304"/>
    </row>
    <row r="181" spans="2:103" s="3" customFormat="1" ht="13.8">
      <c r="B181" s="121"/>
      <c r="C181" s="74" t="s">
        <v>31</v>
      </c>
      <c r="D181" s="14">
        <v>0.5</v>
      </c>
      <c r="E181" s="8" t="s">
        <v>29</v>
      </c>
      <c r="F181" s="10" t="e">
        <f>F172/F160*100</f>
        <v>#DIV/0!</v>
      </c>
      <c r="G181" s="10" t="e">
        <f t="shared" ref="G181:AI181" si="83">G172/G160*100</f>
        <v>#DIV/0!</v>
      </c>
      <c r="H181" s="10" t="e">
        <f t="shared" si="83"/>
        <v>#DIV/0!</v>
      </c>
      <c r="I181" s="10" t="e">
        <f t="shared" si="83"/>
        <v>#DIV/0!</v>
      </c>
      <c r="J181" s="10" t="e">
        <f t="shared" si="83"/>
        <v>#DIV/0!</v>
      </c>
      <c r="K181" s="10" t="e">
        <f t="shared" si="83"/>
        <v>#DIV/0!</v>
      </c>
      <c r="L181" s="10" t="e">
        <f t="shared" si="83"/>
        <v>#DIV/0!</v>
      </c>
      <c r="M181" s="10" t="e">
        <f t="shared" si="83"/>
        <v>#DIV/0!</v>
      </c>
      <c r="N181" s="10" t="e">
        <f t="shared" si="83"/>
        <v>#DIV/0!</v>
      </c>
      <c r="O181" s="10" t="e">
        <f t="shared" si="83"/>
        <v>#DIV/0!</v>
      </c>
      <c r="P181" s="10" t="e">
        <f t="shared" si="83"/>
        <v>#DIV/0!</v>
      </c>
      <c r="Q181" s="10" t="e">
        <f t="shared" si="83"/>
        <v>#DIV/0!</v>
      </c>
      <c r="R181" s="10" t="e">
        <f t="shared" si="83"/>
        <v>#DIV/0!</v>
      </c>
      <c r="S181" s="10" t="e">
        <f t="shared" si="83"/>
        <v>#DIV/0!</v>
      </c>
      <c r="T181" s="10" t="e">
        <f t="shared" si="83"/>
        <v>#DIV/0!</v>
      </c>
      <c r="U181" s="10" t="e">
        <f t="shared" si="83"/>
        <v>#DIV/0!</v>
      </c>
      <c r="V181" s="10" t="e">
        <f t="shared" si="83"/>
        <v>#DIV/0!</v>
      </c>
      <c r="W181" s="10" t="e">
        <f t="shared" si="83"/>
        <v>#DIV/0!</v>
      </c>
      <c r="X181" s="10" t="e">
        <f t="shared" si="83"/>
        <v>#DIV/0!</v>
      </c>
      <c r="Y181" s="10" t="e">
        <f t="shared" si="83"/>
        <v>#DIV/0!</v>
      </c>
      <c r="Z181" s="10" t="e">
        <f t="shared" si="83"/>
        <v>#DIV/0!</v>
      </c>
      <c r="AA181" s="10" t="e">
        <f t="shared" si="83"/>
        <v>#DIV/0!</v>
      </c>
      <c r="AB181" s="10" t="e">
        <f t="shared" si="83"/>
        <v>#DIV/0!</v>
      </c>
      <c r="AC181" s="10" t="e">
        <f t="shared" si="83"/>
        <v>#DIV/0!</v>
      </c>
      <c r="AD181" s="10" t="e">
        <f t="shared" si="83"/>
        <v>#DIV/0!</v>
      </c>
      <c r="AE181" s="10" t="e">
        <f t="shared" si="83"/>
        <v>#DIV/0!</v>
      </c>
      <c r="AF181" s="10" t="e">
        <f t="shared" si="83"/>
        <v>#DIV/0!</v>
      </c>
      <c r="AG181" s="10" t="e">
        <f t="shared" si="83"/>
        <v>#DIV/0!</v>
      </c>
      <c r="AH181" s="10" t="e">
        <f t="shared" si="83"/>
        <v>#DIV/0!</v>
      </c>
      <c r="AI181" s="10" t="e">
        <f t="shared" si="83"/>
        <v>#DIV/0!</v>
      </c>
      <c r="AJ181" s="20" t="e">
        <f>AJ172/AJ160*100</f>
        <v>#DIV/0!</v>
      </c>
      <c r="AL181" s="114" t="e">
        <f>AL172/AL160*100</f>
        <v>#DIV/0!</v>
      </c>
      <c r="CY181" s="304"/>
    </row>
    <row r="182" spans="2:103" s="3" customFormat="1" thickBot="1">
      <c r="B182" s="157"/>
      <c r="C182" s="74" t="s">
        <v>30</v>
      </c>
      <c r="D182" s="14">
        <v>0.5</v>
      </c>
      <c r="E182" s="8" t="s">
        <v>29</v>
      </c>
      <c r="F182" s="10" t="e">
        <f t="shared" ref="F182:AI182" si="84">F173/F162*100</f>
        <v>#DIV/0!</v>
      </c>
      <c r="G182" s="10" t="e">
        <f t="shared" si="84"/>
        <v>#DIV/0!</v>
      </c>
      <c r="H182" s="10" t="e">
        <f t="shared" si="84"/>
        <v>#DIV/0!</v>
      </c>
      <c r="I182" s="10" t="e">
        <f t="shared" si="84"/>
        <v>#DIV/0!</v>
      </c>
      <c r="J182" s="10" t="e">
        <f t="shared" si="84"/>
        <v>#DIV/0!</v>
      </c>
      <c r="K182" s="10" t="e">
        <f t="shared" si="84"/>
        <v>#DIV/0!</v>
      </c>
      <c r="L182" s="10" t="e">
        <f t="shared" si="84"/>
        <v>#DIV/0!</v>
      </c>
      <c r="M182" s="10" t="e">
        <f t="shared" si="84"/>
        <v>#DIV/0!</v>
      </c>
      <c r="N182" s="10" t="e">
        <f t="shared" si="84"/>
        <v>#DIV/0!</v>
      </c>
      <c r="O182" s="10" t="e">
        <f t="shared" si="84"/>
        <v>#DIV/0!</v>
      </c>
      <c r="P182" s="10" t="e">
        <f t="shared" si="84"/>
        <v>#DIV/0!</v>
      </c>
      <c r="Q182" s="10" t="e">
        <f t="shared" si="84"/>
        <v>#DIV/0!</v>
      </c>
      <c r="R182" s="10" t="e">
        <f t="shared" si="84"/>
        <v>#DIV/0!</v>
      </c>
      <c r="S182" s="10" t="e">
        <f t="shared" si="84"/>
        <v>#DIV/0!</v>
      </c>
      <c r="T182" s="10" t="e">
        <f t="shared" si="84"/>
        <v>#DIV/0!</v>
      </c>
      <c r="U182" s="10" t="e">
        <f t="shared" si="84"/>
        <v>#DIV/0!</v>
      </c>
      <c r="V182" s="10" t="e">
        <f t="shared" si="84"/>
        <v>#DIV/0!</v>
      </c>
      <c r="W182" s="10" t="e">
        <f t="shared" si="84"/>
        <v>#DIV/0!</v>
      </c>
      <c r="X182" s="10" t="e">
        <f t="shared" si="84"/>
        <v>#DIV/0!</v>
      </c>
      <c r="Y182" s="10" t="e">
        <f t="shared" si="84"/>
        <v>#DIV/0!</v>
      </c>
      <c r="Z182" s="10" t="e">
        <f t="shared" si="84"/>
        <v>#DIV/0!</v>
      </c>
      <c r="AA182" s="10" t="e">
        <f t="shared" si="84"/>
        <v>#DIV/0!</v>
      </c>
      <c r="AB182" s="10" t="e">
        <f t="shared" si="84"/>
        <v>#DIV/0!</v>
      </c>
      <c r="AC182" s="10" t="e">
        <f t="shared" si="84"/>
        <v>#DIV/0!</v>
      </c>
      <c r="AD182" s="10" t="e">
        <f t="shared" si="84"/>
        <v>#DIV/0!</v>
      </c>
      <c r="AE182" s="10" t="e">
        <f t="shared" si="84"/>
        <v>#DIV/0!</v>
      </c>
      <c r="AF182" s="10" t="e">
        <f t="shared" si="84"/>
        <v>#DIV/0!</v>
      </c>
      <c r="AG182" s="10" t="e">
        <f t="shared" si="84"/>
        <v>#DIV/0!</v>
      </c>
      <c r="AH182" s="10" t="e">
        <f t="shared" si="84"/>
        <v>#DIV/0!</v>
      </c>
      <c r="AI182" s="10" t="e">
        <f t="shared" si="84"/>
        <v>#DIV/0!</v>
      </c>
      <c r="AJ182" s="20" t="e">
        <f>AJ173/AJ162*100</f>
        <v>#DIV/0!</v>
      </c>
      <c r="AL182" s="114" t="e">
        <f>AL173/AL162*100</f>
        <v>#DIV/0!</v>
      </c>
      <c r="CY182" s="304"/>
    </row>
    <row r="183" spans="2:103" s="3" customFormat="1" ht="13.8">
      <c r="B183" s="69">
        <v>7</v>
      </c>
      <c r="C183" s="71" t="s">
        <v>99</v>
      </c>
      <c r="D183" s="210"/>
      <c r="E183" s="216"/>
      <c r="F183" s="210"/>
      <c r="G183" s="210"/>
      <c r="H183" s="210"/>
      <c r="I183" s="210"/>
      <c r="J183" s="210"/>
      <c r="K183" s="210"/>
      <c r="L183" s="210"/>
      <c r="M183" s="210"/>
      <c r="N183" s="210"/>
      <c r="O183" s="210"/>
      <c r="P183" s="210"/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  <c r="AA183" s="210"/>
      <c r="AB183" s="210"/>
      <c r="AC183" s="210"/>
      <c r="AD183" s="210"/>
      <c r="AE183" s="210"/>
      <c r="AF183" s="210"/>
      <c r="AG183" s="217"/>
      <c r="AH183" s="217"/>
      <c r="AI183" s="217"/>
      <c r="AJ183" s="218"/>
      <c r="AK183" s="219"/>
      <c r="AL183" s="151" t="s">
        <v>45</v>
      </c>
    </row>
    <row r="184" spans="2:103" s="3" customFormat="1" ht="13.8">
      <c r="B184" s="121"/>
      <c r="C184" s="75" t="s">
        <v>104</v>
      </c>
      <c r="D184" s="14"/>
      <c r="E184" s="8" t="s">
        <v>16</v>
      </c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48"/>
      <c r="AH184" s="48"/>
      <c r="AI184" s="48"/>
      <c r="AJ184" s="19"/>
      <c r="AK184" s="36"/>
      <c r="AL184" s="193">
        <f>SUM(E184:AJ184)</f>
        <v>0</v>
      </c>
    </row>
    <row r="185" spans="2:103" s="3" customFormat="1" ht="13.8">
      <c r="B185" s="121"/>
      <c r="C185" s="74" t="s">
        <v>105</v>
      </c>
      <c r="D185" s="14"/>
      <c r="E185" s="8" t="s">
        <v>16</v>
      </c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49"/>
      <c r="AH185" s="49"/>
      <c r="AI185" s="49"/>
      <c r="AJ185" s="20"/>
      <c r="AK185" s="36"/>
      <c r="AL185" s="193">
        <f>SUM(F185:AJ185)</f>
        <v>0</v>
      </c>
    </row>
    <row r="186" spans="2:103" s="3" customFormat="1" ht="13.8">
      <c r="B186" s="121"/>
      <c r="C186" s="74" t="s">
        <v>44</v>
      </c>
      <c r="D186" s="14"/>
      <c r="E186" s="8" t="s">
        <v>16</v>
      </c>
      <c r="F186" s="10">
        <f>SUM(F190:F191)*10.83</f>
        <v>0</v>
      </c>
      <c r="G186" s="10">
        <f t="shared" ref="G186:AJ186" si="85">SUM(G190:G191)*10.83</f>
        <v>0</v>
      </c>
      <c r="H186" s="10">
        <f t="shared" si="85"/>
        <v>0</v>
      </c>
      <c r="I186" s="10">
        <f t="shared" si="85"/>
        <v>0</v>
      </c>
      <c r="J186" s="10">
        <f t="shared" si="85"/>
        <v>0</v>
      </c>
      <c r="K186" s="10">
        <f t="shared" si="85"/>
        <v>0</v>
      </c>
      <c r="L186" s="10">
        <f t="shared" si="85"/>
        <v>0</v>
      </c>
      <c r="M186" s="10">
        <f t="shared" si="85"/>
        <v>0</v>
      </c>
      <c r="N186" s="10">
        <f t="shared" si="85"/>
        <v>0</v>
      </c>
      <c r="O186" s="10">
        <f t="shared" si="85"/>
        <v>0</v>
      </c>
      <c r="P186" s="10">
        <f t="shared" si="85"/>
        <v>0</v>
      </c>
      <c r="Q186" s="10">
        <f t="shared" si="85"/>
        <v>0</v>
      </c>
      <c r="R186" s="10">
        <f t="shared" si="85"/>
        <v>0</v>
      </c>
      <c r="S186" s="10">
        <f t="shared" si="85"/>
        <v>0</v>
      </c>
      <c r="T186" s="10">
        <f t="shared" si="85"/>
        <v>0</v>
      </c>
      <c r="U186" s="10">
        <f t="shared" si="85"/>
        <v>0</v>
      </c>
      <c r="V186" s="10">
        <f t="shared" si="85"/>
        <v>0</v>
      </c>
      <c r="W186" s="10">
        <f t="shared" si="85"/>
        <v>0</v>
      </c>
      <c r="X186" s="10">
        <f t="shared" si="85"/>
        <v>0</v>
      </c>
      <c r="Y186" s="10">
        <f t="shared" si="85"/>
        <v>0</v>
      </c>
      <c r="Z186" s="10">
        <f t="shared" si="85"/>
        <v>0</v>
      </c>
      <c r="AA186" s="10">
        <f t="shared" si="85"/>
        <v>0</v>
      </c>
      <c r="AB186" s="10">
        <f t="shared" si="85"/>
        <v>0</v>
      </c>
      <c r="AC186" s="10">
        <f t="shared" si="85"/>
        <v>0</v>
      </c>
      <c r="AD186" s="10">
        <f t="shared" si="85"/>
        <v>0</v>
      </c>
      <c r="AE186" s="10">
        <f t="shared" si="85"/>
        <v>0</v>
      </c>
      <c r="AF186" s="10">
        <f t="shared" si="85"/>
        <v>0</v>
      </c>
      <c r="AG186" s="10">
        <f t="shared" si="85"/>
        <v>0</v>
      </c>
      <c r="AH186" s="10">
        <f t="shared" si="85"/>
        <v>0</v>
      </c>
      <c r="AI186" s="10">
        <f t="shared" si="85"/>
        <v>0</v>
      </c>
      <c r="AJ186" s="20">
        <f t="shared" si="85"/>
        <v>0</v>
      </c>
      <c r="AK186" s="36"/>
      <c r="AL186" s="193">
        <f>SUM(C186:AJ186)</f>
        <v>0</v>
      </c>
    </row>
    <row r="187" spans="2:103" s="3" customFormat="1" ht="13.8">
      <c r="B187" s="121"/>
      <c r="C187" s="74" t="s">
        <v>43</v>
      </c>
      <c r="D187" s="14"/>
      <c r="E187" s="8" t="s">
        <v>16</v>
      </c>
      <c r="F187" s="10">
        <f>F185-F186</f>
        <v>0</v>
      </c>
      <c r="G187" s="10">
        <f t="shared" ref="G187:AI187" si="86">G185-G186</f>
        <v>0</v>
      </c>
      <c r="H187" s="10">
        <f>H185-H186</f>
        <v>0</v>
      </c>
      <c r="I187" s="10">
        <f t="shared" si="86"/>
        <v>0</v>
      </c>
      <c r="J187" s="10">
        <f t="shared" si="86"/>
        <v>0</v>
      </c>
      <c r="K187" s="10">
        <f t="shared" si="86"/>
        <v>0</v>
      </c>
      <c r="L187" s="10">
        <f t="shared" si="86"/>
        <v>0</v>
      </c>
      <c r="M187" s="10">
        <f t="shared" si="86"/>
        <v>0</v>
      </c>
      <c r="N187" s="10">
        <f t="shared" si="86"/>
        <v>0</v>
      </c>
      <c r="O187" s="10">
        <f t="shared" si="86"/>
        <v>0</v>
      </c>
      <c r="P187" s="10">
        <f t="shared" si="86"/>
        <v>0</v>
      </c>
      <c r="Q187" s="10">
        <f t="shared" si="86"/>
        <v>0</v>
      </c>
      <c r="R187" s="10">
        <f t="shared" si="86"/>
        <v>0</v>
      </c>
      <c r="S187" s="10">
        <f t="shared" si="86"/>
        <v>0</v>
      </c>
      <c r="T187" s="10">
        <f t="shared" si="86"/>
        <v>0</v>
      </c>
      <c r="U187" s="10">
        <f t="shared" si="86"/>
        <v>0</v>
      </c>
      <c r="V187" s="10">
        <f t="shared" si="86"/>
        <v>0</v>
      </c>
      <c r="W187" s="10">
        <f t="shared" si="86"/>
        <v>0</v>
      </c>
      <c r="X187" s="10">
        <f t="shared" si="86"/>
        <v>0</v>
      </c>
      <c r="Y187" s="10">
        <f t="shared" si="86"/>
        <v>0</v>
      </c>
      <c r="Z187" s="10">
        <f t="shared" si="86"/>
        <v>0</v>
      </c>
      <c r="AA187" s="10">
        <f t="shared" si="86"/>
        <v>0</v>
      </c>
      <c r="AB187" s="10">
        <f t="shared" si="86"/>
        <v>0</v>
      </c>
      <c r="AC187" s="10">
        <f t="shared" si="86"/>
        <v>0</v>
      </c>
      <c r="AD187" s="10">
        <f t="shared" si="86"/>
        <v>0</v>
      </c>
      <c r="AE187" s="10">
        <f t="shared" si="86"/>
        <v>0</v>
      </c>
      <c r="AF187" s="10">
        <f t="shared" si="86"/>
        <v>0</v>
      </c>
      <c r="AG187" s="10">
        <f t="shared" si="86"/>
        <v>0</v>
      </c>
      <c r="AH187" s="10">
        <f t="shared" si="86"/>
        <v>0</v>
      </c>
      <c r="AI187" s="10">
        <f t="shared" si="86"/>
        <v>0</v>
      </c>
      <c r="AJ187" s="20">
        <f>AJ185-AJ186</f>
        <v>0</v>
      </c>
      <c r="AK187" s="36"/>
      <c r="AL187" s="193">
        <f>SUM(C187:AJ187)</f>
        <v>0</v>
      </c>
    </row>
    <row r="188" spans="2:103" s="3" customFormat="1">
      <c r="B188" s="121"/>
      <c r="C188" s="73" t="s">
        <v>56</v>
      </c>
      <c r="D188" s="14"/>
      <c r="E188" s="5" t="s">
        <v>16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/>
      <c r="AH188" s="10"/>
      <c r="AI188" s="49"/>
      <c r="AJ188" s="20"/>
      <c r="AK188" s="36"/>
      <c r="AL188" s="114">
        <f>SUM(C188:AJ188)</f>
        <v>0</v>
      </c>
    </row>
    <row r="189" spans="2:103" s="3" customFormat="1" ht="13.8">
      <c r="B189" s="121"/>
      <c r="C189" s="74" t="s">
        <v>33</v>
      </c>
      <c r="D189" s="14"/>
      <c r="E189" s="8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49"/>
      <c r="AH189" s="49"/>
      <c r="AI189" s="49"/>
      <c r="AJ189" s="20"/>
      <c r="AK189" s="36"/>
      <c r="AL189" s="114" t="s">
        <v>33</v>
      </c>
    </row>
    <row r="190" spans="2:103" s="3" customFormat="1" ht="13.8">
      <c r="B190" s="121"/>
      <c r="C190" s="74" t="s">
        <v>100</v>
      </c>
      <c r="D190" s="14"/>
      <c r="E190" s="8" t="s">
        <v>36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50"/>
      <c r="AH190" s="50"/>
      <c r="AI190" s="50"/>
      <c r="AJ190" s="21"/>
      <c r="AK190" s="36"/>
      <c r="AL190" s="207">
        <f>SUM(E190:AJ190)</f>
        <v>0</v>
      </c>
    </row>
    <row r="191" spans="2:103" s="3" customFormat="1" ht="13.8">
      <c r="B191" s="121"/>
      <c r="C191" s="74" t="s">
        <v>125</v>
      </c>
      <c r="D191" s="14"/>
      <c r="E191" s="8" t="s">
        <v>36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50"/>
      <c r="AH191" s="50"/>
      <c r="AI191" s="50"/>
      <c r="AJ191" s="21"/>
      <c r="AK191" s="36"/>
      <c r="AL191" s="207">
        <f>SUM(E191:AJ191)</f>
        <v>0</v>
      </c>
    </row>
    <row r="192" spans="2:103" s="3" customFormat="1">
      <c r="B192" s="121"/>
      <c r="C192" s="76" t="s">
        <v>32</v>
      </c>
      <c r="D192" s="14"/>
      <c r="E192" s="8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49"/>
      <c r="AH192" s="49"/>
      <c r="AI192" s="49"/>
      <c r="AJ192" s="20"/>
      <c r="AK192" s="36"/>
      <c r="AL192" s="114" t="s">
        <v>32</v>
      </c>
    </row>
    <row r="193" spans="2:38" s="3" customFormat="1" ht="13.8">
      <c r="B193" s="121"/>
      <c r="C193" s="74" t="s">
        <v>100</v>
      </c>
      <c r="D193" s="14"/>
      <c r="E193" s="8" t="s">
        <v>32</v>
      </c>
      <c r="F193" s="1">
        <f>F190*12</f>
        <v>0</v>
      </c>
      <c r="G193" s="1">
        <f t="shared" ref="G193:AI193" si="87">G190*12</f>
        <v>0</v>
      </c>
      <c r="H193" s="1">
        <f t="shared" si="87"/>
        <v>0</v>
      </c>
      <c r="I193" s="1">
        <f t="shared" si="87"/>
        <v>0</v>
      </c>
      <c r="J193" s="1">
        <f t="shared" si="87"/>
        <v>0</v>
      </c>
      <c r="K193" s="1">
        <f t="shared" si="87"/>
        <v>0</v>
      </c>
      <c r="L193" s="1">
        <f t="shared" si="87"/>
        <v>0</v>
      </c>
      <c r="M193" s="1">
        <f t="shared" si="87"/>
        <v>0</v>
      </c>
      <c r="N193" s="1">
        <f t="shared" si="87"/>
        <v>0</v>
      </c>
      <c r="O193" s="1">
        <f t="shared" si="87"/>
        <v>0</v>
      </c>
      <c r="P193" s="1">
        <f t="shared" si="87"/>
        <v>0</v>
      </c>
      <c r="Q193" s="1">
        <f t="shared" si="87"/>
        <v>0</v>
      </c>
      <c r="R193" s="1">
        <f t="shared" si="87"/>
        <v>0</v>
      </c>
      <c r="S193" s="1">
        <f t="shared" si="87"/>
        <v>0</v>
      </c>
      <c r="T193" s="1">
        <f t="shared" si="87"/>
        <v>0</v>
      </c>
      <c r="U193" s="1">
        <f t="shared" si="87"/>
        <v>0</v>
      </c>
      <c r="V193" s="1">
        <f t="shared" si="87"/>
        <v>0</v>
      </c>
      <c r="W193" s="1">
        <f t="shared" si="87"/>
        <v>0</v>
      </c>
      <c r="X193" s="1">
        <f t="shared" si="87"/>
        <v>0</v>
      </c>
      <c r="Y193" s="1">
        <f t="shared" si="87"/>
        <v>0</v>
      </c>
      <c r="Z193" s="1">
        <f t="shared" si="87"/>
        <v>0</v>
      </c>
      <c r="AA193" s="1">
        <f t="shared" si="87"/>
        <v>0</v>
      </c>
      <c r="AB193" s="1">
        <f t="shared" si="87"/>
        <v>0</v>
      </c>
      <c r="AC193" s="1">
        <f t="shared" si="87"/>
        <v>0</v>
      </c>
      <c r="AD193" s="1">
        <f t="shared" si="87"/>
        <v>0</v>
      </c>
      <c r="AE193" s="1">
        <f t="shared" si="87"/>
        <v>0</v>
      </c>
      <c r="AF193" s="1">
        <f t="shared" si="87"/>
        <v>0</v>
      </c>
      <c r="AG193" s="1">
        <f t="shared" si="87"/>
        <v>0</v>
      </c>
      <c r="AH193" s="1">
        <f t="shared" si="87"/>
        <v>0</v>
      </c>
      <c r="AI193" s="1">
        <f t="shared" si="87"/>
        <v>0</v>
      </c>
      <c r="AJ193" s="21">
        <f>AJ190*12</f>
        <v>0</v>
      </c>
      <c r="AK193" s="37"/>
      <c r="AL193" s="103">
        <f>AL190*24</f>
        <v>0</v>
      </c>
    </row>
    <row r="194" spans="2:38" s="3" customFormat="1" ht="13.8">
      <c r="B194" s="121"/>
      <c r="C194" s="74" t="s">
        <v>125</v>
      </c>
      <c r="D194" s="14"/>
      <c r="E194" s="8" t="s">
        <v>32</v>
      </c>
      <c r="F194" s="1">
        <f>F191*6</f>
        <v>0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50"/>
      <c r="AJ194" s="21"/>
      <c r="AK194" s="37"/>
      <c r="AL194" s="103"/>
    </row>
    <row r="195" spans="2:38" s="3" customFormat="1" ht="13.8">
      <c r="B195" s="121"/>
      <c r="C195" s="74" t="s">
        <v>41</v>
      </c>
      <c r="D195" s="14"/>
      <c r="E195" s="8" t="s">
        <v>40</v>
      </c>
      <c r="F195" s="1">
        <f>F190*45/1700</f>
        <v>0</v>
      </c>
      <c r="G195" s="1">
        <f t="shared" ref="G195:AI195" si="88">G190*45/1700</f>
        <v>0</v>
      </c>
      <c r="H195" s="1">
        <f t="shared" si="88"/>
        <v>0</v>
      </c>
      <c r="I195" s="1">
        <f t="shared" si="88"/>
        <v>0</v>
      </c>
      <c r="J195" s="1">
        <f t="shared" si="88"/>
        <v>0</v>
      </c>
      <c r="K195" s="1">
        <f t="shared" si="88"/>
        <v>0</v>
      </c>
      <c r="L195" s="1">
        <f t="shared" si="88"/>
        <v>0</v>
      </c>
      <c r="M195" s="1">
        <f t="shared" si="88"/>
        <v>0</v>
      </c>
      <c r="N195" s="1">
        <f t="shared" si="88"/>
        <v>0</v>
      </c>
      <c r="O195" s="1">
        <f t="shared" si="88"/>
        <v>0</v>
      </c>
      <c r="P195" s="1">
        <f t="shared" si="88"/>
        <v>0</v>
      </c>
      <c r="Q195" s="1">
        <f t="shared" si="88"/>
        <v>0</v>
      </c>
      <c r="R195" s="1">
        <f t="shared" si="88"/>
        <v>0</v>
      </c>
      <c r="S195" s="1">
        <f t="shared" si="88"/>
        <v>0</v>
      </c>
      <c r="T195" s="1">
        <f t="shared" si="88"/>
        <v>0</v>
      </c>
      <c r="U195" s="1">
        <f t="shared" si="88"/>
        <v>0</v>
      </c>
      <c r="V195" s="1">
        <f t="shared" si="88"/>
        <v>0</v>
      </c>
      <c r="W195" s="1">
        <f t="shared" si="88"/>
        <v>0</v>
      </c>
      <c r="X195" s="1">
        <f t="shared" si="88"/>
        <v>0</v>
      </c>
      <c r="Y195" s="1">
        <f t="shared" si="88"/>
        <v>0</v>
      </c>
      <c r="Z195" s="1">
        <f t="shared" si="88"/>
        <v>0</v>
      </c>
      <c r="AA195" s="1">
        <f t="shared" si="88"/>
        <v>0</v>
      </c>
      <c r="AB195" s="1">
        <f t="shared" si="88"/>
        <v>0</v>
      </c>
      <c r="AC195" s="1">
        <f t="shared" si="88"/>
        <v>0</v>
      </c>
      <c r="AD195" s="1">
        <f t="shared" si="88"/>
        <v>0</v>
      </c>
      <c r="AE195" s="1">
        <f t="shared" si="88"/>
        <v>0</v>
      </c>
      <c r="AF195" s="1">
        <f t="shared" si="88"/>
        <v>0</v>
      </c>
      <c r="AG195" s="1">
        <f t="shared" si="88"/>
        <v>0</v>
      </c>
      <c r="AH195" s="1">
        <f t="shared" si="88"/>
        <v>0</v>
      </c>
      <c r="AI195" s="1">
        <f t="shared" si="88"/>
        <v>0</v>
      </c>
      <c r="AJ195" s="21">
        <f>AJ190*45/1700</f>
        <v>0</v>
      </c>
      <c r="AK195" s="37"/>
      <c r="AL195" s="103">
        <f>SUM(C195:AJ195)</f>
        <v>0</v>
      </c>
    </row>
    <row r="196" spans="2:38" s="3" customFormat="1" ht="13.8">
      <c r="B196" s="121"/>
      <c r="C196" s="74" t="s">
        <v>39</v>
      </c>
      <c r="D196" s="14"/>
      <c r="E196" s="8" t="s">
        <v>38</v>
      </c>
      <c r="F196" s="1">
        <f>SUM(F190)/500</f>
        <v>0</v>
      </c>
      <c r="G196" s="1">
        <f t="shared" ref="G196:AH196" si="89">SUM(G190)/500</f>
        <v>0</v>
      </c>
      <c r="H196" s="1">
        <f t="shared" si="89"/>
        <v>0</v>
      </c>
      <c r="I196" s="1">
        <f t="shared" si="89"/>
        <v>0</v>
      </c>
      <c r="J196" s="1">
        <f t="shared" si="89"/>
        <v>0</v>
      </c>
      <c r="K196" s="1">
        <f t="shared" si="89"/>
        <v>0</v>
      </c>
      <c r="L196" s="1">
        <f t="shared" si="89"/>
        <v>0</v>
      </c>
      <c r="M196" s="1">
        <f t="shared" si="89"/>
        <v>0</v>
      </c>
      <c r="N196" s="1">
        <f t="shared" si="89"/>
        <v>0</v>
      </c>
      <c r="O196" s="1">
        <f t="shared" si="89"/>
        <v>0</v>
      </c>
      <c r="P196" s="1">
        <f t="shared" si="89"/>
        <v>0</v>
      </c>
      <c r="Q196" s="1">
        <f t="shared" si="89"/>
        <v>0</v>
      </c>
      <c r="R196" s="1">
        <f t="shared" si="89"/>
        <v>0</v>
      </c>
      <c r="S196" s="1">
        <f t="shared" si="89"/>
        <v>0</v>
      </c>
      <c r="T196" s="1">
        <f t="shared" si="89"/>
        <v>0</v>
      </c>
      <c r="U196" s="1">
        <f>SUM(U190:U191)/500</f>
        <v>0</v>
      </c>
      <c r="V196" s="1">
        <f>SUM(V190:V191)/500</f>
        <v>0</v>
      </c>
      <c r="W196" s="1">
        <f>SUM(W190:W191)/500</f>
        <v>0</v>
      </c>
      <c r="X196" s="1">
        <f>SUM(X190:X191)/500</f>
        <v>0</v>
      </c>
      <c r="Y196" s="1">
        <f t="shared" si="89"/>
        <v>0</v>
      </c>
      <c r="Z196" s="1">
        <f t="shared" si="89"/>
        <v>0</v>
      </c>
      <c r="AA196" s="1">
        <f t="shared" si="89"/>
        <v>0</v>
      </c>
      <c r="AB196" s="1">
        <f t="shared" si="89"/>
        <v>0</v>
      </c>
      <c r="AC196" s="1">
        <f t="shared" si="89"/>
        <v>0</v>
      </c>
      <c r="AD196" s="1">
        <f t="shared" si="89"/>
        <v>0</v>
      </c>
      <c r="AE196" s="1">
        <f t="shared" si="89"/>
        <v>0</v>
      </c>
      <c r="AF196" s="1">
        <f t="shared" si="89"/>
        <v>0</v>
      </c>
      <c r="AG196" s="1">
        <f t="shared" si="89"/>
        <v>0</v>
      </c>
      <c r="AH196" s="1">
        <f t="shared" si="89"/>
        <v>0</v>
      </c>
      <c r="AI196" s="1">
        <f t="shared" ref="AI196" si="90">SUM(AI190)/500</f>
        <v>0</v>
      </c>
      <c r="AJ196" s="21">
        <f>SUM(AJ190)/500</f>
        <v>0</v>
      </c>
      <c r="AK196" s="37"/>
      <c r="AL196" s="220">
        <f>SUM(C196:AJ196)</f>
        <v>0</v>
      </c>
    </row>
    <row r="197" spans="2:38" s="3" customFormat="1" ht="13.8">
      <c r="B197" s="121"/>
      <c r="C197" s="71" t="s">
        <v>37</v>
      </c>
      <c r="D197" s="210"/>
      <c r="E197" s="15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54"/>
      <c r="AH197" s="54"/>
      <c r="AI197" s="54"/>
      <c r="AJ197" s="22"/>
      <c r="AK197" s="40"/>
      <c r="AL197" s="221" t="s">
        <v>34</v>
      </c>
    </row>
    <row r="198" spans="2:38" s="3" customFormat="1" ht="13.8">
      <c r="B198" s="121"/>
      <c r="C198" s="74" t="s">
        <v>33</v>
      </c>
      <c r="D198" s="14"/>
      <c r="E198" s="8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49"/>
      <c r="AH198" s="49"/>
      <c r="AI198" s="49"/>
      <c r="AJ198" s="20"/>
      <c r="AK198" s="36"/>
      <c r="AL198" s="114"/>
    </row>
    <row r="199" spans="2:38" s="3" customFormat="1" ht="13.8">
      <c r="B199" s="121"/>
      <c r="C199" s="74" t="s">
        <v>100</v>
      </c>
      <c r="D199" s="14"/>
      <c r="E199" s="8" t="s">
        <v>36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50"/>
      <c r="AH199" s="50"/>
      <c r="AI199" s="50"/>
      <c r="AJ199" s="21"/>
      <c r="AK199" s="36"/>
      <c r="AL199" s="207">
        <f>SUM(C199:AJ199)</f>
        <v>0</v>
      </c>
    </row>
    <row r="200" spans="2:38" s="3" customFormat="1" ht="13.8">
      <c r="B200" s="121"/>
      <c r="C200" s="74" t="s">
        <v>125</v>
      </c>
      <c r="D200" s="14"/>
      <c r="E200" s="8" t="s">
        <v>36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50"/>
      <c r="AH200" s="50"/>
      <c r="AI200" s="50"/>
      <c r="AJ200" s="21"/>
      <c r="AK200" s="36"/>
      <c r="AL200" s="207">
        <f>SUM(C200:AJ200)</f>
        <v>0</v>
      </c>
    </row>
    <row r="201" spans="2:38" s="3" customFormat="1" ht="13.8">
      <c r="B201" s="121"/>
      <c r="C201" s="74" t="s">
        <v>32</v>
      </c>
      <c r="D201" s="14"/>
      <c r="E201" s="8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49"/>
      <c r="AH201" s="49"/>
      <c r="AI201" s="49"/>
      <c r="AJ201" s="20"/>
      <c r="AK201" s="36"/>
      <c r="AL201" s="114"/>
    </row>
    <row r="202" spans="2:38" s="3" customFormat="1" ht="13.8">
      <c r="B202" s="121"/>
      <c r="C202" s="74" t="s">
        <v>100</v>
      </c>
      <c r="D202" s="14"/>
      <c r="E202" s="8" t="s">
        <v>32</v>
      </c>
      <c r="F202" s="1">
        <f>F199*12</f>
        <v>0</v>
      </c>
      <c r="G202" s="1">
        <f>G199*12</f>
        <v>0</v>
      </c>
      <c r="H202" s="1">
        <f>H199*12</f>
        <v>0</v>
      </c>
      <c r="I202" s="1"/>
      <c r="J202" s="1">
        <f>J199*12</f>
        <v>0</v>
      </c>
      <c r="K202" s="1"/>
      <c r="L202" s="1"/>
      <c r="M202" s="1"/>
      <c r="N202" s="1">
        <f t="shared" ref="N202:AJ202" si="91">N199*12</f>
        <v>0</v>
      </c>
      <c r="O202" s="1">
        <f t="shared" si="91"/>
        <v>0</v>
      </c>
      <c r="P202" s="1">
        <f t="shared" si="91"/>
        <v>0</v>
      </c>
      <c r="Q202" s="1">
        <f t="shared" si="91"/>
        <v>0</v>
      </c>
      <c r="R202" s="1">
        <f t="shared" si="91"/>
        <v>0</v>
      </c>
      <c r="S202" s="1">
        <f t="shared" si="91"/>
        <v>0</v>
      </c>
      <c r="T202" s="1">
        <f t="shared" si="91"/>
        <v>0</v>
      </c>
      <c r="U202" s="1">
        <f t="shared" si="91"/>
        <v>0</v>
      </c>
      <c r="V202" s="1">
        <f t="shared" si="91"/>
        <v>0</v>
      </c>
      <c r="W202" s="1">
        <f t="shared" si="91"/>
        <v>0</v>
      </c>
      <c r="X202" s="1">
        <f t="shared" si="91"/>
        <v>0</v>
      </c>
      <c r="Y202" s="1">
        <f t="shared" si="91"/>
        <v>0</v>
      </c>
      <c r="Z202" s="1">
        <f t="shared" si="91"/>
        <v>0</v>
      </c>
      <c r="AA202" s="1">
        <f t="shared" si="91"/>
        <v>0</v>
      </c>
      <c r="AB202" s="1">
        <f t="shared" si="91"/>
        <v>0</v>
      </c>
      <c r="AC202" s="1">
        <f t="shared" si="91"/>
        <v>0</v>
      </c>
      <c r="AD202" s="1">
        <f t="shared" si="91"/>
        <v>0</v>
      </c>
      <c r="AE202" s="1">
        <f t="shared" si="91"/>
        <v>0</v>
      </c>
      <c r="AF202" s="1">
        <f t="shared" si="91"/>
        <v>0</v>
      </c>
      <c r="AG202" s="1">
        <f t="shared" si="91"/>
        <v>0</v>
      </c>
      <c r="AH202" s="1">
        <f t="shared" si="91"/>
        <v>0</v>
      </c>
      <c r="AI202" s="1">
        <f t="shared" si="91"/>
        <v>0</v>
      </c>
      <c r="AJ202" s="21">
        <f t="shared" si="91"/>
        <v>0</v>
      </c>
      <c r="AK202" s="36"/>
      <c r="AL202" s="207">
        <f>SUM(C202:AJ202)</f>
        <v>0</v>
      </c>
    </row>
    <row r="203" spans="2:38" s="3" customFormat="1" ht="13.8">
      <c r="B203" s="121"/>
      <c r="C203" s="74" t="s">
        <v>125</v>
      </c>
      <c r="D203" s="14"/>
      <c r="E203" s="8" t="s">
        <v>32</v>
      </c>
      <c r="F203" s="1">
        <f>F200*6</f>
        <v>0</v>
      </c>
      <c r="G203" s="1">
        <f t="shared" ref="G203:AJ203" si="92">G200*6</f>
        <v>0</v>
      </c>
      <c r="H203" s="1">
        <f t="shared" si="92"/>
        <v>0</v>
      </c>
      <c r="I203" s="1">
        <f t="shared" si="92"/>
        <v>0</v>
      </c>
      <c r="J203" s="1">
        <f t="shared" si="92"/>
        <v>0</v>
      </c>
      <c r="K203" s="1">
        <f t="shared" si="92"/>
        <v>0</v>
      </c>
      <c r="L203" s="1">
        <f t="shared" si="92"/>
        <v>0</v>
      </c>
      <c r="M203" s="1">
        <f t="shared" si="92"/>
        <v>0</v>
      </c>
      <c r="N203" s="1">
        <f t="shared" si="92"/>
        <v>0</v>
      </c>
      <c r="O203" s="1">
        <f t="shared" si="92"/>
        <v>0</v>
      </c>
      <c r="P203" s="1">
        <f t="shared" si="92"/>
        <v>0</v>
      </c>
      <c r="Q203" s="1">
        <f t="shared" si="92"/>
        <v>0</v>
      </c>
      <c r="R203" s="1">
        <f t="shared" si="92"/>
        <v>0</v>
      </c>
      <c r="S203" s="1">
        <f t="shared" si="92"/>
        <v>0</v>
      </c>
      <c r="T203" s="1">
        <f t="shared" si="92"/>
        <v>0</v>
      </c>
      <c r="U203" s="1">
        <f t="shared" si="92"/>
        <v>0</v>
      </c>
      <c r="V203" s="1">
        <f t="shared" si="92"/>
        <v>0</v>
      </c>
      <c r="W203" s="1">
        <f t="shared" si="92"/>
        <v>0</v>
      </c>
      <c r="X203" s="1">
        <f t="shared" si="92"/>
        <v>0</v>
      </c>
      <c r="Y203" s="1">
        <f t="shared" si="92"/>
        <v>0</v>
      </c>
      <c r="Z203" s="1">
        <f t="shared" si="92"/>
        <v>0</v>
      </c>
      <c r="AA203" s="1">
        <f t="shared" si="92"/>
        <v>0</v>
      </c>
      <c r="AB203" s="1">
        <f t="shared" si="92"/>
        <v>0</v>
      </c>
      <c r="AC203" s="1">
        <f t="shared" si="92"/>
        <v>0</v>
      </c>
      <c r="AD203" s="1">
        <f t="shared" si="92"/>
        <v>0</v>
      </c>
      <c r="AE203" s="1">
        <f t="shared" si="92"/>
        <v>0</v>
      </c>
      <c r="AF203" s="1">
        <f t="shared" si="92"/>
        <v>0</v>
      </c>
      <c r="AG203" s="1">
        <f t="shared" si="92"/>
        <v>0</v>
      </c>
      <c r="AH203" s="1">
        <f t="shared" si="92"/>
        <v>0</v>
      </c>
      <c r="AI203" s="1">
        <f t="shared" si="92"/>
        <v>0</v>
      </c>
      <c r="AJ203" s="21">
        <f t="shared" si="92"/>
        <v>0</v>
      </c>
      <c r="AK203" s="36"/>
      <c r="AL203" s="207">
        <f>SUM(C203:AJ203)</f>
        <v>0</v>
      </c>
    </row>
    <row r="204" spans="2:38" s="3" customFormat="1" ht="13.8">
      <c r="B204" s="121"/>
      <c r="C204" s="71" t="s">
        <v>35</v>
      </c>
      <c r="D204" s="222"/>
      <c r="E204" s="33"/>
      <c r="F204" s="223"/>
      <c r="G204" s="223"/>
      <c r="H204" s="223"/>
      <c r="I204" s="223"/>
      <c r="J204" s="223"/>
      <c r="K204" s="223"/>
      <c r="L204" s="223"/>
      <c r="M204" s="223"/>
      <c r="N204" s="223"/>
      <c r="O204" s="223"/>
      <c r="P204" s="223"/>
      <c r="Q204" s="223"/>
      <c r="R204" s="223"/>
      <c r="S204" s="223"/>
      <c r="T204" s="223"/>
      <c r="U204" s="223"/>
      <c r="V204" s="223"/>
      <c r="W204" s="223"/>
      <c r="X204" s="223"/>
      <c r="Y204" s="223"/>
      <c r="Z204" s="223"/>
      <c r="AA204" s="223"/>
      <c r="AB204" s="223"/>
      <c r="AC204" s="223"/>
      <c r="AD204" s="223"/>
      <c r="AE204" s="223"/>
      <c r="AF204" s="223"/>
      <c r="AG204" s="224"/>
      <c r="AH204" s="224"/>
      <c r="AI204" s="224"/>
      <c r="AJ204" s="225"/>
      <c r="AK204" s="36"/>
      <c r="AL204" s="151" t="s">
        <v>34</v>
      </c>
    </row>
    <row r="205" spans="2:38" s="3" customFormat="1">
      <c r="B205" s="121"/>
      <c r="C205" s="73" t="s">
        <v>33</v>
      </c>
      <c r="D205" s="14"/>
      <c r="E205" s="8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50"/>
      <c r="AH205" s="50"/>
      <c r="AI205" s="50"/>
      <c r="AJ205" s="21"/>
      <c r="AK205" s="36"/>
      <c r="AL205" s="207"/>
    </row>
    <row r="206" spans="2:38" s="3" customFormat="1" ht="13.8">
      <c r="B206" s="121"/>
      <c r="C206" s="74" t="s">
        <v>100</v>
      </c>
      <c r="D206" s="14">
        <v>0.3</v>
      </c>
      <c r="E206" s="8" t="s">
        <v>29</v>
      </c>
      <c r="F206" s="1" t="e">
        <f t="shared" ref="F206:AJ207" si="93">F199/F190*100</f>
        <v>#DIV/0!</v>
      </c>
      <c r="G206" s="1" t="e">
        <f t="shared" si="93"/>
        <v>#DIV/0!</v>
      </c>
      <c r="H206" s="1" t="e">
        <f t="shared" si="93"/>
        <v>#DIV/0!</v>
      </c>
      <c r="I206" s="1" t="e">
        <f t="shared" si="93"/>
        <v>#DIV/0!</v>
      </c>
      <c r="J206" s="1" t="e">
        <f t="shared" si="93"/>
        <v>#DIV/0!</v>
      </c>
      <c r="K206" s="1" t="e">
        <f t="shared" si="93"/>
        <v>#DIV/0!</v>
      </c>
      <c r="L206" s="1" t="e">
        <f t="shared" si="93"/>
        <v>#DIV/0!</v>
      </c>
      <c r="M206" s="1" t="e">
        <f t="shared" si="93"/>
        <v>#DIV/0!</v>
      </c>
      <c r="N206" s="1" t="e">
        <f t="shared" si="93"/>
        <v>#DIV/0!</v>
      </c>
      <c r="O206" s="1" t="e">
        <f t="shared" si="93"/>
        <v>#DIV/0!</v>
      </c>
      <c r="P206" s="1" t="e">
        <f t="shared" si="93"/>
        <v>#DIV/0!</v>
      </c>
      <c r="Q206" s="1" t="e">
        <f t="shared" si="93"/>
        <v>#DIV/0!</v>
      </c>
      <c r="R206" s="1" t="e">
        <f t="shared" si="93"/>
        <v>#DIV/0!</v>
      </c>
      <c r="S206" s="1" t="e">
        <f t="shared" si="93"/>
        <v>#DIV/0!</v>
      </c>
      <c r="T206" s="1" t="e">
        <f t="shared" si="93"/>
        <v>#DIV/0!</v>
      </c>
      <c r="U206" s="1" t="e">
        <f t="shared" si="93"/>
        <v>#DIV/0!</v>
      </c>
      <c r="V206" s="1" t="e">
        <f t="shared" si="93"/>
        <v>#DIV/0!</v>
      </c>
      <c r="W206" s="1" t="e">
        <f t="shared" si="93"/>
        <v>#DIV/0!</v>
      </c>
      <c r="X206" s="1" t="e">
        <f t="shared" si="93"/>
        <v>#DIV/0!</v>
      </c>
      <c r="Y206" s="1" t="e">
        <f t="shared" si="93"/>
        <v>#DIV/0!</v>
      </c>
      <c r="Z206" s="1" t="e">
        <f t="shared" si="93"/>
        <v>#DIV/0!</v>
      </c>
      <c r="AA206" s="1" t="e">
        <f t="shared" si="93"/>
        <v>#DIV/0!</v>
      </c>
      <c r="AB206" s="1" t="e">
        <f t="shared" si="93"/>
        <v>#DIV/0!</v>
      </c>
      <c r="AC206" s="1" t="e">
        <f t="shared" si="93"/>
        <v>#DIV/0!</v>
      </c>
      <c r="AD206" s="1" t="e">
        <f t="shared" si="93"/>
        <v>#DIV/0!</v>
      </c>
      <c r="AE206" s="1" t="e">
        <f t="shared" si="93"/>
        <v>#DIV/0!</v>
      </c>
      <c r="AF206" s="1" t="e">
        <f t="shared" si="93"/>
        <v>#DIV/0!</v>
      </c>
      <c r="AG206" s="1" t="e">
        <f t="shared" si="93"/>
        <v>#DIV/0!</v>
      </c>
      <c r="AH206" s="1" t="e">
        <f t="shared" si="93"/>
        <v>#DIV/0!</v>
      </c>
      <c r="AI206" s="1" t="e">
        <f t="shared" si="93"/>
        <v>#DIV/0!</v>
      </c>
      <c r="AJ206" s="21" t="e">
        <f t="shared" si="93"/>
        <v>#DIV/0!</v>
      </c>
      <c r="AK206" s="36"/>
      <c r="AL206" s="226" t="e">
        <f>AL199/AL190*100</f>
        <v>#DIV/0!</v>
      </c>
    </row>
    <row r="207" spans="2:38" s="3" customFormat="1" ht="13.8">
      <c r="B207" s="121"/>
      <c r="C207" s="74" t="s">
        <v>125</v>
      </c>
      <c r="D207" s="14">
        <v>0.3</v>
      </c>
      <c r="E207" s="8" t="s">
        <v>29</v>
      </c>
      <c r="F207" s="1" t="e">
        <f t="shared" si="93"/>
        <v>#DIV/0!</v>
      </c>
      <c r="G207" s="1" t="e">
        <f t="shared" si="93"/>
        <v>#DIV/0!</v>
      </c>
      <c r="H207" s="1" t="e">
        <f t="shared" si="93"/>
        <v>#DIV/0!</v>
      </c>
      <c r="I207" s="1" t="e">
        <f t="shared" si="93"/>
        <v>#DIV/0!</v>
      </c>
      <c r="J207" s="1" t="e">
        <f t="shared" si="93"/>
        <v>#DIV/0!</v>
      </c>
      <c r="K207" s="1" t="e">
        <f t="shared" si="93"/>
        <v>#DIV/0!</v>
      </c>
      <c r="L207" s="1" t="e">
        <f t="shared" si="93"/>
        <v>#DIV/0!</v>
      </c>
      <c r="M207" s="1" t="e">
        <f t="shared" si="93"/>
        <v>#DIV/0!</v>
      </c>
      <c r="N207" s="1" t="e">
        <f t="shared" si="93"/>
        <v>#DIV/0!</v>
      </c>
      <c r="O207" s="1" t="e">
        <f t="shared" si="93"/>
        <v>#DIV/0!</v>
      </c>
      <c r="P207" s="1" t="e">
        <f t="shared" si="93"/>
        <v>#DIV/0!</v>
      </c>
      <c r="Q207" s="1" t="e">
        <f t="shared" si="93"/>
        <v>#DIV/0!</v>
      </c>
      <c r="R207" s="1" t="e">
        <f t="shared" si="93"/>
        <v>#DIV/0!</v>
      </c>
      <c r="S207" s="1" t="e">
        <f t="shared" si="93"/>
        <v>#DIV/0!</v>
      </c>
      <c r="T207" s="1" t="e">
        <f t="shared" si="93"/>
        <v>#DIV/0!</v>
      </c>
      <c r="U207" s="1" t="e">
        <f t="shared" si="93"/>
        <v>#DIV/0!</v>
      </c>
      <c r="V207" s="1" t="e">
        <f t="shared" si="93"/>
        <v>#DIV/0!</v>
      </c>
      <c r="W207" s="1" t="e">
        <f t="shared" si="93"/>
        <v>#DIV/0!</v>
      </c>
      <c r="X207" s="1" t="e">
        <f t="shared" si="93"/>
        <v>#DIV/0!</v>
      </c>
      <c r="Y207" s="1" t="e">
        <f t="shared" si="93"/>
        <v>#DIV/0!</v>
      </c>
      <c r="Z207" s="1" t="e">
        <f t="shared" si="93"/>
        <v>#DIV/0!</v>
      </c>
      <c r="AA207" s="1" t="e">
        <f t="shared" si="93"/>
        <v>#DIV/0!</v>
      </c>
      <c r="AB207" s="1" t="e">
        <f t="shared" si="93"/>
        <v>#DIV/0!</v>
      </c>
      <c r="AC207" s="1" t="e">
        <f t="shared" si="93"/>
        <v>#DIV/0!</v>
      </c>
      <c r="AD207" s="1" t="e">
        <f t="shared" si="93"/>
        <v>#DIV/0!</v>
      </c>
      <c r="AE207" s="1" t="e">
        <f t="shared" si="93"/>
        <v>#DIV/0!</v>
      </c>
      <c r="AF207" s="1" t="e">
        <f t="shared" si="93"/>
        <v>#DIV/0!</v>
      </c>
      <c r="AG207" s="1" t="e">
        <f t="shared" si="93"/>
        <v>#DIV/0!</v>
      </c>
      <c r="AH207" s="1" t="e">
        <f t="shared" si="93"/>
        <v>#DIV/0!</v>
      </c>
      <c r="AI207" s="1" t="e">
        <f t="shared" si="93"/>
        <v>#DIV/0!</v>
      </c>
      <c r="AJ207" s="21" t="e">
        <f t="shared" si="93"/>
        <v>#DIV/0!</v>
      </c>
      <c r="AK207" s="36"/>
      <c r="AL207" s="226" t="e">
        <f>AL200/AL191*100</f>
        <v>#DIV/0!</v>
      </c>
    </row>
    <row r="208" spans="2:38" s="3" customFormat="1">
      <c r="B208" s="121"/>
      <c r="C208" s="73" t="s">
        <v>32</v>
      </c>
      <c r="D208" s="14"/>
      <c r="E208" s="8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50"/>
      <c r="AH208" s="50"/>
      <c r="AI208" s="50"/>
      <c r="AJ208" s="21"/>
      <c r="AK208" s="36"/>
      <c r="AL208" s="207"/>
    </row>
    <row r="209" spans="2:103 15069:15461" s="3" customFormat="1" ht="13.8">
      <c r="B209" s="121"/>
      <c r="C209" s="74" t="s">
        <v>100</v>
      </c>
      <c r="D209" s="14">
        <v>0.5</v>
      </c>
      <c r="E209" s="8" t="s">
        <v>29</v>
      </c>
      <c r="F209" s="1" t="e">
        <f t="shared" ref="F209:AJ210" si="94">F202/F190*100</f>
        <v>#DIV/0!</v>
      </c>
      <c r="G209" s="1" t="e">
        <f t="shared" si="94"/>
        <v>#DIV/0!</v>
      </c>
      <c r="H209" s="1" t="e">
        <f t="shared" si="94"/>
        <v>#DIV/0!</v>
      </c>
      <c r="I209" s="1" t="e">
        <f t="shared" si="94"/>
        <v>#DIV/0!</v>
      </c>
      <c r="J209" s="1" t="e">
        <f t="shared" si="94"/>
        <v>#DIV/0!</v>
      </c>
      <c r="K209" s="1" t="e">
        <f t="shared" si="94"/>
        <v>#DIV/0!</v>
      </c>
      <c r="L209" s="1" t="e">
        <f t="shared" si="94"/>
        <v>#DIV/0!</v>
      </c>
      <c r="M209" s="1" t="e">
        <f t="shared" si="94"/>
        <v>#DIV/0!</v>
      </c>
      <c r="N209" s="1" t="e">
        <f t="shared" si="94"/>
        <v>#DIV/0!</v>
      </c>
      <c r="O209" s="1" t="e">
        <f t="shared" si="94"/>
        <v>#DIV/0!</v>
      </c>
      <c r="P209" s="1" t="e">
        <f t="shared" si="94"/>
        <v>#DIV/0!</v>
      </c>
      <c r="Q209" s="1" t="e">
        <f t="shared" si="94"/>
        <v>#DIV/0!</v>
      </c>
      <c r="R209" s="1" t="e">
        <f t="shared" si="94"/>
        <v>#DIV/0!</v>
      </c>
      <c r="S209" s="1" t="e">
        <f t="shared" si="94"/>
        <v>#DIV/0!</v>
      </c>
      <c r="T209" s="1" t="e">
        <f t="shared" si="94"/>
        <v>#DIV/0!</v>
      </c>
      <c r="U209" s="1" t="e">
        <f t="shared" si="94"/>
        <v>#DIV/0!</v>
      </c>
      <c r="V209" s="1" t="e">
        <f t="shared" si="94"/>
        <v>#DIV/0!</v>
      </c>
      <c r="W209" s="1" t="e">
        <f t="shared" si="94"/>
        <v>#DIV/0!</v>
      </c>
      <c r="X209" s="1" t="e">
        <f t="shared" si="94"/>
        <v>#DIV/0!</v>
      </c>
      <c r="Y209" s="1" t="e">
        <f t="shared" si="94"/>
        <v>#DIV/0!</v>
      </c>
      <c r="Z209" s="1" t="e">
        <f t="shared" si="94"/>
        <v>#DIV/0!</v>
      </c>
      <c r="AA209" s="1" t="e">
        <f t="shared" si="94"/>
        <v>#DIV/0!</v>
      </c>
      <c r="AB209" s="1" t="e">
        <f t="shared" si="94"/>
        <v>#DIV/0!</v>
      </c>
      <c r="AC209" s="1" t="e">
        <f t="shared" si="94"/>
        <v>#DIV/0!</v>
      </c>
      <c r="AD209" s="1" t="e">
        <f t="shared" si="94"/>
        <v>#DIV/0!</v>
      </c>
      <c r="AE209" s="1" t="e">
        <f t="shared" si="94"/>
        <v>#DIV/0!</v>
      </c>
      <c r="AF209" s="1" t="e">
        <f t="shared" si="94"/>
        <v>#DIV/0!</v>
      </c>
      <c r="AG209" s="1" t="e">
        <f t="shared" si="94"/>
        <v>#DIV/0!</v>
      </c>
      <c r="AH209" s="1" t="e">
        <f t="shared" si="94"/>
        <v>#DIV/0!</v>
      </c>
      <c r="AI209" s="1" t="e">
        <f t="shared" si="94"/>
        <v>#DIV/0!</v>
      </c>
      <c r="AJ209" s="21" t="e">
        <f t="shared" si="94"/>
        <v>#DIV/0!</v>
      </c>
      <c r="AK209" s="36"/>
      <c r="AL209" s="114" t="e">
        <f>AL199/AL187*100</f>
        <v>#DIV/0!</v>
      </c>
    </row>
    <row r="210" spans="2:103 15069:15461" s="3" customFormat="1" ht="13.8">
      <c r="B210" s="121"/>
      <c r="C210" s="74" t="s">
        <v>125</v>
      </c>
      <c r="D210" s="14">
        <v>0.5</v>
      </c>
      <c r="E210" s="8" t="s">
        <v>29</v>
      </c>
      <c r="F210" s="1" t="e">
        <f t="shared" si="94"/>
        <v>#DIV/0!</v>
      </c>
      <c r="G210" s="1" t="e">
        <f t="shared" si="94"/>
        <v>#DIV/0!</v>
      </c>
      <c r="H210" s="1" t="e">
        <f t="shared" si="94"/>
        <v>#DIV/0!</v>
      </c>
      <c r="I210" s="1" t="e">
        <f t="shared" si="94"/>
        <v>#DIV/0!</v>
      </c>
      <c r="J210" s="1" t="e">
        <f t="shared" si="94"/>
        <v>#DIV/0!</v>
      </c>
      <c r="K210" s="1" t="e">
        <f t="shared" si="94"/>
        <v>#DIV/0!</v>
      </c>
      <c r="L210" s="1" t="e">
        <f t="shared" si="94"/>
        <v>#DIV/0!</v>
      </c>
      <c r="M210" s="1" t="e">
        <f t="shared" si="94"/>
        <v>#DIV/0!</v>
      </c>
      <c r="N210" s="1" t="e">
        <f t="shared" si="94"/>
        <v>#DIV/0!</v>
      </c>
      <c r="O210" s="1" t="e">
        <f t="shared" si="94"/>
        <v>#DIV/0!</v>
      </c>
      <c r="P210" s="1" t="e">
        <f t="shared" si="94"/>
        <v>#DIV/0!</v>
      </c>
      <c r="Q210" s="1" t="e">
        <f t="shared" si="94"/>
        <v>#DIV/0!</v>
      </c>
      <c r="R210" s="1" t="e">
        <f t="shared" si="94"/>
        <v>#DIV/0!</v>
      </c>
      <c r="S210" s="1" t="e">
        <f t="shared" si="94"/>
        <v>#DIV/0!</v>
      </c>
      <c r="T210" s="1" t="e">
        <f t="shared" si="94"/>
        <v>#DIV/0!</v>
      </c>
      <c r="U210" s="1" t="e">
        <f t="shared" si="94"/>
        <v>#DIV/0!</v>
      </c>
      <c r="V210" s="1" t="e">
        <f t="shared" si="94"/>
        <v>#DIV/0!</v>
      </c>
      <c r="W210" s="1" t="e">
        <f t="shared" si="94"/>
        <v>#DIV/0!</v>
      </c>
      <c r="X210" s="1" t="e">
        <f t="shared" si="94"/>
        <v>#DIV/0!</v>
      </c>
      <c r="Y210" s="1" t="e">
        <f t="shared" si="94"/>
        <v>#DIV/0!</v>
      </c>
      <c r="Z210" s="1" t="e">
        <f t="shared" si="94"/>
        <v>#DIV/0!</v>
      </c>
      <c r="AA210" s="1" t="e">
        <f t="shared" si="94"/>
        <v>#DIV/0!</v>
      </c>
      <c r="AB210" s="1" t="e">
        <f t="shared" si="94"/>
        <v>#DIV/0!</v>
      </c>
      <c r="AC210" s="1" t="e">
        <f t="shared" si="94"/>
        <v>#DIV/0!</v>
      </c>
      <c r="AD210" s="1" t="e">
        <f t="shared" si="94"/>
        <v>#DIV/0!</v>
      </c>
      <c r="AE210" s="1" t="e">
        <f t="shared" si="94"/>
        <v>#DIV/0!</v>
      </c>
      <c r="AF210" s="1" t="e">
        <f t="shared" si="94"/>
        <v>#DIV/0!</v>
      </c>
      <c r="AG210" s="1" t="e">
        <f t="shared" si="94"/>
        <v>#DIV/0!</v>
      </c>
      <c r="AH210" s="1" t="e">
        <f t="shared" si="94"/>
        <v>#DIV/0!</v>
      </c>
      <c r="AI210" s="1" t="e">
        <f t="shared" si="94"/>
        <v>#DIV/0!</v>
      </c>
      <c r="AJ210" s="21" t="e">
        <f t="shared" si="94"/>
        <v>#DIV/0!</v>
      </c>
      <c r="AK210" s="36"/>
      <c r="AL210" s="114" t="e">
        <f>AL200/AL188*100</f>
        <v>#DIV/0!</v>
      </c>
    </row>
    <row r="211" spans="2:103 15069:15461" s="3" customFormat="1" ht="13.8">
      <c r="B211" s="121"/>
      <c r="C211" s="77" t="s">
        <v>106</v>
      </c>
      <c r="D211" s="227"/>
      <c r="E211" s="23" t="s">
        <v>16</v>
      </c>
      <c r="F211" s="24">
        <f t="shared" ref="F211:AJ211" si="95">F184</f>
        <v>0</v>
      </c>
      <c r="G211" s="24">
        <f t="shared" si="95"/>
        <v>0</v>
      </c>
      <c r="H211" s="24">
        <f t="shared" si="95"/>
        <v>0</v>
      </c>
      <c r="I211" s="24">
        <f t="shared" si="95"/>
        <v>0</v>
      </c>
      <c r="J211" s="24">
        <f t="shared" si="95"/>
        <v>0</v>
      </c>
      <c r="K211" s="24">
        <f t="shared" si="95"/>
        <v>0</v>
      </c>
      <c r="L211" s="24">
        <f t="shared" si="95"/>
        <v>0</v>
      </c>
      <c r="M211" s="24">
        <f t="shared" si="95"/>
        <v>0</v>
      </c>
      <c r="N211" s="24">
        <f t="shared" si="95"/>
        <v>0</v>
      </c>
      <c r="O211" s="24">
        <f t="shared" si="95"/>
        <v>0</v>
      </c>
      <c r="P211" s="24">
        <f t="shared" si="95"/>
        <v>0</v>
      </c>
      <c r="Q211" s="24">
        <f t="shared" si="95"/>
        <v>0</v>
      </c>
      <c r="R211" s="24">
        <f t="shared" si="95"/>
        <v>0</v>
      </c>
      <c r="S211" s="24">
        <f t="shared" si="95"/>
        <v>0</v>
      </c>
      <c r="T211" s="24">
        <f t="shared" si="95"/>
        <v>0</v>
      </c>
      <c r="U211" s="24">
        <f t="shared" si="95"/>
        <v>0</v>
      </c>
      <c r="V211" s="24">
        <f t="shared" si="95"/>
        <v>0</v>
      </c>
      <c r="W211" s="24">
        <f t="shared" si="95"/>
        <v>0</v>
      </c>
      <c r="X211" s="24">
        <f t="shared" si="95"/>
        <v>0</v>
      </c>
      <c r="Y211" s="24">
        <f t="shared" si="95"/>
        <v>0</v>
      </c>
      <c r="Z211" s="24">
        <f t="shared" si="95"/>
        <v>0</v>
      </c>
      <c r="AA211" s="24">
        <f t="shared" si="95"/>
        <v>0</v>
      </c>
      <c r="AB211" s="24">
        <f t="shared" si="95"/>
        <v>0</v>
      </c>
      <c r="AC211" s="24">
        <f t="shared" si="95"/>
        <v>0</v>
      </c>
      <c r="AD211" s="24">
        <f t="shared" si="95"/>
        <v>0</v>
      </c>
      <c r="AE211" s="24">
        <f t="shared" si="95"/>
        <v>0</v>
      </c>
      <c r="AF211" s="24">
        <f t="shared" si="95"/>
        <v>0</v>
      </c>
      <c r="AG211" s="24">
        <f t="shared" si="95"/>
        <v>0</v>
      </c>
      <c r="AH211" s="24">
        <f t="shared" si="95"/>
        <v>0</v>
      </c>
      <c r="AI211" s="24">
        <f t="shared" si="95"/>
        <v>0</v>
      </c>
      <c r="AJ211" s="62">
        <f t="shared" si="95"/>
        <v>0</v>
      </c>
      <c r="AK211" s="42"/>
      <c r="AL211" s="228">
        <f>SUM(E211:AJ211)</f>
        <v>0</v>
      </c>
    </row>
    <row r="212" spans="2:103 15069:15461" s="3" customFormat="1" ht="13.8">
      <c r="B212" s="121"/>
      <c r="C212" s="78" t="s">
        <v>118</v>
      </c>
      <c r="D212" s="229"/>
      <c r="E212" s="25" t="s">
        <v>16</v>
      </c>
      <c r="F212" s="26">
        <f t="shared" ref="F212:AJ212" si="96">F123</f>
        <v>159743</v>
      </c>
      <c r="G212" s="26">
        <f t="shared" si="96"/>
        <v>33666</v>
      </c>
      <c r="H212" s="26">
        <f t="shared" si="96"/>
        <v>76592</v>
      </c>
      <c r="I212" s="26">
        <f t="shared" si="96"/>
        <v>35587</v>
      </c>
      <c r="J212" s="26">
        <f t="shared" si="96"/>
        <v>0</v>
      </c>
      <c r="K212" s="26">
        <f t="shared" si="96"/>
        <v>30750</v>
      </c>
      <c r="L212" s="26">
        <f t="shared" si="96"/>
        <v>0</v>
      </c>
      <c r="M212" s="26">
        <f t="shared" si="96"/>
        <v>25428</v>
      </c>
      <c r="N212" s="26">
        <f t="shared" si="96"/>
        <v>50110</v>
      </c>
      <c r="O212" s="26">
        <f t="shared" si="96"/>
        <v>33653</v>
      </c>
      <c r="P212" s="26">
        <f t="shared" si="96"/>
        <v>69626</v>
      </c>
      <c r="Q212" s="26">
        <f t="shared" si="96"/>
        <v>67794</v>
      </c>
      <c r="R212" s="26">
        <f t="shared" si="96"/>
        <v>71515</v>
      </c>
      <c r="S212" s="26">
        <f t="shared" si="96"/>
        <v>81180</v>
      </c>
      <c r="T212" s="26">
        <f t="shared" si="96"/>
        <v>57907</v>
      </c>
      <c r="U212" s="26">
        <f t="shared" si="96"/>
        <v>114251</v>
      </c>
      <c r="V212" s="26">
        <f t="shared" si="96"/>
        <v>33328</v>
      </c>
      <c r="W212" s="26">
        <f t="shared" si="96"/>
        <v>63321</v>
      </c>
      <c r="X212" s="26">
        <f t="shared" si="96"/>
        <v>64397</v>
      </c>
      <c r="Y212" s="26">
        <f t="shared" si="96"/>
        <v>18819</v>
      </c>
      <c r="Z212" s="26">
        <f t="shared" si="96"/>
        <v>0</v>
      </c>
      <c r="AA212" s="26">
        <f t="shared" si="96"/>
        <v>0</v>
      </c>
      <c r="AB212" s="26">
        <f t="shared" si="96"/>
        <v>0</v>
      </c>
      <c r="AC212" s="26">
        <f t="shared" si="96"/>
        <v>14487</v>
      </c>
      <c r="AD212" s="26">
        <f t="shared" si="96"/>
        <v>30040</v>
      </c>
      <c r="AE212" s="26">
        <f t="shared" si="96"/>
        <v>18083</v>
      </c>
      <c r="AF212" s="26">
        <f t="shared" si="96"/>
        <v>61097</v>
      </c>
      <c r="AG212" s="26">
        <f t="shared" si="96"/>
        <v>68804</v>
      </c>
      <c r="AH212" s="26">
        <f t="shared" si="96"/>
        <v>98409</v>
      </c>
      <c r="AI212" s="26">
        <f t="shared" si="96"/>
        <v>84297</v>
      </c>
      <c r="AJ212" s="41">
        <f t="shared" si="96"/>
        <v>28751</v>
      </c>
      <c r="AK212" s="42"/>
      <c r="AL212" s="110">
        <f>SUM(F212:AJ212)</f>
        <v>1491635</v>
      </c>
    </row>
    <row r="213" spans="2:103 15069:15461" s="3" customFormat="1" ht="13.8">
      <c r="B213" s="121"/>
      <c r="C213" s="79" t="s">
        <v>101</v>
      </c>
      <c r="D213" s="230"/>
      <c r="E213" s="27" t="s">
        <v>16</v>
      </c>
      <c r="F213" s="28">
        <f t="shared" ref="F213:AJ213" si="97">F68</f>
        <v>195682</v>
      </c>
      <c r="G213" s="28">
        <f t="shared" si="97"/>
        <v>0</v>
      </c>
      <c r="H213" s="28">
        <f t="shared" si="97"/>
        <v>0</v>
      </c>
      <c r="I213" s="28">
        <f t="shared" si="97"/>
        <v>199194</v>
      </c>
      <c r="J213" s="28">
        <f t="shared" si="97"/>
        <v>0</v>
      </c>
      <c r="K213" s="28">
        <f t="shared" si="97"/>
        <v>0</v>
      </c>
      <c r="L213" s="28">
        <f t="shared" si="97"/>
        <v>0</v>
      </c>
      <c r="M213" s="28">
        <f t="shared" si="97"/>
        <v>0</v>
      </c>
      <c r="N213" s="28">
        <f t="shared" si="97"/>
        <v>0</v>
      </c>
      <c r="O213" s="28">
        <f t="shared" si="97"/>
        <v>0</v>
      </c>
      <c r="P213" s="28">
        <f t="shared" si="97"/>
        <v>0</v>
      </c>
      <c r="Q213" s="28">
        <f t="shared" si="97"/>
        <v>0</v>
      </c>
      <c r="R213" s="28">
        <f t="shared" si="97"/>
        <v>0</v>
      </c>
      <c r="S213" s="28">
        <f t="shared" si="97"/>
        <v>0</v>
      </c>
      <c r="T213" s="28">
        <f t="shared" si="97"/>
        <v>0</v>
      </c>
      <c r="U213" s="28">
        <f t="shared" si="97"/>
        <v>182645</v>
      </c>
      <c r="V213" s="28">
        <f t="shared" si="97"/>
        <v>0</v>
      </c>
      <c r="W213" s="28">
        <f t="shared" si="97"/>
        <v>0</v>
      </c>
      <c r="X213" s="28">
        <f t="shared" si="97"/>
        <v>0</v>
      </c>
      <c r="Y213" s="28">
        <f t="shared" si="97"/>
        <v>210819</v>
      </c>
      <c r="Z213" s="28">
        <f t="shared" si="97"/>
        <v>0</v>
      </c>
      <c r="AA213" s="28">
        <f t="shared" si="97"/>
        <v>0</v>
      </c>
      <c r="AB213" s="28">
        <f t="shared" si="97"/>
        <v>0</v>
      </c>
      <c r="AC213" s="28">
        <f t="shared" si="97"/>
        <v>277070</v>
      </c>
      <c r="AD213" s="28">
        <f t="shared" si="97"/>
        <v>0</v>
      </c>
      <c r="AE213" s="28">
        <f t="shared" si="97"/>
        <v>0</v>
      </c>
      <c r="AF213" s="28">
        <f t="shared" si="97"/>
        <v>0</v>
      </c>
      <c r="AG213" s="28">
        <f t="shared" si="97"/>
        <v>0</v>
      </c>
      <c r="AH213" s="28">
        <f t="shared" si="97"/>
        <v>0</v>
      </c>
      <c r="AI213" s="28">
        <f t="shared" si="97"/>
        <v>198787</v>
      </c>
      <c r="AJ213" s="43">
        <f t="shared" si="97"/>
        <v>3613</v>
      </c>
      <c r="AK213" s="42"/>
      <c r="AL213" s="231">
        <f>SUM(E213:AJ213)</f>
        <v>1267810</v>
      </c>
    </row>
    <row r="214" spans="2:103 15069:15461" s="3" customFormat="1" ht="13.8">
      <c r="B214" s="121"/>
      <c r="C214" s="80" t="s">
        <v>102</v>
      </c>
      <c r="D214" s="232"/>
      <c r="E214" s="29" t="s">
        <v>98</v>
      </c>
      <c r="F214" s="30">
        <f>F211+F212+F213</f>
        <v>355425</v>
      </c>
      <c r="G214" s="30">
        <f t="shared" ref="G214:AI214" si="98">G211+G212+G213</f>
        <v>33666</v>
      </c>
      <c r="H214" s="30">
        <f t="shared" si="98"/>
        <v>76592</v>
      </c>
      <c r="I214" s="30">
        <f t="shared" si="98"/>
        <v>234781</v>
      </c>
      <c r="J214" s="30">
        <f t="shared" si="98"/>
        <v>0</v>
      </c>
      <c r="K214" s="30">
        <f t="shared" si="98"/>
        <v>30750</v>
      </c>
      <c r="L214" s="30">
        <f t="shared" si="98"/>
        <v>0</v>
      </c>
      <c r="M214" s="30">
        <f t="shared" si="98"/>
        <v>25428</v>
      </c>
      <c r="N214" s="30">
        <f t="shared" si="98"/>
        <v>50110</v>
      </c>
      <c r="O214" s="30">
        <f t="shared" si="98"/>
        <v>33653</v>
      </c>
      <c r="P214" s="30">
        <f t="shared" si="98"/>
        <v>69626</v>
      </c>
      <c r="Q214" s="30">
        <f t="shared" si="98"/>
        <v>67794</v>
      </c>
      <c r="R214" s="30">
        <f t="shared" si="98"/>
        <v>71515</v>
      </c>
      <c r="S214" s="30">
        <f t="shared" si="98"/>
        <v>81180</v>
      </c>
      <c r="T214" s="30">
        <f t="shared" si="98"/>
        <v>57907</v>
      </c>
      <c r="U214" s="30">
        <f t="shared" si="98"/>
        <v>296896</v>
      </c>
      <c r="V214" s="30">
        <f t="shared" si="98"/>
        <v>33328</v>
      </c>
      <c r="W214" s="30">
        <f t="shared" si="98"/>
        <v>63321</v>
      </c>
      <c r="X214" s="30">
        <f t="shared" si="98"/>
        <v>64397</v>
      </c>
      <c r="Y214" s="30">
        <f t="shared" si="98"/>
        <v>229638</v>
      </c>
      <c r="Z214" s="30">
        <f t="shared" si="98"/>
        <v>0</v>
      </c>
      <c r="AA214" s="30">
        <f>AA211+AA212+AA213</f>
        <v>0</v>
      </c>
      <c r="AB214" s="30">
        <f t="shared" si="98"/>
        <v>0</v>
      </c>
      <c r="AC214" s="30">
        <f t="shared" si="98"/>
        <v>291557</v>
      </c>
      <c r="AD214" s="30">
        <f t="shared" si="98"/>
        <v>30040</v>
      </c>
      <c r="AE214" s="30">
        <f t="shared" si="98"/>
        <v>18083</v>
      </c>
      <c r="AF214" s="30">
        <f t="shared" si="98"/>
        <v>61097</v>
      </c>
      <c r="AG214" s="30">
        <f t="shared" si="98"/>
        <v>68804</v>
      </c>
      <c r="AH214" s="30">
        <f t="shared" si="98"/>
        <v>98409</v>
      </c>
      <c r="AI214" s="30">
        <f t="shared" si="98"/>
        <v>283084</v>
      </c>
      <c r="AJ214" s="44">
        <f>AJ211+AJ212+AJ213</f>
        <v>32364</v>
      </c>
      <c r="AK214" s="42"/>
      <c r="AL214" s="45">
        <f>AL211+AL212+AL213</f>
        <v>2759445</v>
      </c>
    </row>
    <row r="215" spans="2:103 15069:15461" s="3" customFormat="1" ht="13.8">
      <c r="B215" s="121"/>
      <c r="C215" s="81" t="s">
        <v>107</v>
      </c>
      <c r="D215" s="232"/>
      <c r="E215" s="31" t="s">
        <v>16</v>
      </c>
      <c r="F215" s="32">
        <f t="shared" ref="F215:AJ215" si="99">SUM(F185+F150+F124+F96+F69)</f>
        <v>148389.34999999998</v>
      </c>
      <c r="G215" s="32">
        <f t="shared" si="99"/>
        <v>122347.26000000001</v>
      </c>
      <c r="H215" s="32">
        <f t="shared" si="99"/>
        <v>118533.25</v>
      </c>
      <c r="I215" s="32">
        <f t="shared" si="99"/>
        <v>82262.009999999995</v>
      </c>
      <c r="J215" s="32">
        <f t="shared" si="99"/>
        <v>128714.70000000001</v>
      </c>
      <c r="K215" s="32">
        <f t="shared" si="99"/>
        <v>113662.98</v>
      </c>
      <c r="L215" s="32">
        <f t="shared" si="99"/>
        <v>28272.2</v>
      </c>
      <c r="M215" s="32">
        <f t="shared" si="99"/>
        <v>0</v>
      </c>
      <c r="N215" s="32">
        <f t="shared" si="99"/>
        <v>25361.58</v>
      </c>
      <c r="O215" s="32">
        <f t="shared" si="99"/>
        <v>38042.720000000001</v>
      </c>
      <c r="P215" s="32">
        <f t="shared" si="99"/>
        <v>76630.009999999995</v>
      </c>
      <c r="Q215" s="32">
        <f t="shared" si="99"/>
        <v>76153</v>
      </c>
      <c r="R215" s="32">
        <f t="shared" si="99"/>
        <v>73274.81</v>
      </c>
      <c r="S215" s="32">
        <f t="shared" si="99"/>
        <v>50723.15</v>
      </c>
      <c r="T215" s="32">
        <f t="shared" si="99"/>
        <v>35566.050000000003</v>
      </c>
      <c r="U215" s="32">
        <f t="shared" si="99"/>
        <v>45033.56</v>
      </c>
      <c r="V215" s="32">
        <f t="shared" si="99"/>
        <v>158358.98000000001</v>
      </c>
      <c r="W215" s="32">
        <f t="shared" si="99"/>
        <v>132595.64000000001</v>
      </c>
      <c r="X215" s="32">
        <f t="shared" si="99"/>
        <v>98429.569999999992</v>
      </c>
      <c r="Y215" s="32">
        <f t="shared" si="99"/>
        <v>99119.31</v>
      </c>
      <c r="Z215" s="32">
        <f t="shared" si="99"/>
        <v>51276.59</v>
      </c>
      <c r="AA215" s="32">
        <f t="shared" si="99"/>
        <v>51310</v>
      </c>
      <c r="AB215" s="32">
        <f t="shared" si="99"/>
        <v>42827.11</v>
      </c>
      <c r="AC215" s="32">
        <f t="shared" si="99"/>
        <v>145137.85999999999</v>
      </c>
      <c r="AD215" s="32">
        <f>SUM(AD185+AD150+AD124+AD96+AD69)</f>
        <v>77175.37</v>
      </c>
      <c r="AE215" s="32">
        <f t="shared" si="99"/>
        <v>69315.820000000007</v>
      </c>
      <c r="AF215" s="32">
        <f t="shared" si="99"/>
        <v>36004.339999999997</v>
      </c>
      <c r="AG215" s="32">
        <f t="shared" si="99"/>
        <v>114279.62999999999</v>
      </c>
      <c r="AH215" s="32">
        <f t="shared" si="99"/>
        <v>120168.56999999999</v>
      </c>
      <c r="AI215" s="32">
        <f t="shared" ref="AI215" si="100">SUM(AI185+AI150+AI124+AI96+AI69)</f>
        <v>116279.98999999999</v>
      </c>
      <c r="AJ215" s="46">
        <f t="shared" si="99"/>
        <v>34892.44</v>
      </c>
      <c r="AK215" s="47"/>
      <c r="AL215" s="233">
        <f>SUM(F215:AJ215)</f>
        <v>2510137.85</v>
      </c>
    </row>
    <row r="216" spans="2:103 15069:15461" s="3" customFormat="1">
      <c r="B216" s="69">
        <v>8</v>
      </c>
      <c r="C216" s="148" t="s">
        <v>28</v>
      </c>
      <c r="D216" s="87"/>
      <c r="E216" s="150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52"/>
      <c r="AH216" s="52"/>
      <c r="AI216" s="52"/>
      <c r="AJ216" s="60"/>
      <c r="AL216" s="159" t="s">
        <v>27</v>
      </c>
      <c r="CY216" s="16"/>
      <c r="VGO216" s="347"/>
      <c r="VGP216" s="347"/>
      <c r="VGQ216" s="347"/>
      <c r="VGR216" s="347"/>
      <c r="VGS216" s="347"/>
      <c r="VGT216" s="347"/>
      <c r="VGU216" s="347"/>
      <c r="VGV216" s="347"/>
      <c r="VGW216" s="347"/>
      <c r="VGX216" s="347"/>
      <c r="VGY216" s="347"/>
      <c r="VGZ216" s="347"/>
      <c r="VHA216" s="347"/>
      <c r="VHB216" s="347"/>
      <c r="VHC216" s="347"/>
      <c r="VHD216" s="347"/>
      <c r="VHE216" s="347"/>
      <c r="VHF216" s="347"/>
      <c r="VHG216" s="347"/>
      <c r="VHH216" s="347"/>
      <c r="VHI216" s="347"/>
      <c r="VHJ216" s="347"/>
      <c r="VHK216" s="347"/>
      <c r="VHL216" s="347"/>
      <c r="VHM216" s="347"/>
      <c r="VHN216" s="347"/>
      <c r="VHO216" s="347"/>
      <c r="VHP216" s="347"/>
      <c r="VHQ216" s="347"/>
      <c r="VHR216" s="347"/>
      <c r="VHS216" s="347"/>
      <c r="VHT216" s="347"/>
      <c r="VHU216" s="347"/>
      <c r="VHV216" s="347"/>
      <c r="VHW216" s="347"/>
      <c r="VHX216" s="347"/>
      <c r="VHY216" s="347"/>
      <c r="VHZ216" s="347"/>
      <c r="VIA216" s="347"/>
      <c r="VIB216" s="347"/>
      <c r="VIC216" s="347"/>
      <c r="VID216" s="347"/>
      <c r="VIE216" s="347"/>
      <c r="VIF216" s="347"/>
      <c r="VIG216" s="347"/>
      <c r="VIH216" s="347"/>
      <c r="VII216" s="347"/>
      <c r="VIJ216" s="347"/>
      <c r="VIK216" s="347"/>
      <c r="VIL216" s="347"/>
      <c r="VIM216" s="347"/>
      <c r="VIN216" s="347"/>
      <c r="VIO216" s="347"/>
      <c r="VIP216" s="347"/>
      <c r="VIQ216" s="347"/>
      <c r="VIR216" s="347"/>
      <c r="VIS216" s="347"/>
      <c r="VIT216" s="347"/>
      <c r="VIU216" s="347"/>
      <c r="VIV216" s="347"/>
      <c r="VIW216" s="347"/>
      <c r="VIX216" s="347"/>
      <c r="VIY216" s="347"/>
      <c r="VIZ216" s="347"/>
      <c r="VJA216" s="347"/>
      <c r="VJB216" s="347"/>
      <c r="VJC216" s="347"/>
      <c r="VJD216" s="347"/>
      <c r="VJE216" s="347"/>
      <c r="VJF216" s="347"/>
      <c r="VJG216" s="347"/>
      <c r="VJH216" s="347"/>
      <c r="VJI216" s="347"/>
      <c r="VJJ216" s="347"/>
      <c r="VJK216" s="347"/>
      <c r="VJL216" s="347"/>
      <c r="VJM216" s="347"/>
      <c r="VJN216" s="347"/>
      <c r="VJO216" s="347"/>
      <c r="VJP216" s="347"/>
      <c r="VJQ216" s="347"/>
      <c r="VJR216" s="347"/>
      <c r="VJS216" s="347"/>
      <c r="VJT216" s="347"/>
      <c r="VJU216" s="347"/>
      <c r="VJV216" s="347"/>
      <c r="VJW216" s="347"/>
      <c r="VJX216" s="347"/>
      <c r="VJY216" s="347"/>
      <c r="VJZ216" s="347"/>
      <c r="VKA216" s="347"/>
      <c r="VKB216" s="347"/>
      <c r="VKC216" s="347"/>
      <c r="VKD216" s="347"/>
      <c r="VKE216" s="347"/>
      <c r="VKF216" s="347"/>
      <c r="VKG216" s="347"/>
      <c r="VKH216" s="347"/>
      <c r="VKI216" s="347"/>
      <c r="VKJ216" s="347"/>
      <c r="VKK216" s="347"/>
      <c r="VKL216" s="347"/>
      <c r="VKM216" s="347"/>
      <c r="VKN216" s="347"/>
      <c r="VKO216" s="347"/>
      <c r="VKP216" s="347"/>
      <c r="VKQ216" s="347"/>
      <c r="VKR216" s="347"/>
      <c r="VKS216" s="347"/>
      <c r="VKT216" s="347"/>
      <c r="VKU216" s="347"/>
      <c r="VKV216" s="347"/>
      <c r="VKW216" s="347"/>
      <c r="VKX216" s="347"/>
      <c r="VKY216" s="347"/>
      <c r="VKZ216" s="347"/>
      <c r="VLA216" s="347"/>
      <c r="VLB216" s="347"/>
      <c r="VLC216" s="347"/>
      <c r="VLD216" s="347"/>
      <c r="VLE216" s="347"/>
      <c r="VLF216" s="347"/>
      <c r="VLG216" s="347"/>
      <c r="VLH216" s="347"/>
      <c r="VLI216" s="347"/>
      <c r="VLJ216" s="347"/>
      <c r="VLK216" s="347"/>
      <c r="VLL216" s="347"/>
      <c r="VLM216" s="347"/>
      <c r="VLN216" s="347"/>
      <c r="VLO216" s="347"/>
      <c r="VLP216" s="347"/>
      <c r="VLQ216" s="347"/>
      <c r="VLR216" s="347"/>
      <c r="VLS216" s="347"/>
      <c r="VLT216" s="347"/>
      <c r="VLU216" s="347"/>
      <c r="VLV216" s="347"/>
      <c r="VLW216" s="347"/>
      <c r="VLX216" s="347"/>
      <c r="VLY216" s="347"/>
      <c r="VLZ216" s="347"/>
      <c r="VMA216" s="347"/>
      <c r="VMB216" s="347"/>
      <c r="VMC216" s="347"/>
      <c r="VMD216" s="347"/>
      <c r="VME216" s="347"/>
      <c r="VMF216" s="347"/>
      <c r="VMG216" s="347"/>
      <c r="VMH216" s="347"/>
      <c r="VMI216" s="347"/>
      <c r="VMJ216" s="347"/>
      <c r="VMK216" s="347"/>
      <c r="VML216" s="347"/>
      <c r="VMM216" s="347"/>
      <c r="VMN216" s="347"/>
      <c r="VMO216" s="347"/>
      <c r="VMP216" s="347"/>
      <c r="VMQ216" s="347"/>
      <c r="VMR216" s="347"/>
      <c r="VMS216" s="347"/>
      <c r="VMT216" s="347"/>
      <c r="VMU216" s="347"/>
      <c r="VMV216" s="347"/>
      <c r="VMW216" s="347"/>
      <c r="VMX216" s="347"/>
      <c r="VMY216" s="347"/>
      <c r="VMZ216" s="347"/>
      <c r="VNA216" s="347"/>
      <c r="VNB216" s="347"/>
      <c r="VNC216" s="347"/>
      <c r="VND216" s="347"/>
      <c r="VNE216" s="347"/>
      <c r="VNF216" s="347"/>
      <c r="VNG216" s="347"/>
      <c r="VNH216" s="347"/>
      <c r="VNI216" s="347"/>
      <c r="VNJ216" s="347"/>
      <c r="VNK216" s="347"/>
      <c r="VNL216" s="347"/>
      <c r="VNM216" s="347"/>
      <c r="VNN216" s="347"/>
      <c r="VNO216" s="347"/>
      <c r="VNP216" s="347"/>
      <c r="VNQ216" s="347"/>
      <c r="VNR216" s="347"/>
      <c r="VNS216" s="347"/>
      <c r="VNT216" s="347"/>
      <c r="VNU216" s="347"/>
      <c r="VNV216" s="347"/>
      <c r="VNW216" s="347"/>
      <c r="VNX216" s="347"/>
      <c r="VNY216" s="347"/>
      <c r="VNZ216" s="347"/>
      <c r="VOA216" s="347"/>
      <c r="VOB216" s="347"/>
      <c r="VOC216" s="347"/>
      <c r="VOD216" s="347"/>
      <c r="VOE216" s="347"/>
      <c r="VOF216" s="347"/>
      <c r="VOG216" s="347"/>
      <c r="VOH216" s="347"/>
      <c r="VOI216" s="347"/>
      <c r="VOJ216" s="347"/>
      <c r="VOK216" s="347"/>
      <c r="VOL216" s="347"/>
      <c r="VOM216" s="347"/>
      <c r="VON216" s="347"/>
      <c r="VOO216" s="347"/>
      <c r="VOP216" s="347"/>
      <c r="VOQ216" s="347"/>
      <c r="VOR216" s="347"/>
      <c r="VOS216" s="347"/>
      <c r="VOT216" s="347"/>
      <c r="VOU216" s="347"/>
      <c r="VOV216" s="347"/>
      <c r="VOW216" s="347"/>
      <c r="VOX216" s="347"/>
      <c r="VOY216" s="347"/>
      <c r="VOZ216" s="347"/>
      <c r="VPA216" s="347"/>
      <c r="VPB216" s="347"/>
      <c r="VPC216" s="347"/>
      <c r="VPD216" s="347"/>
      <c r="VPE216" s="347"/>
      <c r="VPF216" s="347"/>
      <c r="VPG216" s="347"/>
      <c r="VPH216" s="347"/>
      <c r="VPI216" s="347"/>
      <c r="VPJ216" s="347"/>
      <c r="VPK216" s="347"/>
      <c r="VPL216" s="347"/>
      <c r="VPM216" s="347"/>
      <c r="VPN216" s="347"/>
      <c r="VPO216" s="347"/>
      <c r="VPP216" s="347"/>
      <c r="VPQ216" s="347"/>
      <c r="VPR216" s="347"/>
      <c r="VPS216" s="347"/>
      <c r="VPT216" s="347"/>
      <c r="VPU216" s="347"/>
      <c r="VPV216" s="347"/>
      <c r="VPW216" s="347"/>
      <c r="VPX216" s="347"/>
      <c r="VPY216" s="347"/>
      <c r="VPZ216" s="347"/>
      <c r="VQA216" s="347"/>
      <c r="VQB216" s="347"/>
      <c r="VQC216" s="347"/>
      <c r="VQD216" s="347"/>
      <c r="VQE216" s="347"/>
      <c r="VQF216" s="347"/>
      <c r="VQG216" s="347"/>
      <c r="VQH216" s="347"/>
      <c r="VQI216" s="347"/>
      <c r="VQJ216" s="347"/>
      <c r="VQK216" s="347"/>
      <c r="VQL216" s="347"/>
      <c r="VQM216" s="347"/>
      <c r="VQN216" s="347"/>
      <c r="VQO216" s="347"/>
      <c r="VQP216" s="347"/>
      <c r="VQQ216" s="347"/>
      <c r="VQR216" s="347"/>
      <c r="VQS216" s="347"/>
      <c r="VQT216" s="347"/>
      <c r="VQU216" s="347"/>
      <c r="VQV216" s="347"/>
      <c r="VQW216" s="347"/>
      <c r="VQX216" s="347"/>
      <c r="VQY216" s="347"/>
      <c r="VQZ216" s="347"/>
      <c r="VRA216" s="347"/>
      <c r="VRB216" s="347"/>
      <c r="VRC216" s="347"/>
      <c r="VRD216" s="347"/>
      <c r="VRE216" s="347"/>
      <c r="VRF216" s="347"/>
      <c r="VRG216" s="347"/>
      <c r="VRH216" s="347"/>
      <c r="VRI216" s="347"/>
      <c r="VRJ216" s="347"/>
      <c r="VRK216" s="347"/>
      <c r="VRL216" s="347"/>
      <c r="VRM216" s="347"/>
      <c r="VRN216" s="347"/>
      <c r="VRO216" s="347"/>
      <c r="VRP216" s="347"/>
      <c r="VRQ216" s="347"/>
      <c r="VRR216" s="347"/>
      <c r="VRS216" s="347"/>
      <c r="VRT216" s="347"/>
      <c r="VRU216" s="347"/>
      <c r="VRV216" s="347"/>
      <c r="VRW216" s="347"/>
      <c r="VRX216" s="347"/>
      <c r="VRY216" s="347"/>
      <c r="VRZ216" s="347"/>
      <c r="VSA216" s="347"/>
      <c r="VSB216" s="347"/>
      <c r="VSC216" s="347"/>
      <c r="VSD216" s="347"/>
      <c r="VSE216" s="347"/>
      <c r="VSF216" s="347"/>
      <c r="VSG216" s="347"/>
      <c r="VSH216" s="347"/>
      <c r="VSI216" s="347"/>
      <c r="VSJ216" s="347"/>
      <c r="VSK216" s="347"/>
      <c r="VSL216" s="347"/>
      <c r="VSM216" s="347"/>
      <c r="VSN216" s="347"/>
      <c r="VSO216" s="347"/>
      <c r="VSP216" s="347"/>
      <c r="VSQ216" s="347"/>
      <c r="VSR216" s="347"/>
      <c r="VSS216" s="347"/>
      <c r="VST216" s="347"/>
      <c r="VSU216" s="347"/>
      <c r="VSV216" s="347"/>
      <c r="VSW216" s="347"/>
      <c r="VSX216" s="347"/>
      <c r="VSY216" s="347"/>
      <c r="VSZ216" s="347"/>
      <c r="VTA216" s="347"/>
      <c r="VTB216" s="347"/>
      <c r="VTC216" s="347"/>
      <c r="VTD216" s="347"/>
      <c r="VTE216" s="347"/>
      <c r="VTF216" s="347"/>
      <c r="VTG216" s="347"/>
      <c r="VTH216" s="347"/>
      <c r="VTI216" s="347"/>
      <c r="VTJ216" s="347"/>
      <c r="VTK216" s="347"/>
      <c r="VTL216" s="347"/>
      <c r="VTM216" s="347"/>
      <c r="VTN216" s="347"/>
      <c r="VTO216" s="347"/>
      <c r="VTP216" s="347"/>
      <c r="VTQ216" s="347"/>
      <c r="VTR216" s="347"/>
      <c r="VTS216" s="347"/>
      <c r="VTT216" s="347"/>
      <c r="VTU216" s="347"/>
      <c r="VTV216" s="347"/>
      <c r="VTW216" s="347"/>
      <c r="VTX216" s="347"/>
      <c r="VTY216" s="347"/>
      <c r="VTZ216" s="347"/>
      <c r="VUA216" s="347"/>
      <c r="VUB216" s="347"/>
      <c r="VUC216" s="347"/>
      <c r="VUD216" s="347"/>
      <c r="VUE216" s="347"/>
      <c r="VUF216" s="347"/>
      <c r="VUG216" s="347"/>
      <c r="VUH216" s="347"/>
      <c r="VUI216" s="347"/>
      <c r="VUJ216" s="347"/>
      <c r="VUK216" s="347"/>
      <c r="VUL216" s="347"/>
      <c r="VUM216" s="347"/>
      <c r="VUN216" s="347"/>
      <c r="VUO216" s="347"/>
      <c r="VUP216" s="347"/>
      <c r="VUQ216" s="347"/>
      <c r="VUR216" s="347"/>
      <c r="VUS216" s="347"/>
      <c r="VUT216" s="347"/>
      <c r="VUU216" s="347"/>
      <c r="VUV216" s="347"/>
      <c r="VUW216" s="347"/>
      <c r="VUX216" s="347"/>
      <c r="VUY216" s="347"/>
      <c r="VUZ216" s="347"/>
      <c r="VVA216" s="347"/>
      <c r="VVB216" s="347"/>
      <c r="VVC216" s="347"/>
      <c r="VVD216" s="347"/>
      <c r="VVE216" s="347"/>
      <c r="VVF216" s="347"/>
      <c r="VVG216" s="347"/>
      <c r="VVH216" s="347"/>
      <c r="VVI216" s="347"/>
      <c r="VVJ216" s="347"/>
      <c r="VVK216" s="347"/>
      <c r="VVL216" s="347"/>
      <c r="VVM216" s="347"/>
      <c r="VVN216" s="347"/>
      <c r="VVO216" s="347"/>
      <c r="VVP216" s="347"/>
      <c r="VVQ216" s="347"/>
    </row>
    <row r="217" spans="2:103 15069:15461" s="3" customFormat="1" ht="13.8">
      <c r="B217" s="69"/>
      <c r="C217" s="70" t="s">
        <v>26</v>
      </c>
      <c r="D217" s="117"/>
      <c r="E217" s="8" t="s">
        <v>22</v>
      </c>
      <c r="F217" s="286">
        <v>1750.3510000000001</v>
      </c>
      <c r="G217" s="67">
        <v>1192.365</v>
      </c>
      <c r="H217" s="67">
        <v>330.83</v>
      </c>
      <c r="I217" s="2">
        <v>1208.0944</v>
      </c>
      <c r="J217" s="2">
        <v>1171.3081</v>
      </c>
      <c r="K217" s="2">
        <v>1182.6804999999999</v>
      </c>
      <c r="L217" s="2">
        <v>1078.3184000000001</v>
      </c>
      <c r="M217" s="286">
        <v>1546.6994</v>
      </c>
      <c r="N217" s="286">
        <v>1500.3487</v>
      </c>
      <c r="O217" s="2">
        <v>1341.5277000000001</v>
      </c>
      <c r="P217" s="2">
        <v>1390.9218000000001</v>
      </c>
      <c r="Q217" s="2">
        <v>1373.9005999999999</v>
      </c>
      <c r="R217" s="2">
        <v>1349.8081</v>
      </c>
      <c r="S217" s="2">
        <v>1249.8931</v>
      </c>
      <c r="T217" s="2">
        <v>1114.1277</v>
      </c>
      <c r="U217" s="2">
        <v>1337.4362000000001</v>
      </c>
      <c r="V217" s="2">
        <v>1311.0564999999999</v>
      </c>
      <c r="W217" s="2">
        <v>1290.6361999999999</v>
      </c>
      <c r="X217" s="2">
        <v>1356.4826</v>
      </c>
      <c r="Y217" s="2">
        <v>1269.9428</v>
      </c>
      <c r="Z217" s="2">
        <v>1262.2239</v>
      </c>
      <c r="AA217" s="2">
        <v>1323.0465999999999</v>
      </c>
      <c r="AB217" s="286">
        <v>1486.7900999999999</v>
      </c>
      <c r="AC217" s="286">
        <v>1480.2503999999999</v>
      </c>
      <c r="AD217" s="2">
        <v>1424.5673999999999</v>
      </c>
      <c r="AE217" s="2">
        <v>1372.7925</v>
      </c>
      <c r="AF217" s="2">
        <v>1460.9382000000001</v>
      </c>
      <c r="AG217" s="55">
        <v>1459.9087999999999</v>
      </c>
      <c r="AH217" s="55">
        <v>1447.0726999999999</v>
      </c>
      <c r="AI217" s="55">
        <v>1285.3768</v>
      </c>
      <c r="AJ217" s="63">
        <v>1345.1063999999999</v>
      </c>
      <c r="AL217" s="234">
        <f>SUM(F217:AJ217)</f>
        <v>40694.802599999988</v>
      </c>
      <c r="CY217" s="304"/>
    </row>
    <row r="218" spans="2:103 15069:15461" s="119" customFormat="1" ht="13.8">
      <c r="B218" s="131"/>
      <c r="C218" s="152" t="s">
        <v>25</v>
      </c>
      <c r="D218" s="235">
        <f>D222</f>
        <v>1460.001</v>
      </c>
      <c r="E218" s="133" t="s">
        <v>22</v>
      </c>
      <c r="F218" s="2">
        <v>1178.9780000000001</v>
      </c>
      <c r="G218" s="67">
        <v>1251.674</v>
      </c>
      <c r="H218" s="67">
        <v>1217.9767999999999</v>
      </c>
      <c r="I218" s="2">
        <v>1174.2428</v>
      </c>
      <c r="J218" s="67">
        <v>1207.1771000000001</v>
      </c>
      <c r="K218" s="68">
        <v>977.02319999999997</v>
      </c>
      <c r="L218" s="326">
        <v>1559.1449</v>
      </c>
      <c r="M218" s="286">
        <v>1510.8715</v>
      </c>
      <c r="N218" s="2">
        <v>1365.5142000000001</v>
      </c>
      <c r="O218" s="2">
        <v>1396.2159999999999</v>
      </c>
      <c r="P218" s="2">
        <v>1367.4087999999999</v>
      </c>
      <c r="Q218" s="2">
        <v>1351.01</v>
      </c>
      <c r="R218" s="2">
        <v>1254.1410000000001</v>
      </c>
      <c r="S218" s="2">
        <v>1075.9412</v>
      </c>
      <c r="T218" s="2">
        <v>1319.0926999999999</v>
      </c>
      <c r="U218" s="2">
        <v>1307.4247</v>
      </c>
      <c r="V218" s="2">
        <v>1293.8957</v>
      </c>
      <c r="W218" s="2">
        <v>1371.1753000000001</v>
      </c>
      <c r="X218" s="2">
        <v>1270.5586000000001</v>
      </c>
      <c r="Y218" s="2">
        <v>1259.0315000000001</v>
      </c>
      <c r="Z218" s="2">
        <v>1310.2660000000001</v>
      </c>
      <c r="AA218" s="2">
        <v>1459.0352</v>
      </c>
      <c r="AB218" s="2">
        <v>1454.3178</v>
      </c>
      <c r="AC218" s="2">
        <v>1397.2222999999999</v>
      </c>
      <c r="AD218" s="2">
        <v>1354.6349</v>
      </c>
      <c r="AE218" s="2">
        <v>1432.3318999999999</v>
      </c>
      <c r="AF218" s="286">
        <v>1423.6380999999999</v>
      </c>
      <c r="AG218" s="55">
        <v>1396.9567</v>
      </c>
      <c r="AH218" s="55">
        <v>1238.1206999999999</v>
      </c>
      <c r="AI218" s="55">
        <v>1303.7556999999999</v>
      </c>
      <c r="AJ218" s="63">
        <v>1361.7058999999999</v>
      </c>
      <c r="AL218" s="236">
        <f>SUM(F218:AJ218)</f>
        <v>40840.483200000002</v>
      </c>
      <c r="CY218" s="305"/>
    </row>
    <row r="219" spans="2:103 15069:15461" s="3" customFormat="1">
      <c r="B219" s="121"/>
      <c r="C219" s="72" t="s">
        <v>12</v>
      </c>
      <c r="D219" s="117"/>
      <c r="E219" s="5"/>
      <c r="F219" s="2"/>
      <c r="G219" s="67"/>
      <c r="H219" s="67"/>
      <c r="I219" s="1"/>
      <c r="J219" s="67"/>
      <c r="K219" s="68"/>
      <c r="L219" s="68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0"/>
      <c r="AD219" s="10"/>
      <c r="AE219" s="10"/>
      <c r="AF219" s="10"/>
      <c r="AG219" s="49"/>
      <c r="AH219" s="49"/>
      <c r="AI219" s="49"/>
      <c r="AJ219" s="20"/>
      <c r="AL219" s="237" t="s">
        <v>12</v>
      </c>
      <c r="CY219" s="16"/>
      <c r="VGO219" s="347"/>
      <c r="VGP219" s="347"/>
      <c r="VGQ219" s="347"/>
      <c r="VGR219" s="347"/>
      <c r="VGS219" s="347"/>
      <c r="VGT219" s="347"/>
      <c r="VGU219" s="347"/>
      <c r="VGV219" s="347"/>
      <c r="VGW219" s="347"/>
      <c r="VGX219" s="347"/>
      <c r="VGY219" s="347"/>
      <c r="VGZ219" s="347"/>
      <c r="VHA219" s="347"/>
      <c r="VHB219" s="347"/>
      <c r="VHC219" s="347"/>
      <c r="VHD219" s="347"/>
      <c r="VHE219" s="347"/>
      <c r="VHF219" s="347"/>
      <c r="VHG219" s="347"/>
      <c r="VHH219" s="347"/>
      <c r="VHI219" s="347"/>
      <c r="VHJ219" s="347"/>
      <c r="VHK219" s="347"/>
      <c r="VHL219" s="347"/>
      <c r="VHM219" s="347"/>
      <c r="VHN219" s="347"/>
      <c r="VHO219" s="347"/>
      <c r="VHP219" s="347"/>
      <c r="VHQ219" s="347"/>
      <c r="VHR219" s="347"/>
      <c r="VHS219" s="347"/>
      <c r="VHT219" s="347"/>
      <c r="VHU219" s="347"/>
      <c r="VHV219" s="347"/>
      <c r="VHW219" s="347"/>
      <c r="VHX219" s="347"/>
      <c r="VHY219" s="347"/>
      <c r="VHZ219" s="347"/>
      <c r="VIA219" s="347"/>
      <c r="VIB219" s="347"/>
      <c r="VIC219" s="347"/>
      <c r="VID219" s="347"/>
      <c r="VIE219" s="347"/>
      <c r="VIF219" s="347"/>
      <c r="VIG219" s="347"/>
      <c r="VIH219" s="347"/>
      <c r="VII219" s="347"/>
      <c r="VIJ219" s="347"/>
      <c r="VIK219" s="347"/>
      <c r="VIL219" s="347"/>
      <c r="VIM219" s="347"/>
      <c r="VIN219" s="347"/>
      <c r="VIO219" s="347"/>
      <c r="VIP219" s="347"/>
      <c r="VIQ219" s="347"/>
      <c r="VIR219" s="347"/>
      <c r="VIS219" s="347"/>
      <c r="VIT219" s="347"/>
      <c r="VIU219" s="347"/>
      <c r="VIV219" s="347"/>
      <c r="VIW219" s="347"/>
      <c r="VIX219" s="347"/>
      <c r="VIY219" s="347"/>
      <c r="VIZ219" s="347"/>
      <c r="VJA219" s="347"/>
      <c r="VJB219" s="347"/>
      <c r="VJC219" s="347"/>
      <c r="VJD219" s="347"/>
      <c r="VJE219" s="347"/>
      <c r="VJF219" s="347"/>
      <c r="VJG219" s="347"/>
      <c r="VJH219" s="347"/>
      <c r="VJI219" s="347"/>
      <c r="VJJ219" s="347"/>
      <c r="VJK219" s="347"/>
      <c r="VJL219" s="347"/>
      <c r="VJM219" s="347"/>
      <c r="VJN219" s="347"/>
      <c r="VJO219" s="347"/>
      <c r="VJP219" s="347"/>
      <c r="VJQ219" s="347"/>
      <c r="VJR219" s="347"/>
      <c r="VJS219" s="347"/>
      <c r="VJT219" s="347"/>
      <c r="VJU219" s="347"/>
      <c r="VJV219" s="347"/>
      <c r="VJW219" s="347"/>
      <c r="VJX219" s="347"/>
      <c r="VJY219" s="347"/>
      <c r="VJZ219" s="347"/>
      <c r="VKA219" s="347"/>
      <c r="VKB219" s="347"/>
      <c r="VKC219" s="347"/>
      <c r="VKD219" s="347"/>
      <c r="VKE219" s="347"/>
      <c r="VKF219" s="347"/>
      <c r="VKG219" s="347"/>
      <c r="VKH219" s="347"/>
      <c r="VKI219" s="347"/>
      <c r="VKJ219" s="347"/>
      <c r="VKK219" s="347"/>
      <c r="VKL219" s="347"/>
      <c r="VKM219" s="347"/>
      <c r="VKN219" s="347"/>
      <c r="VKO219" s="347"/>
      <c r="VKP219" s="347"/>
      <c r="VKQ219" s="347"/>
      <c r="VKR219" s="347"/>
      <c r="VKS219" s="347"/>
      <c r="VKT219" s="347"/>
      <c r="VKU219" s="347"/>
      <c r="VKV219" s="347"/>
      <c r="VKW219" s="347"/>
      <c r="VKX219" s="347"/>
      <c r="VKY219" s="347"/>
      <c r="VKZ219" s="347"/>
      <c r="VLA219" s="347"/>
      <c r="VLB219" s="347"/>
      <c r="VLC219" s="347"/>
      <c r="VLD219" s="347"/>
      <c r="VLE219" s="347"/>
      <c r="VLF219" s="347"/>
      <c r="VLG219" s="347"/>
      <c r="VLH219" s="347"/>
      <c r="VLI219" s="347"/>
      <c r="VLJ219" s="347"/>
      <c r="VLK219" s="347"/>
      <c r="VLL219" s="347"/>
      <c r="VLM219" s="347"/>
      <c r="VLN219" s="347"/>
      <c r="VLO219" s="347"/>
      <c r="VLP219" s="347"/>
      <c r="VLQ219" s="347"/>
      <c r="VLR219" s="347"/>
      <c r="VLS219" s="347"/>
      <c r="VLT219" s="347"/>
      <c r="VLU219" s="347"/>
      <c r="VLV219" s="347"/>
      <c r="VLW219" s="347"/>
      <c r="VLX219" s="347"/>
      <c r="VLY219" s="347"/>
      <c r="VLZ219" s="347"/>
      <c r="VMA219" s="347"/>
      <c r="VMB219" s="347"/>
      <c r="VMC219" s="347"/>
      <c r="VMD219" s="347"/>
      <c r="VME219" s="347"/>
      <c r="VMF219" s="347"/>
      <c r="VMG219" s="347"/>
      <c r="VMH219" s="347"/>
      <c r="VMI219" s="347"/>
      <c r="VMJ219" s="347"/>
      <c r="VMK219" s="347"/>
      <c r="VML219" s="347"/>
      <c r="VMM219" s="347"/>
      <c r="VMN219" s="347"/>
      <c r="VMO219" s="347"/>
      <c r="VMP219" s="347"/>
      <c r="VMQ219" s="347"/>
      <c r="VMR219" s="347"/>
      <c r="VMS219" s="347"/>
      <c r="VMT219" s="347"/>
      <c r="VMU219" s="347"/>
      <c r="VMV219" s="347"/>
      <c r="VMW219" s="347"/>
      <c r="VMX219" s="347"/>
      <c r="VMY219" s="347"/>
      <c r="VMZ219" s="347"/>
      <c r="VNA219" s="347"/>
      <c r="VNB219" s="347"/>
      <c r="VNC219" s="347"/>
      <c r="VND219" s="347"/>
      <c r="VNE219" s="347"/>
      <c r="VNF219" s="347"/>
      <c r="VNG219" s="347"/>
      <c r="VNH219" s="347"/>
      <c r="VNI219" s="347"/>
      <c r="VNJ219" s="347"/>
      <c r="VNK219" s="347"/>
      <c r="VNL219" s="347"/>
      <c r="VNM219" s="347"/>
      <c r="VNN219" s="347"/>
      <c r="VNO219" s="347"/>
      <c r="VNP219" s="347"/>
      <c r="VNQ219" s="347"/>
      <c r="VNR219" s="347"/>
      <c r="VNS219" s="347"/>
      <c r="VNT219" s="347"/>
      <c r="VNU219" s="347"/>
      <c r="VNV219" s="347"/>
      <c r="VNW219" s="347"/>
      <c r="VNX219" s="347"/>
      <c r="VNY219" s="347"/>
      <c r="VNZ219" s="347"/>
      <c r="VOA219" s="347"/>
      <c r="VOB219" s="347"/>
      <c r="VOC219" s="347"/>
      <c r="VOD219" s="347"/>
      <c r="VOE219" s="347"/>
      <c r="VOF219" s="347"/>
      <c r="VOG219" s="347"/>
      <c r="VOH219" s="347"/>
      <c r="VOI219" s="347"/>
      <c r="VOJ219" s="347"/>
      <c r="VOK219" s="347"/>
      <c r="VOL219" s="347"/>
      <c r="VOM219" s="347"/>
      <c r="VON219" s="347"/>
      <c r="VOO219" s="347"/>
      <c r="VOP219" s="347"/>
      <c r="VOQ219" s="347"/>
      <c r="VOR219" s="347"/>
      <c r="VOS219" s="347"/>
      <c r="VOT219" s="347"/>
      <c r="VOU219" s="347"/>
      <c r="VOV219" s="347"/>
      <c r="VOW219" s="347"/>
      <c r="VOX219" s="347"/>
      <c r="VOY219" s="347"/>
      <c r="VOZ219" s="347"/>
      <c r="VPA219" s="347"/>
      <c r="VPB219" s="347"/>
      <c r="VPC219" s="347"/>
      <c r="VPD219" s="347"/>
      <c r="VPE219" s="347"/>
      <c r="VPF219" s="347"/>
      <c r="VPG219" s="347"/>
      <c r="VPH219" s="347"/>
      <c r="VPI219" s="347"/>
      <c r="VPJ219" s="347"/>
      <c r="VPK219" s="347"/>
      <c r="VPL219" s="347"/>
      <c r="VPM219" s="347"/>
      <c r="VPN219" s="347"/>
      <c r="VPO219" s="347"/>
      <c r="VPP219" s="347"/>
      <c r="VPQ219" s="347"/>
      <c r="VPR219" s="347"/>
      <c r="VPS219" s="347"/>
      <c r="VPT219" s="347"/>
      <c r="VPU219" s="347"/>
      <c r="VPV219" s="347"/>
      <c r="VPW219" s="347"/>
      <c r="VPX219" s="347"/>
      <c r="VPY219" s="347"/>
      <c r="VPZ219" s="347"/>
      <c r="VQA219" s="347"/>
      <c r="VQB219" s="347"/>
      <c r="VQC219" s="347"/>
      <c r="VQD219" s="347"/>
      <c r="VQE219" s="347"/>
      <c r="VQF219" s="347"/>
      <c r="VQG219" s="347"/>
      <c r="VQH219" s="347"/>
      <c r="VQI219" s="347"/>
      <c r="VQJ219" s="347"/>
      <c r="VQK219" s="347"/>
      <c r="VQL219" s="347"/>
      <c r="VQM219" s="347"/>
      <c r="VQN219" s="347"/>
      <c r="VQO219" s="347"/>
      <c r="VQP219" s="347"/>
      <c r="VQQ219" s="347"/>
      <c r="VQR219" s="347"/>
      <c r="VQS219" s="347"/>
      <c r="VQT219" s="347"/>
      <c r="VQU219" s="347"/>
      <c r="VQV219" s="347"/>
      <c r="VQW219" s="347"/>
      <c r="VQX219" s="347"/>
      <c r="VQY219" s="347"/>
      <c r="VQZ219" s="347"/>
      <c r="VRA219" s="347"/>
      <c r="VRB219" s="347"/>
      <c r="VRC219" s="347"/>
      <c r="VRD219" s="347"/>
      <c r="VRE219" s="347"/>
      <c r="VRF219" s="347"/>
      <c r="VRG219" s="347"/>
      <c r="VRH219" s="347"/>
      <c r="VRI219" s="347"/>
      <c r="VRJ219" s="347"/>
      <c r="VRK219" s="347"/>
      <c r="VRL219" s="347"/>
      <c r="VRM219" s="347"/>
      <c r="VRN219" s="347"/>
      <c r="VRO219" s="347"/>
      <c r="VRP219" s="347"/>
      <c r="VRQ219" s="347"/>
      <c r="VRR219" s="347"/>
      <c r="VRS219" s="347"/>
      <c r="VRT219" s="347"/>
      <c r="VRU219" s="347"/>
      <c r="VRV219" s="347"/>
      <c r="VRW219" s="347"/>
      <c r="VRX219" s="347"/>
      <c r="VRY219" s="347"/>
      <c r="VRZ219" s="347"/>
      <c r="VSA219" s="347"/>
      <c r="VSB219" s="347"/>
      <c r="VSC219" s="347"/>
      <c r="VSD219" s="347"/>
      <c r="VSE219" s="347"/>
      <c r="VSF219" s="347"/>
      <c r="VSG219" s="347"/>
      <c r="VSH219" s="347"/>
      <c r="VSI219" s="347"/>
      <c r="VSJ219" s="347"/>
      <c r="VSK219" s="347"/>
      <c r="VSL219" s="347"/>
      <c r="VSM219" s="347"/>
      <c r="VSN219" s="347"/>
      <c r="VSO219" s="347"/>
      <c r="VSP219" s="347"/>
      <c r="VSQ219" s="347"/>
      <c r="VSR219" s="347"/>
      <c r="VSS219" s="347"/>
      <c r="VST219" s="347"/>
      <c r="VSU219" s="347"/>
      <c r="VSV219" s="347"/>
      <c r="VSW219" s="347"/>
      <c r="VSX219" s="347"/>
      <c r="VSY219" s="347"/>
      <c r="VSZ219" s="347"/>
      <c r="VTA219" s="347"/>
      <c r="VTB219" s="347"/>
      <c r="VTC219" s="347"/>
      <c r="VTD219" s="347"/>
      <c r="VTE219" s="347"/>
      <c r="VTF219" s="347"/>
      <c r="VTG219" s="347"/>
      <c r="VTH219" s="347"/>
      <c r="VTI219" s="347"/>
      <c r="VTJ219" s="347"/>
      <c r="VTK219" s="347"/>
      <c r="VTL219" s="347"/>
      <c r="VTM219" s="347"/>
      <c r="VTN219" s="347"/>
      <c r="VTO219" s="347"/>
      <c r="VTP219" s="347"/>
      <c r="VTQ219" s="347"/>
      <c r="VTR219" s="347"/>
      <c r="VTS219" s="347"/>
      <c r="VTT219" s="347"/>
      <c r="VTU219" s="347"/>
      <c r="VTV219" s="347"/>
      <c r="VTW219" s="347"/>
      <c r="VTX219" s="347"/>
      <c r="VTY219" s="347"/>
      <c r="VTZ219" s="347"/>
      <c r="VUA219" s="347"/>
      <c r="VUB219" s="347"/>
      <c r="VUC219" s="347"/>
      <c r="VUD219" s="347"/>
      <c r="VUE219" s="347"/>
      <c r="VUF219" s="347"/>
      <c r="VUG219" s="347"/>
      <c r="VUH219" s="347"/>
      <c r="VUI219" s="347"/>
      <c r="VUJ219" s="347"/>
      <c r="VUK219" s="347"/>
      <c r="VUL219" s="347"/>
      <c r="VUM219" s="347"/>
      <c r="VUN219" s="347"/>
      <c r="VUO219" s="347"/>
      <c r="VUP219" s="347"/>
      <c r="VUQ219" s="347"/>
      <c r="VUR219" s="347"/>
      <c r="VUS219" s="347"/>
      <c r="VUT219" s="347"/>
      <c r="VUU219" s="347"/>
      <c r="VUV219" s="347"/>
      <c r="VUW219" s="347"/>
      <c r="VUX219" s="347"/>
      <c r="VUY219" s="347"/>
      <c r="VUZ219" s="347"/>
      <c r="VVA219" s="347"/>
      <c r="VVB219" s="347"/>
      <c r="VVC219" s="347"/>
      <c r="VVD219" s="347"/>
      <c r="VVE219" s="347"/>
      <c r="VVF219" s="347"/>
      <c r="VVG219" s="347"/>
      <c r="VVH219" s="347"/>
      <c r="VVI219" s="347"/>
      <c r="VVJ219" s="347"/>
      <c r="VVK219" s="347"/>
      <c r="VVL219" s="347"/>
      <c r="VVM219" s="347"/>
      <c r="VVN219" s="347"/>
      <c r="VVO219" s="347"/>
      <c r="VVP219" s="347"/>
      <c r="VVQ219" s="347"/>
    </row>
    <row r="220" spans="2:103 15069:15461" s="3" customFormat="1">
      <c r="B220" s="121"/>
      <c r="C220" s="70" t="s">
        <v>24</v>
      </c>
      <c r="D220" s="14">
        <v>292</v>
      </c>
      <c r="E220" s="8" t="s">
        <v>22</v>
      </c>
      <c r="F220" s="2">
        <v>169.65369999999999</v>
      </c>
      <c r="G220" s="2">
        <v>174.50460000000001</v>
      </c>
      <c r="H220" s="67">
        <v>151.02430000000001</v>
      </c>
      <c r="I220" s="2">
        <v>153.2073</v>
      </c>
      <c r="J220" s="67">
        <v>95.433899999999994</v>
      </c>
      <c r="K220" s="68">
        <v>169.03880000000001</v>
      </c>
      <c r="L220" s="68">
        <v>211.8597</v>
      </c>
      <c r="M220" s="2">
        <v>200.7921</v>
      </c>
      <c r="N220" s="2">
        <v>189.49529999999999</v>
      </c>
      <c r="O220" s="2">
        <v>221.50399999999999</v>
      </c>
      <c r="P220" s="2">
        <v>215.39850000000001</v>
      </c>
      <c r="Q220" s="2">
        <v>210.38740000000001</v>
      </c>
      <c r="R220" s="2">
        <v>180.36799999999999</v>
      </c>
      <c r="S220" s="2">
        <v>87.663600000000002</v>
      </c>
      <c r="T220" s="2">
        <v>174.65979999999999</v>
      </c>
      <c r="U220" s="2">
        <v>140.2415</v>
      </c>
      <c r="V220" s="2">
        <v>167.3562</v>
      </c>
      <c r="W220" s="2">
        <v>181.72120000000001</v>
      </c>
      <c r="X220" s="2">
        <v>184.00620000000001</v>
      </c>
      <c r="Y220" s="2">
        <v>181.82310000000001</v>
      </c>
      <c r="Z220" s="2">
        <v>204.92509999999999</v>
      </c>
      <c r="AA220" s="2">
        <v>209.26419999999999</v>
      </c>
      <c r="AB220" s="2">
        <v>208.70310000000001</v>
      </c>
      <c r="AC220" s="238">
        <v>202.13740000000001</v>
      </c>
      <c r="AD220" s="239">
        <v>187.3434</v>
      </c>
      <c r="AE220" s="2">
        <v>225.0241</v>
      </c>
      <c r="AF220" s="2">
        <v>234.9633</v>
      </c>
      <c r="AG220" s="55">
        <v>205.56280000000001</v>
      </c>
      <c r="AH220" s="55">
        <v>213.23509999999999</v>
      </c>
      <c r="AI220" s="238">
        <v>276.22289999999998</v>
      </c>
      <c r="AJ220" s="296">
        <v>250.82650000000001</v>
      </c>
      <c r="AL220" s="240">
        <f>SUM(F220:AJ220)</f>
        <v>5878.347099999999</v>
      </c>
      <c r="CX220" s="317"/>
      <c r="CY220" s="16"/>
      <c r="VGO220" s="347"/>
      <c r="VGP220" s="347"/>
      <c r="VGQ220" s="347"/>
      <c r="VGR220" s="347"/>
      <c r="VGS220" s="347"/>
      <c r="VGT220" s="347"/>
      <c r="VGU220" s="347"/>
      <c r="VGV220" s="347"/>
      <c r="VGW220" s="347"/>
      <c r="VGX220" s="347"/>
      <c r="VGY220" s="347"/>
      <c r="VGZ220" s="347"/>
      <c r="VHA220" s="347"/>
      <c r="VHB220" s="347"/>
      <c r="VHC220" s="347"/>
      <c r="VHD220" s="347"/>
      <c r="VHE220" s="347"/>
      <c r="VHF220" s="347"/>
      <c r="VHG220" s="347"/>
      <c r="VHH220" s="347"/>
      <c r="VHI220" s="347"/>
      <c r="VHJ220" s="347"/>
      <c r="VHK220" s="347"/>
      <c r="VHL220" s="347"/>
      <c r="VHM220" s="347"/>
      <c r="VHN220" s="347"/>
      <c r="VHO220" s="347"/>
      <c r="VHP220" s="347"/>
      <c r="VHQ220" s="347"/>
      <c r="VHR220" s="347"/>
      <c r="VHS220" s="347"/>
      <c r="VHT220" s="347"/>
      <c r="VHU220" s="347"/>
      <c r="VHV220" s="347"/>
      <c r="VHW220" s="347"/>
      <c r="VHX220" s="347"/>
      <c r="VHY220" s="347"/>
      <c r="VHZ220" s="347"/>
      <c r="VIA220" s="347"/>
      <c r="VIB220" s="347"/>
      <c r="VIC220" s="347"/>
      <c r="VID220" s="347"/>
      <c r="VIE220" s="347"/>
      <c r="VIF220" s="347"/>
      <c r="VIG220" s="347"/>
      <c r="VIH220" s="347"/>
      <c r="VII220" s="347"/>
      <c r="VIJ220" s="347"/>
      <c r="VIK220" s="347"/>
      <c r="VIL220" s="347"/>
      <c r="VIM220" s="347"/>
      <c r="VIN220" s="347"/>
      <c r="VIO220" s="347"/>
      <c r="VIP220" s="347"/>
      <c r="VIQ220" s="347"/>
      <c r="VIR220" s="347"/>
      <c r="VIS220" s="347"/>
      <c r="VIT220" s="347"/>
      <c r="VIU220" s="347"/>
      <c r="VIV220" s="347"/>
      <c r="VIW220" s="347"/>
      <c r="VIX220" s="347"/>
      <c r="VIY220" s="347"/>
      <c r="VIZ220" s="347"/>
      <c r="VJA220" s="347"/>
      <c r="VJB220" s="347"/>
      <c r="VJC220" s="347"/>
      <c r="VJD220" s="347"/>
      <c r="VJE220" s="347"/>
      <c r="VJF220" s="347"/>
      <c r="VJG220" s="347"/>
      <c r="VJH220" s="347"/>
      <c r="VJI220" s="347"/>
      <c r="VJJ220" s="347"/>
      <c r="VJK220" s="347"/>
      <c r="VJL220" s="347"/>
      <c r="VJM220" s="347"/>
      <c r="VJN220" s="347"/>
      <c r="VJO220" s="347"/>
      <c r="VJP220" s="347"/>
      <c r="VJQ220" s="347"/>
      <c r="VJR220" s="347"/>
      <c r="VJS220" s="347"/>
      <c r="VJT220" s="347"/>
      <c r="VJU220" s="347"/>
      <c r="VJV220" s="347"/>
      <c r="VJW220" s="347"/>
      <c r="VJX220" s="347"/>
      <c r="VJY220" s="347"/>
      <c r="VJZ220" s="347"/>
      <c r="VKA220" s="347"/>
      <c r="VKB220" s="347"/>
      <c r="VKC220" s="347"/>
      <c r="VKD220" s="347"/>
      <c r="VKE220" s="347"/>
      <c r="VKF220" s="347"/>
      <c r="VKG220" s="347"/>
      <c r="VKH220" s="347"/>
      <c r="VKI220" s="347"/>
      <c r="VKJ220" s="347"/>
      <c r="VKK220" s="347"/>
      <c r="VKL220" s="347"/>
      <c r="VKM220" s="347"/>
      <c r="VKN220" s="347"/>
      <c r="VKO220" s="347"/>
      <c r="VKP220" s="347"/>
      <c r="VKQ220" s="347"/>
      <c r="VKR220" s="347"/>
      <c r="VKS220" s="347"/>
      <c r="VKT220" s="347"/>
      <c r="VKU220" s="347"/>
      <c r="VKV220" s="347"/>
      <c r="VKW220" s="347"/>
      <c r="VKX220" s="347"/>
      <c r="VKY220" s="347"/>
      <c r="VKZ220" s="347"/>
      <c r="VLA220" s="347"/>
      <c r="VLB220" s="347"/>
      <c r="VLC220" s="347"/>
      <c r="VLD220" s="347"/>
      <c r="VLE220" s="347"/>
      <c r="VLF220" s="347"/>
      <c r="VLG220" s="347"/>
      <c r="VLH220" s="347"/>
      <c r="VLI220" s="347"/>
      <c r="VLJ220" s="347"/>
      <c r="VLK220" s="347"/>
      <c r="VLL220" s="347"/>
      <c r="VLM220" s="347"/>
      <c r="VLN220" s="347"/>
      <c r="VLO220" s="347"/>
      <c r="VLP220" s="347"/>
      <c r="VLQ220" s="347"/>
      <c r="VLR220" s="347"/>
      <c r="VLS220" s="347"/>
      <c r="VLT220" s="347"/>
      <c r="VLU220" s="347"/>
      <c r="VLV220" s="347"/>
      <c r="VLW220" s="347"/>
      <c r="VLX220" s="347"/>
      <c r="VLY220" s="347"/>
      <c r="VLZ220" s="347"/>
      <c r="VMA220" s="347"/>
      <c r="VMB220" s="347"/>
      <c r="VMC220" s="347"/>
      <c r="VMD220" s="347"/>
      <c r="VME220" s="347"/>
      <c r="VMF220" s="347"/>
      <c r="VMG220" s="347"/>
      <c r="VMH220" s="347"/>
      <c r="VMI220" s="347"/>
      <c r="VMJ220" s="347"/>
      <c r="VMK220" s="347"/>
      <c r="VML220" s="347"/>
      <c r="VMM220" s="347"/>
      <c r="VMN220" s="347"/>
      <c r="VMO220" s="347"/>
      <c r="VMP220" s="347"/>
      <c r="VMQ220" s="347"/>
      <c r="VMR220" s="347"/>
      <c r="VMS220" s="347"/>
      <c r="VMT220" s="347"/>
      <c r="VMU220" s="347"/>
      <c r="VMV220" s="347"/>
      <c r="VMW220" s="347"/>
      <c r="VMX220" s="347"/>
      <c r="VMY220" s="347"/>
      <c r="VMZ220" s="347"/>
      <c r="VNA220" s="347"/>
      <c r="VNB220" s="347"/>
      <c r="VNC220" s="347"/>
      <c r="VND220" s="347"/>
      <c r="VNE220" s="347"/>
      <c r="VNF220" s="347"/>
      <c r="VNG220" s="347"/>
      <c r="VNH220" s="347"/>
      <c r="VNI220" s="347"/>
      <c r="VNJ220" s="347"/>
      <c r="VNK220" s="347"/>
      <c r="VNL220" s="347"/>
      <c r="VNM220" s="347"/>
      <c r="VNN220" s="347"/>
      <c r="VNO220" s="347"/>
      <c r="VNP220" s="347"/>
      <c r="VNQ220" s="347"/>
      <c r="VNR220" s="347"/>
      <c r="VNS220" s="347"/>
      <c r="VNT220" s="347"/>
      <c r="VNU220" s="347"/>
      <c r="VNV220" s="347"/>
      <c r="VNW220" s="347"/>
      <c r="VNX220" s="347"/>
      <c r="VNY220" s="347"/>
      <c r="VNZ220" s="347"/>
      <c r="VOA220" s="347"/>
      <c r="VOB220" s="347"/>
      <c r="VOC220" s="347"/>
      <c r="VOD220" s="347"/>
      <c r="VOE220" s="347"/>
      <c r="VOF220" s="347"/>
      <c r="VOG220" s="347"/>
      <c r="VOH220" s="347"/>
      <c r="VOI220" s="347"/>
      <c r="VOJ220" s="347"/>
      <c r="VOK220" s="347"/>
      <c r="VOL220" s="347"/>
      <c r="VOM220" s="347"/>
      <c r="VON220" s="347"/>
      <c r="VOO220" s="347"/>
      <c r="VOP220" s="347"/>
      <c r="VOQ220" s="347"/>
      <c r="VOR220" s="347"/>
      <c r="VOS220" s="347"/>
      <c r="VOT220" s="347"/>
      <c r="VOU220" s="347"/>
      <c r="VOV220" s="347"/>
      <c r="VOW220" s="347"/>
      <c r="VOX220" s="347"/>
      <c r="VOY220" s="347"/>
      <c r="VOZ220" s="347"/>
      <c r="VPA220" s="347"/>
      <c r="VPB220" s="347"/>
      <c r="VPC220" s="347"/>
      <c r="VPD220" s="347"/>
      <c r="VPE220" s="347"/>
      <c r="VPF220" s="347"/>
      <c r="VPG220" s="347"/>
      <c r="VPH220" s="347"/>
      <c r="VPI220" s="347"/>
      <c r="VPJ220" s="347"/>
      <c r="VPK220" s="347"/>
      <c r="VPL220" s="347"/>
      <c r="VPM220" s="347"/>
      <c r="VPN220" s="347"/>
      <c r="VPO220" s="347"/>
      <c r="VPP220" s="347"/>
      <c r="VPQ220" s="347"/>
      <c r="VPR220" s="347"/>
      <c r="VPS220" s="347"/>
      <c r="VPT220" s="347"/>
      <c r="VPU220" s="347"/>
      <c r="VPV220" s="347"/>
      <c r="VPW220" s="347"/>
      <c r="VPX220" s="347"/>
      <c r="VPY220" s="347"/>
      <c r="VPZ220" s="347"/>
      <c r="VQA220" s="347"/>
      <c r="VQB220" s="347"/>
      <c r="VQC220" s="347"/>
      <c r="VQD220" s="347"/>
      <c r="VQE220" s="347"/>
      <c r="VQF220" s="347"/>
      <c r="VQG220" s="347"/>
      <c r="VQH220" s="347"/>
      <c r="VQI220" s="347"/>
      <c r="VQJ220" s="347"/>
      <c r="VQK220" s="347"/>
      <c r="VQL220" s="347"/>
      <c r="VQM220" s="347"/>
      <c r="VQN220" s="347"/>
      <c r="VQO220" s="347"/>
      <c r="VQP220" s="347"/>
      <c r="VQQ220" s="347"/>
      <c r="VQR220" s="347"/>
      <c r="VQS220" s="347"/>
      <c r="VQT220" s="347"/>
      <c r="VQU220" s="347"/>
      <c r="VQV220" s="347"/>
      <c r="VQW220" s="347"/>
      <c r="VQX220" s="347"/>
      <c r="VQY220" s="347"/>
      <c r="VQZ220" s="347"/>
      <c r="VRA220" s="347"/>
      <c r="VRB220" s="347"/>
      <c r="VRC220" s="347"/>
      <c r="VRD220" s="347"/>
      <c r="VRE220" s="347"/>
      <c r="VRF220" s="347"/>
      <c r="VRG220" s="347"/>
      <c r="VRH220" s="347"/>
      <c r="VRI220" s="347"/>
      <c r="VRJ220" s="347"/>
      <c r="VRK220" s="347"/>
      <c r="VRL220" s="347"/>
      <c r="VRM220" s="347"/>
      <c r="VRN220" s="347"/>
      <c r="VRO220" s="347"/>
      <c r="VRP220" s="347"/>
      <c r="VRQ220" s="347"/>
      <c r="VRR220" s="347"/>
      <c r="VRS220" s="347"/>
      <c r="VRT220" s="347"/>
      <c r="VRU220" s="347"/>
      <c r="VRV220" s="347"/>
      <c r="VRW220" s="347"/>
      <c r="VRX220" s="347"/>
      <c r="VRY220" s="347"/>
      <c r="VRZ220" s="347"/>
      <c r="VSA220" s="347"/>
      <c r="VSB220" s="347"/>
      <c r="VSC220" s="347"/>
      <c r="VSD220" s="347"/>
      <c r="VSE220" s="347"/>
      <c r="VSF220" s="347"/>
      <c r="VSG220" s="347"/>
      <c r="VSH220" s="347"/>
      <c r="VSI220" s="347"/>
      <c r="VSJ220" s="347"/>
      <c r="VSK220" s="347"/>
      <c r="VSL220" s="347"/>
      <c r="VSM220" s="347"/>
      <c r="VSN220" s="347"/>
      <c r="VSO220" s="347"/>
      <c r="VSP220" s="347"/>
      <c r="VSQ220" s="347"/>
      <c r="VSR220" s="347"/>
      <c r="VSS220" s="347"/>
      <c r="VST220" s="347"/>
      <c r="VSU220" s="347"/>
      <c r="VSV220" s="347"/>
      <c r="VSW220" s="347"/>
      <c r="VSX220" s="347"/>
      <c r="VSY220" s="347"/>
      <c r="VSZ220" s="347"/>
      <c r="VTA220" s="347"/>
      <c r="VTB220" s="347"/>
      <c r="VTC220" s="347"/>
      <c r="VTD220" s="347"/>
      <c r="VTE220" s="347"/>
      <c r="VTF220" s="347"/>
      <c r="VTG220" s="347"/>
      <c r="VTH220" s="347"/>
      <c r="VTI220" s="347"/>
      <c r="VTJ220" s="347"/>
      <c r="VTK220" s="347"/>
      <c r="VTL220" s="347"/>
      <c r="VTM220" s="347"/>
      <c r="VTN220" s="347"/>
      <c r="VTO220" s="347"/>
      <c r="VTP220" s="347"/>
      <c r="VTQ220" s="347"/>
      <c r="VTR220" s="347"/>
      <c r="VTS220" s="347"/>
      <c r="VTT220" s="347"/>
      <c r="VTU220" s="347"/>
      <c r="VTV220" s="347"/>
      <c r="VTW220" s="347"/>
      <c r="VTX220" s="347"/>
      <c r="VTY220" s="347"/>
      <c r="VTZ220" s="347"/>
      <c r="VUA220" s="347"/>
      <c r="VUB220" s="347"/>
      <c r="VUC220" s="347"/>
      <c r="VUD220" s="347"/>
      <c r="VUE220" s="347"/>
      <c r="VUF220" s="347"/>
      <c r="VUG220" s="347"/>
      <c r="VUH220" s="347"/>
      <c r="VUI220" s="347"/>
      <c r="VUJ220" s="347"/>
      <c r="VUK220" s="347"/>
      <c r="VUL220" s="347"/>
      <c r="VUM220" s="347"/>
      <c r="VUN220" s="347"/>
      <c r="VUO220" s="347"/>
      <c r="VUP220" s="347"/>
      <c r="VUQ220" s="347"/>
      <c r="VUR220" s="347"/>
      <c r="VUS220" s="347"/>
      <c r="VUT220" s="347"/>
      <c r="VUU220" s="347"/>
      <c r="VUV220" s="347"/>
      <c r="VUW220" s="347"/>
      <c r="VUX220" s="347"/>
      <c r="VUY220" s="347"/>
      <c r="VUZ220" s="347"/>
      <c r="VVA220" s="347"/>
      <c r="VVB220" s="347"/>
      <c r="VVC220" s="347"/>
      <c r="VVD220" s="347"/>
      <c r="VVE220" s="347"/>
      <c r="VVF220" s="347"/>
      <c r="VVG220" s="347"/>
      <c r="VVH220" s="347"/>
      <c r="VVI220" s="347"/>
      <c r="VVJ220" s="347"/>
      <c r="VVK220" s="347"/>
      <c r="VVL220" s="347"/>
      <c r="VVM220" s="347"/>
      <c r="VVN220" s="347"/>
      <c r="VVO220" s="347"/>
      <c r="VVP220" s="347"/>
      <c r="VVQ220" s="347"/>
    </row>
    <row r="221" spans="2:103 15069:15461" s="3" customFormat="1">
      <c r="B221" s="121"/>
      <c r="C221" s="70" t="s">
        <v>23</v>
      </c>
      <c r="D221" s="14">
        <v>1168.001</v>
      </c>
      <c r="E221" s="8" t="s">
        <v>22</v>
      </c>
      <c r="F221" s="2">
        <f t="shared" ref="F221:AH221" si="101">F222-F220</f>
        <v>1009.3243000000001</v>
      </c>
      <c r="G221" s="67">
        <f t="shared" si="101"/>
        <v>1077.1694</v>
      </c>
      <c r="H221" s="67">
        <f t="shared" si="101"/>
        <v>1066.9524999999999</v>
      </c>
      <c r="I221" s="2">
        <f t="shared" si="101"/>
        <v>1021.0355</v>
      </c>
      <c r="J221" s="67">
        <f t="shared" si="101"/>
        <v>1111.7432000000001</v>
      </c>
      <c r="K221" s="68">
        <f t="shared" si="101"/>
        <v>807.98439999999994</v>
      </c>
      <c r="L221" s="68">
        <f t="shared" si="101"/>
        <v>1347.2852</v>
      </c>
      <c r="M221" s="2">
        <f t="shared" si="101"/>
        <v>1310.0794000000001</v>
      </c>
      <c r="N221" s="2">
        <f t="shared" si="101"/>
        <v>1176.0189</v>
      </c>
      <c r="O221" s="2">
        <f t="shared" si="101"/>
        <v>1174.712</v>
      </c>
      <c r="P221" s="2">
        <f t="shared" si="101"/>
        <v>1152.0102999999999</v>
      </c>
      <c r="Q221" s="2">
        <f>Q222-Q220</f>
        <v>1140.6225999999999</v>
      </c>
      <c r="R221" s="2">
        <f>R222-R220</f>
        <v>1073.7730000000001</v>
      </c>
      <c r="S221" s="2">
        <f t="shared" si="101"/>
        <v>988.27760000000001</v>
      </c>
      <c r="T221" s="2">
        <f t="shared" si="101"/>
        <v>1144.4329</v>
      </c>
      <c r="U221" s="2">
        <f t="shared" si="101"/>
        <v>1167.1831999999999</v>
      </c>
      <c r="V221" s="2">
        <f t="shared" si="101"/>
        <v>1126.5395000000001</v>
      </c>
      <c r="W221" s="2">
        <f t="shared" si="101"/>
        <v>1189.4541000000002</v>
      </c>
      <c r="X221" s="2">
        <f t="shared" si="101"/>
        <v>1086.5524</v>
      </c>
      <c r="Y221" s="2">
        <f t="shared" si="101"/>
        <v>1077.2084</v>
      </c>
      <c r="Z221" s="2">
        <f t="shared" si="101"/>
        <v>1105.3409000000001</v>
      </c>
      <c r="AA221" s="2">
        <f t="shared" si="101"/>
        <v>1249.771</v>
      </c>
      <c r="AB221" s="2">
        <f t="shared" si="101"/>
        <v>1245.6147000000001</v>
      </c>
      <c r="AC221" s="2">
        <f t="shared" si="101"/>
        <v>1195.0848999999998</v>
      </c>
      <c r="AD221" s="2">
        <f t="shared" si="101"/>
        <v>1167.2915</v>
      </c>
      <c r="AE221" s="2">
        <f t="shared" si="101"/>
        <v>1207.3077999999998</v>
      </c>
      <c r="AF221" s="2">
        <f t="shared" si="101"/>
        <v>1188.6747999999998</v>
      </c>
      <c r="AG221" s="2">
        <f t="shared" si="101"/>
        <v>1191.3939</v>
      </c>
      <c r="AH221" s="2">
        <f t="shared" si="101"/>
        <v>1024.8856000000001</v>
      </c>
      <c r="AI221" s="2">
        <f>AI222-AI220</f>
        <v>1027.5328</v>
      </c>
      <c r="AJ221" s="63">
        <f>AJ222-AJ220</f>
        <v>1110.8793999999998</v>
      </c>
      <c r="AL221" s="240">
        <f>SUM(F221:AJ221)</f>
        <v>34962.136100000003</v>
      </c>
      <c r="CY221" s="16"/>
      <c r="VGO221" s="347"/>
      <c r="VGP221" s="347"/>
      <c r="VGQ221" s="347"/>
      <c r="VGR221" s="347"/>
      <c r="VGS221" s="347"/>
      <c r="VGT221" s="347"/>
      <c r="VGU221" s="347"/>
      <c r="VGV221" s="347"/>
      <c r="VGW221" s="347"/>
      <c r="VGX221" s="347"/>
      <c r="VGY221" s="347"/>
      <c r="VGZ221" s="347"/>
      <c r="VHA221" s="347"/>
      <c r="VHB221" s="347"/>
      <c r="VHC221" s="347"/>
      <c r="VHD221" s="347"/>
      <c r="VHE221" s="347"/>
      <c r="VHF221" s="347"/>
      <c r="VHG221" s="347"/>
      <c r="VHH221" s="347"/>
      <c r="VHI221" s="347"/>
      <c r="VHJ221" s="347"/>
      <c r="VHK221" s="347"/>
      <c r="VHL221" s="347"/>
      <c r="VHM221" s="347"/>
      <c r="VHN221" s="347"/>
      <c r="VHO221" s="347"/>
      <c r="VHP221" s="347"/>
      <c r="VHQ221" s="347"/>
      <c r="VHR221" s="347"/>
      <c r="VHS221" s="347"/>
      <c r="VHT221" s="347"/>
      <c r="VHU221" s="347"/>
      <c r="VHV221" s="347"/>
      <c r="VHW221" s="347"/>
      <c r="VHX221" s="347"/>
      <c r="VHY221" s="347"/>
      <c r="VHZ221" s="347"/>
      <c r="VIA221" s="347"/>
      <c r="VIB221" s="347"/>
      <c r="VIC221" s="347"/>
      <c r="VID221" s="347"/>
      <c r="VIE221" s="347"/>
      <c r="VIF221" s="347"/>
      <c r="VIG221" s="347"/>
      <c r="VIH221" s="347"/>
      <c r="VII221" s="347"/>
      <c r="VIJ221" s="347"/>
      <c r="VIK221" s="347"/>
      <c r="VIL221" s="347"/>
      <c r="VIM221" s="347"/>
      <c r="VIN221" s="347"/>
      <c r="VIO221" s="347"/>
      <c r="VIP221" s="347"/>
      <c r="VIQ221" s="347"/>
      <c r="VIR221" s="347"/>
      <c r="VIS221" s="347"/>
      <c r="VIT221" s="347"/>
      <c r="VIU221" s="347"/>
      <c r="VIV221" s="347"/>
      <c r="VIW221" s="347"/>
      <c r="VIX221" s="347"/>
      <c r="VIY221" s="347"/>
      <c r="VIZ221" s="347"/>
      <c r="VJA221" s="347"/>
      <c r="VJB221" s="347"/>
      <c r="VJC221" s="347"/>
      <c r="VJD221" s="347"/>
      <c r="VJE221" s="347"/>
      <c r="VJF221" s="347"/>
      <c r="VJG221" s="347"/>
      <c r="VJH221" s="347"/>
      <c r="VJI221" s="347"/>
      <c r="VJJ221" s="347"/>
      <c r="VJK221" s="347"/>
      <c r="VJL221" s="347"/>
      <c r="VJM221" s="347"/>
      <c r="VJN221" s="347"/>
      <c r="VJO221" s="347"/>
      <c r="VJP221" s="347"/>
      <c r="VJQ221" s="347"/>
      <c r="VJR221" s="347"/>
      <c r="VJS221" s="347"/>
      <c r="VJT221" s="347"/>
      <c r="VJU221" s="347"/>
      <c r="VJV221" s="347"/>
      <c r="VJW221" s="347"/>
      <c r="VJX221" s="347"/>
      <c r="VJY221" s="347"/>
      <c r="VJZ221" s="347"/>
      <c r="VKA221" s="347"/>
      <c r="VKB221" s="347"/>
      <c r="VKC221" s="347"/>
      <c r="VKD221" s="347"/>
      <c r="VKE221" s="347"/>
      <c r="VKF221" s="347"/>
      <c r="VKG221" s="347"/>
      <c r="VKH221" s="347"/>
      <c r="VKI221" s="347"/>
      <c r="VKJ221" s="347"/>
      <c r="VKK221" s="347"/>
      <c r="VKL221" s="347"/>
      <c r="VKM221" s="347"/>
      <c r="VKN221" s="347"/>
      <c r="VKO221" s="347"/>
      <c r="VKP221" s="347"/>
      <c r="VKQ221" s="347"/>
      <c r="VKR221" s="347"/>
      <c r="VKS221" s="347"/>
      <c r="VKT221" s="347"/>
      <c r="VKU221" s="347"/>
      <c r="VKV221" s="347"/>
      <c r="VKW221" s="347"/>
      <c r="VKX221" s="347"/>
      <c r="VKY221" s="347"/>
      <c r="VKZ221" s="347"/>
      <c r="VLA221" s="347"/>
      <c r="VLB221" s="347"/>
      <c r="VLC221" s="347"/>
      <c r="VLD221" s="347"/>
      <c r="VLE221" s="347"/>
      <c r="VLF221" s="347"/>
      <c r="VLG221" s="347"/>
      <c r="VLH221" s="347"/>
      <c r="VLI221" s="347"/>
      <c r="VLJ221" s="347"/>
      <c r="VLK221" s="347"/>
      <c r="VLL221" s="347"/>
      <c r="VLM221" s="347"/>
      <c r="VLN221" s="347"/>
      <c r="VLO221" s="347"/>
      <c r="VLP221" s="347"/>
      <c r="VLQ221" s="347"/>
      <c r="VLR221" s="347"/>
      <c r="VLS221" s="347"/>
      <c r="VLT221" s="347"/>
      <c r="VLU221" s="347"/>
      <c r="VLV221" s="347"/>
      <c r="VLW221" s="347"/>
      <c r="VLX221" s="347"/>
      <c r="VLY221" s="347"/>
      <c r="VLZ221" s="347"/>
      <c r="VMA221" s="347"/>
      <c r="VMB221" s="347"/>
      <c r="VMC221" s="347"/>
      <c r="VMD221" s="347"/>
      <c r="VME221" s="347"/>
      <c r="VMF221" s="347"/>
      <c r="VMG221" s="347"/>
      <c r="VMH221" s="347"/>
      <c r="VMI221" s="347"/>
      <c r="VMJ221" s="347"/>
      <c r="VMK221" s="347"/>
      <c r="VML221" s="347"/>
      <c r="VMM221" s="347"/>
      <c r="VMN221" s="347"/>
      <c r="VMO221" s="347"/>
      <c r="VMP221" s="347"/>
      <c r="VMQ221" s="347"/>
      <c r="VMR221" s="347"/>
      <c r="VMS221" s="347"/>
      <c r="VMT221" s="347"/>
      <c r="VMU221" s="347"/>
      <c r="VMV221" s="347"/>
      <c r="VMW221" s="347"/>
      <c r="VMX221" s="347"/>
      <c r="VMY221" s="347"/>
      <c r="VMZ221" s="347"/>
      <c r="VNA221" s="347"/>
      <c r="VNB221" s="347"/>
      <c r="VNC221" s="347"/>
      <c r="VND221" s="347"/>
      <c r="VNE221" s="347"/>
      <c r="VNF221" s="347"/>
      <c r="VNG221" s="347"/>
      <c r="VNH221" s="347"/>
      <c r="VNI221" s="347"/>
      <c r="VNJ221" s="347"/>
      <c r="VNK221" s="347"/>
      <c r="VNL221" s="347"/>
      <c r="VNM221" s="347"/>
      <c r="VNN221" s="347"/>
      <c r="VNO221" s="347"/>
      <c r="VNP221" s="347"/>
      <c r="VNQ221" s="347"/>
      <c r="VNR221" s="347"/>
      <c r="VNS221" s="347"/>
      <c r="VNT221" s="347"/>
      <c r="VNU221" s="347"/>
      <c r="VNV221" s="347"/>
      <c r="VNW221" s="347"/>
      <c r="VNX221" s="347"/>
      <c r="VNY221" s="347"/>
      <c r="VNZ221" s="347"/>
      <c r="VOA221" s="347"/>
      <c r="VOB221" s="347"/>
      <c r="VOC221" s="347"/>
      <c r="VOD221" s="347"/>
      <c r="VOE221" s="347"/>
      <c r="VOF221" s="347"/>
      <c r="VOG221" s="347"/>
      <c r="VOH221" s="347"/>
      <c r="VOI221" s="347"/>
      <c r="VOJ221" s="347"/>
      <c r="VOK221" s="347"/>
      <c r="VOL221" s="347"/>
      <c r="VOM221" s="347"/>
      <c r="VON221" s="347"/>
      <c r="VOO221" s="347"/>
      <c r="VOP221" s="347"/>
      <c r="VOQ221" s="347"/>
      <c r="VOR221" s="347"/>
      <c r="VOS221" s="347"/>
      <c r="VOT221" s="347"/>
      <c r="VOU221" s="347"/>
      <c r="VOV221" s="347"/>
      <c r="VOW221" s="347"/>
      <c r="VOX221" s="347"/>
      <c r="VOY221" s="347"/>
      <c r="VOZ221" s="347"/>
      <c r="VPA221" s="347"/>
      <c r="VPB221" s="347"/>
      <c r="VPC221" s="347"/>
      <c r="VPD221" s="347"/>
      <c r="VPE221" s="347"/>
      <c r="VPF221" s="347"/>
      <c r="VPG221" s="347"/>
      <c r="VPH221" s="347"/>
      <c r="VPI221" s="347"/>
      <c r="VPJ221" s="347"/>
      <c r="VPK221" s="347"/>
      <c r="VPL221" s="347"/>
      <c r="VPM221" s="347"/>
      <c r="VPN221" s="347"/>
      <c r="VPO221" s="347"/>
      <c r="VPP221" s="347"/>
      <c r="VPQ221" s="347"/>
      <c r="VPR221" s="347"/>
      <c r="VPS221" s="347"/>
      <c r="VPT221" s="347"/>
      <c r="VPU221" s="347"/>
      <c r="VPV221" s="347"/>
      <c r="VPW221" s="347"/>
      <c r="VPX221" s="347"/>
      <c r="VPY221" s="347"/>
      <c r="VPZ221" s="347"/>
      <c r="VQA221" s="347"/>
      <c r="VQB221" s="347"/>
      <c r="VQC221" s="347"/>
      <c r="VQD221" s="347"/>
      <c r="VQE221" s="347"/>
      <c r="VQF221" s="347"/>
      <c r="VQG221" s="347"/>
      <c r="VQH221" s="347"/>
      <c r="VQI221" s="347"/>
      <c r="VQJ221" s="347"/>
      <c r="VQK221" s="347"/>
      <c r="VQL221" s="347"/>
      <c r="VQM221" s="347"/>
      <c r="VQN221" s="347"/>
      <c r="VQO221" s="347"/>
      <c r="VQP221" s="347"/>
      <c r="VQQ221" s="347"/>
      <c r="VQR221" s="347"/>
      <c r="VQS221" s="347"/>
      <c r="VQT221" s="347"/>
      <c r="VQU221" s="347"/>
      <c r="VQV221" s="347"/>
      <c r="VQW221" s="347"/>
      <c r="VQX221" s="347"/>
      <c r="VQY221" s="347"/>
      <c r="VQZ221" s="347"/>
      <c r="VRA221" s="347"/>
      <c r="VRB221" s="347"/>
      <c r="VRC221" s="347"/>
      <c r="VRD221" s="347"/>
      <c r="VRE221" s="347"/>
      <c r="VRF221" s="347"/>
      <c r="VRG221" s="347"/>
      <c r="VRH221" s="347"/>
      <c r="VRI221" s="347"/>
      <c r="VRJ221" s="347"/>
      <c r="VRK221" s="347"/>
      <c r="VRL221" s="347"/>
      <c r="VRM221" s="347"/>
      <c r="VRN221" s="347"/>
      <c r="VRO221" s="347"/>
      <c r="VRP221" s="347"/>
      <c r="VRQ221" s="347"/>
      <c r="VRR221" s="347"/>
      <c r="VRS221" s="347"/>
      <c r="VRT221" s="347"/>
      <c r="VRU221" s="347"/>
      <c r="VRV221" s="347"/>
      <c r="VRW221" s="347"/>
      <c r="VRX221" s="347"/>
      <c r="VRY221" s="347"/>
      <c r="VRZ221" s="347"/>
      <c r="VSA221" s="347"/>
      <c r="VSB221" s="347"/>
      <c r="VSC221" s="347"/>
      <c r="VSD221" s="347"/>
      <c r="VSE221" s="347"/>
      <c r="VSF221" s="347"/>
      <c r="VSG221" s="347"/>
      <c r="VSH221" s="347"/>
      <c r="VSI221" s="347"/>
      <c r="VSJ221" s="347"/>
      <c r="VSK221" s="347"/>
      <c r="VSL221" s="347"/>
      <c r="VSM221" s="347"/>
      <c r="VSN221" s="347"/>
      <c r="VSO221" s="347"/>
      <c r="VSP221" s="347"/>
      <c r="VSQ221" s="347"/>
      <c r="VSR221" s="347"/>
      <c r="VSS221" s="347"/>
      <c r="VST221" s="347"/>
      <c r="VSU221" s="347"/>
      <c r="VSV221" s="347"/>
      <c r="VSW221" s="347"/>
      <c r="VSX221" s="347"/>
      <c r="VSY221" s="347"/>
      <c r="VSZ221" s="347"/>
      <c r="VTA221" s="347"/>
      <c r="VTB221" s="347"/>
      <c r="VTC221" s="347"/>
      <c r="VTD221" s="347"/>
      <c r="VTE221" s="347"/>
      <c r="VTF221" s="347"/>
      <c r="VTG221" s="347"/>
      <c r="VTH221" s="347"/>
      <c r="VTI221" s="347"/>
      <c r="VTJ221" s="347"/>
      <c r="VTK221" s="347"/>
      <c r="VTL221" s="347"/>
      <c r="VTM221" s="347"/>
      <c r="VTN221" s="347"/>
      <c r="VTO221" s="347"/>
      <c r="VTP221" s="347"/>
      <c r="VTQ221" s="347"/>
      <c r="VTR221" s="347"/>
      <c r="VTS221" s="347"/>
      <c r="VTT221" s="347"/>
      <c r="VTU221" s="347"/>
      <c r="VTV221" s="347"/>
      <c r="VTW221" s="347"/>
      <c r="VTX221" s="347"/>
      <c r="VTY221" s="347"/>
      <c r="VTZ221" s="347"/>
      <c r="VUA221" s="347"/>
      <c r="VUB221" s="347"/>
      <c r="VUC221" s="347"/>
      <c r="VUD221" s="347"/>
      <c r="VUE221" s="347"/>
      <c r="VUF221" s="347"/>
      <c r="VUG221" s="347"/>
      <c r="VUH221" s="347"/>
      <c r="VUI221" s="347"/>
      <c r="VUJ221" s="347"/>
      <c r="VUK221" s="347"/>
      <c r="VUL221" s="347"/>
      <c r="VUM221" s="347"/>
      <c r="VUN221" s="347"/>
      <c r="VUO221" s="347"/>
      <c r="VUP221" s="347"/>
      <c r="VUQ221" s="347"/>
      <c r="VUR221" s="347"/>
      <c r="VUS221" s="347"/>
      <c r="VUT221" s="347"/>
      <c r="VUU221" s="347"/>
      <c r="VUV221" s="347"/>
      <c r="VUW221" s="347"/>
      <c r="VUX221" s="347"/>
      <c r="VUY221" s="347"/>
      <c r="VUZ221" s="347"/>
      <c r="VVA221" s="347"/>
      <c r="VVB221" s="347"/>
      <c r="VVC221" s="347"/>
      <c r="VVD221" s="347"/>
      <c r="VVE221" s="347"/>
      <c r="VVF221" s="347"/>
      <c r="VVG221" s="347"/>
      <c r="VVH221" s="347"/>
      <c r="VVI221" s="347"/>
      <c r="VVJ221" s="347"/>
      <c r="VVK221" s="347"/>
      <c r="VVL221" s="347"/>
      <c r="VVM221" s="347"/>
      <c r="VVN221" s="347"/>
      <c r="VVO221" s="347"/>
      <c r="VVP221" s="347"/>
      <c r="VVQ221" s="347"/>
    </row>
    <row r="222" spans="2:103 15069:15461" s="198" customFormat="1" thickBot="1">
      <c r="B222" s="241"/>
      <c r="C222" s="242" t="s">
        <v>1</v>
      </c>
      <c r="D222" s="243">
        <f>SUM(D220:D221)</f>
        <v>1460.001</v>
      </c>
      <c r="E222" s="177" t="s">
        <v>22</v>
      </c>
      <c r="F222" s="244">
        <f t="shared" ref="F222:AH222" si="102">F218</f>
        <v>1178.9780000000001</v>
      </c>
      <c r="G222" s="245">
        <f t="shared" si="102"/>
        <v>1251.674</v>
      </c>
      <c r="H222" s="245">
        <f t="shared" si="102"/>
        <v>1217.9767999999999</v>
      </c>
      <c r="I222" s="244">
        <f t="shared" si="102"/>
        <v>1174.2428</v>
      </c>
      <c r="J222" s="244">
        <f>J218</f>
        <v>1207.1771000000001</v>
      </c>
      <c r="K222" s="244">
        <f t="shared" si="102"/>
        <v>977.02319999999997</v>
      </c>
      <c r="L222" s="244">
        <f t="shared" si="102"/>
        <v>1559.1449</v>
      </c>
      <c r="M222" s="244">
        <f t="shared" si="102"/>
        <v>1510.8715</v>
      </c>
      <c r="N222" s="244">
        <f t="shared" si="102"/>
        <v>1365.5142000000001</v>
      </c>
      <c r="O222" s="244">
        <f t="shared" si="102"/>
        <v>1396.2159999999999</v>
      </c>
      <c r="P222" s="244">
        <f t="shared" si="102"/>
        <v>1367.4087999999999</v>
      </c>
      <c r="Q222" s="244">
        <f>Q218</f>
        <v>1351.01</v>
      </c>
      <c r="R222" s="244">
        <f>R218</f>
        <v>1254.1410000000001</v>
      </c>
      <c r="S222" s="244">
        <f t="shared" si="102"/>
        <v>1075.9412</v>
      </c>
      <c r="T222" s="244">
        <f t="shared" si="102"/>
        <v>1319.0926999999999</v>
      </c>
      <c r="U222" s="244">
        <f t="shared" si="102"/>
        <v>1307.4247</v>
      </c>
      <c r="V222" s="244">
        <f t="shared" si="102"/>
        <v>1293.8957</v>
      </c>
      <c r="W222" s="244">
        <f t="shared" si="102"/>
        <v>1371.1753000000001</v>
      </c>
      <c r="X222" s="244">
        <f t="shared" si="102"/>
        <v>1270.5586000000001</v>
      </c>
      <c r="Y222" s="244">
        <f t="shared" si="102"/>
        <v>1259.0315000000001</v>
      </c>
      <c r="Z222" s="244">
        <f t="shared" si="102"/>
        <v>1310.2660000000001</v>
      </c>
      <c r="AA222" s="244">
        <f t="shared" si="102"/>
        <v>1459.0352</v>
      </c>
      <c r="AB222" s="244">
        <f t="shared" si="102"/>
        <v>1454.3178</v>
      </c>
      <c r="AC222" s="244">
        <f t="shared" si="102"/>
        <v>1397.2222999999999</v>
      </c>
      <c r="AD222" s="244">
        <f t="shared" si="102"/>
        <v>1354.6349</v>
      </c>
      <c r="AE222" s="244">
        <f t="shared" si="102"/>
        <v>1432.3318999999999</v>
      </c>
      <c r="AF222" s="244">
        <f t="shared" si="102"/>
        <v>1423.6380999999999</v>
      </c>
      <c r="AG222" s="244">
        <f t="shared" si="102"/>
        <v>1396.9567</v>
      </c>
      <c r="AH222" s="244">
        <f t="shared" si="102"/>
        <v>1238.1206999999999</v>
      </c>
      <c r="AI222" s="244">
        <f>AI218</f>
        <v>1303.7556999999999</v>
      </c>
      <c r="AJ222" s="246">
        <f>AJ218</f>
        <v>1361.7058999999999</v>
      </c>
      <c r="AL222" s="247">
        <f>SUM(AL220:AL221)</f>
        <v>40840.483200000002</v>
      </c>
      <c r="CY222" s="318"/>
    </row>
    <row r="223" spans="2:103 15069:15461" s="198" customFormat="1" ht="13.8">
      <c r="B223" s="69">
        <v>9</v>
      </c>
      <c r="C223" s="248" t="s">
        <v>21</v>
      </c>
      <c r="D223" s="249"/>
      <c r="E223" s="249"/>
      <c r="F223" s="250"/>
      <c r="G223" s="250"/>
      <c r="H223" s="250"/>
      <c r="I223" s="250"/>
      <c r="J223" s="250"/>
      <c r="K223" s="250"/>
      <c r="L223" s="250"/>
      <c r="M223" s="250"/>
      <c r="N223" s="250"/>
      <c r="O223" s="250"/>
      <c r="P223" s="250"/>
      <c r="Q223" s="250"/>
      <c r="R223" s="250"/>
      <c r="S223" s="250"/>
      <c r="T223" s="250"/>
      <c r="U223" s="250"/>
      <c r="V223" s="250"/>
      <c r="W223" s="250"/>
      <c r="X223" s="250"/>
      <c r="Y223" s="250"/>
      <c r="Z223" s="250"/>
      <c r="AA223" s="250"/>
      <c r="AB223" s="250"/>
      <c r="AC223" s="250"/>
      <c r="AD223" s="250"/>
      <c r="AE223" s="250"/>
      <c r="AF223" s="250"/>
      <c r="AG223" s="251"/>
      <c r="AH223" s="251"/>
      <c r="AI223" s="251"/>
      <c r="AJ223" s="252"/>
      <c r="AL223" s="253" t="s">
        <v>20</v>
      </c>
      <c r="CY223" s="318"/>
    </row>
    <row r="224" spans="2:103 15069:15461" s="198" customFormat="1" ht="13.8">
      <c r="B224" s="69"/>
      <c r="C224" s="70" t="s">
        <v>4</v>
      </c>
      <c r="D224" s="105">
        <f>17000*24</f>
        <v>408000</v>
      </c>
      <c r="E224" s="8" t="s">
        <v>16</v>
      </c>
      <c r="F224" s="189">
        <v>223696</v>
      </c>
      <c r="G224" s="189">
        <v>334727</v>
      </c>
      <c r="H224" s="189">
        <v>274038</v>
      </c>
      <c r="I224" s="189">
        <v>268420</v>
      </c>
      <c r="J224" s="189">
        <v>271673</v>
      </c>
      <c r="K224" s="189">
        <v>232604</v>
      </c>
      <c r="L224" s="189">
        <v>380127</v>
      </c>
      <c r="M224" s="189">
        <v>368411</v>
      </c>
      <c r="N224" s="189">
        <v>321316</v>
      </c>
      <c r="O224" s="189">
        <v>324689</v>
      </c>
      <c r="P224" s="189">
        <v>318215</v>
      </c>
      <c r="Q224" s="189">
        <v>316308</v>
      </c>
      <c r="R224" s="189">
        <v>276477</v>
      </c>
      <c r="S224" s="189">
        <v>201209</v>
      </c>
      <c r="T224" s="189">
        <v>374726</v>
      </c>
      <c r="U224" s="189">
        <v>318380</v>
      </c>
      <c r="V224" s="189">
        <v>310787</v>
      </c>
      <c r="W224" s="189">
        <v>318738</v>
      </c>
      <c r="X224" s="189">
        <v>291228</v>
      </c>
      <c r="Y224" s="189">
        <v>285413</v>
      </c>
      <c r="Z224" s="189">
        <v>309274</v>
      </c>
      <c r="AA224" s="189">
        <v>344230</v>
      </c>
      <c r="AB224" s="189">
        <v>356272</v>
      </c>
      <c r="AC224" s="189">
        <v>333152</v>
      </c>
      <c r="AD224" s="189">
        <v>314701</v>
      </c>
      <c r="AE224" s="189">
        <v>340246</v>
      </c>
      <c r="AF224" s="189">
        <v>338784</v>
      </c>
      <c r="AG224" s="190">
        <v>332913</v>
      </c>
      <c r="AH224" s="190">
        <v>274490</v>
      </c>
      <c r="AI224" s="190">
        <v>282080</v>
      </c>
      <c r="AJ224" s="191">
        <v>295375</v>
      </c>
      <c r="AL224" s="206">
        <f>SUM(F224:AJ224)</f>
        <v>9532699</v>
      </c>
      <c r="CY224" s="318"/>
    </row>
    <row r="225" spans="2:103 15069:15461" s="198" customFormat="1">
      <c r="B225" s="69"/>
      <c r="C225" s="73" t="s">
        <v>19</v>
      </c>
      <c r="D225" s="194"/>
      <c r="E225" s="5"/>
      <c r="F225" s="189"/>
      <c r="G225" s="189"/>
      <c r="H225" s="189"/>
      <c r="I225" s="189"/>
      <c r="J225" s="189"/>
      <c r="K225" s="189"/>
      <c r="L225" s="189"/>
      <c r="M225" s="189"/>
      <c r="N225" s="189"/>
      <c r="O225" s="189"/>
      <c r="P225" s="189"/>
      <c r="Q225" s="189"/>
      <c r="R225" s="189"/>
      <c r="S225" s="189"/>
      <c r="T225" s="189"/>
      <c r="U225" s="189"/>
      <c r="V225" s="189"/>
      <c r="W225" s="189"/>
      <c r="X225" s="189"/>
      <c r="Y225" s="189"/>
      <c r="Z225" s="189"/>
      <c r="AA225" s="189"/>
      <c r="AB225" s="189"/>
      <c r="AC225" s="189"/>
      <c r="AD225" s="189"/>
      <c r="AE225" s="189"/>
      <c r="AF225" s="189"/>
      <c r="AG225" s="190"/>
      <c r="AH225" s="190"/>
      <c r="AI225" s="190"/>
      <c r="AJ225" s="191"/>
      <c r="AL225" s="254" t="s">
        <v>19</v>
      </c>
      <c r="CY225" s="318"/>
    </row>
    <row r="226" spans="2:103 15069:15461" s="3" customFormat="1">
      <c r="B226" s="121"/>
      <c r="C226" s="70" t="s">
        <v>18</v>
      </c>
      <c r="D226" s="105">
        <v>180000</v>
      </c>
      <c r="E226" s="8" t="s">
        <v>16</v>
      </c>
      <c r="F226" s="1">
        <v>156700</v>
      </c>
      <c r="G226" s="1">
        <v>161300</v>
      </c>
      <c r="H226" s="1">
        <v>158600</v>
      </c>
      <c r="I226" s="1">
        <v>154300</v>
      </c>
      <c r="J226" s="1">
        <v>108100</v>
      </c>
      <c r="K226" s="1">
        <v>150200</v>
      </c>
      <c r="L226" s="1">
        <v>164600</v>
      </c>
      <c r="M226" s="1">
        <v>160200</v>
      </c>
      <c r="N226" s="1">
        <v>156300</v>
      </c>
      <c r="O226" s="1">
        <v>165700</v>
      </c>
      <c r="P226" s="1">
        <v>165500</v>
      </c>
      <c r="Q226" s="1">
        <v>167800</v>
      </c>
      <c r="R226" s="1">
        <v>166700</v>
      </c>
      <c r="S226" s="1">
        <v>160000</v>
      </c>
      <c r="T226" s="1">
        <v>165400</v>
      </c>
      <c r="U226" s="1">
        <v>159100</v>
      </c>
      <c r="V226" s="1">
        <v>159890</v>
      </c>
      <c r="W226" s="1">
        <v>157600</v>
      </c>
      <c r="X226" s="1">
        <v>156900</v>
      </c>
      <c r="Y226" s="1">
        <v>159700</v>
      </c>
      <c r="Z226" s="1">
        <v>158700</v>
      </c>
      <c r="AA226" s="1">
        <v>171000</v>
      </c>
      <c r="AB226" s="1">
        <v>175700</v>
      </c>
      <c r="AC226" s="1">
        <v>175900</v>
      </c>
      <c r="AD226" s="1">
        <v>167600</v>
      </c>
      <c r="AE226" s="1">
        <v>175100</v>
      </c>
      <c r="AF226" s="1">
        <v>175700</v>
      </c>
      <c r="AG226" s="50">
        <v>163600</v>
      </c>
      <c r="AH226" s="50">
        <v>167400</v>
      </c>
      <c r="AI226" s="50">
        <v>179000</v>
      </c>
      <c r="AJ226" s="21">
        <v>167000</v>
      </c>
      <c r="AL226" s="103">
        <f>SUM(F226:AJ226)</f>
        <v>5031290</v>
      </c>
      <c r="CY226" s="16"/>
      <c r="VGO226" s="347"/>
      <c r="VGP226" s="347"/>
      <c r="VGQ226" s="347"/>
      <c r="VGR226" s="347"/>
      <c r="VGS226" s="347"/>
      <c r="VGT226" s="347"/>
      <c r="VGU226" s="347"/>
      <c r="VGV226" s="347"/>
      <c r="VGW226" s="347"/>
      <c r="VGX226" s="347"/>
      <c r="VGY226" s="347"/>
      <c r="VGZ226" s="347"/>
      <c r="VHA226" s="347"/>
      <c r="VHB226" s="347"/>
      <c r="VHC226" s="347"/>
      <c r="VHD226" s="347"/>
      <c r="VHE226" s="347"/>
      <c r="VHF226" s="347"/>
      <c r="VHG226" s="347"/>
      <c r="VHH226" s="347"/>
      <c r="VHI226" s="347"/>
      <c r="VHJ226" s="347"/>
      <c r="VHK226" s="347"/>
      <c r="VHL226" s="347"/>
      <c r="VHM226" s="347"/>
      <c r="VHN226" s="347"/>
      <c r="VHO226" s="347"/>
      <c r="VHP226" s="347"/>
      <c r="VHQ226" s="347"/>
      <c r="VHR226" s="347"/>
      <c r="VHS226" s="347"/>
      <c r="VHT226" s="347"/>
      <c r="VHU226" s="347"/>
      <c r="VHV226" s="347"/>
      <c r="VHW226" s="347"/>
      <c r="VHX226" s="347"/>
      <c r="VHY226" s="347"/>
      <c r="VHZ226" s="347"/>
      <c r="VIA226" s="347"/>
      <c r="VIB226" s="347"/>
      <c r="VIC226" s="347"/>
      <c r="VID226" s="347"/>
      <c r="VIE226" s="347"/>
      <c r="VIF226" s="347"/>
      <c r="VIG226" s="347"/>
      <c r="VIH226" s="347"/>
      <c r="VII226" s="347"/>
      <c r="VIJ226" s="347"/>
      <c r="VIK226" s="347"/>
      <c r="VIL226" s="347"/>
      <c r="VIM226" s="347"/>
      <c r="VIN226" s="347"/>
      <c r="VIO226" s="347"/>
      <c r="VIP226" s="347"/>
      <c r="VIQ226" s="347"/>
      <c r="VIR226" s="347"/>
      <c r="VIS226" s="347"/>
      <c r="VIT226" s="347"/>
      <c r="VIU226" s="347"/>
      <c r="VIV226" s="347"/>
      <c r="VIW226" s="347"/>
      <c r="VIX226" s="347"/>
      <c r="VIY226" s="347"/>
      <c r="VIZ226" s="347"/>
      <c r="VJA226" s="347"/>
      <c r="VJB226" s="347"/>
      <c r="VJC226" s="347"/>
      <c r="VJD226" s="347"/>
      <c r="VJE226" s="347"/>
      <c r="VJF226" s="347"/>
      <c r="VJG226" s="347"/>
      <c r="VJH226" s="347"/>
      <c r="VJI226" s="347"/>
      <c r="VJJ226" s="347"/>
      <c r="VJK226" s="347"/>
      <c r="VJL226" s="347"/>
      <c r="VJM226" s="347"/>
      <c r="VJN226" s="347"/>
      <c r="VJO226" s="347"/>
      <c r="VJP226" s="347"/>
      <c r="VJQ226" s="347"/>
      <c r="VJR226" s="347"/>
      <c r="VJS226" s="347"/>
      <c r="VJT226" s="347"/>
      <c r="VJU226" s="347"/>
      <c r="VJV226" s="347"/>
      <c r="VJW226" s="347"/>
      <c r="VJX226" s="347"/>
      <c r="VJY226" s="347"/>
      <c r="VJZ226" s="347"/>
      <c r="VKA226" s="347"/>
      <c r="VKB226" s="347"/>
      <c r="VKC226" s="347"/>
      <c r="VKD226" s="347"/>
      <c r="VKE226" s="347"/>
      <c r="VKF226" s="347"/>
      <c r="VKG226" s="347"/>
      <c r="VKH226" s="347"/>
      <c r="VKI226" s="347"/>
      <c r="VKJ226" s="347"/>
      <c r="VKK226" s="347"/>
      <c r="VKL226" s="347"/>
      <c r="VKM226" s="347"/>
      <c r="VKN226" s="347"/>
      <c r="VKO226" s="347"/>
      <c r="VKP226" s="347"/>
      <c r="VKQ226" s="347"/>
      <c r="VKR226" s="347"/>
      <c r="VKS226" s="347"/>
      <c r="VKT226" s="347"/>
      <c r="VKU226" s="347"/>
      <c r="VKV226" s="347"/>
      <c r="VKW226" s="347"/>
      <c r="VKX226" s="347"/>
      <c r="VKY226" s="347"/>
      <c r="VKZ226" s="347"/>
      <c r="VLA226" s="347"/>
      <c r="VLB226" s="347"/>
      <c r="VLC226" s="347"/>
      <c r="VLD226" s="347"/>
      <c r="VLE226" s="347"/>
      <c r="VLF226" s="347"/>
      <c r="VLG226" s="347"/>
      <c r="VLH226" s="347"/>
      <c r="VLI226" s="347"/>
      <c r="VLJ226" s="347"/>
      <c r="VLK226" s="347"/>
      <c r="VLL226" s="347"/>
      <c r="VLM226" s="347"/>
      <c r="VLN226" s="347"/>
      <c r="VLO226" s="347"/>
      <c r="VLP226" s="347"/>
      <c r="VLQ226" s="347"/>
      <c r="VLR226" s="347"/>
      <c r="VLS226" s="347"/>
      <c r="VLT226" s="347"/>
      <c r="VLU226" s="347"/>
      <c r="VLV226" s="347"/>
      <c r="VLW226" s="347"/>
      <c r="VLX226" s="347"/>
      <c r="VLY226" s="347"/>
      <c r="VLZ226" s="347"/>
      <c r="VMA226" s="347"/>
      <c r="VMB226" s="347"/>
      <c r="VMC226" s="347"/>
      <c r="VMD226" s="347"/>
      <c r="VME226" s="347"/>
      <c r="VMF226" s="347"/>
      <c r="VMG226" s="347"/>
      <c r="VMH226" s="347"/>
      <c r="VMI226" s="347"/>
      <c r="VMJ226" s="347"/>
      <c r="VMK226" s="347"/>
      <c r="VML226" s="347"/>
      <c r="VMM226" s="347"/>
      <c r="VMN226" s="347"/>
      <c r="VMO226" s="347"/>
      <c r="VMP226" s="347"/>
      <c r="VMQ226" s="347"/>
      <c r="VMR226" s="347"/>
      <c r="VMS226" s="347"/>
      <c r="VMT226" s="347"/>
      <c r="VMU226" s="347"/>
      <c r="VMV226" s="347"/>
      <c r="VMW226" s="347"/>
      <c r="VMX226" s="347"/>
      <c r="VMY226" s="347"/>
      <c r="VMZ226" s="347"/>
      <c r="VNA226" s="347"/>
      <c r="VNB226" s="347"/>
      <c r="VNC226" s="347"/>
      <c r="VND226" s="347"/>
      <c r="VNE226" s="347"/>
      <c r="VNF226" s="347"/>
      <c r="VNG226" s="347"/>
      <c r="VNH226" s="347"/>
      <c r="VNI226" s="347"/>
      <c r="VNJ226" s="347"/>
      <c r="VNK226" s="347"/>
      <c r="VNL226" s="347"/>
      <c r="VNM226" s="347"/>
      <c r="VNN226" s="347"/>
      <c r="VNO226" s="347"/>
      <c r="VNP226" s="347"/>
      <c r="VNQ226" s="347"/>
      <c r="VNR226" s="347"/>
      <c r="VNS226" s="347"/>
      <c r="VNT226" s="347"/>
      <c r="VNU226" s="347"/>
      <c r="VNV226" s="347"/>
      <c r="VNW226" s="347"/>
      <c r="VNX226" s="347"/>
      <c r="VNY226" s="347"/>
      <c r="VNZ226" s="347"/>
      <c r="VOA226" s="347"/>
      <c r="VOB226" s="347"/>
      <c r="VOC226" s="347"/>
      <c r="VOD226" s="347"/>
      <c r="VOE226" s="347"/>
      <c r="VOF226" s="347"/>
      <c r="VOG226" s="347"/>
      <c r="VOH226" s="347"/>
      <c r="VOI226" s="347"/>
      <c r="VOJ226" s="347"/>
      <c r="VOK226" s="347"/>
      <c r="VOL226" s="347"/>
      <c r="VOM226" s="347"/>
      <c r="VON226" s="347"/>
      <c r="VOO226" s="347"/>
      <c r="VOP226" s="347"/>
      <c r="VOQ226" s="347"/>
      <c r="VOR226" s="347"/>
      <c r="VOS226" s="347"/>
      <c r="VOT226" s="347"/>
      <c r="VOU226" s="347"/>
      <c r="VOV226" s="347"/>
      <c r="VOW226" s="347"/>
      <c r="VOX226" s="347"/>
      <c r="VOY226" s="347"/>
      <c r="VOZ226" s="347"/>
      <c r="VPA226" s="347"/>
      <c r="VPB226" s="347"/>
      <c r="VPC226" s="347"/>
      <c r="VPD226" s="347"/>
      <c r="VPE226" s="347"/>
      <c r="VPF226" s="347"/>
      <c r="VPG226" s="347"/>
      <c r="VPH226" s="347"/>
      <c r="VPI226" s="347"/>
      <c r="VPJ226" s="347"/>
      <c r="VPK226" s="347"/>
      <c r="VPL226" s="347"/>
      <c r="VPM226" s="347"/>
      <c r="VPN226" s="347"/>
      <c r="VPO226" s="347"/>
      <c r="VPP226" s="347"/>
      <c r="VPQ226" s="347"/>
      <c r="VPR226" s="347"/>
      <c r="VPS226" s="347"/>
      <c r="VPT226" s="347"/>
      <c r="VPU226" s="347"/>
      <c r="VPV226" s="347"/>
      <c r="VPW226" s="347"/>
      <c r="VPX226" s="347"/>
      <c r="VPY226" s="347"/>
      <c r="VPZ226" s="347"/>
      <c r="VQA226" s="347"/>
      <c r="VQB226" s="347"/>
      <c r="VQC226" s="347"/>
      <c r="VQD226" s="347"/>
      <c r="VQE226" s="347"/>
      <c r="VQF226" s="347"/>
      <c r="VQG226" s="347"/>
      <c r="VQH226" s="347"/>
      <c r="VQI226" s="347"/>
      <c r="VQJ226" s="347"/>
      <c r="VQK226" s="347"/>
      <c r="VQL226" s="347"/>
      <c r="VQM226" s="347"/>
      <c r="VQN226" s="347"/>
      <c r="VQO226" s="347"/>
      <c r="VQP226" s="347"/>
      <c r="VQQ226" s="347"/>
      <c r="VQR226" s="347"/>
      <c r="VQS226" s="347"/>
      <c r="VQT226" s="347"/>
      <c r="VQU226" s="347"/>
      <c r="VQV226" s="347"/>
      <c r="VQW226" s="347"/>
      <c r="VQX226" s="347"/>
      <c r="VQY226" s="347"/>
      <c r="VQZ226" s="347"/>
      <c r="VRA226" s="347"/>
      <c r="VRB226" s="347"/>
      <c r="VRC226" s="347"/>
      <c r="VRD226" s="347"/>
      <c r="VRE226" s="347"/>
      <c r="VRF226" s="347"/>
      <c r="VRG226" s="347"/>
      <c r="VRH226" s="347"/>
      <c r="VRI226" s="347"/>
      <c r="VRJ226" s="347"/>
      <c r="VRK226" s="347"/>
      <c r="VRL226" s="347"/>
      <c r="VRM226" s="347"/>
      <c r="VRN226" s="347"/>
      <c r="VRO226" s="347"/>
      <c r="VRP226" s="347"/>
      <c r="VRQ226" s="347"/>
      <c r="VRR226" s="347"/>
      <c r="VRS226" s="347"/>
      <c r="VRT226" s="347"/>
      <c r="VRU226" s="347"/>
      <c r="VRV226" s="347"/>
      <c r="VRW226" s="347"/>
      <c r="VRX226" s="347"/>
      <c r="VRY226" s="347"/>
      <c r="VRZ226" s="347"/>
      <c r="VSA226" s="347"/>
      <c r="VSB226" s="347"/>
      <c r="VSC226" s="347"/>
      <c r="VSD226" s="347"/>
      <c r="VSE226" s="347"/>
      <c r="VSF226" s="347"/>
      <c r="VSG226" s="347"/>
      <c r="VSH226" s="347"/>
      <c r="VSI226" s="347"/>
      <c r="VSJ226" s="347"/>
      <c r="VSK226" s="347"/>
      <c r="VSL226" s="347"/>
      <c r="VSM226" s="347"/>
      <c r="VSN226" s="347"/>
      <c r="VSO226" s="347"/>
      <c r="VSP226" s="347"/>
      <c r="VSQ226" s="347"/>
      <c r="VSR226" s="347"/>
      <c r="VSS226" s="347"/>
      <c r="VST226" s="347"/>
      <c r="VSU226" s="347"/>
      <c r="VSV226" s="347"/>
      <c r="VSW226" s="347"/>
      <c r="VSX226" s="347"/>
      <c r="VSY226" s="347"/>
      <c r="VSZ226" s="347"/>
      <c r="VTA226" s="347"/>
      <c r="VTB226" s="347"/>
      <c r="VTC226" s="347"/>
      <c r="VTD226" s="347"/>
      <c r="VTE226" s="347"/>
      <c r="VTF226" s="347"/>
      <c r="VTG226" s="347"/>
      <c r="VTH226" s="347"/>
      <c r="VTI226" s="347"/>
      <c r="VTJ226" s="347"/>
      <c r="VTK226" s="347"/>
      <c r="VTL226" s="347"/>
      <c r="VTM226" s="347"/>
      <c r="VTN226" s="347"/>
      <c r="VTO226" s="347"/>
      <c r="VTP226" s="347"/>
      <c r="VTQ226" s="347"/>
      <c r="VTR226" s="347"/>
      <c r="VTS226" s="347"/>
      <c r="VTT226" s="347"/>
      <c r="VTU226" s="347"/>
      <c r="VTV226" s="347"/>
      <c r="VTW226" s="347"/>
      <c r="VTX226" s="347"/>
      <c r="VTY226" s="347"/>
      <c r="VTZ226" s="347"/>
      <c r="VUA226" s="347"/>
      <c r="VUB226" s="347"/>
      <c r="VUC226" s="347"/>
      <c r="VUD226" s="347"/>
      <c r="VUE226" s="347"/>
      <c r="VUF226" s="347"/>
      <c r="VUG226" s="347"/>
      <c r="VUH226" s="347"/>
      <c r="VUI226" s="347"/>
      <c r="VUJ226" s="347"/>
      <c r="VUK226" s="347"/>
      <c r="VUL226" s="347"/>
      <c r="VUM226" s="347"/>
      <c r="VUN226" s="347"/>
      <c r="VUO226" s="347"/>
      <c r="VUP226" s="347"/>
      <c r="VUQ226" s="347"/>
      <c r="VUR226" s="347"/>
      <c r="VUS226" s="347"/>
      <c r="VUT226" s="347"/>
      <c r="VUU226" s="347"/>
      <c r="VUV226" s="347"/>
      <c r="VUW226" s="347"/>
      <c r="VUX226" s="347"/>
      <c r="VUY226" s="347"/>
      <c r="VUZ226" s="347"/>
      <c r="VVA226" s="347"/>
      <c r="VVB226" s="347"/>
      <c r="VVC226" s="347"/>
      <c r="VVD226" s="347"/>
      <c r="VVE226" s="347"/>
      <c r="VVF226" s="347"/>
      <c r="VVG226" s="347"/>
      <c r="VVH226" s="347"/>
      <c r="VVI226" s="347"/>
      <c r="VVJ226" s="347"/>
      <c r="VVK226" s="347"/>
      <c r="VVL226" s="347"/>
      <c r="VVM226" s="347"/>
      <c r="VVN226" s="347"/>
      <c r="VVO226" s="347"/>
      <c r="VVP226" s="347"/>
      <c r="VVQ226" s="347"/>
    </row>
    <row r="227" spans="2:103 15069:15461" s="3" customFormat="1">
      <c r="B227" s="121"/>
      <c r="C227" s="70" t="s">
        <v>17</v>
      </c>
      <c r="D227" s="105">
        <v>122000</v>
      </c>
      <c r="E227" s="8" t="s">
        <v>16</v>
      </c>
      <c r="F227" s="1">
        <v>71900</v>
      </c>
      <c r="G227" s="1">
        <v>95500</v>
      </c>
      <c r="H227" s="1">
        <v>66500</v>
      </c>
      <c r="I227" s="1">
        <v>86100</v>
      </c>
      <c r="J227" s="1">
        <v>80200</v>
      </c>
      <c r="K227" s="1">
        <v>123700</v>
      </c>
      <c r="L227" s="1">
        <v>119900</v>
      </c>
      <c r="M227" s="1">
        <v>119200</v>
      </c>
      <c r="N227" s="1">
        <v>120500</v>
      </c>
      <c r="O227" s="1">
        <v>121400</v>
      </c>
      <c r="P227" s="1">
        <v>131900</v>
      </c>
      <c r="Q227" s="1">
        <v>114600</v>
      </c>
      <c r="R227" s="1">
        <v>77700</v>
      </c>
      <c r="S227" s="1">
        <v>65800</v>
      </c>
      <c r="T227" s="1">
        <v>94000</v>
      </c>
      <c r="U227" s="1">
        <v>97600</v>
      </c>
      <c r="V227" s="1">
        <v>128300</v>
      </c>
      <c r="W227" s="1">
        <v>125900</v>
      </c>
      <c r="X227" s="1">
        <v>98800</v>
      </c>
      <c r="Y227" s="1">
        <v>111300</v>
      </c>
      <c r="Z227" s="1">
        <v>123500</v>
      </c>
      <c r="AA227" s="1">
        <v>125600</v>
      </c>
      <c r="AB227" s="1">
        <v>107600</v>
      </c>
      <c r="AC227" s="1">
        <v>110700</v>
      </c>
      <c r="AD227" s="1">
        <v>88700</v>
      </c>
      <c r="AE227" s="1">
        <v>113600</v>
      </c>
      <c r="AF227" s="1">
        <v>120900</v>
      </c>
      <c r="AG227" s="50">
        <v>110700</v>
      </c>
      <c r="AH227" s="50">
        <v>96600</v>
      </c>
      <c r="AI227" s="50">
        <v>98800</v>
      </c>
      <c r="AJ227" s="21">
        <v>113300</v>
      </c>
      <c r="AL227" s="103">
        <f>SUM(F227:AJ227)</f>
        <v>3260800</v>
      </c>
      <c r="CY227" s="16"/>
      <c r="VGO227" s="347"/>
      <c r="VGP227" s="347"/>
      <c r="VGQ227" s="347"/>
      <c r="VGR227" s="347"/>
      <c r="VGS227" s="347"/>
      <c r="VGT227" s="347"/>
      <c r="VGU227" s="347"/>
      <c r="VGV227" s="347"/>
      <c r="VGW227" s="347"/>
      <c r="VGX227" s="347"/>
      <c r="VGY227" s="347"/>
      <c r="VGZ227" s="347"/>
      <c r="VHA227" s="347"/>
      <c r="VHB227" s="347"/>
      <c r="VHC227" s="347"/>
      <c r="VHD227" s="347"/>
      <c r="VHE227" s="347"/>
      <c r="VHF227" s="347"/>
      <c r="VHG227" s="347"/>
      <c r="VHH227" s="347"/>
      <c r="VHI227" s="347"/>
      <c r="VHJ227" s="347"/>
      <c r="VHK227" s="347"/>
      <c r="VHL227" s="347"/>
      <c r="VHM227" s="347"/>
      <c r="VHN227" s="347"/>
      <c r="VHO227" s="347"/>
      <c r="VHP227" s="347"/>
      <c r="VHQ227" s="347"/>
      <c r="VHR227" s="347"/>
      <c r="VHS227" s="347"/>
      <c r="VHT227" s="347"/>
      <c r="VHU227" s="347"/>
      <c r="VHV227" s="347"/>
      <c r="VHW227" s="347"/>
      <c r="VHX227" s="347"/>
      <c r="VHY227" s="347"/>
      <c r="VHZ227" s="347"/>
      <c r="VIA227" s="347"/>
      <c r="VIB227" s="347"/>
      <c r="VIC227" s="347"/>
      <c r="VID227" s="347"/>
      <c r="VIE227" s="347"/>
      <c r="VIF227" s="347"/>
      <c r="VIG227" s="347"/>
      <c r="VIH227" s="347"/>
      <c r="VII227" s="347"/>
      <c r="VIJ227" s="347"/>
      <c r="VIK227" s="347"/>
      <c r="VIL227" s="347"/>
      <c r="VIM227" s="347"/>
      <c r="VIN227" s="347"/>
      <c r="VIO227" s="347"/>
      <c r="VIP227" s="347"/>
      <c r="VIQ227" s="347"/>
      <c r="VIR227" s="347"/>
      <c r="VIS227" s="347"/>
      <c r="VIT227" s="347"/>
      <c r="VIU227" s="347"/>
      <c r="VIV227" s="347"/>
      <c r="VIW227" s="347"/>
      <c r="VIX227" s="347"/>
      <c r="VIY227" s="347"/>
      <c r="VIZ227" s="347"/>
      <c r="VJA227" s="347"/>
      <c r="VJB227" s="347"/>
      <c r="VJC227" s="347"/>
      <c r="VJD227" s="347"/>
      <c r="VJE227" s="347"/>
      <c r="VJF227" s="347"/>
      <c r="VJG227" s="347"/>
      <c r="VJH227" s="347"/>
      <c r="VJI227" s="347"/>
      <c r="VJJ227" s="347"/>
      <c r="VJK227" s="347"/>
      <c r="VJL227" s="347"/>
      <c r="VJM227" s="347"/>
      <c r="VJN227" s="347"/>
      <c r="VJO227" s="347"/>
      <c r="VJP227" s="347"/>
      <c r="VJQ227" s="347"/>
      <c r="VJR227" s="347"/>
      <c r="VJS227" s="347"/>
      <c r="VJT227" s="347"/>
      <c r="VJU227" s="347"/>
      <c r="VJV227" s="347"/>
      <c r="VJW227" s="347"/>
      <c r="VJX227" s="347"/>
      <c r="VJY227" s="347"/>
      <c r="VJZ227" s="347"/>
      <c r="VKA227" s="347"/>
      <c r="VKB227" s="347"/>
      <c r="VKC227" s="347"/>
      <c r="VKD227" s="347"/>
      <c r="VKE227" s="347"/>
      <c r="VKF227" s="347"/>
      <c r="VKG227" s="347"/>
      <c r="VKH227" s="347"/>
      <c r="VKI227" s="347"/>
      <c r="VKJ227" s="347"/>
      <c r="VKK227" s="347"/>
      <c r="VKL227" s="347"/>
      <c r="VKM227" s="347"/>
      <c r="VKN227" s="347"/>
      <c r="VKO227" s="347"/>
      <c r="VKP227" s="347"/>
      <c r="VKQ227" s="347"/>
      <c r="VKR227" s="347"/>
      <c r="VKS227" s="347"/>
      <c r="VKT227" s="347"/>
      <c r="VKU227" s="347"/>
      <c r="VKV227" s="347"/>
      <c r="VKW227" s="347"/>
      <c r="VKX227" s="347"/>
      <c r="VKY227" s="347"/>
      <c r="VKZ227" s="347"/>
      <c r="VLA227" s="347"/>
      <c r="VLB227" s="347"/>
      <c r="VLC227" s="347"/>
      <c r="VLD227" s="347"/>
      <c r="VLE227" s="347"/>
      <c r="VLF227" s="347"/>
      <c r="VLG227" s="347"/>
      <c r="VLH227" s="347"/>
      <c r="VLI227" s="347"/>
      <c r="VLJ227" s="347"/>
      <c r="VLK227" s="347"/>
      <c r="VLL227" s="347"/>
      <c r="VLM227" s="347"/>
      <c r="VLN227" s="347"/>
      <c r="VLO227" s="347"/>
      <c r="VLP227" s="347"/>
      <c r="VLQ227" s="347"/>
      <c r="VLR227" s="347"/>
      <c r="VLS227" s="347"/>
      <c r="VLT227" s="347"/>
      <c r="VLU227" s="347"/>
      <c r="VLV227" s="347"/>
      <c r="VLW227" s="347"/>
      <c r="VLX227" s="347"/>
      <c r="VLY227" s="347"/>
      <c r="VLZ227" s="347"/>
      <c r="VMA227" s="347"/>
      <c r="VMB227" s="347"/>
      <c r="VMC227" s="347"/>
      <c r="VMD227" s="347"/>
      <c r="VME227" s="347"/>
      <c r="VMF227" s="347"/>
      <c r="VMG227" s="347"/>
      <c r="VMH227" s="347"/>
      <c r="VMI227" s="347"/>
      <c r="VMJ227" s="347"/>
      <c r="VMK227" s="347"/>
      <c r="VML227" s="347"/>
      <c r="VMM227" s="347"/>
      <c r="VMN227" s="347"/>
      <c r="VMO227" s="347"/>
      <c r="VMP227" s="347"/>
      <c r="VMQ227" s="347"/>
      <c r="VMR227" s="347"/>
      <c r="VMS227" s="347"/>
      <c r="VMT227" s="347"/>
      <c r="VMU227" s="347"/>
      <c r="VMV227" s="347"/>
      <c r="VMW227" s="347"/>
      <c r="VMX227" s="347"/>
      <c r="VMY227" s="347"/>
      <c r="VMZ227" s="347"/>
      <c r="VNA227" s="347"/>
      <c r="VNB227" s="347"/>
      <c r="VNC227" s="347"/>
      <c r="VND227" s="347"/>
      <c r="VNE227" s="347"/>
      <c r="VNF227" s="347"/>
      <c r="VNG227" s="347"/>
      <c r="VNH227" s="347"/>
      <c r="VNI227" s="347"/>
      <c r="VNJ227" s="347"/>
      <c r="VNK227" s="347"/>
      <c r="VNL227" s="347"/>
      <c r="VNM227" s="347"/>
      <c r="VNN227" s="347"/>
      <c r="VNO227" s="347"/>
      <c r="VNP227" s="347"/>
      <c r="VNQ227" s="347"/>
      <c r="VNR227" s="347"/>
      <c r="VNS227" s="347"/>
      <c r="VNT227" s="347"/>
      <c r="VNU227" s="347"/>
      <c r="VNV227" s="347"/>
      <c r="VNW227" s="347"/>
      <c r="VNX227" s="347"/>
      <c r="VNY227" s="347"/>
      <c r="VNZ227" s="347"/>
      <c r="VOA227" s="347"/>
      <c r="VOB227" s="347"/>
      <c r="VOC227" s="347"/>
      <c r="VOD227" s="347"/>
      <c r="VOE227" s="347"/>
      <c r="VOF227" s="347"/>
      <c r="VOG227" s="347"/>
      <c r="VOH227" s="347"/>
      <c r="VOI227" s="347"/>
      <c r="VOJ227" s="347"/>
      <c r="VOK227" s="347"/>
      <c r="VOL227" s="347"/>
      <c r="VOM227" s="347"/>
      <c r="VON227" s="347"/>
      <c r="VOO227" s="347"/>
      <c r="VOP227" s="347"/>
      <c r="VOQ227" s="347"/>
      <c r="VOR227" s="347"/>
      <c r="VOS227" s="347"/>
      <c r="VOT227" s="347"/>
      <c r="VOU227" s="347"/>
      <c r="VOV227" s="347"/>
      <c r="VOW227" s="347"/>
      <c r="VOX227" s="347"/>
      <c r="VOY227" s="347"/>
      <c r="VOZ227" s="347"/>
      <c r="VPA227" s="347"/>
      <c r="VPB227" s="347"/>
      <c r="VPC227" s="347"/>
      <c r="VPD227" s="347"/>
      <c r="VPE227" s="347"/>
      <c r="VPF227" s="347"/>
      <c r="VPG227" s="347"/>
      <c r="VPH227" s="347"/>
      <c r="VPI227" s="347"/>
      <c r="VPJ227" s="347"/>
      <c r="VPK227" s="347"/>
      <c r="VPL227" s="347"/>
      <c r="VPM227" s="347"/>
      <c r="VPN227" s="347"/>
      <c r="VPO227" s="347"/>
      <c r="VPP227" s="347"/>
      <c r="VPQ227" s="347"/>
      <c r="VPR227" s="347"/>
      <c r="VPS227" s="347"/>
      <c r="VPT227" s="347"/>
      <c r="VPU227" s="347"/>
      <c r="VPV227" s="347"/>
      <c r="VPW227" s="347"/>
      <c r="VPX227" s="347"/>
      <c r="VPY227" s="347"/>
      <c r="VPZ227" s="347"/>
      <c r="VQA227" s="347"/>
      <c r="VQB227" s="347"/>
      <c r="VQC227" s="347"/>
      <c r="VQD227" s="347"/>
      <c r="VQE227" s="347"/>
      <c r="VQF227" s="347"/>
      <c r="VQG227" s="347"/>
      <c r="VQH227" s="347"/>
      <c r="VQI227" s="347"/>
      <c r="VQJ227" s="347"/>
      <c r="VQK227" s="347"/>
      <c r="VQL227" s="347"/>
      <c r="VQM227" s="347"/>
      <c r="VQN227" s="347"/>
      <c r="VQO227" s="347"/>
      <c r="VQP227" s="347"/>
      <c r="VQQ227" s="347"/>
      <c r="VQR227" s="347"/>
      <c r="VQS227" s="347"/>
      <c r="VQT227" s="347"/>
      <c r="VQU227" s="347"/>
      <c r="VQV227" s="347"/>
      <c r="VQW227" s="347"/>
      <c r="VQX227" s="347"/>
      <c r="VQY227" s="347"/>
      <c r="VQZ227" s="347"/>
      <c r="VRA227" s="347"/>
      <c r="VRB227" s="347"/>
      <c r="VRC227" s="347"/>
      <c r="VRD227" s="347"/>
      <c r="VRE227" s="347"/>
      <c r="VRF227" s="347"/>
      <c r="VRG227" s="347"/>
      <c r="VRH227" s="347"/>
      <c r="VRI227" s="347"/>
      <c r="VRJ227" s="347"/>
      <c r="VRK227" s="347"/>
      <c r="VRL227" s="347"/>
      <c r="VRM227" s="347"/>
      <c r="VRN227" s="347"/>
      <c r="VRO227" s="347"/>
      <c r="VRP227" s="347"/>
      <c r="VRQ227" s="347"/>
      <c r="VRR227" s="347"/>
      <c r="VRS227" s="347"/>
      <c r="VRT227" s="347"/>
      <c r="VRU227" s="347"/>
      <c r="VRV227" s="347"/>
      <c r="VRW227" s="347"/>
      <c r="VRX227" s="347"/>
      <c r="VRY227" s="347"/>
      <c r="VRZ227" s="347"/>
      <c r="VSA227" s="347"/>
      <c r="VSB227" s="347"/>
      <c r="VSC227" s="347"/>
      <c r="VSD227" s="347"/>
      <c r="VSE227" s="347"/>
      <c r="VSF227" s="347"/>
      <c r="VSG227" s="347"/>
      <c r="VSH227" s="347"/>
      <c r="VSI227" s="347"/>
      <c r="VSJ227" s="347"/>
      <c r="VSK227" s="347"/>
      <c r="VSL227" s="347"/>
      <c r="VSM227" s="347"/>
      <c r="VSN227" s="347"/>
      <c r="VSO227" s="347"/>
      <c r="VSP227" s="347"/>
      <c r="VSQ227" s="347"/>
      <c r="VSR227" s="347"/>
      <c r="VSS227" s="347"/>
      <c r="VST227" s="347"/>
      <c r="VSU227" s="347"/>
      <c r="VSV227" s="347"/>
      <c r="VSW227" s="347"/>
      <c r="VSX227" s="347"/>
      <c r="VSY227" s="347"/>
      <c r="VSZ227" s="347"/>
      <c r="VTA227" s="347"/>
      <c r="VTB227" s="347"/>
      <c r="VTC227" s="347"/>
      <c r="VTD227" s="347"/>
      <c r="VTE227" s="347"/>
      <c r="VTF227" s="347"/>
      <c r="VTG227" s="347"/>
      <c r="VTH227" s="347"/>
      <c r="VTI227" s="347"/>
      <c r="VTJ227" s="347"/>
      <c r="VTK227" s="347"/>
      <c r="VTL227" s="347"/>
      <c r="VTM227" s="347"/>
      <c r="VTN227" s="347"/>
      <c r="VTO227" s="347"/>
      <c r="VTP227" s="347"/>
      <c r="VTQ227" s="347"/>
      <c r="VTR227" s="347"/>
      <c r="VTS227" s="347"/>
      <c r="VTT227" s="347"/>
      <c r="VTU227" s="347"/>
      <c r="VTV227" s="347"/>
      <c r="VTW227" s="347"/>
      <c r="VTX227" s="347"/>
      <c r="VTY227" s="347"/>
      <c r="VTZ227" s="347"/>
      <c r="VUA227" s="347"/>
      <c r="VUB227" s="347"/>
      <c r="VUC227" s="347"/>
      <c r="VUD227" s="347"/>
      <c r="VUE227" s="347"/>
      <c r="VUF227" s="347"/>
      <c r="VUG227" s="347"/>
      <c r="VUH227" s="347"/>
      <c r="VUI227" s="347"/>
      <c r="VUJ227" s="347"/>
      <c r="VUK227" s="347"/>
      <c r="VUL227" s="347"/>
      <c r="VUM227" s="347"/>
      <c r="VUN227" s="347"/>
      <c r="VUO227" s="347"/>
      <c r="VUP227" s="347"/>
      <c r="VUQ227" s="347"/>
      <c r="VUR227" s="347"/>
      <c r="VUS227" s="347"/>
      <c r="VUT227" s="347"/>
      <c r="VUU227" s="347"/>
      <c r="VUV227" s="347"/>
      <c r="VUW227" s="347"/>
      <c r="VUX227" s="347"/>
      <c r="VUY227" s="347"/>
      <c r="VUZ227" s="347"/>
      <c r="VVA227" s="347"/>
      <c r="VVB227" s="347"/>
      <c r="VVC227" s="347"/>
      <c r="VVD227" s="347"/>
      <c r="VVE227" s="347"/>
      <c r="VVF227" s="347"/>
      <c r="VVG227" s="347"/>
      <c r="VVH227" s="347"/>
      <c r="VVI227" s="347"/>
      <c r="VVJ227" s="347"/>
      <c r="VVK227" s="347"/>
      <c r="VVL227" s="347"/>
      <c r="VVM227" s="347"/>
      <c r="VVN227" s="347"/>
      <c r="VVO227" s="347"/>
      <c r="VVP227" s="347"/>
      <c r="VVQ227" s="347"/>
    </row>
    <row r="228" spans="2:103 15069:15461" s="3" customFormat="1">
      <c r="B228" s="121"/>
      <c r="C228" s="70" t="s">
        <v>8</v>
      </c>
      <c r="D228" s="105">
        <f>D224-D226-D227</f>
        <v>106000</v>
      </c>
      <c r="E228" s="8" t="s">
        <v>16</v>
      </c>
      <c r="F228" s="1">
        <f t="shared" ref="F228:AH228" si="103">F224-F226-F227</f>
        <v>-4904</v>
      </c>
      <c r="G228" s="1">
        <f t="shared" si="103"/>
        <v>77927</v>
      </c>
      <c r="H228" s="1">
        <f t="shared" si="103"/>
        <v>48938</v>
      </c>
      <c r="I228" s="1">
        <f t="shared" si="103"/>
        <v>28020</v>
      </c>
      <c r="J228" s="1">
        <f t="shared" si="103"/>
        <v>83373</v>
      </c>
      <c r="K228" s="1">
        <f t="shared" si="103"/>
        <v>-41296</v>
      </c>
      <c r="L228" s="1">
        <f t="shared" si="103"/>
        <v>95627</v>
      </c>
      <c r="M228" s="1">
        <f t="shared" si="103"/>
        <v>89011</v>
      </c>
      <c r="N228" s="1">
        <f t="shared" si="103"/>
        <v>44516</v>
      </c>
      <c r="O228" s="1">
        <f t="shared" si="103"/>
        <v>37589</v>
      </c>
      <c r="P228" s="1">
        <f t="shared" si="103"/>
        <v>20815</v>
      </c>
      <c r="Q228" s="1">
        <f t="shared" si="103"/>
        <v>33908</v>
      </c>
      <c r="R228" s="1">
        <f t="shared" si="103"/>
        <v>32077</v>
      </c>
      <c r="S228" s="1">
        <f t="shared" si="103"/>
        <v>-24591</v>
      </c>
      <c r="T228" s="1">
        <f t="shared" si="103"/>
        <v>115326</v>
      </c>
      <c r="U228" s="1">
        <f t="shared" si="103"/>
        <v>61680</v>
      </c>
      <c r="V228" s="1">
        <f t="shared" si="103"/>
        <v>22597</v>
      </c>
      <c r="W228" s="1">
        <f t="shared" si="103"/>
        <v>35238</v>
      </c>
      <c r="X228" s="1">
        <f t="shared" si="103"/>
        <v>35528</v>
      </c>
      <c r="Y228" s="1">
        <f t="shared" si="103"/>
        <v>14413</v>
      </c>
      <c r="Z228" s="1">
        <f t="shared" si="103"/>
        <v>27074</v>
      </c>
      <c r="AA228" s="1">
        <f t="shared" si="103"/>
        <v>47630</v>
      </c>
      <c r="AB228" s="1">
        <f t="shared" si="103"/>
        <v>72972</v>
      </c>
      <c r="AC228" s="1">
        <f t="shared" si="103"/>
        <v>46552</v>
      </c>
      <c r="AD228" s="1">
        <f t="shared" si="103"/>
        <v>58401</v>
      </c>
      <c r="AE228" s="1">
        <f t="shared" si="103"/>
        <v>51546</v>
      </c>
      <c r="AF228" s="1">
        <f t="shared" si="103"/>
        <v>42184</v>
      </c>
      <c r="AG228" s="1">
        <f t="shared" si="103"/>
        <v>58613</v>
      </c>
      <c r="AH228" s="1">
        <f t="shared" si="103"/>
        <v>10490</v>
      </c>
      <c r="AI228" s="1">
        <f>AI224-AI226-AI227</f>
        <v>4280</v>
      </c>
      <c r="AJ228" s="21">
        <f>AJ224-AJ226-AJ227</f>
        <v>15075</v>
      </c>
      <c r="AL228" s="103">
        <f>SUM(F228:AJ228)</f>
        <v>1240609</v>
      </c>
      <c r="CY228" s="16"/>
      <c r="VGO228" s="347"/>
      <c r="VGP228" s="347"/>
      <c r="VGQ228" s="347"/>
      <c r="VGR228" s="347"/>
      <c r="VGS228" s="347"/>
      <c r="VGT228" s="347"/>
      <c r="VGU228" s="347"/>
      <c r="VGV228" s="347"/>
      <c r="VGW228" s="347"/>
      <c r="VGX228" s="347"/>
      <c r="VGY228" s="347"/>
      <c r="VGZ228" s="347"/>
      <c r="VHA228" s="347"/>
      <c r="VHB228" s="347"/>
      <c r="VHC228" s="347"/>
      <c r="VHD228" s="347"/>
      <c r="VHE228" s="347"/>
      <c r="VHF228" s="347"/>
      <c r="VHG228" s="347"/>
      <c r="VHH228" s="347"/>
      <c r="VHI228" s="347"/>
      <c r="VHJ228" s="347"/>
      <c r="VHK228" s="347"/>
      <c r="VHL228" s="347"/>
      <c r="VHM228" s="347"/>
      <c r="VHN228" s="347"/>
      <c r="VHO228" s="347"/>
      <c r="VHP228" s="347"/>
      <c r="VHQ228" s="347"/>
      <c r="VHR228" s="347"/>
      <c r="VHS228" s="347"/>
      <c r="VHT228" s="347"/>
      <c r="VHU228" s="347"/>
      <c r="VHV228" s="347"/>
      <c r="VHW228" s="347"/>
      <c r="VHX228" s="347"/>
      <c r="VHY228" s="347"/>
      <c r="VHZ228" s="347"/>
      <c r="VIA228" s="347"/>
      <c r="VIB228" s="347"/>
      <c r="VIC228" s="347"/>
      <c r="VID228" s="347"/>
      <c r="VIE228" s="347"/>
      <c r="VIF228" s="347"/>
      <c r="VIG228" s="347"/>
      <c r="VIH228" s="347"/>
      <c r="VII228" s="347"/>
      <c r="VIJ228" s="347"/>
      <c r="VIK228" s="347"/>
      <c r="VIL228" s="347"/>
      <c r="VIM228" s="347"/>
      <c r="VIN228" s="347"/>
      <c r="VIO228" s="347"/>
      <c r="VIP228" s="347"/>
      <c r="VIQ228" s="347"/>
      <c r="VIR228" s="347"/>
      <c r="VIS228" s="347"/>
      <c r="VIT228" s="347"/>
      <c r="VIU228" s="347"/>
      <c r="VIV228" s="347"/>
      <c r="VIW228" s="347"/>
      <c r="VIX228" s="347"/>
      <c r="VIY228" s="347"/>
      <c r="VIZ228" s="347"/>
      <c r="VJA228" s="347"/>
      <c r="VJB228" s="347"/>
      <c r="VJC228" s="347"/>
      <c r="VJD228" s="347"/>
      <c r="VJE228" s="347"/>
      <c r="VJF228" s="347"/>
      <c r="VJG228" s="347"/>
      <c r="VJH228" s="347"/>
      <c r="VJI228" s="347"/>
      <c r="VJJ228" s="347"/>
      <c r="VJK228" s="347"/>
      <c r="VJL228" s="347"/>
      <c r="VJM228" s="347"/>
      <c r="VJN228" s="347"/>
      <c r="VJO228" s="347"/>
      <c r="VJP228" s="347"/>
      <c r="VJQ228" s="347"/>
      <c r="VJR228" s="347"/>
      <c r="VJS228" s="347"/>
      <c r="VJT228" s="347"/>
      <c r="VJU228" s="347"/>
      <c r="VJV228" s="347"/>
      <c r="VJW228" s="347"/>
      <c r="VJX228" s="347"/>
      <c r="VJY228" s="347"/>
      <c r="VJZ228" s="347"/>
      <c r="VKA228" s="347"/>
      <c r="VKB228" s="347"/>
      <c r="VKC228" s="347"/>
      <c r="VKD228" s="347"/>
      <c r="VKE228" s="347"/>
      <c r="VKF228" s="347"/>
      <c r="VKG228" s="347"/>
      <c r="VKH228" s="347"/>
      <c r="VKI228" s="347"/>
      <c r="VKJ228" s="347"/>
      <c r="VKK228" s="347"/>
      <c r="VKL228" s="347"/>
      <c r="VKM228" s="347"/>
      <c r="VKN228" s="347"/>
      <c r="VKO228" s="347"/>
      <c r="VKP228" s="347"/>
      <c r="VKQ228" s="347"/>
      <c r="VKR228" s="347"/>
      <c r="VKS228" s="347"/>
      <c r="VKT228" s="347"/>
      <c r="VKU228" s="347"/>
      <c r="VKV228" s="347"/>
      <c r="VKW228" s="347"/>
      <c r="VKX228" s="347"/>
      <c r="VKY228" s="347"/>
      <c r="VKZ228" s="347"/>
      <c r="VLA228" s="347"/>
      <c r="VLB228" s="347"/>
      <c r="VLC228" s="347"/>
      <c r="VLD228" s="347"/>
      <c r="VLE228" s="347"/>
      <c r="VLF228" s="347"/>
      <c r="VLG228" s="347"/>
      <c r="VLH228" s="347"/>
      <c r="VLI228" s="347"/>
      <c r="VLJ228" s="347"/>
      <c r="VLK228" s="347"/>
      <c r="VLL228" s="347"/>
      <c r="VLM228" s="347"/>
      <c r="VLN228" s="347"/>
      <c r="VLO228" s="347"/>
      <c r="VLP228" s="347"/>
      <c r="VLQ228" s="347"/>
      <c r="VLR228" s="347"/>
      <c r="VLS228" s="347"/>
      <c r="VLT228" s="347"/>
      <c r="VLU228" s="347"/>
      <c r="VLV228" s="347"/>
      <c r="VLW228" s="347"/>
      <c r="VLX228" s="347"/>
      <c r="VLY228" s="347"/>
      <c r="VLZ228" s="347"/>
      <c r="VMA228" s="347"/>
      <c r="VMB228" s="347"/>
      <c r="VMC228" s="347"/>
      <c r="VMD228" s="347"/>
      <c r="VME228" s="347"/>
      <c r="VMF228" s="347"/>
      <c r="VMG228" s="347"/>
      <c r="VMH228" s="347"/>
      <c r="VMI228" s="347"/>
      <c r="VMJ228" s="347"/>
      <c r="VMK228" s="347"/>
      <c r="VML228" s="347"/>
      <c r="VMM228" s="347"/>
      <c r="VMN228" s="347"/>
      <c r="VMO228" s="347"/>
      <c r="VMP228" s="347"/>
      <c r="VMQ228" s="347"/>
      <c r="VMR228" s="347"/>
      <c r="VMS228" s="347"/>
      <c r="VMT228" s="347"/>
      <c r="VMU228" s="347"/>
      <c r="VMV228" s="347"/>
      <c r="VMW228" s="347"/>
      <c r="VMX228" s="347"/>
      <c r="VMY228" s="347"/>
      <c r="VMZ228" s="347"/>
      <c r="VNA228" s="347"/>
      <c r="VNB228" s="347"/>
      <c r="VNC228" s="347"/>
      <c r="VND228" s="347"/>
      <c r="VNE228" s="347"/>
      <c r="VNF228" s="347"/>
      <c r="VNG228" s="347"/>
      <c r="VNH228" s="347"/>
      <c r="VNI228" s="347"/>
      <c r="VNJ228" s="347"/>
      <c r="VNK228" s="347"/>
      <c r="VNL228" s="347"/>
      <c r="VNM228" s="347"/>
      <c r="VNN228" s="347"/>
      <c r="VNO228" s="347"/>
      <c r="VNP228" s="347"/>
      <c r="VNQ228" s="347"/>
      <c r="VNR228" s="347"/>
      <c r="VNS228" s="347"/>
      <c r="VNT228" s="347"/>
      <c r="VNU228" s="347"/>
      <c r="VNV228" s="347"/>
      <c r="VNW228" s="347"/>
      <c r="VNX228" s="347"/>
      <c r="VNY228" s="347"/>
      <c r="VNZ228" s="347"/>
      <c r="VOA228" s="347"/>
      <c r="VOB228" s="347"/>
      <c r="VOC228" s="347"/>
      <c r="VOD228" s="347"/>
      <c r="VOE228" s="347"/>
      <c r="VOF228" s="347"/>
      <c r="VOG228" s="347"/>
      <c r="VOH228" s="347"/>
      <c r="VOI228" s="347"/>
      <c r="VOJ228" s="347"/>
      <c r="VOK228" s="347"/>
      <c r="VOL228" s="347"/>
      <c r="VOM228" s="347"/>
      <c r="VON228" s="347"/>
      <c r="VOO228" s="347"/>
      <c r="VOP228" s="347"/>
      <c r="VOQ228" s="347"/>
      <c r="VOR228" s="347"/>
      <c r="VOS228" s="347"/>
      <c r="VOT228" s="347"/>
      <c r="VOU228" s="347"/>
      <c r="VOV228" s="347"/>
      <c r="VOW228" s="347"/>
      <c r="VOX228" s="347"/>
      <c r="VOY228" s="347"/>
      <c r="VOZ228" s="347"/>
      <c r="VPA228" s="347"/>
      <c r="VPB228" s="347"/>
      <c r="VPC228" s="347"/>
      <c r="VPD228" s="347"/>
      <c r="VPE228" s="347"/>
      <c r="VPF228" s="347"/>
      <c r="VPG228" s="347"/>
      <c r="VPH228" s="347"/>
      <c r="VPI228" s="347"/>
      <c r="VPJ228" s="347"/>
      <c r="VPK228" s="347"/>
      <c r="VPL228" s="347"/>
      <c r="VPM228" s="347"/>
      <c r="VPN228" s="347"/>
      <c r="VPO228" s="347"/>
      <c r="VPP228" s="347"/>
      <c r="VPQ228" s="347"/>
      <c r="VPR228" s="347"/>
      <c r="VPS228" s="347"/>
      <c r="VPT228" s="347"/>
      <c r="VPU228" s="347"/>
      <c r="VPV228" s="347"/>
      <c r="VPW228" s="347"/>
      <c r="VPX228" s="347"/>
      <c r="VPY228" s="347"/>
      <c r="VPZ228" s="347"/>
      <c r="VQA228" s="347"/>
      <c r="VQB228" s="347"/>
      <c r="VQC228" s="347"/>
      <c r="VQD228" s="347"/>
      <c r="VQE228" s="347"/>
      <c r="VQF228" s="347"/>
      <c r="VQG228" s="347"/>
      <c r="VQH228" s="347"/>
      <c r="VQI228" s="347"/>
      <c r="VQJ228" s="347"/>
      <c r="VQK228" s="347"/>
      <c r="VQL228" s="347"/>
      <c r="VQM228" s="347"/>
      <c r="VQN228" s="347"/>
      <c r="VQO228" s="347"/>
      <c r="VQP228" s="347"/>
      <c r="VQQ228" s="347"/>
      <c r="VQR228" s="347"/>
      <c r="VQS228" s="347"/>
      <c r="VQT228" s="347"/>
      <c r="VQU228" s="347"/>
      <c r="VQV228" s="347"/>
      <c r="VQW228" s="347"/>
      <c r="VQX228" s="347"/>
      <c r="VQY228" s="347"/>
      <c r="VQZ228" s="347"/>
      <c r="VRA228" s="347"/>
      <c r="VRB228" s="347"/>
      <c r="VRC228" s="347"/>
      <c r="VRD228" s="347"/>
      <c r="VRE228" s="347"/>
      <c r="VRF228" s="347"/>
      <c r="VRG228" s="347"/>
      <c r="VRH228" s="347"/>
      <c r="VRI228" s="347"/>
      <c r="VRJ228" s="347"/>
      <c r="VRK228" s="347"/>
      <c r="VRL228" s="347"/>
      <c r="VRM228" s="347"/>
      <c r="VRN228" s="347"/>
      <c r="VRO228" s="347"/>
      <c r="VRP228" s="347"/>
      <c r="VRQ228" s="347"/>
      <c r="VRR228" s="347"/>
      <c r="VRS228" s="347"/>
      <c r="VRT228" s="347"/>
      <c r="VRU228" s="347"/>
      <c r="VRV228" s="347"/>
      <c r="VRW228" s="347"/>
      <c r="VRX228" s="347"/>
      <c r="VRY228" s="347"/>
      <c r="VRZ228" s="347"/>
      <c r="VSA228" s="347"/>
      <c r="VSB228" s="347"/>
      <c r="VSC228" s="347"/>
      <c r="VSD228" s="347"/>
      <c r="VSE228" s="347"/>
      <c r="VSF228" s="347"/>
      <c r="VSG228" s="347"/>
      <c r="VSH228" s="347"/>
      <c r="VSI228" s="347"/>
      <c r="VSJ228" s="347"/>
      <c r="VSK228" s="347"/>
      <c r="VSL228" s="347"/>
      <c r="VSM228" s="347"/>
      <c r="VSN228" s="347"/>
      <c r="VSO228" s="347"/>
      <c r="VSP228" s="347"/>
      <c r="VSQ228" s="347"/>
      <c r="VSR228" s="347"/>
      <c r="VSS228" s="347"/>
      <c r="VST228" s="347"/>
      <c r="VSU228" s="347"/>
      <c r="VSV228" s="347"/>
      <c r="VSW228" s="347"/>
      <c r="VSX228" s="347"/>
      <c r="VSY228" s="347"/>
      <c r="VSZ228" s="347"/>
      <c r="VTA228" s="347"/>
      <c r="VTB228" s="347"/>
      <c r="VTC228" s="347"/>
      <c r="VTD228" s="347"/>
      <c r="VTE228" s="347"/>
      <c r="VTF228" s="347"/>
      <c r="VTG228" s="347"/>
      <c r="VTH228" s="347"/>
      <c r="VTI228" s="347"/>
      <c r="VTJ228" s="347"/>
      <c r="VTK228" s="347"/>
      <c r="VTL228" s="347"/>
      <c r="VTM228" s="347"/>
      <c r="VTN228" s="347"/>
      <c r="VTO228" s="347"/>
      <c r="VTP228" s="347"/>
      <c r="VTQ228" s="347"/>
      <c r="VTR228" s="347"/>
      <c r="VTS228" s="347"/>
      <c r="VTT228" s="347"/>
      <c r="VTU228" s="347"/>
      <c r="VTV228" s="347"/>
      <c r="VTW228" s="347"/>
      <c r="VTX228" s="347"/>
      <c r="VTY228" s="347"/>
      <c r="VTZ228" s="347"/>
      <c r="VUA228" s="347"/>
      <c r="VUB228" s="347"/>
      <c r="VUC228" s="347"/>
      <c r="VUD228" s="347"/>
      <c r="VUE228" s="347"/>
      <c r="VUF228" s="347"/>
      <c r="VUG228" s="347"/>
      <c r="VUH228" s="347"/>
      <c r="VUI228" s="347"/>
      <c r="VUJ228" s="347"/>
      <c r="VUK228" s="347"/>
      <c r="VUL228" s="347"/>
      <c r="VUM228" s="347"/>
      <c r="VUN228" s="347"/>
      <c r="VUO228" s="347"/>
      <c r="VUP228" s="347"/>
      <c r="VUQ228" s="347"/>
      <c r="VUR228" s="347"/>
      <c r="VUS228" s="347"/>
      <c r="VUT228" s="347"/>
      <c r="VUU228" s="347"/>
      <c r="VUV228" s="347"/>
      <c r="VUW228" s="347"/>
      <c r="VUX228" s="347"/>
      <c r="VUY228" s="347"/>
      <c r="VUZ228" s="347"/>
      <c r="VVA228" s="347"/>
      <c r="VVB228" s="347"/>
      <c r="VVC228" s="347"/>
      <c r="VVD228" s="347"/>
      <c r="VVE228" s="347"/>
      <c r="VVF228" s="347"/>
      <c r="VVG228" s="347"/>
      <c r="VVH228" s="347"/>
      <c r="VVI228" s="347"/>
      <c r="VVJ228" s="347"/>
      <c r="VVK228" s="347"/>
      <c r="VVL228" s="347"/>
      <c r="VVM228" s="347"/>
      <c r="VVN228" s="347"/>
      <c r="VVO228" s="347"/>
      <c r="VVP228" s="347"/>
      <c r="VVQ228" s="347"/>
    </row>
    <row r="229" spans="2:103 15069:15461" s="198" customFormat="1" thickBot="1">
      <c r="B229" s="241"/>
      <c r="C229" s="72" t="s">
        <v>1</v>
      </c>
      <c r="D229" s="255">
        <f>SUM(D226:D228)</f>
        <v>408000</v>
      </c>
      <c r="E229" s="8" t="s">
        <v>16</v>
      </c>
      <c r="F229" s="189">
        <f t="shared" ref="F229:AH229" si="104">SUM(F226:F228)</f>
        <v>223696</v>
      </c>
      <c r="G229" s="189">
        <f t="shared" si="104"/>
        <v>334727</v>
      </c>
      <c r="H229" s="189">
        <f t="shared" si="104"/>
        <v>274038</v>
      </c>
      <c r="I229" s="189">
        <f>SUM(I226:I228)</f>
        <v>268420</v>
      </c>
      <c r="J229" s="189">
        <f t="shared" si="104"/>
        <v>271673</v>
      </c>
      <c r="K229" s="189">
        <f t="shared" si="104"/>
        <v>232604</v>
      </c>
      <c r="L229" s="189">
        <f t="shared" si="104"/>
        <v>380127</v>
      </c>
      <c r="M229" s="189">
        <f t="shared" si="104"/>
        <v>368411</v>
      </c>
      <c r="N229" s="189">
        <f t="shared" si="104"/>
        <v>321316</v>
      </c>
      <c r="O229" s="189">
        <f t="shared" si="104"/>
        <v>324689</v>
      </c>
      <c r="P229" s="189">
        <f t="shared" si="104"/>
        <v>318215</v>
      </c>
      <c r="Q229" s="189">
        <f t="shared" si="104"/>
        <v>316308</v>
      </c>
      <c r="R229" s="189">
        <f t="shared" si="104"/>
        <v>276477</v>
      </c>
      <c r="S229" s="189">
        <f t="shared" si="104"/>
        <v>201209</v>
      </c>
      <c r="T229" s="189">
        <f t="shared" si="104"/>
        <v>374726</v>
      </c>
      <c r="U229" s="189">
        <f t="shared" si="104"/>
        <v>318380</v>
      </c>
      <c r="V229" s="189">
        <f t="shared" si="104"/>
        <v>310787</v>
      </c>
      <c r="W229" s="189">
        <f t="shared" si="104"/>
        <v>318738</v>
      </c>
      <c r="X229" s="189">
        <f t="shared" si="104"/>
        <v>291228</v>
      </c>
      <c r="Y229" s="189">
        <f t="shared" si="104"/>
        <v>285413</v>
      </c>
      <c r="Z229" s="189">
        <f t="shared" si="104"/>
        <v>309274</v>
      </c>
      <c r="AA229" s="189">
        <f t="shared" si="104"/>
        <v>344230</v>
      </c>
      <c r="AB229" s="189">
        <f t="shared" si="104"/>
        <v>356272</v>
      </c>
      <c r="AC229" s="189">
        <f t="shared" si="104"/>
        <v>333152</v>
      </c>
      <c r="AD229" s="189">
        <f t="shared" si="104"/>
        <v>314701</v>
      </c>
      <c r="AE229" s="189">
        <f t="shared" si="104"/>
        <v>340246</v>
      </c>
      <c r="AF229" s="189">
        <f t="shared" si="104"/>
        <v>338784</v>
      </c>
      <c r="AG229" s="189">
        <f t="shared" si="104"/>
        <v>332913</v>
      </c>
      <c r="AH229" s="189">
        <f t="shared" si="104"/>
        <v>274490</v>
      </c>
      <c r="AI229" s="189">
        <f>SUM(AI226:AI228)</f>
        <v>282080</v>
      </c>
      <c r="AJ229" s="191">
        <f>SUM(AJ226:AJ228)</f>
        <v>295375</v>
      </c>
      <c r="AL229" s="206">
        <f>SUM(AL226:AL228)</f>
        <v>9532699</v>
      </c>
      <c r="CY229" s="318"/>
    </row>
    <row r="230" spans="2:103 15069:15461" s="3" customFormat="1">
      <c r="B230" s="69">
        <v>10</v>
      </c>
      <c r="C230" s="148" t="s">
        <v>15</v>
      </c>
      <c r="D230" s="149"/>
      <c r="E230" s="150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211"/>
      <c r="AD230" s="211"/>
      <c r="AE230" s="211"/>
      <c r="AF230" s="211"/>
      <c r="AG230" s="212"/>
      <c r="AH230" s="212"/>
      <c r="AI230" s="212"/>
      <c r="AJ230" s="213"/>
      <c r="AL230" s="253" t="s">
        <v>14</v>
      </c>
      <c r="CY230" s="16"/>
      <c r="VGO230" s="347"/>
      <c r="VGP230" s="347"/>
      <c r="VGQ230" s="347"/>
      <c r="VGR230" s="347"/>
      <c r="VGS230" s="347"/>
      <c r="VGT230" s="347"/>
      <c r="VGU230" s="347"/>
      <c r="VGV230" s="347"/>
      <c r="VGW230" s="347"/>
      <c r="VGX230" s="347"/>
      <c r="VGY230" s="347"/>
      <c r="VGZ230" s="347"/>
      <c r="VHA230" s="347"/>
      <c r="VHB230" s="347"/>
      <c r="VHC230" s="347"/>
      <c r="VHD230" s="347"/>
      <c r="VHE230" s="347"/>
      <c r="VHF230" s="347"/>
      <c r="VHG230" s="347"/>
      <c r="VHH230" s="347"/>
      <c r="VHI230" s="347"/>
      <c r="VHJ230" s="347"/>
      <c r="VHK230" s="347"/>
      <c r="VHL230" s="347"/>
      <c r="VHM230" s="347"/>
      <c r="VHN230" s="347"/>
      <c r="VHO230" s="347"/>
      <c r="VHP230" s="347"/>
      <c r="VHQ230" s="347"/>
      <c r="VHR230" s="347"/>
      <c r="VHS230" s="347"/>
      <c r="VHT230" s="347"/>
      <c r="VHU230" s="347"/>
      <c r="VHV230" s="347"/>
      <c r="VHW230" s="347"/>
      <c r="VHX230" s="347"/>
      <c r="VHY230" s="347"/>
      <c r="VHZ230" s="347"/>
      <c r="VIA230" s="347"/>
      <c r="VIB230" s="347"/>
      <c r="VIC230" s="347"/>
      <c r="VID230" s="347"/>
      <c r="VIE230" s="347"/>
      <c r="VIF230" s="347"/>
      <c r="VIG230" s="347"/>
      <c r="VIH230" s="347"/>
      <c r="VII230" s="347"/>
      <c r="VIJ230" s="347"/>
      <c r="VIK230" s="347"/>
      <c r="VIL230" s="347"/>
      <c r="VIM230" s="347"/>
      <c r="VIN230" s="347"/>
      <c r="VIO230" s="347"/>
      <c r="VIP230" s="347"/>
      <c r="VIQ230" s="347"/>
      <c r="VIR230" s="347"/>
      <c r="VIS230" s="347"/>
      <c r="VIT230" s="347"/>
      <c r="VIU230" s="347"/>
      <c r="VIV230" s="347"/>
      <c r="VIW230" s="347"/>
      <c r="VIX230" s="347"/>
      <c r="VIY230" s="347"/>
      <c r="VIZ230" s="347"/>
      <c r="VJA230" s="347"/>
      <c r="VJB230" s="347"/>
      <c r="VJC230" s="347"/>
      <c r="VJD230" s="347"/>
      <c r="VJE230" s="347"/>
      <c r="VJF230" s="347"/>
      <c r="VJG230" s="347"/>
      <c r="VJH230" s="347"/>
      <c r="VJI230" s="347"/>
      <c r="VJJ230" s="347"/>
      <c r="VJK230" s="347"/>
      <c r="VJL230" s="347"/>
      <c r="VJM230" s="347"/>
      <c r="VJN230" s="347"/>
      <c r="VJO230" s="347"/>
      <c r="VJP230" s="347"/>
      <c r="VJQ230" s="347"/>
      <c r="VJR230" s="347"/>
      <c r="VJS230" s="347"/>
      <c r="VJT230" s="347"/>
      <c r="VJU230" s="347"/>
      <c r="VJV230" s="347"/>
      <c r="VJW230" s="347"/>
      <c r="VJX230" s="347"/>
      <c r="VJY230" s="347"/>
      <c r="VJZ230" s="347"/>
      <c r="VKA230" s="347"/>
      <c r="VKB230" s="347"/>
      <c r="VKC230" s="347"/>
      <c r="VKD230" s="347"/>
      <c r="VKE230" s="347"/>
      <c r="VKF230" s="347"/>
      <c r="VKG230" s="347"/>
      <c r="VKH230" s="347"/>
      <c r="VKI230" s="347"/>
      <c r="VKJ230" s="347"/>
      <c r="VKK230" s="347"/>
      <c r="VKL230" s="347"/>
      <c r="VKM230" s="347"/>
      <c r="VKN230" s="347"/>
      <c r="VKO230" s="347"/>
      <c r="VKP230" s="347"/>
      <c r="VKQ230" s="347"/>
      <c r="VKR230" s="347"/>
      <c r="VKS230" s="347"/>
      <c r="VKT230" s="347"/>
      <c r="VKU230" s="347"/>
      <c r="VKV230" s="347"/>
      <c r="VKW230" s="347"/>
      <c r="VKX230" s="347"/>
      <c r="VKY230" s="347"/>
      <c r="VKZ230" s="347"/>
      <c r="VLA230" s="347"/>
      <c r="VLB230" s="347"/>
      <c r="VLC230" s="347"/>
      <c r="VLD230" s="347"/>
      <c r="VLE230" s="347"/>
      <c r="VLF230" s="347"/>
      <c r="VLG230" s="347"/>
      <c r="VLH230" s="347"/>
      <c r="VLI230" s="347"/>
      <c r="VLJ230" s="347"/>
      <c r="VLK230" s="347"/>
      <c r="VLL230" s="347"/>
      <c r="VLM230" s="347"/>
      <c r="VLN230" s="347"/>
      <c r="VLO230" s="347"/>
      <c r="VLP230" s="347"/>
      <c r="VLQ230" s="347"/>
      <c r="VLR230" s="347"/>
      <c r="VLS230" s="347"/>
      <c r="VLT230" s="347"/>
      <c r="VLU230" s="347"/>
      <c r="VLV230" s="347"/>
      <c r="VLW230" s="347"/>
      <c r="VLX230" s="347"/>
      <c r="VLY230" s="347"/>
      <c r="VLZ230" s="347"/>
      <c r="VMA230" s="347"/>
      <c r="VMB230" s="347"/>
      <c r="VMC230" s="347"/>
      <c r="VMD230" s="347"/>
      <c r="VME230" s="347"/>
      <c r="VMF230" s="347"/>
      <c r="VMG230" s="347"/>
      <c r="VMH230" s="347"/>
      <c r="VMI230" s="347"/>
      <c r="VMJ230" s="347"/>
      <c r="VMK230" s="347"/>
      <c r="VML230" s="347"/>
      <c r="VMM230" s="347"/>
      <c r="VMN230" s="347"/>
      <c r="VMO230" s="347"/>
      <c r="VMP230" s="347"/>
      <c r="VMQ230" s="347"/>
      <c r="VMR230" s="347"/>
      <c r="VMS230" s="347"/>
      <c r="VMT230" s="347"/>
      <c r="VMU230" s="347"/>
      <c r="VMV230" s="347"/>
      <c r="VMW230" s="347"/>
      <c r="VMX230" s="347"/>
      <c r="VMY230" s="347"/>
      <c r="VMZ230" s="347"/>
      <c r="VNA230" s="347"/>
      <c r="VNB230" s="347"/>
      <c r="VNC230" s="347"/>
      <c r="VND230" s="347"/>
      <c r="VNE230" s="347"/>
      <c r="VNF230" s="347"/>
      <c r="VNG230" s="347"/>
      <c r="VNH230" s="347"/>
      <c r="VNI230" s="347"/>
      <c r="VNJ230" s="347"/>
      <c r="VNK230" s="347"/>
      <c r="VNL230" s="347"/>
      <c r="VNM230" s="347"/>
      <c r="VNN230" s="347"/>
      <c r="VNO230" s="347"/>
      <c r="VNP230" s="347"/>
      <c r="VNQ230" s="347"/>
      <c r="VNR230" s="347"/>
      <c r="VNS230" s="347"/>
      <c r="VNT230" s="347"/>
      <c r="VNU230" s="347"/>
      <c r="VNV230" s="347"/>
      <c r="VNW230" s="347"/>
      <c r="VNX230" s="347"/>
      <c r="VNY230" s="347"/>
      <c r="VNZ230" s="347"/>
      <c r="VOA230" s="347"/>
      <c r="VOB230" s="347"/>
      <c r="VOC230" s="347"/>
      <c r="VOD230" s="347"/>
      <c r="VOE230" s="347"/>
      <c r="VOF230" s="347"/>
      <c r="VOG230" s="347"/>
      <c r="VOH230" s="347"/>
      <c r="VOI230" s="347"/>
      <c r="VOJ230" s="347"/>
      <c r="VOK230" s="347"/>
      <c r="VOL230" s="347"/>
      <c r="VOM230" s="347"/>
      <c r="VON230" s="347"/>
      <c r="VOO230" s="347"/>
      <c r="VOP230" s="347"/>
      <c r="VOQ230" s="347"/>
      <c r="VOR230" s="347"/>
      <c r="VOS230" s="347"/>
      <c r="VOT230" s="347"/>
      <c r="VOU230" s="347"/>
      <c r="VOV230" s="347"/>
      <c r="VOW230" s="347"/>
      <c r="VOX230" s="347"/>
      <c r="VOY230" s="347"/>
      <c r="VOZ230" s="347"/>
      <c r="VPA230" s="347"/>
      <c r="VPB230" s="347"/>
      <c r="VPC230" s="347"/>
      <c r="VPD230" s="347"/>
      <c r="VPE230" s="347"/>
      <c r="VPF230" s="347"/>
      <c r="VPG230" s="347"/>
      <c r="VPH230" s="347"/>
      <c r="VPI230" s="347"/>
      <c r="VPJ230" s="347"/>
      <c r="VPK230" s="347"/>
      <c r="VPL230" s="347"/>
      <c r="VPM230" s="347"/>
      <c r="VPN230" s="347"/>
      <c r="VPO230" s="347"/>
      <c r="VPP230" s="347"/>
      <c r="VPQ230" s="347"/>
      <c r="VPR230" s="347"/>
      <c r="VPS230" s="347"/>
      <c r="VPT230" s="347"/>
      <c r="VPU230" s="347"/>
      <c r="VPV230" s="347"/>
      <c r="VPW230" s="347"/>
      <c r="VPX230" s="347"/>
      <c r="VPY230" s="347"/>
      <c r="VPZ230" s="347"/>
      <c r="VQA230" s="347"/>
      <c r="VQB230" s="347"/>
      <c r="VQC230" s="347"/>
      <c r="VQD230" s="347"/>
      <c r="VQE230" s="347"/>
      <c r="VQF230" s="347"/>
      <c r="VQG230" s="347"/>
      <c r="VQH230" s="347"/>
      <c r="VQI230" s="347"/>
      <c r="VQJ230" s="347"/>
      <c r="VQK230" s="347"/>
      <c r="VQL230" s="347"/>
      <c r="VQM230" s="347"/>
      <c r="VQN230" s="347"/>
      <c r="VQO230" s="347"/>
      <c r="VQP230" s="347"/>
      <c r="VQQ230" s="347"/>
      <c r="VQR230" s="347"/>
      <c r="VQS230" s="347"/>
      <c r="VQT230" s="347"/>
      <c r="VQU230" s="347"/>
      <c r="VQV230" s="347"/>
      <c r="VQW230" s="347"/>
      <c r="VQX230" s="347"/>
      <c r="VQY230" s="347"/>
      <c r="VQZ230" s="347"/>
      <c r="VRA230" s="347"/>
      <c r="VRB230" s="347"/>
      <c r="VRC230" s="347"/>
      <c r="VRD230" s="347"/>
      <c r="VRE230" s="347"/>
      <c r="VRF230" s="347"/>
      <c r="VRG230" s="347"/>
      <c r="VRH230" s="347"/>
      <c r="VRI230" s="347"/>
      <c r="VRJ230" s="347"/>
      <c r="VRK230" s="347"/>
      <c r="VRL230" s="347"/>
      <c r="VRM230" s="347"/>
      <c r="VRN230" s="347"/>
      <c r="VRO230" s="347"/>
      <c r="VRP230" s="347"/>
      <c r="VRQ230" s="347"/>
      <c r="VRR230" s="347"/>
      <c r="VRS230" s="347"/>
      <c r="VRT230" s="347"/>
      <c r="VRU230" s="347"/>
      <c r="VRV230" s="347"/>
      <c r="VRW230" s="347"/>
      <c r="VRX230" s="347"/>
      <c r="VRY230" s="347"/>
      <c r="VRZ230" s="347"/>
      <c r="VSA230" s="347"/>
      <c r="VSB230" s="347"/>
      <c r="VSC230" s="347"/>
      <c r="VSD230" s="347"/>
      <c r="VSE230" s="347"/>
      <c r="VSF230" s="347"/>
      <c r="VSG230" s="347"/>
      <c r="VSH230" s="347"/>
      <c r="VSI230" s="347"/>
      <c r="VSJ230" s="347"/>
      <c r="VSK230" s="347"/>
      <c r="VSL230" s="347"/>
      <c r="VSM230" s="347"/>
      <c r="VSN230" s="347"/>
      <c r="VSO230" s="347"/>
      <c r="VSP230" s="347"/>
      <c r="VSQ230" s="347"/>
      <c r="VSR230" s="347"/>
      <c r="VSS230" s="347"/>
      <c r="VST230" s="347"/>
      <c r="VSU230" s="347"/>
      <c r="VSV230" s="347"/>
      <c r="VSW230" s="347"/>
      <c r="VSX230" s="347"/>
      <c r="VSY230" s="347"/>
      <c r="VSZ230" s="347"/>
      <c r="VTA230" s="347"/>
      <c r="VTB230" s="347"/>
      <c r="VTC230" s="347"/>
      <c r="VTD230" s="347"/>
      <c r="VTE230" s="347"/>
      <c r="VTF230" s="347"/>
      <c r="VTG230" s="347"/>
      <c r="VTH230" s="347"/>
      <c r="VTI230" s="347"/>
      <c r="VTJ230" s="347"/>
      <c r="VTK230" s="347"/>
      <c r="VTL230" s="347"/>
      <c r="VTM230" s="347"/>
      <c r="VTN230" s="347"/>
      <c r="VTO230" s="347"/>
      <c r="VTP230" s="347"/>
      <c r="VTQ230" s="347"/>
      <c r="VTR230" s="347"/>
      <c r="VTS230" s="347"/>
      <c r="VTT230" s="347"/>
      <c r="VTU230" s="347"/>
      <c r="VTV230" s="347"/>
      <c r="VTW230" s="347"/>
      <c r="VTX230" s="347"/>
      <c r="VTY230" s="347"/>
      <c r="VTZ230" s="347"/>
      <c r="VUA230" s="347"/>
      <c r="VUB230" s="347"/>
      <c r="VUC230" s="347"/>
      <c r="VUD230" s="347"/>
      <c r="VUE230" s="347"/>
      <c r="VUF230" s="347"/>
      <c r="VUG230" s="347"/>
      <c r="VUH230" s="347"/>
      <c r="VUI230" s="347"/>
      <c r="VUJ230" s="347"/>
      <c r="VUK230" s="347"/>
      <c r="VUL230" s="347"/>
      <c r="VUM230" s="347"/>
      <c r="VUN230" s="347"/>
      <c r="VUO230" s="347"/>
      <c r="VUP230" s="347"/>
      <c r="VUQ230" s="347"/>
      <c r="VUR230" s="347"/>
      <c r="VUS230" s="347"/>
      <c r="VUT230" s="347"/>
      <c r="VUU230" s="347"/>
      <c r="VUV230" s="347"/>
      <c r="VUW230" s="347"/>
      <c r="VUX230" s="347"/>
      <c r="VUY230" s="347"/>
      <c r="VUZ230" s="347"/>
      <c r="VVA230" s="347"/>
      <c r="VVB230" s="347"/>
      <c r="VVC230" s="347"/>
      <c r="VVD230" s="347"/>
      <c r="VVE230" s="347"/>
      <c r="VVF230" s="347"/>
      <c r="VVG230" s="347"/>
      <c r="VVH230" s="347"/>
      <c r="VVI230" s="347"/>
      <c r="VVJ230" s="347"/>
      <c r="VVK230" s="347"/>
      <c r="VVL230" s="347"/>
      <c r="VVM230" s="347"/>
      <c r="VVN230" s="347"/>
      <c r="VVO230" s="347"/>
      <c r="VVP230" s="347"/>
      <c r="VVQ230" s="347"/>
    </row>
    <row r="231" spans="2:103 15069:15461" s="66" customFormat="1" ht="16.2">
      <c r="B231" s="143"/>
      <c r="C231" s="201" t="s">
        <v>13</v>
      </c>
      <c r="D231" s="256">
        <v>750</v>
      </c>
      <c r="E231" s="17" t="s">
        <v>126</v>
      </c>
      <c r="F231" s="11">
        <v>714</v>
      </c>
      <c r="G231" s="11">
        <v>704</v>
      </c>
      <c r="H231" s="11">
        <v>378</v>
      </c>
      <c r="I231" s="325">
        <v>784</v>
      </c>
      <c r="J231" s="11">
        <v>675</v>
      </c>
      <c r="K231" s="11">
        <v>663</v>
      </c>
      <c r="L231" s="325">
        <v>874</v>
      </c>
      <c r="M231" s="325">
        <v>752</v>
      </c>
      <c r="N231" s="11">
        <v>477</v>
      </c>
      <c r="O231" s="11">
        <v>744</v>
      </c>
      <c r="P231" s="11">
        <v>654</v>
      </c>
      <c r="Q231" s="11">
        <v>686</v>
      </c>
      <c r="R231" s="11">
        <v>675</v>
      </c>
      <c r="S231" s="11">
        <v>555</v>
      </c>
      <c r="T231" s="11">
        <v>748</v>
      </c>
      <c r="U231" s="11">
        <v>641</v>
      </c>
      <c r="V231" s="11">
        <v>749</v>
      </c>
      <c r="W231" s="11">
        <v>718</v>
      </c>
      <c r="X231" s="11">
        <v>569</v>
      </c>
      <c r="Y231" s="11">
        <v>613</v>
      </c>
      <c r="Z231" s="11">
        <v>748</v>
      </c>
      <c r="AA231" s="11">
        <v>749</v>
      </c>
      <c r="AB231" s="11">
        <v>628</v>
      </c>
      <c r="AC231" s="11">
        <v>749</v>
      </c>
      <c r="AD231" s="11">
        <v>655</v>
      </c>
      <c r="AE231" s="11">
        <v>613</v>
      </c>
      <c r="AF231" s="11">
        <v>749</v>
      </c>
      <c r="AG231" s="327">
        <v>709</v>
      </c>
      <c r="AH231" s="330">
        <v>814</v>
      </c>
      <c r="AI231" s="327">
        <v>611</v>
      </c>
      <c r="AJ231" s="328">
        <v>681</v>
      </c>
      <c r="AK231" s="329"/>
      <c r="AL231" s="257">
        <f>SUM(F231:AJ231)</f>
        <v>21079</v>
      </c>
      <c r="CY231" s="306"/>
    </row>
    <row r="232" spans="2:103 15069:15461" s="66" customFormat="1">
      <c r="B232" s="143"/>
      <c r="C232" s="258" t="s">
        <v>12</v>
      </c>
      <c r="D232" s="101"/>
      <c r="E232" s="102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64"/>
      <c r="AH232" s="64"/>
      <c r="AI232" s="64"/>
      <c r="AJ232" s="65"/>
      <c r="AL232" s="259" t="s">
        <v>12</v>
      </c>
      <c r="CY232" s="306"/>
    </row>
    <row r="233" spans="2:103 15069:15461" s="66" customFormat="1" ht="16.2">
      <c r="B233" s="143"/>
      <c r="C233" s="201" t="s">
        <v>11</v>
      </c>
      <c r="D233" s="260">
        <v>91.5</v>
      </c>
      <c r="E233" s="17" t="s">
        <v>126</v>
      </c>
      <c r="F233" s="57">
        <v>83</v>
      </c>
      <c r="G233" s="57">
        <v>57</v>
      </c>
      <c r="H233" s="57">
        <v>76</v>
      </c>
      <c r="I233" s="57">
        <v>68</v>
      </c>
      <c r="J233" s="57">
        <v>132</v>
      </c>
      <c r="K233" s="57">
        <v>112</v>
      </c>
      <c r="L233" s="57">
        <v>122</v>
      </c>
      <c r="M233" s="57">
        <v>95</v>
      </c>
      <c r="N233" s="57">
        <v>86</v>
      </c>
      <c r="O233" s="57">
        <v>94</v>
      </c>
      <c r="P233" s="57">
        <v>63</v>
      </c>
      <c r="Q233" s="57">
        <v>84</v>
      </c>
      <c r="R233" s="57">
        <v>75</v>
      </c>
      <c r="S233" s="57">
        <v>34</v>
      </c>
      <c r="T233" s="57">
        <v>120</v>
      </c>
      <c r="U233" s="57">
        <v>55</v>
      </c>
      <c r="V233" s="57">
        <v>98</v>
      </c>
      <c r="W233" s="57">
        <v>107</v>
      </c>
      <c r="X233" s="57">
        <v>75</v>
      </c>
      <c r="Y233" s="57">
        <v>78</v>
      </c>
      <c r="Z233" s="57">
        <v>70</v>
      </c>
      <c r="AA233" s="57">
        <v>54</v>
      </c>
      <c r="AB233" s="57">
        <v>71</v>
      </c>
      <c r="AC233" s="57">
        <v>61</v>
      </c>
      <c r="AD233" s="57">
        <v>95</v>
      </c>
      <c r="AE233" s="57">
        <v>84</v>
      </c>
      <c r="AF233" s="57">
        <v>106</v>
      </c>
      <c r="AG233" s="64">
        <v>79</v>
      </c>
      <c r="AH233" s="64">
        <v>130</v>
      </c>
      <c r="AI233" s="64">
        <v>81</v>
      </c>
      <c r="AJ233" s="65">
        <v>81</v>
      </c>
      <c r="AL233" s="261">
        <f>SUM(F233:AJ233)</f>
        <v>2626</v>
      </c>
      <c r="CY233" s="306"/>
    </row>
    <row r="234" spans="2:103 15069:15461" s="66" customFormat="1" ht="16.2">
      <c r="B234" s="143"/>
      <c r="C234" s="201" t="s">
        <v>10</v>
      </c>
      <c r="D234" s="260">
        <v>179.63</v>
      </c>
      <c r="E234" s="17" t="s">
        <v>126</v>
      </c>
      <c r="F234" s="57">
        <v>76</v>
      </c>
      <c r="G234" s="57">
        <v>105</v>
      </c>
      <c r="H234" s="57">
        <v>76</v>
      </c>
      <c r="I234" s="57">
        <v>85</v>
      </c>
      <c r="J234" s="57">
        <v>78</v>
      </c>
      <c r="K234" s="57">
        <v>137</v>
      </c>
      <c r="L234" s="57">
        <v>127</v>
      </c>
      <c r="M234" s="57">
        <v>117</v>
      </c>
      <c r="N234" s="57">
        <v>162</v>
      </c>
      <c r="O234" s="57">
        <v>136</v>
      </c>
      <c r="P234" s="57">
        <v>147</v>
      </c>
      <c r="Q234" s="57">
        <v>117</v>
      </c>
      <c r="R234" s="57">
        <v>102</v>
      </c>
      <c r="S234" s="57">
        <v>67</v>
      </c>
      <c r="T234" s="57">
        <v>41</v>
      </c>
      <c r="U234" s="57">
        <v>74</v>
      </c>
      <c r="V234" s="57">
        <v>145</v>
      </c>
      <c r="W234" s="57">
        <v>142</v>
      </c>
      <c r="X234" s="57">
        <v>111</v>
      </c>
      <c r="Y234" s="57">
        <v>103</v>
      </c>
      <c r="Z234" s="57">
        <v>129</v>
      </c>
      <c r="AA234" s="57">
        <v>138</v>
      </c>
      <c r="AB234" s="57">
        <v>137</v>
      </c>
      <c r="AC234" s="57">
        <v>101</v>
      </c>
      <c r="AD234" s="57">
        <v>91</v>
      </c>
      <c r="AE234" s="57">
        <v>130</v>
      </c>
      <c r="AF234" s="57">
        <v>151</v>
      </c>
      <c r="AG234" s="64">
        <v>125</v>
      </c>
      <c r="AH234" s="64">
        <v>141</v>
      </c>
      <c r="AI234" s="64">
        <v>86</v>
      </c>
      <c r="AJ234" s="65">
        <v>100</v>
      </c>
      <c r="AL234" s="261">
        <f>SUM(F234:AJ234)</f>
        <v>3477</v>
      </c>
      <c r="CY234" s="306"/>
    </row>
    <row r="235" spans="2:103 15069:15461" s="66" customFormat="1" ht="16.2">
      <c r="B235" s="143"/>
      <c r="C235" s="201" t="s">
        <v>9</v>
      </c>
      <c r="D235" s="256">
        <f>44.69%*D231</f>
        <v>335.17499999999995</v>
      </c>
      <c r="E235" s="17" t="s">
        <v>126</v>
      </c>
      <c r="F235" s="285">
        <v>346.6</v>
      </c>
      <c r="G235" s="285">
        <v>364.3</v>
      </c>
      <c r="H235" s="57">
        <v>293.8</v>
      </c>
      <c r="I235" s="285">
        <v>351.7</v>
      </c>
      <c r="J235" s="57">
        <v>321.3</v>
      </c>
      <c r="K235" s="285">
        <v>360.4</v>
      </c>
      <c r="L235" s="285">
        <v>449.2</v>
      </c>
      <c r="M235" s="285">
        <v>411.6</v>
      </c>
      <c r="N235" s="57">
        <v>365.5</v>
      </c>
      <c r="O235" s="57">
        <v>334.9</v>
      </c>
      <c r="P235" s="57">
        <v>392.8</v>
      </c>
      <c r="Q235" s="57">
        <v>313.5</v>
      </c>
      <c r="R235" s="57">
        <v>355.4</v>
      </c>
      <c r="S235" s="57">
        <v>362.8</v>
      </c>
      <c r="T235" s="57">
        <v>361.8</v>
      </c>
      <c r="U235" s="57">
        <v>369.8</v>
      </c>
      <c r="V235" s="57">
        <v>349</v>
      </c>
      <c r="W235" s="57">
        <v>338.1</v>
      </c>
      <c r="X235" s="57">
        <v>379.9</v>
      </c>
      <c r="Y235" s="57">
        <v>319.39999999999998</v>
      </c>
      <c r="Z235" s="57">
        <v>393.8</v>
      </c>
      <c r="AA235" s="57">
        <v>403.4</v>
      </c>
      <c r="AB235" s="57">
        <v>391.2</v>
      </c>
      <c r="AC235" s="57">
        <v>401</v>
      </c>
      <c r="AD235" s="57">
        <v>327.3</v>
      </c>
      <c r="AE235" s="57">
        <v>394.3</v>
      </c>
      <c r="AF235" s="57">
        <v>384.6</v>
      </c>
      <c r="AG235" s="64">
        <v>359.7</v>
      </c>
      <c r="AH235" s="64">
        <v>356.1</v>
      </c>
      <c r="AI235" s="64">
        <v>309.89999999999998</v>
      </c>
      <c r="AJ235" s="65">
        <v>378.8</v>
      </c>
      <c r="AL235" s="261">
        <f>SUM(F235:AJ235)</f>
        <v>11241.9</v>
      </c>
      <c r="CY235" s="306"/>
    </row>
    <row r="236" spans="2:103 15069:15461" s="66" customFormat="1" ht="16.2">
      <c r="B236" s="143"/>
      <c r="C236" s="201" t="s">
        <v>8</v>
      </c>
      <c r="D236" s="256">
        <f>D231-SUM(D233:D235)</f>
        <v>143.69500000000005</v>
      </c>
      <c r="E236" s="17" t="s">
        <v>126</v>
      </c>
      <c r="F236" s="285">
        <f t="shared" ref="F236:K236" si="105">F231-(SUM(F233:F235))</f>
        <v>208.39999999999998</v>
      </c>
      <c r="G236" s="285">
        <f t="shared" si="105"/>
        <v>177.70000000000005</v>
      </c>
      <c r="H236" s="57">
        <f t="shared" si="105"/>
        <v>-67.800000000000011</v>
      </c>
      <c r="I236" s="57">
        <f t="shared" si="105"/>
        <v>279.3</v>
      </c>
      <c r="J236" s="57">
        <f t="shared" si="105"/>
        <v>143.70000000000005</v>
      </c>
      <c r="K236" s="57">
        <f t="shared" si="105"/>
        <v>53.600000000000023</v>
      </c>
      <c r="L236" s="285">
        <f t="shared" ref="L236:AI236" si="106">L231-(SUM(L233:L235))</f>
        <v>175.79999999999995</v>
      </c>
      <c r="M236" s="57">
        <f t="shared" si="106"/>
        <v>128.39999999999998</v>
      </c>
      <c r="N236" s="57">
        <f t="shared" si="106"/>
        <v>-136.5</v>
      </c>
      <c r="O236" s="57">
        <f t="shared" si="106"/>
        <v>179.10000000000002</v>
      </c>
      <c r="P236" s="57">
        <f t="shared" si="106"/>
        <v>51.200000000000045</v>
      </c>
      <c r="Q236" s="57">
        <f t="shared" si="106"/>
        <v>171.5</v>
      </c>
      <c r="R236" s="57">
        <f t="shared" si="106"/>
        <v>142.60000000000002</v>
      </c>
      <c r="S236" s="57">
        <f t="shared" si="106"/>
        <v>91.199999999999989</v>
      </c>
      <c r="T236" s="57">
        <f t="shared" si="106"/>
        <v>225.20000000000005</v>
      </c>
      <c r="U236" s="57">
        <f t="shared" si="106"/>
        <v>142.19999999999999</v>
      </c>
      <c r="V236" s="57">
        <f t="shared" si="106"/>
        <v>157</v>
      </c>
      <c r="W236" s="57">
        <f t="shared" si="106"/>
        <v>130.89999999999998</v>
      </c>
      <c r="X236" s="57">
        <f t="shared" si="106"/>
        <v>3.1000000000000227</v>
      </c>
      <c r="Y236" s="57">
        <f t="shared" si="106"/>
        <v>112.60000000000002</v>
      </c>
      <c r="Z236" s="57">
        <f t="shared" si="106"/>
        <v>155.20000000000005</v>
      </c>
      <c r="AA236" s="57">
        <f t="shared" si="106"/>
        <v>153.60000000000002</v>
      </c>
      <c r="AB236" s="57">
        <f t="shared" si="106"/>
        <v>28.799999999999955</v>
      </c>
      <c r="AC236" s="57">
        <f>AC231-(SUM(AC233:AC235))</f>
        <v>186</v>
      </c>
      <c r="AD236" s="57">
        <f t="shared" si="106"/>
        <v>141.70000000000005</v>
      </c>
      <c r="AE236" s="57">
        <f t="shared" si="106"/>
        <v>4.7000000000000455</v>
      </c>
      <c r="AF236" s="57">
        <f t="shared" si="106"/>
        <v>107.39999999999998</v>
      </c>
      <c r="AG236" s="57">
        <f t="shared" si="106"/>
        <v>145.29999999999995</v>
      </c>
      <c r="AH236" s="57">
        <f t="shared" si="106"/>
        <v>186.89999999999998</v>
      </c>
      <c r="AI236" s="57">
        <f t="shared" si="106"/>
        <v>134.10000000000002</v>
      </c>
      <c r="AJ236" s="65">
        <f>AJ231-(SUM(AJ233:AJ235))</f>
        <v>121.20000000000005</v>
      </c>
      <c r="AL236" s="261">
        <f>SUM(F236:AJ236)</f>
        <v>3734.0999999999995</v>
      </c>
      <c r="CY236" s="306"/>
    </row>
    <row r="237" spans="2:103 15069:15461" s="66" customFormat="1" ht="16.8" thickBot="1">
      <c r="B237" s="262"/>
      <c r="C237" s="201" t="s">
        <v>7</v>
      </c>
      <c r="D237" s="256">
        <f>30%*D231</f>
        <v>225</v>
      </c>
      <c r="E237" s="17" t="s">
        <v>126</v>
      </c>
      <c r="F237" s="285">
        <v>249</v>
      </c>
      <c r="G237" s="57">
        <v>187</v>
      </c>
      <c r="H237" s="57">
        <v>155</v>
      </c>
      <c r="I237" s="57">
        <v>200</v>
      </c>
      <c r="J237" s="285">
        <v>270</v>
      </c>
      <c r="K237" s="57">
        <v>117</v>
      </c>
      <c r="L237" s="57">
        <v>179</v>
      </c>
      <c r="M237" s="57">
        <v>194</v>
      </c>
      <c r="N237" s="57">
        <v>210</v>
      </c>
      <c r="O237" s="57">
        <v>247</v>
      </c>
      <c r="P237" s="57">
        <v>188</v>
      </c>
      <c r="Q237" s="57">
        <v>193</v>
      </c>
      <c r="R237" s="57">
        <v>152</v>
      </c>
      <c r="S237" s="57">
        <v>303</v>
      </c>
      <c r="T237" s="57">
        <v>249</v>
      </c>
      <c r="U237" s="57">
        <v>187</v>
      </c>
      <c r="V237" s="57">
        <v>207</v>
      </c>
      <c r="W237" s="57">
        <v>209</v>
      </c>
      <c r="X237" s="57">
        <v>182</v>
      </c>
      <c r="Y237" s="57">
        <v>154</v>
      </c>
      <c r="Z237" s="57">
        <v>306</v>
      </c>
      <c r="AA237" s="57">
        <v>235</v>
      </c>
      <c r="AB237" s="57">
        <v>221</v>
      </c>
      <c r="AC237" s="57">
        <v>309</v>
      </c>
      <c r="AD237" s="57">
        <v>169</v>
      </c>
      <c r="AE237" s="57">
        <v>179</v>
      </c>
      <c r="AF237" s="57">
        <v>224</v>
      </c>
      <c r="AG237" s="64">
        <v>268</v>
      </c>
      <c r="AH237" s="64">
        <v>249</v>
      </c>
      <c r="AI237" s="64">
        <v>211</v>
      </c>
      <c r="AJ237" s="65">
        <v>197</v>
      </c>
      <c r="AL237" s="261">
        <f>SUM(F237:AJ237)</f>
        <v>6600</v>
      </c>
      <c r="CY237" s="306"/>
    </row>
    <row r="238" spans="2:103 15069:15461" s="3" customFormat="1">
      <c r="B238" s="181">
        <v>11</v>
      </c>
      <c r="C238" s="148" t="s">
        <v>6</v>
      </c>
      <c r="D238" s="149"/>
      <c r="E238" s="150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52"/>
      <c r="AH238" s="52"/>
      <c r="AI238" s="52"/>
      <c r="AJ238" s="60"/>
      <c r="AL238" s="263" t="s">
        <v>5</v>
      </c>
      <c r="CY238" s="16"/>
      <c r="VGO238" s="347"/>
      <c r="VGP238" s="347"/>
      <c r="VGQ238" s="347"/>
      <c r="VGR238" s="347"/>
      <c r="VGS238" s="347"/>
      <c r="VGT238" s="347"/>
      <c r="VGU238" s="347"/>
      <c r="VGV238" s="347"/>
      <c r="VGW238" s="347"/>
      <c r="VGX238" s="347"/>
      <c r="VGY238" s="347"/>
      <c r="VGZ238" s="347"/>
      <c r="VHA238" s="347"/>
      <c r="VHB238" s="347"/>
      <c r="VHC238" s="347"/>
      <c r="VHD238" s="347"/>
      <c r="VHE238" s="347"/>
      <c r="VHF238" s="347"/>
      <c r="VHG238" s="347"/>
      <c r="VHH238" s="347"/>
      <c r="VHI238" s="347"/>
      <c r="VHJ238" s="347"/>
      <c r="VHK238" s="347"/>
      <c r="VHL238" s="347"/>
      <c r="VHM238" s="347"/>
      <c r="VHN238" s="347"/>
      <c r="VHO238" s="347"/>
      <c r="VHP238" s="347"/>
      <c r="VHQ238" s="347"/>
      <c r="VHR238" s="347"/>
      <c r="VHS238" s="347"/>
      <c r="VHT238" s="347"/>
      <c r="VHU238" s="347"/>
      <c r="VHV238" s="347"/>
      <c r="VHW238" s="347"/>
      <c r="VHX238" s="347"/>
      <c r="VHY238" s="347"/>
      <c r="VHZ238" s="347"/>
      <c r="VIA238" s="347"/>
      <c r="VIB238" s="347"/>
      <c r="VIC238" s="347"/>
      <c r="VID238" s="347"/>
      <c r="VIE238" s="347"/>
      <c r="VIF238" s="347"/>
      <c r="VIG238" s="347"/>
      <c r="VIH238" s="347"/>
      <c r="VII238" s="347"/>
      <c r="VIJ238" s="347"/>
      <c r="VIK238" s="347"/>
      <c r="VIL238" s="347"/>
      <c r="VIM238" s="347"/>
      <c r="VIN238" s="347"/>
      <c r="VIO238" s="347"/>
      <c r="VIP238" s="347"/>
      <c r="VIQ238" s="347"/>
      <c r="VIR238" s="347"/>
      <c r="VIS238" s="347"/>
      <c r="VIT238" s="347"/>
      <c r="VIU238" s="347"/>
      <c r="VIV238" s="347"/>
      <c r="VIW238" s="347"/>
      <c r="VIX238" s="347"/>
      <c r="VIY238" s="347"/>
      <c r="VIZ238" s="347"/>
      <c r="VJA238" s="347"/>
      <c r="VJB238" s="347"/>
      <c r="VJC238" s="347"/>
      <c r="VJD238" s="347"/>
      <c r="VJE238" s="347"/>
      <c r="VJF238" s="347"/>
      <c r="VJG238" s="347"/>
      <c r="VJH238" s="347"/>
      <c r="VJI238" s="347"/>
      <c r="VJJ238" s="347"/>
      <c r="VJK238" s="347"/>
      <c r="VJL238" s="347"/>
      <c r="VJM238" s="347"/>
      <c r="VJN238" s="347"/>
      <c r="VJO238" s="347"/>
      <c r="VJP238" s="347"/>
      <c r="VJQ238" s="347"/>
      <c r="VJR238" s="347"/>
      <c r="VJS238" s="347"/>
      <c r="VJT238" s="347"/>
      <c r="VJU238" s="347"/>
      <c r="VJV238" s="347"/>
      <c r="VJW238" s="347"/>
      <c r="VJX238" s="347"/>
      <c r="VJY238" s="347"/>
      <c r="VJZ238" s="347"/>
      <c r="VKA238" s="347"/>
      <c r="VKB238" s="347"/>
      <c r="VKC238" s="347"/>
      <c r="VKD238" s="347"/>
      <c r="VKE238" s="347"/>
      <c r="VKF238" s="347"/>
      <c r="VKG238" s="347"/>
      <c r="VKH238" s="347"/>
      <c r="VKI238" s="347"/>
      <c r="VKJ238" s="347"/>
      <c r="VKK238" s="347"/>
      <c r="VKL238" s="347"/>
      <c r="VKM238" s="347"/>
      <c r="VKN238" s="347"/>
      <c r="VKO238" s="347"/>
      <c r="VKP238" s="347"/>
      <c r="VKQ238" s="347"/>
      <c r="VKR238" s="347"/>
      <c r="VKS238" s="347"/>
      <c r="VKT238" s="347"/>
      <c r="VKU238" s="347"/>
      <c r="VKV238" s="347"/>
      <c r="VKW238" s="347"/>
      <c r="VKX238" s="347"/>
      <c r="VKY238" s="347"/>
      <c r="VKZ238" s="347"/>
      <c r="VLA238" s="347"/>
      <c r="VLB238" s="347"/>
      <c r="VLC238" s="347"/>
      <c r="VLD238" s="347"/>
      <c r="VLE238" s="347"/>
      <c r="VLF238" s="347"/>
      <c r="VLG238" s="347"/>
      <c r="VLH238" s="347"/>
      <c r="VLI238" s="347"/>
      <c r="VLJ238" s="347"/>
      <c r="VLK238" s="347"/>
      <c r="VLL238" s="347"/>
      <c r="VLM238" s="347"/>
      <c r="VLN238" s="347"/>
      <c r="VLO238" s="347"/>
      <c r="VLP238" s="347"/>
      <c r="VLQ238" s="347"/>
      <c r="VLR238" s="347"/>
      <c r="VLS238" s="347"/>
      <c r="VLT238" s="347"/>
      <c r="VLU238" s="347"/>
      <c r="VLV238" s="347"/>
      <c r="VLW238" s="347"/>
      <c r="VLX238" s="347"/>
      <c r="VLY238" s="347"/>
      <c r="VLZ238" s="347"/>
      <c r="VMA238" s="347"/>
      <c r="VMB238" s="347"/>
      <c r="VMC238" s="347"/>
      <c r="VMD238" s="347"/>
      <c r="VME238" s="347"/>
      <c r="VMF238" s="347"/>
      <c r="VMG238" s="347"/>
      <c r="VMH238" s="347"/>
      <c r="VMI238" s="347"/>
      <c r="VMJ238" s="347"/>
      <c r="VMK238" s="347"/>
      <c r="VML238" s="347"/>
      <c r="VMM238" s="347"/>
      <c r="VMN238" s="347"/>
      <c r="VMO238" s="347"/>
      <c r="VMP238" s="347"/>
      <c r="VMQ238" s="347"/>
      <c r="VMR238" s="347"/>
      <c r="VMS238" s="347"/>
      <c r="VMT238" s="347"/>
      <c r="VMU238" s="347"/>
      <c r="VMV238" s="347"/>
      <c r="VMW238" s="347"/>
      <c r="VMX238" s="347"/>
      <c r="VMY238" s="347"/>
      <c r="VMZ238" s="347"/>
      <c r="VNA238" s="347"/>
      <c r="VNB238" s="347"/>
      <c r="VNC238" s="347"/>
      <c r="VND238" s="347"/>
      <c r="VNE238" s="347"/>
      <c r="VNF238" s="347"/>
      <c r="VNG238" s="347"/>
      <c r="VNH238" s="347"/>
      <c r="VNI238" s="347"/>
      <c r="VNJ238" s="347"/>
      <c r="VNK238" s="347"/>
      <c r="VNL238" s="347"/>
      <c r="VNM238" s="347"/>
      <c r="VNN238" s="347"/>
      <c r="VNO238" s="347"/>
      <c r="VNP238" s="347"/>
      <c r="VNQ238" s="347"/>
      <c r="VNR238" s="347"/>
      <c r="VNS238" s="347"/>
      <c r="VNT238" s="347"/>
      <c r="VNU238" s="347"/>
      <c r="VNV238" s="347"/>
      <c r="VNW238" s="347"/>
      <c r="VNX238" s="347"/>
      <c r="VNY238" s="347"/>
      <c r="VNZ238" s="347"/>
      <c r="VOA238" s="347"/>
      <c r="VOB238" s="347"/>
      <c r="VOC238" s="347"/>
      <c r="VOD238" s="347"/>
      <c r="VOE238" s="347"/>
      <c r="VOF238" s="347"/>
      <c r="VOG238" s="347"/>
      <c r="VOH238" s="347"/>
      <c r="VOI238" s="347"/>
      <c r="VOJ238" s="347"/>
      <c r="VOK238" s="347"/>
      <c r="VOL238" s="347"/>
      <c r="VOM238" s="347"/>
      <c r="VON238" s="347"/>
      <c r="VOO238" s="347"/>
      <c r="VOP238" s="347"/>
      <c r="VOQ238" s="347"/>
      <c r="VOR238" s="347"/>
      <c r="VOS238" s="347"/>
      <c r="VOT238" s="347"/>
      <c r="VOU238" s="347"/>
      <c r="VOV238" s="347"/>
      <c r="VOW238" s="347"/>
      <c r="VOX238" s="347"/>
      <c r="VOY238" s="347"/>
      <c r="VOZ238" s="347"/>
      <c r="VPA238" s="347"/>
      <c r="VPB238" s="347"/>
      <c r="VPC238" s="347"/>
      <c r="VPD238" s="347"/>
      <c r="VPE238" s="347"/>
      <c r="VPF238" s="347"/>
      <c r="VPG238" s="347"/>
      <c r="VPH238" s="347"/>
      <c r="VPI238" s="347"/>
      <c r="VPJ238" s="347"/>
      <c r="VPK238" s="347"/>
      <c r="VPL238" s="347"/>
      <c r="VPM238" s="347"/>
      <c r="VPN238" s="347"/>
      <c r="VPO238" s="347"/>
      <c r="VPP238" s="347"/>
      <c r="VPQ238" s="347"/>
      <c r="VPR238" s="347"/>
      <c r="VPS238" s="347"/>
      <c r="VPT238" s="347"/>
      <c r="VPU238" s="347"/>
      <c r="VPV238" s="347"/>
      <c r="VPW238" s="347"/>
      <c r="VPX238" s="347"/>
      <c r="VPY238" s="347"/>
      <c r="VPZ238" s="347"/>
      <c r="VQA238" s="347"/>
      <c r="VQB238" s="347"/>
      <c r="VQC238" s="347"/>
      <c r="VQD238" s="347"/>
      <c r="VQE238" s="347"/>
      <c r="VQF238" s="347"/>
      <c r="VQG238" s="347"/>
      <c r="VQH238" s="347"/>
      <c r="VQI238" s="347"/>
      <c r="VQJ238" s="347"/>
      <c r="VQK238" s="347"/>
      <c r="VQL238" s="347"/>
      <c r="VQM238" s="347"/>
      <c r="VQN238" s="347"/>
      <c r="VQO238" s="347"/>
      <c r="VQP238" s="347"/>
      <c r="VQQ238" s="347"/>
      <c r="VQR238" s="347"/>
      <c r="VQS238" s="347"/>
      <c r="VQT238" s="347"/>
      <c r="VQU238" s="347"/>
      <c r="VQV238" s="347"/>
      <c r="VQW238" s="347"/>
      <c r="VQX238" s="347"/>
      <c r="VQY238" s="347"/>
      <c r="VQZ238" s="347"/>
      <c r="VRA238" s="347"/>
      <c r="VRB238" s="347"/>
      <c r="VRC238" s="347"/>
      <c r="VRD238" s="347"/>
      <c r="VRE238" s="347"/>
      <c r="VRF238" s="347"/>
      <c r="VRG238" s="347"/>
      <c r="VRH238" s="347"/>
      <c r="VRI238" s="347"/>
      <c r="VRJ238" s="347"/>
      <c r="VRK238" s="347"/>
      <c r="VRL238" s="347"/>
      <c r="VRM238" s="347"/>
      <c r="VRN238" s="347"/>
      <c r="VRO238" s="347"/>
      <c r="VRP238" s="347"/>
      <c r="VRQ238" s="347"/>
      <c r="VRR238" s="347"/>
      <c r="VRS238" s="347"/>
      <c r="VRT238" s="347"/>
      <c r="VRU238" s="347"/>
      <c r="VRV238" s="347"/>
      <c r="VRW238" s="347"/>
      <c r="VRX238" s="347"/>
      <c r="VRY238" s="347"/>
      <c r="VRZ238" s="347"/>
      <c r="VSA238" s="347"/>
      <c r="VSB238" s="347"/>
      <c r="VSC238" s="347"/>
      <c r="VSD238" s="347"/>
      <c r="VSE238" s="347"/>
      <c r="VSF238" s="347"/>
      <c r="VSG238" s="347"/>
      <c r="VSH238" s="347"/>
      <c r="VSI238" s="347"/>
      <c r="VSJ238" s="347"/>
      <c r="VSK238" s="347"/>
      <c r="VSL238" s="347"/>
      <c r="VSM238" s="347"/>
      <c r="VSN238" s="347"/>
      <c r="VSO238" s="347"/>
      <c r="VSP238" s="347"/>
      <c r="VSQ238" s="347"/>
      <c r="VSR238" s="347"/>
      <c r="VSS238" s="347"/>
      <c r="VST238" s="347"/>
      <c r="VSU238" s="347"/>
      <c r="VSV238" s="347"/>
      <c r="VSW238" s="347"/>
      <c r="VSX238" s="347"/>
      <c r="VSY238" s="347"/>
      <c r="VSZ238" s="347"/>
      <c r="VTA238" s="347"/>
      <c r="VTB238" s="347"/>
      <c r="VTC238" s="347"/>
      <c r="VTD238" s="347"/>
      <c r="VTE238" s="347"/>
      <c r="VTF238" s="347"/>
      <c r="VTG238" s="347"/>
      <c r="VTH238" s="347"/>
      <c r="VTI238" s="347"/>
      <c r="VTJ238" s="347"/>
      <c r="VTK238" s="347"/>
      <c r="VTL238" s="347"/>
      <c r="VTM238" s="347"/>
      <c r="VTN238" s="347"/>
      <c r="VTO238" s="347"/>
      <c r="VTP238" s="347"/>
      <c r="VTQ238" s="347"/>
      <c r="VTR238" s="347"/>
      <c r="VTS238" s="347"/>
      <c r="VTT238" s="347"/>
      <c r="VTU238" s="347"/>
      <c r="VTV238" s="347"/>
      <c r="VTW238" s="347"/>
      <c r="VTX238" s="347"/>
      <c r="VTY238" s="347"/>
      <c r="VTZ238" s="347"/>
      <c r="VUA238" s="347"/>
      <c r="VUB238" s="347"/>
      <c r="VUC238" s="347"/>
      <c r="VUD238" s="347"/>
      <c r="VUE238" s="347"/>
      <c r="VUF238" s="347"/>
      <c r="VUG238" s="347"/>
      <c r="VUH238" s="347"/>
      <c r="VUI238" s="347"/>
      <c r="VUJ238" s="347"/>
      <c r="VUK238" s="347"/>
      <c r="VUL238" s="347"/>
      <c r="VUM238" s="347"/>
      <c r="VUN238" s="347"/>
      <c r="VUO238" s="347"/>
      <c r="VUP238" s="347"/>
      <c r="VUQ238" s="347"/>
      <c r="VUR238" s="347"/>
      <c r="VUS238" s="347"/>
      <c r="VUT238" s="347"/>
      <c r="VUU238" s="347"/>
      <c r="VUV238" s="347"/>
      <c r="VUW238" s="347"/>
      <c r="VUX238" s="347"/>
      <c r="VUY238" s="347"/>
      <c r="VUZ238" s="347"/>
      <c r="VVA238" s="347"/>
      <c r="VVB238" s="347"/>
      <c r="VVC238" s="347"/>
      <c r="VVD238" s="347"/>
      <c r="VVE238" s="347"/>
      <c r="VVF238" s="347"/>
      <c r="VVG238" s="347"/>
      <c r="VVH238" s="347"/>
      <c r="VVI238" s="347"/>
      <c r="VVJ238" s="347"/>
      <c r="VVK238" s="347"/>
      <c r="VVL238" s="347"/>
      <c r="VVM238" s="347"/>
      <c r="VVN238" s="347"/>
      <c r="VVO238" s="347"/>
      <c r="VVP238" s="347"/>
      <c r="VVQ238" s="347"/>
    </row>
    <row r="239" spans="2:103 15069:15461" s="3" customFormat="1">
      <c r="B239" s="181"/>
      <c r="C239" s="264" t="s">
        <v>4</v>
      </c>
      <c r="D239" s="265"/>
      <c r="E239" s="266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50"/>
      <c r="AH239" s="50"/>
      <c r="AI239" s="50"/>
      <c r="AJ239" s="21"/>
      <c r="AL239" s="237" t="s">
        <v>4</v>
      </c>
      <c r="CY239" s="16"/>
      <c r="VGO239" s="347"/>
      <c r="VGP239" s="347"/>
      <c r="VGQ239" s="347"/>
      <c r="VGR239" s="347"/>
      <c r="VGS239" s="347"/>
      <c r="VGT239" s="347"/>
      <c r="VGU239" s="347"/>
      <c r="VGV239" s="347"/>
      <c r="VGW239" s="347"/>
      <c r="VGX239" s="347"/>
      <c r="VGY239" s="347"/>
      <c r="VGZ239" s="347"/>
      <c r="VHA239" s="347"/>
      <c r="VHB239" s="347"/>
      <c r="VHC239" s="347"/>
      <c r="VHD239" s="347"/>
      <c r="VHE239" s="347"/>
      <c r="VHF239" s="347"/>
      <c r="VHG239" s="347"/>
      <c r="VHH239" s="347"/>
      <c r="VHI239" s="347"/>
      <c r="VHJ239" s="347"/>
      <c r="VHK239" s="347"/>
      <c r="VHL239" s="347"/>
      <c r="VHM239" s="347"/>
      <c r="VHN239" s="347"/>
      <c r="VHO239" s="347"/>
      <c r="VHP239" s="347"/>
      <c r="VHQ239" s="347"/>
      <c r="VHR239" s="347"/>
      <c r="VHS239" s="347"/>
      <c r="VHT239" s="347"/>
      <c r="VHU239" s="347"/>
      <c r="VHV239" s="347"/>
      <c r="VHW239" s="347"/>
      <c r="VHX239" s="347"/>
      <c r="VHY239" s="347"/>
      <c r="VHZ239" s="347"/>
      <c r="VIA239" s="347"/>
      <c r="VIB239" s="347"/>
      <c r="VIC239" s="347"/>
      <c r="VID239" s="347"/>
      <c r="VIE239" s="347"/>
      <c r="VIF239" s="347"/>
      <c r="VIG239" s="347"/>
      <c r="VIH239" s="347"/>
      <c r="VII239" s="347"/>
      <c r="VIJ239" s="347"/>
      <c r="VIK239" s="347"/>
      <c r="VIL239" s="347"/>
      <c r="VIM239" s="347"/>
      <c r="VIN239" s="347"/>
      <c r="VIO239" s="347"/>
      <c r="VIP239" s="347"/>
      <c r="VIQ239" s="347"/>
      <c r="VIR239" s="347"/>
      <c r="VIS239" s="347"/>
      <c r="VIT239" s="347"/>
      <c r="VIU239" s="347"/>
      <c r="VIV239" s="347"/>
      <c r="VIW239" s="347"/>
      <c r="VIX239" s="347"/>
      <c r="VIY239" s="347"/>
      <c r="VIZ239" s="347"/>
      <c r="VJA239" s="347"/>
      <c r="VJB239" s="347"/>
      <c r="VJC239" s="347"/>
      <c r="VJD239" s="347"/>
      <c r="VJE239" s="347"/>
      <c r="VJF239" s="347"/>
      <c r="VJG239" s="347"/>
      <c r="VJH239" s="347"/>
      <c r="VJI239" s="347"/>
      <c r="VJJ239" s="347"/>
      <c r="VJK239" s="347"/>
      <c r="VJL239" s="347"/>
      <c r="VJM239" s="347"/>
      <c r="VJN239" s="347"/>
      <c r="VJO239" s="347"/>
      <c r="VJP239" s="347"/>
      <c r="VJQ239" s="347"/>
      <c r="VJR239" s="347"/>
      <c r="VJS239" s="347"/>
      <c r="VJT239" s="347"/>
      <c r="VJU239" s="347"/>
      <c r="VJV239" s="347"/>
      <c r="VJW239" s="347"/>
      <c r="VJX239" s="347"/>
      <c r="VJY239" s="347"/>
      <c r="VJZ239" s="347"/>
      <c r="VKA239" s="347"/>
      <c r="VKB239" s="347"/>
      <c r="VKC239" s="347"/>
      <c r="VKD239" s="347"/>
      <c r="VKE239" s="347"/>
      <c r="VKF239" s="347"/>
      <c r="VKG239" s="347"/>
      <c r="VKH239" s="347"/>
      <c r="VKI239" s="347"/>
      <c r="VKJ239" s="347"/>
      <c r="VKK239" s="347"/>
      <c r="VKL239" s="347"/>
      <c r="VKM239" s="347"/>
      <c r="VKN239" s="347"/>
      <c r="VKO239" s="347"/>
      <c r="VKP239" s="347"/>
      <c r="VKQ239" s="347"/>
      <c r="VKR239" s="347"/>
      <c r="VKS239" s="347"/>
      <c r="VKT239" s="347"/>
      <c r="VKU239" s="347"/>
      <c r="VKV239" s="347"/>
      <c r="VKW239" s="347"/>
      <c r="VKX239" s="347"/>
      <c r="VKY239" s="347"/>
      <c r="VKZ239" s="347"/>
      <c r="VLA239" s="347"/>
      <c r="VLB239" s="347"/>
      <c r="VLC239" s="347"/>
      <c r="VLD239" s="347"/>
      <c r="VLE239" s="347"/>
      <c r="VLF239" s="347"/>
      <c r="VLG239" s="347"/>
      <c r="VLH239" s="347"/>
      <c r="VLI239" s="347"/>
      <c r="VLJ239" s="347"/>
      <c r="VLK239" s="347"/>
      <c r="VLL239" s="347"/>
      <c r="VLM239" s="347"/>
      <c r="VLN239" s="347"/>
      <c r="VLO239" s="347"/>
      <c r="VLP239" s="347"/>
      <c r="VLQ239" s="347"/>
      <c r="VLR239" s="347"/>
      <c r="VLS239" s="347"/>
      <c r="VLT239" s="347"/>
      <c r="VLU239" s="347"/>
      <c r="VLV239" s="347"/>
      <c r="VLW239" s="347"/>
      <c r="VLX239" s="347"/>
      <c r="VLY239" s="347"/>
      <c r="VLZ239" s="347"/>
      <c r="VMA239" s="347"/>
      <c r="VMB239" s="347"/>
      <c r="VMC239" s="347"/>
      <c r="VMD239" s="347"/>
      <c r="VME239" s="347"/>
      <c r="VMF239" s="347"/>
      <c r="VMG239" s="347"/>
      <c r="VMH239" s="347"/>
      <c r="VMI239" s="347"/>
      <c r="VMJ239" s="347"/>
      <c r="VMK239" s="347"/>
      <c r="VML239" s="347"/>
      <c r="VMM239" s="347"/>
      <c r="VMN239" s="347"/>
      <c r="VMO239" s="347"/>
      <c r="VMP239" s="347"/>
      <c r="VMQ239" s="347"/>
      <c r="VMR239" s="347"/>
      <c r="VMS239" s="347"/>
      <c r="VMT239" s="347"/>
      <c r="VMU239" s="347"/>
      <c r="VMV239" s="347"/>
      <c r="VMW239" s="347"/>
      <c r="VMX239" s="347"/>
      <c r="VMY239" s="347"/>
      <c r="VMZ239" s="347"/>
      <c r="VNA239" s="347"/>
      <c r="VNB239" s="347"/>
      <c r="VNC239" s="347"/>
      <c r="VND239" s="347"/>
      <c r="VNE239" s="347"/>
      <c r="VNF239" s="347"/>
      <c r="VNG239" s="347"/>
      <c r="VNH239" s="347"/>
      <c r="VNI239" s="347"/>
      <c r="VNJ239" s="347"/>
      <c r="VNK239" s="347"/>
      <c r="VNL239" s="347"/>
      <c r="VNM239" s="347"/>
      <c r="VNN239" s="347"/>
      <c r="VNO239" s="347"/>
      <c r="VNP239" s="347"/>
      <c r="VNQ239" s="347"/>
      <c r="VNR239" s="347"/>
      <c r="VNS239" s="347"/>
      <c r="VNT239" s="347"/>
      <c r="VNU239" s="347"/>
      <c r="VNV239" s="347"/>
      <c r="VNW239" s="347"/>
      <c r="VNX239" s="347"/>
      <c r="VNY239" s="347"/>
      <c r="VNZ239" s="347"/>
      <c r="VOA239" s="347"/>
      <c r="VOB239" s="347"/>
      <c r="VOC239" s="347"/>
      <c r="VOD239" s="347"/>
      <c r="VOE239" s="347"/>
      <c r="VOF239" s="347"/>
      <c r="VOG239" s="347"/>
      <c r="VOH239" s="347"/>
      <c r="VOI239" s="347"/>
      <c r="VOJ239" s="347"/>
      <c r="VOK239" s="347"/>
      <c r="VOL239" s="347"/>
      <c r="VOM239" s="347"/>
      <c r="VON239" s="347"/>
      <c r="VOO239" s="347"/>
      <c r="VOP239" s="347"/>
      <c r="VOQ239" s="347"/>
      <c r="VOR239" s="347"/>
      <c r="VOS239" s="347"/>
      <c r="VOT239" s="347"/>
      <c r="VOU239" s="347"/>
      <c r="VOV239" s="347"/>
      <c r="VOW239" s="347"/>
      <c r="VOX239" s="347"/>
      <c r="VOY239" s="347"/>
      <c r="VOZ239" s="347"/>
      <c r="VPA239" s="347"/>
      <c r="VPB239" s="347"/>
      <c r="VPC239" s="347"/>
      <c r="VPD239" s="347"/>
      <c r="VPE239" s="347"/>
      <c r="VPF239" s="347"/>
      <c r="VPG239" s="347"/>
      <c r="VPH239" s="347"/>
      <c r="VPI239" s="347"/>
      <c r="VPJ239" s="347"/>
      <c r="VPK239" s="347"/>
      <c r="VPL239" s="347"/>
      <c r="VPM239" s="347"/>
      <c r="VPN239" s="347"/>
      <c r="VPO239" s="347"/>
      <c r="VPP239" s="347"/>
      <c r="VPQ239" s="347"/>
      <c r="VPR239" s="347"/>
      <c r="VPS239" s="347"/>
      <c r="VPT239" s="347"/>
      <c r="VPU239" s="347"/>
      <c r="VPV239" s="347"/>
      <c r="VPW239" s="347"/>
      <c r="VPX239" s="347"/>
      <c r="VPY239" s="347"/>
      <c r="VPZ239" s="347"/>
      <c r="VQA239" s="347"/>
      <c r="VQB239" s="347"/>
      <c r="VQC239" s="347"/>
      <c r="VQD239" s="347"/>
      <c r="VQE239" s="347"/>
      <c r="VQF239" s="347"/>
      <c r="VQG239" s="347"/>
      <c r="VQH239" s="347"/>
      <c r="VQI239" s="347"/>
      <c r="VQJ239" s="347"/>
      <c r="VQK239" s="347"/>
      <c r="VQL239" s="347"/>
      <c r="VQM239" s="347"/>
      <c r="VQN239" s="347"/>
      <c r="VQO239" s="347"/>
      <c r="VQP239" s="347"/>
      <c r="VQQ239" s="347"/>
      <c r="VQR239" s="347"/>
      <c r="VQS239" s="347"/>
      <c r="VQT239" s="347"/>
      <c r="VQU239" s="347"/>
      <c r="VQV239" s="347"/>
      <c r="VQW239" s="347"/>
      <c r="VQX239" s="347"/>
      <c r="VQY239" s="347"/>
      <c r="VQZ239" s="347"/>
      <c r="VRA239" s="347"/>
      <c r="VRB239" s="347"/>
      <c r="VRC239" s="347"/>
      <c r="VRD239" s="347"/>
      <c r="VRE239" s="347"/>
      <c r="VRF239" s="347"/>
      <c r="VRG239" s="347"/>
      <c r="VRH239" s="347"/>
      <c r="VRI239" s="347"/>
      <c r="VRJ239" s="347"/>
      <c r="VRK239" s="347"/>
      <c r="VRL239" s="347"/>
      <c r="VRM239" s="347"/>
      <c r="VRN239" s="347"/>
      <c r="VRO239" s="347"/>
      <c r="VRP239" s="347"/>
      <c r="VRQ239" s="347"/>
      <c r="VRR239" s="347"/>
      <c r="VRS239" s="347"/>
      <c r="VRT239" s="347"/>
      <c r="VRU239" s="347"/>
      <c r="VRV239" s="347"/>
      <c r="VRW239" s="347"/>
      <c r="VRX239" s="347"/>
      <c r="VRY239" s="347"/>
      <c r="VRZ239" s="347"/>
      <c r="VSA239" s="347"/>
      <c r="VSB239" s="347"/>
      <c r="VSC239" s="347"/>
      <c r="VSD239" s="347"/>
      <c r="VSE239" s="347"/>
      <c r="VSF239" s="347"/>
      <c r="VSG239" s="347"/>
      <c r="VSH239" s="347"/>
      <c r="VSI239" s="347"/>
      <c r="VSJ239" s="347"/>
      <c r="VSK239" s="347"/>
      <c r="VSL239" s="347"/>
      <c r="VSM239" s="347"/>
      <c r="VSN239" s="347"/>
      <c r="VSO239" s="347"/>
      <c r="VSP239" s="347"/>
      <c r="VSQ239" s="347"/>
      <c r="VSR239" s="347"/>
      <c r="VSS239" s="347"/>
      <c r="VST239" s="347"/>
      <c r="VSU239" s="347"/>
      <c r="VSV239" s="347"/>
      <c r="VSW239" s="347"/>
      <c r="VSX239" s="347"/>
      <c r="VSY239" s="347"/>
      <c r="VSZ239" s="347"/>
      <c r="VTA239" s="347"/>
      <c r="VTB239" s="347"/>
      <c r="VTC239" s="347"/>
      <c r="VTD239" s="347"/>
      <c r="VTE239" s="347"/>
      <c r="VTF239" s="347"/>
      <c r="VTG239" s="347"/>
      <c r="VTH239" s="347"/>
      <c r="VTI239" s="347"/>
      <c r="VTJ239" s="347"/>
      <c r="VTK239" s="347"/>
      <c r="VTL239" s="347"/>
      <c r="VTM239" s="347"/>
      <c r="VTN239" s="347"/>
      <c r="VTO239" s="347"/>
      <c r="VTP239" s="347"/>
      <c r="VTQ239" s="347"/>
      <c r="VTR239" s="347"/>
      <c r="VTS239" s="347"/>
      <c r="VTT239" s="347"/>
      <c r="VTU239" s="347"/>
      <c r="VTV239" s="347"/>
      <c r="VTW239" s="347"/>
      <c r="VTX239" s="347"/>
      <c r="VTY239" s="347"/>
      <c r="VTZ239" s="347"/>
      <c r="VUA239" s="347"/>
      <c r="VUB239" s="347"/>
      <c r="VUC239" s="347"/>
      <c r="VUD239" s="347"/>
      <c r="VUE239" s="347"/>
      <c r="VUF239" s="347"/>
      <c r="VUG239" s="347"/>
      <c r="VUH239" s="347"/>
      <c r="VUI239" s="347"/>
      <c r="VUJ239" s="347"/>
      <c r="VUK239" s="347"/>
      <c r="VUL239" s="347"/>
      <c r="VUM239" s="347"/>
      <c r="VUN239" s="347"/>
      <c r="VUO239" s="347"/>
      <c r="VUP239" s="347"/>
      <c r="VUQ239" s="347"/>
      <c r="VUR239" s="347"/>
      <c r="VUS239" s="347"/>
      <c r="VUT239" s="347"/>
      <c r="VUU239" s="347"/>
      <c r="VUV239" s="347"/>
      <c r="VUW239" s="347"/>
      <c r="VUX239" s="347"/>
      <c r="VUY239" s="347"/>
      <c r="VUZ239" s="347"/>
      <c r="VVA239" s="347"/>
      <c r="VVB239" s="347"/>
      <c r="VVC239" s="347"/>
      <c r="VVD239" s="347"/>
      <c r="VVE239" s="347"/>
      <c r="VVF239" s="347"/>
      <c r="VVG239" s="347"/>
      <c r="VVH239" s="347"/>
      <c r="VVI239" s="347"/>
      <c r="VVJ239" s="347"/>
      <c r="VVK239" s="347"/>
      <c r="VVL239" s="347"/>
      <c r="VVM239" s="347"/>
      <c r="VVN239" s="347"/>
      <c r="VVO239" s="347"/>
      <c r="VVP239" s="347"/>
      <c r="VVQ239" s="347"/>
    </row>
    <row r="240" spans="2:103 15069:15461" s="3" customFormat="1">
      <c r="B240" s="181"/>
      <c r="C240" s="152" t="s">
        <v>3</v>
      </c>
      <c r="D240" s="105">
        <v>28770</v>
      </c>
      <c r="E240" s="118" t="s">
        <v>2</v>
      </c>
      <c r="F240" s="1">
        <v>25100</v>
      </c>
      <c r="G240" s="1">
        <v>26500</v>
      </c>
      <c r="H240" s="1">
        <v>23700</v>
      </c>
      <c r="I240" s="1">
        <v>23900</v>
      </c>
      <c r="J240" s="1">
        <v>25100</v>
      </c>
      <c r="K240" s="1">
        <v>27000</v>
      </c>
      <c r="L240" s="1">
        <v>27000</v>
      </c>
      <c r="M240" s="1">
        <v>26900</v>
      </c>
      <c r="N240" s="1">
        <v>28700</v>
      </c>
      <c r="O240" s="1">
        <v>28200</v>
      </c>
      <c r="P240" s="1">
        <v>28600</v>
      </c>
      <c r="Q240" s="1">
        <v>28500</v>
      </c>
      <c r="R240" s="1">
        <v>26200</v>
      </c>
      <c r="S240" s="1">
        <v>20300</v>
      </c>
      <c r="T240" s="1">
        <v>25000</v>
      </c>
      <c r="U240" s="1">
        <v>25800</v>
      </c>
      <c r="V240" s="1">
        <v>27600</v>
      </c>
      <c r="W240" s="1">
        <v>27300</v>
      </c>
      <c r="X240" s="1">
        <v>26800</v>
      </c>
      <c r="Y240" s="1">
        <v>28100</v>
      </c>
      <c r="Z240" s="1">
        <v>28200</v>
      </c>
      <c r="AA240" s="1">
        <v>27700</v>
      </c>
      <c r="AB240" s="1">
        <v>27300</v>
      </c>
      <c r="AC240" s="1">
        <v>27500</v>
      </c>
      <c r="AD240" s="1">
        <v>25300</v>
      </c>
      <c r="AE240" s="1">
        <v>28600</v>
      </c>
      <c r="AF240" s="1">
        <v>28500</v>
      </c>
      <c r="AG240" s="50">
        <v>28200</v>
      </c>
      <c r="AH240" s="50">
        <v>26400</v>
      </c>
      <c r="AI240" s="50">
        <v>27900</v>
      </c>
      <c r="AJ240" s="21">
        <v>28100</v>
      </c>
      <c r="AL240" s="160">
        <f>SUM(F240:AJ240)</f>
        <v>830000</v>
      </c>
      <c r="CY240" s="16"/>
      <c r="VGO240" s="347"/>
      <c r="VGP240" s="347"/>
      <c r="VGQ240" s="347"/>
      <c r="VGR240" s="347"/>
      <c r="VGS240" s="347"/>
      <c r="VGT240" s="347"/>
      <c r="VGU240" s="347"/>
      <c r="VGV240" s="347"/>
      <c r="VGW240" s="347"/>
      <c r="VGX240" s="347"/>
      <c r="VGY240" s="347"/>
      <c r="VGZ240" s="347"/>
      <c r="VHA240" s="347"/>
      <c r="VHB240" s="347"/>
      <c r="VHC240" s="347"/>
      <c r="VHD240" s="347"/>
      <c r="VHE240" s="347"/>
      <c r="VHF240" s="347"/>
      <c r="VHG240" s="347"/>
      <c r="VHH240" s="347"/>
      <c r="VHI240" s="347"/>
      <c r="VHJ240" s="347"/>
      <c r="VHK240" s="347"/>
      <c r="VHL240" s="347"/>
      <c r="VHM240" s="347"/>
      <c r="VHN240" s="347"/>
      <c r="VHO240" s="347"/>
      <c r="VHP240" s="347"/>
      <c r="VHQ240" s="347"/>
      <c r="VHR240" s="347"/>
      <c r="VHS240" s="347"/>
      <c r="VHT240" s="347"/>
      <c r="VHU240" s="347"/>
      <c r="VHV240" s="347"/>
      <c r="VHW240" s="347"/>
      <c r="VHX240" s="347"/>
      <c r="VHY240" s="347"/>
      <c r="VHZ240" s="347"/>
      <c r="VIA240" s="347"/>
      <c r="VIB240" s="347"/>
      <c r="VIC240" s="347"/>
      <c r="VID240" s="347"/>
      <c r="VIE240" s="347"/>
      <c r="VIF240" s="347"/>
      <c r="VIG240" s="347"/>
      <c r="VIH240" s="347"/>
      <c r="VII240" s="347"/>
      <c r="VIJ240" s="347"/>
      <c r="VIK240" s="347"/>
      <c r="VIL240" s="347"/>
      <c r="VIM240" s="347"/>
      <c r="VIN240" s="347"/>
      <c r="VIO240" s="347"/>
      <c r="VIP240" s="347"/>
      <c r="VIQ240" s="347"/>
      <c r="VIR240" s="347"/>
      <c r="VIS240" s="347"/>
      <c r="VIT240" s="347"/>
      <c r="VIU240" s="347"/>
      <c r="VIV240" s="347"/>
      <c r="VIW240" s="347"/>
      <c r="VIX240" s="347"/>
      <c r="VIY240" s="347"/>
      <c r="VIZ240" s="347"/>
      <c r="VJA240" s="347"/>
      <c r="VJB240" s="347"/>
      <c r="VJC240" s="347"/>
      <c r="VJD240" s="347"/>
      <c r="VJE240" s="347"/>
      <c r="VJF240" s="347"/>
      <c r="VJG240" s="347"/>
      <c r="VJH240" s="347"/>
      <c r="VJI240" s="347"/>
      <c r="VJJ240" s="347"/>
      <c r="VJK240" s="347"/>
      <c r="VJL240" s="347"/>
      <c r="VJM240" s="347"/>
      <c r="VJN240" s="347"/>
      <c r="VJO240" s="347"/>
      <c r="VJP240" s="347"/>
      <c r="VJQ240" s="347"/>
      <c r="VJR240" s="347"/>
      <c r="VJS240" s="347"/>
      <c r="VJT240" s="347"/>
      <c r="VJU240" s="347"/>
      <c r="VJV240" s="347"/>
      <c r="VJW240" s="347"/>
      <c r="VJX240" s="347"/>
      <c r="VJY240" s="347"/>
      <c r="VJZ240" s="347"/>
      <c r="VKA240" s="347"/>
      <c r="VKB240" s="347"/>
      <c r="VKC240" s="347"/>
      <c r="VKD240" s="347"/>
      <c r="VKE240" s="347"/>
      <c r="VKF240" s="347"/>
      <c r="VKG240" s="347"/>
      <c r="VKH240" s="347"/>
      <c r="VKI240" s="347"/>
      <c r="VKJ240" s="347"/>
      <c r="VKK240" s="347"/>
      <c r="VKL240" s="347"/>
      <c r="VKM240" s="347"/>
      <c r="VKN240" s="347"/>
      <c r="VKO240" s="347"/>
      <c r="VKP240" s="347"/>
      <c r="VKQ240" s="347"/>
      <c r="VKR240" s="347"/>
      <c r="VKS240" s="347"/>
      <c r="VKT240" s="347"/>
      <c r="VKU240" s="347"/>
      <c r="VKV240" s="347"/>
      <c r="VKW240" s="347"/>
      <c r="VKX240" s="347"/>
      <c r="VKY240" s="347"/>
      <c r="VKZ240" s="347"/>
      <c r="VLA240" s="347"/>
      <c r="VLB240" s="347"/>
      <c r="VLC240" s="347"/>
      <c r="VLD240" s="347"/>
      <c r="VLE240" s="347"/>
      <c r="VLF240" s="347"/>
      <c r="VLG240" s="347"/>
      <c r="VLH240" s="347"/>
      <c r="VLI240" s="347"/>
      <c r="VLJ240" s="347"/>
      <c r="VLK240" s="347"/>
      <c r="VLL240" s="347"/>
      <c r="VLM240" s="347"/>
      <c r="VLN240" s="347"/>
      <c r="VLO240" s="347"/>
      <c r="VLP240" s="347"/>
      <c r="VLQ240" s="347"/>
      <c r="VLR240" s="347"/>
      <c r="VLS240" s="347"/>
      <c r="VLT240" s="347"/>
      <c r="VLU240" s="347"/>
      <c r="VLV240" s="347"/>
      <c r="VLW240" s="347"/>
      <c r="VLX240" s="347"/>
      <c r="VLY240" s="347"/>
      <c r="VLZ240" s="347"/>
      <c r="VMA240" s="347"/>
      <c r="VMB240" s="347"/>
      <c r="VMC240" s="347"/>
      <c r="VMD240" s="347"/>
      <c r="VME240" s="347"/>
      <c r="VMF240" s="347"/>
      <c r="VMG240" s="347"/>
      <c r="VMH240" s="347"/>
      <c r="VMI240" s="347"/>
      <c r="VMJ240" s="347"/>
      <c r="VMK240" s="347"/>
      <c r="VML240" s="347"/>
      <c r="VMM240" s="347"/>
      <c r="VMN240" s="347"/>
      <c r="VMO240" s="347"/>
      <c r="VMP240" s="347"/>
      <c r="VMQ240" s="347"/>
      <c r="VMR240" s="347"/>
      <c r="VMS240" s="347"/>
      <c r="VMT240" s="347"/>
      <c r="VMU240" s="347"/>
      <c r="VMV240" s="347"/>
      <c r="VMW240" s="347"/>
      <c r="VMX240" s="347"/>
      <c r="VMY240" s="347"/>
      <c r="VMZ240" s="347"/>
      <c r="VNA240" s="347"/>
      <c r="VNB240" s="347"/>
      <c r="VNC240" s="347"/>
      <c r="VND240" s="347"/>
      <c r="VNE240" s="347"/>
      <c r="VNF240" s="347"/>
      <c r="VNG240" s="347"/>
      <c r="VNH240" s="347"/>
      <c r="VNI240" s="347"/>
      <c r="VNJ240" s="347"/>
      <c r="VNK240" s="347"/>
      <c r="VNL240" s="347"/>
      <c r="VNM240" s="347"/>
      <c r="VNN240" s="347"/>
      <c r="VNO240" s="347"/>
      <c r="VNP240" s="347"/>
      <c r="VNQ240" s="347"/>
      <c r="VNR240" s="347"/>
      <c r="VNS240" s="347"/>
      <c r="VNT240" s="347"/>
      <c r="VNU240" s="347"/>
      <c r="VNV240" s="347"/>
      <c r="VNW240" s="347"/>
      <c r="VNX240" s="347"/>
      <c r="VNY240" s="347"/>
      <c r="VNZ240" s="347"/>
      <c r="VOA240" s="347"/>
      <c r="VOB240" s="347"/>
      <c r="VOC240" s="347"/>
      <c r="VOD240" s="347"/>
      <c r="VOE240" s="347"/>
      <c r="VOF240" s="347"/>
      <c r="VOG240" s="347"/>
      <c r="VOH240" s="347"/>
      <c r="VOI240" s="347"/>
      <c r="VOJ240" s="347"/>
      <c r="VOK240" s="347"/>
      <c r="VOL240" s="347"/>
      <c r="VOM240" s="347"/>
      <c r="VON240" s="347"/>
      <c r="VOO240" s="347"/>
      <c r="VOP240" s="347"/>
      <c r="VOQ240" s="347"/>
      <c r="VOR240" s="347"/>
      <c r="VOS240" s="347"/>
      <c r="VOT240" s="347"/>
      <c r="VOU240" s="347"/>
      <c r="VOV240" s="347"/>
      <c r="VOW240" s="347"/>
      <c r="VOX240" s="347"/>
      <c r="VOY240" s="347"/>
      <c r="VOZ240" s="347"/>
      <c r="VPA240" s="347"/>
      <c r="VPB240" s="347"/>
      <c r="VPC240" s="347"/>
      <c r="VPD240" s="347"/>
      <c r="VPE240" s="347"/>
      <c r="VPF240" s="347"/>
      <c r="VPG240" s="347"/>
      <c r="VPH240" s="347"/>
      <c r="VPI240" s="347"/>
      <c r="VPJ240" s="347"/>
      <c r="VPK240" s="347"/>
      <c r="VPL240" s="347"/>
      <c r="VPM240" s="347"/>
      <c r="VPN240" s="347"/>
      <c r="VPO240" s="347"/>
      <c r="VPP240" s="347"/>
      <c r="VPQ240" s="347"/>
      <c r="VPR240" s="347"/>
      <c r="VPS240" s="347"/>
      <c r="VPT240" s="347"/>
      <c r="VPU240" s="347"/>
      <c r="VPV240" s="347"/>
      <c r="VPW240" s="347"/>
      <c r="VPX240" s="347"/>
      <c r="VPY240" s="347"/>
      <c r="VPZ240" s="347"/>
      <c r="VQA240" s="347"/>
      <c r="VQB240" s="347"/>
      <c r="VQC240" s="347"/>
      <c r="VQD240" s="347"/>
      <c r="VQE240" s="347"/>
      <c r="VQF240" s="347"/>
      <c r="VQG240" s="347"/>
      <c r="VQH240" s="347"/>
      <c r="VQI240" s="347"/>
      <c r="VQJ240" s="347"/>
      <c r="VQK240" s="347"/>
      <c r="VQL240" s="347"/>
      <c r="VQM240" s="347"/>
      <c r="VQN240" s="347"/>
      <c r="VQO240" s="347"/>
      <c r="VQP240" s="347"/>
      <c r="VQQ240" s="347"/>
      <c r="VQR240" s="347"/>
      <c r="VQS240" s="347"/>
      <c r="VQT240" s="347"/>
      <c r="VQU240" s="347"/>
      <c r="VQV240" s="347"/>
      <c r="VQW240" s="347"/>
      <c r="VQX240" s="347"/>
      <c r="VQY240" s="347"/>
      <c r="VQZ240" s="347"/>
      <c r="VRA240" s="347"/>
      <c r="VRB240" s="347"/>
      <c r="VRC240" s="347"/>
      <c r="VRD240" s="347"/>
      <c r="VRE240" s="347"/>
      <c r="VRF240" s="347"/>
      <c r="VRG240" s="347"/>
      <c r="VRH240" s="347"/>
      <c r="VRI240" s="347"/>
      <c r="VRJ240" s="347"/>
      <c r="VRK240" s="347"/>
      <c r="VRL240" s="347"/>
      <c r="VRM240" s="347"/>
      <c r="VRN240" s="347"/>
      <c r="VRO240" s="347"/>
      <c r="VRP240" s="347"/>
      <c r="VRQ240" s="347"/>
      <c r="VRR240" s="347"/>
      <c r="VRS240" s="347"/>
      <c r="VRT240" s="347"/>
      <c r="VRU240" s="347"/>
      <c r="VRV240" s="347"/>
      <c r="VRW240" s="347"/>
      <c r="VRX240" s="347"/>
      <c r="VRY240" s="347"/>
      <c r="VRZ240" s="347"/>
      <c r="VSA240" s="347"/>
      <c r="VSB240" s="347"/>
      <c r="VSC240" s="347"/>
      <c r="VSD240" s="347"/>
      <c r="VSE240" s="347"/>
      <c r="VSF240" s="347"/>
      <c r="VSG240" s="347"/>
      <c r="VSH240" s="347"/>
      <c r="VSI240" s="347"/>
      <c r="VSJ240" s="347"/>
      <c r="VSK240" s="347"/>
      <c r="VSL240" s="347"/>
      <c r="VSM240" s="347"/>
      <c r="VSN240" s="347"/>
      <c r="VSO240" s="347"/>
      <c r="VSP240" s="347"/>
      <c r="VSQ240" s="347"/>
      <c r="VSR240" s="347"/>
      <c r="VSS240" s="347"/>
      <c r="VST240" s="347"/>
      <c r="VSU240" s="347"/>
      <c r="VSV240" s="347"/>
      <c r="VSW240" s="347"/>
      <c r="VSX240" s="347"/>
      <c r="VSY240" s="347"/>
      <c r="VSZ240" s="347"/>
      <c r="VTA240" s="347"/>
      <c r="VTB240" s="347"/>
      <c r="VTC240" s="347"/>
      <c r="VTD240" s="347"/>
      <c r="VTE240" s="347"/>
      <c r="VTF240" s="347"/>
      <c r="VTG240" s="347"/>
      <c r="VTH240" s="347"/>
      <c r="VTI240" s="347"/>
      <c r="VTJ240" s="347"/>
      <c r="VTK240" s="347"/>
      <c r="VTL240" s="347"/>
      <c r="VTM240" s="347"/>
      <c r="VTN240" s="347"/>
      <c r="VTO240" s="347"/>
      <c r="VTP240" s="347"/>
      <c r="VTQ240" s="347"/>
      <c r="VTR240" s="347"/>
      <c r="VTS240" s="347"/>
      <c r="VTT240" s="347"/>
      <c r="VTU240" s="347"/>
      <c r="VTV240" s="347"/>
      <c r="VTW240" s="347"/>
      <c r="VTX240" s="347"/>
      <c r="VTY240" s="347"/>
      <c r="VTZ240" s="347"/>
      <c r="VUA240" s="347"/>
      <c r="VUB240" s="347"/>
      <c r="VUC240" s="347"/>
      <c r="VUD240" s="347"/>
      <c r="VUE240" s="347"/>
      <c r="VUF240" s="347"/>
      <c r="VUG240" s="347"/>
      <c r="VUH240" s="347"/>
      <c r="VUI240" s="347"/>
      <c r="VUJ240" s="347"/>
      <c r="VUK240" s="347"/>
      <c r="VUL240" s="347"/>
      <c r="VUM240" s="347"/>
      <c r="VUN240" s="347"/>
      <c r="VUO240" s="347"/>
      <c r="VUP240" s="347"/>
      <c r="VUQ240" s="347"/>
      <c r="VUR240" s="347"/>
      <c r="VUS240" s="347"/>
      <c r="VUT240" s="347"/>
      <c r="VUU240" s="347"/>
      <c r="VUV240" s="347"/>
      <c r="VUW240" s="347"/>
      <c r="VUX240" s="347"/>
      <c r="VUY240" s="347"/>
      <c r="VUZ240" s="347"/>
      <c r="VVA240" s="347"/>
      <c r="VVB240" s="347"/>
      <c r="VVC240" s="347"/>
      <c r="VVD240" s="347"/>
      <c r="VVE240" s="347"/>
      <c r="VVF240" s="347"/>
      <c r="VVG240" s="347"/>
      <c r="VVH240" s="347"/>
      <c r="VVI240" s="347"/>
      <c r="VVJ240" s="347"/>
      <c r="VVK240" s="347"/>
      <c r="VVL240" s="347"/>
      <c r="VVM240" s="347"/>
      <c r="VVN240" s="347"/>
      <c r="VVO240" s="347"/>
      <c r="VVP240" s="347"/>
      <c r="VVQ240" s="347"/>
    </row>
    <row r="241" spans="2:103 15069:15461" s="3" customFormat="1" ht="15" thickBot="1">
      <c r="B241" s="267"/>
      <c r="C241" s="268" t="s">
        <v>1</v>
      </c>
      <c r="D241" s="269"/>
      <c r="E241" s="270" t="s">
        <v>0</v>
      </c>
      <c r="F241" s="59">
        <f t="shared" ref="F241:AH241" si="107">SUM(F240:F240)</f>
        <v>25100</v>
      </c>
      <c r="G241" s="59">
        <f t="shared" si="107"/>
        <v>26500</v>
      </c>
      <c r="H241" s="59">
        <f t="shared" si="107"/>
        <v>23700</v>
      </c>
      <c r="I241" s="59">
        <f t="shared" si="107"/>
        <v>23900</v>
      </c>
      <c r="J241" s="59">
        <f t="shared" si="107"/>
        <v>25100</v>
      </c>
      <c r="K241" s="59">
        <f t="shared" si="107"/>
        <v>27000</v>
      </c>
      <c r="L241" s="59">
        <f t="shared" si="107"/>
        <v>27000</v>
      </c>
      <c r="M241" s="59">
        <f t="shared" si="107"/>
        <v>26900</v>
      </c>
      <c r="N241" s="59">
        <f t="shared" si="107"/>
        <v>28700</v>
      </c>
      <c r="O241" s="59">
        <f t="shared" si="107"/>
        <v>28200</v>
      </c>
      <c r="P241" s="59">
        <f t="shared" si="107"/>
        <v>28600</v>
      </c>
      <c r="Q241" s="59">
        <f t="shared" si="107"/>
        <v>28500</v>
      </c>
      <c r="R241" s="59">
        <f t="shared" si="107"/>
        <v>26200</v>
      </c>
      <c r="S241" s="59">
        <f t="shared" si="107"/>
        <v>20300</v>
      </c>
      <c r="T241" s="59">
        <f t="shared" si="107"/>
        <v>25000</v>
      </c>
      <c r="U241" s="59">
        <f t="shared" si="107"/>
        <v>25800</v>
      </c>
      <c r="V241" s="59">
        <f t="shared" si="107"/>
        <v>27600</v>
      </c>
      <c r="W241" s="59">
        <f t="shared" si="107"/>
        <v>27300</v>
      </c>
      <c r="X241" s="59">
        <f t="shared" si="107"/>
        <v>26800</v>
      </c>
      <c r="Y241" s="59">
        <f t="shared" si="107"/>
        <v>28100</v>
      </c>
      <c r="Z241" s="59">
        <f>SUM(Z240:Z240)</f>
        <v>28200</v>
      </c>
      <c r="AA241" s="59">
        <f t="shared" si="107"/>
        <v>27700</v>
      </c>
      <c r="AB241" s="59">
        <f t="shared" si="107"/>
        <v>27300</v>
      </c>
      <c r="AC241" s="59">
        <f t="shared" si="107"/>
        <v>27500</v>
      </c>
      <c r="AD241" s="59">
        <f t="shared" si="107"/>
        <v>25300</v>
      </c>
      <c r="AE241" s="59">
        <f t="shared" si="107"/>
        <v>28600</v>
      </c>
      <c r="AF241" s="59">
        <f t="shared" si="107"/>
        <v>28500</v>
      </c>
      <c r="AG241" s="59">
        <f t="shared" si="107"/>
        <v>28200</v>
      </c>
      <c r="AH241" s="59">
        <f t="shared" si="107"/>
        <v>26400</v>
      </c>
      <c r="AI241" s="59">
        <f>SUM(AI240:AI240)</f>
        <v>27900</v>
      </c>
      <c r="AJ241" s="319">
        <f>SUM(AJ240:AJ240)</f>
        <v>28100</v>
      </c>
      <c r="AK241" s="119"/>
      <c r="AL241" s="271">
        <f>SUM(F241:AJ241)</f>
        <v>830000</v>
      </c>
      <c r="CY241" s="16"/>
      <c r="VGO241" s="347"/>
      <c r="VGP241" s="347"/>
      <c r="VGQ241" s="347"/>
      <c r="VGR241" s="347"/>
      <c r="VGS241" s="347"/>
      <c r="VGT241" s="347"/>
      <c r="VGU241" s="347"/>
      <c r="VGV241" s="347"/>
      <c r="VGW241" s="347"/>
      <c r="VGX241" s="347"/>
      <c r="VGY241" s="347"/>
      <c r="VGZ241" s="347"/>
      <c r="VHA241" s="347"/>
      <c r="VHB241" s="347"/>
      <c r="VHC241" s="347"/>
      <c r="VHD241" s="347"/>
      <c r="VHE241" s="347"/>
      <c r="VHF241" s="347"/>
      <c r="VHG241" s="347"/>
      <c r="VHH241" s="347"/>
      <c r="VHI241" s="347"/>
      <c r="VHJ241" s="347"/>
      <c r="VHK241" s="347"/>
      <c r="VHL241" s="347"/>
      <c r="VHM241" s="347"/>
      <c r="VHN241" s="347"/>
      <c r="VHO241" s="347"/>
      <c r="VHP241" s="347"/>
      <c r="VHQ241" s="347"/>
      <c r="VHR241" s="347"/>
      <c r="VHS241" s="347"/>
      <c r="VHT241" s="347"/>
      <c r="VHU241" s="347"/>
      <c r="VHV241" s="347"/>
      <c r="VHW241" s="347"/>
      <c r="VHX241" s="347"/>
      <c r="VHY241" s="347"/>
      <c r="VHZ241" s="347"/>
      <c r="VIA241" s="347"/>
      <c r="VIB241" s="347"/>
      <c r="VIC241" s="347"/>
      <c r="VID241" s="347"/>
      <c r="VIE241" s="347"/>
      <c r="VIF241" s="347"/>
      <c r="VIG241" s="347"/>
      <c r="VIH241" s="347"/>
      <c r="VII241" s="347"/>
      <c r="VIJ241" s="347"/>
      <c r="VIK241" s="347"/>
      <c r="VIL241" s="347"/>
      <c r="VIM241" s="347"/>
      <c r="VIN241" s="347"/>
      <c r="VIO241" s="347"/>
      <c r="VIP241" s="347"/>
      <c r="VIQ241" s="347"/>
      <c r="VIR241" s="347"/>
      <c r="VIS241" s="347"/>
      <c r="VIT241" s="347"/>
      <c r="VIU241" s="347"/>
      <c r="VIV241" s="347"/>
      <c r="VIW241" s="347"/>
      <c r="VIX241" s="347"/>
      <c r="VIY241" s="347"/>
      <c r="VIZ241" s="347"/>
      <c r="VJA241" s="347"/>
      <c r="VJB241" s="347"/>
      <c r="VJC241" s="347"/>
      <c r="VJD241" s="347"/>
      <c r="VJE241" s="347"/>
      <c r="VJF241" s="347"/>
      <c r="VJG241" s="347"/>
      <c r="VJH241" s="347"/>
      <c r="VJI241" s="347"/>
      <c r="VJJ241" s="347"/>
      <c r="VJK241" s="347"/>
      <c r="VJL241" s="347"/>
      <c r="VJM241" s="347"/>
      <c r="VJN241" s="347"/>
      <c r="VJO241" s="347"/>
      <c r="VJP241" s="347"/>
      <c r="VJQ241" s="347"/>
      <c r="VJR241" s="347"/>
      <c r="VJS241" s="347"/>
      <c r="VJT241" s="347"/>
      <c r="VJU241" s="347"/>
      <c r="VJV241" s="347"/>
      <c r="VJW241" s="347"/>
      <c r="VJX241" s="347"/>
      <c r="VJY241" s="347"/>
      <c r="VJZ241" s="347"/>
      <c r="VKA241" s="347"/>
      <c r="VKB241" s="347"/>
      <c r="VKC241" s="347"/>
      <c r="VKD241" s="347"/>
      <c r="VKE241" s="347"/>
      <c r="VKF241" s="347"/>
      <c r="VKG241" s="347"/>
      <c r="VKH241" s="347"/>
      <c r="VKI241" s="347"/>
      <c r="VKJ241" s="347"/>
      <c r="VKK241" s="347"/>
      <c r="VKL241" s="347"/>
      <c r="VKM241" s="347"/>
      <c r="VKN241" s="347"/>
      <c r="VKO241" s="347"/>
      <c r="VKP241" s="347"/>
      <c r="VKQ241" s="347"/>
      <c r="VKR241" s="347"/>
      <c r="VKS241" s="347"/>
      <c r="VKT241" s="347"/>
      <c r="VKU241" s="347"/>
      <c r="VKV241" s="347"/>
      <c r="VKW241" s="347"/>
      <c r="VKX241" s="347"/>
      <c r="VKY241" s="347"/>
      <c r="VKZ241" s="347"/>
      <c r="VLA241" s="347"/>
      <c r="VLB241" s="347"/>
      <c r="VLC241" s="347"/>
      <c r="VLD241" s="347"/>
      <c r="VLE241" s="347"/>
      <c r="VLF241" s="347"/>
      <c r="VLG241" s="347"/>
      <c r="VLH241" s="347"/>
      <c r="VLI241" s="347"/>
      <c r="VLJ241" s="347"/>
      <c r="VLK241" s="347"/>
      <c r="VLL241" s="347"/>
      <c r="VLM241" s="347"/>
      <c r="VLN241" s="347"/>
      <c r="VLO241" s="347"/>
      <c r="VLP241" s="347"/>
      <c r="VLQ241" s="347"/>
      <c r="VLR241" s="347"/>
      <c r="VLS241" s="347"/>
      <c r="VLT241" s="347"/>
      <c r="VLU241" s="347"/>
      <c r="VLV241" s="347"/>
      <c r="VLW241" s="347"/>
      <c r="VLX241" s="347"/>
      <c r="VLY241" s="347"/>
      <c r="VLZ241" s="347"/>
      <c r="VMA241" s="347"/>
      <c r="VMB241" s="347"/>
      <c r="VMC241" s="347"/>
      <c r="VMD241" s="347"/>
      <c r="VME241" s="347"/>
      <c r="VMF241" s="347"/>
      <c r="VMG241" s="347"/>
      <c r="VMH241" s="347"/>
      <c r="VMI241" s="347"/>
      <c r="VMJ241" s="347"/>
      <c r="VMK241" s="347"/>
      <c r="VML241" s="347"/>
      <c r="VMM241" s="347"/>
      <c r="VMN241" s="347"/>
      <c r="VMO241" s="347"/>
      <c r="VMP241" s="347"/>
      <c r="VMQ241" s="347"/>
      <c r="VMR241" s="347"/>
      <c r="VMS241" s="347"/>
      <c r="VMT241" s="347"/>
      <c r="VMU241" s="347"/>
      <c r="VMV241" s="347"/>
      <c r="VMW241" s="347"/>
      <c r="VMX241" s="347"/>
      <c r="VMY241" s="347"/>
      <c r="VMZ241" s="347"/>
      <c r="VNA241" s="347"/>
      <c r="VNB241" s="347"/>
      <c r="VNC241" s="347"/>
      <c r="VND241" s="347"/>
      <c r="VNE241" s="347"/>
      <c r="VNF241" s="347"/>
      <c r="VNG241" s="347"/>
      <c r="VNH241" s="347"/>
      <c r="VNI241" s="347"/>
      <c r="VNJ241" s="347"/>
      <c r="VNK241" s="347"/>
      <c r="VNL241" s="347"/>
      <c r="VNM241" s="347"/>
      <c r="VNN241" s="347"/>
      <c r="VNO241" s="347"/>
      <c r="VNP241" s="347"/>
      <c r="VNQ241" s="347"/>
      <c r="VNR241" s="347"/>
      <c r="VNS241" s="347"/>
      <c r="VNT241" s="347"/>
      <c r="VNU241" s="347"/>
      <c r="VNV241" s="347"/>
      <c r="VNW241" s="347"/>
      <c r="VNX241" s="347"/>
      <c r="VNY241" s="347"/>
      <c r="VNZ241" s="347"/>
      <c r="VOA241" s="347"/>
      <c r="VOB241" s="347"/>
      <c r="VOC241" s="347"/>
      <c r="VOD241" s="347"/>
      <c r="VOE241" s="347"/>
      <c r="VOF241" s="347"/>
      <c r="VOG241" s="347"/>
      <c r="VOH241" s="347"/>
      <c r="VOI241" s="347"/>
      <c r="VOJ241" s="347"/>
      <c r="VOK241" s="347"/>
      <c r="VOL241" s="347"/>
      <c r="VOM241" s="347"/>
      <c r="VON241" s="347"/>
      <c r="VOO241" s="347"/>
      <c r="VOP241" s="347"/>
      <c r="VOQ241" s="347"/>
      <c r="VOR241" s="347"/>
      <c r="VOS241" s="347"/>
      <c r="VOT241" s="347"/>
      <c r="VOU241" s="347"/>
      <c r="VOV241" s="347"/>
      <c r="VOW241" s="347"/>
      <c r="VOX241" s="347"/>
      <c r="VOY241" s="347"/>
      <c r="VOZ241" s="347"/>
      <c r="VPA241" s="347"/>
      <c r="VPB241" s="347"/>
      <c r="VPC241" s="347"/>
      <c r="VPD241" s="347"/>
      <c r="VPE241" s="347"/>
      <c r="VPF241" s="347"/>
      <c r="VPG241" s="347"/>
      <c r="VPH241" s="347"/>
      <c r="VPI241" s="347"/>
      <c r="VPJ241" s="347"/>
      <c r="VPK241" s="347"/>
      <c r="VPL241" s="347"/>
      <c r="VPM241" s="347"/>
      <c r="VPN241" s="347"/>
      <c r="VPO241" s="347"/>
      <c r="VPP241" s="347"/>
      <c r="VPQ241" s="347"/>
      <c r="VPR241" s="347"/>
      <c r="VPS241" s="347"/>
      <c r="VPT241" s="347"/>
      <c r="VPU241" s="347"/>
      <c r="VPV241" s="347"/>
      <c r="VPW241" s="347"/>
      <c r="VPX241" s="347"/>
      <c r="VPY241" s="347"/>
      <c r="VPZ241" s="347"/>
      <c r="VQA241" s="347"/>
      <c r="VQB241" s="347"/>
      <c r="VQC241" s="347"/>
      <c r="VQD241" s="347"/>
      <c r="VQE241" s="347"/>
      <c r="VQF241" s="347"/>
      <c r="VQG241" s="347"/>
      <c r="VQH241" s="347"/>
      <c r="VQI241" s="347"/>
      <c r="VQJ241" s="347"/>
      <c r="VQK241" s="347"/>
      <c r="VQL241" s="347"/>
      <c r="VQM241" s="347"/>
      <c r="VQN241" s="347"/>
      <c r="VQO241" s="347"/>
      <c r="VQP241" s="347"/>
      <c r="VQQ241" s="347"/>
      <c r="VQR241" s="347"/>
      <c r="VQS241" s="347"/>
      <c r="VQT241" s="347"/>
      <c r="VQU241" s="347"/>
      <c r="VQV241" s="347"/>
      <c r="VQW241" s="347"/>
      <c r="VQX241" s="347"/>
      <c r="VQY241" s="347"/>
      <c r="VQZ241" s="347"/>
      <c r="VRA241" s="347"/>
      <c r="VRB241" s="347"/>
      <c r="VRC241" s="347"/>
      <c r="VRD241" s="347"/>
      <c r="VRE241" s="347"/>
      <c r="VRF241" s="347"/>
      <c r="VRG241" s="347"/>
      <c r="VRH241" s="347"/>
      <c r="VRI241" s="347"/>
      <c r="VRJ241" s="347"/>
      <c r="VRK241" s="347"/>
      <c r="VRL241" s="347"/>
      <c r="VRM241" s="347"/>
      <c r="VRN241" s="347"/>
      <c r="VRO241" s="347"/>
      <c r="VRP241" s="347"/>
      <c r="VRQ241" s="347"/>
      <c r="VRR241" s="347"/>
      <c r="VRS241" s="347"/>
      <c r="VRT241" s="347"/>
      <c r="VRU241" s="347"/>
      <c r="VRV241" s="347"/>
      <c r="VRW241" s="347"/>
      <c r="VRX241" s="347"/>
      <c r="VRY241" s="347"/>
      <c r="VRZ241" s="347"/>
      <c r="VSA241" s="347"/>
      <c r="VSB241" s="347"/>
      <c r="VSC241" s="347"/>
      <c r="VSD241" s="347"/>
      <c r="VSE241" s="347"/>
      <c r="VSF241" s="347"/>
      <c r="VSG241" s="347"/>
      <c r="VSH241" s="347"/>
      <c r="VSI241" s="347"/>
      <c r="VSJ241" s="347"/>
      <c r="VSK241" s="347"/>
      <c r="VSL241" s="347"/>
      <c r="VSM241" s="347"/>
      <c r="VSN241" s="347"/>
      <c r="VSO241" s="347"/>
      <c r="VSP241" s="347"/>
      <c r="VSQ241" s="347"/>
      <c r="VSR241" s="347"/>
      <c r="VSS241" s="347"/>
      <c r="VST241" s="347"/>
      <c r="VSU241" s="347"/>
      <c r="VSV241" s="347"/>
      <c r="VSW241" s="347"/>
      <c r="VSX241" s="347"/>
      <c r="VSY241" s="347"/>
      <c r="VSZ241" s="347"/>
      <c r="VTA241" s="347"/>
      <c r="VTB241" s="347"/>
      <c r="VTC241" s="347"/>
      <c r="VTD241" s="347"/>
      <c r="VTE241" s="347"/>
      <c r="VTF241" s="347"/>
      <c r="VTG241" s="347"/>
      <c r="VTH241" s="347"/>
      <c r="VTI241" s="347"/>
      <c r="VTJ241" s="347"/>
      <c r="VTK241" s="347"/>
      <c r="VTL241" s="347"/>
      <c r="VTM241" s="347"/>
      <c r="VTN241" s="347"/>
      <c r="VTO241" s="347"/>
      <c r="VTP241" s="347"/>
      <c r="VTQ241" s="347"/>
      <c r="VTR241" s="347"/>
      <c r="VTS241" s="347"/>
      <c r="VTT241" s="347"/>
      <c r="VTU241" s="347"/>
      <c r="VTV241" s="347"/>
      <c r="VTW241" s="347"/>
      <c r="VTX241" s="347"/>
      <c r="VTY241" s="347"/>
      <c r="VTZ241" s="347"/>
      <c r="VUA241" s="347"/>
      <c r="VUB241" s="347"/>
      <c r="VUC241" s="347"/>
      <c r="VUD241" s="347"/>
      <c r="VUE241" s="347"/>
      <c r="VUF241" s="347"/>
      <c r="VUG241" s="347"/>
      <c r="VUH241" s="347"/>
      <c r="VUI241" s="347"/>
      <c r="VUJ241" s="347"/>
      <c r="VUK241" s="347"/>
      <c r="VUL241" s="347"/>
      <c r="VUM241" s="347"/>
      <c r="VUN241" s="347"/>
      <c r="VUO241" s="347"/>
      <c r="VUP241" s="347"/>
      <c r="VUQ241" s="347"/>
      <c r="VUR241" s="347"/>
      <c r="VUS241" s="347"/>
      <c r="VUT241" s="347"/>
      <c r="VUU241" s="347"/>
      <c r="VUV241" s="347"/>
      <c r="VUW241" s="347"/>
      <c r="VUX241" s="347"/>
      <c r="VUY241" s="347"/>
      <c r="VUZ241" s="347"/>
      <c r="VVA241" s="347"/>
      <c r="VVB241" s="347"/>
      <c r="VVC241" s="347"/>
      <c r="VVD241" s="347"/>
      <c r="VVE241" s="347"/>
      <c r="VVF241" s="347"/>
      <c r="VVG241" s="347"/>
      <c r="VVH241" s="347"/>
      <c r="VVI241" s="347"/>
      <c r="VVJ241" s="347"/>
      <c r="VVK241" s="347"/>
      <c r="VVL241" s="347"/>
      <c r="VVM241" s="347"/>
      <c r="VVN241" s="347"/>
      <c r="VVO241" s="347"/>
      <c r="VVP241" s="347"/>
      <c r="VVQ241" s="347"/>
    </row>
    <row r="242" spans="2:103 15069:15461" s="3" customFormat="1" ht="15" hidden="1" customHeight="1">
      <c r="B242" s="69">
        <v>12</v>
      </c>
      <c r="C242" s="272" t="s">
        <v>108</v>
      </c>
      <c r="D242" s="273"/>
      <c r="E242" s="274"/>
      <c r="F242" s="273"/>
      <c r="G242" s="273"/>
      <c r="H242" s="273"/>
      <c r="I242" s="273"/>
      <c r="J242" s="273"/>
      <c r="K242" s="273"/>
      <c r="L242" s="273"/>
      <c r="M242" s="273"/>
      <c r="N242" s="273"/>
      <c r="O242" s="273"/>
      <c r="P242" s="273"/>
      <c r="Q242" s="273"/>
      <c r="R242" s="273"/>
      <c r="S242" s="273"/>
      <c r="T242" s="273"/>
      <c r="U242" s="273"/>
      <c r="V242" s="273"/>
      <c r="W242" s="273"/>
      <c r="X242" s="273"/>
      <c r="Y242" s="273"/>
      <c r="Z242" s="273"/>
      <c r="AA242" s="273"/>
      <c r="AB242" s="273"/>
      <c r="AC242" s="273"/>
      <c r="AD242" s="273"/>
      <c r="AE242" s="273"/>
      <c r="AF242" s="273"/>
      <c r="AG242" s="273"/>
      <c r="AH242" s="273"/>
      <c r="AI242" s="273"/>
      <c r="AJ242" s="273"/>
      <c r="AL242" s="275" t="s">
        <v>109</v>
      </c>
      <c r="CY242" s="16"/>
      <c r="VGO242" s="347"/>
      <c r="VGP242" s="347"/>
      <c r="VGQ242" s="347"/>
      <c r="VGR242" s="347"/>
      <c r="VGS242" s="347"/>
      <c r="VGT242" s="347"/>
      <c r="VGU242" s="347"/>
      <c r="VGV242" s="347"/>
      <c r="VGW242" s="347"/>
      <c r="VGX242" s="347"/>
      <c r="VGY242" s="347"/>
      <c r="VGZ242" s="347"/>
      <c r="VHA242" s="347"/>
      <c r="VHB242" s="347"/>
      <c r="VHC242" s="347"/>
      <c r="VHD242" s="347"/>
      <c r="VHE242" s="347"/>
      <c r="VHF242" s="347"/>
      <c r="VHG242" s="347"/>
      <c r="VHH242" s="347"/>
      <c r="VHI242" s="347"/>
      <c r="VHJ242" s="347"/>
      <c r="VHK242" s="347"/>
      <c r="VHL242" s="347"/>
      <c r="VHM242" s="347"/>
      <c r="VHN242" s="347"/>
      <c r="VHO242" s="347"/>
      <c r="VHP242" s="347"/>
      <c r="VHQ242" s="347"/>
      <c r="VHR242" s="347"/>
      <c r="VHS242" s="347"/>
      <c r="VHT242" s="347"/>
      <c r="VHU242" s="347"/>
      <c r="VHV242" s="347"/>
      <c r="VHW242" s="347"/>
      <c r="VHX242" s="347"/>
      <c r="VHY242" s="347"/>
      <c r="VHZ242" s="347"/>
      <c r="VIA242" s="347"/>
      <c r="VIB242" s="347"/>
      <c r="VIC242" s="347"/>
      <c r="VID242" s="347"/>
      <c r="VIE242" s="347"/>
      <c r="VIF242" s="347"/>
      <c r="VIG242" s="347"/>
      <c r="VIH242" s="347"/>
      <c r="VII242" s="347"/>
      <c r="VIJ242" s="347"/>
      <c r="VIK242" s="347"/>
      <c r="VIL242" s="347"/>
      <c r="VIM242" s="347"/>
      <c r="VIN242" s="347"/>
      <c r="VIO242" s="347"/>
      <c r="VIP242" s="347"/>
      <c r="VIQ242" s="347"/>
      <c r="VIR242" s="347"/>
      <c r="VIS242" s="347"/>
      <c r="VIT242" s="347"/>
      <c r="VIU242" s="347"/>
      <c r="VIV242" s="347"/>
      <c r="VIW242" s="347"/>
      <c r="VIX242" s="347"/>
      <c r="VIY242" s="347"/>
      <c r="VIZ242" s="347"/>
      <c r="VJA242" s="347"/>
      <c r="VJB242" s="347"/>
      <c r="VJC242" s="347"/>
      <c r="VJD242" s="347"/>
      <c r="VJE242" s="347"/>
      <c r="VJF242" s="347"/>
      <c r="VJG242" s="347"/>
      <c r="VJH242" s="347"/>
      <c r="VJI242" s="347"/>
      <c r="VJJ242" s="347"/>
      <c r="VJK242" s="347"/>
      <c r="VJL242" s="347"/>
      <c r="VJM242" s="347"/>
      <c r="VJN242" s="347"/>
      <c r="VJO242" s="347"/>
      <c r="VJP242" s="347"/>
      <c r="VJQ242" s="347"/>
      <c r="VJR242" s="347"/>
      <c r="VJS242" s="347"/>
      <c r="VJT242" s="347"/>
      <c r="VJU242" s="347"/>
      <c r="VJV242" s="347"/>
      <c r="VJW242" s="347"/>
      <c r="VJX242" s="347"/>
      <c r="VJY242" s="347"/>
      <c r="VJZ242" s="347"/>
      <c r="VKA242" s="347"/>
      <c r="VKB242" s="347"/>
      <c r="VKC242" s="347"/>
      <c r="VKD242" s="347"/>
      <c r="VKE242" s="347"/>
      <c r="VKF242" s="347"/>
      <c r="VKG242" s="347"/>
      <c r="VKH242" s="347"/>
      <c r="VKI242" s="347"/>
      <c r="VKJ242" s="347"/>
      <c r="VKK242" s="347"/>
      <c r="VKL242" s="347"/>
      <c r="VKM242" s="347"/>
      <c r="VKN242" s="347"/>
      <c r="VKO242" s="347"/>
      <c r="VKP242" s="347"/>
      <c r="VKQ242" s="347"/>
      <c r="VKR242" s="347"/>
      <c r="VKS242" s="347"/>
      <c r="VKT242" s="347"/>
      <c r="VKU242" s="347"/>
      <c r="VKV242" s="347"/>
      <c r="VKW242" s="347"/>
      <c r="VKX242" s="347"/>
      <c r="VKY242" s="347"/>
      <c r="VKZ242" s="347"/>
      <c r="VLA242" s="347"/>
      <c r="VLB242" s="347"/>
      <c r="VLC242" s="347"/>
      <c r="VLD242" s="347"/>
      <c r="VLE242" s="347"/>
      <c r="VLF242" s="347"/>
      <c r="VLG242" s="347"/>
      <c r="VLH242" s="347"/>
      <c r="VLI242" s="347"/>
      <c r="VLJ242" s="347"/>
      <c r="VLK242" s="347"/>
      <c r="VLL242" s="347"/>
      <c r="VLM242" s="347"/>
      <c r="VLN242" s="347"/>
      <c r="VLO242" s="347"/>
      <c r="VLP242" s="347"/>
      <c r="VLQ242" s="347"/>
      <c r="VLR242" s="347"/>
      <c r="VLS242" s="347"/>
      <c r="VLT242" s="347"/>
      <c r="VLU242" s="347"/>
      <c r="VLV242" s="347"/>
      <c r="VLW242" s="347"/>
      <c r="VLX242" s="347"/>
      <c r="VLY242" s="347"/>
      <c r="VLZ242" s="347"/>
      <c r="VMA242" s="347"/>
      <c r="VMB242" s="347"/>
      <c r="VMC242" s="347"/>
      <c r="VMD242" s="347"/>
      <c r="VME242" s="347"/>
      <c r="VMF242" s="347"/>
      <c r="VMG242" s="347"/>
      <c r="VMH242" s="347"/>
      <c r="VMI242" s="347"/>
      <c r="VMJ242" s="347"/>
      <c r="VMK242" s="347"/>
      <c r="VML242" s="347"/>
      <c r="VMM242" s="347"/>
      <c r="VMN242" s="347"/>
      <c r="VMO242" s="347"/>
      <c r="VMP242" s="347"/>
      <c r="VMQ242" s="347"/>
      <c r="VMR242" s="347"/>
      <c r="VMS242" s="347"/>
      <c r="VMT242" s="347"/>
      <c r="VMU242" s="347"/>
      <c r="VMV242" s="347"/>
      <c r="VMW242" s="347"/>
      <c r="VMX242" s="347"/>
      <c r="VMY242" s="347"/>
      <c r="VMZ242" s="347"/>
      <c r="VNA242" s="347"/>
      <c r="VNB242" s="347"/>
      <c r="VNC242" s="347"/>
      <c r="VND242" s="347"/>
      <c r="VNE242" s="347"/>
      <c r="VNF242" s="347"/>
      <c r="VNG242" s="347"/>
      <c r="VNH242" s="347"/>
      <c r="VNI242" s="347"/>
      <c r="VNJ242" s="347"/>
      <c r="VNK242" s="347"/>
      <c r="VNL242" s="347"/>
      <c r="VNM242" s="347"/>
      <c r="VNN242" s="347"/>
      <c r="VNO242" s="347"/>
      <c r="VNP242" s="347"/>
      <c r="VNQ242" s="347"/>
      <c r="VNR242" s="347"/>
      <c r="VNS242" s="347"/>
      <c r="VNT242" s="347"/>
      <c r="VNU242" s="347"/>
      <c r="VNV242" s="347"/>
      <c r="VNW242" s="347"/>
      <c r="VNX242" s="347"/>
      <c r="VNY242" s="347"/>
      <c r="VNZ242" s="347"/>
      <c r="VOA242" s="347"/>
      <c r="VOB242" s="347"/>
      <c r="VOC242" s="347"/>
      <c r="VOD242" s="347"/>
      <c r="VOE242" s="347"/>
      <c r="VOF242" s="347"/>
      <c r="VOG242" s="347"/>
      <c r="VOH242" s="347"/>
      <c r="VOI242" s="347"/>
      <c r="VOJ242" s="347"/>
      <c r="VOK242" s="347"/>
      <c r="VOL242" s="347"/>
      <c r="VOM242" s="347"/>
      <c r="VON242" s="347"/>
      <c r="VOO242" s="347"/>
      <c r="VOP242" s="347"/>
      <c r="VOQ242" s="347"/>
      <c r="VOR242" s="347"/>
      <c r="VOS242" s="347"/>
      <c r="VOT242" s="347"/>
      <c r="VOU242" s="347"/>
      <c r="VOV242" s="347"/>
      <c r="VOW242" s="347"/>
      <c r="VOX242" s="347"/>
      <c r="VOY242" s="347"/>
      <c r="VOZ242" s="347"/>
      <c r="VPA242" s="347"/>
      <c r="VPB242" s="347"/>
      <c r="VPC242" s="347"/>
      <c r="VPD242" s="347"/>
      <c r="VPE242" s="347"/>
      <c r="VPF242" s="347"/>
      <c r="VPG242" s="347"/>
      <c r="VPH242" s="347"/>
      <c r="VPI242" s="347"/>
      <c r="VPJ242" s="347"/>
      <c r="VPK242" s="347"/>
      <c r="VPL242" s="347"/>
      <c r="VPM242" s="347"/>
      <c r="VPN242" s="347"/>
      <c r="VPO242" s="347"/>
      <c r="VPP242" s="347"/>
      <c r="VPQ242" s="347"/>
      <c r="VPR242" s="347"/>
      <c r="VPS242" s="347"/>
      <c r="VPT242" s="347"/>
      <c r="VPU242" s="347"/>
      <c r="VPV242" s="347"/>
      <c r="VPW242" s="347"/>
      <c r="VPX242" s="347"/>
      <c r="VPY242" s="347"/>
      <c r="VPZ242" s="347"/>
      <c r="VQA242" s="347"/>
      <c r="VQB242" s="347"/>
      <c r="VQC242" s="347"/>
      <c r="VQD242" s="347"/>
      <c r="VQE242" s="347"/>
      <c r="VQF242" s="347"/>
      <c r="VQG242" s="347"/>
      <c r="VQH242" s="347"/>
      <c r="VQI242" s="347"/>
      <c r="VQJ242" s="347"/>
      <c r="VQK242" s="347"/>
      <c r="VQL242" s="347"/>
      <c r="VQM242" s="347"/>
      <c r="VQN242" s="347"/>
      <c r="VQO242" s="347"/>
      <c r="VQP242" s="347"/>
      <c r="VQQ242" s="347"/>
      <c r="VQR242" s="347"/>
      <c r="VQS242" s="347"/>
      <c r="VQT242" s="347"/>
      <c r="VQU242" s="347"/>
      <c r="VQV242" s="347"/>
      <c r="VQW242" s="347"/>
      <c r="VQX242" s="347"/>
      <c r="VQY242" s="347"/>
      <c r="VQZ242" s="347"/>
      <c r="VRA242" s="347"/>
      <c r="VRB242" s="347"/>
      <c r="VRC242" s="347"/>
      <c r="VRD242" s="347"/>
      <c r="VRE242" s="347"/>
      <c r="VRF242" s="347"/>
      <c r="VRG242" s="347"/>
      <c r="VRH242" s="347"/>
      <c r="VRI242" s="347"/>
      <c r="VRJ242" s="347"/>
      <c r="VRK242" s="347"/>
      <c r="VRL242" s="347"/>
      <c r="VRM242" s="347"/>
      <c r="VRN242" s="347"/>
      <c r="VRO242" s="347"/>
      <c r="VRP242" s="347"/>
      <c r="VRQ242" s="347"/>
      <c r="VRR242" s="347"/>
      <c r="VRS242" s="347"/>
      <c r="VRT242" s="347"/>
      <c r="VRU242" s="347"/>
      <c r="VRV242" s="347"/>
      <c r="VRW242" s="347"/>
      <c r="VRX242" s="347"/>
      <c r="VRY242" s="347"/>
      <c r="VRZ242" s="347"/>
      <c r="VSA242" s="347"/>
      <c r="VSB242" s="347"/>
      <c r="VSC242" s="347"/>
      <c r="VSD242" s="347"/>
      <c r="VSE242" s="347"/>
      <c r="VSF242" s="347"/>
      <c r="VSG242" s="347"/>
      <c r="VSH242" s="347"/>
      <c r="VSI242" s="347"/>
      <c r="VSJ242" s="347"/>
      <c r="VSK242" s="347"/>
      <c r="VSL242" s="347"/>
      <c r="VSM242" s="347"/>
      <c r="VSN242" s="347"/>
      <c r="VSO242" s="347"/>
      <c r="VSP242" s="347"/>
      <c r="VSQ242" s="347"/>
      <c r="VSR242" s="347"/>
      <c r="VSS242" s="347"/>
      <c r="VST242" s="347"/>
      <c r="VSU242" s="347"/>
      <c r="VSV242" s="347"/>
      <c r="VSW242" s="347"/>
      <c r="VSX242" s="347"/>
      <c r="VSY242" s="347"/>
      <c r="VSZ242" s="347"/>
      <c r="VTA242" s="347"/>
      <c r="VTB242" s="347"/>
      <c r="VTC242" s="347"/>
      <c r="VTD242" s="347"/>
      <c r="VTE242" s="347"/>
      <c r="VTF242" s="347"/>
      <c r="VTG242" s="347"/>
      <c r="VTH242" s="347"/>
      <c r="VTI242" s="347"/>
      <c r="VTJ242" s="347"/>
      <c r="VTK242" s="347"/>
      <c r="VTL242" s="347"/>
      <c r="VTM242" s="347"/>
      <c r="VTN242" s="347"/>
      <c r="VTO242" s="347"/>
      <c r="VTP242" s="347"/>
      <c r="VTQ242" s="347"/>
      <c r="VTR242" s="347"/>
      <c r="VTS242" s="347"/>
      <c r="VTT242" s="347"/>
      <c r="VTU242" s="347"/>
      <c r="VTV242" s="347"/>
      <c r="VTW242" s="347"/>
      <c r="VTX242" s="347"/>
      <c r="VTY242" s="347"/>
      <c r="VTZ242" s="347"/>
      <c r="VUA242" s="347"/>
      <c r="VUB242" s="347"/>
      <c r="VUC242" s="347"/>
      <c r="VUD242" s="347"/>
      <c r="VUE242" s="347"/>
      <c r="VUF242" s="347"/>
      <c r="VUG242" s="347"/>
      <c r="VUH242" s="347"/>
      <c r="VUI242" s="347"/>
      <c r="VUJ242" s="347"/>
      <c r="VUK242" s="347"/>
      <c r="VUL242" s="347"/>
      <c r="VUM242" s="347"/>
      <c r="VUN242" s="347"/>
      <c r="VUO242" s="347"/>
      <c r="VUP242" s="347"/>
      <c r="VUQ242" s="347"/>
      <c r="VUR242" s="347"/>
      <c r="VUS242" s="347"/>
      <c r="VUT242" s="347"/>
      <c r="VUU242" s="347"/>
      <c r="VUV242" s="347"/>
      <c r="VUW242" s="347"/>
      <c r="VUX242" s="347"/>
      <c r="VUY242" s="347"/>
      <c r="VUZ242" s="347"/>
      <c r="VVA242" s="347"/>
      <c r="VVB242" s="347"/>
      <c r="VVC242" s="347"/>
      <c r="VVD242" s="347"/>
      <c r="VVE242" s="347"/>
      <c r="VVF242" s="347"/>
      <c r="VVG242" s="347"/>
      <c r="VVH242" s="347"/>
      <c r="VVI242" s="347"/>
      <c r="VVJ242" s="347"/>
      <c r="VVK242" s="347"/>
      <c r="VVL242" s="347"/>
      <c r="VVM242" s="347"/>
      <c r="VVN242" s="347"/>
      <c r="VVO242" s="347"/>
      <c r="VVP242" s="347"/>
      <c r="VVQ242" s="347"/>
    </row>
    <row r="243" spans="2:103 15069:15461" s="3" customFormat="1" ht="15" hidden="1" customHeight="1">
      <c r="B243" s="121"/>
      <c r="C243" s="276" t="s">
        <v>110</v>
      </c>
      <c r="D243" s="117"/>
      <c r="E243" s="118" t="s">
        <v>16</v>
      </c>
      <c r="F243" s="277"/>
      <c r="G243" s="277"/>
      <c r="H243" s="277"/>
      <c r="I243" s="277"/>
      <c r="J243" s="277"/>
      <c r="K243" s="277"/>
      <c r="L243" s="277">
        <v>193420</v>
      </c>
      <c r="M243" s="277">
        <v>21750</v>
      </c>
      <c r="N243" s="277">
        <v>106020</v>
      </c>
      <c r="O243" s="277">
        <v>0</v>
      </c>
      <c r="P243" s="277">
        <v>0</v>
      </c>
      <c r="Q243" s="277">
        <v>0</v>
      </c>
      <c r="R243" s="277">
        <v>0</v>
      </c>
      <c r="S243" s="277">
        <v>0</v>
      </c>
      <c r="T243" s="277">
        <v>0</v>
      </c>
      <c r="U243" s="277">
        <v>0</v>
      </c>
      <c r="V243" s="277">
        <v>0</v>
      </c>
      <c r="W243" s="277">
        <v>147620</v>
      </c>
      <c r="X243" s="277">
        <v>0</v>
      </c>
      <c r="Y243" s="277">
        <v>0</v>
      </c>
      <c r="Z243" s="277">
        <v>257700</v>
      </c>
      <c r="AA243" s="277">
        <v>281570</v>
      </c>
      <c r="AB243" s="277">
        <v>262580</v>
      </c>
      <c r="AC243" s="277">
        <v>359130</v>
      </c>
      <c r="AD243" s="277">
        <v>28340</v>
      </c>
      <c r="AE243" s="277">
        <v>0</v>
      </c>
      <c r="AF243" s="277">
        <v>0</v>
      </c>
      <c r="AG243" s="277"/>
      <c r="AH243" s="277"/>
      <c r="AI243" s="277"/>
      <c r="AJ243" s="277"/>
      <c r="AL243" s="160">
        <f>SUM(F243:AJ243)</f>
        <v>1658130</v>
      </c>
      <c r="CY243" s="16"/>
      <c r="VGO243" s="347"/>
      <c r="VGP243" s="347"/>
      <c r="VGQ243" s="347"/>
      <c r="VGR243" s="347"/>
      <c r="VGS243" s="347"/>
      <c r="VGT243" s="347"/>
      <c r="VGU243" s="347"/>
      <c r="VGV243" s="347"/>
      <c r="VGW243" s="347"/>
      <c r="VGX243" s="347"/>
      <c r="VGY243" s="347"/>
      <c r="VGZ243" s="347"/>
      <c r="VHA243" s="347"/>
      <c r="VHB243" s="347"/>
      <c r="VHC243" s="347"/>
      <c r="VHD243" s="347"/>
      <c r="VHE243" s="347"/>
      <c r="VHF243" s="347"/>
      <c r="VHG243" s="347"/>
      <c r="VHH243" s="347"/>
      <c r="VHI243" s="347"/>
      <c r="VHJ243" s="347"/>
      <c r="VHK243" s="347"/>
      <c r="VHL243" s="347"/>
      <c r="VHM243" s="347"/>
      <c r="VHN243" s="347"/>
      <c r="VHO243" s="347"/>
      <c r="VHP243" s="347"/>
      <c r="VHQ243" s="347"/>
      <c r="VHR243" s="347"/>
      <c r="VHS243" s="347"/>
      <c r="VHT243" s="347"/>
      <c r="VHU243" s="347"/>
      <c r="VHV243" s="347"/>
      <c r="VHW243" s="347"/>
      <c r="VHX243" s="347"/>
      <c r="VHY243" s="347"/>
      <c r="VHZ243" s="347"/>
      <c r="VIA243" s="347"/>
      <c r="VIB243" s="347"/>
      <c r="VIC243" s="347"/>
      <c r="VID243" s="347"/>
      <c r="VIE243" s="347"/>
      <c r="VIF243" s="347"/>
      <c r="VIG243" s="347"/>
      <c r="VIH243" s="347"/>
      <c r="VII243" s="347"/>
      <c r="VIJ243" s="347"/>
      <c r="VIK243" s="347"/>
      <c r="VIL243" s="347"/>
      <c r="VIM243" s="347"/>
      <c r="VIN243" s="347"/>
      <c r="VIO243" s="347"/>
      <c r="VIP243" s="347"/>
      <c r="VIQ243" s="347"/>
      <c r="VIR243" s="347"/>
      <c r="VIS243" s="347"/>
      <c r="VIT243" s="347"/>
      <c r="VIU243" s="347"/>
      <c r="VIV243" s="347"/>
      <c r="VIW243" s="347"/>
      <c r="VIX243" s="347"/>
      <c r="VIY243" s="347"/>
      <c r="VIZ243" s="347"/>
      <c r="VJA243" s="347"/>
      <c r="VJB243" s="347"/>
      <c r="VJC243" s="347"/>
      <c r="VJD243" s="347"/>
      <c r="VJE243" s="347"/>
      <c r="VJF243" s="347"/>
      <c r="VJG243" s="347"/>
      <c r="VJH243" s="347"/>
      <c r="VJI243" s="347"/>
      <c r="VJJ243" s="347"/>
      <c r="VJK243" s="347"/>
      <c r="VJL243" s="347"/>
      <c r="VJM243" s="347"/>
      <c r="VJN243" s="347"/>
      <c r="VJO243" s="347"/>
      <c r="VJP243" s="347"/>
      <c r="VJQ243" s="347"/>
      <c r="VJR243" s="347"/>
      <c r="VJS243" s="347"/>
      <c r="VJT243" s="347"/>
      <c r="VJU243" s="347"/>
      <c r="VJV243" s="347"/>
      <c r="VJW243" s="347"/>
      <c r="VJX243" s="347"/>
      <c r="VJY243" s="347"/>
      <c r="VJZ243" s="347"/>
      <c r="VKA243" s="347"/>
      <c r="VKB243" s="347"/>
      <c r="VKC243" s="347"/>
      <c r="VKD243" s="347"/>
      <c r="VKE243" s="347"/>
      <c r="VKF243" s="347"/>
      <c r="VKG243" s="347"/>
      <c r="VKH243" s="347"/>
      <c r="VKI243" s="347"/>
      <c r="VKJ243" s="347"/>
      <c r="VKK243" s="347"/>
      <c r="VKL243" s="347"/>
      <c r="VKM243" s="347"/>
      <c r="VKN243" s="347"/>
      <c r="VKO243" s="347"/>
      <c r="VKP243" s="347"/>
      <c r="VKQ243" s="347"/>
      <c r="VKR243" s="347"/>
      <c r="VKS243" s="347"/>
      <c r="VKT243" s="347"/>
      <c r="VKU243" s="347"/>
      <c r="VKV243" s="347"/>
      <c r="VKW243" s="347"/>
      <c r="VKX243" s="347"/>
      <c r="VKY243" s="347"/>
      <c r="VKZ243" s="347"/>
      <c r="VLA243" s="347"/>
      <c r="VLB243" s="347"/>
      <c r="VLC243" s="347"/>
      <c r="VLD243" s="347"/>
      <c r="VLE243" s="347"/>
      <c r="VLF243" s="347"/>
      <c r="VLG243" s="347"/>
      <c r="VLH243" s="347"/>
      <c r="VLI243" s="347"/>
      <c r="VLJ243" s="347"/>
      <c r="VLK243" s="347"/>
      <c r="VLL243" s="347"/>
      <c r="VLM243" s="347"/>
      <c r="VLN243" s="347"/>
      <c r="VLO243" s="347"/>
      <c r="VLP243" s="347"/>
      <c r="VLQ243" s="347"/>
      <c r="VLR243" s="347"/>
      <c r="VLS243" s="347"/>
      <c r="VLT243" s="347"/>
      <c r="VLU243" s="347"/>
      <c r="VLV243" s="347"/>
      <c r="VLW243" s="347"/>
      <c r="VLX243" s="347"/>
      <c r="VLY243" s="347"/>
      <c r="VLZ243" s="347"/>
      <c r="VMA243" s="347"/>
      <c r="VMB243" s="347"/>
      <c r="VMC243" s="347"/>
      <c r="VMD243" s="347"/>
      <c r="VME243" s="347"/>
      <c r="VMF243" s="347"/>
      <c r="VMG243" s="347"/>
      <c r="VMH243" s="347"/>
      <c r="VMI243" s="347"/>
      <c r="VMJ243" s="347"/>
      <c r="VMK243" s="347"/>
      <c r="VML243" s="347"/>
      <c r="VMM243" s="347"/>
      <c r="VMN243" s="347"/>
      <c r="VMO243" s="347"/>
      <c r="VMP243" s="347"/>
      <c r="VMQ243" s="347"/>
      <c r="VMR243" s="347"/>
      <c r="VMS243" s="347"/>
      <c r="VMT243" s="347"/>
      <c r="VMU243" s="347"/>
      <c r="VMV243" s="347"/>
      <c r="VMW243" s="347"/>
      <c r="VMX243" s="347"/>
      <c r="VMY243" s="347"/>
      <c r="VMZ243" s="347"/>
      <c r="VNA243" s="347"/>
      <c r="VNB243" s="347"/>
      <c r="VNC243" s="347"/>
      <c r="VND243" s="347"/>
      <c r="VNE243" s="347"/>
      <c r="VNF243" s="347"/>
      <c r="VNG243" s="347"/>
      <c r="VNH243" s="347"/>
      <c r="VNI243" s="347"/>
      <c r="VNJ243" s="347"/>
      <c r="VNK243" s="347"/>
      <c r="VNL243" s="347"/>
      <c r="VNM243" s="347"/>
      <c r="VNN243" s="347"/>
      <c r="VNO243" s="347"/>
      <c r="VNP243" s="347"/>
      <c r="VNQ243" s="347"/>
      <c r="VNR243" s="347"/>
      <c r="VNS243" s="347"/>
      <c r="VNT243" s="347"/>
      <c r="VNU243" s="347"/>
      <c r="VNV243" s="347"/>
      <c r="VNW243" s="347"/>
      <c r="VNX243" s="347"/>
      <c r="VNY243" s="347"/>
      <c r="VNZ243" s="347"/>
      <c r="VOA243" s="347"/>
      <c r="VOB243" s="347"/>
      <c r="VOC243" s="347"/>
      <c r="VOD243" s="347"/>
      <c r="VOE243" s="347"/>
      <c r="VOF243" s="347"/>
      <c r="VOG243" s="347"/>
      <c r="VOH243" s="347"/>
      <c r="VOI243" s="347"/>
      <c r="VOJ243" s="347"/>
      <c r="VOK243" s="347"/>
      <c r="VOL243" s="347"/>
      <c r="VOM243" s="347"/>
      <c r="VON243" s="347"/>
      <c r="VOO243" s="347"/>
      <c r="VOP243" s="347"/>
      <c r="VOQ243" s="347"/>
      <c r="VOR243" s="347"/>
      <c r="VOS243" s="347"/>
      <c r="VOT243" s="347"/>
      <c r="VOU243" s="347"/>
      <c r="VOV243" s="347"/>
      <c r="VOW243" s="347"/>
      <c r="VOX243" s="347"/>
      <c r="VOY243" s="347"/>
      <c r="VOZ243" s="347"/>
      <c r="VPA243" s="347"/>
      <c r="VPB243" s="347"/>
      <c r="VPC243" s="347"/>
      <c r="VPD243" s="347"/>
      <c r="VPE243" s="347"/>
      <c r="VPF243" s="347"/>
      <c r="VPG243" s="347"/>
      <c r="VPH243" s="347"/>
      <c r="VPI243" s="347"/>
      <c r="VPJ243" s="347"/>
      <c r="VPK243" s="347"/>
      <c r="VPL243" s="347"/>
      <c r="VPM243" s="347"/>
      <c r="VPN243" s="347"/>
      <c r="VPO243" s="347"/>
      <c r="VPP243" s="347"/>
      <c r="VPQ243" s="347"/>
      <c r="VPR243" s="347"/>
      <c r="VPS243" s="347"/>
      <c r="VPT243" s="347"/>
      <c r="VPU243" s="347"/>
      <c r="VPV243" s="347"/>
      <c r="VPW243" s="347"/>
      <c r="VPX243" s="347"/>
      <c r="VPY243" s="347"/>
      <c r="VPZ243" s="347"/>
      <c r="VQA243" s="347"/>
      <c r="VQB243" s="347"/>
      <c r="VQC243" s="347"/>
      <c r="VQD243" s="347"/>
      <c r="VQE243" s="347"/>
      <c r="VQF243" s="347"/>
      <c r="VQG243" s="347"/>
      <c r="VQH243" s="347"/>
      <c r="VQI243" s="347"/>
      <c r="VQJ243" s="347"/>
      <c r="VQK243" s="347"/>
      <c r="VQL243" s="347"/>
      <c r="VQM243" s="347"/>
      <c r="VQN243" s="347"/>
      <c r="VQO243" s="347"/>
      <c r="VQP243" s="347"/>
      <c r="VQQ243" s="347"/>
      <c r="VQR243" s="347"/>
      <c r="VQS243" s="347"/>
      <c r="VQT243" s="347"/>
      <c r="VQU243" s="347"/>
      <c r="VQV243" s="347"/>
      <c r="VQW243" s="347"/>
      <c r="VQX243" s="347"/>
      <c r="VQY243" s="347"/>
      <c r="VQZ243" s="347"/>
      <c r="VRA243" s="347"/>
      <c r="VRB243" s="347"/>
      <c r="VRC243" s="347"/>
      <c r="VRD243" s="347"/>
      <c r="VRE243" s="347"/>
      <c r="VRF243" s="347"/>
      <c r="VRG243" s="347"/>
      <c r="VRH243" s="347"/>
      <c r="VRI243" s="347"/>
      <c r="VRJ243" s="347"/>
      <c r="VRK243" s="347"/>
      <c r="VRL243" s="347"/>
      <c r="VRM243" s="347"/>
      <c r="VRN243" s="347"/>
      <c r="VRO243" s="347"/>
      <c r="VRP243" s="347"/>
      <c r="VRQ243" s="347"/>
      <c r="VRR243" s="347"/>
      <c r="VRS243" s="347"/>
      <c r="VRT243" s="347"/>
      <c r="VRU243" s="347"/>
      <c r="VRV243" s="347"/>
      <c r="VRW243" s="347"/>
      <c r="VRX243" s="347"/>
      <c r="VRY243" s="347"/>
      <c r="VRZ243" s="347"/>
      <c r="VSA243" s="347"/>
      <c r="VSB243" s="347"/>
      <c r="VSC243" s="347"/>
      <c r="VSD243" s="347"/>
      <c r="VSE243" s="347"/>
      <c r="VSF243" s="347"/>
      <c r="VSG243" s="347"/>
      <c r="VSH243" s="347"/>
      <c r="VSI243" s="347"/>
      <c r="VSJ243" s="347"/>
      <c r="VSK243" s="347"/>
      <c r="VSL243" s="347"/>
      <c r="VSM243" s="347"/>
      <c r="VSN243" s="347"/>
      <c r="VSO243" s="347"/>
      <c r="VSP243" s="347"/>
      <c r="VSQ243" s="347"/>
      <c r="VSR243" s="347"/>
      <c r="VSS243" s="347"/>
      <c r="VST243" s="347"/>
      <c r="VSU243" s="347"/>
      <c r="VSV243" s="347"/>
      <c r="VSW243" s="347"/>
      <c r="VSX243" s="347"/>
      <c r="VSY243" s="347"/>
      <c r="VSZ243" s="347"/>
      <c r="VTA243" s="347"/>
      <c r="VTB243" s="347"/>
      <c r="VTC243" s="347"/>
      <c r="VTD243" s="347"/>
      <c r="VTE243" s="347"/>
      <c r="VTF243" s="347"/>
      <c r="VTG243" s="347"/>
      <c r="VTH243" s="347"/>
      <c r="VTI243" s="347"/>
      <c r="VTJ243" s="347"/>
      <c r="VTK243" s="347"/>
      <c r="VTL243" s="347"/>
      <c r="VTM243" s="347"/>
      <c r="VTN243" s="347"/>
      <c r="VTO243" s="347"/>
      <c r="VTP243" s="347"/>
      <c r="VTQ243" s="347"/>
      <c r="VTR243" s="347"/>
      <c r="VTS243" s="347"/>
      <c r="VTT243" s="347"/>
      <c r="VTU243" s="347"/>
      <c r="VTV243" s="347"/>
      <c r="VTW243" s="347"/>
      <c r="VTX243" s="347"/>
      <c r="VTY243" s="347"/>
      <c r="VTZ243" s="347"/>
      <c r="VUA243" s="347"/>
      <c r="VUB243" s="347"/>
      <c r="VUC243" s="347"/>
      <c r="VUD243" s="347"/>
      <c r="VUE243" s="347"/>
      <c r="VUF243" s="347"/>
      <c r="VUG243" s="347"/>
      <c r="VUH243" s="347"/>
      <c r="VUI243" s="347"/>
      <c r="VUJ243" s="347"/>
      <c r="VUK243" s="347"/>
      <c r="VUL243" s="347"/>
      <c r="VUM243" s="347"/>
      <c r="VUN243" s="347"/>
      <c r="VUO243" s="347"/>
      <c r="VUP243" s="347"/>
      <c r="VUQ243" s="347"/>
      <c r="VUR243" s="347"/>
      <c r="VUS243" s="347"/>
      <c r="VUT243" s="347"/>
      <c r="VUU243" s="347"/>
      <c r="VUV243" s="347"/>
      <c r="VUW243" s="347"/>
      <c r="VUX243" s="347"/>
      <c r="VUY243" s="347"/>
      <c r="VUZ243" s="347"/>
      <c r="VVA243" s="347"/>
      <c r="VVB243" s="347"/>
      <c r="VVC243" s="347"/>
      <c r="VVD243" s="347"/>
      <c r="VVE243" s="347"/>
      <c r="VVF243" s="347"/>
      <c r="VVG243" s="347"/>
      <c r="VVH243" s="347"/>
      <c r="VVI243" s="347"/>
      <c r="VVJ243" s="347"/>
      <c r="VVK243" s="347"/>
      <c r="VVL243" s="347"/>
      <c r="VVM243" s="347"/>
      <c r="VVN243" s="347"/>
      <c r="VVO243" s="347"/>
      <c r="VVP243" s="347"/>
      <c r="VVQ243" s="347"/>
    </row>
    <row r="244" spans="2:103 15069:15461" s="3" customFormat="1" ht="15" hidden="1" customHeight="1">
      <c r="B244" s="121"/>
      <c r="C244" s="276" t="s">
        <v>73</v>
      </c>
      <c r="D244" s="117"/>
      <c r="E244" s="118" t="s">
        <v>16</v>
      </c>
      <c r="F244" s="277"/>
      <c r="G244" s="277"/>
      <c r="H244" s="277"/>
      <c r="I244" s="277"/>
      <c r="J244" s="277"/>
      <c r="K244" s="277"/>
      <c r="L244" s="277">
        <v>0</v>
      </c>
      <c r="M244" s="277">
        <v>0</v>
      </c>
      <c r="N244" s="277">
        <v>0</v>
      </c>
      <c r="O244" s="277">
        <v>0</v>
      </c>
      <c r="P244" s="277">
        <v>0</v>
      </c>
      <c r="Q244" s="277">
        <v>0</v>
      </c>
      <c r="R244" s="277">
        <v>0</v>
      </c>
      <c r="S244" s="277">
        <v>0</v>
      </c>
      <c r="T244" s="277">
        <v>0</v>
      </c>
      <c r="U244" s="277">
        <v>0</v>
      </c>
      <c r="V244" s="277">
        <v>0</v>
      </c>
      <c r="W244" s="277">
        <v>121900</v>
      </c>
      <c r="X244" s="277">
        <v>0</v>
      </c>
      <c r="Y244" s="277">
        <v>0</v>
      </c>
      <c r="Z244" s="277">
        <v>288510</v>
      </c>
      <c r="AA244" s="277">
        <v>0</v>
      </c>
      <c r="AB244" s="277">
        <v>0</v>
      </c>
      <c r="AC244" s="277">
        <v>0</v>
      </c>
      <c r="AD244" s="277">
        <v>0</v>
      </c>
      <c r="AE244" s="277">
        <v>0</v>
      </c>
      <c r="AF244" s="277">
        <v>0</v>
      </c>
      <c r="AG244" s="277"/>
      <c r="AH244" s="277"/>
      <c r="AI244" s="277"/>
      <c r="AJ244" s="277"/>
      <c r="AL244" s="160">
        <f>SUM(F244:AJ244)</f>
        <v>410410</v>
      </c>
      <c r="CY244" s="16"/>
      <c r="VGO244" s="347"/>
      <c r="VGP244" s="347"/>
      <c r="VGQ244" s="347"/>
      <c r="VGR244" s="347"/>
      <c r="VGS244" s="347"/>
      <c r="VGT244" s="347"/>
      <c r="VGU244" s="347"/>
      <c r="VGV244" s="347"/>
      <c r="VGW244" s="347"/>
      <c r="VGX244" s="347"/>
      <c r="VGY244" s="347"/>
      <c r="VGZ244" s="347"/>
      <c r="VHA244" s="347"/>
      <c r="VHB244" s="347"/>
      <c r="VHC244" s="347"/>
      <c r="VHD244" s="347"/>
      <c r="VHE244" s="347"/>
      <c r="VHF244" s="347"/>
      <c r="VHG244" s="347"/>
      <c r="VHH244" s="347"/>
      <c r="VHI244" s="347"/>
      <c r="VHJ244" s="347"/>
      <c r="VHK244" s="347"/>
      <c r="VHL244" s="347"/>
      <c r="VHM244" s="347"/>
      <c r="VHN244" s="347"/>
      <c r="VHO244" s="347"/>
      <c r="VHP244" s="347"/>
      <c r="VHQ244" s="347"/>
      <c r="VHR244" s="347"/>
      <c r="VHS244" s="347"/>
      <c r="VHT244" s="347"/>
      <c r="VHU244" s="347"/>
      <c r="VHV244" s="347"/>
      <c r="VHW244" s="347"/>
      <c r="VHX244" s="347"/>
      <c r="VHY244" s="347"/>
      <c r="VHZ244" s="347"/>
      <c r="VIA244" s="347"/>
      <c r="VIB244" s="347"/>
      <c r="VIC244" s="347"/>
      <c r="VID244" s="347"/>
      <c r="VIE244" s="347"/>
      <c r="VIF244" s="347"/>
      <c r="VIG244" s="347"/>
      <c r="VIH244" s="347"/>
      <c r="VII244" s="347"/>
      <c r="VIJ244" s="347"/>
      <c r="VIK244" s="347"/>
      <c r="VIL244" s="347"/>
      <c r="VIM244" s="347"/>
      <c r="VIN244" s="347"/>
      <c r="VIO244" s="347"/>
      <c r="VIP244" s="347"/>
      <c r="VIQ244" s="347"/>
      <c r="VIR244" s="347"/>
      <c r="VIS244" s="347"/>
      <c r="VIT244" s="347"/>
      <c r="VIU244" s="347"/>
      <c r="VIV244" s="347"/>
      <c r="VIW244" s="347"/>
      <c r="VIX244" s="347"/>
      <c r="VIY244" s="347"/>
      <c r="VIZ244" s="347"/>
      <c r="VJA244" s="347"/>
      <c r="VJB244" s="347"/>
      <c r="VJC244" s="347"/>
      <c r="VJD244" s="347"/>
      <c r="VJE244" s="347"/>
      <c r="VJF244" s="347"/>
      <c r="VJG244" s="347"/>
      <c r="VJH244" s="347"/>
      <c r="VJI244" s="347"/>
      <c r="VJJ244" s="347"/>
      <c r="VJK244" s="347"/>
      <c r="VJL244" s="347"/>
      <c r="VJM244" s="347"/>
      <c r="VJN244" s="347"/>
      <c r="VJO244" s="347"/>
      <c r="VJP244" s="347"/>
      <c r="VJQ244" s="347"/>
      <c r="VJR244" s="347"/>
      <c r="VJS244" s="347"/>
      <c r="VJT244" s="347"/>
      <c r="VJU244" s="347"/>
      <c r="VJV244" s="347"/>
      <c r="VJW244" s="347"/>
      <c r="VJX244" s="347"/>
      <c r="VJY244" s="347"/>
      <c r="VJZ244" s="347"/>
      <c r="VKA244" s="347"/>
      <c r="VKB244" s="347"/>
      <c r="VKC244" s="347"/>
      <c r="VKD244" s="347"/>
      <c r="VKE244" s="347"/>
      <c r="VKF244" s="347"/>
      <c r="VKG244" s="347"/>
      <c r="VKH244" s="347"/>
      <c r="VKI244" s="347"/>
      <c r="VKJ244" s="347"/>
      <c r="VKK244" s="347"/>
      <c r="VKL244" s="347"/>
      <c r="VKM244" s="347"/>
      <c r="VKN244" s="347"/>
      <c r="VKO244" s="347"/>
      <c r="VKP244" s="347"/>
      <c r="VKQ244" s="347"/>
      <c r="VKR244" s="347"/>
      <c r="VKS244" s="347"/>
      <c r="VKT244" s="347"/>
      <c r="VKU244" s="347"/>
      <c r="VKV244" s="347"/>
      <c r="VKW244" s="347"/>
      <c r="VKX244" s="347"/>
      <c r="VKY244" s="347"/>
      <c r="VKZ244" s="347"/>
      <c r="VLA244" s="347"/>
      <c r="VLB244" s="347"/>
      <c r="VLC244" s="347"/>
      <c r="VLD244" s="347"/>
      <c r="VLE244" s="347"/>
      <c r="VLF244" s="347"/>
      <c r="VLG244" s="347"/>
      <c r="VLH244" s="347"/>
      <c r="VLI244" s="347"/>
      <c r="VLJ244" s="347"/>
      <c r="VLK244" s="347"/>
      <c r="VLL244" s="347"/>
      <c r="VLM244" s="347"/>
      <c r="VLN244" s="347"/>
      <c r="VLO244" s="347"/>
      <c r="VLP244" s="347"/>
      <c r="VLQ244" s="347"/>
      <c r="VLR244" s="347"/>
      <c r="VLS244" s="347"/>
      <c r="VLT244" s="347"/>
      <c r="VLU244" s="347"/>
      <c r="VLV244" s="347"/>
      <c r="VLW244" s="347"/>
      <c r="VLX244" s="347"/>
      <c r="VLY244" s="347"/>
      <c r="VLZ244" s="347"/>
      <c r="VMA244" s="347"/>
      <c r="VMB244" s="347"/>
      <c r="VMC244" s="347"/>
      <c r="VMD244" s="347"/>
      <c r="VME244" s="347"/>
      <c r="VMF244" s="347"/>
      <c r="VMG244" s="347"/>
      <c r="VMH244" s="347"/>
      <c r="VMI244" s="347"/>
      <c r="VMJ244" s="347"/>
      <c r="VMK244" s="347"/>
      <c r="VML244" s="347"/>
      <c r="VMM244" s="347"/>
      <c r="VMN244" s="347"/>
      <c r="VMO244" s="347"/>
      <c r="VMP244" s="347"/>
      <c r="VMQ244" s="347"/>
      <c r="VMR244" s="347"/>
      <c r="VMS244" s="347"/>
      <c r="VMT244" s="347"/>
      <c r="VMU244" s="347"/>
      <c r="VMV244" s="347"/>
      <c r="VMW244" s="347"/>
      <c r="VMX244" s="347"/>
      <c r="VMY244" s="347"/>
      <c r="VMZ244" s="347"/>
      <c r="VNA244" s="347"/>
      <c r="VNB244" s="347"/>
      <c r="VNC244" s="347"/>
      <c r="VND244" s="347"/>
      <c r="VNE244" s="347"/>
      <c r="VNF244" s="347"/>
      <c r="VNG244" s="347"/>
      <c r="VNH244" s="347"/>
      <c r="VNI244" s="347"/>
      <c r="VNJ244" s="347"/>
      <c r="VNK244" s="347"/>
      <c r="VNL244" s="347"/>
      <c r="VNM244" s="347"/>
      <c r="VNN244" s="347"/>
      <c r="VNO244" s="347"/>
      <c r="VNP244" s="347"/>
      <c r="VNQ244" s="347"/>
      <c r="VNR244" s="347"/>
      <c r="VNS244" s="347"/>
      <c r="VNT244" s="347"/>
      <c r="VNU244" s="347"/>
      <c r="VNV244" s="347"/>
      <c r="VNW244" s="347"/>
      <c r="VNX244" s="347"/>
      <c r="VNY244" s="347"/>
      <c r="VNZ244" s="347"/>
      <c r="VOA244" s="347"/>
      <c r="VOB244" s="347"/>
      <c r="VOC244" s="347"/>
      <c r="VOD244" s="347"/>
      <c r="VOE244" s="347"/>
      <c r="VOF244" s="347"/>
      <c r="VOG244" s="347"/>
      <c r="VOH244" s="347"/>
      <c r="VOI244" s="347"/>
      <c r="VOJ244" s="347"/>
      <c r="VOK244" s="347"/>
      <c r="VOL244" s="347"/>
      <c r="VOM244" s="347"/>
      <c r="VON244" s="347"/>
      <c r="VOO244" s="347"/>
      <c r="VOP244" s="347"/>
      <c r="VOQ244" s="347"/>
      <c r="VOR244" s="347"/>
      <c r="VOS244" s="347"/>
      <c r="VOT244" s="347"/>
      <c r="VOU244" s="347"/>
      <c r="VOV244" s="347"/>
      <c r="VOW244" s="347"/>
      <c r="VOX244" s="347"/>
      <c r="VOY244" s="347"/>
      <c r="VOZ244" s="347"/>
      <c r="VPA244" s="347"/>
      <c r="VPB244" s="347"/>
      <c r="VPC244" s="347"/>
      <c r="VPD244" s="347"/>
      <c r="VPE244" s="347"/>
      <c r="VPF244" s="347"/>
      <c r="VPG244" s="347"/>
      <c r="VPH244" s="347"/>
      <c r="VPI244" s="347"/>
      <c r="VPJ244" s="347"/>
      <c r="VPK244" s="347"/>
      <c r="VPL244" s="347"/>
      <c r="VPM244" s="347"/>
      <c r="VPN244" s="347"/>
      <c r="VPO244" s="347"/>
      <c r="VPP244" s="347"/>
      <c r="VPQ244" s="347"/>
      <c r="VPR244" s="347"/>
      <c r="VPS244" s="347"/>
      <c r="VPT244" s="347"/>
      <c r="VPU244" s="347"/>
      <c r="VPV244" s="347"/>
      <c r="VPW244" s="347"/>
      <c r="VPX244" s="347"/>
      <c r="VPY244" s="347"/>
      <c r="VPZ244" s="347"/>
      <c r="VQA244" s="347"/>
      <c r="VQB244" s="347"/>
      <c r="VQC244" s="347"/>
      <c r="VQD244" s="347"/>
      <c r="VQE244" s="347"/>
      <c r="VQF244" s="347"/>
      <c r="VQG244" s="347"/>
      <c r="VQH244" s="347"/>
      <c r="VQI244" s="347"/>
      <c r="VQJ244" s="347"/>
      <c r="VQK244" s="347"/>
      <c r="VQL244" s="347"/>
      <c r="VQM244" s="347"/>
      <c r="VQN244" s="347"/>
      <c r="VQO244" s="347"/>
      <c r="VQP244" s="347"/>
      <c r="VQQ244" s="347"/>
      <c r="VQR244" s="347"/>
      <c r="VQS244" s="347"/>
      <c r="VQT244" s="347"/>
      <c r="VQU244" s="347"/>
      <c r="VQV244" s="347"/>
      <c r="VQW244" s="347"/>
      <c r="VQX244" s="347"/>
      <c r="VQY244" s="347"/>
      <c r="VQZ244" s="347"/>
      <c r="VRA244" s="347"/>
      <c r="VRB244" s="347"/>
      <c r="VRC244" s="347"/>
      <c r="VRD244" s="347"/>
      <c r="VRE244" s="347"/>
      <c r="VRF244" s="347"/>
      <c r="VRG244" s="347"/>
      <c r="VRH244" s="347"/>
      <c r="VRI244" s="347"/>
      <c r="VRJ244" s="347"/>
      <c r="VRK244" s="347"/>
      <c r="VRL244" s="347"/>
      <c r="VRM244" s="347"/>
      <c r="VRN244" s="347"/>
      <c r="VRO244" s="347"/>
      <c r="VRP244" s="347"/>
      <c r="VRQ244" s="347"/>
      <c r="VRR244" s="347"/>
      <c r="VRS244" s="347"/>
      <c r="VRT244" s="347"/>
      <c r="VRU244" s="347"/>
      <c r="VRV244" s="347"/>
      <c r="VRW244" s="347"/>
      <c r="VRX244" s="347"/>
      <c r="VRY244" s="347"/>
      <c r="VRZ244" s="347"/>
      <c r="VSA244" s="347"/>
      <c r="VSB244" s="347"/>
      <c r="VSC244" s="347"/>
      <c r="VSD244" s="347"/>
      <c r="VSE244" s="347"/>
      <c r="VSF244" s="347"/>
      <c r="VSG244" s="347"/>
      <c r="VSH244" s="347"/>
      <c r="VSI244" s="347"/>
      <c r="VSJ244" s="347"/>
      <c r="VSK244" s="347"/>
      <c r="VSL244" s="347"/>
      <c r="VSM244" s="347"/>
      <c r="VSN244" s="347"/>
      <c r="VSO244" s="347"/>
      <c r="VSP244" s="347"/>
      <c r="VSQ244" s="347"/>
      <c r="VSR244" s="347"/>
      <c r="VSS244" s="347"/>
      <c r="VST244" s="347"/>
      <c r="VSU244" s="347"/>
      <c r="VSV244" s="347"/>
      <c r="VSW244" s="347"/>
      <c r="VSX244" s="347"/>
      <c r="VSY244" s="347"/>
      <c r="VSZ244" s="347"/>
      <c r="VTA244" s="347"/>
      <c r="VTB244" s="347"/>
      <c r="VTC244" s="347"/>
      <c r="VTD244" s="347"/>
      <c r="VTE244" s="347"/>
      <c r="VTF244" s="347"/>
      <c r="VTG244" s="347"/>
      <c r="VTH244" s="347"/>
      <c r="VTI244" s="347"/>
      <c r="VTJ244" s="347"/>
      <c r="VTK244" s="347"/>
      <c r="VTL244" s="347"/>
      <c r="VTM244" s="347"/>
      <c r="VTN244" s="347"/>
      <c r="VTO244" s="347"/>
      <c r="VTP244" s="347"/>
      <c r="VTQ244" s="347"/>
      <c r="VTR244" s="347"/>
      <c r="VTS244" s="347"/>
      <c r="VTT244" s="347"/>
      <c r="VTU244" s="347"/>
      <c r="VTV244" s="347"/>
      <c r="VTW244" s="347"/>
      <c r="VTX244" s="347"/>
      <c r="VTY244" s="347"/>
      <c r="VTZ244" s="347"/>
      <c r="VUA244" s="347"/>
      <c r="VUB244" s="347"/>
      <c r="VUC244" s="347"/>
      <c r="VUD244" s="347"/>
      <c r="VUE244" s="347"/>
      <c r="VUF244" s="347"/>
      <c r="VUG244" s="347"/>
      <c r="VUH244" s="347"/>
      <c r="VUI244" s="347"/>
      <c r="VUJ244" s="347"/>
      <c r="VUK244" s="347"/>
      <c r="VUL244" s="347"/>
      <c r="VUM244" s="347"/>
      <c r="VUN244" s="347"/>
      <c r="VUO244" s="347"/>
      <c r="VUP244" s="347"/>
      <c r="VUQ244" s="347"/>
      <c r="VUR244" s="347"/>
      <c r="VUS244" s="347"/>
      <c r="VUT244" s="347"/>
      <c r="VUU244" s="347"/>
      <c r="VUV244" s="347"/>
      <c r="VUW244" s="347"/>
      <c r="VUX244" s="347"/>
      <c r="VUY244" s="347"/>
      <c r="VUZ244" s="347"/>
      <c r="VVA244" s="347"/>
      <c r="VVB244" s="347"/>
      <c r="VVC244" s="347"/>
      <c r="VVD244" s="347"/>
      <c r="VVE244" s="347"/>
      <c r="VVF244" s="347"/>
      <c r="VVG244" s="347"/>
      <c r="VVH244" s="347"/>
      <c r="VVI244" s="347"/>
      <c r="VVJ244" s="347"/>
      <c r="VVK244" s="347"/>
      <c r="VVL244" s="347"/>
      <c r="VVM244" s="347"/>
      <c r="VVN244" s="347"/>
      <c r="VVO244" s="347"/>
      <c r="VVP244" s="347"/>
      <c r="VVQ244" s="347"/>
    </row>
    <row r="245" spans="2:103 15069:15461" s="3" customFormat="1" ht="15" hidden="1" customHeight="1">
      <c r="B245" s="121"/>
      <c r="C245" s="276" t="s">
        <v>72</v>
      </c>
      <c r="D245" s="117"/>
      <c r="E245" s="118" t="s">
        <v>16</v>
      </c>
      <c r="F245" s="277"/>
      <c r="G245" s="277"/>
      <c r="H245" s="277"/>
      <c r="I245" s="277"/>
      <c r="J245" s="277"/>
      <c r="K245" s="277"/>
      <c r="L245" s="277">
        <v>470520</v>
      </c>
      <c r="M245" s="277">
        <v>520450</v>
      </c>
      <c r="N245" s="277">
        <v>228880</v>
      </c>
      <c r="O245" s="277">
        <v>100560</v>
      </c>
      <c r="P245" s="277">
        <v>256770</v>
      </c>
      <c r="Q245" s="277">
        <v>196900</v>
      </c>
      <c r="R245" s="277">
        <v>0</v>
      </c>
      <c r="S245" s="277">
        <v>243410</v>
      </c>
      <c r="T245" s="277">
        <v>29090</v>
      </c>
      <c r="U245" s="277">
        <v>152940</v>
      </c>
      <c r="V245" s="277">
        <v>121590</v>
      </c>
      <c r="W245" s="277">
        <v>562580</v>
      </c>
      <c r="X245" s="277">
        <v>228760</v>
      </c>
      <c r="Y245" s="277">
        <v>128390</v>
      </c>
      <c r="Z245" s="277">
        <v>92910</v>
      </c>
      <c r="AA245" s="277">
        <v>81690</v>
      </c>
      <c r="AB245" s="277">
        <v>94960</v>
      </c>
      <c r="AC245" s="277">
        <v>59460</v>
      </c>
      <c r="AD245" s="277">
        <v>26450</v>
      </c>
      <c r="AE245" s="277">
        <v>44460</v>
      </c>
      <c r="AF245" s="277">
        <v>28000</v>
      </c>
      <c r="AG245" s="277"/>
      <c r="AH245" s="277"/>
      <c r="AI245" s="277"/>
      <c r="AJ245" s="277"/>
      <c r="AL245" s="160">
        <f>SUM(F245:AJ245)</f>
        <v>3668770</v>
      </c>
      <c r="CY245" s="16"/>
      <c r="VGO245" s="347"/>
      <c r="VGP245" s="347"/>
      <c r="VGQ245" s="347"/>
      <c r="VGR245" s="347"/>
      <c r="VGS245" s="347"/>
      <c r="VGT245" s="347"/>
      <c r="VGU245" s="347"/>
      <c r="VGV245" s="347"/>
      <c r="VGW245" s="347"/>
      <c r="VGX245" s="347"/>
      <c r="VGY245" s="347"/>
      <c r="VGZ245" s="347"/>
      <c r="VHA245" s="347"/>
      <c r="VHB245" s="347"/>
      <c r="VHC245" s="347"/>
      <c r="VHD245" s="347"/>
      <c r="VHE245" s="347"/>
      <c r="VHF245" s="347"/>
      <c r="VHG245" s="347"/>
      <c r="VHH245" s="347"/>
      <c r="VHI245" s="347"/>
      <c r="VHJ245" s="347"/>
      <c r="VHK245" s="347"/>
      <c r="VHL245" s="347"/>
      <c r="VHM245" s="347"/>
      <c r="VHN245" s="347"/>
      <c r="VHO245" s="347"/>
      <c r="VHP245" s="347"/>
      <c r="VHQ245" s="347"/>
      <c r="VHR245" s="347"/>
      <c r="VHS245" s="347"/>
      <c r="VHT245" s="347"/>
      <c r="VHU245" s="347"/>
      <c r="VHV245" s="347"/>
      <c r="VHW245" s="347"/>
      <c r="VHX245" s="347"/>
      <c r="VHY245" s="347"/>
      <c r="VHZ245" s="347"/>
      <c r="VIA245" s="347"/>
      <c r="VIB245" s="347"/>
      <c r="VIC245" s="347"/>
      <c r="VID245" s="347"/>
      <c r="VIE245" s="347"/>
      <c r="VIF245" s="347"/>
      <c r="VIG245" s="347"/>
      <c r="VIH245" s="347"/>
      <c r="VII245" s="347"/>
      <c r="VIJ245" s="347"/>
      <c r="VIK245" s="347"/>
      <c r="VIL245" s="347"/>
      <c r="VIM245" s="347"/>
      <c r="VIN245" s="347"/>
      <c r="VIO245" s="347"/>
      <c r="VIP245" s="347"/>
      <c r="VIQ245" s="347"/>
      <c r="VIR245" s="347"/>
      <c r="VIS245" s="347"/>
      <c r="VIT245" s="347"/>
      <c r="VIU245" s="347"/>
      <c r="VIV245" s="347"/>
      <c r="VIW245" s="347"/>
      <c r="VIX245" s="347"/>
      <c r="VIY245" s="347"/>
      <c r="VIZ245" s="347"/>
      <c r="VJA245" s="347"/>
      <c r="VJB245" s="347"/>
      <c r="VJC245" s="347"/>
      <c r="VJD245" s="347"/>
      <c r="VJE245" s="347"/>
      <c r="VJF245" s="347"/>
      <c r="VJG245" s="347"/>
      <c r="VJH245" s="347"/>
      <c r="VJI245" s="347"/>
      <c r="VJJ245" s="347"/>
      <c r="VJK245" s="347"/>
      <c r="VJL245" s="347"/>
      <c r="VJM245" s="347"/>
      <c r="VJN245" s="347"/>
      <c r="VJO245" s="347"/>
      <c r="VJP245" s="347"/>
      <c r="VJQ245" s="347"/>
      <c r="VJR245" s="347"/>
      <c r="VJS245" s="347"/>
      <c r="VJT245" s="347"/>
      <c r="VJU245" s="347"/>
      <c r="VJV245" s="347"/>
      <c r="VJW245" s="347"/>
      <c r="VJX245" s="347"/>
      <c r="VJY245" s="347"/>
      <c r="VJZ245" s="347"/>
      <c r="VKA245" s="347"/>
      <c r="VKB245" s="347"/>
      <c r="VKC245" s="347"/>
      <c r="VKD245" s="347"/>
      <c r="VKE245" s="347"/>
      <c r="VKF245" s="347"/>
      <c r="VKG245" s="347"/>
      <c r="VKH245" s="347"/>
      <c r="VKI245" s="347"/>
      <c r="VKJ245" s="347"/>
      <c r="VKK245" s="347"/>
      <c r="VKL245" s="347"/>
      <c r="VKM245" s="347"/>
      <c r="VKN245" s="347"/>
      <c r="VKO245" s="347"/>
      <c r="VKP245" s="347"/>
      <c r="VKQ245" s="347"/>
      <c r="VKR245" s="347"/>
      <c r="VKS245" s="347"/>
      <c r="VKT245" s="347"/>
      <c r="VKU245" s="347"/>
      <c r="VKV245" s="347"/>
      <c r="VKW245" s="347"/>
      <c r="VKX245" s="347"/>
      <c r="VKY245" s="347"/>
      <c r="VKZ245" s="347"/>
      <c r="VLA245" s="347"/>
      <c r="VLB245" s="347"/>
      <c r="VLC245" s="347"/>
      <c r="VLD245" s="347"/>
      <c r="VLE245" s="347"/>
      <c r="VLF245" s="347"/>
      <c r="VLG245" s="347"/>
      <c r="VLH245" s="347"/>
      <c r="VLI245" s="347"/>
      <c r="VLJ245" s="347"/>
      <c r="VLK245" s="347"/>
      <c r="VLL245" s="347"/>
      <c r="VLM245" s="347"/>
      <c r="VLN245" s="347"/>
      <c r="VLO245" s="347"/>
      <c r="VLP245" s="347"/>
      <c r="VLQ245" s="347"/>
      <c r="VLR245" s="347"/>
      <c r="VLS245" s="347"/>
      <c r="VLT245" s="347"/>
      <c r="VLU245" s="347"/>
      <c r="VLV245" s="347"/>
      <c r="VLW245" s="347"/>
      <c r="VLX245" s="347"/>
      <c r="VLY245" s="347"/>
      <c r="VLZ245" s="347"/>
      <c r="VMA245" s="347"/>
      <c r="VMB245" s="347"/>
      <c r="VMC245" s="347"/>
      <c r="VMD245" s="347"/>
      <c r="VME245" s="347"/>
      <c r="VMF245" s="347"/>
      <c r="VMG245" s="347"/>
      <c r="VMH245" s="347"/>
      <c r="VMI245" s="347"/>
      <c r="VMJ245" s="347"/>
      <c r="VMK245" s="347"/>
      <c r="VML245" s="347"/>
      <c r="VMM245" s="347"/>
      <c r="VMN245" s="347"/>
      <c r="VMO245" s="347"/>
      <c r="VMP245" s="347"/>
      <c r="VMQ245" s="347"/>
      <c r="VMR245" s="347"/>
      <c r="VMS245" s="347"/>
      <c r="VMT245" s="347"/>
      <c r="VMU245" s="347"/>
      <c r="VMV245" s="347"/>
      <c r="VMW245" s="347"/>
      <c r="VMX245" s="347"/>
      <c r="VMY245" s="347"/>
      <c r="VMZ245" s="347"/>
      <c r="VNA245" s="347"/>
      <c r="VNB245" s="347"/>
      <c r="VNC245" s="347"/>
      <c r="VND245" s="347"/>
      <c r="VNE245" s="347"/>
      <c r="VNF245" s="347"/>
      <c r="VNG245" s="347"/>
      <c r="VNH245" s="347"/>
      <c r="VNI245" s="347"/>
      <c r="VNJ245" s="347"/>
      <c r="VNK245" s="347"/>
      <c r="VNL245" s="347"/>
      <c r="VNM245" s="347"/>
      <c r="VNN245" s="347"/>
      <c r="VNO245" s="347"/>
      <c r="VNP245" s="347"/>
      <c r="VNQ245" s="347"/>
      <c r="VNR245" s="347"/>
      <c r="VNS245" s="347"/>
      <c r="VNT245" s="347"/>
      <c r="VNU245" s="347"/>
      <c r="VNV245" s="347"/>
      <c r="VNW245" s="347"/>
      <c r="VNX245" s="347"/>
      <c r="VNY245" s="347"/>
      <c r="VNZ245" s="347"/>
      <c r="VOA245" s="347"/>
      <c r="VOB245" s="347"/>
      <c r="VOC245" s="347"/>
      <c r="VOD245" s="347"/>
      <c r="VOE245" s="347"/>
      <c r="VOF245" s="347"/>
      <c r="VOG245" s="347"/>
      <c r="VOH245" s="347"/>
      <c r="VOI245" s="347"/>
      <c r="VOJ245" s="347"/>
      <c r="VOK245" s="347"/>
      <c r="VOL245" s="347"/>
      <c r="VOM245" s="347"/>
      <c r="VON245" s="347"/>
      <c r="VOO245" s="347"/>
      <c r="VOP245" s="347"/>
      <c r="VOQ245" s="347"/>
      <c r="VOR245" s="347"/>
      <c r="VOS245" s="347"/>
      <c r="VOT245" s="347"/>
      <c r="VOU245" s="347"/>
      <c r="VOV245" s="347"/>
      <c r="VOW245" s="347"/>
      <c r="VOX245" s="347"/>
      <c r="VOY245" s="347"/>
      <c r="VOZ245" s="347"/>
      <c r="VPA245" s="347"/>
      <c r="VPB245" s="347"/>
      <c r="VPC245" s="347"/>
      <c r="VPD245" s="347"/>
      <c r="VPE245" s="347"/>
      <c r="VPF245" s="347"/>
      <c r="VPG245" s="347"/>
      <c r="VPH245" s="347"/>
      <c r="VPI245" s="347"/>
      <c r="VPJ245" s="347"/>
      <c r="VPK245" s="347"/>
      <c r="VPL245" s="347"/>
      <c r="VPM245" s="347"/>
      <c r="VPN245" s="347"/>
      <c r="VPO245" s="347"/>
      <c r="VPP245" s="347"/>
      <c r="VPQ245" s="347"/>
      <c r="VPR245" s="347"/>
      <c r="VPS245" s="347"/>
      <c r="VPT245" s="347"/>
      <c r="VPU245" s="347"/>
      <c r="VPV245" s="347"/>
      <c r="VPW245" s="347"/>
      <c r="VPX245" s="347"/>
      <c r="VPY245" s="347"/>
      <c r="VPZ245" s="347"/>
      <c r="VQA245" s="347"/>
      <c r="VQB245" s="347"/>
      <c r="VQC245" s="347"/>
      <c r="VQD245" s="347"/>
      <c r="VQE245" s="347"/>
      <c r="VQF245" s="347"/>
      <c r="VQG245" s="347"/>
      <c r="VQH245" s="347"/>
      <c r="VQI245" s="347"/>
      <c r="VQJ245" s="347"/>
      <c r="VQK245" s="347"/>
      <c r="VQL245" s="347"/>
      <c r="VQM245" s="347"/>
      <c r="VQN245" s="347"/>
      <c r="VQO245" s="347"/>
      <c r="VQP245" s="347"/>
      <c r="VQQ245" s="347"/>
      <c r="VQR245" s="347"/>
      <c r="VQS245" s="347"/>
      <c r="VQT245" s="347"/>
      <c r="VQU245" s="347"/>
      <c r="VQV245" s="347"/>
      <c r="VQW245" s="347"/>
      <c r="VQX245" s="347"/>
      <c r="VQY245" s="347"/>
      <c r="VQZ245" s="347"/>
      <c r="VRA245" s="347"/>
      <c r="VRB245" s="347"/>
      <c r="VRC245" s="347"/>
      <c r="VRD245" s="347"/>
      <c r="VRE245" s="347"/>
      <c r="VRF245" s="347"/>
      <c r="VRG245" s="347"/>
      <c r="VRH245" s="347"/>
      <c r="VRI245" s="347"/>
      <c r="VRJ245" s="347"/>
      <c r="VRK245" s="347"/>
      <c r="VRL245" s="347"/>
      <c r="VRM245" s="347"/>
      <c r="VRN245" s="347"/>
      <c r="VRO245" s="347"/>
      <c r="VRP245" s="347"/>
      <c r="VRQ245" s="347"/>
      <c r="VRR245" s="347"/>
      <c r="VRS245" s="347"/>
      <c r="VRT245" s="347"/>
      <c r="VRU245" s="347"/>
      <c r="VRV245" s="347"/>
      <c r="VRW245" s="347"/>
      <c r="VRX245" s="347"/>
      <c r="VRY245" s="347"/>
      <c r="VRZ245" s="347"/>
      <c r="VSA245" s="347"/>
      <c r="VSB245" s="347"/>
      <c r="VSC245" s="347"/>
      <c r="VSD245" s="347"/>
      <c r="VSE245" s="347"/>
      <c r="VSF245" s="347"/>
      <c r="VSG245" s="347"/>
      <c r="VSH245" s="347"/>
      <c r="VSI245" s="347"/>
      <c r="VSJ245" s="347"/>
      <c r="VSK245" s="347"/>
      <c r="VSL245" s="347"/>
      <c r="VSM245" s="347"/>
      <c r="VSN245" s="347"/>
      <c r="VSO245" s="347"/>
      <c r="VSP245" s="347"/>
      <c r="VSQ245" s="347"/>
      <c r="VSR245" s="347"/>
      <c r="VSS245" s="347"/>
      <c r="VST245" s="347"/>
      <c r="VSU245" s="347"/>
      <c r="VSV245" s="347"/>
      <c r="VSW245" s="347"/>
      <c r="VSX245" s="347"/>
      <c r="VSY245" s="347"/>
      <c r="VSZ245" s="347"/>
      <c r="VTA245" s="347"/>
      <c r="VTB245" s="347"/>
      <c r="VTC245" s="347"/>
      <c r="VTD245" s="347"/>
      <c r="VTE245" s="347"/>
      <c r="VTF245" s="347"/>
      <c r="VTG245" s="347"/>
      <c r="VTH245" s="347"/>
      <c r="VTI245" s="347"/>
      <c r="VTJ245" s="347"/>
      <c r="VTK245" s="347"/>
      <c r="VTL245" s="347"/>
      <c r="VTM245" s="347"/>
      <c r="VTN245" s="347"/>
      <c r="VTO245" s="347"/>
      <c r="VTP245" s="347"/>
      <c r="VTQ245" s="347"/>
      <c r="VTR245" s="347"/>
      <c r="VTS245" s="347"/>
      <c r="VTT245" s="347"/>
      <c r="VTU245" s="347"/>
      <c r="VTV245" s="347"/>
      <c r="VTW245" s="347"/>
      <c r="VTX245" s="347"/>
      <c r="VTY245" s="347"/>
      <c r="VTZ245" s="347"/>
      <c r="VUA245" s="347"/>
      <c r="VUB245" s="347"/>
      <c r="VUC245" s="347"/>
      <c r="VUD245" s="347"/>
      <c r="VUE245" s="347"/>
      <c r="VUF245" s="347"/>
      <c r="VUG245" s="347"/>
      <c r="VUH245" s="347"/>
      <c r="VUI245" s="347"/>
      <c r="VUJ245" s="347"/>
      <c r="VUK245" s="347"/>
      <c r="VUL245" s="347"/>
      <c r="VUM245" s="347"/>
      <c r="VUN245" s="347"/>
      <c r="VUO245" s="347"/>
      <c r="VUP245" s="347"/>
      <c r="VUQ245" s="347"/>
      <c r="VUR245" s="347"/>
      <c r="VUS245" s="347"/>
      <c r="VUT245" s="347"/>
      <c r="VUU245" s="347"/>
      <c r="VUV245" s="347"/>
      <c r="VUW245" s="347"/>
      <c r="VUX245" s="347"/>
      <c r="VUY245" s="347"/>
      <c r="VUZ245" s="347"/>
      <c r="VVA245" s="347"/>
      <c r="VVB245" s="347"/>
      <c r="VVC245" s="347"/>
      <c r="VVD245" s="347"/>
      <c r="VVE245" s="347"/>
      <c r="VVF245" s="347"/>
      <c r="VVG245" s="347"/>
      <c r="VVH245" s="347"/>
      <c r="VVI245" s="347"/>
      <c r="VVJ245" s="347"/>
      <c r="VVK245" s="347"/>
      <c r="VVL245" s="347"/>
      <c r="VVM245" s="347"/>
      <c r="VVN245" s="347"/>
      <c r="VVO245" s="347"/>
      <c r="VVP245" s="347"/>
      <c r="VVQ245" s="347"/>
    </row>
    <row r="246" spans="2:103 15069:15461" s="3" customFormat="1" ht="15" hidden="1" customHeight="1">
      <c r="B246" s="121"/>
      <c r="C246" s="276" t="s">
        <v>71</v>
      </c>
      <c r="D246" s="117"/>
      <c r="E246" s="118" t="s">
        <v>16</v>
      </c>
      <c r="F246" s="277"/>
      <c r="G246" s="277"/>
      <c r="H246" s="277"/>
      <c r="I246" s="277"/>
      <c r="J246" s="277"/>
      <c r="K246" s="277"/>
      <c r="L246" s="277"/>
      <c r="M246" s="277"/>
      <c r="N246" s="277"/>
      <c r="O246" s="277"/>
      <c r="P246" s="277"/>
      <c r="Q246" s="277"/>
      <c r="R246" s="277"/>
      <c r="S246" s="277"/>
      <c r="T246" s="277"/>
      <c r="U246" s="277"/>
      <c r="V246" s="277"/>
      <c r="W246" s="277"/>
      <c r="X246" s="277"/>
      <c r="Y246" s="277"/>
      <c r="Z246" s="277"/>
      <c r="AA246" s="277"/>
      <c r="AB246" s="277"/>
      <c r="AC246" s="277"/>
      <c r="AD246" s="277"/>
      <c r="AE246" s="277"/>
      <c r="AF246" s="1"/>
      <c r="AG246" s="1"/>
      <c r="AH246" s="1"/>
      <c r="AI246" s="1"/>
      <c r="AJ246" s="1"/>
      <c r="AL246" s="160">
        <f>SUM(F246:AJ246)</f>
        <v>0</v>
      </c>
      <c r="CY246" s="16"/>
      <c r="VGO246" s="347"/>
      <c r="VGP246" s="347"/>
      <c r="VGQ246" s="347"/>
      <c r="VGR246" s="347"/>
      <c r="VGS246" s="347"/>
      <c r="VGT246" s="347"/>
      <c r="VGU246" s="347"/>
      <c r="VGV246" s="347"/>
      <c r="VGW246" s="347"/>
      <c r="VGX246" s="347"/>
      <c r="VGY246" s="347"/>
      <c r="VGZ246" s="347"/>
      <c r="VHA246" s="347"/>
      <c r="VHB246" s="347"/>
      <c r="VHC246" s="347"/>
      <c r="VHD246" s="347"/>
      <c r="VHE246" s="347"/>
      <c r="VHF246" s="347"/>
      <c r="VHG246" s="347"/>
      <c r="VHH246" s="347"/>
      <c r="VHI246" s="347"/>
      <c r="VHJ246" s="347"/>
      <c r="VHK246" s="347"/>
      <c r="VHL246" s="347"/>
      <c r="VHM246" s="347"/>
      <c r="VHN246" s="347"/>
      <c r="VHO246" s="347"/>
      <c r="VHP246" s="347"/>
      <c r="VHQ246" s="347"/>
      <c r="VHR246" s="347"/>
      <c r="VHS246" s="347"/>
      <c r="VHT246" s="347"/>
      <c r="VHU246" s="347"/>
      <c r="VHV246" s="347"/>
      <c r="VHW246" s="347"/>
      <c r="VHX246" s="347"/>
      <c r="VHY246" s="347"/>
      <c r="VHZ246" s="347"/>
      <c r="VIA246" s="347"/>
      <c r="VIB246" s="347"/>
      <c r="VIC246" s="347"/>
      <c r="VID246" s="347"/>
      <c r="VIE246" s="347"/>
      <c r="VIF246" s="347"/>
      <c r="VIG246" s="347"/>
      <c r="VIH246" s="347"/>
      <c r="VII246" s="347"/>
      <c r="VIJ246" s="347"/>
      <c r="VIK246" s="347"/>
      <c r="VIL246" s="347"/>
      <c r="VIM246" s="347"/>
      <c r="VIN246" s="347"/>
      <c r="VIO246" s="347"/>
      <c r="VIP246" s="347"/>
      <c r="VIQ246" s="347"/>
      <c r="VIR246" s="347"/>
      <c r="VIS246" s="347"/>
      <c r="VIT246" s="347"/>
      <c r="VIU246" s="347"/>
      <c r="VIV246" s="347"/>
      <c r="VIW246" s="347"/>
      <c r="VIX246" s="347"/>
      <c r="VIY246" s="347"/>
      <c r="VIZ246" s="347"/>
      <c r="VJA246" s="347"/>
      <c r="VJB246" s="347"/>
      <c r="VJC246" s="347"/>
      <c r="VJD246" s="347"/>
      <c r="VJE246" s="347"/>
      <c r="VJF246" s="347"/>
      <c r="VJG246" s="347"/>
      <c r="VJH246" s="347"/>
      <c r="VJI246" s="347"/>
      <c r="VJJ246" s="347"/>
      <c r="VJK246" s="347"/>
      <c r="VJL246" s="347"/>
      <c r="VJM246" s="347"/>
      <c r="VJN246" s="347"/>
      <c r="VJO246" s="347"/>
      <c r="VJP246" s="347"/>
      <c r="VJQ246" s="347"/>
      <c r="VJR246" s="347"/>
      <c r="VJS246" s="347"/>
      <c r="VJT246" s="347"/>
      <c r="VJU246" s="347"/>
      <c r="VJV246" s="347"/>
      <c r="VJW246" s="347"/>
      <c r="VJX246" s="347"/>
      <c r="VJY246" s="347"/>
      <c r="VJZ246" s="347"/>
      <c r="VKA246" s="347"/>
      <c r="VKB246" s="347"/>
      <c r="VKC246" s="347"/>
      <c r="VKD246" s="347"/>
      <c r="VKE246" s="347"/>
      <c r="VKF246" s="347"/>
      <c r="VKG246" s="347"/>
      <c r="VKH246" s="347"/>
      <c r="VKI246" s="347"/>
      <c r="VKJ246" s="347"/>
      <c r="VKK246" s="347"/>
      <c r="VKL246" s="347"/>
      <c r="VKM246" s="347"/>
      <c r="VKN246" s="347"/>
      <c r="VKO246" s="347"/>
      <c r="VKP246" s="347"/>
      <c r="VKQ246" s="347"/>
      <c r="VKR246" s="347"/>
      <c r="VKS246" s="347"/>
      <c r="VKT246" s="347"/>
      <c r="VKU246" s="347"/>
      <c r="VKV246" s="347"/>
      <c r="VKW246" s="347"/>
      <c r="VKX246" s="347"/>
      <c r="VKY246" s="347"/>
      <c r="VKZ246" s="347"/>
      <c r="VLA246" s="347"/>
      <c r="VLB246" s="347"/>
      <c r="VLC246" s="347"/>
      <c r="VLD246" s="347"/>
      <c r="VLE246" s="347"/>
      <c r="VLF246" s="347"/>
      <c r="VLG246" s="347"/>
      <c r="VLH246" s="347"/>
      <c r="VLI246" s="347"/>
      <c r="VLJ246" s="347"/>
      <c r="VLK246" s="347"/>
      <c r="VLL246" s="347"/>
      <c r="VLM246" s="347"/>
      <c r="VLN246" s="347"/>
      <c r="VLO246" s="347"/>
      <c r="VLP246" s="347"/>
      <c r="VLQ246" s="347"/>
      <c r="VLR246" s="347"/>
      <c r="VLS246" s="347"/>
      <c r="VLT246" s="347"/>
      <c r="VLU246" s="347"/>
      <c r="VLV246" s="347"/>
      <c r="VLW246" s="347"/>
      <c r="VLX246" s="347"/>
      <c r="VLY246" s="347"/>
      <c r="VLZ246" s="347"/>
      <c r="VMA246" s="347"/>
      <c r="VMB246" s="347"/>
      <c r="VMC246" s="347"/>
      <c r="VMD246" s="347"/>
      <c r="VME246" s="347"/>
      <c r="VMF246" s="347"/>
      <c r="VMG246" s="347"/>
      <c r="VMH246" s="347"/>
      <c r="VMI246" s="347"/>
      <c r="VMJ246" s="347"/>
      <c r="VMK246" s="347"/>
      <c r="VML246" s="347"/>
      <c r="VMM246" s="347"/>
      <c r="VMN246" s="347"/>
      <c r="VMO246" s="347"/>
      <c r="VMP246" s="347"/>
      <c r="VMQ246" s="347"/>
      <c r="VMR246" s="347"/>
      <c r="VMS246" s="347"/>
      <c r="VMT246" s="347"/>
      <c r="VMU246" s="347"/>
      <c r="VMV246" s="347"/>
      <c r="VMW246" s="347"/>
      <c r="VMX246" s="347"/>
      <c r="VMY246" s="347"/>
      <c r="VMZ246" s="347"/>
      <c r="VNA246" s="347"/>
      <c r="VNB246" s="347"/>
      <c r="VNC246" s="347"/>
      <c r="VND246" s="347"/>
      <c r="VNE246" s="347"/>
      <c r="VNF246" s="347"/>
      <c r="VNG246" s="347"/>
      <c r="VNH246" s="347"/>
      <c r="VNI246" s="347"/>
      <c r="VNJ246" s="347"/>
      <c r="VNK246" s="347"/>
      <c r="VNL246" s="347"/>
      <c r="VNM246" s="347"/>
      <c r="VNN246" s="347"/>
      <c r="VNO246" s="347"/>
      <c r="VNP246" s="347"/>
      <c r="VNQ246" s="347"/>
      <c r="VNR246" s="347"/>
      <c r="VNS246" s="347"/>
      <c r="VNT246" s="347"/>
      <c r="VNU246" s="347"/>
      <c r="VNV246" s="347"/>
      <c r="VNW246" s="347"/>
      <c r="VNX246" s="347"/>
      <c r="VNY246" s="347"/>
      <c r="VNZ246" s="347"/>
      <c r="VOA246" s="347"/>
      <c r="VOB246" s="347"/>
      <c r="VOC246" s="347"/>
      <c r="VOD246" s="347"/>
      <c r="VOE246" s="347"/>
      <c r="VOF246" s="347"/>
      <c r="VOG246" s="347"/>
      <c r="VOH246" s="347"/>
      <c r="VOI246" s="347"/>
      <c r="VOJ246" s="347"/>
      <c r="VOK246" s="347"/>
      <c r="VOL246" s="347"/>
      <c r="VOM246" s="347"/>
      <c r="VON246" s="347"/>
      <c r="VOO246" s="347"/>
      <c r="VOP246" s="347"/>
      <c r="VOQ246" s="347"/>
      <c r="VOR246" s="347"/>
      <c r="VOS246" s="347"/>
      <c r="VOT246" s="347"/>
      <c r="VOU246" s="347"/>
      <c r="VOV246" s="347"/>
      <c r="VOW246" s="347"/>
      <c r="VOX246" s="347"/>
      <c r="VOY246" s="347"/>
      <c r="VOZ246" s="347"/>
      <c r="VPA246" s="347"/>
      <c r="VPB246" s="347"/>
      <c r="VPC246" s="347"/>
      <c r="VPD246" s="347"/>
      <c r="VPE246" s="347"/>
      <c r="VPF246" s="347"/>
      <c r="VPG246" s="347"/>
      <c r="VPH246" s="347"/>
      <c r="VPI246" s="347"/>
      <c r="VPJ246" s="347"/>
      <c r="VPK246" s="347"/>
      <c r="VPL246" s="347"/>
      <c r="VPM246" s="347"/>
      <c r="VPN246" s="347"/>
      <c r="VPO246" s="347"/>
      <c r="VPP246" s="347"/>
      <c r="VPQ246" s="347"/>
      <c r="VPR246" s="347"/>
      <c r="VPS246" s="347"/>
      <c r="VPT246" s="347"/>
      <c r="VPU246" s="347"/>
      <c r="VPV246" s="347"/>
      <c r="VPW246" s="347"/>
      <c r="VPX246" s="347"/>
      <c r="VPY246" s="347"/>
      <c r="VPZ246" s="347"/>
      <c r="VQA246" s="347"/>
      <c r="VQB246" s="347"/>
      <c r="VQC246" s="347"/>
      <c r="VQD246" s="347"/>
      <c r="VQE246" s="347"/>
      <c r="VQF246" s="347"/>
      <c r="VQG246" s="347"/>
      <c r="VQH246" s="347"/>
      <c r="VQI246" s="347"/>
      <c r="VQJ246" s="347"/>
      <c r="VQK246" s="347"/>
      <c r="VQL246" s="347"/>
      <c r="VQM246" s="347"/>
      <c r="VQN246" s="347"/>
      <c r="VQO246" s="347"/>
      <c r="VQP246" s="347"/>
      <c r="VQQ246" s="347"/>
      <c r="VQR246" s="347"/>
      <c r="VQS246" s="347"/>
      <c r="VQT246" s="347"/>
      <c r="VQU246" s="347"/>
      <c r="VQV246" s="347"/>
      <c r="VQW246" s="347"/>
      <c r="VQX246" s="347"/>
      <c r="VQY246" s="347"/>
      <c r="VQZ246" s="347"/>
      <c r="VRA246" s="347"/>
      <c r="VRB246" s="347"/>
      <c r="VRC246" s="347"/>
      <c r="VRD246" s="347"/>
      <c r="VRE246" s="347"/>
      <c r="VRF246" s="347"/>
      <c r="VRG246" s="347"/>
      <c r="VRH246" s="347"/>
      <c r="VRI246" s="347"/>
      <c r="VRJ246" s="347"/>
      <c r="VRK246" s="347"/>
      <c r="VRL246" s="347"/>
      <c r="VRM246" s="347"/>
      <c r="VRN246" s="347"/>
      <c r="VRO246" s="347"/>
      <c r="VRP246" s="347"/>
      <c r="VRQ246" s="347"/>
      <c r="VRR246" s="347"/>
      <c r="VRS246" s="347"/>
      <c r="VRT246" s="347"/>
      <c r="VRU246" s="347"/>
      <c r="VRV246" s="347"/>
      <c r="VRW246" s="347"/>
      <c r="VRX246" s="347"/>
      <c r="VRY246" s="347"/>
      <c r="VRZ246" s="347"/>
      <c r="VSA246" s="347"/>
      <c r="VSB246" s="347"/>
      <c r="VSC246" s="347"/>
      <c r="VSD246" s="347"/>
      <c r="VSE246" s="347"/>
      <c r="VSF246" s="347"/>
      <c r="VSG246" s="347"/>
      <c r="VSH246" s="347"/>
      <c r="VSI246" s="347"/>
      <c r="VSJ246" s="347"/>
      <c r="VSK246" s="347"/>
      <c r="VSL246" s="347"/>
      <c r="VSM246" s="347"/>
      <c r="VSN246" s="347"/>
      <c r="VSO246" s="347"/>
      <c r="VSP246" s="347"/>
      <c r="VSQ246" s="347"/>
      <c r="VSR246" s="347"/>
      <c r="VSS246" s="347"/>
      <c r="VST246" s="347"/>
      <c r="VSU246" s="347"/>
      <c r="VSV246" s="347"/>
      <c r="VSW246" s="347"/>
      <c r="VSX246" s="347"/>
      <c r="VSY246" s="347"/>
      <c r="VSZ246" s="347"/>
      <c r="VTA246" s="347"/>
      <c r="VTB246" s="347"/>
      <c r="VTC246" s="347"/>
      <c r="VTD246" s="347"/>
      <c r="VTE246" s="347"/>
      <c r="VTF246" s="347"/>
      <c r="VTG246" s="347"/>
      <c r="VTH246" s="347"/>
      <c r="VTI246" s="347"/>
      <c r="VTJ246" s="347"/>
      <c r="VTK246" s="347"/>
      <c r="VTL246" s="347"/>
      <c r="VTM246" s="347"/>
      <c r="VTN246" s="347"/>
      <c r="VTO246" s="347"/>
      <c r="VTP246" s="347"/>
      <c r="VTQ246" s="347"/>
      <c r="VTR246" s="347"/>
      <c r="VTS246" s="347"/>
      <c r="VTT246" s="347"/>
      <c r="VTU246" s="347"/>
      <c r="VTV246" s="347"/>
      <c r="VTW246" s="347"/>
      <c r="VTX246" s="347"/>
      <c r="VTY246" s="347"/>
      <c r="VTZ246" s="347"/>
      <c r="VUA246" s="347"/>
      <c r="VUB246" s="347"/>
      <c r="VUC246" s="347"/>
      <c r="VUD246" s="347"/>
      <c r="VUE246" s="347"/>
      <c r="VUF246" s="347"/>
      <c r="VUG246" s="347"/>
      <c r="VUH246" s="347"/>
      <c r="VUI246" s="347"/>
      <c r="VUJ246" s="347"/>
      <c r="VUK246" s="347"/>
      <c r="VUL246" s="347"/>
      <c r="VUM246" s="347"/>
      <c r="VUN246" s="347"/>
      <c r="VUO246" s="347"/>
      <c r="VUP246" s="347"/>
      <c r="VUQ246" s="347"/>
      <c r="VUR246" s="347"/>
      <c r="VUS246" s="347"/>
      <c r="VUT246" s="347"/>
      <c r="VUU246" s="347"/>
      <c r="VUV246" s="347"/>
      <c r="VUW246" s="347"/>
      <c r="VUX246" s="347"/>
      <c r="VUY246" s="347"/>
      <c r="VUZ246" s="347"/>
      <c r="VVA246" s="347"/>
      <c r="VVB246" s="347"/>
      <c r="VVC246" s="347"/>
      <c r="VVD246" s="347"/>
      <c r="VVE246" s="347"/>
      <c r="VVF246" s="347"/>
      <c r="VVG246" s="347"/>
      <c r="VVH246" s="347"/>
      <c r="VVI246" s="347"/>
      <c r="VVJ246" s="347"/>
      <c r="VVK246" s="347"/>
      <c r="VVL246" s="347"/>
      <c r="VVM246" s="347"/>
      <c r="VVN246" s="347"/>
      <c r="VVO246" s="347"/>
      <c r="VVP246" s="347"/>
      <c r="VVQ246" s="347"/>
    </row>
    <row r="247" spans="2:103 15069:15461" s="3" customFormat="1" ht="15" hidden="1" customHeight="1">
      <c r="B247" s="121"/>
      <c r="C247" s="276" t="s">
        <v>70</v>
      </c>
      <c r="D247" s="117"/>
      <c r="E247" s="118" t="s">
        <v>16</v>
      </c>
      <c r="F247" s="277"/>
      <c r="G247" s="277"/>
      <c r="H247" s="277"/>
      <c r="I247" s="277"/>
      <c r="J247" s="277"/>
      <c r="K247" s="277"/>
      <c r="L247" s="277">
        <v>170500</v>
      </c>
      <c r="M247" s="277">
        <v>170640</v>
      </c>
      <c r="N247" s="277">
        <v>169440</v>
      </c>
      <c r="O247" s="277">
        <v>494640</v>
      </c>
      <c r="P247" s="277">
        <v>325840</v>
      </c>
      <c r="Q247" s="277">
        <v>57350</v>
      </c>
      <c r="R247" s="277">
        <v>242960</v>
      </c>
      <c r="S247" s="277">
        <v>497990</v>
      </c>
      <c r="T247" s="277">
        <v>262530</v>
      </c>
      <c r="U247" s="277">
        <v>135150</v>
      </c>
      <c r="V247" s="277">
        <v>191470</v>
      </c>
      <c r="W247" s="277">
        <v>41600</v>
      </c>
      <c r="X247" s="277">
        <v>0</v>
      </c>
      <c r="Y247" s="277">
        <v>0</v>
      </c>
      <c r="Z247" s="277">
        <v>105590</v>
      </c>
      <c r="AA247" s="277">
        <v>106070</v>
      </c>
      <c r="AB247" s="277">
        <v>104870</v>
      </c>
      <c r="AC247" s="277">
        <v>84760</v>
      </c>
      <c r="AD247" s="277">
        <v>588420</v>
      </c>
      <c r="AE247" s="277">
        <v>0</v>
      </c>
      <c r="AF247" s="277">
        <v>0</v>
      </c>
      <c r="AG247" s="277"/>
      <c r="AH247" s="277"/>
      <c r="AI247" s="277"/>
      <c r="AJ247" s="277"/>
      <c r="AL247" s="160">
        <f>SUM(F247:AJ247)</f>
        <v>3749820</v>
      </c>
      <c r="CY247" s="16"/>
      <c r="VGO247" s="347"/>
      <c r="VGP247" s="347"/>
      <c r="VGQ247" s="347"/>
      <c r="VGR247" s="347"/>
      <c r="VGS247" s="347"/>
      <c r="VGT247" s="347"/>
      <c r="VGU247" s="347"/>
      <c r="VGV247" s="347"/>
      <c r="VGW247" s="347"/>
      <c r="VGX247" s="347"/>
      <c r="VGY247" s="347"/>
      <c r="VGZ247" s="347"/>
      <c r="VHA247" s="347"/>
      <c r="VHB247" s="347"/>
      <c r="VHC247" s="347"/>
      <c r="VHD247" s="347"/>
      <c r="VHE247" s="347"/>
      <c r="VHF247" s="347"/>
      <c r="VHG247" s="347"/>
      <c r="VHH247" s="347"/>
      <c r="VHI247" s="347"/>
      <c r="VHJ247" s="347"/>
      <c r="VHK247" s="347"/>
      <c r="VHL247" s="347"/>
      <c r="VHM247" s="347"/>
      <c r="VHN247" s="347"/>
      <c r="VHO247" s="347"/>
      <c r="VHP247" s="347"/>
      <c r="VHQ247" s="347"/>
      <c r="VHR247" s="347"/>
      <c r="VHS247" s="347"/>
      <c r="VHT247" s="347"/>
      <c r="VHU247" s="347"/>
      <c r="VHV247" s="347"/>
      <c r="VHW247" s="347"/>
      <c r="VHX247" s="347"/>
      <c r="VHY247" s="347"/>
      <c r="VHZ247" s="347"/>
      <c r="VIA247" s="347"/>
      <c r="VIB247" s="347"/>
      <c r="VIC247" s="347"/>
      <c r="VID247" s="347"/>
      <c r="VIE247" s="347"/>
      <c r="VIF247" s="347"/>
      <c r="VIG247" s="347"/>
      <c r="VIH247" s="347"/>
      <c r="VII247" s="347"/>
      <c r="VIJ247" s="347"/>
      <c r="VIK247" s="347"/>
      <c r="VIL247" s="347"/>
      <c r="VIM247" s="347"/>
      <c r="VIN247" s="347"/>
      <c r="VIO247" s="347"/>
      <c r="VIP247" s="347"/>
      <c r="VIQ247" s="347"/>
      <c r="VIR247" s="347"/>
      <c r="VIS247" s="347"/>
      <c r="VIT247" s="347"/>
      <c r="VIU247" s="347"/>
      <c r="VIV247" s="347"/>
      <c r="VIW247" s="347"/>
      <c r="VIX247" s="347"/>
      <c r="VIY247" s="347"/>
      <c r="VIZ247" s="347"/>
      <c r="VJA247" s="347"/>
      <c r="VJB247" s="347"/>
      <c r="VJC247" s="347"/>
      <c r="VJD247" s="347"/>
      <c r="VJE247" s="347"/>
      <c r="VJF247" s="347"/>
      <c r="VJG247" s="347"/>
      <c r="VJH247" s="347"/>
      <c r="VJI247" s="347"/>
      <c r="VJJ247" s="347"/>
      <c r="VJK247" s="347"/>
      <c r="VJL247" s="347"/>
      <c r="VJM247" s="347"/>
      <c r="VJN247" s="347"/>
      <c r="VJO247" s="347"/>
      <c r="VJP247" s="347"/>
      <c r="VJQ247" s="347"/>
      <c r="VJR247" s="347"/>
      <c r="VJS247" s="347"/>
      <c r="VJT247" s="347"/>
      <c r="VJU247" s="347"/>
      <c r="VJV247" s="347"/>
      <c r="VJW247" s="347"/>
      <c r="VJX247" s="347"/>
      <c r="VJY247" s="347"/>
      <c r="VJZ247" s="347"/>
      <c r="VKA247" s="347"/>
      <c r="VKB247" s="347"/>
      <c r="VKC247" s="347"/>
      <c r="VKD247" s="347"/>
      <c r="VKE247" s="347"/>
      <c r="VKF247" s="347"/>
      <c r="VKG247" s="347"/>
      <c r="VKH247" s="347"/>
      <c r="VKI247" s="347"/>
      <c r="VKJ247" s="347"/>
      <c r="VKK247" s="347"/>
      <c r="VKL247" s="347"/>
      <c r="VKM247" s="347"/>
      <c r="VKN247" s="347"/>
      <c r="VKO247" s="347"/>
      <c r="VKP247" s="347"/>
      <c r="VKQ247" s="347"/>
      <c r="VKR247" s="347"/>
      <c r="VKS247" s="347"/>
      <c r="VKT247" s="347"/>
      <c r="VKU247" s="347"/>
      <c r="VKV247" s="347"/>
      <c r="VKW247" s="347"/>
      <c r="VKX247" s="347"/>
      <c r="VKY247" s="347"/>
      <c r="VKZ247" s="347"/>
      <c r="VLA247" s="347"/>
      <c r="VLB247" s="347"/>
      <c r="VLC247" s="347"/>
      <c r="VLD247" s="347"/>
      <c r="VLE247" s="347"/>
      <c r="VLF247" s="347"/>
      <c r="VLG247" s="347"/>
      <c r="VLH247" s="347"/>
      <c r="VLI247" s="347"/>
      <c r="VLJ247" s="347"/>
      <c r="VLK247" s="347"/>
      <c r="VLL247" s="347"/>
      <c r="VLM247" s="347"/>
      <c r="VLN247" s="347"/>
      <c r="VLO247" s="347"/>
      <c r="VLP247" s="347"/>
      <c r="VLQ247" s="347"/>
      <c r="VLR247" s="347"/>
      <c r="VLS247" s="347"/>
      <c r="VLT247" s="347"/>
      <c r="VLU247" s="347"/>
      <c r="VLV247" s="347"/>
      <c r="VLW247" s="347"/>
      <c r="VLX247" s="347"/>
      <c r="VLY247" s="347"/>
      <c r="VLZ247" s="347"/>
      <c r="VMA247" s="347"/>
      <c r="VMB247" s="347"/>
      <c r="VMC247" s="347"/>
      <c r="VMD247" s="347"/>
      <c r="VME247" s="347"/>
      <c r="VMF247" s="347"/>
      <c r="VMG247" s="347"/>
      <c r="VMH247" s="347"/>
      <c r="VMI247" s="347"/>
      <c r="VMJ247" s="347"/>
      <c r="VMK247" s="347"/>
      <c r="VML247" s="347"/>
      <c r="VMM247" s="347"/>
      <c r="VMN247" s="347"/>
      <c r="VMO247" s="347"/>
      <c r="VMP247" s="347"/>
      <c r="VMQ247" s="347"/>
      <c r="VMR247" s="347"/>
      <c r="VMS247" s="347"/>
      <c r="VMT247" s="347"/>
      <c r="VMU247" s="347"/>
      <c r="VMV247" s="347"/>
      <c r="VMW247" s="347"/>
      <c r="VMX247" s="347"/>
      <c r="VMY247" s="347"/>
      <c r="VMZ247" s="347"/>
      <c r="VNA247" s="347"/>
      <c r="VNB247" s="347"/>
      <c r="VNC247" s="347"/>
      <c r="VND247" s="347"/>
      <c r="VNE247" s="347"/>
      <c r="VNF247" s="347"/>
      <c r="VNG247" s="347"/>
      <c r="VNH247" s="347"/>
      <c r="VNI247" s="347"/>
      <c r="VNJ247" s="347"/>
      <c r="VNK247" s="347"/>
      <c r="VNL247" s="347"/>
      <c r="VNM247" s="347"/>
      <c r="VNN247" s="347"/>
      <c r="VNO247" s="347"/>
      <c r="VNP247" s="347"/>
      <c r="VNQ247" s="347"/>
      <c r="VNR247" s="347"/>
      <c r="VNS247" s="347"/>
      <c r="VNT247" s="347"/>
      <c r="VNU247" s="347"/>
      <c r="VNV247" s="347"/>
      <c r="VNW247" s="347"/>
      <c r="VNX247" s="347"/>
      <c r="VNY247" s="347"/>
      <c r="VNZ247" s="347"/>
      <c r="VOA247" s="347"/>
      <c r="VOB247" s="347"/>
      <c r="VOC247" s="347"/>
      <c r="VOD247" s="347"/>
      <c r="VOE247" s="347"/>
      <c r="VOF247" s="347"/>
      <c r="VOG247" s="347"/>
      <c r="VOH247" s="347"/>
      <c r="VOI247" s="347"/>
      <c r="VOJ247" s="347"/>
      <c r="VOK247" s="347"/>
      <c r="VOL247" s="347"/>
      <c r="VOM247" s="347"/>
      <c r="VON247" s="347"/>
      <c r="VOO247" s="347"/>
      <c r="VOP247" s="347"/>
      <c r="VOQ247" s="347"/>
      <c r="VOR247" s="347"/>
      <c r="VOS247" s="347"/>
      <c r="VOT247" s="347"/>
      <c r="VOU247" s="347"/>
      <c r="VOV247" s="347"/>
      <c r="VOW247" s="347"/>
      <c r="VOX247" s="347"/>
      <c r="VOY247" s="347"/>
      <c r="VOZ247" s="347"/>
      <c r="VPA247" s="347"/>
      <c r="VPB247" s="347"/>
      <c r="VPC247" s="347"/>
      <c r="VPD247" s="347"/>
      <c r="VPE247" s="347"/>
      <c r="VPF247" s="347"/>
      <c r="VPG247" s="347"/>
      <c r="VPH247" s="347"/>
      <c r="VPI247" s="347"/>
      <c r="VPJ247" s="347"/>
      <c r="VPK247" s="347"/>
      <c r="VPL247" s="347"/>
      <c r="VPM247" s="347"/>
      <c r="VPN247" s="347"/>
      <c r="VPO247" s="347"/>
      <c r="VPP247" s="347"/>
      <c r="VPQ247" s="347"/>
      <c r="VPR247" s="347"/>
      <c r="VPS247" s="347"/>
      <c r="VPT247" s="347"/>
      <c r="VPU247" s="347"/>
      <c r="VPV247" s="347"/>
      <c r="VPW247" s="347"/>
      <c r="VPX247" s="347"/>
      <c r="VPY247" s="347"/>
      <c r="VPZ247" s="347"/>
      <c r="VQA247" s="347"/>
      <c r="VQB247" s="347"/>
      <c r="VQC247" s="347"/>
      <c r="VQD247" s="347"/>
      <c r="VQE247" s="347"/>
      <c r="VQF247" s="347"/>
      <c r="VQG247" s="347"/>
      <c r="VQH247" s="347"/>
      <c r="VQI247" s="347"/>
      <c r="VQJ247" s="347"/>
      <c r="VQK247" s="347"/>
      <c r="VQL247" s="347"/>
      <c r="VQM247" s="347"/>
      <c r="VQN247" s="347"/>
      <c r="VQO247" s="347"/>
      <c r="VQP247" s="347"/>
      <c r="VQQ247" s="347"/>
      <c r="VQR247" s="347"/>
      <c r="VQS247" s="347"/>
      <c r="VQT247" s="347"/>
      <c r="VQU247" s="347"/>
      <c r="VQV247" s="347"/>
      <c r="VQW247" s="347"/>
      <c r="VQX247" s="347"/>
      <c r="VQY247" s="347"/>
      <c r="VQZ247" s="347"/>
      <c r="VRA247" s="347"/>
      <c r="VRB247" s="347"/>
      <c r="VRC247" s="347"/>
      <c r="VRD247" s="347"/>
      <c r="VRE247" s="347"/>
      <c r="VRF247" s="347"/>
      <c r="VRG247" s="347"/>
      <c r="VRH247" s="347"/>
      <c r="VRI247" s="347"/>
      <c r="VRJ247" s="347"/>
      <c r="VRK247" s="347"/>
      <c r="VRL247" s="347"/>
      <c r="VRM247" s="347"/>
      <c r="VRN247" s="347"/>
      <c r="VRO247" s="347"/>
      <c r="VRP247" s="347"/>
      <c r="VRQ247" s="347"/>
      <c r="VRR247" s="347"/>
      <c r="VRS247" s="347"/>
      <c r="VRT247" s="347"/>
      <c r="VRU247" s="347"/>
      <c r="VRV247" s="347"/>
      <c r="VRW247" s="347"/>
      <c r="VRX247" s="347"/>
      <c r="VRY247" s="347"/>
      <c r="VRZ247" s="347"/>
      <c r="VSA247" s="347"/>
      <c r="VSB247" s="347"/>
      <c r="VSC247" s="347"/>
      <c r="VSD247" s="347"/>
      <c r="VSE247" s="347"/>
      <c r="VSF247" s="347"/>
      <c r="VSG247" s="347"/>
      <c r="VSH247" s="347"/>
      <c r="VSI247" s="347"/>
      <c r="VSJ247" s="347"/>
      <c r="VSK247" s="347"/>
      <c r="VSL247" s="347"/>
      <c r="VSM247" s="347"/>
      <c r="VSN247" s="347"/>
      <c r="VSO247" s="347"/>
      <c r="VSP247" s="347"/>
      <c r="VSQ247" s="347"/>
      <c r="VSR247" s="347"/>
      <c r="VSS247" s="347"/>
      <c r="VST247" s="347"/>
      <c r="VSU247" s="347"/>
      <c r="VSV247" s="347"/>
      <c r="VSW247" s="347"/>
      <c r="VSX247" s="347"/>
      <c r="VSY247" s="347"/>
      <c r="VSZ247" s="347"/>
      <c r="VTA247" s="347"/>
      <c r="VTB247" s="347"/>
      <c r="VTC247" s="347"/>
      <c r="VTD247" s="347"/>
      <c r="VTE247" s="347"/>
      <c r="VTF247" s="347"/>
      <c r="VTG247" s="347"/>
      <c r="VTH247" s="347"/>
      <c r="VTI247" s="347"/>
      <c r="VTJ247" s="347"/>
      <c r="VTK247" s="347"/>
      <c r="VTL247" s="347"/>
      <c r="VTM247" s="347"/>
      <c r="VTN247" s="347"/>
      <c r="VTO247" s="347"/>
      <c r="VTP247" s="347"/>
      <c r="VTQ247" s="347"/>
      <c r="VTR247" s="347"/>
      <c r="VTS247" s="347"/>
      <c r="VTT247" s="347"/>
      <c r="VTU247" s="347"/>
      <c r="VTV247" s="347"/>
      <c r="VTW247" s="347"/>
      <c r="VTX247" s="347"/>
      <c r="VTY247" s="347"/>
      <c r="VTZ247" s="347"/>
      <c r="VUA247" s="347"/>
      <c r="VUB247" s="347"/>
      <c r="VUC247" s="347"/>
      <c r="VUD247" s="347"/>
      <c r="VUE247" s="347"/>
      <c r="VUF247" s="347"/>
      <c r="VUG247" s="347"/>
      <c r="VUH247" s="347"/>
      <c r="VUI247" s="347"/>
      <c r="VUJ247" s="347"/>
      <c r="VUK247" s="347"/>
      <c r="VUL247" s="347"/>
      <c r="VUM247" s="347"/>
      <c r="VUN247" s="347"/>
      <c r="VUO247" s="347"/>
      <c r="VUP247" s="347"/>
      <c r="VUQ247" s="347"/>
      <c r="VUR247" s="347"/>
      <c r="VUS247" s="347"/>
      <c r="VUT247" s="347"/>
      <c r="VUU247" s="347"/>
      <c r="VUV247" s="347"/>
      <c r="VUW247" s="347"/>
      <c r="VUX247" s="347"/>
      <c r="VUY247" s="347"/>
      <c r="VUZ247" s="347"/>
      <c r="VVA247" s="347"/>
      <c r="VVB247" s="347"/>
      <c r="VVC247" s="347"/>
      <c r="VVD247" s="347"/>
      <c r="VVE247" s="347"/>
      <c r="VVF247" s="347"/>
      <c r="VVG247" s="347"/>
      <c r="VVH247" s="347"/>
      <c r="VVI247" s="347"/>
      <c r="VVJ247" s="347"/>
      <c r="VVK247" s="347"/>
      <c r="VVL247" s="347"/>
      <c r="VVM247" s="347"/>
      <c r="VVN247" s="347"/>
      <c r="VVO247" s="347"/>
      <c r="VVP247" s="347"/>
      <c r="VVQ247" s="347"/>
    </row>
    <row r="248" spans="2:103 15069:15461" s="198" customFormat="1" ht="15" hidden="1" customHeight="1">
      <c r="B248" s="241"/>
      <c r="C248" s="278" t="s">
        <v>1</v>
      </c>
      <c r="D248" s="279"/>
      <c r="E248" s="280" t="s">
        <v>16</v>
      </c>
      <c r="F248" s="281"/>
      <c r="G248" s="281"/>
      <c r="H248" s="281"/>
      <c r="I248" s="281"/>
      <c r="J248" s="281"/>
      <c r="K248" s="281"/>
      <c r="L248" s="281">
        <f t="shared" ref="L248:AF248" si="108">SUM(L243:L247)</f>
        <v>834440</v>
      </c>
      <c r="M248" s="281">
        <f t="shared" si="108"/>
        <v>712840</v>
      </c>
      <c r="N248" s="281">
        <f t="shared" si="108"/>
        <v>504340</v>
      </c>
      <c r="O248" s="281">
        <f t="shared" si="108"/>
        <v>595200</v>
      </c>
      <c r="P248" s="281">
        <f t="shared" si="108"/>
        <v>582610</v>
      </c>
      <c r="Q248" s="281">
        <f t="shared" si="108"/>
        <v>254250</v>
      </c>
      <c r="R248" s="281">
        <f t="shared" si="108"/>
        <v>242960</v>
      </c>
      <c r="S248" s="281">
        <f t="shared" si="108"/>
        <v>741400</v>
      </c>
      <c r="T248" s="281">
        <f t="shared" si="108"/>
        <v>291620</v>
      </c>
      <c r="U248" s="281">
        <f t="shared" si="108"/>
        <v>288090</v>
      </c>
      <c r="V248" s="281">
        <f t="shared" si="108"/>
        <v>313060</v>
      </c>
      <c r="W248" s="281">
        <f t="shared" si="108"/>
        <v>873700</v>
      </c>
      <c r="X248" s="281">
        <f t="shared" si="108"/>
        <v>228760</v>
      </c>
      <c r="Y248" s="281">
        <f t="shared" si="108"/>
        <v>128390</v>
      </c>
      <c r="Z248" s="281">
        <f t="shared" si="108"/>
        <v>744710</v>
      </c>
      <c r="AA248" s="281">
        <f t="shared" si="108"/>
        <v>469330</v>
      </c>
      <c r="AB248" s="281">
        <f t="shared" si="108"/>
        <v>462410</v>
      </c>
      <c r="AC248" s="281">
        <f t="shared" si="108"/>
        <v>503350</v>
      </c>
      <c r="AD248" s="281">
        <f t="shared" si="108"/>
        <v>643210</v>
      </c>
      <c r="AE248" s="281">
        <f t="shared" si="108"/>
        <v>44460</v>
      </c>
      <c r="AF248" s="281">
        <f t="shared" si="108"/>
        <v>28000</v>
      </c>
      <c r="AG248" s="281"/>
      <c r="AH248" s="281"/>
      <c r="AI248" s="281"/>
      <c r="AJ248" s="281"/>
      <c r="AL248" s="282">
        <f>SUM(AL243:AL247)</f>
        <v>9487130</v>
      </c>
      <c r="CY248" s="318"/>
    </row>
    <row r="249" spans="2:103 15069:15461" s="3" customFormat="1" ht="15" hidden="1" customHeight="1">
      <c r="B249" s="69">
        <v>13</v>
      </c>
      <c r="C249" s="158" t="s">
        <v>111</v>
      </c>
      <c r="D249" s="283"/>
      <c r="E249" s="284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L249" s="275" t="s">
        <v>112</v>
      </c>
      <c r="CY249" s="16"/>
      <c r="VGO249" s="347"/>
      <c r="VGP249" s="347"/>
      <c r="VGQ249" s="347"/>
      <c r="VGR249" s="347"/>
      <c r="VGS249" s="347"/>
      <c r="VGT249" s="347"/>
      <c r="VGU249" s="347"/>
      <c r="VGV249" s="347"/>
      <c r="VGW249" s="347"/>
      <c r="VGX249" s="347"/>
      <c r="VGY249" s="347"/>
      <c r="VGZ249" s="347"/>
      <c r="VHA249" s="347"/>
      <c r="VHB249" s="347"/>
      <c r="VHC249" s="347"/>
      <c r="VHD249" s="347"/>
      <c r="VHE249" s="347"/>
      <c r="VHF249" s="347"/>
      <c r="VHG249" s="347"/>
      <c r="VHH249" s="347"/>
      <c r="VHI249" s="347"/>
      <c r="VHJ249" s="347"/>
      <c r="VHK249" s="347"/>
      <c r="VHL249" s="347"/>
      <c r="VHM249" s="347"/>
      <c r="VHN249" s="347"/>
      <c r="VHO249" s="347"/>
      <c r="VHP249" s="347"/>
      <c r="VHQ249" s="347"/>
      <c r="VHR249" s="347"/>
      <c r="VHS249" s="347"/>
      <c r="VHT249" s="347"/>
      <c r="VHU249" s="347"/>
      <c r="VHV249" s="347"/>
      <c r="VHW249" s="347"/>
      <c r="VHX249" s="347"/>
      <c r="VHY249" s="347"/>
      <c r="VHZ249" s="347"/>
      <c r="VIA249" s="347"/>
      <c r="VIB249" s="347"/>
      <c r="VIC249" s="347"/>
      <c r="VID249" s="347"/>
      <c r="VIE249" s="347"/>
      <c r="VIF249" s="347"/>
      <c r="VIG249" s="347"/>
      <c r="VIH249" s="347"/>
      <c r="VII249" s="347"/>
      <c r="VIJ249" s="347"/>
      <c r="VIK249" s="347"/>
      <c r="VIL249" s="347"/>
      <c r="VIM249" s="347"/>
      <c r="VIN249" s="347"/>
      <c r="VIO249" s="347"/>
      <c r="VIP249" s="347"/>
      <c r="VIQ249" s="347"/>
      <c r="VIR249" s="347"/>
      <c r="VIS249" s="347"/>
      <c r="VIT249" s="347"/>
      <c r="VIU249" s="347"/>
      <c r="VIV249" s="347"/>
      <c r="VIW249" s="347"/>
      <c r="VIX249" s="347"/>
      <c r="VIY249" s="347"/>
      <c r="VIZ249" s="347"/>
      <c r="VJA249" s="347"/>
      <c r="VJB249" s="347"/>
      <c r="VJC249" s="347"/>
      <c r="VJD249" s="347"/>
      <c r="VJE249" s="347"/>
      <c r="VJF249" s="347"/>
      <c r="VJG249" s="347"/>
      <c r="VJH249" s="347"/>
      <c r="VJI249" s="347"/>
      <c r="VJJ249" s="347"/>
      <c r="VJK249" s="347"/>
      <c r="VJL249" s="347"/>
      <c r="VJM249" s="347"/>
      <c r="VJN249" s="347"/>
      <c r="VJO249" s="347"/>
      <c r="VJP249" s="347"/>
      <c r="VJQ249" s="347"/>
      <c r="VJR249" s="347"/>
      <c r="VJS249" s="347"/>
      <c r="VJT249" s="347"/>
      <c r="VJU249" s="347"/>
      <c r="VJV249" s="347"/>
      <c r="VJW249" s="347"/>
      <c r="VJX249" s="347"/>
      <c r="VJY249" s="347"/>
      <c r="VJZ249" s="347"/>
      <c r="VKA249" s="347"/>
      <c r="VKB249" s="347"/>
      <c r="VKC249" s="347"/>
      <c r="VKD249" s="347"/>
      <c r="VKE249" s="347"/>
      <c r="VKF249" s="347"/>
      <c r="VKG249" s="347"/>
      <c r="VKH249" s="347"/>
      <c r="VKI249" s="347"/>
      <c r="VKJ249" s="347"/>
      <c r="VKK249" s="347"/>
      <c r="VKL249" s="347"/>
      <c r="VKM249" s="347"/>
      <c r="VKN249" s="347"/>
      <c r="VKO249" s="347"/>
      <c r="VKP249" s="347"/>
      <c r="VKQ249" s="347"/>
      <c r="VKR249" s="347"/>
      <c r="VKS249" s="347"/>
      <c r="VKT249" s="347"/>
      <c r="VKU249" s="347"/>
      <c r="VKV249" s="347"/>
      <c r="VKW249" s="347"/>
      <c r="VKX249" s="347"/>
      <c r="VKY249" s="347"/>
      <c r="VKZ249" s="347"/>
      <c r="VLA249" s="347"/>
      <c r="VLB249" s="347"/>
      <c r="VLC249" s="347"/>
      <c r="VLD249" s="347"/>
      <c r="VLE249" s="347"/>
      <c r="VLF249" s="347"/>
      <c r="VLG249" s="347"/>
      <c r="VLH249" s="347"/>
      <c r="VLI249" s="347"/>
      <c r="VLJ249" s="347"/>
      <c r="VLK249" s="347"/>
      <c r="VLL249" s="347"/>
      <c r="VLM249" s="347"/>
      <c r="VLN249" s="347"/>
      <c r="VLO249" s="347"/>
      <c r="VLP249" s="347"/>
      <c r="VLQ249" s="347"/>
      <c r="VLR249" s="347"/>
      <c r="VLS249" s="347"/>
      <c r="VLT249" s="347"/>
      <c r="VLU249" s="347"/>
      <c r="VLV249" s="347"/>
      <c r="VLW249" s="347"/>
      <c r="VLX249" s="347"/>
      <c r="VLY249" s="347"/>
      <c r="VLZ249" s="347"/>
      <c r="VMA249" s="347"/>
      <c r="VMB249" s="347"/>
      <c r="VMC249" s="347"/>
      <c r="VMD249" s="347"/>
      <c r="VME249" s="347"/>
      <c r="VMF249" s="347"/>
      <c r="VMG249" s="347"/>
      <c r="VMH249" s="347"/>
      <c r="VMI249" s="347"/>
      <c r="VMJ249" s="347"/>
      <c r="VMK249" s="347"/>
      <c r="VML249" s="347"/>
      <c r="VMM249" s="347"/>
      <c r="VMN249" s="347"/>
      <c r="VMO249" s="347"/>
      <c r="VMP249" s="347"/>
      <c r="VMQ249" s="347"/>
      <c r="VMR249" s="347"/>
      <c r="VMS249" s="347"/>
      <c r="VMT249" s="347"/>
      <c r="VMU249" s="347"/>
      <c r="VMV249" s="347"/>
      <c r="VMW249" s="347"/>
      <c r="VMX249" s="347"/>
      <c r="VMY249" s="347"/>
      <c r="VMZ249" s="347"/>
      <c r="VNA249" s="347"/>
      <c r="VNB249" s="347"/>
      <c r="VNC249" s="347"/>
      <c r="VND249" s="347"/>
      <c r="VNE249" s="347"/>
      <c r="VNF249" s="347"/>
      <c r="VNG249" s="347"/>
      <c r="VNH249" s="347"/>
      <c r="VNI249" s="347"/>
      <c r="VNJ249" s="347"/>
      <c r="VNK249" s="347"/>
      <c r="VNL249" s="347"/>
      <c r="VNM249" s="347"/>
      <c r="VNN249" s="347"/>
      <c r="VNO249" s="347"/>
      <c r="VNP249" s="347"/>
      <c r="VNQ249" s="347"/>
      <c r="VNR249" s="347"/>
      <c r="VNS249" s="347"/>
      <c r="VNT249" s="347"/>
      <c r="VNU249" s="347"/>
      <c r="VNV249" s="347"/>
      <c r="VNW249" s="347"/>
      <c r="VNX249" s="347"/>
      <c r="VNY249" s="347"/>
      <c r="VNZ249" s="347"/>
      <c r="VOA249" s="347"/>
      <c r="VOB249" s="347"/>
      <c r="VOC249" s="347"/>
      <c r="VOD249" s="347"/>
      <c r="VOE249" s="347"/>
      <c r="VOF249" s="347"/>
      <c r="VOG249" s="347"/>
      <c r="VOH249" s="347"/>
      <c r="VOI249" s="347"/>
      <c r="VOJ249" s="347"/>
      <c r="VOK249" s="347"/>
      <c r="VOL249" s="347"/>
      <c r="VOM249" s="347"/>
      <c r="VON249" s="347"/>
      <c r="VOO249" s="347"/>
      <c r="VOP249" s="347"/>
      <c r="VOQ249" s="347"/>
      <c r="VOR249" s="347"/>
      <c r="VOS249" s="347"/>
      <c r="VOT249" s="347"/>
      <c r="VOU249" s="347"/>
      <c r="VOV249" s="347"/>
      <c r="VOW249" s="347"/>
      <c r="VOX249" s="347"/>
      <c r="VOY249" s="347"/>
      <c r="VOZ249" s="347"/>
      <c r="VPA249" s="347"/>
      <c r="VPB249" s="347"/>
      <c r="VPC249" s="347"/>
      <c r="VPD249" s="347"/>
      <c r="VPE249" s="347"/>
      <c r="VPF249" s="347"/>
      <c r="VPG249" s="347"/>
      <c r="VPH249" s="347"/>
      <c r="VPI249" s="347"/>
      <c r="VPJ249" s="347"/>
      <c r="VPK249" s="347"/>
      <c r="VPL249" s="347"/>
      <c r="VPM249" s="347"/>
      <c r="VPN249" s="347"/>
      <c r="VPO249" s="347"/>
      <c r="VPP249" s="347"/>
      <c r="VPQ249" s="347"/>
      <c r="VPR249" s="347"/>
      <c r="VPS249" s="347"/>
      <c r="VPT249" s="347"/>
      <c r="VPU249" s="347"/>
      <c r="VPV249" s="347"/>
      <c r="VPW249" s="347"/>
      <c r="VPX249" s="347"/>
      <c r="VPY249" s="347"/>
      <c r="VPZ249" s="347"/>
      <c r="VQA249" s="347"/>
      <c r="VQB249" s="347"/>
      <c r="VQC249" s="347"/>
      <c r="VQD249" s="347"/>
      <c r="VQE249" s="347"/>
      <c r="VQF249" s="347"/>
      <c r="VQG249" s="347"/>
      <c r="VQH249" s="347"/>
      <c r="VQI249" s="347"/>
      <c r="VQJ249" s="347"/>
      <c r="VQK249" s="347"/>
      <c r="VQL249" s="347"/>
      <c r="VQM249" s="347"/>
      <c r="VQN249" s="347"/>
      <c r="VQO249" s="347"/>
      <c r="VQP249" s="347"/>
      <c r="VQQ249" s="347"/>
      <c r="VQR249" s="347"/>
      <c r="VQS249" s="347"/>
      <c r="VQT249" s="347"/>
      <c r="VQU249" s="347"/>
      <c r="VQV249" s="347"/>
      <c r="VQW249" s="347"/>
      <c r="VQX249" s="347"/>
      <c r="VQY249" s="347"/>
      <c r="VQZ249" s="347"/>
      <c r="VRA249" s="347"/>
      <c r="VRB249" s="347"/>
      <c r="VRC249" s="347"/>
      <c r="VRD249" s="347"/>
      <c r="VRE249" s="347"/>
      <c r="VRF249" s="347"/>
      <c r="VRG249" s="347"/>
      <c r="VRH249" s="347"/>
      <c r="VRI249" s="347"/>
      <c r="VRJ249" s="347"/>
      <c r="VRK249" s="347"/>
      <c r="VRL249" s="347"/>
      <c r="VRM249" s="347"/>
      <c r="VRN249" s="347"/>
      <c r="VRO249" s="347"/>
      <c r="VRP249" s="347"/>
      <c r="VRQ249" s="347"/>
      <c r="VRR249" s="347"/>
      <c r="VRS249" s="347"/>
      <c r="VRT249" s="347"/>
      <c r="VRU249" s="347"/>
      <c r="VRV249" s="347"/>
      <c r="VRW249" s="347"/>
      <c r="VRX249" s="347"/>
      <c r="VRY249" s="347"/>
      <c r="VRZ249" s="347"/>
      <c r="VSA249" s="347"/>
      <c r="VSB249" s="347"/>
      <c r="VSC249" s="347"/>
      <c r="VSD249" s="347"/>
      <c r="VSE249" s="347"/>
      <c r="VSF249" s="347"/>
      <c r="VSG249" s="347"/>
      <c r="VSH249" s="347"/>
      <c r="VSI249" s="347"/>
      <c r="VSJ249" s="347"/>
      <c r="VSK249" s="347"/>
      <c r="VSL249" s="347"/>
      <c r="VSM249" s="347"/>
      <c r="VSN249" s="347"/>
      <c r="VSO249" s="347"/>
      <c r="VSP249" s="347"/>
      <c r="VSQ249" s="347"/>
      <c r="VSR249" s="347"/>
      <c r="VSS249" s="347"/>
      <c r="VST249" s="347"/>
      <c r="VSU249" s="347"/>
      <c r="VSV249" s="347"/>
      <c r="VSW249" s="347"/>
      <c r="VSX249" s="347"/>
      <c r="VSY249" s="347"/>
      <c r="VSZ249" s="347"/>
      <c r="VTA249" s="347"/>
      <c r="VTB249" s="347"/>
      <c r="VTC249" s="347"/>
      <c r="VTD249" s="347"/>
      <c r="VTE249" s="347"/>
      <c r="VTF249" s="347"/>
      <c r="VTG249" s="347"/>
      <c r="VTH249" s="347"/>
      <c r="VTI249" s="347"/>
      <c r="VTJ249" s="347"/>
      <c r="VTK249" s="347"/>
      <c r="VTL249" s="347"/>
      <c r="VTM249" s="347"/>
      <c r="VTN249" s="347"/>
      <c r="VTO249" s="347"/>
      <c r="VTP249" s="347"/>
      <c r="VTQ249" s="347"/>
      <c r="VTR249" s="347"/>
      <c r="VTS249" s="347"/>
      <c r="VTT249" s="347"/>
      <c r="VTU249" s="347"/>
      <c r="VTV249" s="347"/>
      <c r="VTW249" s="347"/>
      <c r="VTX249" s="347"/>
      <c r="VTY249" s="347"/>
      <c r="VTZ249" s="347"/>
      <c r="VUA249" s="347"/>
      <c r="VUB249" s="347"/>
      <c r="VUC249" s="347"/>
      <c r="VUD249" s="347"/>
      <c r="VUE249" s="347"/>
      <c r="VUF249" s="347"/>
      <c r="VUG249" s="347"/>
      <c r="VUH249" s="347"/>
      <c r="VUI249" s="347"/>
      <c r="VUJ249" s="347"/>
      <c r="VUK249" s="347"/>
      <c r="VUL249" s="347"/>
      <c r="VUM249" s="347"/>
      <c r="VUN249" s="347"/>
      <c r="VUO249" s="347"/>
      <c r="VUP249" s="347"/>
      <c r="VUQ249" s="347"/>
      <c r="VUR249" s="347"/>
      <c r="VUS249" s="347"/>
      <c r="VUT249" s="347"/>
      <c r="VUU249" s="347"/>
      <c r="VUV249" s="347"/>
      <c r="VUW249" s="347"/>
      <c r="VUX249" s="347"/>
      <c r="VUY249" s="347"/>
      <c r="VUZ249" s="347"/>
      <c r="VVA249" s="347"/>
      <c r="VVB249" s="347"/>
      <c r="VVC249" s="347"/>
      <c r="VVD249" s="347"/>
      <c r="VVE249" s="347"/>
      <c r="VVF249" s="347"/>
      <c r="VVG249" s="347"/>
      <c r="VVH249" s="347"/>
      <c r="VVI249" s="347"/>
      <c r="VVJ249" s="347"/>
      <c r="VVK249" s="347"/>
      <c r="VVL249" s="347"/>
      <c r="VVM249" s="347"/>
      <c r="VVN249" s="347"/>
      <c r="VVO249" s="347"/>
      <c r="VVP249" s="347"/>
      <c r="VVQ249" s="347"/>
    </row>
    <row r="250" spans="2:103 15069:15461" s="3" customFormat="1" ht="15" hidden="1" customHeight="1">
      <c r="B250" s="121"/>
      <c r="C250" s="276" t="s">
        <v>110</v>
      </c>
      <c r="D250" s="117"/>
      <c r="E250" s="118" t="s">
        <v>16</v>
      </c>
      <c r="F250" s="277"/>
      <c r="G250" s="277"/>
      <c r="H250" s="277"/>
      <c r="I250" s="277"/>
      <c r="J250" s="277"/>
      <c r="K250" s="277"/>
      <c r="L250" s="277">
        <v>1345050</v>
      </c>
      <c r="M250" s="277">
        <v>1279250</v>
      </c>
      <c r="N250" s="277">
        <v>1540660</v>
      </c>
      <c r="O250" s="277">
        <v>1221250</v>
      </c>
      <c r="P250" s="277">
        <v>1804530</v>
      </c>
      <c r="Q250" s="277">
        <v>1816620</v>
      </c>
      <c r="R250" s="277">
        <v>1766630</v>
      </c>
      <c r="S250" s="277">
        <v>52950</v>
      </c>
      <c r="T250" s="277">
        <v>0</v>
      </c>
      <c r="U250" s="277">
        <v>0</v>
      </c>
      <c r="V250" s="277">
        <v>0</v>
      </c>
      <c r="W250" s="277">
        <v>0</v>
      </c>
      <c r="X250" s="277">
        <v>0</v>
      </c>
      <c r="Y250" s="277">
        <v>0</v>
      </c>
      <c r="Z250" s="277">
        <v>0</v>
      </c>
      <c r="AA250" s="277">
        <v>0</v>
      </c>
      <c r="AB250" s="277">
        <v>0</v>
      </c>
      <c r="AC250" s="277">
        <v>0</v>
      </c>
      <c r="AD250" s="277">
        <v>0</v>
      </c>
      <c r="AE250" s="277">
        <v>0</v>
      </c>
      <c r="AF250" s="277">
        <v>0</v>
      </c>
      <c r="AG250" s="277"/>
      <c r="AH250" s="277"/>
      <c r="AI250" s="277"/>
      <c r="AJ250" s="277"/>
      <c r="AL250" s="160">
        <f>SUM(F250:AJ250)</f>
        <v>10826940</v>
      </c>
      <c r="CY250" s="16"/>
      <c r="VGO250" s="347"/>
      <c r="VGP250" s="347"/>
      <c r="VGQ250" s="347"/>
      <c r="VGR250" s="347"/>
      <c r="VGS250" s="347"/>
      <c r="VGT250" s="347"/>
      <c r="VGU250" s="347"/>
      <c r="VGV250" s="347"/>
      <c r="VGW250" s="347"/>
      <c r="VGX250" s="347"/>
      <c r="VGY250" s="347"/>
      <c r="VGZ250" s="347"/>
      <c r="VHA250" s="347"/>
      <c r="VHB250" s="347"/>
      <c r="VHC250" s="347"/>
      <c r="VHD250" s="347"/>
      <c r="VHE250" s="347"/>
      <c r="VHF250" s="347"/>
      <c r="VHG250" s="347"/>
      <c r="VHH250" s="347"/>
      <c r="VHI250" s="347"/>
      <c r="VHJ250" s="347"/>
      <c r="VHK250" s="347"/>
      <c r="VHL250" s="347"/>
      <c r="VHM250" s="347"/>
      <c r="VHN250" s="347"/>
      <c r="VHO250" s="347"/>
      <c r="VHP250" s="347"/>
      <c r="VHQ250" s="347"/>
      <c r="VHR250" s="347"/>
      <c r="VHS250" s="347"/>
      <c r="VHT250" s="347"/>
      <c r="VHU250" s="347"/>
      <c r="VHV250" s="347"/>
      <c r="VHW250" s="347"/>
      <c r="VHX250" s="347"/>
      <c r="VHY250" s="347"/>
      <c r="VHZ250" s="347"/>
      <c r="VIA250" s="347"/>
      <c r="VIB250" s="347"/>
      <c r="VIC250" s="347"/>
      <c r="VID250" s="347"/>
      <c r="VIE250" s="347"/>
      <c r="VIF250" s="347"/>
      <c r="VIG250" s="347"/>
      <c r="VIH250" s="347"/>
      <c r="VII250" s="347"/>
      <c r="VIJ250" s="347"/>
      <c r="VIK250" s="347"/>
      <c r="VIL250" s="347"/>
      <c r="VIM250" s="347"/>
      <c r="VIN250" s="347"/>
      <c r="VIO250" s="347"/>
      <c r="VIP250" s="347"/>
      <c r="VIQ250" s="347"/>
      <c r="VIR250" s="347"/>
      <c r="VIS250" s="347"/>
      <c r="VIT250" s="347"/>
      <c r="VIU250" s="347"/>
      <c r="VIV250" s="347"/>
      <c r="VIW250" s="347"/>
      <c r="VIX250" s="347"/>
      <c r="VIY250" s="347"/>
      <c r="VIZ250" s="347"/>
      <c r="VJA250" s="347"/>
      <c r="VJB250" s="347"/>
      <c r="VJC250" s="347"/>
      <c r="VJD250" s="347"/>
      <c r="VJE250" s="347"/>
      <c r="VJF250" s="347"/>
      <c r="VJG250" s="347"/>
      <c r="VJH250" s="347"/>
      <c r="VJI250" s="347"/>
      <c r="VJJ250" s="347"/>
      <c r="VJK250" s="347"/>
      <c r="VJL250" s="347"/>
      <c r="VJM250" s="347"/>
      <c r="VJN250" s="347"/>
      <c r="VJO250" s="347"/>
      <c r="VJP250" s="347"/>
      <c r="VJQ250" s="347"/>
      <c r="VJR250" s="347"/>
      <c r="VJS250" s="347"/>
      <c r="VJT250" s="347"/>
      <c r="VJU250" s="347"/>
      <c r="VJV250" s="347"/>
      <c r="VJW250" s="347"/>
      <c r="VJX250" s="347"/>
      <c r="VJY250" s="347"/>
      <c r="VJZ250" s="347"/>
      <c r="VKA250" s="347"/>
      <c r="VKB250" s="347"/>
      <c r="VKC250" s="347"/>
      <c r="VKD250" s="347"/>
      <c r="VKE250" s="347"/>
      <c r="VKF250" s="347"/>
      <c r="VKG250" s="347"/>
      <c r="VKH250" s="347"/>
      <c r="VKI250" s="347"/>
      <c r="VKJ250" s="347"/>
      <c r="VKK250" s="347"/>
      <c r="VKL250" s="347"/>
      <c r="VKM250" s="347"/>
      <c r="VKN250" s="347"/>
      <c r="VKO250" s="347"/>
      <c r="VKP250" s="347"/>
      <c r="VKQ250" s="347"/>
      <c r="VKR250" s="347"/>
      <c r="VKS250" s="347"/>
      <c r="VKT250" s="347"/>
      <c r="VKU250" s="347"/>
      <c r="VKV250" s="347"/>
      <c r="VKW250" s="347"/>
      <c r="VKX250" s="347"/>
      <c r="VKY250" s="347"/>
      <c r="VKZ250" s="347"/>
      <c r="VLA250" s="347"/>
      <c r="VLB250" s="347"/>
      <c r="VLC250" s="347"/>
      <c r="VLD250" s="347"/>
      <c r="VLE250" s="347"/>
      <c r="VLF250" s="347"/>
      <c r="VLG250" s="347"/>
      <c r="VLH250" s="347"/>
      <c r="VLI250" s="347"/>
      <c r="VLJ250" s="347"/>
      <c r="VLK250" s="347"/>
      <c r="VLL250" s="347"/>
      <c r="VLM250" s="347"/>
      <c r="VLN250" s="347"/>
      <c r="VLO250" s="347"/>
      <c r="VLP250" s="347"/>
      <c r="VLQ250" s="347"/>
      <c r="VLR250" s="347"/>
      <c r="VLS250" s="347"/>
      <c r="VLT250" s="347"/>
      <c r="VLU250" s="347"/>
      <c r="VLV250" s="347"/>
      <c r="VLW250" s="347"/>
      <c r="VLX250" s="347"/>
      <c r="VLY250" s="347"/>
      <c r="VLZ250" s="347"/>
      <c r="VMA250" s="347"/>
      <c r="VMB250" s="347"/>
      <c r="VMC250" s="347"/>
      <c r="VMD250" s="347"/>
      <c r="VME250" s="347"/>
      <c r="VMF250" s="347"/>
      <c r="VMG250" s="347"/>
      <c r="VMH250" s="347"/>
      <c r="VMI250" s="347"/>
      <c r="VMJ250" s="347"/>
      <c r="VMK250" s="347"/>
      <c r="VML250" s="347"/>
      <c r="VMM250" s="347"/>
      <c r="VMN250" s="347"/>
      <c r="VMO250" s="347"/>
      <c r="VMP250" s="347"/>
      <c r="VMQ250" s="347"/>
      <c r="VMR250" s="347"/>
      <c r="VMS250" s="347"/>
      <c r="VMT250" s="347"/>
      <c r="VMU250" s="347"/>
      <c r="VMV250" s="347"/>
      <c r="VMW250" s="347"/>
      <c r="VMX250" s="347"/>
      <c r="VMY250" s="347"/>
      <c r="VMZ250" s="347"/>
      <c r="VNA250" s="347"/>
      <c r="VNB250" s="347"/>
      <c r="VNC250" s="347"/>
      <c r="VND250" s="347"/>
      <c r="VNE250" s="347"/>
      <c r="VNF250" s="347"/>
      <c r="VNG250" s="347"/>
      <c r="VNH250" s="347"/>
      <c r="VNI250" s="347"/>
      <c r="VNJ250" s="347"/>
      <c r="VNK250" s="347"/>
      <c r="VNL250" s="347"/>
      <c r="VNM250" s="347"/>
      <c r="VNN250" s="347"/>
      <c r="VNO250" s="347"/>
      <c r="VNP250" s="347"/>
      <c r="VNQ250" s="347"/>
      <c r="VNR250" s="347"/>
      <c r="VNS250" s="347"/>
      <c r="VNT250" s="347"/>
      <c r="VNU250" s="347"/>
      <c r="VNV250" s="347"/>
      <c r="VNW250" s="347"/>
      <c r="VNX250" s="347"/>
      <c r="VNY250" s="347"/>
      <c r="VNZ250" s="347"/>
      <c r="VOA250" s="347"/>
      <c r="VOB250" s="347"/>
      <c r="VOC250" s="347"/>
      <c r="VOD250" s="347"/>
      <c r="VOE250" s="347"/>
      <c r="VOF250" s="347"/>
      <c r="VOG250" s="347"/>
      <c r="VOH250" s="347"/>
      <c r="VOI250" s="347"/>
      <c r="VOJ250" s="347"/>
      <c r="VOK250" s="347"/>
      <c r="VOL250" s="347"/>
      <c r="VOM250" s="347"/>
      <c r="VON250" s="347"/>
      <c r="VOO250" s="347"/>
      <c r="VOP250" s="347"/>
      <c r="VOQ250" s="347"/>
      <c r="VOR250" s="347"/>
      <c r="VOS250" s="347"/>
      <c r="VOT250" s="347"/>
      <c r="VOU250" s="347"/>
      <c r="VOV250" s="347"/>
      <c r="VOW250" s="347"/>
      <c r="VOX250" s="347"/>
      <c r="VOY250" s="347"/>
      <c r="VOZ250" s="347"/>
      <c r="VPA250" s="347"/>
      <c r="VPB250" s="347"/>
      <c r="VPC250" s="347"/>
      <c r="VPD250" s="347"/>
      <c r="VPE250" s="347"/>
      <c r="VPF250" s="347"/>
      <c r="VPG250" s="347"/>
      <c r="VPH250" s="347"/>
      <c r="VPI250" s="347"/>
      <c r="VPJ250" s="347"/>
      <c r="VPK250" s="347"/>
      <c r="VPL250" s="347"/>
      <c r="VPM250" s="347"/>
      <c r="VPN250" s="347"/>
      <c r="VPO250" s="347"/>
      <c r="VPP250" s="347"/>
      <c r="VPQ250" s="347"/>
      <c r="VPR250" s="347"/>
      <c r="VPS250" s="347"/>
      <c r="VPT250" s="347"/>
      <c r="VPU250" s="347"/>
      <c r="VPV250" s="347"/>
      <c r="VPW250" s="347"/>
      <c r="VPX250" s="347"/>
      <c r="VPY250" s="347"/>
      <c r="VPZ250" s="347"/>
      <c r="VQA250" s="347"/>
      <c r="VQB250" s="347"/>
      <c r="VQC250" s="347"/>
      <c r="VQD250" s="347"/>
      <c r="VQE250" s="347"/>
      <c r="VQF250" s="347"/>
      <c r="VQG250" s="347"/>
      <c r="VQH250" s="347"/>
      <c r="VQI250" s="347"/>
      <c r="VQJ250" s="347"/>
      <c r="VQK250" s="347"/>
      <c r="VQL250" s="347"/>
      <c r="VQM250" s="347"/>
      <c r="VQN250" s="347"/>
      <c r="VQO250" s="347"/>
      <c r="VQP250" s="347"/>
      <c r="VQQ250" s="347"/>
      <c r="VQR250" s="347"/>
      <c r="VQS250" s="347"/>
      <c r="VQT250" s="347"/>
      <c r="VQU250" s="347"/>
      <c r="VQV250" s="347"/>
      <c r="VQW250" s="347"/>
      <c r="VQX250" s="347"/>
      <c r="VQY250" s="347"/>
      <c r="VQZ250" s="347"/>
      <c r="VRA250" s="347"/>
      <c r="VRB250" s="347"/>
      <c r="VRC250" s="347"/>
      <c r="VRD250" s="347"/>
      <c r="VRE250" s="347"/>
      <c r="VRF250" s="347"/>
      <c r="VRG250" s="347"/>
      <c r="VRH250" s="347"/>
      <c r="VRI250" s="347"/>
      <c r="VRJ250" s="347"/>
      <c r="VRK250" s="347"/>
      <c r="VRL250" s="347"/>
      <c r="VRM250" s="347"/>
      <c r="VRN250" s="347"/>
      <c r="VRO250" s="347"/>
      <c r="VRP250" s="347"/>
      <c r="VRQ250" s="347"/>
      <c r="VRR250" s="347"/>
      <c r="VRS250" s="347"/>
      <c r="VRT250" s="347"/>
      <c r="VRU250" s="347"/>
      <c r="VRV250" s="347"/>
      <c r="VRW250" s="347"/>
      <c r="VRX250" s="347"/>
      <c r="VRY250" s="347"/>
      <c r="VRZ250" s="347"/>
      <c r="VSA250" s="347"/>
      <c r="VSB250" s="347"/>
      <c r="VSC250" s="347"/>
      <c r="VSD250" s="347"/>
      <c r="VSE250" s="347"/>
      <c r="VSF250" s="347"/>
      <c r="VSG250" s="347"/>
      <c r="VSH250" s="347"/>
      <c r="VSI250" s="347"/>
      <c r="VSJ250" s="347"/>
      <c r="VSK250" s="347"/>
      <c r="VSL250" s="347"/>
      <c r="VSM250" s="347"/>
      <c r="VSN250" s="347"/>
      <c r="VSO250" s="347"/>
      <c r="VSP250" s="347"/>
      <c r="VSQ250" s="347"/>
      <c r="VSR250" s="347"/>
      <c r="VSS250" s="347"/>
      <c r="VST250" s="347"/>
      <c r="VSU250" s="347"/>
      <c r="VSV250" s="347"/>
      <c r="VSW250" s="347"/>
      <c r="VSX250" s="347"/>
      <c r="VSY250" s="347"/>
      <c r="VSZ250" s="347"/>
      <c r="VTA250" s="347"/>
      <c r="VTB250" s="347"/>
      <c r="VTC250" s="347"/>
      <c r="VTD250" s="347"/>
      <c r="VTE250" s="347"/>
      <c r="VTF250" s="347"/>
      <c r="VTG250" s="347"/>
      <c r="VTH250" s="347"/>
      <c r="VTI250" s="347"/>
      <c r="VTJ250" s="347"/>
      <c r="VTK250" s="347"/>
      <c r="VTL250" s="347"/>
      <c r="VTM250" s="347"/>
      <c r="VTN250" s="347"/>
      <c r="VTO250" s="347"/>
      <c r="VTP250" s="347"/>
      <c r="VTQ250" s="347"/>
      <c r="VTR250" s="347"/>
      <c r="VTS250" s="347"/>
      <c r="VTT250" s="347"/>
      <c r="VTU250" s="347"/>
      <c r="VTV250" s="347"/>
      <c r="VTW250" s="347"/>
      <c r="VTX250" s="347"/>
      <c r="VTY250" s="347"/>
      <c r="VTZ250" s="347"/>
      <c r="VUA250" s="347"/>
      <c r="VUB250" s="347"/>
      <c r="VUC250" s="347"/>
      <c r="VUD250" s="347"/>
      <c r="VUE250" s="347"/>
      <c r="VUF250" s="347"/>
      <c r="VUG250" s="347"/>
      <c r="VUH250" s="347"/>
      <c r="VUI250" s="347"/>
      <c r="VUJ250" s="347"/>
      <c r="VUK250" s="347"/>
      <c r="VUL250" s="347"/>
      <c r="VUM250" s="347"/>
      <c r="VUN250" s="347"/>
      <c r="VUO250" s="347"/>
      <c r="VUP250" s="347"/>
      <c r="VUQ250" s="347"/>
      <c r="VUR250" s="347"/>
      <c r="VUS250" s="347"/>
      <c r="VUT250" s="347"/>
      <c r="VUU250" s="347"/>
      <c r="VUV250" s="347"/>
      <c r="VUW250" s="347"/>
      <c r="VUX250" s="347"/>
      <c r="VUY250" s="347"/>
      <c r="VUZ250" s="347"/>
      <c r="VVA250" s="347"/>
      <c r="VVB250" s="347"/>
      <c r="VVC250" s="347"/>
      <c r="VVD250" s="347"/>
      <c r="VVE250" s="347"/>
      <c r="VVF250" s="347"/>
      <c r="VVG250" s="347"/>
      <c r="VVH250" s="347"/>
      <c r="VVI250" s="347"/>
      <c r="VVJ250" s="347"/>
      <c r="VVK250" s="347"/>
      <c r="VVL250" s="347"/>
      <c r="VVM250" s="347"/>
      <c r="VVN250" s="347"/>
      <c r="VVO250" s="347"/>
      <c r="VVP250" s="347"/>
      <c r="VVQ250" s="347"/>
    </row>
    <row r="251" spans="2:103 15069:15461" s="3" customFormat="1" ht="15" hidden="1" customHeight="1">
      <c r="B251" s="121"/>
      <c r="C251" s="276" t="s">
        <v>73</v>
      </c>
      <c r="D251" s="117"/>
      <c r="E251" s="118" t="s">
        <v>16</v>
      </c>
      <c r="F251" s="277"/>
      <c r="G251" s="277"/>
      <c r="H251" s="277"/>
      <c r="I251" s="277"/>
      <c r="J251" s="277"/>
      <c r="K251" s="277"/>
      <c r="L251" s="277">
        <v>0</v>
      </c>
      <c r="M251" s="277">
        <v>338170</v>
      </c>
      <c r="N251" s="277">
        <v>252970</v>
      </c>
      <c r="O251" s="277">
        <v>111150</v>
      </c>
      <c r="P251" s="277">
        <v>0</v>
      </c>
      <c r="Q251" s="277">
        <v>0</v>
      </c>
      <c r="R251" s="277">
        <v>0</v>
      </c>
      <c r="S251" s="277">
        <v>0</v>
      </c>
      <c r="T251" s="277">
        <v>0</v>
      </c>
      <c r="U251" s="277">
        <v>0</v>
      </c>
      <c r="V251" s="277">
        <v>0</v>
      </c>
      <c r="W251" s="277">
        <v>0</v>
      </c>
      <c r="X251" s="277">
        <v>0</v>
      </c>
      <c r="Y251" s="277">
        <v>0</v>
      </c>
      <c r="Z251" s="277">
        <v>0</v>
      </c>
      <c r="AA251" s="277">
        <v>0</v>
      </c>
      <c r="AB251" s="277">
        <v>0</v>
      </c>
      <c r="AC251" s="277">
        <v>0</v>
      </c>
      <c r="AD251" s="277">
        <v>299440</v>
      </c>
      <c r="AE251" s="277">
        <v>108510</v>
      </c>
      <c r="AF251" s="277">
        <v>0</v>
      </c>
      <c r="AG251" s="277"/>
      <c r="AH251" s="277"/>
      <c r="AI251" s="277"/>
      <c r="AJ251" s="277"/>
      <c r="AL251" s="160">
        <f>SUM(F251:AJ251)</f>
        <v>1110240</v>
      </c>
      <c r="CY251" s="16"/>
      <c r="VGO251" s="347"/>
      <c r="VGP251" s="347"/>
      <c r="VGQ251" s="347"/>
      <c r="VGR251" s="347"/>
      <c r="VGS251" s="347"/>
      <c r="VGT251" s="347"/>
      <c r="VGU251" s="347"/>
      <c r="VGV251" s="347"/>
      <c r="VGW251" s="347"/>
      <c r="VGX251" s="347"/>
      <c r="VGY251" s="347"/>
      <c r="VGZ251" s="347"/>
      <c r="VHA251" s="347"/>
      <c r="VHB251" s="347"/>
      <c r="VHC251" s="347"/>
      <c r="VHD251" s="347"/>
      <c r="VHE251" s="347"/>
      <c r="VHF251" s="347"/>
      <c r="VHG251" s="347"/>
      <c r="VHH251" s="347"/>
      <c r="VHI251" s="347"/>
      <c r="VHJ251" s="347"/>
      <c r="VHK251" s="347"/>
      <c r="VHL251" s="347"/>
      <c r="VHM251" s="347"/>
      <c r="VHN251" s="347"/>
      <c r="VHO251" s="347"/>
      <c r="VHP251" s="347"/>
      <c r="VHQ251" s="347"/>
      <c r="VHR251" s="347"/>
      <c r="VHS251" s="347"/>
      <c r="VHT251" s="347"/>
      <c r="VHU251" s="347"/>
      <c r="VHV251" s="347"/>
      <c r="VHW251" s="347"/>
      <c r="VHX251" s="347"/>
      <c r="VHY251" s="347"/>
      <c r="VHZ251" s="347"/>
      <c r="VIA251" s="347"/>
      <c r="VIB251" s="347"/>
      <c r="VIC251" s="347"/>
      <c r="VID251" s="347"/>
      <c r="VIE251" s="347"/>
      <c r="VIF251" s="347"/>
      <c r="VIG251" s="347"/>
      <c r="VIH251" s="347"/>
      <c r="VII251" s="347"/>
      <c r="VIJ251" s="347"/>
      <c r="VIK251" s="347"/>
      <c r="VIL251" s="347"/>
      <c r="VIM251" s="347"/>
      <c r="VIN251" s="347"/>
      <c r="VIO251" s="347"/>
      <c r="VIP251" s="347"/>
      <c r="VIQ251" s="347"/>
      <c r="VIR251" s="347"/>
      <c r="VIS251" s="347"/>
      <c r="VIT251" s="347"/>
      <c r="VIU251" s="347"/>
      <c r="VIV251" s="347"/>
      <c r="VIW251" s="347"/>
      <c r="VIX251" s="347"/>
      <c r="VIY251" s="347"/>
      <c r="VIZ251" s="347"/>
      <c r="VJA251" s="347"/>
      <c r="VJB251" s="347"/>
      <c r="VJC251" s="347"/>
      <c r="VJD251" s="347"/>
      <c r="VJE251" s="347"/>
      <c r="VJF251" s="347"/>
      <c r="VJG251" s="347"/>
      <c r="VJH251" s="347"/>
      <c r="VJI251" s="347"/>
      <c r="VJJ251" s="347"/>
      <c r="VJK251" s="347"/>
      <c r="VJL251" s="347"/>
      <c r="VJM251" s="347"/>
      <c r="VJN251" s="347"/>
      <c r="VJO251" s="347"/>
      <c r="VJP251" s="347"/>
      <c r="VJQ251" s="347"/>
      <c r="VJR251" s="347"/>
      <c r="VJS251" s="347"/>
      <c r="VJT251" s="347"/>
      <c r="VJU251" s="347"/>
      <c r="VJV251" s="347"/>
      <c r="VJW251" s="347"/>
      <c r="VJX251" s="347"/>
      <c r="VJY251" s="347"/>
      <c r="VJZ251" s="347"/>
      <c r="VKA251" s="347"/>
      <c r="VKB251" s="347"/>
      <c r="VKC251" s="347"/>
      <c r="VKD251" s="347"/>
      <c r="VKE251" s="347"/>
      <c r="VKF251" s="347"/>
      <c r="VKG251" s="347"/>
      <c r="VKH251" s="347"/>
      <c r="VKI251" s="347"/>
      <c r="VKJ251" s="347"/>
      <c r="VKK251" s="347"/>
      <c r="VKL251" s="347"/>
      <c r="VKM251" s="347"/>
      <c r="VKN251" s="347"/>
      <c r="VKO251" s="347"/>
      <c r="VKP251" s="347"/>
      <c r="VKQ251" s="347"/>
      <c r="VKR251" s="347"/>
      <c r="VKS251" s="347"/>
      <c r="VKT251" s="347"/>
      <c r="VKU251" s="347"/>
      <c r="VKV251" s="347"/>
      <c r="VKW251" s="347"/>
      <c r="VKX251" s="347"/>
      <c r="VKY251" s="347"/>
      <c r="VKZ251" s="347"/>
      <c r="VLA251" s="347"/>
      <c r="VLB251" s="347"/>
      <c r="VLC251" s="347"/>
      <c r="VLD251" s="347"/>
      <c r="VLE251" s="347"/>
      <c r="VLF251" s="347"/>
      <c r="VLG251" s="347"/>
      <c r="VLH251" s="347"/>
      <c r="VLI251" s="347"/>
      <c r="VLJ251" s="347"/>
      <c r="VLK251" s="347"/>
      <c r="VLL251" s="347"/>
      <c r="VLM251" s="347"/>
      <c r="VLN251" s="347"/>
      <c r="VLO251" s="347"/>
      <c r="VLP251" s="347"/>
      <c r="VLQ251" s="347"/>
      <c r="VLR251" s="347"/>
      <c r="VLS251" s="347"/>
      <c r="VLT251" s="347"/>
      <c r="VLU251" s="347"/>
      <c r="VLV251" s="347"/>
      <c r="VLW251" s="347"/>
      <c r="VLX251" s="347"/>
      <c r="VLY251" s="347"/>
      <c r="VLZ251" s="347"/>
      <c r="VMA251" s="347"/>
      <c r="VMB251" s="347"/>
      <c r="VMC251" s="347"/>
      <c r="VMD251" s="347"/>
      <c r="VME251" s="347"/>
      <c r="VMF251" s="347"/>
      <c r="VMG251" s="347"/>
      <c r="VMH251" s="347"/>
      <c r="VMI251" s="347"/>
      <c r="VMJ251" s="347"/>
      <c r="VMK251" s="347"/>
      <c r="VML251" s="347"/>
      <c r="VMM251" s="347"/>
      <c r="VMN251" s="347"/>
      <c r="VMO251" s="347"/>
      <c r="VMP251" s="347"/>
      <c r="VMQ251" s="347"/>
      <c r="VMR251" s="347"/>
      <c r="VMS251" s="347"/>
      <c r="VMT251" s="347"/>
      <c r="VMU251" s="347"/>
      <c r="VMV251" s="347"/>
      <c r="VMW251" s="347"/>
      <c r="VMX251" s="347"/>
      <c r="VMY251" s="347"/>
      <c r="VMZ251" s="347"/>
      <c r="VNA251" s="347"/>
      <c r="VNB251" s="347"/>
      <c r="VNC251" s="347"/>
      <c r="VND251" s="347"/>
      <c r="VNE251" s="347"/>
      <c r="VNF251" s="347"/>
      <c r="VNG251" s="347"/>
      <c r="VNH251" s="347"/>
      <c r="VNI251" s="347"/>
      <c r="VNJ251" s="347"/>
      <c r="VNK251" s="347"/>
      <c r="VNL251" s="347"/>
      <c r="VNM251" s="347"/>
      <c r="VNN251" s="347"/>
      <c r="VNO251" s="347"/>
      <c r="VNP251" s="347"/>
      <c r="VNQ251" s="347"/>
      <c r="VNR251" s="347"/>
      <c r="VNS251" s="347"/>
      <c r="VNT251" s="347"/>
      <c r="VNU251" s="347"/>
      <c r="VNV251" s="347"/>
      <c r="VNW251" s="347"/>
      <c r="VNX251" s="347"/>
      <c r="VNY251" s="347"/>
      <c r="VNZ251" s="347"/>
      <c r="VOA251" s="347"/>
      <c r="VOB251" s="347"/>
      <c r="VOC251" s="347"/>
      <c r="VOD251" s="347"/>
      <c r="VOE251" s="347"/>
      <c r="VOF251" s="347"/>
      <c r="VOG251" s="347"/>
      <c r="VOH251" s="347"/>
      <c r="VOI251" s="347"/>
      <c r="VOJ251" s="347"/>
      <c r="VOK251" s="347"/>
      <c r="VOL251" s="347"/>
      <c r="VOM251" s="347"/>
      <c r="VON251" s="347"/>
      <c r="VOO251" s="347"/>
      <c r="VOP251" s="347"/>
      <c r="VOQ251" s="347"/>
      <c r="VOR251" s="347"/>
      <c r="VOS251" s="347"/>
      <c r="VOT251" s="347"/>
      <c r="VOU251" s="347"/>
      <c r="VOV251" s="347"/>
      <c r="VOW251" s="347"/>
      <c r="VOX251" s="347"/>
      <c r="VOY251" s="347"/>
      <c r="VOZ251" s="347"/>
      <c r="VPA251" s="347"/>
      <c r="VPB251" s="347"/>
      <c r="VPC251" s="347"/>
      <c r="VPD251" s="347"/>
      <c r="VPE251" s="347"/>
      <c r="VPF251" s="347"/>
      <c r="VPG251" s="347"/>
      <c r="VPH251" s="347"/>
      <c r="VPI251" s="347"/>
      <c r="VPJ251" s="347"/>
      <c r="VPK251" s="347"/>
      <c r="VPL251" s="347"/>
      <c r="VPM251" s="347"/>
      <c r="VPN251" s="347"/>
      <c r="VPO251" s="347"/>
      <c r="VPP251" s="347"/>
      <c r="VPQ251" s="347"/>
      <c r="VPR251" s="347"/>
      <c r="VPS251" s="347"/>
      <c r="VPT251" s="347"/>
      <c r="VPU251" s="347"/>
      <c r="VPV251" s="347"/>
      <c r="VPW251" s="347"/>
      <c r="VPX251" s="347"/>
      <c r="VPY251" s="347"/>
      <c r="VPZ251" s="347"/>
      <c r="VQA251" s="347"/>
      <c r="VQB251" s="347"/>
      <c r="VQC251" s="347"/>
      <c r="VQD251" s="347"/>
      <c r="VQE251" s="347"/>
      <c r="VQF251" s="347"/>
      <c r="VQG251" s="347"/>
      <c r="VQH251" s="347"/>
      <c r="VQI251" s="347"/>
      <c r="VQJ251" s="347"/>
      <c r="VQK251" s="347"/>
      <c r="VQL251" s="347"/>
      <c r="VQM251" s="347"/>
      <c r="VQN251" s="347"/>
      <c r="VQO251" s="347"/>
      <c r="VQP251" s="347"/>
      <c r="VQQ251" s="347"/>
      <c r="VQR251" s="347"/>
      <c r="VQS251" s="347"/>
      <c r="VQT251" s="347"/>
      <c r="VQU251" s="347"/>
      <c r="VQV251" s="347"/>
      <c r="VQW251" s="347"/>
      <c r="VQX251" s="347"/>
      <c r="VQY251" s="347"/>
      <c r="VQZ251" s="347"/>
      <c r="VRA251" s="347"/>
      <c r="VRB251" s="347"/>
      <c r="VRC251" s="347"/>
      <c r="VRD251" s="347"/>
      <c r="VRE251" s="347"/>
      <c r="VRF251" s="347"/>
      <c r="VRG251" s="347"/>
      <c r="VRH251" s="347"/>
      <c r="VRI251" s="347"/>
      <c r="VRJ251" s="347"/>
      <c r="VRK251" s="347"/>
      <c r="VRL251" s="347"/>
      <c r="VRM251" s="347"/>
      <c r="VRN251" s="347"/>
      <c r="VRO251" s="347"/>
      <c r="VRP251" s="347"/>
      <c r="VRQ251" s="347"/>
      <c r="VRR251" s="347"/>
      <c r="VRS251" s="347"/>
      <c r="VRT251" s="347"/>
      <c r="VRU251" s="347"/>
      <c r="VRV251" s="347"/>
      <c r="VRW251" s="347"/>
      <c r="VRX251" s="347"/>
      <c r="VRY251" s="347"/>
      <c r="VRZ251" s="347"/>
      <c r="VSA251" s="347"/>
      <c r="VSB251" s="347"/>
      <c r="VSC251" s="347"/>
      <c r="VSD251" s="347"/>
      <c r="VSE251" s="347"/>
      <c r="VSF251" s="347"/>
      <c r="VSG251" s="347"/>
      <c r="VSH251" s="347"/>
      <c r="VSI251" s="347"/>
      <c r="VSJ251" s="347"/>
      <c r="VSK251" s="347"/>
      <c r="VSL251" s="347"/>
      <c r="VSM251" s="347"/>
      <c r="VSN251" s="347"/>
      <c r="VSO251" s="347"/>
      <c r="VSP251" s="347"/>
      <c r="VSQ251" s="347"/>
      <c r="VSR251" s="347"/>
      <c r="VSS251" s="347"/>
      <c r="VST251" s="347"/>
      <c r="VSU251" s="347"/>
      <c r="VSV251" s="347"/>
      <c r="VSW251" s="347"/>
      <c r="VSX251" s="347"/>
      <c r="VSY251" s="347"/>
      <c r="VSZ251" s="347"/>
      <c r="VTA251" s="347"/>
      <c r="VTB251" s="347"/>
      <c r="VTC251" s="347"/>
      <c r="VTD251" s="347"/>
      <c r="VTE251" s="347"/>
      <c r="VTF251" s="347"/>
      <c r="VTG251" s="347"/>
      <c r="VTH251" s="347"/>
      <c r="VTI251" s="347"/>
      <c r="VTJ251" s="347"/>
      <c r="VTK251" s="347"/>
      <c r="VTL251" s="347"/>
      <c r="VTM251" s="347"/>
      <c r="VTN251" s="347"/>
      <c r="VTO251" s="347"/>
      <c r="VTP251" s="347"/>
      <c r="VTQ251" s="347"/>
      <c r="VTR251" s="347"/>
      <c r="VTS251" s="347"/>
      <c r="VTT251" s="347"/>
      <c r="VTU251" s="347"/>
      <c r="VTV251" s="347"/>
      <c r="VTW251" s="347"/>
      <c r="VTX251" s="347"/>
      <c r="VTY251" s="347"/>
      <c r="VTZ251" s="347"/>
      <c r="VUA251" s="347"/>
      <c r="VUB251" s="347"/>
      <c r="VUC251" s="347"/>
      <c r="VUD251" s="347"/>
      <c r="VUE251" s="347"/>
      <c r="VUF251" s="347"/>
      <c r="VUG251" s="347"/>
      <c r="VUH251" s="347"/>
      <c r="VUI251" s="347"/>
      <c r="VUJ251" s="347"/>
      <c r="VUK251" s="347"/>
      <c r="VUL251" s="347"/>
      <c r="VUM251" s="347"/>
      <c r="VUN251" s="347"/>
      <c r="VUO251" s="347"/>
      <c r="VUP251" s="347"/>
      <c r="VUQ251" s="347"/>
      <c r="VUR251" s="347"/>
      <c r="VUS251" s="347"/>
      <c r="VUT251" s="347"/>
      <c r="VUU251" s="347"/>
      <c r="VUV251" s="347"/>
      <c r="VUW251" s="347"/>
      <c r="VUX251" s="347"/>
      <c r="VUY251" s="347"/>
      <c r="VUZ251" s="347"/>
      <c r="VVA251" s="347"/>
      <c r="VVB251" s="347"/>
      <c r="VVC251" s="347"/>
      <c r="VVD251" s="347"/>
      <c r="VVE251" s="347"/>
      <c r="VVF251" s="347"/>
      <c r="VVG251" s="347"/>
      <c r="VVH251" s="347"/>
      <c r="VVI251" s="347"/>
      <c r="VVJ251" s="347"/>
      <c r="VVK251" s="347"/>
      <c r="VVL251" s="347"/>
      <c r="VVM251" s="347"/>
      <c r="VVN251" s="347"/>
      <c r="VVO251" s="347"/>
      <c r="VVP251" s="347"/>
      <c r="VVQ251" s="347"/>
    </row>
    <row r="252" spans="2:103 15069:15461" s="3" customFormat="1" ht="15" hidden="1" customHeight="1">
      <c r="B252" s="121"/>
      <c r="C252" s="276" t="s">
        <v>72</v>
      </c>
      <c r="D252" s="117"/>
      <c r="E252" s="118" t="s">
        <v>16</v>
      </c>
      <c r="F252" s="277"/>
      <c r="G252" s="277"/>
      <c r="H252" s="277"/>
      <c r="I252" s="277"/>
      <c r="J252" s="277"/>
      <c r="K252" s="277"/>
      <c r="L252" s="277">
        <v>0</v>
      </c>
      <c r="M252" s="277">
        <v>0</v>
      </c>
      <c r="N252" s="277">
        <v>0</v>
      </c>
      <c r="O252" s="277">
        <v>0</v>
      </c>
      <c r="P252" s="277">
        <v>0</v>
      </c>
      <c r="Q252" s="277">
        <v>0</v>
      </c>
      <c r="R252" s="277">
        <v>0</v>
      </c>
      <c r="S252" s="277">
        <v>1180660</v>
      </c>
      <c r="T252" s="277">
        <v>1013340</v>
      </c>
      <c r="U252" s="277">
        <v>1009220</v>
      </c>
      <c r="V252" s="277">
        <v>1288830</v>
      </c>
      <c r="W252" s="277">
        <v>0</v>
      </c>
      <c r="X252" s="277">
        <v>0</v>
      </c>
      <c r="Y252" s="277">
        <v>0</v>
      </c>
      <c r="Z252" s="277">
        <v>0</v>
      </c>
      <c r="AA252" s="277">
        <v>0</v>
      </c>
      <c r="AB252" s="277">
        <v>0</v>
      </c>
      <c r="AC252" s="277">
        <v>0</v>
      </c>
      <c r="AD252" s="277">
        <v>0</v>
      </c>
      <c r="AE252" s="277">
        <v>0</v>
      </c>
      <c r="AF252" s="277">
        <v>0</v>
      </c>
      <c r="AG252" s="277"/>
      <c r="AH252" s="277"/>
      <c r="AI252" s="277"/>
      <c r="AJ252" s="277"/>
      <c r="AL252" s="160">
        <f>SUM(F252:AJ252)</f>
        <v>4492050</v>
      </c>
      <c r="CY252" s="16"/>
      <c r="VGO252" s="347"/>
      <c r="VGP252" s="347"/>
      <c r="VGQ252" s="347"/>
      <c r="VGR252" s="347"/>
      <c r="VGS252" s="347"/>
      <c r="VGT252" s="347"/>
      <c r="VGU252" s="347"/>
      <c r="VGV252" s="347"/>
      <c r="VGW252" s="347"/>
      <c r="VGX252" s="347"/>
      <c r="VGY252" s="347"/>
      <c r="VGZ252" s="347"/>
      <c r="VHA252" s="347"/>
      <c r="VHB252" s="347"/>
      <c r="VHC252" s="347"/>
      <c r="VHD252" s="347"/>
      <c r="VHE252" s="347"/>
      <c r="VHF252" s="347"/>
      <c r="VHG252" s="347"/>
      <c r="VHH252" s="347"/>
      <c r="VHI252" s="347"/>
      <c r="VHJ252" s="347"/>
      <c r="VHK252" s="347"/>
      <c r="VHL252" s="347"/>
      <c r="VHM252" s="347"/>
      <c r="VHN252" s="347"/>
      <c r="VHO252" s="347"/>
      <c r="VHP252" s="347"/>
      <c r="VHQ252" s="347"/>
      <c r="VHR252" s="347"/>
      <c r="VHS252" s="347"/>
      <c r="VHT252" s="347"/>
      <c r="VHU252" s="347"/>
      <c r="VHV252" s="347"/>
      <c r="VHW252" s="347"/>
      <c r="VHX252" s="347"/>
      <c r="VHY252" s="347"/>
      <c r="VHZ252" s="347"/>
      <c r="VIA252" s="347"/>
      <c r="VIB252" s="347"/>
      <c r="VIC252" s="347"/>
      <c r="VID252" s="347"/>
      <c r="VIE252" s="347"/>
      <c r="VIF252" s="347"/>
      <c r="VIG252" s="347"/>
      <c r="VIH252" s="347"/>
      <c r="VII252" s="347"/>
      <c r="VIJ252" s="347"/>
      <c r="VIK252" s="347"/>
      <c r="VIL252" s="347"/>
      <c r="VIM252" s="347"/>
      <c r="VIN252" s="347"/>
      <c r="VIO252" s="347"/>
      <c r="VIP252" s="347"/>
      <c r="VIQ252" s="347"/>
      <c r="VIR252" s="347"/>
      <c r="VIS252" s="347"/>
      <c r="VIT252" s="347"/>
      <c r="VIU252" s="347"/>
      <c r="VIV252" s="347"/>
      <c r="VIW252" s="347"/>
      <c r="VIX252" s="347"/>
      <c r="VIY252" s="347"/>
      <c r="VIZ252" s="347"/>
      <c r="VJA252" s="347"/>
      <c r="VJB252" s="347"/>
      <c r="VJC252" s="347"/>
      <c r="VJD252" s="347"/>
      <c r="VJE252" s="347"/>
      <c r="VJF252" s="347"/>
      <c r="VJG252" s="347"/>
      <c r="VJH252" s="347"/>
      <c r="VJI252" s="347"/>
      <c r="VJJ252" s="347"/>
      <c r="VJK252" s="347"/>
      <c r="VJL252" s="347"/>
      <c r="VJM252" s="347"/>
      <c r="VJN252" s="347"/>
      <c r="VJO252" s="347"/>
      <c r="VJP252" s="347"/>
      <c r="VJQ252" s="347"/>
      <c r="VJR252" s="347"/>
      <c r="VJS252" s="347"/>
      <c r="VJT252" s="347"/>
      <c r="VJU252" s="347"/>
      <c r="VJV252" s="347"/>
      <c r="VJW252" s="347"/>
      <c r="VJX252" s="347"/>
      <c r="VJY252" s="347"/>
      <c r="VJZ252" s="347"/>
      <c r="VKA252" s="347"/>
      <c r="VKB252" s="347"/>
      <c r="VKC252" s="347"/>
      <c r="VKD252" s="347"/>
      <c r="VKE252" s="347"/>
      <c r="VKF252" s="347"/>
      <c r="VKG252" s="347"/>
      <c r="VKH252" s="347"/>
      <c r="VKI252" s="347"/>
      <c r="VKJ252" s="347"/>
      <c r="VKK252" s="347"/>
      <c r="VKL252" s="347"/>
      <c r="VKM252" s="347"/>
      <c r="VKN252" s="347"/>
      <c r="VKO252" s="347"/>
      <c r="VKP252" s="347"/>
      <c r="VKQ252" s="347"/>
      <c r="VKR252" s="347"/>
      <c r="VKS252" s="347"/>
      <c r="VKT252" s="347"/>
      <c r="VKU252" s="347"/>
      <c r="VKV252" s="347"/>
      <c r="VKW252" s="347"/>
      <c r="VKX252" s="347"/>
      <c r="VKY252" s="347"/>
      <c r="VKZ252" s="347"/>
      <c r="VLA252" s="347"/>
      <c r="VLB252" s="347"/>
      <c r="VLC252" s="347"/>
      <c r="VLD252" s="347"/>
      <c r="VLE252" s="347"/>
      <c r="VLF252" s="347"/>
      <c r="VLG252" s="347"/>
      <c r="VLH252" s="347"/>
      <c r="VLI252" s="347"/>
      <c r="VLJ252" s="347"/>
      <c r="VLK252" s="347"/>
      <c r="VLL252" s="347"/>
      <c r="VLM252" s="347"/>
      <c r="VLN252" s="347"/>
      <c r="VLO252" s="347"/>
      <c r="VLP252" s="347"/>
      <c r="VLQ252" s="347"/>
      <c r="VLR252" s="347"/>
      <c r="VLS252" s="347"/>
      <c r="VLT252" s="347"/>
      <c r="VLU252" s="347"/>
      <c r="VLV252" s="347"/>
      <c r="VLW252" s="347"/>
      <c r="VLX252" s="347"/>
      <c r="VLY252" s="347"/>
      <c r="VLZ252" s="347"/>
      <c r="VMA252" s="347"/>
      <c r="VMB252" s="347"/>
      <c r="VMC252" s="347"/>
      <c r="VMD252" s="347"/>
      <c r="VME252" s="347"/>
      <c r="VMF252" s="347"/>
      <c r="VMG252" s="347"/>
      <c r="VMH252" s="347"/>
      <c r="VMI252" s="347"/>
      <c r="VMJ252" s="347"/>
      <c r="VMK252" s="347"/>
      <c r="VML252" s="347"/>
      <c r="VMM252" s="347"/>
      <c r="VMN252" s="347"/>
      <c r="VMO252" s="347"/>
      <c r="VMP252" s="347"/>
      <c r="VMQ252" s="347"/>
      <c r="VMR252" s="347"/>
      <c r="VMS252" s="347"/>
      <c r="VMT252" s="347"/>
      <c r="VMU252" s="347"/>
      <c r="VMV252" s="347"/>
      <c r="VMW252" s="347"/>
      <c r="VMX252" s="347"/>
      <c r="VMY252" s="347"/>
      <c r="VMZ252" s="347"/>
      <c r="VNA252" s="347"/>
      <c r="VNB252" s="347"/>
      <c r="VNC252" s="347"/>
      <c r="VND252" s="347"/>
      <c r="VNE252" s="347"/>
      <c r="VNF252" s="347"/>
      <c r="VNG252" s="347"/>
      <c r="VNH252" s="347"/>
      <c r="VNI252" s="347"/>
      <c r="VNJ252" s="347"/>
      <c r="VNK252" s="347"/>
      <c r="VNL252" s="347"/>
      <c r="VNM252" s="347"/>
      <c r="VNN252" s="347"/>
      <c r="VNO252" s="347"/>
      <c r="VNP252" s="347"/>
      <c r="VNQ252" s="347"/>
      <c r="VNR252" s="347"/>
      <c r="VNS252" s="347"/>
      <c r="VNT252" s="347"/>
      <c r="VNU252" s="347"/>
      <c r="VNV252" s="347"/>
      <c r="VNW252" s="347"/>
      <c r="VNX252" s="347"/>
      <c r="VNY252" s="347"/>
      <c r="VNZ252" s="347"/>
      <c r="VOA252" s="347"/>
      <c r="VOB252" s="347"/>
      <c r="VOC252" s="347"/>
      <c r="VOD252" s="347"/>
      <c r="VOE252" s="347"/>
      <c r="VOF252" s="347"/>
      <c r="VOG252" s="347"/>
      <c r="VOH252" s="347"/>
      <c r="VOI252" s="347"/>
      <c r="VOJ252" s="347"/>
      <c r="VOK252" s="347"/>
      <c r="VOL252" s="347"/>
      <c r="VOM252" s="347"/>
      <c r="VON252" s="347"/>
      <c r="VOO252" s="347"/>
      <c r="VOP252" s="347"/>
      <c r="VOQ252" s="347"/>
      <c r="VOR252" s="347"/>
      <c r="VOS252" s="347"/>
      <c r="VOT252" s="347"/>
      <c r="VOU252" s="347"/>
      <c r="VOV252" s="347"/>
      <c r="VOW252" s="347"/>
      <c r="VOX252" s="347"/>
      <c r="VOY252" s="347"/>
      <c r="VOZ252" s="347"/>
      <c r="VPA252" s="347"/>
      <c r="VPB252" s="347"/>
      <c r="VPC252" s="347"/>
      <c r="VPD252" s="347"/>
      <c r="VPE252" s="347"/>
      <c r="VPF252" s="347"/>
      <c r="VPG252" s="347"/>
      <c r="VPH252" s="347"/>
      <c r="VPI252" s="347"/>
      <c r="VPJ252" s="347"/>
      <c r="VPK252" s="347"/>
      <c r="VPL252" s="347"/>
      <c r="VPM252" s="347"/>
      <c r="VPN252" s="347"/>
      <c r="VPO252" s="347"/>
      <c r="VPP252" s="347"/>
      <c r="VPQ252" s="347"/>
      <c r="VPR252" s="347"/>
      <c r="VPS252" s="347"/>
      <c r="VPT252" s="347"/>
      <c r="VPU252" s="347"/>
      <c r="VPV252" s="347"/>
      <c r="VPW252" s="347"/>
      <c r="VPX252" s="347"/>
      <c r="VPY252" s="347"/>
      <c r="VPZ252" s="347"/>
      <c r="VQA252" s="347"/>
      <c r="VQB252" s="347"/>
      <c r="VQC252" s="347"/>
      <c r="VQD252" s="347"/>
      <c r="VQE252" s="347"/>
      <c r="VQF252" s="347"/>
      <c r="VQG252" s="347"/>
      <c r="VQH252" s="347"/>
      <c r="VQI252" s="347"/>
      <c r="VQJ252" s="347"/>
      <c r="VQK252" s="347"/>
      <c r="VQL252" s="347"/>
      <c r="VQM252" s="347"/>
      <c r="VQN252" s="347"/>
      <c r="VQO252" s="347"/>
      <c r="VQP252" s="347"/>
      <c r="VQQ252" s="347"/>
      <c r="VQR252" s="347"/>
      <c r="VQS252" s="347"/>
      <c r="VQT252" s="347"/>
      <c r="VQU252" s="347"/>
      <c r="VQV252" s="347"/>
      <c r="VQW252" s="347"/>
      <c r="VQX252" s="347"/>
      <c r="VQY252" s="347"/>
      <c r="VQZ252" s="347"/>
      <c r="VRA252" s="347"/>
      <c r="VRB252" s="347"/>
      <c r="VRC252" s="347"/>
      <c r="VRD252" s="347"/>
      <c r="VRE252" s="347"/>
      <c r="VRF252" s="347"/>
      <c r="VRG252" s="347"/>
      <c r="VRH252" s="347"/>
      <c r="VRI252" s="347"/>
      <c r="VRJ252" s="347"/>
      <c r="VRK252" s="347"/>
      <c r="VRL252" s="347"/>
      <c r="VRM252" s="347"/>
      <c r="VRN252" s="347"/>
      <c r="VRO252" s="347"/>
      <c r="VRP252" s="347"/>
      <c r="VRQ252" s="347"/>
      <c r="VRR252" s="347"/>
      <c r="VRS252" s="347"/>
      <c r="VRT252" s="347"/>
      <c r="VRU252" s="347"/>
      <c r="VRV252" s="347"/>
      <c r="VRW252" s="347"/>
      <c r="VRX252" s="347"/>
      <c r="VRY252" s="347"/>
      <c r="VRZ252" s="347"/>
      <c r="VSA252" s="347"/>
      <c r="VSB252" s="347"/>
      <c r="VSC252" s="347"/>
      <c r="VSD252" s="347"/>
      <c r="VSE252" s="347"/>
      <c r="VSF252" s="347"/>
      <c r="VSG252" s="347"/>
      <c r="VSH252" s="347"/>
      <c r="VSI252" s="347"/>
      <c r="VSJ252" s="347"/>
      <c r="VSK252" s="347"/>
      <c r="VSL252" s="347"/>
      <c r="VSM252" s="347"/>
      <c r="VSN252" s="347"/>
      <c r="VSO252" s="347"/>
      <c r="VSP252" s="347"/>
      <c r="VSQ252" s="347"/>
      <c r="VSR252" s="347"/>
      <c r="VSS252" s="347"/>
      <c r="VST252" s="347"/>
      <c r="VSU252" s="347"/>
      <c r="VSV252" s="347"/>
      <c r="VSW252" s="347"/>
      <c r="VSX252" s="347"/>
      <c r="VSY252" s="347"/>
      <c r="VSZ252" s="347"/>
      <c r="VTA252" s="347"/>
      <c r="VTB252" s="347"/>
      <c r="VTC252" s="347"/>
      <c r="VTD252" s="347"/>
      <c r="VTE252" s="347"/>
      <c r="VTF252" s="347"/>
      <c r="VTG252" s="347"/>
      <c r="VTH252" s="347"/>
      <c r="VTI252" s="347"/>
      <c r="VTJ252" s="347"/>
      <c r="VTK252" s="347"/>
      <c r="VTL252" s="347"/>
      <c r="VTM252" s="347"/>
      <c r="VTN252" s="347"/>
      <c r="VTO252" s="347"/>
      <c r="VTP252" s="347"/>
      <c r="VTQ252" s="347"/>
      <c r="VTR252" s="347"/>
      <c r="VTS252" s="347"/>
      <c r="VTT252" s="347"/>
      <c r="VTU252" s="347"/>
      <c r="VTV252" s="347"/>
      <c r="VTW252" s="347"/>
      <c r="VTX252" s="347"/>
      <c r="VTY252" s="347"/>
      <c r="VTZ252" s="347"/>
      <c r="VUA252" s="347"/>
      <c r="VUB252" s="347"/>
      <c r="VUC252" s="347"/>
      <c r="VUD252" s="347"/>
      <c r="VUE252" s="347"/>
      <c r="VUF252" s="347"/>
      <c r="VUG252" s="347"/>
      <c r="VUH252" s="347"/>
      <c r="VUI252" s="347"/>
      <c r="VUJ252" s="347"/>
      <c r="VUK252" s="347"/>
      <c r="VUL252" s="347"/>
      <c r="VUM252" s="347"/>
      <c r="VUN252" s="347"/>
      <c r="VUO252" s="347"/>
      <c r="VUP252" s="347"/>
      <c r="VUQ252" s="347"/>
      <c r="VUR252" s="347"/>
      <c r="VUS252" s="347"/>
      <c r="VUT252" s="347"/>
      <c r="VUU252" s="347"/>
      <c r="VUV252" s="347"/>
      <c r="VUW252" s="347"/>
      <c r="VUX252" s="347"/>
      <c r="VUY252" s="347"/>
      <c r="VUZ252" s="347"/>
      <c r="VVA252" s="347"/>
      <c r="VVB252" s="347"/>
      <c r="VVC252" s="347"/>
      <c r="VVD252" s="347"/>
      <c r="VVE252" s="347"/>
      <c r="VVF252" s="347"/>
      <c r="VVG252" s="347"/>
      <c r="VVH252" s="347"/>
      <c r="VVI252" s="347"/>
      <c r="VVJ252" s="347"/>
      <c r="VVK252" s="347"/>
      <c r="VVL252" s="347"/>
      <c r="VVM252" s="347"/>
      <c r="VVN252" s="347"/>
      <c r="VVO252" s="347"/>
      <c r="VVP252" s="347"/>
      <c r="VVQ252" s="347"/>
    </row>
    <row r="253" spans="2:103 15069:15461" s="3" customFormat="1" ht="15" hidden="1" customHeight="1">
      <c r="B253" s="121"/>
      <c r="C253" s="276" t="s">
        <v>69</v>
      </c>
      <c r="D253" s="117"/>
      <c r="E253" s="118" t="s">
        <v>16</v>
      </c>
      <c r="F253" s="277"/>
      <c r="G253" s="277"/>
      <c r="H253" s="277"/>
      <c r="I253" s="277"/>
      <c r="J253" s="277"/>
      <c r="K253" s="277"/>
      <c r="L253" s="277">
        <v>0</v>
      </c>
      <c r="M253" s="277">
        <v>0</v>
      </c>
      <c r="N253" s="277"/>
      <c r="O253" s="277">
        <v>0</v>
      </c>
      <c r="P253" s="277">
        <v>0</v>
      </c>
      <c r="Q253" s="277">
        <v>0</v>
      </c>
      <c r="R253" s="277">
        <v>0</v>
      </c>
      <c r="S253" s="277"/>
      <c r="T253" s="277"/>
      <c r="U253" s="277"/>
      <c r="V253" s="277"/>
      <c r="W253" s="277">
        <v>0</v>
      </c>
      <c r="X253" s="277">
        <v>0</v>
      </c>
      <c r="Y253" s="277">
        <v>0</v>
      </c>
      <c r="Z253" s="277">
        <v>0</v>
      </c>
      <c r="AA253" s="277">
        <v>0</v>
      </c>
      <c r="AB253" s="277">
        <v>0</v>
      </c>
      <c r="AC253" s="277">
        <v>0</v>
      </c>
      <c r="AD253" s="277">
        <v>0</v>
      </c>
      <c r="AE253" s="277">
        <v>0</v>
      </c>
      <c r="AF253" s="277">
        <v>0</v>
      </c>
      <c r="AG253" s="277"/>
      <c r="AH253" s="277"/>
      <c r="AI253" s="277"/>
      <c r="AJ253" s="277"/>
      <c r="AL253" s="160">
        <f>SUM(F253:AJ253)</f>
        <v>0</v>
      </c>
      <c r="CY253" s="16"/>
      <c r="VGO253" s="347"/>
      <c r="VGP253" s="347"/>
      <c r="VGQ253" s="347"/>
      <c r="VGR253" s="347"/>
      <c r="VGS253" s="347"/>
      <c r="VGT253" s="347"/>
      <c r="VGU253" s="347"/>
      <c r="VGV253" s="347"/>
      <c r="VGW253" s="347"/>
      <c r="VGX253" s="347"/>
      <c r="VGY253" s="347"/>
      <c r="VGZ253" s="347"/>
      <c r="VHA253" s="347"/>
      <c r="VHB253" s="347"/>
      <c r="VHC253" s="347"/>
      <c r="VHD253" s="347"/>
      <c r="VHE253" s="347"/>
      <c r="VHF253" s="347"/>
      <c r="VHG253" s="347"/>
      <c r="VHH253" s="347"/>
      <c r="VHI253" s="347"/>
      <c r="VHJ253" s="347"/>
      <c r="VHK253" s="347"/>
      <c r="VHL253" s="347"/>
      <c r="VHM253" s="347"/>
      <c r="VHN253" s="347"/>
      <c r="VHO253" s="347"/>
      <c r="VHP253" s="347"/>
      <c r="VHQ253" s="347"/>
      <c r="VHR253" s="347"/>
      <c r="VHS253" s="347"/>
      <c r="VHT253" s="347"/>
      <c r="VHU253" s="347"/>
      <c r="VHV253" s="347"/>
      <c r="VHW253" s="347"/>
      <c r="VHX253" s="347"/>
      <c r="VHY253" s="347"/>
      <c r="VHZ253" s="347"/>
      <c r="VIA253" s="347"/>
      <c r="VIB253" s="347"/>
      <c r="VIC253" s="347"/>
      <c r="VID253" s="347"/>
      <c r="VIE253" s="347"/>
      <c r="VIF253" s="347"/>
      <c r="VIG253" s="347"/>
      <c r="VIH253" s="347"/>
      <c r="VII253" s="347"/>
      <c r="VIJ253" s="347"/>
      <c r="VIK253" s="347"/>
      <c r="VIL253" s="347"/>
      <c r="VIM253" s="347"/>
      <c r="VIN253" s="347"/>
      <c r="VIO253" s="347"/>
      <c r="VIP253" s="347"/>
      <c r="VIQ253" s="347"/>
      <c r="VIR253" s="347"/>
      <c r="VIS253" s="347"/>
      <c r="VIT253" s="347"/>
      <c r="VIU253" s="347"/>
      <c r="VIV253" s="347"/>
      <c r="VIW253" s="347"/>
      <c r="VIX253" s="347"/>
      <c r="VIY253" s="347"/>
      <c r="VIZ253" s="347"/>
      <c r="VJA253" s="347"/>
      <c r="VJB253" s="347"/>
      <c r="VJC253" s="347"/>
      <c r="VJD253" s="347"/>
      <c r="VJE253" s="347"/>
      <c r="VJF253" s="347"/>
      <c r="VJG253" s="347"/>
      <c r="VJH253" s="347"/>
      <c r="VJI253" s="347"/>
      <c r="VJJ253" s="347"/>
      <c r="VJK253" s="347"/>
      <c r="VJL253" s="347"/>
      <c r="VJM253" s="347"/>
      <c r="VJN253" s="347"/>
      <c r="VJO253" s="347"/>
      <c r="VJP253" s="347"/>
      <c r="VJQ253" s="347"/>
      <c r="VJR253" s="347"/>
      <c r="VJS253" s="347"/>
      <c r="VJT253" s="347"/>
      <c r="VJU253" s="347"/>
      <c r="VJV253" s="347"/>
      <c r="VJW253" s="347"/>
      <c r="VJX253" s="347"/>
      <c r="VJY253" s="347"/>
      <c r="VJZ253" s="347"/>
      <c r="VKA253" s="347"/>
      <c r="VKB253" s="347"/>
      <c r="VKC253" s="347"/>
      <c r="VKD253" s="347"/>
      <c r="VKE253" s="347"/>
      <c r="VKF253" s="347"/>
      <c r="VKG253" s="347"/>
      <c r="VKH253" s="347"/>
      <c r="VKI253" s="347"/>
      <c r="VKJ253" s="347"/>
      <c r="VKK253" s="347"/>
      <c r="VKL253" s="347"/>
      <c r="VKM253" s="347"/>
      <c r="VKN253" s="347"/>
      <c r="VKO253" s="347"/>
      <c r="VKP253" s="347"/>
      <c r="VKQ253" s="347"/>
      <c r="VKR253" s="347"/>
      <c r="VKS253" s="347"/>
      <c r="VKT253" s="347"/>
      <c r="VKU253" s="347"/>
      <c r="VKV253" s="347"/>
      <c r="VKW253" s="347"/>
      <c r="VKX253" s="347"/>
      <c r="VKY253" s="347"/>
      <c r="VKZ253" s="347"/>
      <c r="VLA253" s="347"/>
      <c r="VLB253" s="347"/>
      <c r="VLC253" s="347"/>
      <c r="VLD253" s="347"/>
      <c r="VLE253" s="347"/>
      <c r="VLF253" s="347"/>
      <c r="VLG253" s="347"/>
      <c r="VLH253" s="347"/>
      <c r="VLI253" s="347"/>
      <c r="VLJ253" s="347"/>
      <c r="VLK253" s="347"/>
      <c r="VLL253" s="347"/>
      <c r="VLM253" s="347"/>
      <c r="VLN253" s="347"/>
      <c r="VLO253" s="347"/>
      <c r="VLP253" s="347"/>
      <c r="VLQ253" s="347"/>
      <c r="VLR253" s="347"/>
      <c r="VLS253" s="347"/>
      <c r="VLT253" s="347"/>
      <c r="VLU253" s="347"/>
      <c r="VLV253" s="347"/>
      <c r="VLW253" s="347"/>
      <c r="VLX253" s="347"/>
      <c r="VLY253" s="347"/>
      <c r="VLZ253" s="347"/>
      <c r="VMA253" s="347"/>
      <c r="VMB253" s="347"/>
      <c r="VMC253" s="347"/>
      <c r="VMD253" s="347"/>
      <c r="VME253" s="347"/>
      <c r="VMF253" s="347"/>
      <c r="VMG253" s="347"/>
      <c r="VMH253" s="347"/>
      <c r="VMI253" s="347"/>
      <c r="VMJ253" s="347"/>
      <c r="VMK253" s="347"/>
      <c r="VML253" s="347"/>
      <c r="VMM253" s="347"/>
      <c r="VMN253" s="347"/>
      <c r="VMO253" s="347"/>
      <c r="VMP253" s="347"/>
      <c r="VMQ253" s="347"/>
      <c r="VMR253" s="347"/>
      <c r="VMS253" s="347"/>
      <c r="VMT253" s="347"/>
      <c r="VMU253" s="347"/>
      <c r="VMV253" s="347"/>
      <c r="VMW253" s="347"/>
      <c r="VMX253" s="347"/>
      <c r="VMY253" s="347"/>
      <c r="VMZ253" s="347"/>
      <c r="VNA253" s="347"/>
      <c r="VNB253" s="347"/>
      <c r="VNC253" s="347"/>
      <c r="VND253" s="347"/>
      <c r="VNE253" s="347"/>
      <c r="VNF253" s="347"/>
      <c r="VNG253" s="347"/>
      <c r="VNH253" s="347"/>
      <c r="VNI253" s="347"/>
      <c r="VNJ253" s="347"/>
      <c r="VNK253" s="347"/>
      <c r="VNL253" s="347"/>
      <c r="VNM253" s="347"/>
      <c r="VNN253" s="347"/>
      <c r="VNO253" s="347"/>
      <c r="VNP253" s="347"/>
      <c r="VNQ253" s="347"/>
      <c r="VNR253" s="347"/>
      <c r="VNS253" s="347"/>
      <c r="VNT253" s="347"/>
      <c r="VNU253" s="347"/>
      <c r="VNV253" s="347"/>
      <c r="VNW253" s="347"/>
      <c r="VNX253" s="347"/>
      <c r="VNY253" s="347"/>
      <c r="VNZ253" s="347"/>
      <c r="VOA253" s="347"/>
      <c r="VOB253" s="347"/>
      <c r="VOC253" s="347"/>
      <c r="VOD253" s="347"/>
      <c r="VOE253" s="347"/>
      <c r="VOF253" s="347"/>
      <c r="VOG253" s="347"/>
      <c r="VOH253" s="347"/>
      <c r="VOI253" s="347"/>
      <c r="VOJ253" s="347"/>
      <c r="VOK253" s="347"/>
      <c r="VOL253" s="347"/>
      <c r="VOM253" s="347"/>
      <c r="VON253" s="347"/>
      <c r="VOO253" s="347"/>
      <c r="VOP253" s="347"/>
      <c r="VOQ253" s="347"/>
      <c r="VOR253" s="347"/>
      <c r="VOS253" s="347"/>
      <c r="VOT253" s="347"/>
      <c r="VOU253" s="347"/>
      <c r="VOV253" s="347"/>
      <c r="VOW253" s="347"/>
      <c r="VOX253" s="347"/>
      <c r="VOY253" s="347"/>
      <c r="VOZ253" s="347"/>
      <c r="VPA253" s="347"/>
      <c r="VPB253" s="347"/>
      <c r="VPC253" s="347"/>
      <c r="VPD253" s="347"/>
      <c r="VPE253" s="347"/>
      <c r="VPF253" s="347"/>
      <c r="VPG253" s="347"/>
      <c r="VPH253" s="347"/>
      <c r="VPI253" s="347"/>
      <c r="VPJ253" s="347"/>
      <c r="VPK253" s="347"/>
      <c r="VPL253" s="347"/>
      <c r="VPM253" s="347"/>
      <c r="VPN253" s="347"/>
      <c r="VPO253" s="347"/>
      <c r="VPP253" s="347"/>
      <c r="VPQ253" s="347"/>
      <c r="VPR253" s="347"/>
      <c r="VPS253" s="347"/>
      <c r="VPT253" s="347"/>
      <c r="VPU253" s="347"/>
      <c r="VPV253" s="347"/>
      <c r="VPW253" s="347"/>
      <c r="VPX253" s="347"/>
      <c r="VPY253" s="347"/>
      <c r="VPZ253" s="347"/>
      <c r="VQA253" s="347"/>
      <c r="VQB253" s="347"/>
      <c r="VQC253" s="347"/>
      <c r="VQD253" s="347"/>
      <c r="VQE253" s="347"/>
      <c r="VQF253" s="347"/>
      <c r="VQG253" s="347"/>
      <c r="VQH253" s="347"/>
      <c r="VQI253" s="347"/>
      <c r="VQJ253" s="347"/>
      <c r="VQK253" s="347"/>
      <c r="VQL253" s="347"/>
      <c r="VQM253" s="347"/>
      <c r="VQN253" s="347"/>
      <c r="VQO253" s="347"/>
      <c r="VQP253" s="347"/>
      <c r="VQQ253" s="347"/>
      <c r="VQR253" s="347"/>
      <c r="VQS253" s="347"/>
      <c r="VQT253" s="347"/>
      <c r="VQU253" s="347"/>
      <c r="VQV253" s="347"/>
      <c r="VQW253" s="347"/>
      <c r="VQX253" s="347"/>
      <c r="VQY253" s="347"/>
      <c r="VQZ253" s="347"/>
      <c r="VRA253" s="347"/>
      <c r="VRB253" s="347"/>
      <c r="VRC253" s="347"/>
      <c r="VRD253" s="347"/>
      <c r="VRE253" s="347"/>
      <c r="VRF253" s="347"/>
      <c r="VRG253" s="347"/>
      <c r="VRH253" s="347"/>
      <c r="VRI253" s="347"/>
      <c r="VRJ253" s="347"/>
      <c r="VRK253" s="347"/>
      <c r="VRL253" s="347"/>
      <c r="VRM253" s="347"/>
      <c r="VRN253" s="347"/>
      <c r="VRO253" s="347"/>
      <c r="VRP253" s="347"/>
      <c r="VRQ253" s="347"/>
      <c r="VRR253" s="347"/>
      <c r="VRS253" s="347"/>
      <c r="VRT253" s="347"/>
      <c r="VRU253" s="347"/>
      <c r="VRV253" s="347"/>
      <c r="VRW253" s="347"/>
      <c r="VRX253" s="347"/>
      <c r="VRY253" s="347"/>
      <c r="VRZ253" s="347"/>
      <c r="VSA253" s="347"/>
      <c r="VSB253" s="347"/>
      <c r="VSC253" s="347"/>
      <c r="VSD253" s="347"/>
      <c r="VSE253" s="347"/>
      <c r="VSF253" s="347"/>
      <c r="VSG253" s="347"/>
      <c r="VSH253" s="347"/>
      <c r="VSI253" s="347"/>
      <c r="VSJ253" s="347"/>
      <c r="VSK253" s="347"/>
      <c r="VSL253" s="347"/>
      <c r="VSM253" s="347"/>
      <c r="VSN253" s="347"/>
      <c r="VSO253" s="347"/>
      <c r="VSP253" s="347"/>
      <c r="VSQ253" s="347"/>
      <c r="VSR253" s="347"/>
      <c r="VSS253" s="347"/>
      <c r="VST253" s="347"/>
      <c r="VSU253" s="347"/>
      <c r="VSV253" s="347"/>
      <c r="VSW253" s="347"/>
      <c r="VSX253" s="347"/>
      <c r="VSY253" s="347"/>
      <c r="VSZ253" s="347"/>
      <c r="VTA253" s="347"/>
      <c r="VTB253" s="347"/>
      <c r="VTC253" s="347"/>
      <c r="VTD253" s="347"/>
      <c r="VTE253" s="347"/>
      <c r="VTF253" s="347"/>
      <c r="VTG253" s="347"/>
      <c r="VTH253" s="347"/>
      <c r="VTI253" s="347"/>
      <c r="VTJ253" s="347"/>
      <c r="VTK253" s="347"/>
      <c r="VTL253" s="347"/>
      <c r="VTM253" s="347"/>
      <c r="VTN253" s="347"/>
      <c r="VTO253" s="347"/>
      <c r="VTP253" s="347"/>
      <c r="VTQ253" s="347"/>
      <c r="VTR253" s="347"/>
      <c r="VTS253" s="347"/>
      <c r="VTT253" s="347"/>
      <c r="VTU253" s="347"/>
      <c r="VTV253" s="347"/>
      <c r="VTW253" s="347"/>
      <c r="VTX253" s="347"/>
      <c r="VTY253" s="347"/>
      <c r="VTZ253" s="347"/>
      <c r="VUA253" s="347"/>
      <c r="VUB253" s="347"/>
      <c r="VUC253" s="347"/>
      <c r="VUD253" s="347"/>
      <c r="VUE253" s="347"/>
      <c r="VUF253" s="347"/>
      <c r="VUG253" s="347"/>
      <c r="VUH253" s="347"/>
      <c r="VUI253" s="347"/>
      <c r="VUJ253" s="347"/>
      <c r="VUK253" s="347"/>
      <c r="VUL253" s="347"/>
      <c r="VUM253" s="347"/>
      <c r="VUN253" s="347"/>
      <c r="VUO253" s="347"/>
      <c r="VUP253" s="347"/>
      <c r="VUQ253" s="347"/>
      <c r="VUR253" s="347"/>
      <c r="VUS253" s="347"/>
      <c r="VUT253" s="347"/>
      <c r="VUU253" s="347"/>
      <c r="VUV253" s="347"/>
      <c r="VUW253" s="347"/>
      <c r="VUX253" s="347"/>
      <c r="VUY253" s="347"/>
      <c r="VUZ253" s="347"/>
      <c r="VVA253" s="347"/>
      <c r="VVB253" s="347"/>
      <c r="VVC253" s="347"/>
      <c r="VVD253" s="347"/>
      <c r="VVE253" s="347"/>
      <c r="VVF253" s="347"/>
      <c r="VVG253" s="347"/>
      <c r="VVH253" s="347"/>
      <c r="VVI253" s="347"/>
      <c r="VVJ253" s="347"/>
      <c r="VVK253" s="347"/>
      <c r="VVL253" s="347"/>
      <c r="VVM253" s="347"/>
      <c r="VVN253" s="347"/>
      <c r="VVO253" s="347"/>
      <c r="VVP253" s="347"/>
      <c r="VVQ253" s="347"/>
    </row>
    <row r="254" spans="2:103 15069:15461" s="3" customFormat="1" ht="15" hidden="1" customHeight="1">
      <c r="B254" s="121"/>
      <c r="C254" s="276" t="s">
        <v>70</v>
      </c>
      <c r="D254" s="117"/>
      <c r="E254" s="118" t="s">
        <v>16</v>
      </c>
      <c r="F254" s="277"/>
      <c r="G254" s="277"/>
      <c r="H254" s="277"/>
      <c r="I254" s="277"/>
      <c r="J254" s="277"/>
      <c r="K254" s="277"/>
      <c r="L254" s="277">
        <v>0</v>
      </c>
      <c r="M254" s="277">
        <v>0</v>
      </c>
      <c r="N254" s="277">
        <v>0</v>
      </c>
      <c r="O254" s="277">
        <v>0</v>
      </c>
      <c r="P254" s="277">
        <v>0</v>
      </c>
      <c r="Q254" s="277">
        <v>0</v>
      </c>
      <c r="R254" s="277">
        <v>0</v>
      </c>
      <c r="S254" s="277">
        <v>0</v>
      </c>
      <c r="T254" s="277">
        <v>0</v>
      </c>
      <c r="U254" s="277">
        <v>0</v>
      </c>
      <c r="V254" s="277">
        <v>0</v>
      </c>
      <c r="W254" s="277">
        <v>0</v>
      </c>
      <c r="X254" s="277">
        <v>0</v>
      </c>
      <c r="Y254" s="277">
        <v>0</v>
      </c>
      <c r="Z254" s="277">
        <v>0</v>
      </c>
      <c r="AA254" s="277">
        <v>0</v>
      </c>
      <c r="AB254" s="277">
        <v>0</v>
      </c>
      <c r="AC254" s="277">
        <v>0</v>
      </c>
      <c r="AD254" s="277">
        <v>0</v>
      </c>
      <c r="AE254" s="277">
        <v>0</v>
      </c>
      <c r="AF254" s="277">
        <v>0</v>
      </c>
      <c r="AG254" s="277"/>
      <c r="AH254" s="277"/>
      <c r="AI254" s="277"/>
      <c r="AJ254" s="277"/>
      <c r="AL254" s="160">
        <f>SUM(F254:AJ254)</f>
        <v>0</v>
      </c>
      <c r="CY254" s="16"/>
      <c r="VGO254" s="347"/>
      <c r="VGP254" s="347"/>
      <c r="VGQ254" s="347"/>
      <c r="VGR254" s="347"/>
      <c r="VGS254" s="347"/>
      <c r="VGT254" s="347"/>
      <c r="VGU254" s="347"/>
      <c r="VGV254" s="347"/>
      <c r="VGW254" s="347"/>
      <c r="VGX254" s="347"/>
      <c r="VGY254" s="347"/>
      <c r="VGZ254" s="347"/>
      <c r="VHA254" s="347"/>
      <c r="VHB254" s="347"/>
      <c r="VHC254" s="347"/>
      <c r="VHD254" s="347"/>
      <c r="VHE254" s="347"/>
      <c r="VHF254" s="347"/>
      <c r="VHG254" s="347"/>
      <c r="VHH254" s="347"/>
      <c r="VHI254" s="347"/>
      <c r="VHJ254" s="347"/>
      <c r="VHK254" s="347"/>
      <c r="VHL254" s="347"/>
      <c r="VHM254" s="347"/>
      <c r="VHN254" s="347"/>
      <c r="VHO254" s="347"/>
      <c r="VHP254" s="347"/>
      <c r="VHQ254" s="347"/>
      <c r="VHR254" s="347"/>
      <c r="VHS254" s="347"/>
      <c r="VHT254" s="347"/>
      <c r="VHU254" s="347"/>
      <c r="VHV254" s="347"/>
      <c r="VHW254" s="347"/>
      <c r="VHX254" s="347"/>
      <c r="VHY254" s="347"/>
      <c r="VHZ254" s="347"/>
      <c r="VIA254" s="347"/>
      <c r="VIB254" s="347"/>
      <c r="VIC254" s="347"/>
      <c r="VID254" s="347"/>
      <c r="VIE254" s="347"/>
      <c r="VIF254" s="347"/>
      <c r="VIG254" s="347"/>
      <c r="VIH254" s="347"/>
      <c r="VII254" s="347"/>
      <c r="VIJ254" s="347"/>
      <c r="VIK254" s="347"/>
      <c r="VIL254" s="347"/>
      <c r="VIM254" s="347"/>
      <c r="VIN254" s="347"/>
      <c r="VIO254" s="347"/>
      <c r="VIP254" s="347"/>
      <c r="VIQ254" s="347"/>
      <c r="VIR254" s="347"/>
      <c r="VIS254" s="347"/>
      <c r="VIT254" s="347"/>
      <c r="VIU254" s="347"/>
      <c r="VIV254" s="347"/>
      <c r="VIW254" s="347"/>
      <c r="VIX254" s="347"/>
      <c r="VIY254" s="347"/>
      <c r="VIZ254" s="347"/>
      <c r="VJA254" s="347"/>
      <c r="VJB254" s="347"/>
      <c r="VJC254" s="347"/>
      <c r="VJD254" s="347"/>
      <c r="VJE254" s="347"/>
      <c r="VJF254" s="347"/>
      <c r="VJG254" s="347"/>
      <c r="VJH254" s="347"/>
      <c r="VJI254" s="347"/>
      <c r="VJJ254" s="347"/>
      <c r="VJK254" s="347"/>
      <c r="VJL254" s="347"/>
      <c r="VJM254" s="347"/>
      <c r="VJN254" s="347"/>
      <c r="VJO254" s="347"/>
      <c r="VJP254" s="347"/>
      <c r="VJQ254" s="347"/>
      <c r="VJR254" s="347"/>
      <c r="VJS254" s="347"/>
      <c r="VJT254" s="347"/>
      <c r="VJU254" s="347"/>
      <c r="VJV254" s="347"/>
      <c r="VJW254" s="347"/>
      <c r="VJX254" s="347"/>
      <c r="VJY254" s="347"/>
      <c r="VJZ254" s="347"/>
      <c r="VKA254" s="347"/>
      <c r="VKB254" s="347"/>
      <c r="VKC254" s="347"/>
      <c r="VKD254" s="347"/>
      <c r="VKE254" s="347"/>
      <c r="VKF254" s="347"/>
      <c r="VKG254" s="347"/>
      <c r="VKH254" s="347"/>
      <c r="VKI254" s="347"/>
      <c r="VKJ254" s="347"/>
      <c r="VKK254" s="347"/>
      <c r="VKL254" s="347"/>
      <c r="VKM254" s="347"/>
      <c r="VKN254" s="347"/>
      <c r="VKO254" s="347"/>
      <c r="VKP254" s="347"/>
      <c r="VKQ254" s="347"/>
      <c r="VKR254" s="347"/>
      <c r="VKS254" s="347"/>
      <c r="VKT254" s="347"/>
      <c r="VKU254" s="347"/>
      <c r="VKV254" s="347"/>
      <c r="VKW254" s="347"/>
      <c r="VKX254" s="347"/>
      <c r="VKY254" s="347"/>
      <c r="VKZ254" s="347"/>
      <c r="VLA254" s="347"/>
      <c r="VLB254" s="347"/>
      <c r="VLC254" s="347"/>
      <c r="VLD254" s="347"/>
      <c r="VLE254" s="347"/>
      <c r="VLF254" s="347"/>
      <c r="VLG254" s="347"/>
      <c r="VLH254" s="347"/>
      <c r="VLI254" s="347"/>
      <c r="VLJ254" s="347"/>
      <c r="VLK254" s="347"/>
      <c r="VLL254" s="347"/>
      <c r="VLM254" s="347"/>
      <c r="VLN254" s="347"/>
      <c r="VLO254" s="347"/>
      <c r="VLP254" s="347"/>
      <c r="VLQ254" s="347"/>
      <c r="VLR254" s="347"/>
      <c r="VLS254" s="347"/>
      <c r="VLT254" s="347"/>
      <c r="VLU254" s="347"/>
      <c r="VLV254" s="347"/>
      <c r="VLW254" s="347"/>
      <c r="VLX254" s="347"/>
      <c r="VLY254" s="347"/>
      <c r="VLZ254" s="347"/>
      <c r="VMA254" s="347"/>
      <c r="VMB254" s="347"/>
      <c r="VMC254" s="347"/>
      <c r="VMD254" s="347"/>
      <c r="VME254" s="347"/>
      <c r="VMF254" s="347"/>
      <c r="VMG254" s="347"/>
      <c r="VMH254" s="347"/>
      <c r="VMI254" s="347"/>
      <c r="VMJ254" s="347"/>
      <c r="VMK254" s="347"/>
      <c r="VML254" s="347"/>
      <c r="VMM254" s="347"/>
      <c r="VMN254" s="347"/>
      <c r="VMO254" s="347"/>
      <c r="VMP254" s="347"/>
      <c r="VMQ254" s="347"/>
      <c r="VMR254" s="347"/>
      <c r="VMS254" s="347"/>
      <c r="VMT254" s="347"/>
      <c r="VMU254" s="347"/>
      <c r="VMV254" s="347"/>
      <c r="VMW254" s="347"/>
      <c r="VMX254" s="347"/>
      <c r="VMY254" s="347"/>
      <c r="VMZ254" s="347"/>
      <c r="VNA254" s="347"/>
      <c r="VNB254" s="347"/>
      <c r="VNC254" s="347"/>
      <c r="VND254" s="347"/>
      <c r="VNE254" s="347"/>
      <c r="VNF254" s="347"/>
      <c r="VNG254" s="347"/>
      <c r="VNH254" s="347"/>
      <c r="VNI254" s="347"/>
      <c r="VNJ254" s="347"/>
      <c r="VNK254" s="347"/>
      <c r="VNL254" s="347"/>
      <c r="VNM254" s="347"/>
      <c r="VNN254" s="347"/>
      <c r="VNO254" s="347"/>
      <c r="VNP254" s="347"/>
      <c r="VNQ254" s="347"/>
      <c r="VNR254" s="347"/>
      <c r="VNS254" s="347"/>
      <c r="VNT254" s="347"/>
      <c r="VNU254" s="347"/>
      <c r="VNV254" s="347"/>
      <c r="VNW254" s="347"/>
      <c r="VNX254" s="347"/>
      <c r="VNY254" s="347"/>
      <c r="VNZ254" s="347"/>
      <c r="VOA254" s="347"/>
      <c r="VOB254" s="347"/>
      <c r="VOC254" s="347"/>
      <c r="VOD254" s="347"/>
      <c r="VOE254" s="347"/>
      <c r="VOF254" s="347"/>
      <c r="VOG254" s="347"/>
      <c r="VOH254" s="347"/>
      <c r="VOI254" s="347"/>
      <c r="VOJ254" s="347"/>
      <c r="VOK254" s="347"/>
      <c r="VOL254" s="347"/>
      <c r="VOM254" s="347"/>
      <c r="VON254" s="347"/>
      <c r="VOO254" s="347"/>
      <c r="VOP254" s="347"/>
      <c r="VOQ254" s="347"/>
      <c r="VOR254" s="347"/>
      <c r="VOS254" s="347"/>
      <c r="VOT254" s="347"/>
      <c r="VOU254" s="347"/>
      <c r="VOV254" s="347"/>
      <c r="VOW254" s="347"/>
      <c r="VOX254" s="347"/>
      <c r="VOY254" s="347"/>
      <c r="VOZ254" s="347"/>
      <c r="VPA254" s="347"/>
      <c r="VPB254" s="347"/>
      <c r="VPC254" s="347"/>
      <c r="VPD254" s="347"/>
      <c r="VPE254" s="347"/>
      <c r="VPF254" s="347"/>
      <c r="VPG254" s="347"/>
      <c r="VPH254" s="347"/>
      <c r="VPI254" s="347"/>
      <c r="VPJ254" s="347"/>
      <c r="VPK254" s="347"/>
      <c r="VPL254" s="347"/>
      <c r="VPM254" s="347"/>
      <c r="VPN254" s="347"/>
      <c r="VPO254" s="347"/>
      <c r="VPP254" s="347"/>
      <c r="VPQ254" s="347"/>
      <c r="VPR254" s="347"/>
      <c r="VPS254" s="347"/>
      <c r="VPT254" s="347"/>
      <c r="VPU254" s="347"/>
      <c r="VPV254" s="347"/>
      <c r="VPW254" s="347"/>
      <c r="VPX254" s="347"/>
      <c r="VPY254" s="347"/>
      <c r="VPZ254" s="347"/>
      <c r="VQA254" s="347"/>
      <c r="VQB254" s="347"/>
      <c r="VQC254" s="347"/>
      <c r="VQD254" s="347"/>
      <c r="VQE254" s="347"/>
      <c r="VQF254" s="347"/>
      <c r="VQG254" s="347"/>
      <c r="VQH254" s="347"/>
      <c r="VQI254" s="347"/>
      <c r="VQJ254" s="347"/>
      <c r="VQK254" s="347"/>
      <c r="VQL254" s="347"/>
      <c r="VQM254" s="347"/>
      <c r="VQN254" s="347"/>
      <c r="VQO254" s="347"/>
      <c r="VQP254" s="347"/>
      <c r="VQQ254" s="347"/>
      <c r="VQR254" s="347"/>
      <c r="VQS254" s="347"/>
      <c r="VQT254" s="347"/>
      <c r="VQU254" s="347"/>
      <c r="VQV254" s="347"/>
      <c r="VQW254" s="347"/>
      <c r="VQX254" s="347"/>
      <c r="VQY254" s="347"/>
      <c r="VQZ254" s="347"/>
      <c r="VRA254" s="347"/>
      <c r="VRB254" s="347"/>
      <c r="VRC254" s="347"/>
      <c r="VRD254" s="347"/>
      <c r="VRE254" s="347"/>
      <c r="VRF254" s="347"/>
      <c r="VRG254" s="347"/>
      <c r="VRH254" s="347"/>
      <c r="VRI254" s="347"/>
      <c r="VRJ254" s="347"/>
      <c r="VRK254" s="347"/>
      <c r="VRL254" s="347"/>
      <c r="VRM254" s="347"/>
      <c r="VRN254" s="347"/>
      <c r="VRO254" s="347"/>
      <c r="VRP254" s="347"/>
      <c r="VRQ254" s="347"/>
      <c r="VRR254" s="347"/>
      <c r="VRS254" s="347"/>
      <c r="VRT254" s="347"/>
      <c r="VRU254" s="347"/>
      <c r="VRV254" s="347"/>
      <c r="VRW254" s="347"/>
      <c r="VRX254" s="347"/>
      <c r="VRY254" s="347"/>
      <c r="VRZ254" s="347"/>
      <c r="VSA254" s="347"/>
      <c r="VSB254" s="347"/>
      <c r="VSC254" s="347"/>
      <c r="VSD254" s="347"/>
      <c r="VSE254" s="347"/>
      <c r="VSF254" s="347"/>
      <c r="VSG254" s="347"/>
      <c r="VSH254" s="347"/>
      <c r="VSI254" s="347"/>
      <c r="VSJ254" s="347"/>
      <c r="VSK254" s="347"/>
      <c r="VSL254" s="347"/>
      <c r="VSM254" s="347"/>
      <c r="VSN254" s="347"/>
      <c r="VSO254" s="347"/>
      <c r="VSP254" s="347"/>
      <c r="VSQ254" s="347"/>
      <c r="VSR254" s="347"/>
      <c r="VSS254" s="347"/>
      <c r="VST254" s="347"/>
      <c r="VSU254" s="347"/>
      <c r="VSV254" s="347"/>
      <c r="VSW254" s="347"/>
      <c r="VSX254" s="347"/>
      <c r="VSY254" s="347"/>
      <c r="VSZ254" s="347"/>
      <c r="VTA254" s="347"/>
      <c r="VTB254" s="347"/>
      <c r="VTC254" s="347"/>
      <c r="VTD254" s="347"/>
      <c r="VTE254" s="347"/>
      <c r="VTF254" s="347"/>
      <c r="VTG254" s="347"/>
      <c r="VTH254" s="347"/>
      <c r="VTI254" s="347"/>
      <c r="VTJ254" s="347"/>
      <c r="VTK254" s="347"/>
      <c r="VTL254" s="347"/>
      <c r="VTM254" s="347"/>
      <c r="VTN254" s="347"/>
      <c r="VTO254" s="347"/>
      <c r="VTP254" s="347"/>
      <c r="VTQ254" s="347"/>
      <c r="VTR254" s="347"/>
      <c r="VTS254" s="347"/>
      <c r="VTT254" s="347"/>
      <c r="VTU254" s="347"/>
      <c r="VTV254" s="347"/>
      <c r="VTW254" s="347"/>
      <c r="VTX254" s="347"/>
      <c r="VTY254" s="347"/>
      <c r="VTZ254" s="347"/>
      <c r="VUA254" s="347"/>
      <c r="VUB254" s="347"/>
      <c r="VUC254" s="347"/>
      <c r="VUD254" s="347"/>
      <c r="VUE254" s="347"/>
      <c r="VUF254" s="347"/>
      <c r="VUG254" s="347"/>
      <c r="VUH254" s="347"/>
      <c r="VUI254" s="347"/>
      <c r="VUJ254" s="347"/>
      <c r="VUK254" s="347"/>
      <c r="VUL254" s="347"/>
      <c r="VUM254" s="347"/>
      <c r="VUN254" s="347"/>
      <c r="VUO254" s="347"/>
      <c r="VUP254" s="347"/>
      <c r="VUQ254" s="347"/>
      <c r="VUR254" s="347"/>
      <c r="VUS254" s="347"/>
      <c r="VUT254" s="347"/>
      <c r="VUU254" s="347"/>
      <c r="VUV254" s="347"/>
      <c r="VUW254" s="347"/>
      <c r="VUX254" s="347"/>
      <c r="VUY254" s="347"/>
      <c r="VUZ254" s="347"/>
      <c r="VVA254" s="347"/>
      <c r="VVB254" s="347"/>
      <c r="VVC254" s="347"/>
      <c r="VVD254" s="347"/>
      <c r="VVE254" s="347"/>
      <c r="VVF254" s="347"/>
      <c r="VVG254" s="347"/>
      <c r="VVH254" s="347"/>
      <c r="VVI254" s="347"/>
      <c r="VVJ254" s="347"/>
      <c r="VVK254" s="347"/>
      <c r="VVL254" s="347"/>
      <c r="VVM254" s="347"/>
      <c r="VVN254" s="347"/>
      <c r="VVO254" s="347"/>
      <c r="VVP254" s="347"/>
      <c r="VVQ254" s="347"/>
    </row>
    <row r="255" spans="2:103 15069:15461" s="198" customFormat="1" ht="15.75" hidden="1" customHeight="1">
      <c r="B255" s="241"/>
      <c r="C255" s="278" t="s">
        <v>1</v>
      </c>
      <c r="D255" s="279"/>
      <c r="E255" s="280" t="s">
        <v>16</v>
      </c>
      <c r="F255" s="281"/>
      <c r="G255" s="281"/>
      <c r="H255" s="281"/>
      <c r="I255" s="281"/>
      <c r="J255" s="281"/>
      <c r="K255" s="281"/>
      <c r="L255" s="281">
        <f t="shared" ref="L255:AF255" si="109">SUM(L250:L254)</f>
        <v>1345050</v>
      </c>
      <c r="M255" s="281">
        <f t="shared" si="109"/>
        <v>1617420</v>
      </c>
      <c r="N255" s="281">
        <f t="shared" si="109"/>
        <v>1793630</v>
      </c>
      <c r="O255" s="281">
        <f t="shared" si="109"/>
        <v>1332400</v>
      </c>
      <c r="P255" s="281">
        <f t="shared" si="109"/>
        <v>1804530</v>
      </c>
      <c r="Q255" s="281">
        <f t="shared" si="109"/>
        <v>1816620</v>
      </c>
      <c r="R255" s="281">
        <f t="shared" si="109"/>
        <v>1766630</v>
      </c>
      <c r="S255" s="281">
        <f t="shared" si="109"/>
        <v>1233610</v>
      </c>
      <c r="T255" s="281">
        <f t="shared" si="109"/>
        <v>1013340</v>
      </c>
      <c r="U255" s="281">
        <f t="shared" si="109"/>
        <v>1009220</v>
      </c>
      <c r="V255" s="281">
        <f t="shared" si="109"/>
        <v>1288830</v>
      </c>
      <c r="W255" s="281">
        <f t="shared" si="109"/>
        <v>0</v>
      </c>
      <c r="X255" s="281">
        <f t="shared" si="109"/>
        <v>0</v>
      </c>
      <c r="Y255" s="281">
        <f t="shared" si="109"/>
        <v>0</v>
      </c>
      <c r="Z255" s="281">
        <f t="shared" si="109"/>
        <v>0</v>
      </c>
      <c r="AA255" s="281">
        <f t="shared" si="109"/>
        <v>0</v>
      </c>
      <c r="AB255" s="281">
        <f t="shared" si="109"/>
        <v>0</v>
      </c>
      <c r="AC255" s="281">
        <f t="shared" si="109"/>
        <v>0</v>
      </c>
      <c r="AD255" s="281">
        <f t="shared" si="109"/>
        <v>299440</v>
      </c>
      <c r="AE255" s="281">
        <f t="shared" si="109"/>
        <v>108510</v>
      </c>
      <c r="AF255" s="281">
        <f t="shared" si="109"/>
        <v>0</v>
      </c>
      <c r="AG255" s="281"/>
      <c r="AH255" s="281"/>
      <c r="AI255" s="281"/>
      <c r="AJ255" s="281"/>
      <c r="AL255" s="271">
        <f>SUM(AL250:AL254)</f>
        <v>16429230</v>
      </c>
      <c r="CY255" s="318"/>
    </row>
    <row r="285" spans="2:103 15069:15461" s="3" customFormat="1">
      <c r="B285" s="301"/>
      <c r="E285" s="198"/>
      <c r="Y285" s="298"/>
      <c r="CY285" s="16"/>
      <c r="VGO285" s="347"/>
      <c r="VGP285" s="347"/>
      <c r="VGQ285" s="347"/>
      <c r="VGR285" s="347"/>
      <c r="VGS285" s="347"/>
      <c r="VGT285" s="347"/>
      <c r="VGU285" s="347"/>
      <c r="VGV285" s="347"/>
      <c r="VGW285" s="347"/>
      <c r="VGX285" s="347"/>
      <c r="VGY285" s="347"/>
      <c r="VGZ285" s="347"/>
      <c r="VHA285" s="347"/>
      <c r="VHB285" s="347"/>
      <c r="VHC285" s="347"/>
      <c r="VHD285" s="347"/>
      <c r="VHE285" s="347"/>
      <c r="VHF285" s="347"/>
      <c r="VHG285" s="347"/>
      <c r="VHH285" s="347"/>
      <c r="VHI285" s="347"/>
      <c r="VHJ285" s="347"/>
      <c r="VHK285" s="347"/>
      <c r="VHL285" s="347"/>
      <c r="VHM285" s="347"/>
      <c r="VHN285" s="347"/>
      <c r="VHO285" s="347"/>
      <c r="VHP285" s="347"/>
      <c r="VHQ285" s="347"/>
      <c r="VHR285" s="347"/>
      <c r="VHS285" s="347"/>
      <c r="VHT285" s="347"/>
      <c r="VHU285" s="347"/>
      <c r="VHV285" s="347"/>
      <c r="VHW285" s="347"/>
      <c r="VHX285" s="347"/>
      <c r="VHY285" s="347"/>
      <c r="VHZ285" s="347"/>
      <c r="VIA285" s="347"/>
      <c r="VIB285" s="347"/>
      <c r="VIC285" s="347"/>
      <c r="VID285" s="347"/>
      <c r="VIE285" s="347"/>
      <c r="VIF285" s="347"/>
      <c r="VIG285" s="347"/>
      <c r="VIH285" s="347"/>
      <c r="VII285" s="347"/>
      <c r="VIJ285" s="347"/>
      <c r="VIK285" s="347"/>
      <c r="VIL285" s="347"/>
      <c r="VIM285" s="347"/>
      <c r="VIN285" s="347"/>
      <c r="VIO285" s="347"/>
      <c r="VIP285" s="347"/>
      <c r="VIQ285" s="347"/>
      <c r="VIR285" s="347"/>
      <c r="VIS285" s="347"/>
      <c r="VIT285" s="347"/>
      <c r="VIU285" s="347"/>
      <c r="VIV285" s="347"/>
      <c r="VIW285" s="347"/>
      <c r="VIX285" s="347"/>
      <c r="VIY285" s="347"/>
      <c r="VIZ285" s="347"/>
      <c r="VJA285" s="347"/>
      <c r="VJB285" s="347"/>
      <c r="VJC285" s="347"/>
      <c r="VJD285" s="347"/>
      <c r="VJE285" s="347"/>
      <c r="VJF285" s="347"/>
      <c r="VJG285" s="347"/>
      <c r="VJH285" s="347"/>
      <c r="VJI285" s="347"/>
      <c r="VJJ285" s="347"/>
      <c r="VJK285" s="347"/>
      <c r="VJL285" s="347"/>
      <c r="VJM285" s="347"/>
      <c r="VJN285" s="347"/>
      <c r="VJO285" s="347"/>
      <c r="VJP285" s="347"/>
      <c r="VJQ285" s="347"/>
      <c r="VJR285" s="347"/>
      <c r="VJS285" s="347"/>
      <c r="VJT285" s="347"/>
      <c r="VJU285" s="347"/>
      <c r="VJV285" s="347"/>
      <c r="VJW285" s="347"/>
      <c r="VJX285" s="347"/>
      <c r="VJY285" s="347"/>
      <c r="VJZ285" s="347"/>
      <c r="VKA285" s="347"/>
      <c r="VKB285" s="347"/>
      <c r="VKC285" s="347"/>
      <c r="VKD285" s="347"/>
      <c r="VKE285" s="347"/>
      <c r="VKF285" s="347"/>
      <c r="VKG285" s="347"/>
      <c r="VKH285" s="347"/>
      <c r="VKI285" s="347"/>
      <c r="VKJ285" s="347"/>
      <c r="VKK285" s="347"/>
      <c r="VKL285" s="347"/>
      <c r="VKM285" s="347"/>
      <c r="VKN285" s="347"/>
      <c r="VKO285" s="347"/>
      <c r="VKP285" s="347"/>
      <c r="VKQ285" s="347"/>
      <c r="VKR285" s="347"/>
      <c r="VKS285" s="347"/>
      <c r="VKT285" s="347"/>
      <c r="VKU285" s="347"/>
      <c r="VKV285" s="347"/>
      <c r="VKW285" s="347"/>
      <c r="VKX285" s="347"/>
      <c r="VKY285" s="347"/>
      <c r="VKZ285" s="347"/>
      <c r="VLA285" s="347"/>
      <c r="VLB285" s="347"/>
      <c r="VLC285" s="347"/>
      <c r="VLD285" s="347"/>
      <c r="VLE285" s="347"/>
      <c r="VLF285" s="347"/>
      <c r="VLG285" s="347"/>
      <c r="VLH285" s="347"/>
      <c r="VLI285" s="347"/>
      <c r="VLJ285" s="347"/>
      <c r="VLK285" s="347"/>
      <c r="VLL285" s="347"/>
      <c r="VLM285" s="347"/>
      <c r="VLN285" s="347"/>
      <c r="VLO285" s="347"/>
      <c r="VLP285" s="347"/>
      <c r="VLQ285" s="347"/>
      <c r="VLR285" s="347"/>
      <c r="VLS285" s="347"/>
      <c r="VLT285" s="347"/>
      <c r="VLU285" s="347"/>
      <c r="VLV285" s="347"/>
      <c r="VLW285" s="347"/>
      <c r="VLX285" s="347"/>
      <c r="VLY285" s="347"/>
      <c r="VLZ285" s="347"/>
      <c r="VMA285" s="347"/>
      <c r="VMB285" s="347"/>
      <c r="VMC285" s="347"/>
      <c r="VMD285" s="347"/>
      <c r="VME285" s="347"/>
      <c r="VMF285" s="347"/>
      <c r="VMG285" s="347"/>
      <c r="VMH285" s="347"/>
      <c r="VMI285" s="347"/>
      <c r="VMJ285" s="347"/>
      <c r="VMK285" s="347"/>
      <c r="VML285" s="347"/>
      <c r="VMM285" s="347"/>
      <c r="VMN285" s="347"/>
      <c r="VMO285" s="347"/>
      <c r="VMP285" s="347"/>
      <c r="VMQ285" s="347"/>
      <c r="VMR285" s="347"/>
      <c r="VMS285" s="347"/>
      <c r="VMT285" s="347"/>
      <c r="VMU285" s="347"/>
      <c r="VMV285" s="347"/>
      <c r="VMW285" s="347"/>
      <c r="VMX285" s="347"/>
      <c r="VMY285" s="347"/>
      <c r="VMZ285" s="347"/>
      <c r="VNA285" s="347"/>
      <c r="VNB285" s="347"/>
      <c r="VNC285" s="347"/>
      <c r="VND285" s="347"/>
      <c r="VNE285" s="347"/>
      <c r="VNF285" s="347"/>
      <c r="VNG285" s="347"/>
      <c r="VNH285" s="347"/>
      <c r="VNI285" s="347"/>
      <c r="VNJ285" s="347"/>
      <c r="VNK285" s="347"/>
      <c r="VNL285" s="347"/>
      <c r="VNM285" s="347"/>
      <c r="VNN285" s="347"/>
      <c r="VNO285" s="347"/>
      <c r="VNP285" s="347"/>
      <c r="VNQ285" s="347"/>
      <c r="VNR285" s="347"/>
      <c r="VNS285" s="347"/>
      <c r="VNT285" s="347"/>
      <c r="VNU285" s="347"/>
      <c r="VNV285" s="347"/>
      <c r="VNW285" s="347"/>
      <c r="VNX285" s="347"/>
      <c r="VNY285" s="347"/>
      <c r="VNZ285" s="347"/>
      <c r="VOA285" s="347"/>
      <c r="VOB285" s="347"/>
      <c r="VOC285" s="347"/>
      <c r="VOD285" s="347"/>
      <c r="VOE285" s="347"/>
      <c r="VOF285" s="347"/>
      <c r="VOG285" s="347"/>
      <c r="VOH285" s="347"/>
      <c r="VOI285" s="347"/>
      <c r="VOJ285" s="347"/>
      <c r="VOK285" s="347"/>
      <c r="VOL285" s="347"/>
      <c r="VOM285" s="347"/>
      <c r="VON285" s="347"/>
      <c r="VOO285" s="347"/>
      <c r="VOP285" s="347"/>
      <c r="VOQ285" s="347"/>
      <c r="VOR285" s="347"/>
      <c r="VOS285" s="347"/>
      <c r="VOT285" s="347"/>
      <c r="VOU285" s="347"/>
      <c r="VOV285" s="347"/>
      <c r="VOW285" s="347"/>
      <c r="VOX285" s="347"/>
      <c r="VOY285" s="347"/>
      <c r="VOZ285" s="347"/>
      <c r="VPA285" s="347"/>
      <c r="VPB285" s="347"/>
      <c r="VPC285" s="347"/>
      <c r="VPD285" s="347"/>
      <c r="VPE285" s="347"/>
      <c r="VPF285" s="347"/>
      <c r="VPG285" s="347"/>
      <c r="VPH285" s="347"/>
      <c r="VPI285" s="347"/>
      <c r="VPJ285" s="347"/>
      <c r="VPK285" s="347"/>
      <c r="VPL285" s="347"/>
      <c r="VPM285" s="347"/>
      <c r="VPN285" s="347"/>
      <c r="VPO285" s="347"/>
      <c r="VPP285" s="347"/>
      <c r="VPQ285" s="347"/>
      <c r="VPR285" s="347"/>
      <c r="VPS285" s="347"/>
      <c r="VPT285" s="347"/>
      <c r="VPU285" s="347"/>
      <c r="VPV285" s="347"/>
      <c r="VPW285" s="347"/>
      <c r="VPX285" s="347"/>
      <c r="VPY285" s="347"/>
      <c r="VPZ285" s="347"/>
      <c r="VQA285" s="347"/>
      <c r="VQB285" s="347"/>
      <c r="VQC285" s="347"/>
      <c r="VQD285" s="347"/>
      <c r="VQE285" s="347"/>
      <c r="VQF285" s="347"/>
      <c r="VQG285" s="347"/>
      <c r="VQH285" s="347"/>
      <c r="VQI285" s="347"/>
      <c r="VQJ285" s="347"/>
      <c r="VQK285" s="347"/>
      <c r="VQL285" s="347"/>
      <c r="VQM285" s="347"/>
      <c r="VQN285" s="347"/>
      <c r="VQO285" s="347"/>
      <c r="VQP285" s="347"/>
      <c r="VQQ285" s="347"/>
      <c r="VQR285" s="347"/>
      <c r="VQS285" s="347"/>
      <c r="VQT285" s="347"/>
      <c r="VQU285" s="347"/>
      <c r="VQV285" s="347"/>
      <c r="VQW285" s="347"/>
      <c r="VQX285" s="347"/>
      <c r="VQY285" s="347"/>
      <c r="VQZ285" s="347"/>
      <c r="VRA285" s="347"/>
      <c r="VRB285" s="347"/>
      <c r="VRC285" s="347"/>
      <c r="VRD285" s="347"/>
      <c r="VRE285" s="347"/>
      <c r="VRF285" s="347"/>
      <c r="VRG285" s="347"/>
      <c r="VRH285" s="347"/>
      <c r="VRI285" s="347"/>
      <c r="VRJ285" s="347"/>
      <c r="VRK285" s="347"/>
      <c r="VRL285" s="347"/>
      <c r="VRM285" s="347"/>
      <c r="VRN285" s="347"/>
      <c r="VRO285" s="347"/>
      <c r="VRP285" s="347"/>
      <c r="VRQ285" s="347"/>
      <c r="VRR285" s="347"/>
      <c r="VRS285" s="347"/>
      <c r="VRT285" s="347"/>
      <c r="VRU285" s="347"/>
      <c r="VRV285" s="347"/>
      <c r="VRW285" s="347"/>
      <c r="VRX285" s="347"/>
      <c r="VRY285" s="347"/>
      <c r="VRZ285" s="347"/>
      <c r="VSA285" s="347"/>
      <c r="VSB285" s="347"/>
      <c r="VSC285" s="347"/>
      <c r="VSD285" s="347"/>
      <c r="VSE285" s="347"/>
      <c r="VSF285" s="347"/>
      <c r="VSG285" s="347"/>
      <c r="VSH285" s="347"/>
      <c r="VSI285" s="347"/>
      <c r="VSJ285" s="347"/>
      <c r="VSK285" s="347"/>
      <c r="VSL285" s="347"/>
      <c r="VSM285" s="347"/>
      <c r="VSN285" s="347"/>
      <c r="VSO285" s="347"/>
      <c r="VSP285" s="347"/>
      <c r="VSQ285" s="347"/>
      <c r="VSR285" s="347"/>
      <c r="VSS285" s="347"/>
      <c r="VST285" s="347"/>
      <c r="VSU285" s="347"/>
      <c r="VSV285" s="347"/>
      <c r="VSW285" s="347"/>
      <c r="VSX285" s="347"/>
      <c r="VSY285" s="347"/>
      <c r="VSZ285" s="347"/>
      <c r="VTA285" s="347"/>
      <c r="VTB285" s="347"/>
      <c r="VTC285" s="347"/>
      <c r="VTD285" s="347"/>
      <c r="VTE285" s="347"/>
      <c r="VTF285" s="347"/>
      <c r="VTG285" s="347"/>
      <c r="VTH285" s="347"/>
      <c r="VTI285" s="347"/>
      <c r="VTJ285" s="347"/>
      <c r="VTK285" s="347"/>
      <c r="VTL285" s="347"/>
      <c r="VTM285" s="347"/>
      <c r="VTN285" s="347"/>
      <c r="VTO285" s="347"/>
      <c r="VTP285" s="347"/>
      <c r="VTQ285" s="347"/>
      <c r="VTR285" s="347"/>
      <c r="VTS285" s="347"/>
      <c r="VTT285" s="347"/>
      <c r="VTU285" s="347"/>
      <c r="VTV285" s="347"/>
      <c r="VTW285" s="347"/>
      <c r="VTX285" s="347"/>
      <c r="VTY285" s="347"/>
      <c r="VTZ285" s="347"/>
      <c r="VUA285" s="347"/>
      <c r="VUB285" s="347"/>
      <c r="VUC285" s="347"/>
      <c r="VUD285" s="347"/>
      <c r="VUE285" s="347"/>
      <c r="VUF285" s="347"/>
      <c r="VUG285" s="347"/>
      <c r="VUH285" s="347"/>
      <c r="VUI285" s="347"/>
      <c r="VUJ285" s="347"/>
      <c r="VUK285" s="347"/>
      <c r="VUL285" s="347"/>
      <c r="VUM285" s="347"/>
      <c r="VUN285" s="347"/>
      <c r="VUO285" s="347"/>
      <c r="VUP285" s="347"/>
      <c r="VUQ285" s="347"/>
      <c r="VUR285" s="347"/>
      <c r="VUS285" s="347"/>
      <c r="VUT285" s="347"/>
      <c r="VUU285" s="347"/>
      <c r="VUV285" s="347"/>
      <c r="VUW285" s="347"/>
      <c r="VUX285" s="347"/>
      <c r="VUY285" s="347"/>
      <c r="VUZ285" s="347"/>
      <c r="VVA285" s="347"/>
      <c r="VVB285" s="347"/>
      <c r="VVC285" s="347"/>
      <c r="VVD285" s="347"/>
      <c r="VVE285" s="347"/>
      <c r="VVF285" s="347"/>
      <c r="VVG285" s="347"/>
      <c r="VVH285" s="347"/>
      <c r="VVI285" s="347"/>
      <c r="VVJ285" s="347"/>
      <c r="VVK285" s="347"/>
      <c r="VVL285" s="347"/>
      <c r="VVM285" s="347"/>
      <c r="VVN285" s="347"/>
      <c r="VVO285" s="347"/>
      <c r="VVP285" s="347"/>
      <c r="VVQ285" s="347"/>
    </row>
  </sheetData>
  <mergeCells count="7">
    <mergeCell ref="B2:AJ2"/>
    <mergeCell ref="F5:AJ5"/>
    <mergeCell ref="AL5:AL6"/>
    <mergeCell ref="B5:B6"/>
    <mergeCell ref="C5:C6"/>
    <mergeCell ref="D5:D6"/>
    <mergeCell ref="E5:E6"/>
  </mergeCells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 - 23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Triana Bayu Pramoedito</cp:lastModifiedBy>
  <dcterms:created xsi:type="dcterms:W3CDTF">2022-09-06T08:59:53Z</dcterms:created>
  <dcterms:modified xsi:type="dcterms:W3CDTF">2023-12-04T15:30:46Z</dcterms:modified>
</cp:coreProperties>
</file>