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0\"/>
    </mc:Choice>
  </mc:AlternateContent>
  <xr:revisionPtr revIDLastSave="0" documentId="13_ncr:1_{CF230A66-08F0-44B4-B343-61AC289C8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0" sheetId="42" r:id="rId1"/>
    <sheet name="Monthly-Prod" sheetId="39" state="hidden" r:id="rId2"/>
    <sheet name="Monthly-UTL" sheetId="40" state="hidden" r:id="rId3"/>
    <sheet name="Monthly-Pack" sheetId="4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Print_Area" localSheetId="0">'2020'!$B$2:$S$44</definedName>
    <definedName name="_xlnm.Print_Area" localSheetId="2">'Monthly-UTL'!$B$2:$R$66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8" i="42" l="1"/>
  <c r="T20" i="42"/>
  <c r="U18" i="42"/>
  <c r="T17" i="42"/>
  <c r="T15" i="42"/>
  <c r="U8" i="42" l="1"/>
  <c r="S130" i="42"/>
  <c r="S116" i="42"/>
  <c r="H41" i="41"/>
  <c r="G41" i="41"/>
  <c r="H40" i="41"/>
  <c r="G40" i="41"/>
  <c r="P38" i="41"/>
  <c r="N38" i="41"/>
  <c r="M38" i="41"/>
  <c r="L38" i="41"/>
  <c r="K38" i="41"/>
  <c r="J38" i="41"/>
  <c r="I38" i="41"/>
  <c r="H38" i="41"/>
  <c r="G38" i="41"/>
  <c r="F38" i="41"/>
  <c r="P37" i="41"/>
  <c r="N37" i="41"/>
  <c r="M37" i="41"/>
  <c r="L37" i="41"/>
  <c r="K37" i="41"/>
  <c r="J37" i="41"/>
  <c r="I37" i="41"/>
  <c r="H37" i="41"/>
  <c r="G37" i="41"/>
  <c r="F37" i="41"/>
  <c r="E37" i="41"/>
  <c r="Q34" i="41"/>
  <c r="Q33" i="41"/>
  <c r="Q31" i="41"/>
  <c r="Q30" i="41"/>
  <c r="Q37" i="41" s="1"/>
  <c r="O27" i="41"/>
  <c r="N27" i="41"/>
  <c r="M27" i="41"/>
  <c r="L27" i="41"/>
  <c r="K27" i="41"/>
  <c r="J27" i="41"/>
  <c r="I27" i="41"/>
  <c r="H27" i="41"/>
  <c r="G27" i="41"/>
  <c r="Q27" i="41" s="1"/>
  <c r="F27" i="41"/>
  <c r="P26" i="41"/>
  <c r="O26" i="41"/>
  <c r="N26" i="41"/>
  <c r="M26" i="41"/>
  <c r="L26" i="41"/>
  <c r="K26" i="41"/>
  <c r="J26" i="41"/>
  <c r="I26" i="41"/>
  <c r="H26" i="41"/>
  <c r="G26" i="41"/>
  <c r="P25" i="41"/>
  <c r="P41" i="41" s="1"/>
  <c r="N25" i="41"/>
  <c r="N41" i="41" s="1"/>
  <c r="M25" i="41"/>
  <c r="M41" i="41"/>
  <c r="L25" i="41"/>
  <c r="L41" i="41" s="1"/>
  <c r="K25" i="41"/>
  <c r="K41" i="41" s="1"/>
  <c r="J25" i="41"/>
  <c r="J41" i="41" s="1"/>
  <c r="I25" i="41"/>
  <c r="I41" i="41"/>
  <c r="F25" i="41"/>
  <c r="P24" i="41"/>
  <c r="P40" i="41" s="1"/>
  <c r="N24" i="41"/>
  <c r="N40" i="41" s="1"/>
  <c r="M24" i="41"/>
  <c r="M40" i="41" s="1"/>
  <c r="L24" i="41"/>
  <c r="L40" i="41" s="1"/>
  <c r="K24" i="41"/>
  <c r="K40" i="41"/>
  <c r="J24" i="41"/>
  <c r="J40" i="41" s="1"/>
  <c r="I24" i="41"/>
  <c r="I40" i="41" s="1"/>
  <c r="O22" i="41"/>
  <c r="O25" i="41" s="1"/>
  <c r="O41" i="41" s="1"/>
  <c r="Q21" i="41"/>
  <c r="O21" i="41"/>
  <c r="O37" i="41" s="1"/>
  <c r="K19" i="41"/>
  <c r="P18" i="41"/>
  <c r="P19" i="41"/>
  <c r="N18" i="41"/>
  <c r="N19" i="41" s="1"/>
  <c r="M18" i="41"/>
  <c r="M19" i="41" s="1"/>
  <c r="L18" i="41"/>
  <c r="L19" i="41"/>
  <c r="K18" i="41"/>
  <c r="J18" i="41"/>
  <c r="J19" i="41" s="1"/>
  <c r="I18" i="41"/>
  <c r="I19" i="41"/>
  <c r="H18" i="41"/>
  <c r="H19" i="41" s="1"/>
  <c r="G18" i="41"/>
  <c r="G19" i="41" s="1"/>
  <c r="F18" i="41"/>
  <c r="F19" i="41"/>
  <c r="E18" i="41"/>
  <c r="E19" i="41" s="1"/>
  <c r="Q19" i="41" s="1"/>
  <c r="Q17" i="41"/>
  <c r="O17" i="41"/>
  <c r="P16" i="41"/>
  <c r="M16" i="41"/>
  <c r="Q16" i="41" s="1"/>
  <c r="O14" i="41"/>
  <c r="N14" i="41"/>
  <c r="M14" i="41"/>
  <c r="L14" i="41"/>
  <c r="K14" i="41"/>
  <c r="J14" i="41"/>
  <c r="I14" i="41"/>
  <c r="O13" i="41"/>
  <c r="N13" i="41"/>
  <c r="M13" i="41"/>
  <c r="L13" i="41"/>
  <c r="K13" i="41"/>
  <c r="J13" i="41"/>
  <c r="I13" i="41"/>
  <c r="Q11" i="41"/>
  <c r="Q10" i="41"/>
  <c r="P9" i="41"/>
  <c r="P13" i="41" s="1"/>
  <c r="P66" i="40"/>
  <c r="O66" i="40"/>
  <c r="N66" i="40"/>
  <c r="M66" i="40"/>
  <c r="L66" i="40"/>
  <c r="K66" i="40"/>
  <c r="J66" i="40"/>
  <c r="I66" i="40"/>
  <c r="H66" i="40"/>
  <c r="G66" i="40"/>
  <c r="F66" i="40"/>
  <c r="E66" i="40"/>
  <c r="Q65" i="40"/>
  <c r="Q64" i="40"/>
  <c r="Q63" i="40"/>
  <c r="Q62" i="40"/>
  <c r="Q61" i="40"/>
  <c r="Q60" i="40"/>
  <c r="Q59" i="40"/>
  <c r="Q58" i="40"/>
  <c r="Q57" i="40"/>
  <c r="Q56" i="40"/>
  <c r="Q55" i="40"/>
  <c r="Q54" i="40"/>
  <c r="Q53" i="40"/>
  <c r="Q52" i="40"/>
  <c r="Q51" i="40"/>
  <c r="Q50" i="40"/>
  <c r="Q49" i="40"/>
  <c r="Q48" i="40"/>
  <c r="Q47" i="40"/>
  <c r="Q46" i="40"/>
  <c r="Q45" i="40"/>
  <c r="Q44" i="40"/>
  <c r="Q43" i="40"/>
  <c r="Q42" i="40"/>
  <c r="Q66" i="40" s="1"/>
  <c r="Q40" i="40"/>
  <c r="Q39" i="40"/>
  <c r="P36" i="40"/>
  <c r="O36" i="40"/>
  <c r="Q36" i="40" s="1"/>
  <c r="P34" i="40"/>
  <c r="N34" i="40"/>
  <c r="M34" i="40"/>
  <c r="L34" i="40"/>
  <c r="K34" i="40"/>
  <c r="J34" i="40"/>
  <c r="I34" i="40"/>
  <c r="Q34" i="40" s="1"/>
  <c r="H34" i="40"/>
  <c r="G34" i="40"/>
  <c r="F34" i="40"/>
  <c r="F35" i="40" s="1"/>
  <c r="E34" i="40"/>
  <c r="O33" i="40"/>
  <c r="Q33" i="40" s="1"/>
  <c r="P32" i="40"/>
  <c r="Q32" i="40"/>
  <c r="O32" i="40"/>
  <c r="P31" i="40"/>
  <c r="O31" i="40"/>
  <c r="Q31" i="40" s="1"/>
  <c r="P30" i="40"/>
  <c r="P35" i="40" s="1"/>
  <c r="O30" i="40"/>
  <c r="L30" i="40"/>
  <c r="L35" i="40" s="1"/>
  <c r="K30" i="40"/>
  <c r="K35" i="40"/>
  <c r="J30" i="40"/>
  <c r="J35" i="40"/>
  <c r="I30" i="40"/>
  <c r="I35" i="40" s="1"/>
  <c r="H30" i="40"/>
  <c r="H35" i="40" s="1"/>
  <c r="G30" i="40"/>
  <c r="G35" i="40"/>
  <c r="F30" i="40"/>
  <c r="E30" i="40"/>
  <c r="Q30" i="40" s="1"/>
  <c r="Q28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P26" i="40"/>
  <c r="O26" i="40"/>
  <c r="N26" i="40"/>
  <c r="M26" i="40"/>
  <c r="J26" i="40"/>
  <c r="I26" i="40"/>
  <c r="H26" i="40"/>
  <c r="G26" i="40"/>
  <c r="F26" i="40"/>
  <c r="E26" i="40"/>
  <c r="Q26" i="40" s="1"/>
  <c r="Q27" i="40" s="1"/>
  <c r="Q25" i="40"/>
  <c r="Q24" i="40"/>
  <c r="Q22" i="40"/>
  <c r="O20" i="40"/>
  <c r="L20" i="40"/>
  <c r="K20" i="40"/>
  <c r="J20" i="40"/>
  <c r="I20" i="40"/>
  <c r="H20" i="40"/>
  <c r="G20" i="40"/>
  <c r="F20" i="40"/>
  <c r="E20" i="40"/>
  <c r="P19" i="40"/>
  <c r="P20" i="40"/>
  <c r="N19" i="40"/>
  <c r="N20" i="40" s="1"/>
  <c r="M19" i="40"/>
  <c r="Q19" i="40" s="1"/>
  <c r="Q18" i="40"/>
  <c r="Q17" i="40"/>
  <c r="Q15" i="40"/>
  <c r="M13" i="40"/>
  <c r="E13" i="40"/>
  <c r="P12" i="40"/>
  <c r="P13" i="40" s="1"/>
  <c r="O12" i="40"/>
  <c r="O13" i="40" s="1"/>
  <c r="N12" i="40"/>
  <c r="N13" i="40" s="1"/>
  <c r="M12" i="40"/>
  <c r="L12" i="40"/>
  <c r="L13" i="40" s="1"/>
  <c r="K12" i="40"/>
  <c r="K13" i="40"/>
  <c r="J12" i="40"/>
  <c r="J13" i="40"/>
  <c r="I12" i="40"/>
  <c r="I13" i="40" s="1"/>
  <c r="H12" i="40"/>
  <c r="H13" i="40"/>
  <c r="G12" i="40"/>
  <c r="G13" i="40" s="1"/>
  <c r="F12" i="40"/>
  <c r="F13" i="40" s="1"/>
  <c r="E12" i="40"/>
  <c r="Q12" i="40" s="1"/>
  <c r="Q11" i="40"/>
  <c r="Q9" i="40"/>
  <c r="P68" i="39"/>
  <c r="N68" i="39"/>
  <c r="M68" i="39"/>
  <c r="L68" i="39"/>
  <c r="O67" i="39"/>
  <c r="Q67" i="39" s="1"/>
  <c r="O66" i="39"/>
  <c r="K66" i="39"/>
  <c r="K68" i="39" s="1"/>
  <c r="J66" i="39"/>
  <c r="J68" i="39" s="1"/>
  <c r="I66" i="39"/>
  <c r="I68" i="39" s="1"/>
  <c r="H66" i="39"/>
  <c r="H68" i="39" s="1"/>
  <c r="G66" i="39"/>
  <c r="G68" i="39" s="1"/>
  <c r="F66" i="39"/>
  <c r="F68" i="39" s="1"/>
  <c r="E66" i="39"/>
  <c r="Q65" i="39"/>
  <c r="O65" i="39"/>
  <c r="O64" i="39"/>
  <c r="O68" i="39" s="1"/>
  <c r="P62" i="39"/>
  <c r="N62" i="39"/>
  <c r="M62" i="39"/>
  <c r="L62" i="39"/>
  <c r="K62" i="39"/>
  <c r="J62" i="39"/>
  <c r="I62" i="39"/>
  <c r="H62" i="39"/>
  <c r="G62" i="39"/>
  <c r="F62" i="39"/>
  <c r="E62" i="39"/>
  <c r="O61" i="39"/>
  <c r="Q61" i="39" s="1"/>
  <c r="O60" i="39"/>
  <c r="Q60" i="39"/>
  <c r="O59" i="39"/>
  <c r="Q59" i="39" s="1"/>
  <c r="Q62" i="39" s="1"/>
  <c r="O58" i="39"/>
  <c r="O62" i="39" s="1"/>
  <c r="O56" i="39"/>
  <c r="N56" i="39"/>
  <c r="M56" i="39"/>
  <c r="L56" i="39"/>
  <c r="K56" i="39"/>
  <c r="J56" i="39"/>
  <c r="H56" i="39"/>
  <c r="G56" i="39"/>
  <c r="F56" i="39"/>
  <c r="E56" i="39"/>
  <c r="I55" i="39"/>
  <c r="I56" i="39"/>
  <c r="N54" i="39"/>
  <c r="M54" i="39"/>
  <c r="K54" i="39"/>
  <c r="J54" i="39"/>
  <c r="I54" i="39"/>
  <c r="G54" i="39"/>
  <c r="F54" i="39"/>
  <c r="E54" i="39"/>
  <c r="N52" i="39"/>
  <c r="M52" i="39"/>
  <c r="K52" i="39"/>
  <c r="J52" i="39"/>
  <c r="I52" i="39"/>
  <c r="G52" i="39"/>
  <c r="F52" i="39"/>
  <c r="E52" i="39"/>
  <c r="P51" i="39"/>
  <c r="Q51" i="39" s="1"/>
  <c r="O51" i="39"/>
  <c r="O50" i="39"/>
  <c r="N50" i="39"/>
  <c r="M50" i="39"/>
  <c r="K50" i="39"/>
  <c r="J50" i="39"/>
  <c r="I50" i="39"/>
  <c r="G50" i="39"/>
  <c r="F50" i="39"/>
  <c r="E50" i="39"/>
  <c r="P49" i="39"/>
  <c r="P56" i="39" s="1"/>
  <c r="N47" i="39"/>
  <c r="M47" i="39"/>
  <c r="L47" i="39"/>
  <c r="K47" i="39"/>
  <c r="J47" i="39"/>
  <c r="I47" i="39"/>
  <c r="H47" i="39"/>
  <c r="G47" i="39"/>
  <c r="N46" i="39"/>
  <c r="M46" i="39"/>
  <c r="L46" i="39"/>
  <c r="K46" i="39"/>
  <c r="J46" i="39"/>
  <c r="I46" i="39"/>
  <c r="H46" i="39"/>
  <c r="G46" i="39"/>
  <c r="N45" i="39"/>
  <c r="M45" i="39"/>
  <c r="L45" i="39"/>
  <c r="K45" i="39"/>
  <c r="J45" i="39"/>
  <c r="I45" i="39"/>
  <c r="H45" i="39"/>
  <c r="G45" i="39"/>
  <c r="F45" i="39"/>
  <c r="E45" i="39"/>
  <c r="N44" i="39"/>
  <c r="M44" i="39"/>
  <c r="L44" i="39"/>
  <c r="K44" i="39"/>
  <c r="J44" i="39"/>
  <c r="I44" i="39"/>
  <c r="H44" i="39"/>
  <c r="G44" i="39"/>
  <c r="F44" i="39"/>
  <c r="E44" i="39"/>
  <c r="N43" i="39"/>
  <c r="M43" i="39"/>
  <c r="K43" i="39"/>
  <c r="J43" i="39"/>
  <c r="I43" i="39"/>
  <c r="G43" i="39"/>
  <c r="F43" i="39"/>
  <c r="E43" i="39"/>
  <c r="N42" i="39"/>
  <c r="M42" i="39"/>
  <c r="L42" i="39"/>
  <c r="K42" i="39"/>
  <c r="J42" i="39"/>
  <c r="I42" i="39"/>
  <c r="G42" i="39"/>
  <c r="F42" i="39"/>
  <c r="E42" i="39"/>
  <c r="P40" i="39"/>
  <c r="Q40" i="39" s="1"/>
  <c r="O40" i="39"/>
  <c r="P39" i="39"/>
  <c r="Q18" i="42" s="1"/>
  <c r="O39" i="39"/>
  <c r="O46" i="39" s="1"/>
  <c r="P38" i="39"/>
  <c r="O38" i="39"/>
  <c r="O47" i="39" s="1"/>
  <c r="F38" i="39"/>
  <c r="F47" i="39" s="1"/>
  <c r="P36" i="39"/>
  <c r="P45" i="39" s="1"/>
  <c r="O36" i="39"/>
  <c r="O45" i="39"/>
  <c r="P35" i="39"/>
  <c r="O35" i="39"/>
  <c r="P34" i="39"/>
  <c r="Q34" i="39" s="1"/>
  <c r="O34" i="39"/>
  <c r="P32" i="39"/>
  <c r="Q22" i="42" s="1"/>
  <c r="O32" i="39"/>
  <c r="O43" i="39" s="1"/>
  <c r="H32" i="39"/>
  <c r="P31" i="39"/>
  <c r="P42" i="39" s="1"/>
  <c r="O31" i="39"/>
  <c r="O42" i="39" s="1"/>
  <c r="H31" i="39"/>
  <c r="H42" i="39" s="1"/>
  <c r="H54" i="39"/>
  <c r="P29" i="39"/>
  <c r="Q29" i="39" s="1"/>
  <c r="O29" i="39"/>
  <c r="P28" i="39"/>
  <c r="O28" i="39"/>
  <c r="Q28" i="39" s="1"/>
  <c r="P27" i="39"/>
  <c r="Q27" i="39" s="1"/>
  <c r="O27" i="39"/>
  <c r="P26" i="39"/>
  <c r="O26" i="39"/>
  <c r="Q26" i="39" s="1"/>
  <c r="P25" i="39"/>
  <c r="O25" i="39"/>
  <c r="L25" i="39"/>
  <c r="L54" i="39" s="1"/>
  <c r="H25" i="39"/>
  <c r="H52" i="39"/>
  <c r="P24" i="39"/>
  <c r="Q24" i="39"/>
  <c r="O24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K20" i="39"/>
  <c r="Q19" i="39"/>
  <c r="Q20" i="39" s="1"/>
  <c r="Q18" i="39"/>
  <c r="N16" i="39"/>
  <c r="M16" i="39"/>
  <c r="L16" i="39"/>
  <c r="K16" i="39"/>
  <c r="J16" i="39"/>
  <c r="I16" i="39"/>
  <c r="H16" i="39"/>
  <c r="G16" i="39"/>
  <c r="F16" i="39"/>
  <c r="E16" i="39"/>
  <c r="M15" i="39"/>
  <c r="L15" i="39"/>
  <c r="K15" i="39"/>
  <c r="J15" i="39"/>
  <c r="I15" i="39"/>
  <c r="H15" i="39"/>
  <c r="G15" i="39"/>
  <c r="F15" i="39"/>
  <c r="E15" i="39"/>
  <c r="P14" i="39"/>
  <c r="Q14" i="39" s="1"/>
  <c r="P13" i="39"/>
  <c r="Q13" i="39" s="1"/>
  <c r="N11" i="39"/>
  <c r="M11" i="39"/>
  <c r="L11" i="39"/>
  <c r="K11" i="39"/>
  <c r="J11" i="39"/>
  <c r="I11" i="39"/>
  <c r="H11" i="39"/>
  <c r="G11" i="39"/>
  <c r="F11" i="39"/>
  <c r="E11" i="39"/>
  <c r="P10" i="39"/>
  <c r="O10" i="39"/>
  <c r="P9" i="39"/>
  <c r="O9" i="39"/>
  <c r="Q9" i="39" s="1"/>
  <c r="Q131" i="42"/>
  <c r="P131" i="42"/>
  <c r="O131" i="42"/>
  <c r="N131" i="42"/>
  <c r="M131" i="42"/>
  <c r="L131" i="42"/>
  <c r="K131" i="42"/>
  <c r="J131" i="42"/>
  <c r="I131" i="42"/>
  <c r="H131" i="42"/>
  <c r="G131" i="42"/>
  <c r="F131" i="42"/>
  <c r="S129" i="42"/>
  <c r="S128" i="42"/>
  <c r="S127" i="42"/>
  <c r="S126" i="42"/>
  <c r="S125" i="42"/>
  <c r="S123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S118" i="42"/>
  <c r="S117" i="42"/>
  <c r="S113" i="42"/>
  <c r="Q102" i="42"/>
  <c r="P102" i="42"/>
  <c r="O102" i="42"/>
  <c r="N102" i="42"/>
  <c r="M102" i="42"/>
  <c r="L102" i="42"/>
  <c r="K102" i="42"/>
  <c r="J102" i="42"/>
  <c r="I102" i="42"/>
  <c r="H102" i="42"/>
  <c r="H103" i="42" s="1"/>
  <c r="G102" i="42"/>
  <c r="F102" i="42"/>
  <c r="Q101" i="42"/>
  <c r="P101" i="42"/>
  <c r="O101" i="42"/>
  <c r="N101" i="42"/>
  <c r="M101" i="42"/>
  <c r="L101" i="42"/>
  <c r="L103" i="42" s="1"/>
  <c r="K101" i="42"/>
  <c r="J101" i="42"/>
  <c r="I101" i="42"/>
  <c r="H101" i="42"/>
  <c r="G101" i="42"/>
  <c r="F101" i="42"/>
  <c r="Q100" i="42"/>
  <c r="Q103" i="42" s="1"/>
  <c r="P100" i="42"/>
  <c r="P103" i="42" s="1"/>
  <c r="O100" i="42"/>
  <c r="N100" i="42"/>
  <c r="M100" i="42"/>
  <c r="L100" i="42"/>
  <c r="K100" i="42"/>
  <c r="K103" i="42" s="1"/>
  <c r="J100" i="42"/>
  <c r="J103" i="42" s="1"/>
  <c r="I100" i="42"/>
  <c r="H100" i="42"/>
  <c r="G100" i="42"/>
  <c r="F100" i="42"/>
  <c r="S99" i="42"/>
  <c r="Q96" i="42"/>
  <c r="P96" i="42"/>
  <c r="O96" i="42"/>
  <c r="N96" i="42"/>
  <c r="M96" i="42"/>
  <c r="L96" i="42"/>
  <c r="K96" i="42"/>
  <c r="J96" i="42"/>
  <c r="I96" i="42"/>
  <c r="H96" i="42"/>
  <c r="G96" i="42"/>
  <c r="S96" i="42" s="1"/>
  <c r="F96" i="42"/>
  <c r="S95" i="42"/>
  <c r="S94" i="42"/>
  <c r="S93" i="42"/>
  <c r="Q90" i="42"/>
  <c r="P90" i="42"/>
  <c r="O90" i="42"/>
  <c r="N90" i="42"/>
  <c r="M90" i="42"/>
  <c r="L90" i="42"/>
  <c r="K90" i="42"/>
  <c r="J90" i="42"/>
  <c r="I90" i="42"/>
  <c r="H90" i="42"/>
  <c r="G90" i="42"/>
  <c r="F90" i="42"/>
  <c r="S89" i="42"/>
  <c r="S88" i="42"/>
  <c r="S87" i="42"/>
  <c r="M85" i="42"/>
  <c r="S84" i="42"/>
  <c r="S83" i="42"/>
  <c r="S82" i="42"/>
  <c r="S79" i="42"/>
  <c r="Q74" i="42"/>
  <c r="P74" i="42"/>
  <c r="O74" i="42"/>
  <c r="N74" i="42"/>
  <c r="M74" i="42"/>
  <c r="L74" i="42"/>
  <c r="K74" i="42"/>
  <c r="K75" i="42" s="1"/>
  <c r="J74" i="42"/>
  <c r="I74" i="42"/>
  <c r="H74" i="42"/>
  <c r="G74" i="42"/>
  <c r="F74" i="42"/>
  <c r="Q73" i="42"/>
  <c r="P73" i="42"/>
  <c r="O73" i="42"/>
  <c r="N73" i="42"/>
  <c r="M73" i="42"/>
  <c r="L73" i="42"/>
  <c r="K73" i="42"/>
  <c r="J73" i="42"/>
  <c r="I73" i="42"/>
  <c r="H73" i="42"/>
  <c r="H75" i="42" s="1"/>
  <c r="G73" i="42"/>
  <c r="F73" i="42"/>
  <c r="Q72" i="42"/>
  <c r="P72" i="42"/>
  <c r="O72" i="42"/>
  <c r="N72" i="42"/>
  <c r="N75" i="42" s="1"/>
  <c r="M72" i="42"/>
  <c r="M75" i="42" s="1"/>
  <c r="L72" i="42"/>
  <c r="L75" i="42" s="1"/>
  <c r="K72" i="42"/>
  <c r="J72" i="42"/>
  <c r="J75" i="42" s="1"/>
  <c r="I72" i="42"/>
  <c r="H72" i="42"/>
  <c r="G72" i="42"/>
  <c r="G75" i="42" s="1"/>
  <c r="F72" i="42"/>
  <c r="F75" i="42" s="1"/>
  <c r="S71" i="42"/>
  <c r="D71" i="42" s="1"/>
  <c r="Q68" i="42"/>
  <c r="P68" i="42"/>
  <c r="O68" i="42"/>
  <c r="N68" i="42"/>
  <c r="M68" i="42"/>
  <c r="L68" i="42"/>
  <c r="K68" i="42"/>
  <c r="J68" i="42"/>
  <c r="I68" i="42"/>
  <c r="H68" i="42"/>
  <c r="G68" i="42"/>
  <c r="F68" i="42"/>
  <c r="S67" i="42"/>
  <c r="D67" i="42" s="1"/>
  <c r="S66" i="42"/>
  <c r="S65" i="42"/>
  <c r="D65" i="42" s="1"/>
  <c r="Q62" i="42"/>
  <c r="P62" i="42"/>
  <c r="O62" i="42"/>
  <c r="N62" i="42"/>
  <c r="M62" i="42"/>
  <c r="L62" i="42"/>
  <c r="K62" i="42"/>
  <c r="J62" i="42"/>
  <c r="I62" i="42"/>
  <c r="H62" i="42"/>
  <c r="G62" i="42"/>
  <c r="F62" i="42"/>
  <c r="S61" i="42"/>
  <c r="S60" i="42"/>
  <c r="D60" i="42" s="1"/>
  <c r="S59" i="42"/>
  <c r="S56" i="42"/>
  <c r="S55" i="42"/>
  <c r="D55" i="42" s="1"/>
  <c r="S54" i="42"/>
  <c r="S51" i="42"/>
  <c r="S43" i="42"/>
  <c r="D43" i="42"/>
  <c r="H41" i="42"/>
  <c r="Q40" i="42"/>
  <c r="Q41" i="42" s="1"/>
  <c r="P40" i="42"/>
  <c r="P41" i="42" s="1"/>
  <c r="O40" i="42"/>
  <c r="O41" i="42" s="1"/>
  <c r="N40" i="42"/>
  <c r="N41" i="42"/>
  <c r="M40" i="42"/>
  <c r="M41" i="42" s="1"/>
  <c r="L40" i="42"/>
  <c r="L41" i="42" s="1"/>
  <c r="K40" i="42"/>
  <c r="K41" i="42" s="1"/>
  <c r="J40" i="42"/>
  <c r="J41" i="42" s="1"/>
  <c r="I40" i="42"/>
  <c r="I41" i="42" s="1"/>
  <c r="H40" i="42"/>
  <c r="G40" i="42"/>
  <c r="G41" i="42" s="1"/>
  <c r="F40" i="42"/>
  <c r="F41" i="42"/>
  <c r="S37" i="42"/>
  <c r="S32" i="42"/>
  <c r="S30" i="42"/>
  <c r="C30" i="42"/>
  <c r="S27" i="42"/>
  <c r="P22" i="42"/>
  <c r="O22" i="42"/>
  <c r="N22" i="42"/>
  <c r="M22" i="42"/>
  <c r="L22" i="42"/>
  <c r="K22" i="42"/>
  <c r="J22" i="42"/>
  <c r="I22" i="42"/>
  <c r="H22" i="42"/>
  <c r="G22" i="42"/>
  <c r="F22" i="42"/>
  <c r="P21" i="42"/>
  <c r="O21" i="42"/>
  <c r="N21" i="42"/>
  <c r="M21" i="42"/>
  <c r="L21" i="42"/>
  <c r="K21" i="42"/>
  <c r="J21" i="42"/>
  <c r="I21" i="42"/>
  <c r="I15" i="42" s="1"/>
  <c r="H21" i="42"/>
  <c r="H15" i="42" s="1"/>
  <c r="G21" i="42"/>
  <c r="P20" i="42"/>
  <c r="O20" i="42"/>
  <c r="N20" i="42"/>
  <c r="M20" i="42"/>
  <c r="L20" i="42"/>
  <c r="K20" i="42"/>
  <c r="J20" i="42"/>
  <c r="I20" i="42"/>
  <c r="H20" i="42"/>
  <c r="G20" i="42"/>
  <c r="F20" i="42"/>
  <c r="P18" i="42"/>
  <c r="O18" i="42"/>
  <c r="O15" i="42"/>
  <c r="N18" i="42"/>
  <c r="N15" i="42" s="1"/>
  <c r="M18" i="42"/>
  <c r="M15" i="42" s="1"/>
  <c r="L18" i="42"/>
  <c r="K18" i="42"/>
  <c r="K15" i="42" s="1"/>
  <c r="J18" i="42"/>
  <c r="I18" i="42"/>
  <c r="H18" i="42"/>
  <c r="G18" i="42"/>
  <c r="G15" i="42" s="1"/>
  <c r="Q17" i="42"/>
  <c r="P17" i="42"/>
  <c r="P14" i="42" s="1"/>
  <c r="O17" i="42"/>
  <c r="N17" i="42"/>
  <c r="N14" i="42" s="1"/>
  <c r="M17" i="42"/>
  <c r="L17" i="42"/>
  <c r="L14" i="42"/>
  <c r="K17" i="42"/>
  <c r="K14" i="42" s="1"/>
  <c r="J17" i="42"/>
  <c r="J14" i="42" s="1"/>
  <c r="I17" i="42"/>
  <c r="I14" i="42" s="1"/>
  <c r="H17" i="42"/>
  <c r="H14" i="42" s="1"/>
  <c r="G17" i="42"/>
  <c r="G14" i="42" s="1"/>
  <c r="F17" i="42"/>
  <c r="F15" i="42"/>
  <c r="M14" i="42"/>
  <c r="O12" i="42"/>
  <c r="N12" i="42"/>
  <c r="M12" i="42"/>
  <c r="L12" i="42"/>
  <c r="K12" i="42"/>
  <c r="J12" i="42"/>
  <c r="I12" i="42"/>
  <c r="H12" i="42"/>
  <c r="G12" i="42"/>
  <c r="F12" i="42"/>
  <c r="P10" i="42"/>
  <c r="O10" i="42"/>
  <c r="N10" i="42"/>
  <c r="M10" i="42"/>
  <c r="L10" i="42"/>
  <c r="Q9" i="42"/>
  <c r="P9" i="42"/>
  <c r="O9" i="42"/>
  <c r="O8" i="42" s="1"/>
  <c r="N9" i="42"/>
  <c r="N8" i="42" s="1"/>
  <c r="L9" i="42"/>
  <c r="L8" i="42" s="1"/>
  <c r="K9" i="42"/>
  <c r="K8" i="42"/>
  <c r="K115" i="42" s="1"/>
  <c r="J9" i="42"/>
  <c r="I9" i="42"/>
  <c r="H9" i="42"/>
  <c r="H8" i="42"/>
  <c r="H23" i="42" s="1"/>
  <c r="G9" i="42"/>
  <c r="G8" i="42" s="1"/>
  <c r="F9" i="42"/>
  <c r="F8" i="42" s="1"/>
  <c r="J8" i="42"/>
  <c r="I8" i="42"/>
  <c r="I115" i="42" s="1"/>
  <c r="S6" i="42"/>
  <c r="Q38" i="39"/>
  <c r="Q10" i="42"/>
  <c r="P43" i="39"/>
  <c r="Q35" i="39"/>
  <c r="E68" i="39"/>
  <c r="I23" i="42"/>
  <c r="J15" i="42"/>
  <c r="F103" i="42"/>
  <c r="F41" i="41"/>
  <c r="Q32" i="39"/>
  <c r="H43" i="39"/>
  <c r="O44" i="39"/>
  <c r="O52" i="39"/>
  <c r="Q58" i="39"/>
  <c r="E35" i="40"/>
  <c r="O11" i="39"/>
  <c r="O16" i="39"/>
  <c r="H50" i="39"/>
  <c r="Q55" i="39"/>
  <c r="O34" i="40"/>
  <c r="O35" i="40"/>
  <c r="P14" i="41"/>
  <c r="Q22" i="41"/>
  <c r="Q38" i="41" s="1"/>
  <c r="O38" i="41"/>
  <c r="D54" i="42"/>
  <c r="O18" i="41"/>
  <c r="O19" i="41" s="1"/>
  <c r="Q47" i="39" l="1"/>
  <c r="Q49" i="39"/>
  <c r="Q39" i="39"/>
  <c r="Q46" i="39" s="1"/>
  <c r="Q44" i="39"/>
  <c r="P54" i="39"/>
  <c r="P46" i="39"/>
  <c r="Q8" i="42"/>
  <c r="P16" i="39"/>
  <c r="Q12" i="42"/>
  <c r="S12" i="42" s="1"/>
  <c r="P52" i="39"/>
  <c r="P50" i="39"/>
  <c r="Q56" i="39"/>
  <c r="Q66" i="39"/>
  <c r="Q20" i="42"/>
  <c r="Q14" i="42" s="1"/>
  <c r="Q26" i="41"/>
  <c r="Q36" i="39"/>
  <c r="Q45" i="39" s="1"/>
  <c r="F115" i="42"/>
  <c r="F23" i="42"/>
  <c r="L115" i="42"/>
  <c r="L23" i="42"/>
  <c r="N115" i="42"/>
  <c r="N23" i="42"/>
  <c r="P8" i="42"/>
  <c r="F14" i="42"/>
  <c r="P15" i="42"/>
  <c r="S22" i="42"/>
  <c r="T22" i="42" s="1"/>
  <c r="S62" i="42"/>
  <c r="I75" i="42"/>
  <c r="S72" i="42"/>
  <c r="D72" i="42" s="1"/>
  <c r="S100" i="42"/>
  <c r="D117" i="42"/>
  <c r="S68" i="42"/>
  <c r="S101" i="42"/>
  <c r="J23" i="42"/>
  <c r="D66" i="42"/>
  <c r="P75" i="42"/>
  <c r="S74" i="42"/>
  <c r="D74" i="42" s="1"/>
  <c r="G103" i="42"/>
  <c r="M103" i="42"/>
  <c r="H115" i="42"/>
  <c r="Q75" i="42"/>
  <c r="N103" i="42"/>
  <c r="S10" i="42"/>
  <c r="O14" i="42"/>
  <c r="S18" i="42"/>
  <c r="O103" i="42"/>
  <c r="S102" i="42"/>
  <c r="S119" i="42"/>
  <c r="S73" i="42"/>
  <c r="D73" i="42" s="1"/>
  <c r="D75" i="42" s="1"/>
  <c r="S90" i="42"/>
  <c r="I103" i="42"/>
  <c r="S103" i="42" s="1"/>
  <c r="S131" i="42"/>
  <c r="D126" i="42" s="1"/>
  <c r="Q13" i="40"/>
  <c r="Q35" i="40"/>
  <c r="D118" i="42"/>
  <c r="D116" i="42"/>
  <c r="D68" i="42"/>
  <c r="D130" i="42"/>
  <c r="D128" i="42"/>
  <c r="D129" i="42"/>
  <c r="D125" i="42"/>
  <c r="G115" i="42"/>
  <c r="G23" i="42"/>
  <c r="Q20" i="40"/>
  <c r="O115" i="42"/>
  <c r="O23" i="42"/>
  <c r="S41" i="42"/>
  <c r="Q23" i="42"/>
  <c r="Q115" i="42"/>
  <c r="P23" i="42"/>
  <c r="P115" i="42"/>
  <c r="Q15" i="39"/>
  <c r="O54" i="39"/>
  <c r="P15" i="39"/>
  <c r="P44" i="39"/>
  <c r="J115" i="42"/>
  <c r="Q21" i="39"/>
  <c r="L43" i="39"/>
  <c r="F46" i="39"/>
  <c r="Q9" i="41"/>
  <c r="O24" i="41"/>
  <c r="L52" i="39"/>
  <c r="P47" i="39"/>
  <c r="Q18" i="41"/>
  <c r="S40" i="42"/>
  <c r="D40" i="42" s="1"/>
  <c r="Q10" i="39"/>
  <c r="Q21" i="42"/>
  <c r="Q15" i="42" s="1"/>
  <c r="M9" i="42"/>
  <c r="P12" i="42"/>
  <c r="D61" i="42"/>
  <c r="P11" i="39"/>
  <c r="L50" i="39"/>
  <c r="Q31" i="39"/>
  <c r="Q25" i="41"/>
  <c r="Q41" i="41" s="1"/>
  <c r="S17" i="42"/>
  <c r="L15" i="42"/>
  <c r="Q25" i="39"/>
  <c r="Q43" i="39" s="1"/>
  <c r="O75" i="42"/>
  <c r="S75" i="42" s="1"/>
  <c r="K23" i="42"/>
  <c r="D59" i="42"/>
  <c r="D56" i="42"/>
  <c r="Q64" i="39"/>
  <c r="M20" i="40"/>
  <c r="S20" i="42" l="1"/>
  <c r="E20" i="42" s="1"/>
  <c r="Q68" i="39"/>
  <c r="D102" i="42"/>
  <c r="S15" i="42"/>
  <c r="S14" i="42"/>
  <c r="E17" i="42" s="1"/>
  <c r="D119" i="42"/>
  <c r="D127" i="42"/>
  <c r="D131" i="42" s="1"/>
  <c r="Q42" i="39"/>
  <c r="Q54" i="39"/>
  <c r="Q11" i="39"/>
  <c r="Q16" i="39"/>
  <c r="T12" i="42"/>
  <c r="D62" i="42"/>
  <c r="S21" i="42"/>
  <c r="Q24" i="41"/>
  <c r="Q40" i="41" s="1"/>
  <c r="O40" i="41"/>
  <c r="Q52" i="39"/>
  <c r="S9" i="42"/>
  <c r="M8" i="42"/>
  <c r="Q13" i="41"/>
  <c r="Q14" i="41"/>
  <c r="Q50" i="39"/>
  <c r="D101" i="42" l="1"/>
  <c r="E21" i="42"/>
  <c r="E18" i="42"/>
  <c r="D89" i="42"/>
  <c r="D95" i="42"/>
  <c r="M115" i="42"/>
  <c r="S115" i="42" s="1"/>
  <c r="M23" i="42"/>
  <c r="S23" i="42" s="1"/>
  <c r="E23" i="42" s="1"/>
  <c r="S8" i="42"/>
  <c r="D32" i="42" l="1"/>
  <c r="T8" i="42"/>
  <c r="D30" i="42"/>
  <c r="D82" i="42"/>
  <c r="D93" i="42"/>
  <c r="D87" i="42"/>
  <c r="D94" i="42"/>
  <c r="D88" i="42"/>
  <c r="D83" i="42"/>
  <c r="E22" i="42"/>
  <c r="D100" i="42"/>
  <c r="D99" i="42"/>
  <c r="E12" i="42"/>
  <c r="D96" i="42" l="1"/>
  <c r="D103" i="42"/>
  <c r="D84" i="42"/>
  <c r="T23" i="42"/>
  <c r="T13" i="42"/>
  <c r="D90" i="42"/>
</calcChain>
</file>

<file path=xl/sharedStrings.xml><?xml version="1.0" encoding="utf-8"?>
<sst xmlns="http://schemas.openxmlformats.org/spreadsheetml/2006/main" count="570" uniqueCount="232">
  <si>
    <t>YEARLY PRODUCTION SUMMARY -TAHUN 2020</t>
  </si>
  <si>
    <t>in MT</t>
  </si>
  <si>
    <t>Grand Total</t>
  </si>
  <si>
    <t>ACTUAL PRODUCTION</t>
  </si>
  <si>
    <t>Product</t>
  </si>
  <si>
    <t>Budget</t>
  </si>
  <si>
    <t>Actual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</si>
  <si>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</si>
  <si>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</si>
  <si>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</si>
  <si>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</si>
  <si>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</si>
  <si>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</si>
  <si>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</si>
  <si>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</si>
  <si>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</si>
  <si>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</si>
  <si>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</si>
  <si>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</si>
  <si>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CPO &amp; COL Consume</t>
  </si>
  <si>
    <t>- CPO Consume</t>
  </si>
  <si>
    <t>- COL Consume</t>
  </si>
  <si>
    <t>Total RBDPO Refinery</t>
  </si>
  <si>
    <r>
      <rPr>
        <sz val="12"/>
        <color theme="1"/>
        <rFont val="Arial"/>
        <family val="2"/>
      </rPr>
      <t xml:space="preserve">- </t>
    </r>
    <r>
      <rPr>
        <i/>
        <sz val="12"/>
        <color theme="1"/>
        <rFont val="Arial"/>
        <family val="2"/>
      </rPr>
      <t>Poram &amp; Branded Spec</t>
    </r>
  </si>
  <si>
    <t>Total RBDPO Consume to Fractionation</t>
  </si>
  <si>
    <t>- Poram Spec (IV 56)</t>
  </si>
  <si>
    <t>- Branded Spec (IV 60)</t>
  </si>
  <si>
    <t>Total Olein</t>
  </si>
  <si>
    <r>
      <rPr>
        <sz val="12"/>
        <color theme="1"/>
        <rFont val="Arial"/>
        <family val="2"/>
      </rPr>
      <t xml:space="preserve">- </t>
    </r>
    <r>
      <rPr>
        <i/>
        <sz val="12"/>
        <color theme="1"/>
        <rFont val="Arial"/>
        <family val="2"/>
      </rPr>
      <t>Poram Spec (IV 56)</t>
    </r>
  </si>
  <si>
    <t>Total Stearin</t>
  </si>
  <si>
    <t>- Stearin</t>
  </si>
  <si>
    <t>- Soft Stearin (IV 38)</t>
  </si>
  <si>
    <t>PFAD - by Product</t>
  </si>
  <si>
    <t>Loss / Waste</t>
  </si>
  <si>
    <t>CHEMICAL CONSUMPTION</t>
  </si>
  <si>
    <t>Bleaching Earth</t>
  </si>
  <si>
    <t>- BE to Poram &amp; Branded</t>
  </si>
  <si>
    <t>Kg/MT</t>
  </si>
  <si>
    <t>*budget diambil dari rata-rata consume BE Poram dan Branded</t>
  </si>
  <si>
    <t>Phosporic Acid</t>
  </si>
  <si>
    <t>WASTE</t>
  </si>
  <si>
    <t>Spent Bleaching Earth</t>
  </si>
  <si>
    <t>OC</t>
  </si>
  <si>
    <t>Effluent</t>
  </si>
  <si>
    <t>Raw Water</t>
  </si>
  <si>
    <t>YEARLY UTILITY CONSUMPTION DETAILS - Tahun 2020</t>
  </si>
  <si>
    <t>UTILITY CONSUMPTION PER DAY</t>
  </si>
  <si>
    <t>Gas Consumption</t>
  </si>
  <si>
    <t xml:space="preserve">Total </t>
  </si>
  <si>
    <t>mmbtu/day</t>
  </si>
  <si>
    <t>- to HP Boiler Refinery</t>
  </si>
  <si>
    <t>- to MP Boiler &amp; Frac</t>
  </si>
  <si>
    <t>Steam Consumption</t>
  </si>
  <si>
    <t>Total</t>
  </si>
  <si>
    <t>Kg/day</t>
  </si>
  <si>
    <t>- Refinery</t>
  </si>
  <si>
    <t>- Fractionation</t>
  </si>
  <si>
    <t>- Others</t>
  </si>
  <si>
    <t>Water Consumption</t>
  </si>
  <si>
    <r>
      <rPr>
        <b/>
        <i/>
        <sz val="12"/>
        <color theme="1"/>
        <rFont val="Arial"/>
        <family val="2"/>
      </rPr>
      <t>m</t>
    </r>
    <r>
      <rPr>
        <b/>
        <i/>
        <vertAlign val="super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/day</t>
    </r>
  </si>
  <si>
    <t>- Softener Product to Refinery</t>
  </si>
  <si>
    <r>
      <rPr>
        <sz val="12"/>
        <color theme="1"/>
        <rFont val="Arial"/>
        <family val="2"/>
      </rP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/day</t>
    </r>
  </si>
  <si>
    <t>- Softener Product to Frac</t>
  </si>
  <si>
    <t>Power Consumption</t>
  </si>
  <si>
    <t>Kwh/day</t>
  </si>
  <si>
    <t>- Refinery (Process &amp; Utilities)</t>
  </si>
  <si>
    <t>- Fractionation (Process &amp; Utilities)</t>
  </si>
  <si>
    <t>- Filling Packaging</t>
  </si>
  <si>
    <t>UTILITY CONSUMPTION PER MT CPO</t>
  </si>
  <si>
    <t>mmbtu/MT</t>
  </si>
  <si>
    <t>- to MP Boiler &amp; Fractionation</t>
  </si>
  <si>
    <r>
      <rPr>
        <b/>
        <i/>
        <sz val="12"/>
        <color theme="1"/>
        <rFont val="Arial"/>
        <family val="2"/>
      </rPr>
      <t>m</t>
    </r>
    <r>
      <rPr>
        <b/>
        <i/>
        <vertAlign val="super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/MT</t>
    </r>
  </si>
  <si>
    <r>
      <rPr>
        <sz val="12"/>
        <color theme="1"/>
        <rFont val="Arial"/>
        <family val="2"/>
      </rP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/MT</t>
    </r>
  </si>
  <si>
    <t>Kwh/MT</t>
  </si>
  <si>
    <t>Note</t>
  </si>
  <si>
    <t>Utility consume per MT CPO pada kondisi lower throughput (slow flow rate) dengan average CPO consume 1.490 MT/day</t>
  </si>
  <si>
    <t>YEARLY DOWNTIME PRODUCTION -TAHUN 2020</t>
  </si>
  <si>
    <t>DOWNTIME PRODUCTION</t>
  </si>
  <si>
    <t>THROUGHPUT (MT)</t>
  </si>
  <si>
    <t>Stop Plant (hours)</t>
  </si>
  <si>
    <t>%</t>
  </si>
  <si>
    <t>Plant Hold (hours)</t>
  </si>
  <si>
    <t>Slow Flow Rate (hours)</t>
  </si>
  <si>
    <t xml:space="preserve">TOTAL </t>
  </si>
  <si>
    <t>Details Downtime in hours</t>
  </si>
  <si>
    <t>DETAILS DOWNTIME PRODUCTION</t>
  </si>
  <si>
    <t>Preventice Maintenance Pertagas</t>
  </si>
  <si>
    <t>Yearly Shutdown</t>
  </si>
  <si>
    <t>Corrective Maintenance</t>
  </si>
  <si>
    <t>Preventive Maintenance</t>
  </si>
  <si>
    <t>Unavailable Space Tank</t>
  </si>
  <si>
    <t>Shortage Feedstock CPO</t>
  </si>
  <si>
    <t>TOTAL</t>
  </si>
  <si>
    <t>YEARLY PRODUCTION REPORT</t>
  </si>
  <si>
    <t>PT. INDUSTRI NABATI LESTARI</t>
  </si>
  <si>
    <t>No.</t>
  </si>
  <si>
    <t>ITEM</t>
  </si>
  <si>
    <t>UoM</t>
  </si>
  <si>
    <t>JAN</t>
  </si>
  <si>
    <t>FEB</t>
  </si>
  <si>
    <t>MAR</t>
  </si>
  <si>
    <t>APR</t>
  </si>
  <si>
    <t>MEI</t>
  </si>
  <si>
    <t>JUN</t>
  </si>
  <si>
    <t>JUL</t>
  </si>
  <si>
    <t>AUGUST</t>
  </si>
  <si>
    <t>SEPT</t>
  </si>
  <si>
    <t>OKT</t>
  </si>
  <si>
    <t>NOV</t>
  </si>
  <si>
    <t>DES</t>
  </si>
  <si>
    <t>CPO INCOMING</t>
  </si>
  <si>
    <t>CPO Incoming</t>
  </si>
  <si>
    <t>Group</t>
  </si>
  <si>
    <t>D/O Weight</t>
  </si>
  <si>
    <t>Kg</t>
  </si>
  <si>
    <t>Receiving Weight</t>
  </si>
  <si>
    <t>Transportation (Loss)/Gain</t>
  </si>
  <si>
    <t>Swasta</t>
  </si>
  <si>
    <t>Total  Received</t>
  </si>
  <si>
    <t>COL INCOMING</t>
  </si>
  <si>
    <t>COL Incoming</t>
  </si>
  <si>
    <t>PRODUCTION</t>
  </si>
  <si>
    <t>Production</t>
  </si>
  <si>
    <t>Refinery Plant</t>
  </si>
  <si>
    <t>Running Days</t>
  </si>
  <si>
    <t>Days</t>
  </si>
  <si>
    <t>CPO Consume</t>
  </si>
  <si>
    <t>COL Consume</t>
  </si>
  <si>
    <t>- FFA</t>
  </si>
  <si>
    <t>- M &amp; I</t>
  </si>
  <si>
    <t>- DOBI</t>
  </si>
  <si>
    <t>- RBDPO</t>
  </si>
  <si>
    <t>- PFAD</t>
  </si>
  <si>
    <t>Fractionation Olein IV 56</t>
  </si>
  <si>
    <t>- RBDPO Consume</t>
  </si>
  <si>
    <t>- Olein IV 56</t>
  </si>
  <si>
    <t>Fractionation Olein IV 60</t>
  </si>
  <si>
    <t>- Olein IV 60</t>
  </si>
  <si>
    <t>- Soft Stearin</t>
  </si>
  <si>
    <t>% YIELD</t>
  </si>
  <si>
    <t xml:space="preserve">RBDPO </t>
  </si>
  <si>
    <t>PFAD</t>
  </si>
  <si>
    <t>Olein IV 56</t>
  </si>
  <si>
    <t>Stearin</t>
  </si>
  <si>
    <t>Olein IV 60</t>
  </si>
  <si>
    <t>Soft Stearin</t>
  </si>
  <si>
    <t>CHEMICAL</t>
  </si>
  <si>
    <t xml:space="preserve">Kg/MT </t>
  </si>
  <si>
    <t>OIL LOSSES</t>
  </si>
  <si>
    <t>% Oil Losses</t>
  </si>
  <si>
    <t>% Oil Content</t>
  </si>
  <si>
    <t xml:space="preserve">OUTGOING LOKAL </t>
  </si>
  <si>
    <t>RBDPO</t>
  </si>
  <si>
    <t xml:space="preserve">OUTGOING EKSPORT </t>
  </si>
  <si>
    <t>UTILITY (GAS, STEAM, WATER &amp; POWER) REPORT -2020</t>
  </si>
  <si>
    <t>NO.</t>
  </si>
  <si>
    <t>MARCH</t>
  </si>
  <si>
    <t>APRIL</t>
  </si>
  <si>
    <t>GAS CONSUMPTION</t>
  </si>
  <si>
    <r>
      <rPr>
        <sz val="11"/>
        <color theme="1"/>
        <rFont val="Arial"/>
        <family val="2"/>
      </rPr>
      <t xml:space="preserve">Incoming </t>
    </r>
    <r>
      <rPr>
        <vertAlign val="superscript"/>
        <sz val="11"/>
        <color theme="1"/>
        <rFont val="Arial"/>
        <family val="2"/>
      </rPr>
      <t>*based on INL</t>
    </r>
  </si>
  <si>
    <t>Incoming from Pertagas</t>
  </si>
  <si>
    <t>mmbtu</t>
  </si>
  <si>
    <t>Outgoing</t>
  </si>
  <si>
    <t>HP Boiler Refinery</t>
  </si>
  <si>
    <t>MP Boiler 1,2</t>
  </si>
  <si>
    <t>STEAM CONSUMPTION</t>
  </si>
  <si>
    <t>Incoming</t>
  </si>
  <si>
    <t>Distribution to</t>
  </si>
  <si>
    <t>Refinery</t>
  </si>
  <si>
    <t>Fractionation</t>
  </si>
  <si>
    <t>Others</t>
  </si>
  <si>
    <t>WATER CONSUMPTION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</si>
  <si>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</si>
  <si>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r>
      <rPr>
        <b/>
        <sz val="11"/>
        <color theme="1"/>
        <rFont val="Arial"/>
        <family val="2"/>
      </rPr>
      <t>M</t>
    </r>
    <r>
      <rPr>
        <b/>
        <vertAlign val="superscript"/>
        <sz val="11"/>
        <color theme="1"/>
        <rFont val="Arial"/>
        <family val="2"/>
      </rPr>
      <t>3</t>
    </r>
  </si>
  <si>
    <t>Waste Water (Effluent)</t>
  </si>
  <si>
    <t>WTP &amp; WWTP Details</t>
  </si>
  <si>
    <t>- Softener Product (to Refinery)</t>
  </si>
  <si>
    <t>- Softener Product (to Fractionation)</t>
  </si>
  <si>
    <t>- RO Product</t>
  </si>
  <si>
    <t>- Reject Water RO Product</t>
  </si>
  <si>
    <t>- Sanitary &amp; Service Equipment</t>
  </si>
  <si>
    <t>POWER CONSUMPTION</t>
  </si>
  <si>
    <t>PLN *Base onKinra</t>
  </si>
  <si>
    <t>Kwh</t>
  </si>
  <si>
    <t>PLN *Base on INL</t>
  </si>
  <si>
    <t>Utility-MP Boiler *)</t>
  </si>
  <si>
    <t>Utility-WTP&amp;WWTP</t>
  </si>
  <si>
    <t>Utility-Air Compressor,Fuel Pump</t>
  </si>
  <si>
    <t>Material Handling-Tank Farm</t>
  </si>
  <si>
    <t>Material Handling-Pumphouse-Un/Loading</t>
  </si>
  <si>
    <t>Refinery -Cooling Water System</t>
  </si>
  <si>
    <t xml:space="preserve">Refinery -Utilities </t>
  </si>
  <si>
    <t>Dry Fractination-Cooling Water System</t>
  </si>
  <si>
    <t>Physical Refinery Plant</t>
  </si>
  <si>
    <t>Dry Fractination Plant</t>
  </si>
  <si>
    <t>Filing&amp;Packaging Plant</t>
  </si>
  <si>
    <t>Lighting Main Distribution Panel</t>
  </si>
  <si>
    <t>Main,Front, Security ,Custom, Street Lighting</t>
  </si>
  <si>
    <t>Front Office</t>
  </si>
  <si>
    <t>Weightbridge Office</t>
  </si>
  <si>
    <t>Security Office</t>
  </si>
  <si>
    <t xml:space="preserve">Tank Farm-Pump House -Loading/Unloading  </t>
  </si>
  <si>
    <t xml:space="preserve">Refinery &amp; Dry Fractination  </t>
  </si>
  <si>
    <t xml:space="preserve">Main Laboratorium </t>
  </si>
  <si>
    <t xml:space="preserve">Workshoop-Store-Utility </t>
  </si>
  <si>
    <t xml:space="preserve">WTP&amp;WWTP </t>
  </si>
  <si>
    <t xml:space="preserve">Filing&amp;Packaging  </t>
  </si>
  <si>
    <t>Power House</t>
  </si>
  <si>
    <t xml:space="preserve">Panel Gas Metering </t>
  </si>
  <si>
    <t>kwh</t>
  </si>
  <si>
    <t>PACKAGING PERFORMANCE</t>
  </si>
  <si>
    <t>RBDPO Consume</t>
  </si>
  <si>
    <t>Olein IV 60 (FM)</t>
  </si>
  <si>
    <t>Yield Percentage</t>
  </si>
  <si>
    <t>Filling Machine</t>
  </si>
  <si>
    <t>Olein IV 60 Received</t>
  </si>
  <si>
    <t>Olein IV 60 Consume</t>
  </si>
  <si>
    <t>- to finished product</t>
  </si>
  <si>
    <t>- to sample and remelt</t>
  </si>
  <si>
    <t>Carton</t>
  </si>
  <si>
    <t>- Salvaco 1 Liter</t>
  </si>
  <si>
    <t>carton</t>
  </si>
  <si>
    <t>- Salvaco 2 Liter</t>
  </si>
  <si>
    <t>Pouch</t>
  </si>
  <si>
    <t>pouch</t>
  </si>
  <si>
    <t>Consumable Vit. A</t>
  </si>
  <si>
    <t>Consumable packing tape</t>
  </si>
  <si>
    <t>roll</t>
  </si>
  <si>
    <t>Qty Reject Material</t>
  </si>
  <si>
    <t>% Reject Material</t>
  </si>
  <si>
    <t>Qty Olein IV 60 base on sounding</t>
  </si>
  <si>
    <t>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</si>
</sst>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_-;_-@_-"/>
    <numFmt numFmtId="167" formatCode="_(* #,##0_);_(* \(#,##0\);_(* &quot;-&quot;??_);_(@_)"/>
    <numFmt numFmtId="168" formatCode="_(* #,##0.0_);_(* \(#,##0.0\);_(* &quot;-&quot;??_);_(@_)"/>
    <numFmt numFmtId="169" formatCode="_(* #,##0.0000_);_(* \(#,##0.0000\);_(* &quot;-&quot;??_);_(@_)"/>
    <numFmt numFmtId="170" formatCode="_(* #,##0.00_);_(* \(#,##0.00\);_(* &quot;-&quot;??.0_);_(@_)"/>
    <numFmt numFmtId="171" formatCode="_(* #,##0.0000_);_(* \(#,##0.0000\);_(* &quot;-&quot;??.0000_);_(@_)"/>
    <numFmt numFmtId="172" formatCode="0.0_ "/>
    <numFmt numFmtId="173" formatCode="_-[$Rp-421]* #,##0_-;\-[$Rp-421]* #,##0_-;_-[$Rp-421]* &quot;-&quot;??_-;_-@_-"/>
    <numFmt numFmtId="174" formatCode="0.00_ "/>
    <numFmt numFmtId="175" formatCode="_(* #,##0.000_);_(* \(#,##0.000\);_(* &quot;-&quot;??.0_);_(@_)"/>
    <numFmt numFmtId="176" formatCode="_(* #.##0_);_(* \(#.##0\);_(* &quot;-&quot;??_);_(@_)"/>
    <numFmt numFmtId="177" formatCode="_(* #,##0.00_);_(* \(#,##0.00\);_(* &quot;-&quot;??.00_);_(@_)"/>
    <numFmt numFmtId="178" formatCode="_(* #,###.##000_);_(* \(#,###.##000\);_(* &quot;-&quot;??_);_(@_)"/>
    <numFmt numFmtId="179" formatCode="_(* #,##0.00_);_(* \(#,##0.00\);_(* &quot;-&quot;_);_(@_)"/>
  </numFmts>
  <fonts count="3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5" tint="-0.499984740745262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b/>
      <sz val="11"/>
      <color theme="5" tint="-0.499984740745262"/>
      <name val="Arial"/>
      <family val="2"/>
    </font>
    <font>
      <b/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vertAlign val="super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45">
    <xf numFmtId="0" fontId="0" fillId="0" borderId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6" fillId="0" borderId="0"/>
    <xf numFmtId="0" fontId="2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</cellStyleXfs>
  <cellXfs count="47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top"/>
    </xf>
    <xf numFmtId="0" fontId="1" fillId="4" borderId="11" xfId="0" applyFont="1" applyFill="1" applyBorder="1" applyAlignment="1">
      <alignment horizontal="center"/>
    </xf>
    <xf numFmtId="41" fontId="1" fillId="4" borderId="11" xfId="2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1" fillId="4" borderId="10" xfId="0" applyFont="1" applyFill="1" applyBorder="1"/>
    <xf numFmtId="0" fontId="2" fillId="4" borderId="12" xfId="0" applyFont="1" applyFill="1" applyBorder="1" applyAlignment="1">
      <alignment horizontal="center" vertical="top"/>
    </xf>
    <xf numFmtId="41" fontId="1" fillId="0" borderId="11" xfId="2" applyNumberFormat="1" applyFont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41" fontId="2" fillId="3" borderId="14" xfId="2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66" fontId="1" fillId="4" borderId="11" xfId="2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41" fontId="1" fillId="3" borderId="14" xfId="2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166" fontId="1" fillId="0" borderId="11" xfId="2" applyNumberFormat="1" applyFont="1" applyFill="1" applyBorder="1" applyAlignment="1">
      <alignment horizontal="center" vertical="center"/>
    </xf>
    <xf numFmtId="166" fontId="1" fillId="4" borderId="11" xfId="2" applyNumberFormat="1" applyFont="1" applyFill="1" applyBorder="1" applyAlignment="1">
      <alignment horizontal="center"/>
    </xf>
    <xf numFmtId="0" fontId="5" fillId="4" borderId="10" xfId="0" applyFont="1" applyFill="1" applyBorder="1"/>
    <xf numFmtId="41" fontId="1" fillId="4" borderId="11" xfId="2" applyNumberFormat="1" applyFont="1" applyFill="1" applyBorder="1" applyAlignment="1">
      <alignment horizontal="center" vertical="center"/>
    </xf>
    <xf numFmtId="0" fontId="2" fillId="3" borderId="13" xfId="0" applyFont="1" applyFill="1" applyBorder="1"/>
    <xf numFmtId="0" fontId="1" fillId="3" borderId="14" xfId="0" applyFont="1" applyFill="1" applyBorder="1" applyAlignment="1">
      <alignment horizontal="center"/>
    </xf>
    <xf numFmtId="41" fontId="1" fillId="3" borderId="14" xfId="2" applyNumberFormat="1" applyFont="1" applyFill="1" applyBorder="1" applyAlignment="1">
      <alignment horizontal="center"/>
    </xf>
    <xf numFmtId="167" fontId="1" fillId="4" borderId="11" xfId="1" applyNumberFormat="1" applyFont="1" applyFill="1" applyBorder="1" applyAlignment="1">
      <alignment horizontal="center"/>
    </xf>
    <xf numFmtId="167" fontId="1" fillId="4" borderId="16" xfId="1" applyNumberFormat="1" applyFont="1" applyFill="1" applyBorder="1" applyAlignment="1">
      <alignment horizontal="center"/>
    </xf>
    <xf numFmtId="166" fontId="1" fillId="4" borderId="6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7" fontId="1" fillId="3" borderId="19" xfId="1" applyNumberFormat="1" applyFont="1" applyFill="1" applyBorder="1"/>
    <xf numFmtId="167" fontId="1" fillId="3" borderId="3" xfId="1" applyNumberFormat="1" applyFont="1" applyFill="1" applyBorder="1"/>
    <xf numFmtId="167" fontId="1" fillId="4" borderId="21" xfId="1" applyNumberFormat="1" applyFont="1" applyFill="1" applyBorder="1"/>
    <xf numFmtId="167" fontId="1" fillId="4" borderId="11" xfId="1" applyNumberFormat="1" applyFont="1" applyFill="1" applyBorder="1"/>
    <xf numFmtId="167" fontId="1" fillId="0" borderId="21" xfId="1" applyNumberFormat="1" applyFont="1" applyFill="1" applyBorder="1"/>
    <xf numFmtId="167" fontId="1" fillId="0" borderId="11" xfId="1" applyNumberFormat="1" applyFont="1" applyFill="1" applyBorder="1"/>
    <xf numFmtId="0" fontId="2" fillId="3" borderId="2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65" fontId="1" fillId="4" borderId="21" xfId="1" applyFont="1" applyFill="1" applyBorder="1" applyAlignment="1">
      <alignment horizontal="center" vertical="center" wrapText="1"/>
    </xf>
    <xf numFmtId="167" fontId="1" fillId="3" borderId="22" xfId="1" applyNumberFormat="1" applyFont="1" applyFill="1" applyBorder="1"/>
    <xf numFmtId="167" fontId="1" fillId="3" borderId="14" xfId="1" applyNumberFormat="1" applyFont="1" applyFill="1" applyBorder="1"/>
    <xf numFmtId="166" fontId="1" fillId="0" borderId="21" xfId="1" applyNumberFormat="1" applyFont="1" applyFill="1" applyBorder="1"/>
    <xf numFmtId="166" fontId="1" fillId="0" borderId="11" xfId="1" applyNumberFormat="1" applyFont="1" applyFill="1" applyBorder="1"/>
    <xf numFmtId="165" fontId="1" fillId="4" borderId="21" xfId="1" applyFont="1" applyFill="1" applyBorder="1"/>
    <xf numFmtId="165" fontId="1" fillId="4" borderId="11" xfId="1" applyFont="1" applyFill="1" applyBorder="1"/>
    <xf numFmtId="41" fontId="1" fillId="0" borderId="21" xfId="1" applyNumberFormat="1" applyFont="1" applyFill="1" applyBorder="1"/>
    <xf numFmtId="167" fontId="1" fillId="4" borderId="23" xfId="1" applyNumberFormat="1" applyFont="1" applyFill="1" applyBorder="1"/>
    <xf numFmtId="167" fontId="1" fillId="4" borderId="16" xfId="1" applyNumberFormat="1" applyFont="1" applyFill="1" applyBorder="1"/>
    <xf numFmtId="165" fontId="1" fillId="0" borderId="21" xfId="1" applyFont="1" applyFill="1" applyBorder="1"/>
    <xf numFmtId="165" fontId="1" fillId="0" borderId="11" xfId="1" applyFont="1" applyFill="1" applyBorder="1"/>
    <xf numFmtId="167" fontId="1" fillId="3" borderId="24" xfId="1" applyNumberFormat="1" applyFont="1" applyFill="1" applyBorder="1"/>
    <xf numFmtId="167" fontId="1" fillId="5" borderId="9" xfId="1" applyNumberFormat="1" applyFont="1" applyFill="1" applyBorder="1"/>
    <xf numFmtId="167" fontId="2" fillId="5" borderId="9" xfId="1" applyNumberFormat="1" applyFont="1" applyFill="1" applyBorder="1"/>
    <xf numFmtId="0" fontId="2" fillId="3" borderId="7" xfId="0" applyFont="1" applyFill="1" applyBorder="1" applyAlignment="1">
      <alignment horizontal="center" vertical="center" wrapText="1"/>
    </xf>
    <xf numFmtId="165" fontId="2" fillId="5" borderId="9" xfId="1" applyFont="1" applyFill="1" applyBorder="1" applyAlignment="1">
      <alignment horizontal="center" vertical="center" wrapText="1"/>
    </xf>
    <xf numFmtId="167" fontId="1" fillId="0" borderId="0" xfId="1" applyNumberFormat="1" applyFont="1" applyFill="1"/>
    <xf numFmtId="167" fontId="2" fillId="3" borderId="7" xfId="1" applyNumberFormat="1" applyFont="1" applyFill="1" applyBorder="1"/>
    <xf numFmtId="167" fontId="2" fillId="6" borderId="9" xfId="1" applyNumberFormat="1" applyFont="1" applyFill="1" applyBorder="1"/>
    <xf numFmtId="168" fontId="2" fillId="5" borderId="9" xfId="1" applyNumberFormat="1" applyFont="1" applyFill="1" applyBorder="1"/>
    <xf numFmtId="165" fontId="2" fillId="5" borderId="9" xfId="1" applyFont="1" applyFill="1" applyBorder="1"/>
    <xf numFmtId="165" fontId="1" fillId="0" borderId="0" xfId="1" applyFont="1"/>
    <xf numFmtId="167" fontId="2" fillId="5" borderId="12" xfId="1" applyNumberFormat="1" applyFont="1" applyFill="1" applyBorder="1"/>
    <xf numFmtId="165" fontId="2" fillId="5" borderId="17" xfId="1" applyFont="1" applyFill="1" applyBorder="1"/>
    <xf numFmtId="0" fontId="1" fillId="4" borderId="0" xfId="0" applyFont="1" applyFill="1"/>
    <xf numFmtId="0" fontId="2" fillId="4" borderId="13" xfId="0" applyFont="1" applyFill="1" applyBorder="1" applyAlignment="1">
      <alignment horizontal="center"/>
    </xf>
    <xf numFmtId="0" fontId="2" fillId="3" borderId="14" xfId="0" applyFont="1" applyFill="1" applyBorder="1"/>
    <xf numFmtId="0" fontId="2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/>
    <xf numFmtId="169" fontId="1" fillId="4" borderId="11" xfId="1" applyNumberFormat="1" applyFont="1" applyFill="1" applyBorder="1"/>
    <xf numFmtId="0" fontId="5" fillId="4" borderId="11" xfId="0" applyFont="1" applyFill="1" applyBorder="1"/>
    <xf numFmtId="0" fontId="2" fillId="0" borderId="15" xfId="0" applyFont="1" applyBorder="1" applyAlignment="1">
      <alignment horizontal="center"/>
    </xf>
    <xf numFmtId="169" fontId="2" fillId="0" borderId="16" xfId="1" applyNumberFormat="1" applyFont="1" applyFill="1" applyBorder="1"/>
    <xf numFmtId="0" fontId="2" fillId="3" borderId="11" xfId="0" applyFont="1" applyFill="1" applyBorder="1"/>
    <xf numFmtId="0" fontId="2" fillId="3" borderId="11" xfId="0" applyFont="1" applyFill="1" applyBorder="1" applyAlignment="1">
      <alignment horizontal="center"/>
    </xf>
    <xf numFmtId="165" fontId="2" fillId="3" borderId="11" xfId="1" applyFont="1" applyFill="1" applyBorder="1"/>
    <xf numFmtId="0" fontId="2" fillId="7" borderId="10" xfId="0" applyFont="1" applyFill="1" applyBorder="1" applyAlignment="1">
      <alignment horizontal="center"/>
    </xf>
    <xf numFmtId="167" fontId="1" fillId="7" borderId="11" xfId="1" applyNumberFormat="1" applyFont="1" applyFill="1" applyBorder="1"/>
    <xf numFmtId="0" fontId="2" fillId="7" borderId="11" xfId="0" applyFont="1" applyFill="1" applyBorder="1" applyAlignment="1">
      <alignment horizontal="center"/>
    </xf>
    <xf numFmtId="165" fontId="2" fillId="7" borderId="11" xfId="1" applyFont="1" applyFill="1" applyBorder="1"/>
    <xf numFmtId="167" fontId="2" fillId="0" borderId="11" xfId="1" applyNumberFormat="1" applyFont="1" applyFill="1" applyBorder="1"/>
    <xf numFmtId="0" fontId="2" fillId="0" borderId="13" xfId="0" applyFont="1" applyBorder="1" applyAlignment="1">
      <alignment horizontal="center"/>
    </xf>
    <xf numFmtId="165" fontId="2" fillId="0" borderId="11" xfId="1" applyFont="1" applyFill="1" applyBorder="1"/>
    <xf numFmtId="0" fontId="1" fillId="0" borderId="10" xfId="0" applyFont="1" applyBorder="1" applyAlignment="1">
      <alignment horizontal="center"/>
    </xf>
    <xf numFmtId="165" fontId="1" fillId="3" borderId="14" xfId="1" applyFont="1" applyFill="1" applyBorder="1"/>
    <xf numFmtId="0" fontId="2" fillId="4" borderId="10" xfId="0" applyFont="1" applyFill="1" applyBorder="1" applyAlignment="1">
      <alignment horizontal="center"/>
    </xf>
    <xf numFmtId="165" fontId="1" fillId="4" borderId="11" xfId="1" applyFont="1" applyFill="1" applyBorder="1" applyAlignment="1">
      <alignment horizontal="center"/>
    </xf>
    <xf numFmtId="169" fontId="1" fillId="4" borderId="21" xfId="1" applyNumberFormat="1" applyFont="1" applyFill="1" applyBorder="1"/>
    <xf numFmtId="169" fontId="2" fillId="0" borderId="23" xfId="1" applyNumberFormat="1" applyFont="1" applyFill="1" applyBorder="1"/>
    <xf numFmtId="165" fontId="2" fillId="3" borderId="21" xfId="1" applyFont="1" applyFill="1" applyBorder="1"/>
    <xf numFmtId="167" fontId="1" fillId="7" borderId="21" xfId="1" applyNumberFormat="1" applyFont="1" applyFill="1" applyBorder="1"/>
    <xf numFmtId="165" fontId="2" fillId="7" borderId="21" xfId="1" applyFont="1" applyFill="1" applyBorder="1"/>
    <xf numFmtId="167" fontId="2" fillId="0" borderId="21" xfId="1" applyNumberFormat="1" applyFont="1" applyFill="1" applyBorder="1"/>
    <xf numFmtId="165" fontId="2" fillId="0" borderId="21" xfId="1" applyFont="1" applyFill="1" applyBorder="1"/>
    <xf numFmtId="165" fontId="1" fillId="3" borderId="22" xfId="1" applyFont="1" applyFill="1" applyBorder="1"/>
    <xf numFmtId="165" fontId="1" fillId="4" borderId="21" xfId="1" applyFont="1" applyFill="1" applyBorder="1" applyAlignment="1">
      <alignment horizontal="center"/>
    </xf>
    <xf numFmtId="167" fontId="1" fillId="3" borderId="7" xfId="1" applyNumberFormat="1" applyFont="1" applyFill="1" applyBorder="1"/>
    <xf numFmtId="167" fontId="1" fillId="6" borderId="9" xfId="1" applyNumberFormat="1" applyFont="1" applyFill="1" applyBorder="1"/>
    <xf numFmtId="171" fontId="2" fillId="5" borderId="9" xfId="1" applyNumberFormat="1" applyFont="1" applyFill="1" applyBorder="1"/>
    <xf numFmtId="165" fontId="1" fillId="5" borderId="9" xfId="1" applyFont="1" applyFill="1" applyBorder="1"/>
    <xf numFmtId="169" fontId="2" fillId="5" borderId="12" xfId="1" applyNumberFormat="1" applyFont="1" applyFill="1" applyBorder="1"/>
    <xf numFmtId="165" fontId="2" fillId="3" borderId="9" xfId="1" applyFont="1" applyFill="1" applyBorder="1"/>
    <xf numFmtId="167" fontId="2" fillId="8" borderId="9" xfId="1" applyNumberFormat="1" applyFont="1" applyFill="1" applyBorder="1"/>
    <xf numFmtId="165" fontId="2" fillId="8" borderId="9" xfId="1" applyFont="1" applyFill="1" applyBorder="1"/>
    <xf numFmtId="167" fontId="1" fillId="8" borderId="9" xfId="1" applyNumberFormat="1" applyFont="1" applyFill="1" applyBorder="1"/>
    <xf numFmtId="165" fontId="1" fillId="3" borderId="7" xfId="1" applyFont="1" applyFill="1" applyBorder="1"/>
    <xf numFmtId="165" fontId="1" fillId="8" borderId="9" xfId="1" applyFont="1" applyFill="1" applyBorder="1"/>
    <xf numFmtId="0" fontId="1" fillId="4" borderId="18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165" fontId="2" fillId="4" borderId="6" xfId="1" applyFont="1" applyFill="1" applyBorder="1"/>
    <xf numFmtId="0" fontId="2" fillId="0" borderId="0" xfId="0" applyFont="1"/>
    <xf numFmtId="0" fontId="2" fillId="4" borderId="1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top"/>
    </xf>
    <xf numFmtId="0" fontId="5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165" fontId="8" fillId="0" borderId="16" xfId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8" fillId="0" borderId="11" xfId="1" applyFont="1" applyFill="1" applyBorder="1" applyAlignment="1">
      <alignment horizontal="right" vertical="center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167" fontId="2" fillId="0" borderId="28" xfId="1" applyNumberFormat="1" applyFont="1" applyFill="1" applyBorder="1" applyAlignment="1">
      <alignment horizontal="right" vertical="center"/>
    </xf>
    <xf numFmtId="167" fontId="1" fillId="0" borderId="14" xfId="1" applyNumberFormat="1" applyFont="1" applyFill="1" applyBorder="1" applyAlignment="1">
      <alignment horizontal="right" vertical="center"/>
    </xf>
    <xf numFmtId="167" fontId="1" fillId="4" borderId="11" xfId="1" applyNumberFormat="1" applyFont="1" applyFill="1" applyBorder="1" applyAlignment="1">
      <alignment horizontal="right" vertical="center"/>
    </xf>
    <xf numFmtId="167" fontId="2" fillId="0" borderId="14" xfId="1" applyNumberFormat="1" applyFont="1" applyFill="1" applyBorder="1" applyAlignment="1">
      <alignment horizontal="right" vertical="center"/>
    </xf>
    <xf numFmtId="0" fontId="2" fillId="3" borderId="14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vertical="center"/>
    </xf>
    <xf numFmtId="41" fontId="1" fillId="0" borderId="16" xfId="2" applyNumberFormat="1" applyFont="1" applyBorder="1" applyAlignment="1">
      <alignment horizontal="center"/>
    </xf>
    <xf numFmtId="0" fontId="4" fillId="0" borderId="11" xfId="0" applyFont="1" applyBorder="1"/>
    <xf numFmtId="0" fontId="9" fillId="0" borderId="11" xfId="0" applyFont="1" applyBorder="1" applyAlignment="1">
      <alignment horizontal="center"/>
    </xf>
    <xf numFmtId="41" fontId="9" fillId="0" borderId="11" xfId="2" applyNumberFormat="1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41" fontId="1" fillId="0" borderId="11" xfId="2" applyNumberFormat="1" applyFont="1" applyFill="1" applyBorder="1" applyAlignment="1">
      <alignment horizontal="center"/>
    </xf>
    <xf numFmtId="165" fontId="10" fillId="0" borderId="11" xfId="1" applyFont="1" applyFill="1" applyBorder="1"/>
    <xf numFmtId="0" fontId="1" fillId="3" borderId="11" xfId="0" applyFont="1" applyFill="1" applyBorder="1"/>
    <xf numFmtId="41" fontId="1" fillId="0" borderId="11" xfId="2" applyNumberFormat="1" applyFont="1" applyBorder="1"/>
    <xf numFmtId="0" fontId="2" fillId="4" borderId="16" xfId="0" applyFont="1" applyFill="1" applyBorder="1"/>
    <xf numFmtId="0" fontId="2" fillId="4" borderId="16" xfId="0" applyFont="1" applyFill="1" applyBorder="1" applyAlignment="1">
      <alignment horizontal="center"/>
    </xf>
    <xf numFmtId="41" fontId="2" fillId="0" borderId="11" xfId="2" applyNumberFormat="1" applyFont="1" applyBorder="1"/>
    <xf numFmtId="0" fontId="1" fillId="3" borderId="14" xfId="0" applyFont="1" applyFill="1" applyBorder="1"/>
    <xf numFmtId="167" fontId="1" fillId="0" borderId="22" xfId="1" applyNumberFormat="1" applyFont="1" applyFill="1" applyBorder="1" applyAlignment="1">
      <alignment horizontal="right" vertical="center"/>
    </xf>
    <xf numFmtId="41" fontId="1" fillId="4" borderId="11" xfId="2" applyNumberFormat="1" applyFont="1" applyFill="1" applyBorder="1" applyAlignment="1">
      <alignment horizontal="right" vertical="center"/>
    </xf>
    <xf numFmtId="41" fontId="1" fillId="4" borderId="21" xfId="2" applyNumberFormat="1" applyFont="1" applyFill="1" applyBorder="1" applyAlignment="1">
      <alignment horizontal="right" vertical="center"/>
    </xf>
    <xf numFmtId="165" fontId="8" fillId="0" borderId="23" xfId="1" applyFont="1" applyFill="1" applyBorder="1" applyAlignment="1">
      <alignment horizontal="right" vertical="center"/>
    </xf>
    <xf numFmtId="167" fontId="1" fillId="0" borderId="11" xfId="1" applyNumberFormat="1" applyFont="1" applyFill="1" applyBorder="1" applyAlignment="1">
      <alignment horizontal="right" vertical="center"/>
    </xf>
    <xf numFmtId="167" fontId="1" fillId="0" borderId="21" xfId="1" applyNumberFormat="1" applyFont="1" applyFill="1" applyBorder="1" applyAlignment="1">
      <alignment horizontal="right" vertical="center"/>
    </xf>
    <xf numFmtId="165" fontId="8" fillId="0" borderId="21" xfId="1" applyFont="1" applyFill="1" applyBorder="1" applyAlignment="1">
      <alignment horizontal="right" vertical="center"/>
    </xf>
    <xf numFmtId="167" fontId="2" fillId="0" borderId="29" xfId="1" applyNumberFormat="1" applyFont="1" applyFill="1" applyBorder="1" applyAlignment="1">
      <alignment horizontal="right" vertical="center"/>
    </xf>
    <xf numFmtId="167" fontId="1" fillId="4" borderId="21" xfId="1" applyNumberFormat="1" applyFont="1" applyFill="1" applyBorder="1" applyAlignment="1">
      <alignment horizontal="right" vertical="center"/>
    </xf>
    <xf numFmtId="167" fontId="2" fillId="0" borderId="22" xfId="1" applyNumberFormat="1" applyFont="1" applyFill="1" applyBorder="1" applyAlignment="1">
      <alignment horizontal="right" vertical="center"/>
    </xf>
    <xf numFmtId="41" fontId="1" fillId="4" borderId="11" xfId="2" applyNumberFormat="1" applyFont="1" applyFill="1" applyBorder="1"/>
    <xf numFmtId="41" fontId="1" fillId="4" borderId="21" xfId="2" applyNumberFormat="1" applyFont="1" applyFill="1" applyBorder="1"/>
    <xf numFmtId="166" fontId="1" fillId="4" borderId="11" xfId="2" applyNumberFormat="1" applyFont="1" applyFill="1" applyBorder="1"/>
    <xf numFmtId="166" fontId="11" fillId="4" borderId="11" xfId="2" applyNumberFormat="1" applyFont="1" applyFill="1" applyBorder="1"/>
    <xf numFmtId="166" fontId="11" fillId="4" borderId="21" xfId="2" applyNumberFormat="1" applyFont="1" applyFill="1" applyBorder="1"/>
    <xf numFmtId="166" fontId="1" fillId="4" borderId="21" xfId="2" applyNumberFormat="1" applyFont="1" applyFill="1" applyBorder="1"/>
    <xf numFmtId="41" fontId="1" fillId="0" borderId="16" xfId="2" applyNumberFormat="1" applyFont="1" applyFill="1" applyBorder="1"/>
    <xf numFmtId="41" fontId="1" fillId="0" borderId="11" xfId="2" applyNumberFormat="1" applyFont="1" applyFill="1" applyBorder="1"/>
    <xf numFmtId="41" fontId="1" fillId="0" borderId="21" xfId="2" applyNumberFormat="1" applyFont="1" applyFill="1" applyBorder="1"/>
    <xf numFmtId="41" fontId="1" fillId="0" borderId="14" xfId="2" applyNumberFormat="1" applyFont="1" applyFill="1" applyBorder="1"/>
    <xf numFmtId="41" fontId="1" fillId="0" borderId="22" xfId="2" applyNumberFormat="1" applyFont="1" applyFill="1" applyBorder="1"/>
    <xf numFmtId="41" fontId="1" fillId="0" borderId="23" xfId="2" applyNumberFormat="1" applyFont="1" applyFill="1" applyBorder="1"/>
    <xf numFmtId="167" fontId="1" fillId="4" borderId="14" xfId="1" applyNumberFormat="1" applyFont="1" applyFill="1" applyBorder="1"/>
    <xf numFmtId="167" fontId="1" fillId="4" borderId="22" xfId="1" applyNumberFormat="1" applyFont="1" applyFill="1" applyBorder="1"/>
    <xf numFmtId="165" fontId="10" fillId="0" borderId="21" xfId="1" applyFont="1" applyFill="1" applyBorder="1"/>
    <xf numFmtId="166" fontId="1" fillId="4" borderId="20" xfId="2" applyNumberFormat="1" applyFont="1" applyFill="1" applyBorder="1" applyAlignment="1">
      <alignment horizontal="center"/>
    </xf>
    <xf numFmtId="0" fontId="1" fillId="3" borderId="21" xfId="0" applyFont="1" applyFill="1" applyBorder="1"/>
    <xf numFmtId="41" fontId="1" fillId="0" borderId="21" xfId="2" applyNumberFormat="1" applyFont="1" applyBorder="1"/>
    <xf numFmtId="41" fontId="2" fillId="0" borderId="21" xfId="2" applyNumberFormat="1" applyFont="1" applyBorder="1"/>
    <xf numFmtId="0" fontId="1" fillId="3" borderId="22" xfId="0" applyFont="1" applyFill="1" applyBorder="1"/>
    <xf numFmtId="0" fontId="6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41" fontId="2" fillId="5" borderId="7" xfId="2" applyNumberFormat="1" applyFont="1" applyFill="1" applyBorder="1" applyAlignment="1">
      <alignment horizontal="right" vertical="center"/>
    </xf>
    <xf numFmtId="41" fontId="1" fillId="5" borderId="9" xfId="2" applyNumberFormat="1" applyFont="1" applyFill="1" applyBorder="1" applyAlignment="1">
      <alignment horizontal="right" vertical="center"/>
    </xf>
    <xf numFmtId="165" fontId="12" fillId="5" borderId="12" xfId="1" applyFont="1" applyFill="1" applyBorder="1" applyAlignment="1">
      <alignment horizontal="right" vertical="center"/>
    </xf>
    <xf numFmtId="41" fontId="2" fillId="5" borderId="9" xfId="2" applyNumberFormat="1" applyFont="1" applyFill="1" applyBorder="1" applyAlignment="1">
      <alignment horizontal="right" vertical="center"/>
    </xf>
    <xf numFmtId="165" fontId="12" fillId="5" borderId="9" xfId="1" applyFont="1" applyFill="1" applyBorder="1" applyAlignment="1">
      <alignment horizontal="right" vertical="center"/>
    </xf>
    <xf numFmtId="167" fontId="2" fillId="5" borderId="31" xfId="1" applyNumberFormat="1" applyFont="1" applyFill="1" applyBorder="1" applyAlignment="1">
      <alignment horizontal="right" vertical="center"/>
    </xf>
    <xf numFmtId="167" fontId="2" fillId="3" borderId="7" xfId="1" applyNumberFormat="1" applyFont="1" applyFill="1" applyBorder="1" applyAlignment="1">
      <alignment horizontal="left" vertical="center"/>
    </xf>
    <xf numFmtId="167" fontId="1" fillId="5" borderId="7" xfId="1" applyNumberFormat="1" applyFont="1" applyFill="1" applyBorder="1" applyAlignment="1">
      <alignment horizontal="right" vertical="center"/>
    </xf>
    <xf numFmtId="167" fontId="1" fillId="5" borderId="9" xfId="1" applyNumberFormat="1" applyFont="1" applyFill="1" applyBorder="1" applyAlignment="1">
      <alignment horizontal="right" vertical="center"/>
    </xf>
    <xf numFmtId="167" fontId="2" fillId="5" borderId="7" xfId="1" applyNumberFormat="1" applyFont="1" applyFill="1" applyBorder="1" applyAlignment="1">
      <alignment horizontal="right" vertical="center"/>
    </xf>
    <xf numFmtId="41" fontId="2" fillId="3" borderId="7" xfId="2" applyNumberFormat="1" applyFont="1" applyFill="1" applyBorder="1" applyAlignment="1">
      <alignment horizontal="center"/>
    </xf>
    <xf numFmtId="41" fontId="1" fillId="5" borderId="9" xfId="2" applyNumberFormat="1" applyFont="1" applyFill="1" applyBorder="1"/>
    <xf numFmtId="41" fontId="2" fillId="5" borderId="9" xfId="2" applyNumberFormat="1" applyFont="1" applyFill="1" applyBorder="1"/>
    <xf numFmtId="166" fontId="13" fillId="5" borderId="9" xfId="2" applyNumberFormat="1" applyFont="1" applyFill="1" applyBorder="1"/>
    <xf numFmtId="166" fontId="2" fillId="5" borderId="9" xfId="2" applyNumberFormat="1" applyFont="1" applyFill="1" applyBorder="1"/>
    <xf numFmtId="41" fontId="2" fillId="5" borderId="7" xfId="2" applyNumberFormat="1" applyFont="1" applyFill="1" applyBorder="1"/>
    <xf numFmtId="41" fontId="2" fillId="6" borderId="9" xfId="2" applyNumberFormat="1" applyFont="1" applyFill="1" applyBorder="1"/>
    <xf numFmtId="167" fontId="2" fillId="5" borderId="7" xfId="1" applyNumberFormat="1" applyFont="1" applyFill="1" applyBorder="1"/>
    <xf numFmtId="165" fontId="13" fillId="5" borderId="9" xfId="1" applyFont="1" applyFill="1" applyBorder="1"/>
    <xf numFmtId="165" fontId="1" fillId="0" borderId="0" xfId="1" applyFont="1" applyFill="1"/>
    <xf numFmtId="167" fontId="1" fillId="0" borderId="0" xfId="1" applyNumberFormat="1" applyFont="1"/>
    <xf numFmtId="165" fontId="10" fillId="5" borderId="9" xfId="1" applyFont="1" applyFill="1" applyBorder="1"/>
    <xf numFmtId="166" fontId="1" fillId="5" borderId="9" xfId="2" applyNumberFormat="1" applyFont="1" applyFill="1" applyBorder="1"/>
    <xf numFmtId="166" fontId="1" fillId="5" borderId="17" xfId="2" applyNumberFormat="1" applyFont="1" applyFill="1" applyBorder="1"/>
    <xf numFmtId="0" fontId="2" fillId="3" borderId="9" xfId="0" applyFont="1" applyFill="1" applyBorder="1"/>
    <xf numFmtId="41" fontId="1" fillId="5" borderId="9" xfId="0" applyNumberFormat="1" applyFont="1" applyFill="1" applyBorder="1"/>
    <xf numFmtId="41" fontId="2" fillId="5" borderId="12" xfId="0" applyNumberFormat="1" applyFont="1" applyFill="1" applyBorder="1"/>
    <xf numFmtId="0" fontId="2" fillId="0" borderId="18" xfId="0" applyFont="1" applyBorder="1" applyAlignment="1">
      <alignment horizontal="center"/>
    </xf>
    <xf numFmtId="41" fontId="2" fillId="0" borderId="6" xfId="2" applyNumberFormat="1" applyFont="1" applyBorder="1"/>
    <xf numFmtId="41" fontId="2" fillId="0" borderId="20" xfId="2" applyNumberFormat="1" applyFont="1" applyBorder="1"/>
    <xf numFmtId="41" fontId="2" fillId="5" borderId="17" xfId="0" applyNumberFormat="1" applyFont="1" applyFill="1" applyBorder="1"/>
    <xf numFmtId="0" fontId="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17" fontId="3" fillId="0" borderId="38" xfId="0" applyNumberFormat="1" applyFont="1" applyBorder="1" applyAlignment="1">
      <alignment horizontal="right" vertical="center"/>
    </xf>
    <xf numFmtId="17" fontId="3" fillId="0" borderId="39" xfId="0" applyNumberFormat="1" applyFont="1" applyBorder="1" applyAlignment="1">
      <alignment horizontal="right" vertical="center"/>
    </xf>
    <xf numFmtId="0" fontId="6" fillId="0" borderId="40" xfId="0" applyFont="1" applyBorder="1" applyAlignment="1">
      <alignment vertical="center"/>
    </xf>
    <xf numFmtId="10" fontId="3" fillId="0" borderId="0" xfId="4" applyNumberFormat="1" applyFont="1" applyBorder="1" applyAlignment="1">
      <alignment vertical="center"/>
    </xf>
    <xf numFmtId="167" fontId="6" fillId="0" borderId="0" xfId="1" applyNumberFormat="1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17" fillId="0" borderId="0" xfId="0" applyFont="1" applyAlignment="1">
      <alignment vertical="center"/>
    </xf>
    <xf numFmtId="167" fontId="3" fillId="0" borderId="40" xfId="1" applyNumberFormat="1" applyFont="1" applyBorder="1" applyAlignment="1">
      <alignment vertical="center"/>
    </xf>
    <xf numFmtId="167" fontId="3" fillId="0" borderId="0" xfId="1" applyNumberFormat="1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10" fontId="3" fillId="0" borderId="42" xfId="4" applyNumberFormat="1" applyFont="1" applyBorder="1" applyAlignment="1">
      <alignment vertical="center"/>
    </xf>
    <xf numFmtId="167" fontId="3" fillId="0" borderId="41" xfId="1" applyNumberFormat="1" applyFont="1" applyBorder="1" applyAlignment="1">
      <alignment vertical="center"/>
    </xf>
    <xf numFmtId="167" fontId="3" fillId="0" borderId="42" xfId="1" applyNumberFormat="1" applyFont="1" applyBorder="1" applyAlignment="1">
      <alignment vertical="center"/>
    </xf>
    <xf numFmtId="10" fontId="3" fillId="0" borderId="0" xfId="1" applyNumberFormat="1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10" fontId="17" fillId="0" borderId="39" xfId="0" applyNumberFormat="1" applyFont="1" applyBorder="1" applyAlignment="1">
      <alignment vertical="center"/>
    </xf>
    <xf numFmtId="10" fontId="3" fillId="0" borderId="39" xfId="4" applyNumberFormat="1" applyFont="1" applyBorder="1" applyAlignment="1">
      <alignment vertical="center"/>
    </xf>
    <xf numFmtId="167" fontId="3" fillId="0" borderId="38" xfId="1" applyNumberFormat="1" applyFont="1" applyBorder="1" applyAlignment="1">
      <alignment vertical="center"/>
    </xf>
    <xf numFmtId="167" fontId="3" fillId="0" borderId="39" xfId="1" applyNumberFormat="1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72" fontId="3" fillId="0" borderId="0" xfId="0" applyNumberFormat="1" applyFont="1" applyAlignment="1">
      <alignment vertical="center"/>
    </xf>
    <xf numFmtId="165" fontId="3" fillId="0" borderId="0" xfId="1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174" fontId="3" fillId="0" borderId="0" xfId="0" applyNumberFormat="1" applyFont="1" applyAlignment="1">
      <alignment vertical="center"/>
    </xf>
    <xf numFmtId="0" fontId="3" fillId="4" borderId="39" xfId="0" applyFont="1" applyFill="1" applyBorder="1" applyAlignment="1">
      <alignment vertical="center"/>
    </xf>
    <xf numFmtId="0" fontId="3" fillId="0" borderId="34" xfId="0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6" fillId="0" borderId="4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3" fillId="0" borderId="40" xfId="0" applyNumberFormat="1" applyFont="1" applyBorder="1" applyAlignment="1">
      <alignment horizontal="right" vertical="center"/>
    </xf>
    <xf numFmtId="17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vertical="center"/>
    </xf>
    <xf numFmtId="10" fontId="3" fillId="0" borderId="40" xfId="1" applyNumberFormat="1" applyFont="1" applyBorder="1" applyAlignment="1">
      <alignment vertical="center"/>
    </xf>
    <xf numFmtId="0" fontId="6" fillId="4" borderId="4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167" fontId="3" fillId="4" borderId="40" xfId="1" applyNumberFormat="1" applyFont="1" applyFill="1" applyBorder="1" applyAlignment="1">
      <alignment vertical="center"/>
    </xf>
    <xf numFmtId="167" fontId="3" fillId="4" borderId="0" xfId="1" applyNumberFormat="1" applyFont="1" applyFill="1" applyBorder="1" applyAlignment="1">
      <alignment vertical="center"/>
    </xf>
    <xf numFmtId="0" fontId="15" fillId="4" borderId="40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175" fontId="15" fillId="4" borderId="0" xfId="1" applyNumberFormat="1" applyFont="1" applyFill="1" applyBorder="1" applyAlignment="1">
      <alignment vertical="center"/>
    </xf>
    <xf numFmtId="10" fontId="15" fillId="4" borderId="0" xfId="4" applyNumberFormat="1" applyFont="1" applyFill="1" applyBorder="1" applyAlignment="1">
      <alignment vertical="center"/>
    </xf>
    <xf numFmtId="165" fontId="15" fillId="4" borderId="40" xfId="1" applyFont="1" applyFill="1" applyBorder="1" applyAlignment="1">
      <alignment vertical="center"/>
    </xf>
    <xf numFmtId="165" fontId="15" fillId="4" borderId="0" xfId="1" applyFont="1" applyFill="1" applyBorder="1" applyAlignment="1">
      <alignment vertical="center"/>
    </xf>
    <xf numFmtId="0" fontId="3" fillId="4" borderId="40" xfId="0" applyFont="1" applyFill="1" applyBorder="1" applyAlignment="1">
      <alignment vertical="center"/>
    </xf>
    <xf numFmtId="175" fontId="3" fillId="4" borderId="0" xfId="1" applyNumberFormat="1" applyFont="1" applyFill="1" applyBorder="1" applyAlignment="1">
      <alignment vertical="center"/>
    </xf>
    <xf numFmtId="10" fontId="3" fillId="4" borderId="0" xfId="4" applyNumberFormat="1" applyFont="1" applyFill="1" applyBorder="1" applyAlignment="1">
      <alignment vertical="center"/>
    </xf>
    <xf numFmtId="165" fontId="3" fillId="4" borderId="40" xfId="1" applyFont="1" applyFill="1" applyBorder="1" applyAlignment="1">
      <alignment vertical="center"/>
    </xf>
    <xf numFmtId="165" fontId="3" fillId="4" borderId="0" xfId="1" applyFont="1" applyFill="1" applyBorder="1" applyAlignment="1">
      <alignment vertical="center"/>
    </xf>
    <xf numFmtId="175" fontId="3" fillId="4" borderId="0" xfId="1" applyNumberFormat="1" applyFont="1" applyFill="1" applyAlignment="1">
      <alignment vertical="center"/>
    </xf>
    <xf numFmtId="167" fontId="15" fillId="4" borderId="0" xfId="1" applyNumberFormat="1" applyFont="1" applyFill="1" applyBorder="1" applyAlignment="1">
      <alignment vertical="center"/>
    </xf>
    <xf numFmtId="167" fontId="15" fillId="4" borderId="40" xfId="1" applyNumberFormat="1" applyFont="1" applyFill="1" applyBorder="1" applyAlignment="1">
      <alignment vertical="center"/>
    </xf>
    <xf numFmtId="0" fontId="6" fillId="9" borderId="24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vertical="center"/>
    </xf>
    <xf numFmtId="17" fontId="3" fillId="0" borderId="47" xfId="0" applyNumberFormat="1" applyFont="1" applyBorder="1" applyAlignment="1">
      <alignment horizontal="right" vertical="center"/>
    </xf>
    <xf numFmtId="167" fontId="6" fillId="0" borderId="9" xfId="1" applyNumberFormat="1" applyFont="1" applyBorder="1" applyAlignment="1">
      <alignment vertical="center"/>
    </xf>
    <xf numFmtId="167" fontId="3" fillId="0" borderId="0" xfId="1" applyNumberFormat="1" applyFont="1" applyFill="1" applyAlignment="1">
      <alignment vertical="center"/>
    </xf>
    <xf numFmtId="167" fontId="3" fillId="0" borderId="48" xfId="1" applyNumberFormat="1" applyFont="1" applyBorder="1" applyAlignment="1">
      <alignment vertical="center"/>
    </xf>
    <xf numFmtId="167" fontId="3" fillId="0" borderId="9" xfId="1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3" fillId="0" borderId="49" xfId="1" applyNumberFormat="1" applyFont="1" applyBorder="1" applyAlignment="1">
      <alignment vertical="center"/>
    </xf>
    <xf numFmtId="167" fontId="3" fillId="0" borderId="50" xfId="1" applyNumberFormat="1" applyFont="1" applyBorder="1" applyAlignment="1">
      <alignment vertical="center"/>
    </xf>
    <xf numFmtId="167" fontId="3" fillId="0" borderId="47" xfId="1" applyNumberFormat="1" applyFont="1" applyBorder="1" applyAlignment="1">
      <alignment vertical="center"/>
    </xf>
    <xf numFmtId="167" fontId="3" fillId="0" borderId="17" xfId="1" applyNumberFormat="1" applyFont="1" applyBorder="1" applyAlignment="1">
      <alignment vertical="center"/>
    </xf>
    <xf numFmtId="0" fontId="6" fillId="9" borderId="24" xfId="0" applyFont="1" applyFill="1" applyBorder="1" applyAlignment="1">
      <alignment vertical="center" wrapText="1"/>
    </xf>
    <xf numFmtId="167" fontId="6" fillId="9" borderId="9" xfId="1" applyNumberFormat="1" applyFont="1" applyFill="1" applyBorder="1" applyAlignment="1">
      <alignment vertical="center" wrapText="1"/>
    </xf>
    <xf numFmtId="167" fontId="6" fillId="9" borderId="17" xfId="1" applyNumberFormat="1" applyFont="1" applyFill="1" applyBorder="1" applyAlignment="1">
      <alignment vertical="center" wrapText="1"/>
    </xf>
    <xf numFmtId="0" fontId="3" fillId="0" borderId="46" xfId="0" applyFont="1" applyBorder="1" applyAlignment="1">
      <alignment horizontal="right" vertical="center"/>
    </xf>
    <xf numFmtId="17" fontId="3" fillId="0" borderId="48" xfId="0" applyNumberFormat="1" applyFont="1" applyBorder="1" applyAlignment="1">
      <alignment horizontal="right" vertical="center"/>
    </xf>
    <xf numFmtId="167" fontId="6" fillId="4" borderId="9" xfId="1" applyNumberFormat="1" applyFont="1" applyFill="1" applyBorder="1" applyAlignment="1">
      <alignment horizontal="center" vertical="center" wrapText="1"/>
    </xf>
    <xf numFmtId="10" fontId="3" fillId="0" borderId="48" xfId="1" applyNumberFormat="1" applyFont="1" applyBorder="1" applyAlignment="1">
      <alignment vertical="center"/>
    </xf>
    <xf numFmtId="10" fontId="3" fillId="0" borderId="9" xfId="1" applyNumberFormat="1" applyFont="1" applyBorder="1" applyAlignment="1">
      <alignment vertical="center"/>
    </xf>
    <xf numFmtId="167" fontId="3" fillId="4" borderId="48" xfId="1" applyNumberFormat="1" applyFont="1" applyFill="1" applyBorder="1" applyAlignment="1">
      <alignment vertical="center"/>
    </xf>
    <xf numFmtId="165" fontId="15" fillId="4" borderId="48" xfId="1" applyFont="1" applyFill="1" applyBorder="1" applyAlignment="1">
      <alignment vertical="center"/>
    </xf>
    <xf numFmtId="165" fontId="15" fillId="0" borderId="9" xfId="1" applyFont="1" applyBorder="1" applyAlignment="1">
      <alignment vertical="center"/>
    </xf>
    <xf numFmtId="165" fontId="3" fillId="4" borderId="48" xfId="1" applyFont="1" applyFill="1" applyBorder="1" applyAlignment="1">
      <alignment vertical="center"/>
    </xf>
    <xf numFmtId="165" fontId="3" fillId="0" borderId="9" xfId="1" applyFont="1" applyBorder="1" applyAlignment="1">
      <alignment vertical="center"/>
    </xf>
    <xf numFmtId="167" fontId="15" fillId="0" borderId="0" xfId="1" applyNumberFormat="1" applyFont="1" applyBorder="1" applyAlignment="1">
      <alignment vertical="center"/>
    </xf>
    <xf numFmtId="167" fontId="15" fillId="4" borderId="48" xfId="1" applyNumberFormat="1" applyFont="1" applyFill="1" applyBorder="1" applyAlignment="1">
      <alignment vertical="center"/>
    </xf>
    <xf numFmtId="167" fontId="15" fillId="0" borderId="9" xfId="1" applyNumberFormat="1" applyFont="1" applyBorder="1" applyAlignment="1">
      <alignment vertical="center"/>
    </xf>
    <xf numFmtId="177" fontId="15" fillId="4" borderId="0" xfId="1" applyNumberFormat="1" applyFont="1" applyFill="1" applyBorder="1" applyAlignment="1">
      <alignment vertical="center"/>
    </xf>
    <xf numFmtId="167" fontId="19" fillId="4" borderId="40" xfId="1" applyNumberFormat="1" applyFont="1" applyFill="1" applyBorder="1" applyAlignment="1">
      <alignment vertical="center"/>
    </xf>
    <xf numFmtId="167" fontId="19" fillId="4" borderId="0" xfId="1" applyNumberFormat="1" applyFont="1" applyFill="1" applyBorder="1" applyAlignment="1">
      <alignment vertical="center"/>
    </xf>
    <xf numFmtId="173" fontId="3" fillId="4" borderId="0" xfId="0" applyNumberFormat="1" applyFont="1" applyFill="1" applyAlignment="1">
      <alignment vertical="center"/>
    </xf>
    <xf numFmtId="0" fontId="3" fillId="4" borderId="38" xfId="0" applyFont="1" applyFill="1" applyBorder="1" applyAlignment="1">
      <alignment vertical="center"/>
    </xf>
    <xf numFmtId="10" fontId="3" fillId="4" borderId="39" xfId="4" applyNumberFormat="1" applyFont="1" applyFill="1" applyBorder="1" applyAlignment="1">
      <alignment vertical="center"/>
    </xf>
    <xf numFmtId="167" fontId="3" fillId="4" borderId="38" xfId="1" applyNumberFormat="1" applyFont="1" applyFill="1" applyBorder="1" applyAlignment="1">
      <alignment vertical="center"/>
    </xf>
    <xf numFmtId="167" fontId="3" fillId="4" borderId="39" xfId="1" applyNumberFormat="1" applyFont="1" applyFill="1" applyBorder="1" applyAlignment="1">
      <alignment vertical="center"/>
    </xf>
    <xf numFmtId="10" fontId="3" fillId="4" borderId="0" xfId="4" applyNumberFormat="1" applyFont="1" applyFill="1" applyAlignment="1">
      <alignment vertical="center"/>
    </xf>
    <xf numFmtId="167" fontId="3" fillId="4" borderId="0" xfId="1" applyNumberFormat="1" applyFont="1" applyFill="1" applyAlignment="1">
      <alignment vertical="center"/>
    </xf>
    <xf numFmtId="165" fontId="3" fillId="4" borderId="0" xfId="1" applyFont="1" applyFill="1" applyAlignment="1">
      <alignment vertical="center"/>
    </xf>
    <xf numFmtId="174" fontId="3" fillId="4" borderId="0" xfId="0" applyNumberFormat="1" applyFont="1" applyFill="1" applyAlignment="1">
      <alignment vertical="center"/>
    </xf>
    <xf numFmtId="165" fontId="6" fillId="0" borderId="0" xfId="1" applyFont="1" applyFill="1" applyBorder="1" applyAlignment="1">
      <alignment vertical="center"/>
    </xf>
    <xf numFmtId="10" fontId="6" fillId="0" borderId="0" xfId="4" applyNumberFormat="1" applyFont="1" applyBorder="1" applyAlignment="1">
      <alignment vertical="center"/>
    </xf>
    <xf numFmtId="177" fontId="6" fillId="0" borderId="40" xfId="1" applyNumberFormat="1" applyFont="1" applyBorder="1" applyAlignment="1">
      <alignment vertical="center"/>
    </xf>
    <xf numFmtId="177" fontId="6" fillId="0" borderId="0" xfId="1" applyNumberFormat="1" applyFont="1" applyBorder="1" applyAlignment="1">
      <alignment vertical="center"/>
    </xf>
    <xf numFmtId="165" fontId="3" fillId="0" borderId="0" xfId="1" applyFont="1" applyFill="1" applyBorder="1" applyAlignment="1">
      <alignment vertical="center"/>
    </xf>
    <xf numFmtId="165" fontId="3" fillId="0" borderId="40" xfId="1" applyFont="1" applyBorder="1" applyAlignment="1">
      <alignment vertical="center"/>
    </xf>
    <xf numFmtId="170" fontId="3" fillId="0" borderId="0" xfId="1" applyNumberFormat="1" applyFont="1" applyFill="1" applyBorder="1" applyAlignment="1">
      <alignment vertical="center"/>
    </xf>
    <xf numFmtId="170" fontId="6" fillId="0" borderId="39" xfId="0" applyNumberFormat="1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165" fontId="6" fillId="0" borderId="38" xfId="1" applyFont="1" applyBorder="1" applyAlignment="1">
      <alignment vertical="center"/>
    </xf>
    <xf numFmtId="165" fontId="6" fillId="0" borderId="39" xfId="1" applyFont="1" applyBorder="1" applyAlignment="1">
      <alignment vertical="center"/>
    </xf>
    <xf numFmtId="176" fontId="3" fillId="4" borderId="0" xfId="1" applyNumberFormat="1" applyFont="1" applyFill="1" applyBorder="1" applyAlignment="1">
      <alignment vertical="center"/>
    </xf>
    <xf numFmtId="167" fontId="3" fillId="4" borderId="9" xfId="1" applyNumberFormat="1" applyFont="1" applyFill="1" applyBorder="1" applyAlignment="1">
      <alignment vertical="center"/>
    </xf>
    <xf numFmtId="167" fontId="19" fillId="4" borderId="48" xfId="1" applyNumberFormat="1" applyFont="1" applyFill="1" applyBorder="1" applyAlignment="1">
      <alignment vertical="center"/>
    </xf>
    <xf numFmtId="167" fontId="19" fillId="0" borderId="9" xfId="1" applyNumberFormat="1" applyFont="1" applyBorder="1" applyAlignment="1">
      <alignment vertical="center"/>
    </xf>
    <xf numFmtId="167" fontId="3" fillId="4" borderId="47" xfId="1" applyNumberFormat="1" applyFont="1" applyFill="1" applyBorder="1" applyAlignment="1">
      <alignment vertical="center"/>
    </xf>
    <xf numFmtId="167" fontId="3" fillId="0" borderId="0" xfId="1" applyNumberFormat="1" applyFont="1" applyAlignment="1">
      <alignment vertical="center"/>
    </xf>
    <xf numFmtId="177" fontId="6" fillId="0" borderId="48" xfId="1" applyNumberFormat="1" applyFont="1" applyBorder="1" applyAlignment="1">
      <alignment vertical="center"/>
    </xf>
    <xf numFmtId="165" fontId="6" fillId="0" borderId="9" xfId="1" applyFont="1" applyBorder="1" applyAlignment="1">
      <alignment vertical="center"/>
    </xf>
    <xf numFmtId="165" fontId="3" fillId="0" borderId="48" xfId="1" applyFont="1" applyBorder="1" applyAlignment="1">
      <alignment vertical="center"/>
    </xf>
    <xf numFmtId="165" fontId="6" fillId="0" borderId="47" xfId="1" applyFont="1" applyBorder="1" applyAlignment="1">
      <alignment vertical="center"/>
    </xf>
    <xf numFmtId="165" fontId="6" fillId="0" borderId="17" xfId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165" fontId="3" fillId="0" borderId="0" xfId="1" applyFont="1" applyFill="1" applyAlignment="1">
      <alignment vertical="center"/>
    </xf>
    <xf numFmtId="0" fontId="3" fillId="0" borderId="40" xfId="0" quotePrefix="1" applyFont="1" applyBorder="1" applyAlignment="1">
      <alignment vertical="center"/>
    </xf>
    <xf numFmtId="0" fontId="17" fillId="0" borderId="40" xfId="0" quotePrefix="1" applyFont="1" applyBorder="1" applyAlignment="1">
      <alignment vertical="center"/>
    </xf>
    <xf numFmtId="0" fontId="3" fillId="4" borderId="40" xfId="0" quotePrefix="1" applyFont="1" applyFill="1" applyBorder="1" applyAlignment="1">
      <alignment vertical="center"/>
    </xf>
    <xf numFmtId="0" fontId="1" fillId="4" borderId="11" xfId="0" quotePrefix="1" applyFont="1" applyFill="1" applyBorder="1"/>
    <xf numFmtId="0" fontId="1" fillId="4" borderId="11" xfId="0" quotePrefix="1" applyFont="1" applyFill="1" applyBorder="1" applyAlignment="1">
      <alignment horizontal="center"/>
    </xf>
    <xf numFmtId="0" fontId="1" fillId="0" borderId="16" xfId="0" quotePrefix="1" applyFont="1" applyBorder="1"/>
    <xf numFmtId="0" fontId="1" fillId="0" borderId="16" xfId="0" quotePrefix="1" applyFont="1" applyBorder="1" applyAlignment="1">
      <alignment horizontal="center"/>
    </xf>
    <xf numFmtId="0" fontId="1" fillId="0" borderId="11" xfId="0" quotePrefix="1" applyFont="1" applyBorder="1"/>
    <xf numFmtId="0" fontId="1" fillId="0" borderId="11" xfId="0" quotePrefix="1" applyFont="1" applyBorder="1" applyAlignment="1">
      <alignment horizontal="center"/>
    </xf>
    <xf numFmtId="0" fontId="4" fillId="4" borderId="14" xfId="0" quotePrefix="1" applyFont="1" applyFill="1" applyBorder="1"/>
    <xf numFmtId="0" fontId="2" fillId="3" borderId="14" xfId="0" quotePrefix="1" applyFont="1" applyFill="1" applyBorder="1"/>
    <xf numFmtId="0" fontId="1" fillId="4" borderId="6" xfId="0" quotePrefix="1" applyFont="1" applyFill="1" applyBorder="1"/>
    <xf numFmtId="0" fontId="1" fillId="4" borderId="6" xfId="0" quotePrefix="1" applyFont="1" applyFill="1" applyBorder="1" applyAlignment="1">
      <alignment horizontal="center"/>
    </xf>
    <xf numFmtId="0" fontId="5" fillId="4" borderId="11" xfId="0" quotePrefix="1" applyFont="1" applyFill="1" applyBorder="1"/>
    <xf numFmtId="0" fontId="2" fillId="0" borderId="16" xfId="0" quotePrefix="1" applyFont="1" applyBorder="1"/>
    <xf numFmtId="0" fontId="2" fillId="0" borderId="16" xfId="0" quotePrefix="1" applyFont="1" applyBorder="1" applyAlignment="1">
      <alignment horizontal="center"/>
    </xf>
    <xf numFmtId="0" fontId="2" fillId="3" borderId="11" xfId="0" quotePrefix="1" applyFont="1" applyFill="1" applyBorder="1"/>
    <xf numFmtId="0" fontId="1" fillId="7" borderId="11" xfId="0" quotePrefix="1" applyFont="1" applyFill="1" applyBorder="1"/>
    <xf numFmtId="0" fontId="1" fillId="7" borderId="11" xfId="0" quotePrefix="1" applyFont="1" applyFill="1" applyBorder="1" applyAlignment="1">
      <alignment horizontal="center"/>
    </xf>
    <xf numFmtId="0" fontId="5" fillId="7" borderId="11" xfId="0" quotePrefix="1" applyFont="1" applyFill="1" applyBorder="1"/>
    <xf numFmtId="0" fontId="2" fillId="0" borderId="11" xfId="0" quotePrefix="1" applyFont="1" applyBorder="1"/>
    <xf numFmtId="0" fontId="2" fillId="7" borderId="11" xfId="0" quotePrefix="1" applyFont="1" applyFill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4" borderId="11" xfId="0" quotePrefix="1" applyFont="1" applyFill="1" applyBorder="1"/>
    <xf numFmtId="0" fontId="7" fillId="4" borderId="11" xfId="0" quotePrefix="1" applyFont="1" applyFill="1" applyBorder="1"/>
    <xf numFmtId="0" fontId="2" fillId="4" borderId="6" xfId="0" quotePrefix="1" applyFont="1" applyFill="1" applyBorder="1"/>
    <xf numFmtId="0" fontId="2" fillId="4" borderId="6" xfId="0" quotePrefix="1" applyFont="1" applyFill="1" applyBorder="1" applyAlignment="1">
      <alignment horizontal="center"/>
    </xf>
    <xf numFmtId="0" fontId="4" fillId="4" borderId="10" xfId="0" quotePrefix="1" applyFont="1" applyFill="1" applyBorder="1"/>
    <xf numFmtId="0" fontId="1" fillId="0" borderId="10" xfId="0" quotePrefix="1" applyFont="1" applyBorder="1"/>
    <xf numFmtId="0" fontId="1" fillId="4" borderId="10" xfId="0" quotePrefix="1" applyFont="1" applyFill="1" applyBorder="1"/>
    <xf numFmtId="0" fontId="5" fillId="4" borderId="10" xfId="0" quotePrefix="1" applyFont="1" applyFill="1" applyBorder="1"/>
    <xf numFmtId="0" fontId="5" fillId="0" borderId="10" xfId="0" quotePrefix="1" applyFont="1" applyBorder="1"/>
    <xf numFmtId="0" fontId="1" fillId="0" borderId="15" xfId="0" quotePrefix="1" applyFont="1" applyBorder="1"/>
    <xf numFmtId="0" fontId="1" fillId="4" borderId="16" xfId="0" quotePrefix="1" applyFont="1" applyFill="1" applyBorder="1" applyAlignment="1">
      <alignment horizontal="center"/>
    </xf>
    <xf numFmtId="0" fontId="1" fillId="0" borderId="18" xfId="0" quotePrefix="1" applyFont="1" applyBorder="1"/>
    <xf numFmtId="0" fontId="6" fillId="6" borderId="40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10" fontId="17" fillId="6" borderId="0" xfId="0" applyNumberFormat="1" applyFont="1" applyFill="1" applyAlignment="1">
      <alignment vertical="center"/>
    </xf>
    <xf numFmtId="10" fontId="3" fillId="6" borderId="0" xfId="4" applyNumberFormat="1" applyFont="1" applyFill="1" applyBorder="1" applyAlignment="1">
      <alignment vertical="center"/>
    </xf>
    <xf numFmtId="167" fontId="6" fillId="6" borderId="40" xfId="1" applyNumberFormat="1" applyFont="1" applyFill="1" applyBorder="1" applyAlignment="1">
      <alignment vertical="center"/>
    </xf>
    <xf numFmtId="167" fontId="6" fillId="6" borderId="0" xfId="1" applyNumberFormat="1" applyFont="1" applyFill="1" applyBorder="1" applyAlignment="1">
      <alignment vertical="center"/>
    </xf>
    <xf numFmtId="167" fontId="6" fillId="6" borderId="48" xfId="1" applyNumberFormat="1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167" fontId="6" fillId="6" borderId="9" xfId="1" applyNumberFormat="1" applyFont="1" applyFill="1" applyBorder="1" applyAlignment="1">
      <alignment vertical="center"/>
    </xf>
    <xf numFmtId="0" fontId="3" fillId="6" borderId="40" xfId="0" quotePrefix="1" applyFont="1" applyFill="1" applyBorder="1" applyAlignment="1">
      <alignment vertical="center"/>
    </xf>
    <xf numFmtId="167" fontId="3" fillId="6" borderId="40" xfId="1" applyNumberFormat="1" applyFont="1" applyFill="1" applyBorder="1" applyAlignment="1">
      <alignment vertical="center"/>
    </xf>
    <xf numFmtId="167" fontId="3" fillId="6" borderId="0" xfId="1" applyNumberFormat="1" applyFont="1" applyFill="1" applyBorder="1" applyAlignment="1">
      <alignment vertical="center"/>
    </xf>
    <xf numFmtId="167" fontId="3" fillId="6" borderId="48" xfId="1" applyNumberFormat="1" applyFont="1" applyFill="1" applyBorder="1" applyAlignment="1">
      <alignment vertical="center"/>
    </xf>
    <xf numFmtId="167" fontId="3" fillId="6" borderId="9" xfId="1" applyNumberFormat="1" applyFont="1" applyFill="1" applyBorder="1" applyAlignment="1">
      <alignment vertical="center"/>
    </xf>
    <xf numFmtId="0" fontId="3" fillId="6" borderId="40" xfId="0" applyFont="1" applyFill="1" applyBorder="1" applyAlignment="1">
      <alignment vertical="center"/>
    </xf>
    <xf numFmtId="10" fontId="17" fillId="4" borderId="0" xfId="0" applyNumberFormat="1" applyFont="1" applyFill="1" applyAlignment="1">
      <alignment vertical="center"/>
    </xf>
    <xf numFmtId="0" fontId="17" fillId="4" borderId="40" xfId="0" quotePrefix="1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3" fillId="4" borderId="9" xfId="0" applyFont="1" applyFill="1" applyBorder="1" applyAlignment="1">
      <alignment vertical="center"/>
    </xf>
    <xf numFmtId="10" fontId="3" fillId="4" borderId="0" xfId="1" applyNumberFormat="1" applyFont="1" applyFill="1" applyBorder="1" applyAlignment="1">
      <alignment vertical="center"/>
    </xf>
    <xf numFmtId="0" fontId="17" fillId="4" borderId="43" xfId="0" quotePrefix="1" applyFont="1" applyFill="1" applyBorder="1" applyAlignment="1">
      <alignment vertical="center"/>
    </xf>
    <xf numFmtId="0" fontId="17" fillId="4" borderId="44" xfId="0" applyFont="1" applyFill="1" applyBorder="1" applyAlignment="1">
      <alignment vertical="center"/>
    </xf>
    <xf numFmtId="10" fontId="17" fillId="4" borderId="44" xfId="0" applyNumberFormat="1" applyFont="1" applyFill="1" applyBorder="1" applyAlignment="1">
      <alignment vertical="center"/>
    </xf>
    <xf numFmtId="10" fontId="3" fillId="4" borderId="44" xfId="4" applyNumberFormat="1" applyFont="1" applyFill="1" applyBorder="1" applyAlignment="1">
      <alignment vertical="center"/>
    </xf>
    <xf numFmtId="167" fontId="3" fillId="4" borderId="43" xfId="1" applyNumberFormat="1" applyFont="1" applyFill="1" applyBorder="1" applyAlignment="1">
      <alignment vertical="center"/>
    </xf>
    <xf numFmtId="167" fontId="3" fillId="4" borderId="44" xfId="1" applyNumberFormat="1" applyFont="1" applyFill="1" applyBorder="1" applyAlignment="1">
      <alignment vertical="center"/>
    </xf>
    <xf numFmtId="167" fontId="3" fillId="4" borderId="51" xfId="1" applyNumberFormat="1" applyFont="1" applyFill="1" applyBorder="1" applyAlignment="1">
      <alignment vertical="center"/>
    </xf>
    <xf numFmtId="167" fontId="3" fillId="4" borderId="52" xfId="1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167" fontId="28" fillId="0" borderId="0" xfId="1" applyNumberFormat="1" applyFont="1" applyFill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179" fontId="28" fillId="0" borderId="0" xfId="2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43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7" fontId="28" fillId="4" borderId="0" xfId="0" applyNumberFormat="1" applyFont="1" applyFill="1" applyAlignment="1">
      <alignment horizontal="center" vertical="center"/>
    </xf>
    <xf numFmtId="167" fontId="3" fillId="4" borderId="0" xfId="0" applyNumberFormat="1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167" fontId="6" fillId="9" borderId="24" xfId="1" applyNumberFormat="1" applyFont="1" applyFill="1" applyBorder="1" applyAlignment="1">
      <alignment horizontal="center" vertical="center" wrapText="1"/>
    </xf>
    <xf numFmtId="167" fontId="6" fillId="9" borderId="17" xfId="1" applyNumberFormat="1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9" borderId="32" xfId="1" applyNumberFormat="1" applyFont="1" applyFill="1" applyBorder="1" applyAlignment="1">
      <alignment horizontal="center" vertical="center"/>
    </xf>
    <xf numFmtId="0" fontId="3" fillId="9" borderId="33" xfId="1" applyNumberFormat="1" applyFont="1" applyFill="1" applyBorder="1" applyAlignment="1">
      <alignment horizontal="center" vertical="center"/>
    </xf>
    <xf numFmtId="0" fontId="3" fillId="9" borderId="45" xfId="1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4" borderId="40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167" fontId="6" fillId="9" borderId="9" xfId="1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</cellXfs>
  <cellStyles count="45">
    <cellStyle name="Comma [0] 10" xfId="15" xr:uid="{00000000-0005-0000-0000-00003C000000}"/>
    <cellStyle name="Comma [0] 11" xfId="9" xr:uid="{00000000-0005-0000-0000-000025000000}"/>
    <cellStyle name="Comma [0] 12" xfId="10" xr:uid="{00000000-0005-0000-0000-000029000000}"/>
    <cellStyle name="Comma [0] 14" xfId="12" xr:uid="{00000000-0005-0000-0000-000031000000}"/>
    <cellStyle name="Comma [0] 16" xfId="14" xr:uid="{00000000-0005-0000-0000-000039000000}"/>
    <cellStyle name="Comma [0] 2" xfId="16" xr:uid="{00000000-0005-0000-0000-00003D000000}"/>
    <cellStyle name="Comma [0] 2 2" xfId="13" xr:uid="{00000000-0005-0000-0000-000035000000}"/>
    <cellStyle name="Comma [0] 3" xfId="18" xr:uid="{00000000-0005-0000-0000-00003F000000}"/>
    <cellStyle name="Comma [0] 3 2" xfId="20" xr:uid="{00000000-0005-0000-0000-000041000000}"/>
    <cellStyle name="Comma [0] 4" xfId="21" xr:uid="{00000000-0005-0000-0000-000042000000}"/>
    <cellStyle name="Comma [0] 6" xfId="8" xr:uid="{00000000-0005-0000-0000-000021000000}"/>
    <cellStyle name="Comma [0] 6 2" xfId="7" xr:uid="{00000000-0005-0000-0000-000015000000}"/>
    <cellStyle name="Comma [0] 6 3" xfId="5" xr:uid="{00000000-0005-0000-0000-00000B000000}"/>
    <cellStyle name="Comma [0] 6 3 2" xfId="17" xr:uid="{00000000-0005-0000-0000-00003E000000}"/>
    <cellStyle name="Comma [0] 6 3 2 2" xfId="19" xr:uid="{00000000-0005-0000-0000-000040000000}"/>
    <cellStyle name="Comma [0] 6 3 2 3" xfId="40" xr:uid="{00000000-0005-0000-0000-000055000000}"/>
    <cellStyle name="Comma [0] 7" xfId="22" xr:uid="{00000000-0005-0000-0000-000043000000}"/>
    <cellStyle name="Comma [0] 8" xfId="23" xr:uid="{00000000-0005-0000-0000-000044000000}"/>
    <cellStyle name="Comma [0] 8 2" xfId="3" xr:uid="{00000000-0005-0000-0000-000005000000}"/>
    <cellStyle name="Comma [0] 8 2 2" xfId="24" xr:uid="{00000000-0005-0000-0000-000045000000}"/>
    <cellStyle name="Comma [0] 8 2 3" xfId="39" xr:uid="{00000000-0005-0000-0000-000054000000}"/>
    <cellStyle name="Excel Built-in Normal" xfId="25" xr:uid="{00000000-0005-0000-0000-000046000000}"/>
    <cellStyle name="Koma" xfId="1" builtinId="3"/>
    <cellStyle name="Koma [0]" xfId="2" builtinId="6"/>
    <cellStyle name="Normal" xfId="0" builtinId="0"/>
    <cellStyle name="Normal 10" xfId="26" xr:uid="{00000000-0005-0000-0000-000047000000}"/>
    <cellStyle name="Normal 11" xfId="27" xr:uid="{00000000-0005-0000-0000-000048000000}"/>
    <cellStyle name="Normal 12" xfId="28" xr:uid="{00000000-0005-0000-0000-000049000000}"/>
    <cellStyle name="Normal 14" xfId="43" xr:uid="{00000000-0005-0000-0000-000058000000}"/>
    <cellStyle name="Normal 16" xfId="44" xr:uid="{00000000-0005-0000-0000-000059000000}"/>
    <cellStyle name="Normal 2" xfId="29" xr:uid="{00000000-0005-0000-0000-00004A000000}"/>
    <cellStyle name="Normal 3" xfId="30" xr:uid="{00000000-0005-0000-0000-00004B000000}"/>
    <cellStyle name="Normal 4" xfId="31" xr:uid="{00000000-0005-0000-0000-00004C000000}"/>
    <cellStyle name="Normal 6" xfId="32" xr:uid="{00000000-0005-0000-0000-00004D000000}"/>
    <cellStyle name="Normal 6 2" xfId="33" xr:uid="{00000000-0005-0000-0000-00004E000000}"/>
    <cellStyle name="Normal 6 3" xfId="6" xr:uid="{00000000-0005-0000-0000-000012000000}"/>
    <cellStyle name="Normal 6 3 2" xfId="11" xr:uid="{00000000-0005-0000-0000-00002C000000}"/>
    <cellStyle name="Normal 6 3 2 2" xfId="34" xr:uid="{00000000-0005-0000-0000-00004F000000}"/>
    <cellStyle name="Normal 6 3 2 3" xfId="41" xr:uid="{00000000-0005-0000-0000-000056000000}"/>
    <cellStyle name="Normal 7" xfId="35" xr:uid="{00000000-0005-0000-0000-000050000000}"/>
    <cellStyle name="Normal 8" xfId="36" xr:uid="{00000000-0005-0000-0000-000051000000}"/>
    <cellStyle name="Normal 8 2" xfId="37" xr:uid="{00000000-0005-0000-0000-000052000000}"/>
    <cellStyle name="Normal 8 2 2" xfId="38" xr:uid="{00000000-0005-0000-0000-000053000000}"/>
    <cellStyle name="Normal 8 2 3" xfId="42" xr:uid="{00000000-0005-0000-0000-000057000000}"/>
    <cellStyle name="Persen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NISA%20-REPORT%20PRODUKSI/2020/YEARLY%20PRODUCTION%20REPORT/FINAL%20YEARLY/Daily%20Report%20Production%20-ALL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NISA%20-REPORT%20PRODUKSI/2020/DAILY/12.%20Daily%20Report%20Production%20-Desember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NISA%20-REPORT%20PRODUKSI/2020/04.%20April/04.%20Monthly%20Report%20Production%20-Apr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NISA%20-REPORT%20PRODUKSI/2020/YEARLY%20PRODUCTION%20REPORT/FINAL%20YEARLY/11.%20Daily%20Report%20Production%20-November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REPORT%20-MATERIAL%20HANDLING/2020/INL/LAMPIRAN%20TODATE%20Januari%20s.d%20Juni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ENGINEERING/REPORT%20-PACKAGING/Monthly%20Report%20-2020/data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Januari"/>
      <sheetName val="Februari"/>
      <sheetName val="Februari -IV60"/>
      <sheetName val="Maret "/>
      <sheetName val="April"/>
      <sheetName val="Mei"/>
      <sheetName val="Juni"/>
      <sheetName val="Juli"/>
      <sheetName val="Agustus"/>
      <sheetName val="September"/>
      <sheetName val="Oktober"/>
      <sheetName val="November"/>
      <sheetName val="Desem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9">
          <cell r="AJ9">
            <v>30775240</v>
          </cell>
        </row>
        <row r="10">
          <cell r="AJ10">
            <v>30713520</v>
          </cell>
        </row>
        <row r="26">
          <cell r="AJ26">
            <v>17</v>
          </cell>
        </row>
        <row r="27">
          <cell r="AJ27">
            <v>25857293.477095</v>
          </cell>
        </row>
        <row r="28">
          <cell r="AJ28">
            <v>239262.522904949</v>
          </cell>
        </row>
        <row r="29">
          <cell r="AJ29">
            <v>4.9994117647058802</v>
          </cell>
        </row>
        <row r="30">
          <cell r="AJ30">
            <v>0.380117647058824</v>
          </cell>
        </row>
        <row r="31">
          <cell r="AJ31">
            <v>2.1496470588235299</v>
          </cell>
        </row>
        <row r="33">
          <cell r="AJ33">
            <v>24498500</v>
          </cell>
        </row>
        <row r="34">
          <cell r="AJ34">
            <v>1394636</v>
          </cell>
        </row>
        <row r="37">
          <cell r="AJ37">
            <v>23697725</v>
          </cell>
        </row>
        <row r="38">
          <cell r="AJ38">
            <v>19801477</v>
          </cell>
        </row>
        <row r="39">
          <cell r="AJ39">
            <v>3896248</v>
          </cell>
        </row>
        <row r="41">
          <cell r="AJ41">
            <v>1500710</v>
          </cell>
        </row>
        <row r="42">
          <cell r="AJ42">
            <v>854300</v>
          </cell>
        </row>
        <row r="43">
          <cell r="AJ43">
            <v>646410</v>
          </cell>
        </row>
        <row r="61">
          <cell r="AJ61">
            <v>743609.57499999995</v>
          </cell>
        </row>
        <row r="65">
          <cell r="AJ65">
            <v>35562</v>
          </cell>
        </row>
        <row r="66">
          <cell r="AJ66">
            <v>32896</v>
          </cell>
        </row>
        <row r="70">
          <cell r="AJ70">
            <v>12911</v>
          </cell>
        </row>
        <row r="71">
          <cell r="AJ71">
            <v>122</v>
          </cell>
        </row>
        <row r="174">
          <cell r="AJ174">
            <v>0</v>
          </cell>
        </row>
        <row r="175">
          <cell r="AJ175">
            <v>425360</v>
          </cell>
        </row>
        <row r="176">
          <cell r="AJ176">
            <v>0</v>
          </cell>
        </row>
        <row r="177">
          <cell r="AJ177">
            <v>4019590</v>
          </cell>
        </row>
        <row r="180">
          <cell r="AJ180">
            <v>740000</v>
          </cell>
        </row>
        <row r="181">
          <cell r="AJ181">
            <v>422500</v>
          </cell>
        </row>
        <row r="182">
          <cell r="AJ182">
            <v>16559300</v>
          </cell>
        </row>
        <row r="183">
          <cell r="AJ183">
            <v>140000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ember"/>
    </sheetNames>
    <sheetDataSet>
      <sheetData sheetId="0">
        <row r="9">
          <cell r="AL9">
            <v>40452040</v>
          </cell>
        </row>
        <row r="10">
          <cell r="AL10">
            <v>40375140</v>
          </cell>
        </row>
        <row r="13">
          <cell r="AL13">
            <v>932560</v>
          </cell>
        </row>
        <row r="14">
          <cell r="AL14">
            <v>931750</v>
          </cell>
        </row>
        <row r="19">
          <cell r="AL19">
            <v>31</v>
          </cell>
        </row>
        <row r="20">
          <cell r="AL20">
            <v>42842172</v>
          </cell>
        </row>
        <row r="21">
          <cell r="AL21">
            <v>1715005</v>
          </cell>
        </row>
        <row r="22">
          <cell r="AL22">
            <v>7.7377419354838697</v>
          </cell>
        </row>
        <row r="23">
          <cell r="AL23">
            <v>0.37322580645161302</v>
          </cell>
        </row>
        <row r="24">
          <cell r="AL24">
            <v>2.1551612903225799</v>
          </cell>
        </row>
        <row r="26">
          <cell r="AL26">
            <v>41854300</v>
          </cell>
        </row>
        <row r="27">
          <cell r="AL27">
            <v>2372695</v>
          </cell>
        </row>
        <row r="29">
          <cell r="AL29">
            <v>37173360</v>
          </cell>
        </row>
        <row r="30">
          <cell r="AL30">
            <v>30739375</v>
          </cell>
        </row>
        <row r="31">
          <cell r="AL31">
            <v>6433985</v>
          </cell>
        </row>
        <row r="34">
          <cell r="AL34">
            <v>2213720</v>
          </cell>
        </row>
        <row r="35">
          <cell r="AL35">
            <v>1285730</v>
          </cell>
        </row>
        <row r="36">
          <cell r="AL36">
            <v>927990</v>
          </cell>
        </row>
        <row r="45">
          <cell r="AL45">
            <v>580909</v>
          </cell>
        </row>
        <row r="47">
          <cell r="AL47">
            <v>34591</v>
          </cell>
        </row>
        <row r="49">
          <cell r="AL49">
            <v>29398.799999999999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Packaging"/>
      <sheetName val="Utility"/>
      <sheetName val="Downtime"/>
      <sheetName val="CPO"/>
      <sheetName val="Outgoing Product"/>
      <sheetName val="Salvaco to Customer"/>
    </sheetNames>
    <sheetDataSet>
      <sheetData sheetId="0" refreshError="1">
        <row r="35">
          <cell r="E35">
            <v>10717908</v>
          </cell>
        </row>
        <row r="36">
          <cell r="E36">
            <v>10014161</v>
          </cell>
        </row>
        <row r="37">
          <cell r="E37">
            <v>526606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"/>
    </sheetNames>
    <sheetDataSet>
      <sheetData sheetId="0" refreshError="1">
        <row r="47">
          <cell r="AK47">
            <v>17110.8</v>
          </cell>
        </row>
        <row r="102">
          <cell r="AK102">
            <v>5716.4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 In-Out"/>
      <sheetName val="TOTAL"/>
      <sheetName val="Downgrade Oil"/>
    </sheetNames>
    <sheetDataSet>
      <sheetData sheetId="0">
        <row r="164">
          <cell r="D164">
            <v>107500</v>
          </cell>
          <cell r="F164">
            <v>10628910</v>
          </cell>
          <cell r="G164">
            <v>9793180</v>
          </cell>
        </row>
        <row r="165">
          <cell r="D165">
            <v>494500</v>
          </cell>
          <cell r="F165">
            <v>14221070</v>
          </cell>
          <cell r="G165">
            <v>15894980</v>
          </cell>
        </row>
        <row r="166">
          <cell r="D166">
            <v>427500</v>
          </cell>
          <cell r="F166">
            <v>13373710</v>
          </cell>
          <cell r="G166">
            <v>10374970</v>
          </cell>
        </row>
        <row r="167">
          <cell r="D167">
            <v>86000</v>
          </cell>
          <cell r="F167">
            <v>12317960</v>
          </cell>
          <cell r="G167">
            <v>9332110</v>
          </cell>
        </row>
        <row r="168">
          <cell r="D168">
            <v>105000</v>
          </cell>
          <cell r="F168">
            <v>6309960</v>
          </cell>
          <cell r="G168">
            <v>11745760</v>
          </cell>
        </row>
        <row r="169">
          <cell r="D169">
            <v>761000</v>
          </cell>
          <cell r="F169">
            <v>9755710</v>
          </cell>
          <cell r="G169">
            <v>25036050</v>
          </cell>
        </row>
        <row r="170">
          <cell r="D170">
            <v>463500</v>
          </cell>
          <cell r="F170">
            <v>3356570</v>
          </cell>
          <cell r="G170">
            <v>28527800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EMAKAIAN VITAMIN A"/>
      <sheetName val="PACKING TAPE"/>
      <sheetName val="Reject Material"/>
    </sheetNames>
    <sheetDataSet>
      <sheetData sheetId="0">
        <row r="5">
          <cell r="D5">
            <v>7417</v>
          </cell>
        </row>
        <row r="6">
          <cell r="D6">
            <v>11144</v>
          </cell>
        </row>
        <row r="7">
          <cell r="D7">
            <v>11262</v>
          </cell>
        </row>
        <row r="8">
          <cell r="D8">
            <v>17562</v>
          </cell>
        </row>
        <row r="9">
          <cell r="D9">
            <v>112</v>
          </cell>
        </row>
        <row r="10">
          <cell r="D10">
            <v>13691</v>
          </cell>
        </row>
        <row r="11">
          <cell r="D11">
            <v>21339</v>
          </cell>
        </row>
        <row r="12">
          <cell r="D12">
            <v>17979</v>
          </cell>
        </row>
      </sheetData>
      <sheetData sheetId="1">
        <row r="7">
          <cell r="E7">
            <v>8</v>
          </cell>
        </row>
        <row r="8">
          <cell r="E8">
            <v>59</v>
          </cell>
        </row>
        <row r="9">
          <cell r="E9">
            <v>100</v>
          </cell>
        </row>
        <row r="10">
          <cell r="E10">
            <v>101</v>
          </cell>
        </row>
        <row r="11">
          <cell r="E11">
            <v>157</v>
          </cell>
        </row>
        <row r="12">
          <cell r="E12">
            <v>1</v>
          </cell>
        </row>
        <row r="13">
          <cell r="E13">
            <v>122</v>
          </cell>
        </row>
        <row r="14">
          <cell r="E14">
            <v>190</v>
          </cell>
        </row>
        <row r="15">
          <cell r="E15">
            <v>160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35"/>
  <sheetViews>
    <sheetView showGridLines="0" tabSelected="1"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Y17" sqref="Y17"/>
    </sheetView>
  </sheetViews>
  <sheetFormatPr defaultColWidth="12.5703125" defaultRowHeight="15.75"/>
  <cols>
    <col min="1" max="1" width="13.5703125" style="220" customWidth="1"/>
    <col min="2" max="2" width="27.42578125" style="220" customWidth="1"/>
    <col min="3" max="3" width="10.7109375" style="220" customWidth="1"/>
    <col min="4" max="4" width="14.140625" style="220" customWidth="1"/>
    <col min="5" max="5" width="14.5703125" style="220" bestFit="1" customWidth="1"/>
    <col min="6" max="17" width="14" style="220" bestFit="1" customWidth="1"/>
    <col min="18" max="18" width="2.42578125" style="220" customWidth="1"/>
    <col min="19" max="19" width="17" style="220" customWidth="1"/>
    <col min="20" max="20" width="15.140625" style="414" hidden="1" customWidth="1"/>
    <col min="21" max="21" width="15.5703125" style="220" hidden="1" customWidth="1"/>
    <col min="22" max="22" width="0" style="220" hidden="1" customWidth="1"/>
    <col min="23" max="16384" width="12.5703125" style="220"/>
  </cols>
  <sheetData>
    <row r="1" spans="2:21" ht="12.75" customHeight="1"/>
    <row r="2" spans="2:21" ht="24.95" customHeight="1">
      <c r="B2" s="442" t="s">
        <v>0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</row>
    <row r="4" spans="2:21" customFormat="1" thickBot="1">
      <c r="B4" s="220"/>
      <c r="C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S4" s="220"/>
      <c r="T4" s="415"/>
    </row>
    <row r="5" spans="2:21" ht="18" customHeight="1" thickBot="1">
      <c r="B5" s="222" t="s">
        <v>1</v>
      </c>
      <c r="C5" s="222"/>
      <c r="F5" s="439">
        <v>2020</v>
      </c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1"/>
      <c r="S5" s="287" t="s">
        <v>2</v>
      </c>
    </row>
    <row r="6" spans="2:21" ht="18" customHeight="1">
      <c r="B6" s="430" t="s">
        <v>3</v>
      </c>
      <c r="C6" s="431"/>
      <c r="D6" s="431"/>
      <c r="E6" s="431"/>
      <c r="F6" s="224">
        <v>20</v>
      </c>
      <c r="G6" s="225">
        <v>29</v>
      </c>
      <c r="H6" s="225">
        <v>31</v>
      </c>
      <c r="I6" s="225">
        <v>29</v>
      </c>
      <c r="J6" s="225">
        <v>22</v>
      </c>
      <c r="K6" s="225">
        <v>30</v>
      </c>
      <c r="L6" s="225">
        <v>23</v>
      </c>
      <c r="M6" s="225">
        <v>17</v>
      </c>
      <c r="N6" s="225">
        <v>22</v>
      </c>
      <c r="O6" s="225">
        <v>13</v>
      </c>
      <c r="P6" s="225">
        <v>17</v>
      </c>
      <c r="Q6" s="288">
        <v>31</v>
      </c>
      <c r="S6" s="445">
        <f>SUM(F6:Q6)</f>
        <v>284</v>
      </c>
    </row>
    <row r="7" spans="2:21" ht="18" customHeight="1" thickBot="1">
      <c r="B7" s="226" t="s">
        <v>4</v>
      </c>
      <c r="C7" s="227"/>
      <c r="D7" s="228" t="s">
        <v>5</v>
      </c>
      <c r="E7" s="228" t="s">
        <v>6</v>
      </c>
      <c r="F7" s="229" t="s">
        <v>7</v>
      </c>
      <c r="G7" s="230" t="s">
        <v>8</v>
      </c>
      <c r="H7" s="230" t="s">
        <v>9</v>
      </c>
      <c r="I7" s="230" t="s">
        <v>10</v>
      </c>
      <c r="J7" s="230" t="s">
        <v>11</v>
      </c>
      <c r="K7" s="230" t="s">
        <v>12</v>
      </c>
      <c r="L7" s="230" t="s">
        <v>13</v>
      </c>
      <c r="M7" s="230" t="s">
        <v>14</v>
      </c>
      <c r="N7" s="230" t="s">
        <v>15</v>
      </c>
      <c r="O7" s="230" t="s">
        <v>16</v>
      </c>
      <c r="P7" s="230" t="s">
        <v>17</v>
      </c>
      <c r="Q7" s="289" t="s">
        <v>18</v>
      </c>
      <c r="S7" s="429"/>
      <c r="T7" s="414" t="s">
        <v>231</v>
      </c>
    </row>
    <row r="8" spans="2:21" ht="18" customHeight="1">
      <c r="B8" s="386" t="s">
        <v>19</v>
      </c>
      <c r="C8" s="387"/>
      <c r="D8" s="388">
        <v>1</v>
      </c>
      <c r="E8" s="389">
        <v>1</v>
      </c>
      <c r="F8" s="390">
        <f t="shared" ref="F8:Q8" si="0">SUM(F9:F10)</f>
        <v>31386.719000000001</v>
      </c>
      <c r="G8" s="391">
        <f t="shared" si="0"/>
        <v>47885.813000000002</v>
      </c>
      <c r="H8" s="391">
        <f t="shared" si="0"/>
        <v>45905.106</v>
      </c>
      <c r="I8" s="391">
        <f t="shared" si="0"/>
        <v>54213.038</v>
      </c>
      <c r="J8" s="391">
        <f t="shared" si="0"/>
        <v>36539.131999999998</v>
      </c>
      <c r="K8" s="391">
        <f t="shared" si="0"/>
        <v>51486.063999999998</v>
      </c>
      <c r="L8" s="391">
        <f t="shared" si="0"/>
        <v>32365.656000000003</v>
      </c>
      <c r="M8" s="391">
        <f t="shared" si="0"/>
        <v>18178.234999999997</v>
      </c>
      <c r="N8" s="391">
        <f t="shared" si="0"/>
        <v>18575.115000000002</v>
      </c>
      <c r="O8" s="391">
        <f t="shared" si="0"/>
        <v>16057.200999999999</v>
      </c>
      <c r="P8" s="391">
        <f t="shared" si="0"/>
        <v>26096.55599999995</v>
      </c>
      <c r="Q8" s="392">
        <f t="shared" si="0"/>
        <v>44557.176999999996</v>
      </c>
      <c r="R8" s="393"/>
      <c r="S8" s="394">
        <f>SUM(F8:Q8)</f>
        <v>423245.81199999992</v>
      </c>
      <c r="T8" s="416">
        <f>S8*1000</f>
        <v>423245811.99999994</v>
      </c>
      <c r="U8" s="220">
        <f>S8/S6</f>
        <v>1490.3021549295772</v>
      </c>
    </row>
    <row r="9" spans="2:21" ht="18" customHeight="1">
      <c r="B9" s="351" t="s">
        <v>20</v>
      </c>
      <c r="D9" s="235"/>
      <c r="E9" s="232"/>
      <c r="F9" s="236">
        <f>'Monthly-Prod'!E25/1000</f>
        <v>31386.719000000001</v>
      </c>
      <c r="G9" s="237">
        <f>'Monthly-Prod'!F25/1000</f>
        <v>47885.813000000002</v>
      </c>
      <c r="H9" s="237">
        <f>'Monthly-Prod'!G25/1000</f>
        <v>45905.106</v>
      </c>
      <c r="I9" s="237">
        <f>'Monthly-Prod'!H25/1000</f>
        <v>54213.038</v>
      </c>
      <c r="J9" s="237">
        <f>'Monthly-Prod'!I25/1000</f>
        <v>36539.131999999998</v>
      </c>
      <c r="K9" s="237">
        <f>'Monthly-Prod'!J25/1000</f>
        <v>51486.063999999998</v>
      </c>
      <c r="L9" s="237">
        <f>'Monthly-Prod'!K25/1000</f>
        <v>31253.915000000001</v>
      </c>
      <c r="M9" s="237">
        <f>'Monthly-Prod'!L25/1000</f>
        <v>17543.223999999998</v>
      </c>
      <c r="N9" s="237">
        <f>'Monthly-Prod'!M25/1000</f>
        <v>18225.883000000002</v>
      </c>
      <c r="O9" s="237">
        <f>'Monthly-Prod'!N25/1000</f>
        <v>15438.945</v>
      </c>
      <c r="P9" s="237">
        <f>'Monthly-Prod'!O25/1000</f>
        <v>25857.293477095001</v>
      </c>
      <c r="Q9" s="292">
        <f>'Monthly-Prod'!P25/1000</f>
        <v>42842.171999999999</v>
      </c>
      <c r="S9" s="293">
        <f t="shared" ref="S9:S15" si="1">SUM(F9:Q9)</f>
        <v>418577.30447709502</v>
      </c>
    </row>
    <row r="10" spans="2:21" ht="18" customHeight="1">
      <c r="B10" s="352" t="s">
        <v>21</v>
      </c>
      <c r="C10" s="235"/>
      <c r="D10" s="235"/>
      <c r="E10" s="232"/>
      <c r="F10" s="236">
        <v>0</v>
      </c>
      <c r="G10" s="237">
        <v>0</v>
      </c>
      <c r="H10" s="237">
        <v>0</v>
      </c>
      <c r="I10" s="237">
        <v>0</v>
      </c>
      <c r="J10" s="237">
        <v>0</v>
      </c>
      <c r="K10" s="237">
        <v>0</v>
      </c>
      <c r="L10" s="237">
        <f>'Monthly-Prod'!K26/1000</f>
        <v>1111.741</v>
      </c>
      <c r="M10" s="237">
        <f>'Monthly-Prod'!L26/1000</f>
        <v>635.01099999999997</v>
      </c>
      <c r="N10" s="237">
        <f>'Monthly-Prod'!M26/1000</f>
        <v>349.23200000000003</v>
      </c>
      <c r="O10" s="237">
        <f>'Monthly-Prod'!N26/1000</f>
        <v>618.25599999999997</v>
      </c>
      <c r="P10" s="237">
        <f>'Monthly-Prod'!O26/1000</f>
        <v>239.26252290494901</v>
      </c>
      <c r="Q10" s="292">
        <f>'Monthly-Prod'!P26/1000</f>
        <v>1715.0050000000001</v>
      </c>
      <c r="S10" s="293">
        <f t="shared" si="1"/>
        <v>4668.5075229049489</v>
      </c>
    </row>
    <row r="11" spans="2:21" ht="18" customHeight="1">
      <c r="B11" s="231" t="s">
        <v>22</v>
      </c>
      <c r="C11" s="223"/>
      <c r="D11" s="222"/>
      <c r="E11" s="232"/>
      <c r="F11" s="236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92"/>
      <c r="R11" s="237"/>
      <c r="S11" s="294"/>
    </row>
    <row r="12" spans="2:21" ht="18" customHeight="1">
      <c r="B12" s="395" t="s">
        <v>23</v>
      </c>
      <c r="C12" s="393"/>
      <c r="D12" s="388">
        <v>0.94199999999999995</v>
      </c>
      <c r="E12" s="389">
        <f>S12/S8</f>
        <v>0.94576361454936286</v>
      </c>
      <c r="F12" s="396">
        <f>'Monthly-Prod'!E31/1000</f>
        <v>29721.7</v>
      </c>
      <c r="G12" s="397">
        <f>'Monthly-Prod'!F31/1000</f>
        <v>45410</v>
      </c>
      <c r="H12" s="397">
        <f>'Monthly-Prod'!G31/1000</f>
        <v>43605.3</v>
      </c>
      <c r="I12" s="397">
        <f>'Monthly-Prod'!H31/1000</f>
        <v>51512.461000000003</v>
      </c>
      <c r="J12" s="397">
        <f>'Monthly-Prod'!I31/1000</f>
        <v>34773.258999999998</v>
      </c>
      <c r="K12" s="397">
        <f>'Monthly-Prod'!J31/1000</f>
        <v>48874.8</v>
      </c>
      <c r="L12" s="397">
        <f>'Monthly-Prod'!K31/1000</f>
        <v>30439.289000000001</v>
      </c>
      <c r="M12" s="397">
        <f>'Monthly-Prod'!L31/1000</f>
        <v>17113.975999999999</v>
      </c>
      <c r="N12" s="397">
        <f>'Monthly-Prod'!M31/1000</f>
        <v>17465.387999999999</v>
      </c>
      <c r="O12" s="397">
        <f>'Monthly-Prod'!N31/1000</f>
        <v>15021.516</v>
      </c>
      <c r="P12" s="397">
        <f>'Monthly-Prod'!O31/1000</f>
        <v>24498.5</v>
      </c>
      <c r="Q12" s="398">
        <f>'Monthly-Prod'!P31/1000</f>
        <v>41854.300000000003</v>
      </c>
      <c r="R12" s="397"/>
      <c r="S12" s="399">
        <f t="shared" si="1"/>
        <v>400290.489</v>
      </c>
      <c r="T12" s="417">
        <f>S12*1000</f>
        <v>400290489</v>
      </c>
    </row>
    <row r="13" spans="2:21" ht="18" customHeight="1">
      <c r="B13" s="238" t="s">
        <v>24</v>
      </c>
      <c r="C13" s="239"/>
      <c r="D13" s="240"/>
      <c r="E13" s="241"/>
      <c r="F13" s="242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95"/>
      <c r="R13" s="237"/>
      <c r="S13" s="296"/>
      <c r="T13" s="418">
        <f>T12/T8*100</f>
        <v>94.576361454936276</v>
      </c>
    </row>
    <row r="14" spans="2:21" ht="18" customHeight="1">
      <c r="B14" s="351" t="s">
        <v>25</v>
      </c>
      <c r="E14" s="232"/>
      <c r="F14" s="236">
        <f t="shared" ref="F14:Q14" si="2">SUM(F17,F20)</f>
        <v>28475.438000000002</v>
      </c>
      <c r="G14" s="237">
        <f t="shared" si="2"/>
        <v>34911.29</v>
      </c>
      <c r="H14" s="237">
        <f t="shared" si="2"/>
        <v>42598.542000000001</v>
      </c>
      <c r="I14" s="237">
        <f t="shared" si="2"/>
        <v>30611.75</v>
      </c>
      <c r="J14" s="237">
        <f t="shared" si="2"/>
        <v>21950.702999999998</v>
      </c>
      <c r="K14" s="237">
        <f t="shared" si="2"/>
        <v>41356.224999999999</v>
      </c>
      <c r="L14" s="237">
        <f t="shared" si="2"/>
        <v>24638.014999999999</v>
      </c>
      <c r="M14" s="237">
        <f t="shared" si="2"/>
        <v>15187.927</v>
      </c>
      <c r="N14" s="237">
        <f t="shared" si="2"/>
        <v>14186.771000000001</v>
      </c>
      <c r="O14" s="237">
        <f t="shared" si="2"/>
        <v>7292.4100000000008</v>
      </c>
      <c r="P14" s="237">
        <f t="shared" si="2"/>
        <v>23697.724999999999</v>
      </c>
      <c r="Q14" s="292">
        <f t="shared" si="2"/>
        <v>37173.360000000001</v>
      </c>
      <c r="R14" s="237"/>
      <c r="S14" s="293">
        <f t="shared" si="1"/>
        <v>322080.15600000002</v>
      </c>
    </row>
    <row r="15" spans="2:21" ht="18" customHeight="1">
      <c r="B15" s="351" t="s">
        <v>26</v>
      </c>
      <c r="E15" s="232"/>
      <c r="F15" s="236">
        <f t="shared" ref="F15:Q15" si="3">SUM(F18,F21)</f>
        <v>0</v>
      </c>
      <c r="G15" s="237">
        <f t="shared" si="3"/>
        <v>102.527</v>
      </c>
      <c r="H15" s="237">
        <f t="shared" si="3"/>
        <v>654.91499999999996</v>
      </c>
      <c r="I15" s="237">
        <f t="shared" si="3"/>
        <v>1120</v>
      </c>
      <c r="J15" s="237">
        <f t="shared" si="3"/>
        <v>1196.2779999999998</v>
      </c>
      <c r="K15" s="237">
        <f t="shared" si="3"/>
        <v>1512.3000000000002</v>
      </c>
      <c r="L15" s="237">
        <f t="shared" si="3"/>
        <v>279.58799999999997</v>
      </c>
      <c r="M15" s="237">
        <f t="shared" si="3"/>
        <v>1282.6199999999999</v>
      </c>
      <c r="N15" s="237">
        <f t="shared" si="3"/>
        <v>2043.3850000000002</v>
      </c>
      <c r="O15" s="237">
        <f t="shared" si="3"/>
        <v>1577.7800000000002</v>
      </c>
      <c r="P15" s="237">
        <f t="shared" si="3"/>
        <v>1500.71</v>
      </c>
      <c r="Q15" s="292">
        <f t="shared" si="3"/>
        <v>2213.7200000000003</v>
      </c>
      <c r="R15" s="237"/>
      <c r="S15" s="293">
        <f t="shared" si="1"/>
        <v>13483.823</v>
      </c>
      <c r="T15" s="417">
        <f>S14+S15</f>
        <v>335563.97899999999</v>
      </c>
      <c r="U15" s="427"/>
    </row>
    <row r="16" spans="2:21" ht="18" customHeight="1">
      <c r="B16" s="231" t="s">
        <v>27</v>
      </c>
      <c r="C16" s="223"/>
      <c r="D16" s="222"/>
      <c r="E16" s="232"/>
      <c r="F16" s="236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92"/>
      <c r="R16" s="237"/>
      <c r="S16" s="294"/>
    </row>
    <row r="17" spans="2:21" s="270" customFormat="1" ht="18" customHeight="1">
      <c r="B17" s="353" t="s">
        <v>28</v>
      </c>
      <c r="D17" s="401">
        <v>0.82</v>
      </c>
      <c r="E17" s="281">
        <f>S17/S14</f>
        <v>0.82677120598513365</v>
      </c>
      <c r="F17" s="271">
        <f>'Monthly-Prod'!E35/1000</f>
        <v>23485.058000000001</v>
      </c>
      <c r="G17" s="272">
        <f>'Monthly-Prod'!F35/1000</f>
        <v>28896.63</v>
      </c>
      <c r="H17" s="272">
        <f>'Monthly-Prod'!G35/1000</f>
        <v>35239.042000000001</v>
      </c>
      <c r="I17" s="272">
        <f>'Monthly-Prod'!H35/1000</f>
        <v>25269.358</v>
      </c>
      <c r="J17" s="272">
        <f>'Monthly-Prod'!I35/1000</f>
        <v>18191.368999999999</v>
      </c>
      <c r="K17" s="272">
        <f>'Monthly-Prod'!J35/1000</f>
        <v>34175.133000000002</v>
      </c>
      <c r="L17" s="272">
        <f>'Monthly-Prod'!K35/1000</f>
        <v>20368.572</v>
      </c>
      <c r="M17" s="272">
        <f>'Monthly-Prod'!L35/1000</f>
        <v>12564.411</v>
      </c>
      <c r="N17" s="272">
        <f>'Monthly-Prod'!M35/1000</f>
        <v>11634.596</v>
      </c>
      <c r="O17" s="272">
        <f>'Monthly-Prod'!N35/1000</f>
        <v>5921.5780000000004</v>
      </c>
      <c r="P17" s="272">
        <f>'Monthly-Prod'!O35/1000</f>
        <v>19801.476999999999</v>
      </c>
      <c r="Q17" s="307">
        <f>'Monthly-Prod'!P35/1000</f>
        <v>30739.375</v>
      </c>
      <c r="R17" s="272"/>
      <c r="S17" s="339">
        <f>SUM(F17:Q17)</f>
        <v>266286.59899999999</v>
      </c>
      <c r="T17" s="425">
        <f>S17*1000</f>
        <v>266286599</v>
      </c>
    </row>
    <row r="18" spans="2:21" s="270" customFormat="1" ht="18" customHeight="1">
      <c r="B18" s="402" t="s">
        <v>26</v>
      </c>
      <c r="C18" s="403"/>
      <c r="D18" s="401">
        <v>0.57999999999999996</v>
      </c>
      <c r="E18" s="281">
        <f>S18/S15</f>
        <v>0.52473723512982928</v>
      </c>
      <c r="F18" s="271">
        <v>0</v>
      </c>
      <c r="G18" s="272">
        <f>'Monthly-Prod'!F39/1000</f>
        <v>49.027000000000001</v>
      </c>
      <c r="H18" s="272">
        <f>'Monthly-Prod'!G39/1000</f>
        <v>358.86500000000001</v>
      </c>
      <c r="I18" s="272">
        <f>'Monthly-Prod'!H39/1000</f>
        <v>575.81200000000001</v>
      </c>
      <c r="J18" s="272">
        <f>'Monthly-Prod'!I39/1000</f>
        <v>602.22299999999996</v>
      </c>
      <c r="K18" s="272">
        <f>'Monthly-Prod'!J39/1000</f>
        <v>731.84500000000003</v>
      </c>
      <c r="L18" s="272">
        <f>'Monthly-Prod'!K39/1000</f>
        <v>140.988</v>
      </c>
      <c r="M18" s="272">
        <f>'Monthly-Prod'!L39/1000</f>
        <v>640.32000000000005</v>
      </c>
      <c r="N18" s="272">
        <f>'Monthly-Prod'!M39/1000</f>
        <v>1001.687</v>
      </c>
      <c r="O18" s="272">
        <f>'Monthly-Prod'!N39/1000</f>
        <v>834.66700000000003</v>
      </c>
      <c r="P18" s="272">
        <f>'Monthly-Prod'!O39/1000</f>
        <v>854.3</v>
      </c>
      <c r="Q18" s="307">
        <f>'Monthly-Prod'!P39/1000</f>
        <v>1285.73</v>
      </c>
      <c r="R18" s="272"/>
      <c r="S18" s="339">
        <f>SUM(F18:Q18)</f>
        <v>7075.4639999999999</v>
      </c>
      <c r="T18" s="425">
        <f>S18*1000</f>
        <v>7075464</v>
      </c>
      <c r="U18" s="426">
        <f>T17+T18</f>
        <v>273362063</v>
      </c>
    </row>
    <row r="19" spans="2:21" s="270" customFormat="1" ht="18" customHeight="1">
      <c r="B19" s="267" t="s">
        <v>29</v>
      </c>
      <c r="C19" s="268"/>
      <c r="D19" s="401"/>
      <c r="E19" s="281"/>
      <c r="F19" s="271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307"/>
      <c r="R19" s="272"/>
      <c r="S19" s="404"/>
      <c r="T19" s="419"/>
    </row>
    <row r="20" spans="2:21" s="270" customFormat="1" ht="18" customHeight="1">
      <c r="B20" s="402" t="s">
        <v>30</v>
      </c>
      <c r="C20" s="403"/>
      <c r="D20" s="401">
        <v>0.18</v>
      </c>
      <c r="E20" s="405">
        <f>S20/S14</f>
        <v>0.17322879401486629</v>
      </c>
      <c r="F20" s="271">
        <f>'Monthly-Prod'!E36/1000</f>
        <v>4990.38</v>
      </c>
      <c r="G20" s="272">
        <f>'Monthly-Prod'!F36/1000</f>
        <v>6014.66</v>
      </c>
      <c r="H20" s="272">
        <f>'Monthly-Prod'!G36/1000</f>
        <v>7359.5</v>
      </c>
      <c r="I20" s="272">
        <f>'Monthly-Prod'!H36/1000</f>
        <v>5342.3919999999998</v>
      </c>
      <c r="J20" s="272">
        <f>'Monthly-Prod'!I36/1000</f>
        <v>3759.3339999999998</v>
      </c>
      <c r="K20" s="272">
        <f>'Monthly-Prod'!J36/1000</f>
        <v>7181.0919999999996</v>
      </c>
      <c r="L20" s="272">
        <f>'Monthly-Prod'!K36/1000</f>
        <v>4269.4430000000002</v>
      </c>
      <c r="M20" s="272">
        <f>'Monthly-Prod'!L36/1000</f>
        <v>2623.5160000000001</v>
      </c>
      <c r="N20" s="272">
        <f>'Monthly-Prod'!M36/1000</f>
        <v>2552.1750000000002</v>
      </c>
      <c r="O20" s="272">
        <f>'Monthly-Prod'!N36/1000</f>
        <v>1370.8320000000001</v>
      </c>
      <c r="P20" s="272">
        <f>'Monthly-Prod'!O36/1000</f>
        <v>3896.248</v>
      </c>
      <c r="Q20" s="307">
        <f>'Monthly-Prod'!P36/1000</f>
        <v>6433.9849999999997</v>
      </c>
      <c r="R20" s="272"/>
      <c r="S20" s="339">
        <f>SUM(F20:Q20)</f>
        <v>55793.557000000008</v>
      </c>
      <c r="T20" s="425">
        <f>S20+S21</f>
        <v>62201.916000000012</v>
      </c>
    </row>
    <row r="21" spans="2:21" s="270" customFormat="1" ht="18" customHeight="1">
      <c r="B21" s="406" t="s">
        <v>31</v>
      </c>
      <c r="C21" s="407"/>
      <c r="D21" s="408">
        <v>0.42</v>
      </c>
      <c r="E21" s="409">
        <f>S21/S15</f>
        <v>0.47526276487017072</v>
      </c>
      <c r="F21" s="410">
        <v>0</v>
      </c>
      <c r="G21" s="411">
        <f>'Monthly-Prod'!F40/1000</f>
        <v>53.5</v>
      </c>
      <c r="H21" s="411">
        <f>'Monthly-Prod'!G40/1000</f>
        <v>296.05</v>
      </c>
      <c r="I21" s="411">
        <f>'Monthly-Prod'!H40/1000</f>
        <v>544.18799999999999</v>
      </c>
      <c r="J21" s="411">
        <f>'Monthly-Prod'!I40/1000</f>
        <v>594.05499999999995</v>
      </c>
      <c r="K21" s="411">
        <f>'Monthly-Prod'!J40/1000</f>
        <v>780.45500000000004</v>
      </c>
      <c r="L21" s="411">
        <f>'Monthly-Prod'!K40/1000</f>
        <v>138.6</v>
      </c>
      <c r="M21" s="411">
        <f>'Monthly-Prod'!L40/1000</f>
        <v>642.29999999999995</v>
      </c>
      <c r="N21" s="411">
        <f>'Monthly-Prod'!M40/1000</f>
        <v>1041.6980000000001</v>
      </c>
      <c r="O21" s="411">
        <f>'Monthly-Prod'!N40/1000</f>
        <v>743.11300000000006</v>
      </c>
      <c r="P21" s="411">
        <f>'Monthly-Prod'!O40/1000</f>
        <v>646.41</v>
      </c>
      <c r="Q21" s="412">
        <f>'Monthly-Prod'!P40/1000</f>
        <v>927.99</v>
      </c>
      <c r="R21" s="272"/>
      <c r="S21" s="413">
        <f>SUM(F21:Q21)</f>
        <v>6408.3590000000004</v>
      </c>
      <c r="T21" s="419"/>
    </row>
    <row r="22" spans="2:21" ht="18" customHeight="1">
      <c r="B22" s="400" t="s">
        <v>32</v>
      </c>
      <c r="C22" s="393"/>
      <c r="D22" s="388">
        <v>0.05</v>
      </c>
      <c r="E22" s="389">
        <f>S22/S8</f>
        <v>4.6788788009318814E-2</v>
      </c>
      <c r="F22" s="396">
        <f>'Monthly-Prod'!E32/1000</f>
        <v>1457.818</v>
      </c>
      <c r="G22" s="397">
        <f>'Monthly-Prod'!F32/1000</f>
        <v>2122.2640000000001</v>
      </c>
      <c r="H22" s="397">
        <f>'Monthly-Prod'!G32/1000</f>
        <v>1980.4269999999999</v>
      </c>
      <c r="I22" s="397">
        <f>'Monthly-Prod'!H32/1000</f>
        <v>2269.6390000000001</v>
      </c>
      <c r="J22" s="397">
        <f>'Monthly-Prod'!I32/1000</f>
        <v>1540.6320000000001</v>
      </c>
      <c r="K22" s="397">
        <f>'Monthly-Prod'!J32/1000</f>
        <v>2224.2350000000001</v>
      </c>
      <c r="L22" s="397">
        <f>'Monthly-Prod'!K32/1000</f>
        <v>1620.8969999999999</v>
      </c>
      <c r="M22" s="397">
        <f>'Monthly-Prod'!L32/1000</f>
        <v>910.72957350000001</v>
      </c>
      <c r="N22" s="397">
        <f>'Monthly-Prod'!M32/1000</f>
        <v>981.00800000000004</v>
      </c>
      <c r="O22" s="397">
        <f>'Monthly-Prod'!N32/1000</f>
        <v>928.178</v>
      </c>
      <c r="P22" s="397">
        <f>'Monthly-Prod'!O32/1000</f>
        <v>1394.636</v>
      </c>
      <c r="Q22" s="398">
        <f>'Monthly-Prod'!P32/1000</f>
        <v>2372.6950000000002</v>
      </c>
      <c r="R22" s="397"/>
      <c r="S22" s="399">
        <f>SUM(F22:Q22)</f>
        <v>19803.158573500001</v>
      </c>
      <c r="T22" s="417">
        <f>S22*1000</f>
        <v>19803158.5735</v>
      </c>
    </row>
    <row r="23" spans="2:21" ht="18" customHeight="1" thickBot="1">
      <c r="B23" s="245" t="s">
        <v>33</v>
      </c>
      <c r="C23" s="246"/>
      <c r="D23" s="247">
        <v>8.0000000000000002E-3</v>
      </c>
      <c r="E23" s="248">
        <f>S23/S8</f>
        <v>7.4475974413184013E-3</v>
      </c>
      <c r="F23" s="249">
        <f t="shared" ref="F23:Q23" si="4">F8-SUM(F12,F22)</f>
        <v>207.20100000000093</v>
      </c>
      <c r="G23" s="250">
        <f t="shared" si="4"/>
        <v>353.54899999999907</v>
      </c>
      <c r="H23" s="250">
        <f t="shared" si="4"/>
        <v>319.37899999999354</v>
      </c>
      <c r="I23" s="250">
        <f t="shared" si="4"/>
        <v>430.93799999999464</v>
      </c>
      <c r="J23" s="250">
        <f t="shared" si="4"/>
        <v>225.2410000000018</v>
      </c>
      <c r="K23" s="250">
        <f t="shared" si="4"/>
        <v>387.02899999999499</v>
      </c>
      <c r="L23" s="250">
        <f t="shared" si="4"/>
        <v>305.47000000000116</v>
      </c>
      <c r="M23" s="250">
        <f t="shared" si="4"/>
        <v>153.5294264999975</v>
      </c>
      <c r="N23" s="250">
        <f t="shared" si="4"/>
        <v>128.71900000000096</v>
      </c>
      <c r="O23" s="250">
        <f t="shared" si="4"/>
        <v>107.50699999999961</v>
      </c>
      <c r="P23" s="250">
        <f t="shared" si="4"/>
        <v>203.41999999995096</v>
      </c>
      <c r="Q23" s="297">
        <f t="shared" si="4"/>
        <v>330.18199999999342</v>
      </c>
      <c r="R23" s="237"/>
      <c r="S23" s="298">
        <f>SUM(F23:Q23)</f>
        <v>3152.1644264999286</v>
      </c>
      <c r="T23" s="418">
        <f>T22/T8*100</f>
        <v>4.6788788009318809</v>
      </c>
    </row>
    <row r="24" spans="2:21">
      <c r="T24" s="420"/>
    </row>
    <row r="25" spans="2:21" ht="16.5" thickBot="1"/>
    <row r="26" spans="2:21" ht="18" customHeight="1" thickBot="1">
      <c r="F26" s="439">
        <v>2020</v>
      </c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1"/>
      <c r="S26" s="299" t="s">
        <v>2</v>
      </c>
    </row>
    <row r="27" spans="2:21" ht="18" customHeight="1">
      <c r="B27" s="430" t="s">
        <v>34</v>
      </c>
      <c r="C27" s="431"/>
      <c r="D27" s="431"/>
      <c r="E27" s="431"/>
      <c r="F27" s="224">
        <v>20</v>
      </c>
      <c r="G27" s="225">
        <v>29</v>
      </c>
      <c r="H27" s="225">
        <v>31</v>
      </c>
      <c r="I27" s="225">
        <v>29</v>
      </c>
      <c r="J27" s="225">
        <v>22</v>
      </c>
      <c r="K27" s="225">
        <v>30</v>
      </c>
      <c r="L27" s="225">
        <v>23</v>
      </c>
      <c r="M27" s="225">
        <v>17</v>
      </c>
      <c r="N27" s="225">
        <v>22</v>
      </c>
      <c r="O27" s="225">
        <v>13</v>
      </c>
      <c r="P27" s="225">
        <v>17</v>
      </c>
      <c r="Q27" s="288">
        <v>31</v>
      </c>
      <c r="S27" s="300">
        <f>SUM(F27:Q27)</f>
        <v>284</v>
      </c>
    </row>
    <row r="28" spans="2:21" ht="18" customHeight="1" thickBot="1">
      <c r="B28" s="432"/>
      <c r="C28" s="433"/>
      <c r="D28" s="433"/>
      <c r="E28" s="433"/>
      <c r="F28" s="229" t="s">
        <v>7</v>
      </c>
      <c r="G28" s="230" t="s">
        <v>8</v>
      </c>
      <c r="H28" s="230" t="s">
        <v>9</v>
      </c>
      <c r="I28" s="230" t="s">
        <v>10</v>
      </c>
      <c r="J28" s="230" t="s">
        <v>11</v>
      </c>
      <c r="K28" s="230" t="s">
        <v>12</v>
      </c>
      <c r="L28" s="230" t="s">
        <v>13</v>
      </c>
      <c r="M28" s="230" t="s">
        <v>14</v>
      </c>
      <c r="N28" s="230" t="s">
        <v>15</v>
      </c>
      <c r="O28" s="230" t="s">
        <v>16</v>
      </c>
      <c r="P28" s="230" t="s">
        <v>17</v>
      </c>
      <c r="Q28" s="289" t="s">
        <v>18</v>
      </c>
      <c r="S28" s="301"/>
    </row>
    <row r="29" spans="2:21" ht="18" customHeight="1">
      <c r="B29" s="231" t="s">
        <v>35</v>
      </c>
      <c r="C29" s="253" t="s">
        <v>5</v>
      </c>
      <c r="D29" s="253" t="s">
        <v>6</v>
      </c>
      <c r="E29" s="232"/>
      <c r="F29" s="236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92"/>
      <c r="S29" s="290"/>
    </row>
    <row r="30" spans="2:21" ht="18" customHeight="1">
      <c r="B30" s="351" t="s">
        <v>36</v>
      </c>
      <c r="C30" s="254">
        <f>(8+18)/2</f>
        <v>13</v>
      </c>
      <c r="D30" s="255">
        <f>S30/S8</f>
        <v>9.4817665909946456</v>
      </c>
      <c r="E30" s="232" t="s">
        <v>37</v>
      </c>
      <c r="F30" s="236">
        <v>248367</v>
      </c>
      <c r="G30" s="237">
        <v>387087</v>
      </c>
      <c r="H30" s="237">
        <v>339582</v>
      </c>
      <c r="I30" s="237">
        <v>402582</v>
      </c>
      <c r="J30" s="237">
        <v>292206</v>
      </c>
      <c r="K30" s="237">
        <v>443004</v>
      </c>
      <c r="L30" s="237">
        <v>286948</v>
      </c>
      <c r="M30" s="237">
        <v>173609</v>
      </c>
      <c r="N30" s="237">
        <v>232892</v>
      </c>
      <c r="O30" s="237">
        <v>180464</v>
      </c>
      <c r="P30" s="237">
        <v>410877</v>
      </c>
      <c r="Q30" s="292">
        <v>615500</v>
      </c>
      <c r="S30" s="293">
        <f>SUM(F30:Q30)</f>
        <v>4013118</v>
      </c>
    </row>
    <row r="31" spans="2:21" ht="18" customHeight="1">
      <c r="B31" s="256" t="s">
        <v>38</v>
      </c>
      <c r="C31" s="254"/>
      <c r="E31" s="232"/>
      <c r="F31" s="236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92"/>
      <c r="R31" s="237"/>
      <c r="S31" s="293"/>
    </row>
    <row r="32" spans="2:21" ht="18" customHeight="1">
      <c r="B32" s="231" t="s">
        <v>39</v>
      </c>
      <c r="C32" s="220">
        <v>0.55000000000000004</v>
      </c>
      <c r="D32" s="257">
        <f>S32/S8</f>
        <v>0.53585073630923485</v>
      </c>
      <c r="E32" s="232" t="s">
        <v>37</v>
      </c>
      <c r="F32" s="236">
        <v>15430.7</v>
      </c>
      <c r="G32" s="237">
        <v>24848.97</v>
      </c>
      <c r="H32" s="237">
        <v>22106.41</v>
      </c>
      <c r="I32" s="237">
        <v>25638.799999999999</v>
      </c>
      <c r="J32" s="237">
        <v>18388</v>
      </c>
      <c r="K32" s="237">
        <v>26661.8</v>
      </c>
      <c r="L32" s="237">
        <v>16921.8</v>
      </c>
      <c r="M32" s="237">
        <v>9616</v>
      </c>
      <c r="N32" s="237">
        <v>11826.7</v>
      </c>
      <c r="O32" s="237">
        <v>8847.7999999999993</v>
      </c>
      <c r="P32" s="237">
        <v>17110.8</v>
      </c>
      <c r="Q32" s="292">
        <v>29398.799999999999</v>
      </c>
      <c r="R32" s="237"/>
      <c r="S32" s="293">
        <f>SUM(F32:Q32)</f>
        <v>226796.57999999996</v>
      </c>
    </row>
    <row r="33" spans="2:20" ht="18" customHeight="1" thickBot="1">
      <c r="B33" s="245"/>
      <c r="C33" s="246"/>
      <c r="D33" s="258"/>
      <c r="E33" s="248"/>
      <c r="F33" s="249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97"/>
      <c r="R33" s="237"/>
      <c r="S33" s="298"/>
    </row>
    <row r="35" spans="2:20" customFormat="1" thickBot="1"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S35" s="220"/>
      <c r="T35" s="421"/>
    </row>
    <row r="36" spans="2:20" ht="17.100000000000001" customHeight="1" thickBot="1">
      <c r="F36" s="439">
        <v>2020</v>
      </c>
      <c r="G36" s="440"/>
      <c r="H36" s="440"/>
      <c r="I36" s="440"/>
      <c r="J36" s="440"/>
      <c r="K36" s="440"/>
      <c r="L36" s="440"/>
      <c r="M36" s="440"/>
      <c r="N36" s="440"/>
      <c r="O36" s="440"/>
      <c r="P36" s="440"/>
      <c r="Q36" s="441"/>
      <c r="S36" s="287" t="s">
        <v>2</v>
      </c>
    </row>
    <row r="37" spans="2:20" ht="17.100000000000001" customHeight="1">
      <c r="B37" s="430" t="s">
        <v>40</v>
      </c>
      <c r="C37" s="431"/>
      <c r="D37" s="431"/>
      <c r="E37" s="431"/>
      <c r="F37" s="259">
        <v>20</v>
      </c>
      <c r="G37" s="260">
        <v>29</v>
      </c>
      <c r="H37" s="260">
        <v>31</v>
      </c>
      <c r="I37" s="260">
        <v>29</v>
      </c>
      <c r="J37" s="260">
        <v>22</v>
      </c>
      <c r="K37" s="260">
        <v>30</v>
      </c>
      <c r="L37" s="260">
        <v>23</v>
      </c>
      <c r="M37" s="260">
        <v>17</v>
      </c>
      <c r="N37" s="260">
        <v>22</v>
      </c>
      <c r="O37" s="260">
        <v>13</v>
      </c>
      <c r="P37" s="260">
        <v>17</v>
      </c>
      <c r="Q37" s="302">
        <v>31</v>
      </c>
      <c r="S37" s="428">
        <f>SUM(F37:Q37)</f>
        <v>284</v>
      </c>
    </row>
    <row r="38" spans="2:20" ht="17.100000000000001" customHeight="1" thickBot="1">
      <c r="B38" s="432"/>
      <c r="C38" s="433"/>
      <c r="D38" s="433"/>
      <c r="E38" s="433"/>
      <c r="F38" s="229" t="s">
        <v>7</v>
      </c>
      <c r="G38" s="230" t="s">
        <v>8</v>
      </c>
      <c r="H38" s="230" t="s">
        <v>9</v>
      </c>
      <c r="I38" s="230" t="s">
        <v>10</v>
      </c>
      <c r="J38" s="230" t="s">
        <v>11</v>
      </c>
      <c r="K38" s="230" t="s">
        <v>12</v>
      </c>
      <c r="L38" s="230" t="s">
        <v>13</v>
      </c>
      <c r="M38" s="230" t="s">
        <v>14</v>
      </c>
      <c r="N38" s="230" t="s">
        <v>15</v>
      </c>
      <c r="O38" s="230" t="s">
        <v>16</v>
      </c>
      <c r="P38" s="230" t="s">
        <v>17</v>
      </c>
      <c r="Q38" s="289" t="s">
        <v>18</v>
      </c>
      <c r="S38" s="429"/>
    </row>
    <row r="39" spans="2:20" ht="17.100000000000001" customHeight="1">
      <c r="B39" s="261"/>
      <c r="C39" s="253" t="s">
        <v>5</v>
      </c>
      <c r="D39" s="253" t="s">
        <v>6</v>
      </c>
      <c r="E39" s="262"/>
      <c r="F39" s="263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303"/>
      <c r="S39" s="304"/>
    </row>
    <row r="40" spans="2:20" ht="17.100000000000001" customHeight="1">
      <c r="B40" s="234" t="s">
        <v>41</v>
      </c>
      <c r="C40" s="265">
        <v>0.22</v>
      </c>
      <c r="D40" s="265">
        <f>S40</f>
        <v>0.21714250000000002</v>
      </c>
      <c r="E40" s="232" t="s">
        <v>42</v>
      </c>
      <c r="F40" s="266">
        <f>'Monthly-Prod'!E55%</f>
        <v>0.21719999999999998</v>
      </c>
      <c r="G40" s="244">
        <f>'Monthly-Prod'!F55%</f>
        <v>0.21909999999999999</v>
      </c>
      <c r="H40" s="244">
        <f>'Monthly-Prod'!G55%</f>
        <v>0.2205</v>
      </c>
      <c r="I40" s="244">
        <f>'Monthly-Prod'!H55%</f>
        <v>0.21989999999999998</v>
      </c>
      <c r="J40" s="244">
        <f>'Monthly-Prod'!I55%</f>
        <v>0.22070000000000001</v>
      </c>
      <c r="K40" s="244">
        <f>'Monthly-Prod'!J55%</f>
        <v>0.22020000000000001</v>
      </c>
      <c r="L40" s="244">
        <f>'Monthly-Prod'!K55%</f>
        <v>0.221</v>
      </c>
      <c r="M40" s="244">
        <f>'Monthly-Prod'!L55%</f>
        <v>0.22149999999999997</v>
      </c>
      <c r="N40" s="244">
        <f>'Monthly-Prod'!M55%</f>
        <v>0.20910000000000001</v>
      </c>
      <c r="O40" s="244">
        <f>'Monthly-Prod'!N55%</f>
        <v>0.21411000000000002</v>
      </c>
      <c r="P40" s="244">
        <f>'Monthly-Prod'!O55%</f>
        <v>0.21109999999999998</v>
      </c>
      <c r="Q40" s="305">
        <f>'Monthly-Prod'!P55%</f>
        <v>0.21129999999999999</v>
      </c>
      <c r="R40" s="237"/>
      <c r="S40" s="306">
        <f>AVERAGE(F40:Q40)</f>
        <v>0.21714250000000002</v>
      </c>
    </row>
    <row r="41" spans="2:20" ht="17.100000000000001" customHeight="1">
      <c r="B41" s="234"/>
      <c r="D41" s="265"/>
      <c r="E41" s="232"/>
      <c r="F41" s="236">
        <f t="shared" ref="F41:Q41" si="5">F30+(F40*F30)</f>
        <v>302312.3124</v>
      </c>
      <c r="G41" s="237">
        <f t="shared" si="5"/>
        <v>471897.76170000003</v>
      </c>
      <c r="H41" s="237">
        <f t="shared" si="5"/>
        <v>414459.83100000001</v>
      </c>
      <c r="I41" s="237">
        <f t="shared" si="5"/>
        <v>491109.7818</v>
      </c>
      <c r="J41" s="237">
        <f t="shared" si="5"/>
        <v>356695.86420000001</v>
      </c>
      <c r="K41" s="237">
        <f t="shared" si="5"/>
        <v>540553.48080000002</v>
      </c>
      <c r="L41" s="237">
        <f t="shared" si="5"/>
        <v>350363.50800000003</v>
      </c>
      <c r="M41" s="237">
        <f t="shared" si="5"/>
        <v>212063.39350000001</v>
      </c>
      <c r="N41" s="237">
        <f t="shared" si="5"/>
        <v>281589.71720000001</v>
      </c>
      <c r="O41" s="237">
        <f t="shared" si="5"/>
        <v>219103.14704000001</v>
      </c>
      <c r="P41" s="237">
        <f t="shared" si="5"/>
        <v>497613.1347</v>
      </c>
      <c r="Q41" s="292">
        <f t="shared" si="5"/>
        <v>745555.15</v>
      </c>
      <c r="R41" s="237"/>
      <c r="S41" s="293">
        <f>SUM(F41:Q41)</f>
        <v>4883317.0823399993</v>
      </c>
    </row>
    <row r="42" spans="2:20" ht="17.100000000000001" customHeight="1">
      <c r="B42" s="234"/>
      <c r="E42" s="232"/>
      <c r="F42" s="236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92"/>
      <c r="R42" s="237"/>
      <c r="S42" s="293"/>
    </row>
    <row r="43" spans="2:20" ht="17.100000000000001" customHeight="1">
      <c r="B43" s="234" t="s">
        <v>43</v>
      </c>
      <c r="D43" s="265">
        <f>S43/S93</f>
        <v>0.1057960381511372</v>
      </c>
      <c r="E43" s="232" t="s">
        <v>44</v>
      </c>
      <c r="F43" s="236">
        <v>1237</v>
      </c>
      <c r="G43" s="237">
        <v>1220</v>
      </c>
      <c r="H43" s="237">
        <v>1461</v>
      </c>
      <c r="I43" s="237">
        <v>1138</v>
      </c>
      <c r="J43" s="237">
        <v>1143</v>
      </c>
      <c r="K43" s="237">
        <v>1104</v>
      </c>
      <c r="L43" s="237">
        <v>1279</v>
      </c>
      <c r="M43" s="237">
        <v>663</v>
      </c>
      <c r="N43" s="237">
        <v>0</v>
      </c>
      <c r="O43" s="237">
        <v>1574</v>
      </c>
      <c r="P43" s="237">
        <v>3337</v>
      </c>
      <c r="Q43" s="292">
        <v>5311</v>
      </c>
      <c r="R43" s="237"/>
      <c r="S43" s="293">
        <f>SUM(F43:Q43)</f>
        <v>19467</v>
      </c>
    </row>
    <row r="44" spans="2:20" ht="17.100000000000001" customHeight="1" thickBot="1">
      <c r="B44" s="245"/>
      <c r="C44" s="246"/>
      <c r="D44" s="258"/>
      <c r="E44" s="248"/>
      <c r="F44" s="249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97"/>
      <c r="R44" s="237"/>
      <c r="S44" s="298"/>
    </row>
    <row r="45" spans="2:20" s="221" customFormat="1"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S45" s="220"/>
      <c r="T45" s="422"/>
    </row>
    <row r="48" spans="2:20" s="221" customFormat="1" ht="24.95" customHeight="1">
      <c r="B48" s="442" t="s">
        <v>45</v>
      </c>
      <c r="C48" s="442"/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22"/>
    </row>
    <row r="49" spans="2:20" s="221" customFormat="1" ht="16.5" thickBot="1"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S49" s="220"/>
      <c r="T49" s="422"/>
    </row>
    <row r="50" spans="2:20" ht="18.95" customHeight="1" thickBot="1">
      <c r="F50" s="439">
        <v>2020</v>
      </c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1"/>
      <c r="S50" s="287" t="s">
        <v>2</v>
      </c>
    </row>
    <row r="51" spans="2:20" ht="18.95" customHeight="1">
      <c r="B51" s="434" t="s">
        <v>46</v>
      </c>
      <c r="C51" s="435"/>
      <c r="D51" s="435"/>
      <c r="E51" s="435"/>
      <c r="F51" s="259">
        <v>20</v>
      </c>
      <c r="G51" s="260">
        <v>29</v>
      </c>
      <c r="H51" s="260">
        <v>31</v>
      </c>
      <c r="I51" s="260">
        <v>29</v>
      </c>
      <c r="J51" s="260">
        <v>22</v>
      </c>
      <c r="K51" s="260">
        <v>30</v>
      </c>
      <c r="L51" s="260">
        <v>23</v>
      </c>
      <c r="M51" s="260">
        <v>17</v>
      </c>
      <c r="N51" s="260">
        <v>22</v>
      </c>
      <c r="O51" s="260">
        <v>13</v>
      </c>
      <c r="P51" s="260">
        <v>17</v>
      </c>
      <c r="Q51" s="302">
        <v>31</v>
      </c>
      <c r="S51" s="428">
        <f>SUM(F51:Q51)</f>
        <v>284</v>
      </c>
    </row>
    <row r="52" spans="2:20" ht="18.95" customHeight="1" thickBot="1">
      <c r="B52" s="436"/>
      <c r="C52" s="437"/>
      <c r="D52" s="437"/>
      <c r="E52" s="437"/>
      <c r="F52" s="229" t="s">
        <v>7</v>
      </c>
      <c r="G52" s="230" t="s">
        <v>8</v>
      </c>
      <c r="H52" s="230" t="s">
        <v>9</v>
      </c>
      <c r="I52" s="230" t="s">
        <v>10</v>
      </c>
      <c r="J52" s="230" t="s">
        <v>11</v>
      </c>
      <c r="K52" s="230" t="s">
        <v>12</v>
      </c>
      <c r="L52" s="230" t="s">
        <v>13</v>
      </c>
      <c r="M52" s="230" t="s">
        <v>14</v>
      </c>
      <c r="N52" s="230" t="s">
        <v>15</v>
      </c>
      <c r="O52" s="230" t="s">
        <v>16</v>
      </c>
      <c r="P52" s="230" t="s">
        <v>17</v>
      </c>
      <c r="Q52" s="289" t="s">
        <v>18</v>
      </c>
      <c r="S52" s="429"/>
    </row>
    <row r="53" spans="2:20" ht="18.95" customHeight="1">
      <c r="B53" s="267" t="s">
        <v>47</v>
      </c>
      <c r="C53" s="268"/>
      <c r="D53" s="269" t="s">
        <v>6</v>
      </c>
      <c r="E53" s="270"/>
      <c r="F53" s="271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307"/>
      <c r="S53" s="290"/>
    </row>
    <row r="54" spans="2:20" ht="18.95" customHeight="1">
      <c r="B54" s="273" t="s">
        <v>48</v>
      </c>
      <c r="C54" s="274"/>
      <c r="D54" s="275">
        <f>S54/S51</f>
        <v>1265.9036783638924</v>
      </c>
      <c r="E54" s="276" t="s">
        <v>49</v>
      </c>
      <c r="F54" s="277">
        <v>25619.4323</v>
      </c>
      <c r="G54" s="278">
        <v>35150.354099999997</v>
      </c>
      <c r="H54" s="278">
        <v>38747.2941553454</v>
      </c>
      <c r="I54" s="278">
        <v>35200.463799999998</v>
      </c>
      <c r="J54" s="278">
        <v>30010.420699999999</v>
      </c>
      <c r="K54" s="278">
        <v>42046.552900000002</v>
      </c>
      <c r="L54" s="278">
        <v>28190.714599999999</v>
      </c>
      <c r="M54" s="278">
        <v>20723.920300000002</v>
      </c>
      <c r="N54" s="278">
        <v>25451.310099999999</v>
      </c>
      <c r="O54" s="278">
        <v>16839.500700000001</v>
      </c>
      <c r="P54" s="278">
        <v>22736.119500000001</v>
      </c>
      <c r="Q54" s="308">
        <v>38800.561500000003</v>
      </c>
      <c r="R54" s="222"/>
      <c r="S54" s="309">
        <f t="shared" ref="S54:S62" si="6">SUM(F54:Q54)</f>
        <v>359516.64465534542</v>
      </c>
    </row>
    <row r="55" spans="2:20" ht="18.95" customHeight="1">
      <c r="B55" s="353" t="s">
        <v>50</v>
      </c>
      <c r="C55" s="270"/>
      <c r="D55" s="280">
        <f>S55/S51</f>
        <v>199.01615483114119</v>
      </c>
      <c r="E55" s="281" t="s">
        <v>49</v>
      </c>
      <c r="F55" s="282">
        <v>4114.5515400000004</v>
      </c>
      <c r="G55" s="283">
        <v>5705.941605</v>
      </c>
      <c r="H55" s="283">
        <v>5609.3237550000003</v>
      </c>
      <c r="I55" s="283">
        <v>6946.3850400000001</v>
      </c>
      <c r="J55" s="283">
        <v>5046.7805200000003</v>
      </c>
      <c r="K55" s="283">
        <v>7304.2366300000003</v>
      </c>
      <c r="L55" s="283">
        <v>4555.5713523189997</v>
      </c>
      <c r="M55" s="283">
        <v>2720.6410072365102</v>
      </c>
      <c r="N55" s="283">
        <v>3105.0776000000001</v>
      </c>
      <c r="O55" s="283">
        <v>2213.3025678926101</v>
      </c>
      <c r="P55" s="283">
        <v>3483.61397160561</v>
      </c>
      <c r="Q55" s="310">
        <v>5715.1623829903601</v>
      </c>
      <c r="S55" s="311">
        <f t="shared" si="6"/>
        <v>56520.587972044101</v>
      </c>
    </row>
    <row r="56" spans="2:20" s="222" customFormat="1" ht="18.95" customHeight="1">
      <c r="B56" s="353" t="s">
        <v>51</v>
      </c>
      <c r="C56" s="270"/>
      <c r="D56" s="284">
        <f>S56/S51</f>
        <v>1066.8875235327509</v>
      </c>
      <c r="E56" s="281" t="s">
        <v>49</v>
      </c>
      <c r="F56" s="282">
        <v>21504.88076</v>
      </c>
      <c r="G56" s="283">
        <v>29444.412495</v>
      </c>
      <c r="H56" s="283">
        <v>33137.970400345403</v>
      </c>
      <c r="I56" s="283">
        <v>28254.07876</v>
      </c>
      <c r="J56" s="283">
        <v>24963.640179999999</v>
      </c>
      <c r="K56" s="283">
        <v>34742.316270000003</v>
      </c>
      <c r="L56" s="283">
        <v>23635.143247681001</v>
      </c>
      <c r="M56" s="283">
        <v>18003.279292763498</v>
      </c>
      <c r="N56" s="283">
        <v>22346.232499999998</v>
      </c>
      <c r="O56" s="283">
        <v>14626.1981321074</v>
      </c>
      <c r="P56" s="283">
        <v>19252.505528394398</v>
      </c>
      <c r="Q56" s="310">
        <v>33085.399117009598</v>
      </c>
      <c r="R56" s="312"/>
      <c r="S56" s="311">
        <f t="shared" si="6"/>
        <v>302996.05668330129</v>
      </c>
      <c r="T56" s="423"/>
    </row>
    <row r="57" spans="2:20" ht="18.95" customHeight="1">
      <c r="B57" s="279"/>
      <c r="C57" s="270"/>
      <c r="D57" s="283"/>
      <c r="E57" s="281"/>
      <c r="F57" s="271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307"/>
      <c r="R57" s="237"/>
      <c r="S57" s="293"/>
    </row>
    <row r="58" spans="2:20" ht="18.95" customHeight="1">
      <c r="B58" s="267" t="s">
        <v>52</v>
      </c>
      <c r="C58" s="268"/>
      <c r="D58" s="283"/>
      <c r="E58" s="281"/>
      <c r="F58" s="271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307"/>
      <c r="R58" s="237"/>
      <c r="S58" s="293"/>
    </row>
    <row r="59" spans="2:20" s="222" customFormat="1" ht="18.95" customHeight="1">
      <c r="B59" s="273" t="s">
        <v>53</v>
      </c>
      <c r="C59" s="274"/>
      <c r="D59" s="285">
        <f>S59/S51</f>
        <v>296500.63204225351</v>
      </c>
      <c r="E59" s="276" t="s">
        <v>54</v>
      </c>
      <c r="F59" s="286">
        <v>5551210</v>
      </c>
      <c r="G59" s="285">
        <v>7618960</v>
      </c>
      <c r="H59" s="285">
        <v>8896320</v>
      </c>
      <c r="I59" s="285">
        <v>7678500</v>
      </c>
      <c r="J59" s="285">
        <v>5833676</v>
      </c>
      <c r="K59" s="285">
        <v>9269220.5</v>
      </c>
      <c r="L59" s="285">
        <v>6898980</v>
      </c>
      <c r="M59" s="285">
        <v>4977373</v>
      </c>
      <c r="N59" s="285">
        <v>6905420</v>
      </c>
      <c r="O59" s="285">
        <v>4557880</v>
      </c>
      <c r="P59" s="285">
        <v>6200067</v>
      </c>
      <c r="Q59" s="313">
        <v>9818573</v>
      </c>
      <c r="R59" s="312"/>
      <c r="S59" s="314">
        <f t="shared" si="6"/>
        <v>84206179.5</v>
      </c>
      <c r="T59" s="423"/>
    </row>
    <row r="60" spans="2:20" ht="18.95" customHeight="1">
      <c r="B60" s="353" t="s">
        <v>55</v>
      </c>
      <c r="C60" s="270"/>
      <c r="D60" s="272">
        <f>S60/S51</f>
        <v>151754.57746478874</v>
      </c>
      <c r="E60" s="281" t="s">
        <v>54</v>
      </c>
      <c r="F60" s="271">
        <v>3076400</v>
      </c>
      <c r="G60" s="272">
        <v>4361800</v>
      </c>
      <c r="H60" s="272">
        <v>4496900</v>
      </c>
      <c r="I60" s="272">
        <v>4347600</v>
      </c>
      <c r="J60" s="272">
        <v>3338900</v>
      </c>
      <c r="K60" s="272">
        <v>4388100</v>
      </c>
      <c r="L60" s="272">
        <v>3412300</v>
      </c>
      <c r="M60" s="272">
        <v>2580000</v>
      </c>
      <c r="N60" s="272">
        <v>3456200</v>
      </c>
      <c r="O60" s="272">
        <v>1990700</v>
      </c>
      <c r="P60" s="272">
        <v>2630300</v>
      </c>
      <c r="Q60" s="307">
        <v>5019100</v>
      </c>
      <c r="R60" s="237"/>
      <c r="S60" s="293">
        <f t="shared" si="6"/>
        <v>43098300</v>
      </c>
    </row>
    <row r="61" spans="2:20" ht="18.95" customHeight="1">
      <c r="B61" s="353" t="s">
        <v>56</v>
      </c>
      <c r="C61" s="270"/>
      <c r="D61" s="272">
        <f>S61/S51</f>
        <v>73072.183098591544</v>
      </c>
      <c r="E61" s="281" t="s">
        <v>54</v>
      </c>
      <c r="F61" s="271">
        <v>1394500</v>
      </c>
      <c r="G61" s="272">
        <v>2130000</v>
      </c>
      <c r="H61" s="272">
        <v>3345500</v>
      </c>
      <c r="I61" s="272">
        <v>2123200</v>
      </c>
      <c r="J61" s="272">
        <v>1371900</v>
      </c>
      <c r="K61" s="272">
        <v>2447300</v>
      </c>
      <c r="L61" s="272">
        <v>1354700</v>
      </c>
      <c r="M61" s="272">
        <v>1123400</v>
      </c>
      <c r="N61" s="272">
        <v>1322100</v>
      </c>
      <c r="O61" s="272">
        <v>646800</v>
      </c>
      <c r="P61" s="272">
        <v>1371800</v>
      </c>
      <c r="Q61" s="307">
        <v>2121300</v>
      </c>
      <c r="R61" s="237"/>
      <c r="S61" s="293">
        <f t="shared" si="6"/>
        <v>20752500</v>
      </c>
    </row>
    <row r="62" spans="2:20" ht="18.95" customHeight="1">
      <c r="B62" s="353" t="s">
        <v>57</v>
      </c>
      <c r="C62" s="270"/>
      <c r="D62" s="272">
        <f>D59-SUM(D60:D61)</f>
        <v>71673.871478873218</v>
      </c>
      <c r="E62" s="281" t="s">
        <v>54</v>
      </c>
      <c r="F62" s="271">
        <f t="shared" ref="F62:Q62" si="7">F59-SUM(F60:F61)</f>
        <v>1080310</v>
      </c>
      <c r="G62" s="272">
        <f t="shared" si="7"/>
        <v>1127160</v>
      </c>
      <c r="H62" s="272">
        <f t="shared" si="7"/>
        <v>1053920</v>
      </c>
      <c r="I62" s="272">
        <f t="shared" si="7"/>
        <v>1207700</v>
      </c>
      <c r="J62" s="272">
        <f t="shared" si="7"/>
        <v>1122876</v>
      </c>
      <c r="K62" s="272">
        <f t="shared" si="7"/>
        <v>2433820.5</v>
      </c>
      <c r="L62" s="272">
        <f t="shared" si="7"/>
        <v>2131980</v>
      </c>
      <c r="M62" s="272">
        <f t="shared" si="7"/>
        <v>1273973</v>
      </c>
      <c r="N62" s="272">
        <f t="shared" si="7"/>
        <v>2127120</v>
      </c>
      <c r="O62" s="272">
        <f t="shared" si="7"/>
        <v>1920380</v>
      </c>
      <c r="P62" s="272">
        <f t="shared" si="7"/>
        <v>2197967</v>
      </c>
      <c r="Q62" s="307">
        <f t="shared" si="7"/>
        <v>2678173</v>
      </c>
      <c r="R62" s="237"/>
      <c r="S62" s="293">
        <f t="shared" si="6"/>
        <v>20355379.5</v>
      </c>
    </row>
    <row r="63" spans="2:20" ht="18.95" customHeight="1">
      <c r="B63" s="279"/>
      <c r="C63" s="270"/>
      <c r="D63" s="283"/>
      <c r="E63" s="281"/>
      <c r="F63" s="271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307"/>
      <c r="R63" s="237"/>
      <c r="S63" s="293"/>
    </row>
    <row r="64" spans="2:20" ht="18.95" customHeight="1">
      <c r="B64" s="267" t="s">
        <v>58</v>
      </c>
      <c r="C64" s="268"/>
      <c r="D64" s="270"/>
      <c r="E64" s="281"/>
      <c r="F64" s="271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307"/>
      <c r="R64" s="237"/>
      <c r="S64" s="293"/>
    </row>
    <row r="65" spans="2:20" s="222" customFormat="1" ht="18.95" customHeight="1">
      <c r="B65" s="273" t="s">
        <v>48</v>
      </c>
      <c r="C65" s="274"/>
      <c r="D65" s="315">
        <f>S65/S51</f>
        <v>647.90492957746483</v>
      </c>
      <c r="E65" s="276" t="s">
        <v>59</v>
      </c>
      <c r="F65" s="286">
        <v>13184</v>
      </c>
      <c r="G65" s="285">
        <v>17060</v>
      </c>
      <c r="H65" s="285">
        <v>20064</v>
      </c>
      <c r="I65" s="285">
        <v>17673</v>
      </c>
      <c r="J65" s="285">
        <v>13991</v>
      </c>
      <c r="K65" s="285">
        <v>18090</v>
      </c>
      <c r="L65" s="285">
        <v>15029</v>
      </c>
      <c r="M65" s="285">
        <v>11960</v>
      </c>
      <c r="N65" s="285">
        <v>14577</v>
      </c>
      <c r="O65" s="285">
        <v>10106</v>
      </c>
      <c r="P65" s="285">
        <v>12492</v>
      </c>
      <c r="Q65" s="313">
        <v>19779</v>
      </c>
      <c r="R65" s="312"/>
      <c r="S65" s="314">
        <f>SUM(F65:Q65)</f>
        <v>184005</v>
      </c>
      <c r="T65" s="423"/>
    </row>
    <row r="66" spans="2:20" ht="18.95" customHeight="1">
      <c r="B66" s="353" t="s">
        <v>60</v>
      </c>
      <c r="C66" s="270"/>
      <c r="D66" s="283">
        <f>S66/S51</f>
        <v>74.24647887323944</v>
      </c>
      <c r="E66" s="281" t="s">
        <v>61</v>
      </c>
      <c r="F66" s="271">
        <v>1280</v>
      </c>
      <c r="G66" s="272">
        <v>2256</v>
      </c>
      <c r="H66" s="272">
        <v>2548</v>
      </c>
      <c r="I66" s="272">
        <v>2417</v>
      </c>
      <c r="J66" s="272">
        <v>1992</v>
      </c>
      <c r="K66" s="272">
        <v>2188</v>
      </c>
      <c r="L66" s="272">
        <v>1868</v>
      </c>
      <c r="M66" s="272">
        <v>1380</v>
      </c>
      <c r="N66" s="272">
        <v>1164</v>
      </c>
      <c r="O66" s="272">
        <v>1359</v>
      </c>
      <c r="P66" s="272">
        <v>1013</v>
      </c>
      <c r="Q66" s="307">
        <v>1621</v>
      </c>
      <c r="R66" s="237"/>
      <c r="S66" s="293">
        <f>SUM(F66:Q66)</f>
        <v>21086</v>
      </c>
    </row>
    <row r="67" spans="2:20" ht="18.95" customHeight="1">
      <c r="B67" s="353" t="s">
        <v>62</v>
      </c>
      <c r="C67" s="270"/>
      <c r="D67" s="283">
        <f>S67/S51</f>
        <v>93.288732394366193</v>
      </c>
      <c r="E67" s="281" t="s">
        <v>61</v>
      </c>
      <c r="F67" s="271">
        <v>1904</v>
      </c>
      <c r="G67" s="272">
        <v>2892</v>
      </c>
      <c r="H67" s="272">
        <v>4010</v>
      </c>
      <c r="I67" s="272">
        <v>2769</v>
      </c>
      <c r="J67" s="272">
        <v>2319</v>
      </c>
      <c r="K67" s="272">
        <v>3035</v>
      </c>
      <c r="L67" s="272">
        <v>1663</v>
      </c>
      <c r="M67" s="272">
        <v>1515</v>
      </c>
      <c r="N67" s="272">
        <v>1461</v>
      </c>
      <c r="O67" s="272">
        <v>719</v>
      </c>
      <c r="P67" s="272">
        <v>1542</v>
      </c>
      <c r="Q67" s="307">
        <v>2665</v>
      </c>
      <c r="R67" s="237"/>
      <c r="S67" s="339">
        <f>SUM(F67:Q67)</f>
        <v>26494</v>
      </c>
    </row>
    <row r="68" spans="2:20" ht="18.95" customHeight="1">
      <c r="B68" s="353" t="s">
        <v>57</v>
      </c>
      <c r="C68" s="270"/>
      <c r="D68" s="283">
        <f>D65-SUM(D66:D67)</f>
        <v>480.36971830985919</v>
      </c>
      <c r="E68" s="281" t="s">
        <v>61</v>
      </c>
      <c r="F68" s="271">
        <f t="shared" ref="F68:Q68" si="8">F65-SUM(F66:F67)</f>
        <v>10000</v>
      </c>
      <c r="G68" s="272">
        <f t="shared" si="8"/>
        <v>11912</v>
      </c>
      <c r="H68" s="272">
        <f t="shared" si="8"/>
        <v>13506</v>
      </c>
      <c r="I68" s="272">
        <f t="shared" si="8"/>
        <v>12487</v>
      </c>
      <c r="J68" s="272">
        <f t="shared" si="8"/>
        <v>9680</v>
      </c>
      <c r="K68" s="272">
        <f t="shared" si="8"/>
        <v>12867</v>
      </c>
      <c r="L68" s="272">
        <f t="shared" si="8"/>
        <v>11498</v>
      </c>
      <c r="M68" s="272">
        <f t="shared" si="8"/>
        <v>9065</v>
      </c>
      <c r="N68" s="272">
        <f t="shared" si="8"/>
        <v>11952</v>
      </c>
      <c r="O68" s="272">
        <f t="shared" si="8"/>
        <v>8028</v>
      </c>
      <c r="P68" s="272">
        <f t="shared" si="8"/>
        <v>9937</v>
      </c>
      <c r="Q68" s="307">
        <f t="shared" si="8"/>
        <v>15493</v>
      </c>
      <c r="R68" s="237"/>
      <c r="S68" s="293">
        <f>SUM(F68:Q68)</f>
        <v>136425</v>
      </c>
    </row>
    <row r="69" spans="2:20" ht="18.95" customHeight="1">
      <c r="B69" s="443"/>
      <c r="C69" s="444"/>
      <c r="D69" s="444"/>
      <c r="E69" s="444"/>
      <c r="F69" s="316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40"/>
      <c r="R69" s="237"/>
      <c r="S69" s="341"/>
    </row>
    <row r="70" spans="2:20" ht="18.95" customHeight="1">
      <c r="B70" s="267" t="s">
        <v>63</v>
      </c>
      <c r="C70" s="268"/>
      <c r="D70" s="318"/>
      <c r="E70" s="281"/>
      <c r="F70" s="316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40"/>
      <c r="R70" s="237"/>
      <c r="S70" s="293"/>
    </row>
    <row r="71" spans="2:20" s="222" customFormat="1" ht="18.95" customHeight="1">
      <c r="B71" s="273" t="s">
        <v>48</v>
      </c>
      <c r="C71" s="274"/>
      <c r="D71" s="315">
        <f>S71/S51</f>
        <v>25891.172535211266</v>
      </c>
      <c r="E71" s="276" t="s">
        <v>64</v>
      </c>
      <c r="F71" s="286">
        <v>576934</v>
      </c>
      <c r="G71" s="285">
        <v>711126</v>
      </c>
      <c r="H71" s="285">
        <v>782041</v>
      </c>
      <c r="I71" s="285">
        <v>739379</v>
      </c>
      <c r="J71" s="285">
        <v>585067</v>
      </c>
      <c r="K71" s="285">
        <v>760275</v>
      </c>
      <c r="L71" s="285">
        <v>592254</v>
      </c>
      <c r="M71" s="285">
        <v>455799</v>
      </c>
      <c r="N71" s="285">
        <v>566027</v>
      </c>
      <c r="O71" s="285">
        <v>374624</v>
      </c>
      <c r="P71" s="285">
        <v>486302</v>
      </c>
      <c r="Q71" s="313">
        <v>723265</v>
      </c>
      <c r="R71" s="312"/>
      <c r="S71" s="314">
        <f>SUM(F71:Q71)</f>
        <v>7353093</v>
      </c>
      <c r="T71" s="423"/>
    </row>
    <row r="72" spans="2:20" ht="18.95" customHeight="1">
      <c r="B72" s="353" t="s">
        <v>65</v>
      </c>
      <c r="C72" s="270"/>
      <c r="D72" s="283">
        <f>S72/S51</f>
        <v>7568.1659859154915</v>
      </c>
      <c r="E72" s="281" t="s">
        <v>64</v>
      </c>
      <c r="F72" s="271">
        <f>SUM('Monthly-UTL'!E47:E48,'Monthly-UTL'!E50)</f>
        <v>166097.99</v>
      </c>
      <c r="G72" s="272">
        <f>SUM('Monthly-UTL'!F47:F48,'Monthly-UTL'!F50)</f>
        <v>212406.72</v>
      </c>
      <c r="H72" s="272">
        <f>SUM('Monthly-UTL'!G47:G48,'Monthly-UTL'!G50)</f>
        <v>216919.9</v>
      </c>
      <c r="I72" s="272">
        <f>SUM('Monthly-UTL'!H47:H48,'Monthly-UTL'!H50)</f>
        <v>236094.39</v>
      </c>
      <c r="J72" s="272">
        <f>SUM('Monthly-UTL'!I47:I48,'Monthly-UTL'!I50)</f>
        <v>173707.39</v>
      </c>
      <c r="K72" s="272">
        <f>SUM('Monthly-UTL'!J47:J48,'Monthly-UTL'!J50)</f>
        <v>225428.87</v>
      </c>
      <c r="L72" s="272">
        <f>SUM('Monthly-UTL'!K47:K48,'Monthly-UTL'!K50)</f>
        <v>177272.5599999995</v>
      </c>
      <c r="M72" s="272">
        <f>SUM('Monthly-UTL'!L47:L48,'Monthly-UTL'!L50)</f>
        <v>123387.42</v>
      </c>
      <c r="N72" s="272">
        <f>SUM('Monthly-UTL'!M47:M48,'Monthly-UTL'!M50)</f>
        <v>175092.03999999998</v>
      </c>
      <c r="O72" s="272">
        <f>SUM('Monthly-UTL'!N47:N48,'Monthly-UTL'!N50)</f>
        <v>110011.62000000011</v>
      </c>
      <c r="P72" s="272">
        <f>SUM('Monthly-UTL'!O47:O48,'Monthly-UTL'!O50)</f>
        <v>115848.62</v>
      </c>
      <c r="Q72" s="307">
        <f>SUM('Monthly-UTL'!P47:P48,'Monthly-UTL'!P50)</f>
        <v>217091.62</v>
      </c>
      <c r="R72" s="237"/>
      <c r="S72" s="293">
        <f>SUM(F72:Q72)</f>
        <v>2149359.1399999997</v>
      </c>
    </row>
    <row r="73" spans="2:20" ht="18.95" customHeight="1">
      <c r="B73" s="353" t="s">
        <v>66</v>
      </c>
      <c r="C73" s="270"/>
      <c r="D73" s="283">
        <f>S73/S51</f>
        <v>5435.2499999999982</v>
      </c>
      <c r="E73" s="281" t="s">
        <v>64</v>
      </c>
      <c r="F73" s="271">
        <f>SUM('Monthly-UTL'!E49,'Monthly-UTL'!E51)</f>
        <v>117757</v>
      </c>
      <c r="G73" s="272">
        <f>SUM('Monthly-UTL'!F49,'Monthly-UTL'!F51)</f>
        <v>159378</v>
      </c>
      <c r="H73" s="272">
        <f>SUM('Monthly-UTL'!G49,'Monthly-UTL'!G51)</f>
        <v>191994</v>
      </c>
      <c r="I73" s="272">
        <f>SUM('Monthly-UTL'!H49,'Monthly-UTL'!H51)</f>
        <v>159050</v>
      </c>
      <c r="J73" s="272">
        <f>SUM('Monthly-UTL'!I49,'Monthly-UTL'!I51)</f>
        <v>115498</v>
      </c>
      <c r="K73" s="272">
        <f>SUM('Monthly-UTL'!J49,'Monthly-UTL'!J51)</f>
        <v>182462</v>
      </c>
      <c r="L73" s="272">
        <f>SUM('Monthly-UTL'!K49,'Monthly-UTL'!K51)</f>
        <v>117527.99999999969</v>
      </c>
      <c r="M73" s="272">
        <f>SUM('Monthly-UTL'!L49,'Monthly-UTL'!L51)</f>
        <v>83250</v>
      </c>
      <c r="N73" s="272">
        <f>SUM('Monthly-UTL'!M49,'Monthly-UTL'!M51)</f>
        <v>96411</v>
      </c>
      <c r="O73" s="272">
        <f>SUM('Monthly-UTL'!N49,'Monthly-UTL'!N51)</f>
        <v>55894.000000000102</v>
      </c>
      <c r="P73" s="272">
        <f>SUM('Monthly-UTL'!O49,'Monthly-UTL'!O51)</f>
        <v>98469.000000000102</v>
      </c>
      <c r="Q73" s="307">
        <f>SUM('Monthly-UTL'!P49,'Monthly-UTL'!P51)</f>
        <v>165920</v>
      </c>
      <c r="R73" s="237"/>
      <c r="S73" s="293">
        <f>SUM(F73:Q73)</f>
        <v>1543610.9999999995</v>
      </c>
    </row>
    <row r="74" spans="2:20" ht="18.95" customHeight="1">
      <c r="B74" s="353" t="s">
        <v>67</v>
      </c>
      <c r="C74" s="270"/>
      <c r="D74" s="283">
        <f>S74/197</f>
        <v>156.85882741116751</v>
      </c>
      <c r="E74" s="281" t="s">
        <v>64</v>
      </c>
      <c r="F74" s="271">
        <f>'Monthly-UTL'!E52</f>
        <v>27.237000000000101</v>
      </c>
      <c r="G74" s="272">
        <f>'Monthly-UTL'!F52</f>
        <v>249.792</v>
      </c>
      <c r="H74" s="272">
        <f>'Monthly-UTL'!G52</f>
        <v>1897.2</v>
      </c>
      <c r="I74" s="272">
        <f>'Monthly-UTL'!H52</f>
        <v>3073.61</v>
      </c>
      <c r="J74" s="272">
        <f>'Monthly-UTL'!I52</f>
        <v>2956.81</v>
      </c>
      <c r="K74" s="272">
        <f>'Monthly-UTL'!J52</f>
        <v>4123.34</v>
      </c>
      <c r="L74" s="272">
        <f>'Monthly-UTL'!K52</f>
        <v>151.29999999999899</v>
      </c>
      <c r="M74" s="272">
        <f>'Monthly-UTL'!L52</f>
        <v>2516.4</v>
      </c>
      <c r="N74" s="272">
        <f>'Monthly-UTL'!M52</f>
        <v>3994.5</v>
      </c>
      <c r="O74" s="272">
        <f>'Monthly-UTL'!N52</f>
        <v>2912.3</v>
      </c>
      <c r="P74" s="272">
        <f>'Monthly-UTL'!O52</f>
        <v>2927.8</v>
      </c>
      <c r="Q74" s="307">
        <f>'Monthly-UTL'!P52</f>
        <v>6070.9</v>
      </c>
      <c r="R74" s="237"/>
      <c r="S74" s="293">
        <f>SUM(F74:Q74)</f>
        <v>30901.188999999998</v>
      </c>
    </row>
    <row r="75" spans="2:20" ht="18.95" customHeight="1">
      <c r="B75" s="353" t="s">
        <v>57</v>
      </c>
      <c r="C75" s="270"/>
      <c r="D75" s="283">
        <f>D71-SUM(D72:D74)</f>
        <v>12730.897721884608</v>
      </c>
      <c r="E75" s="281" t="s">
        <v>64</v>
      </c>
      <c r="F75" s="271">
        <f t="shared" ref="F75:Q75" si="9">F71-SUM(F72:F74)</f>
        <v>293051.77299999999</v>
      </c>
      <c r="G75" s="272">
        <f t="shared" si="9"/>
        <v>339091.48800000001</v>
      </c>
      <c r="H75" s="272">
        <f t="shared" si="9"/>
        <v>371229.89999999997</v>
      </c>
      <c r="I75" s="272">
        <f t="shared" si="9"/>
        <v>341161</v>
      </c>
      <c r="J75" s="272">
        <f t="shared" si="9"/>
        <v>292904.8</v>
      </c>
      <c r="K75" s="272">
        <f t="shared" si="9"/>
        <v>348260.79</v>
      </c>
      <c r="L75" s="272">
        <f t="shared" si="9"/>
        <v>297302.14000000083</v>
      </c>
      <c r="M75" s="272">
        <f t="shared" si="9"/>
        <v>246645.18000000002</v>
      </c>
      <c r="N75" s="272">
        <f t="shared" si="9"/>
        <v>290529.46000000002</v>
      </c>
      <c r="O75" s="272">
        <f t="shared" si="9"/>
        <v>205806.07999999978</v>
      </c>
      <c r="P75" s="272">
        <f t="shared" si="9"/>
        <v>269056.5799999999</v>
      </c>
      <c r="Q75" s="307">
        <f t="shared" si="9"/>
        <v>334182.48</v>
      </c>
      <c r="R75" s="237"/>
      <c r="S75" s="293">
        <f>SUM(F75:Q75)</f>
        <v>3629221.6710000006</v>
      </c>
    </row>
    <row r="76" spans="2:20" ht="18.95" customHeight="1" thickBot="1">
      <c r="B76" s="319"/>
      <c r="C76" s="258"/>
      <c r="D76" s="258"/>
      <c r="E76" s="320"/>
      <c r="F76" s="321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42"/>
      <c r="R76" s="237"/>
      <c r="S76" s="298"/>
    </row>
    <row r="77" spans="2:20" ht="17.100000000000001" customHeight="1" thickBot="1">
      <c r="B77" s="270"/>
      <c r="C77" s="270"/>
      <c r="D77" s="270"/>
      <c r="E77" s="323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43"/>
      <c r="S77" s="343"/>
    </row>
    <row r="78" spans="2:20" ht="18" customHeight="1" thickBot="1">
      <c r="F78" s="439">
        <v>2020</v>
      </c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1"/>
      <c r="S78" s="287" t="s">
        <v>2</v>
      </c>
    </row>
    <row r="79" spans="2:20" ht="18" customHeight="1">
      <c r="B79" s="434" t="s">
        <v>68</v>
      </c>
      <c r="C79" s="435"/>
      <c r="D79" s="435"/>
      <c r="E79" s="435"/>
      <c r="F79" s="259">
        <v>20</v>
      </c>
      <c r="G79" s="260">
        <v>29</v>
      </c>
      <c r="H79" s="260">
        <v>31</v>
      </c>
      <c r="I79" s="260">
        <v>29</v>
      </c>
      <c r="J79" s="260">
        <v>22</v>
      </c>
      <c r="K79" s="260">
        <v>30</v>
      </c>
      <c r="L79" s="260">
        <v>23</v>
      </c>
      <c r="M79" s="260">
        <v>17</v>
      </c>
      <c r="N79" s="260">
        <v>22</v>
      </c>
      <c r="O79" s="260">
        <v>13</v>
      </c>
      <c r="P79" s="260">
        <v>17</v>
      </c>
      <c r="Q79" s="302">
        <v>31</v>
      </c>
      <c r="S79" s="428">
        <f t="shared" ref="S79:S84" si="10">SUM(F79:Q79)</f>
        <v>284</v>
      </c>
    </row>
    <row r="80" spans="2:20" ht="18" customHeight="1" thickBot="1">
      <c r="B80" s="436"/>
      <c r="C80" s="437"/>
      <c r="D80" s="437"/>
      <c r="E80" s="437"/>
      <c r="F80" s="229" t="s">
        <v>7</v>
      </c>
      <c r="G80" s="230" t="s">
        <v>8</v>
      </c>
      <c r="H80" s="230" t="s">
        <v>9</v>
      </c>
      <c r="I80" s="230" t="s">
        <v>10</v>
      </c>
      <c r="J80" s="230" t="s">
        <v>11</v>
      </c>
      <c r="K80" s="230" t="s">
        <v>12</v>
      </c>
      <c r="L80" s="230" t="s">
        <v>13</v>
      </c>
      <c r="M80" s="230" t="s">
        <v>14</v>
      </c>
      <c r="N80" s="230" t="s">
        <v>15</v>
      </c>
      <c r="O80" s="230" t="s">
        <v>16</v>
      </c>
      <c r="P80" s="230" t="s">
        <v>17</v>
      </c>
      <c r="Q80" s="289" t="s">
        <v>18</v>
      </c>
      <c r="S80" s="429"/>
    </row>
    <row r="81" spans="2:20" ht="18" customHeight="1">
      <c r="B81" s="267" t="s">
        <v>47</v>
      </c>
      <c r="C81" s="268"/>
      <c r="D81" s="269" t="s">
        <v>6</v>
      </c>
      <c r="E81" s="269"/>
      <c r="F81" s="271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307"/>
      <c r="S81" s="290"/>
    </row>
    <row r="82" spans="2:20" ht="18" customHeight="1">
      <c r="B82" s="273" t="s">
        <v>48</v>
      </c>
      <c r="C82" s="274"/>
      <c r="D82" s="278">
        <f>S82/S8</f>
        <v>0.84942752996536552</v>
      </c>
      <c r="E82" s="276" t="s">
        <v>69</v>
      </c>
      <c r="F82" s="277">
        <v>25619.4323</v>
      </c>
      <c r="G82" s="278">
        <v>35150.354099999997</v>
      </c>
      <c r="H82" s="278">
        <v>38747.2941553454</v>
      </c>
      <c r="I82" s="278">
        <v>35200.463799999998</v>
      </c>
      <c r="J82" s="278">
        <v>30010.420699999999</v>
      </c>
      <c r="K82" s="278">
        <v>42046.552900000002</v>
      </c>
      <c r="L82" s="278">
        <v>28190.714599999999</v>
      </c>
      <c r="M82" s="278">
        <v>20723.920300000002</v>
      </c>
      <c r="N82" s="278">
        <v>25451.310099999999</v>
      </c>
      <c r="O82" s="278">
        <v>16839.500700000001</v>
      </c>
      <c r="P82" s="278">
        <v>22736.119500000001</v>
      </c>
      <c r="Q82" s="308">
        <v>38800.561500000003</v>
      </c>
      <c r="R82" s="222"/>
      <c r="S82" s="309">
        <f t="shared" si="10"/>
        <v>359516.64465534542</v>
      </c>
    </row>
    <row r="83" spans="2:20" ht="18" customHeight="1">
      <c r="B83" s="353" t="s">
        <v>50</v>
      </c>
      <c r="C83" s="270"/>
      <c r="D83" s="283">
        <f>S83/S8</f>
        <v>0.13354080860236395</v>
      </c>
      <c r="E83" s="281" t="s">
        <v>69</v>
      </c>
      <c r="F83" s="282">
        <v>4114.5515400000004</v>
      </c>
      <c r="G83" s="283">
        <v>5705.941605</v>
      </c>
      <c r="H83" s="283">
        <v>5609.3237550000003</v>
      </c>
      <c r="I83" s="283">
        <v>6946.3850400000001</v>
      </c>
      <c r="J83" s="283">
        <v>5046.7805200000003</v>
      </c>
      <c r="K83" s="283">
        <v>7304.2366300000003</v>
      </c>
      <c r="L83" s="283">
        <v>4555.5713523189997</v>
      </c>
      <c r="M83" s="283">
        <v>2720.6410072365102</v>
      </c>
      <c r="N83" s="283">
        <v>3105.0776000000001</v>
      </c>
      <c r="O83" s="283">
        <v>2213.3025678926101</v>
      </c>
      <c r="P83" s="283">
        <v>3483.61397160561</v>
      </c>
      <c r="Q83" s="310">
        <v>5715.1623829903601</v>
      </c>
      <c r="S83" s="311">
        <f t="shared" si="10"/>
        <v>56520.587972044101</v>
      </c>
    </row>
    <row r="84" spans="2:20" s="222" customFormat="1" ht="18" customHeight="1">
      <c r="B84" s="353" t="s">
        <v>70</v>
      </c>
      <c r="C84" s="270"/>
      <c r="D84" s="325">
        <f>D82-D83</f>
        <v>0.71588672136300158</v>
      </c>
      <c r="E84" s="281" t="s">
        <v>69</v>
      </c>
      <c r="F84" s="282">
        <v>21504.88076</v>
      </c>
      <c r="G84" s="283">
        <v>29444.412495</v>
      </c>
      <c r="H84" s="283">
        <v>33137.970400345403</v>
      </c>
      <c r="I84" s="283">
        <v>28254.07876</v>
      </c>
      <c r="J84" s="283">
        <v>24963.640179999999</v>
      </c>
      <c r="K84" s="283">
        <v>34742.316270000003</v>
      </c>
      <c r="L84" s="283">
        <v>23635.143247681001</v>
      </c>
      <c r="M84" s="283">
        <v>18003.279292763498</v>
      </c>
      <c r="N84" s="283">
        <v>22346.232499999998</v>
      </c>
      <c r="O84" s="283">
        <v>14626.1981321074</v>
      </c>
      <c r="P84" s="283">
        <v>19252.505528394398</v>
      </c>
      <c r="Q84" s="310">
        <v>33085.399117009598</v>
      </c>
      <c r="R84" s="312"/>
      <c r="S84" s="311">
        <f t="shared" si="10"/>
        <v>302996.05668330129</v>
      </c>
      <c r="T84" s="423"/>
    </row>
    <row r="85" spans="2:20" ht="18" customHeight="1">
      <c r="B85" s="279"/>
      <c r="C85" s="270"/>
      <c r="D85" s="283"/>
      <c r="E85" s="281"/>
      <c r="F85" s="271">
        <v>4114.5515400000004</v>
      </c>
      <c r="G85" s="272">
        <v>5705.941605</v>
      </c>
      <c r="H85" s="272">
        <v>5609.3237550000003</v>
      </c>
      <c r="I85" s="272">
        <v>6946.3850400000001</v>
      </c>
      <c r="J85" s="272">
        <v>5046.7805200000003</v>
      </c>
      <c r="K85" s="272">
        <v>7304.2366300000003</v>
      </c>
      <c r="L85" s="272">
        <v>3071.2078000000001</v>
      </c>
      <c r="M85" s="338">
        <f>SUM(F85:L85)</f>
        <v>37798.426890000002</v>
      </c>
      <c r="N85" s="272"/>
      <c r="O85" s="272"/>
      <c r="P85" s="272"/>
      <c r="Q85" s="307"/>
      <c r="R85" s="237"/>
      <c r="S85" s="293"/>
    </row>
    <row r="86" spans="2:20" ht="18.95" customHeight="1">
      <c r="B86" s="267" t="s">
        <v>52</v>
      </c>
      <c r="C86" s="268"/>
      <c r="D86" s="283"/>
      <c r="E86" s="281"/>
      <c r="F86" s="271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307"/>
      <c r="R86" s="237"/>
      <c r="S86" s="293"/>
    </row>
    <row r="87" spans="2:20" s="222" customFormat="1" ht="18.95" customHeight="1">
      <c r="B87" s="273" t="s">
        <v>53</v>
      </c>
      <c r="C87" s="274"/>
      <c r="D87" s="285">
        <f>S87/S8</f>
        <v>198.95336731648516</v>
      </c>
      <c r="E87" s="276" t="s">
        <v>37</v>
      </c>
      <c r="F87" s="286">
        <v>5551210</v>
      </c>
      <c r="G87" s="285">
        <v>7618960</v>
      </c>
      <c r="H87" s="285">
        <v>8896320</v>
      </c>
      <c r="I87" s="285">
        <v>7678500</v>
      </c>
      <c r="J87" s="285">
        <v>5833676</v>
      </c>
      <c r="K87" s="285">
        <v>9269220.5</v>
      </c>
      <c r="L87" s="285">
        <v>6898980</v>
      </c>
      <c r="M87" s="285">
        <v>4977373</v>
      </c>
      <c r="N87" s="285">
        <v>6905420</v>
      </c>
      <c r="O87" s="285">
        <v>4557880</v>
      </c>
      <c r="P87" s="285">
        <v>6200067</v>
      </c>
      <c r="Q87" s="313">
        <v>9818573</v>
      </c>
      <c r="R87" s="312"/>
      <c r="S87" s="314">
        <f t="shared" ref="S87:S90" si="11">SUM(F87:Q87)</f>
        <v>84206179.5</v>
      </c>
      <c r="T87" s="423"/>
    </row>
    <row r="88" spans="2:20" ht="18.95" customHeight="1">
      <c r="B88" s="353" t="s">
        <v>55</v>
      </c>
      <c r="C88" s="270"/>
      <c r="D88" s="272">
        <f>S88/S8</f>
        <v>101.82806014392413</v>
      </c>
      <c r="E88" s="281" t="s">
        <v>37</v>
      </c>
      <c r="F88" s="271">
        <v>3076400</v>
      </c>
      <c r="G88" s="272">
        <v>4361800</v>
      </c>
      <c r="H88" s="272">
        <v>4496900</v>
      </c>
      <c r="I88" s="272">
        <v>4347600</v>
      </c>
      <c r="J88" s="272">
        <v>3338900</v>
      </c>
      <c r="K88" s="272">
        <v>4388100</v>
      </c>
      <c r="L88" s="272">
        <v>3412300</v>
      </c>
      <c r="M88" s="272">
        <v>2580000</v>
      </c>
      <c r="N88" s="272">
        <v>3456200</v>
      </c>
      <c r="O88" s="272">
        <v>1990700</v>
      </c>
      <c r="P88" s="272">
        <v>2630300</v>
      </c>
      <c r="Q88" s="307">
        <v>5019100</v>
      </c>
      <c r="R88" s="237"/>
      <c r="S88" s="293">
        <f t="shared" si="11"/>
        <v>43098300</v>
      </c>
    </row>
    <row r="89" spans="2:20" ht="18.95" customHeight="1">
      <c r="B89" s="353" t="s">
        <v>56</v>
      </c>
      <c r="C89" s="270"/>
      <c r="D89" s="272">
        <f>S89/SUM(S14:S15)</f>
        <v>61.843646215674418</v>
      </c>
      <c r="E89" s="281" t="s">
        <v>37</v>
      </c>
      <c r="F89" s="271">
        <v>1394500</v>
      </c>
      <c r="G89" s="272">
        <v>2130000</v>
      </c>
      <c r="H89" s="272">
        <v>3345500</v>
      </c>
      <c r="I89" s="272">
        <v>2123200</v>
      </c>
      <c r="J89" s="272">
        <v>1371900</v>
      </c>
      <c r="K89" s="272">
        <v>2447300</v>
      </c>
      <c r="L89" s="272">
        <v>1354700</v>
      </c>
      <c r="M89" s="272">
        <v>1123400</v>
      </c>
      <c r="N89" s="272">
        <v>1322100</v>
      </c>
      <c r="O89" s="272">
        <v>646800</v>
      </c>
      <c r="P89" s="272">
        <v>1371800</v>
      </c>
      <c r="Q89" s="307">
        <v>2121300</v>
      </c>
      <c r="R89" s="237"/>
      <c r="S89" s="293">
        <f t="shared" si="11"/>
        <v>20752500</v>
      </c>
    </row>
    <row r="90" spans="2:20" ht="18.95" customHeight="1">
      <c r="B90" s="353" t="s">
        <v>57</v>
      </c>
      <c r="C90" s="270"/>
      <c r="D90" s="272">
        <f>D87-SUM(D88:D89)</f>
        <v>35.281660956886611</v>
      </c>
      <c r="E90" s="281" t="s">
        <v>37</v>
      </c>
      <c r="F90" s="271">
        <f t="shared" ref="F90:Q90" si="12">F87-SUM(F88:F89)</f>
        <v>1080310</v>
      </c>
      <c r="G90" s="272">
        <f t="shared" si="12"/>
        <v>1127160</v>
      </c>
      <c r="H90" s="272">
        <f t="shared" si="12"/>
        <v>1053920</v>
      </c>
      <c r="I90" s="272">
        <f t="shared" si="12"/>
        <v>1207700</v>
      </c>
      <c r="J90" s="272">
        <f t="shared" si="12"/>
        <v>1122876</v>
      </c>
      <c r="K90" s="272">
        <f t="shared" si="12"/>
        <v>2433820.5</v>
      </c>
      <c r="L90" s="272">
        <f t="shared" si="12"/>
        <v>2131980</v>
      </c>
      <c r="M90" s="272">
        <f t="shared" si="12"/>
        <v>1273973</v>
      </c>
      <c r="N90" s="272">
        <f t="shared" si="12"/>
        <v>2127120</v>
      </c>
      <c r="O90" s="272">
        <f t="shared" si="12"/>
        <v>1920380</v>
      </c>
      <c r="P90" s="272">
        <f t="shared" si="12"/>
        <v>2197967</v>
      </c>
      <c r="Q90" s="307">
        <f t="shared" si="12"/>
        <v>2678173</v>
      </c>
      <c r="R90" s="237"/>
      <c r="S90" s="293">
        <f t="shared" si="11"/>
        <v>20355379.5</v>
      </c>
    </row>
    <row r="91" spans="2:20" ht="18" customHeight="1">
      <c r="B91" s="279"/>
      <c r="C91" s="270"/>
      <c r="D91" s="283"/>
      <c r="E91" s="281"/>
      <c r="F91" s="271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307"/>
      <c r="R91" s="237"/>
      <c r="S91" s="293"/>
    </row>
    <row r="92" spans="2:20" ht="18" customHeight="1">
      <c r="B92" s="267" t="s">
        <v>58</v>
      </c>
      <c r="C92" s="268"/>
      <c r="D92" s="270"/>
      <c r="E92" s="281"/>
      <c r="F92" s="271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307"/>
      <c r="R92" s="237"/>
      <c r="S92" s="293"/>
    </row>
    <row r="93" spans="2:20" s="222" customFormat="1" ht="18" customHeight="1">
      <c r="B93" s="273" t="s">
        <v>48</v>
      </c>
      <c r="C93" s="274"/>
      <c r="D93" s="315">
        <f>S93/S8</f>
        <v>0.43474736142220832</v>
      </c>
      <c r="E93" s="276" t="s">
        <v>71</v>
      </c>
      <c r="F93" s="286">
        <v>13184</v>
      </c>
      <c r="G93" s="285">
        <v>17060</v>
      </c>
      <c r="H93" s="285">
        <v>20064</v>
      </c>
      <c r="I93" s="285">
        <v>17673</v>
      </c>
      <c r="J93" s="285">
        <v>13991</v>
      </c>
      <c r="K93" s="285">
        <v>18090</v>
      </c>
      <c r="L93" s="285">
        <v>15029</v>
      </c>
      <c r="M93" s="285">
        <v>11960</v>
      </c>
      <c r="N93" s="285">
        <v>14577</v>
      </c>
      <c r="O93" s="285">
        <v>10106</v>
      </c>
      <c r="P93" s="285">
        <v>12492</v>
      </c>
      <c r="Q93" s="313">
        <v>19779</v>
      </c>
      <c r="R93" s="312"/>
      <c r="S93" s="314">
        <f t="shared" ref="S93:S103" si="13">SUM(F93:Q93)</f>
        <v>184005</v>
      </c>
      <c r="T93" s="423"/>
    </row>
    <row r="94" spans="2:20" ht="18" customHeight="1">
      <c r="B94" s="353" t="s">
        <v>60</v>
      </c>
      <c r="C94" s="270"/>
      <c r="D94" s="283">
        <f>S94/S8</f>
        <v>4.9819748718505932E-2</v>
      </c>
      <c r="E94" s="281" t="s">
        <v>72</v>
      </c>
      <c r="F94" s="271">
        <v>1280</v>
      </c>
      <c r="G94" s="272">
        <v>2256</v>
      </c>
      <c r="H94" s="272">
        <v>2548</v>
      </c>
      <c r="I94" s="272">
        <v>2417</v>
      </c>
      <c r="J94" s="272">
        <v>1992</v>
      </c>
      <c r="K94" s="272">
        <v>2188</v>
      </c>
      <c r="L94" s="272">
        <v>1868</v>
      </c>
      <c r="M94" s="272">
        <v>1380</v>
      </c>
      <c r="N94" s="272">
        <v>1164</v>
      </c>
      <c r="O94" s="272">
        <v>1359</v>
      </c>
      <c r="P94" s="272">
        <v>1013</v>
      </c>
      <c r="Q94" s="307">
        <v>1621</v>
      </c>
      <c r="R94" s="237"/>
      <c r="S94" s="293">
        <f t="shared" si="13"/>
        <v>21086</v>
      </c>
    </row>
    <row r="95" spans="2:20" ht="18" customHeight="1">
      <c r="B95" s="353" t="s">
        <v>62</v>
      </c>
      <c r="C95" s="270"/>
      <c r="D95" s="283">
        <f>S95/SUM(S14:S15)</f>
        <v>7.8953647167236629E-2</v>
      </c>
      <c r="E95" s="281" t="s">
        <v>72</v>
      </c>
      <c r="F95" s="271">
        <v>1904</v>
      </c>
      <c r="G95" s="272">
        <v>2892</v>
      </c>
      <c r="H95" s="272">
        <v>4010</v>
      </c>
      <c r="I95" s="272">
        <v>2769</v>
      </c>
      <c r="J95" s="272">
        <v>2319</v>
      </c>
      <c r="K95" s="272">
        <v>3035</v>
      </c>
      <c r="L95" s="272">
        <v>1663</v>
      </c>
      <c r="M95" s="272">
        <v>1515</v>
      </c>
      <c r="N95" s="272">
        <v>1461</v>
      </c>
      <c r="O95" s="272">
        <v>719</v>
      </c>
      <c r="P95" s="272">
        <v>1542</v>
      </c>
      <c r="Q95" s="307">
        <v>2665</v>
      </c>
      <c r="R95" s="237"/>
      <c r="S95" s="339">
        <f t="shared" si="13"/>
        <v>26494</v>
      </c>
    </row>
    <row r="96" spans="2:20" ht="18" customHeight="1">
      <c r="B96" s="353" t="s">
        <v>57</v>
      </c>
      <c r="C96" s="270"/>
      <c r="D96" s="283">
        <f>D93-SUM(D94:D95)</f>
        <v>0.30597396553646578</v>
      </c>
      <c r="E96" s="281" t="s">
        <v>72</v>
      </c>
      <c r="F96" s="271">
        <f t="shared" ref="F96:Q96" si="14">F93-SUM(F94:F95)</f>
        <v>10000</v>
      </c>
      <c r="G96" s="272">
        <f t="shared" si="14"/>
        <v>11912</v>
      </c>
      <c r="H96" s="272">
        <f t="shared" si="14"/>
        <v>13506</v>
      </c>
      <c r="I96" s="272">
        <f t="shared" si="14"/>
        <v>12487</v>
      </c>
      <c r="J96" s="272">
        <f t="shared" si="14"/>
        <v>9680</v>
      </c>
      <c r="K96" s="272">
        <f t="shared" si="14"/>
        <v>12867</v>
      </c>
      <c r="L96" s="272">
        <f t="shared" si="14"/>
        <v>11498</v>
      </c>
      <c r="M96" s="272">
        <f t="shared" si="14"/>
        <v>9065</v>
      </c>
      <c r="N96" s="272">
        <f t="shared" si="14"/>
        <v>11952</v>
      </c>
      <c r="O96" s="272">
        <f t="shared" si="14"/>
        <v>8028</v>
      </c>
      <c r="P96" s="272">
        <f t="shared" si="14"/>
        <v>9937</v>
      </c>
      <c r="Q96" s="307">
        <f t="shared" si="14"/>
        <v>15493</v>
      </c>
      <c r="R96" s="237"/>
      <c r="S96" s="293">
        <f t="shared" si="13"/>
        <v>136425</v>
      </c>
    </row>
    <row r="97" spans="2:20" ht="18" customHeight="1">
      <c r="B97" s="443"/>
      <c r="C97" s="444"/>
      <c r="D97" s="444"/>
      <c r="E97" s="444"/>
      <c r="F97" s="316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40"/>
      <c r="R97" s="237"/>
      <c r="S97" s="341"/>
    </row>
    <row r="98" spans="2:20" ht="18" customHeight="1">
      <c r="B98" s="267" t="s">
        <v>63</v>
      </c>
      <c r="C98" s="268"/>
      <c r="D98" s="318"/>
      <c r="E98" s="281"/>
      <c r="F98" s="316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40"/>
      <c r="R98" s="237"/>
      <c r="S98" s="293"/>
    </row>
    <row r="99" spans="2:20" s="222" customFormat="1" ht="18" customHeight="1">
      <c r="B99" s="273" t="s">
        <v>48</v>
      </c>
      <c r="C99" s="274"/>
      <c r="D99" s="315">
        <f>S99/S8</f>
        <v>17.373102796348523</v>
      </c>
      <c r="E99" s="276" t="s">
        <v>73</v>
      </c>
      <c r="F99" s="286">
        <v>576934</v>
      </c>
      <c r="G99" s="285">
        <v>711126</v>
      </c>
      <c r="H99" s="285">
        <v>782041</v>
      </c>
      <c r="I99" s="285">
        <v>739379</v>
      </c>
      <c r="J99" s="285">
        <v>585067</v>
      </c>
      <c r="K99" s="285">
        <v>760275</v>
      </c>
      <c r="L99" s="285">
        <v>592254</v>
      </c>
      <c r="M99" s="285">
        <v>455799</v>
      </c>
      <c r="N99" s="285">
        <v>566027</v>
      </c>
      <c r="O99" s="285">
        <v>374624</v>
      </c>
      <c r="P99" s="285">
        <v>486302</v>
      </c>
      <c r="Q99" s="313">
        <v>723265</v>
      </c>
      <c r="R99" s="312"/>
      <c r="S99" s="314">
        <f t="shared" si="13"/>
        <v>7353093</v>
      </c>
      <c r="T99" s="423"/>
    </row>
    <row r="100" spans="2:20" ht="18" customHeight="1">
      <c r="B100" s="353" t="s">
        <v>65</v>
      </c>
      <c r="C100" s="270"/>
      <c r="D100" s="283">
        <f>S100/S8</f>
        <v>5.0782762145795317</v>
      </c>
      <c r="E100" s="281" t="s">
        <v>73</v>
      </c>
      <c r="F100" s="271">
        <f>SUM('Monthly-UTL'!E47:E48,'Monthly-UTL'!E50)</f>
        <v>166097.99</v>
      </c>
      <c r="G100" s="272">
        <f>SUM('Monthly-UTL'!F47:F48,'Monthly-UTL'!F50)</f>
        <v>212406.72</v>
      </c>
      <c r="H100" s="272">
        <f>SUM('Monthly-UTL'!G47:G48,'Monthly-UTL'!G50)</f>
        <v>216919.9</v>
      </c>
      <c r="I100" s="272">
        <f>SUM('Monthly-UTL'!H47:H48,'Monthly-UTL'!H50)</f>
        <v>236094.39</v>
      </c>
      <c r="J100" s="272">
        <f>SUM('Monthly-UTL'!I47:I48,'Monthly-UTL'!I50)</f>
        <v>173707.39</v>
      </c>
      <c r="K100" s="272">
        <f>SUM('Monthly-UTL'!J47:J48,'Monthly-UTL'!J50)</f>
        <v>225428.87</v>
      </c>
      <c r="L100" s="272">
        <f>SUM('Monthly-UTL'!K47:K48,'Monthly-UTL'!K50)</f>
        <v>177272.5599999995</v>
      </c>
      <c r="M100" s="272">
        <f>SUM('Monthly-UTL'!L47:L48,'Monthly-UTL'!L50)</f>
        <v>123387.42</v>
      </c>
      <c r="N100" s="272">
        <f>SUM('Monthly-UTL'!M47:M48,'Monthly-UTL'!M50)</f>
        <v>175092.03999999998</v>
      </c>
      <c r="O100" s="272">
        <f>SUM('Monthly-UTL'!N47:N48,'Monthly-UTL'!N50)</f>
        <v>110011.62000000011</v>
      </c>
      <c r="P100" s="272">
        <f>SUM('Monthly-UTL'!O47:O48,'Monthly-UTL'!O50)</f>
        <v>115848.62</v>
      </c>
      <c r="Q100" s="307">
        <f>SUM('Monthly-UTL'!P47:P48,'Monthly-UTL'!P50)</f>
        <v>217091.62</v>
      </c>
      <c r="R100" s="237"/>
      <c r="S100" s="293">
        <f t="shared" si="13"/>
        <v>2149359.1399999997</v>
      </c>
    </row>
    <row r="101" spans="2:20" ht="18" customHeight="1">
      <c r="B101" s="353" t="s">
        <v>66</v>
      </c>
      <c r="C101" s="270"/>
      <c r="D101" s="283">
        <f>S101/SUM(S14:S15)</f>
        <v>4.6000497568304244</v>
      </c>
      <c r="E101" s="281" t="s">
        <v>73</v>
      </c>
      <c r="F101" s="271">
        <f>SUM('Monthly-UTL'!E49,'Monthly-UTL'!E51)</f>
        <v>117757</v>
      </c>
      <c r="G101" s="272">
        <f>SUM('Monthly-UTL'!F49,'Monthly-UTL'!F51)</f>
        <v>159378</v>
      </c>
      <c r="H101" s="272">
        <f>SUM('Monthly-UTL'!G49,'Monthly-UTL'!G51)</f>
        <v>191994</v>
      </c>
      <c r="I101" s="272">
        <f>SUM('Monthly-UTL'!H49,'Monthly-UTL'!H51)</f>
        <v>159050</v>
      </c>
      <c r="J101" s="272">
        <f>SUM('Monthly-UTL'!I49,'Monthly-UTL'!I51)</f>
        <v>115498</v>
      </c>
      <c r="K101" s="272">
        <f>SUM('Monthly-UTL'!J49,'Monthly-UTL'!J51)</f>
        <v>182462</v>
      </c>
      <c r="L101" s="272">
        <f>SUM('Monthly-UTL'!K49,'Monthly-UTL'!K51)</f>
        <v>117527.99999999969</v>
      </c>
      <c r="M101" s="272">
        <f>SUM('Monthly-UTL'!L49,'Monthly-UTL'!L51)</f>
        <v>83250</v>
      </c>
      <c r="N101" s="272">
        <f>SUM('Monthly-UTL'!M49,'Monthly-UTL'!M51)</f>
        <v>96411</v>
      </c>
      <c r="O101" s="272">
        <f>SUM('Monthly-UTL'!N49,'Monthly-UTL'!N51)</f>
        <v>55894.000000000102</v>
      </c>
      <c r="P101" s="272">
        <f>SUM('Monthly-UTL'!O49,'Monthly-UTL'!O51)</f>
        <v>98469.000000000102</v>
      </c>
      <c r="Q101" s="307">
        <f>SUM('Monthly-UTL'!P49,'Monthly-UTL'!P51)</f>
        <v>165920</v>
      </c>
      <c r="R101" s="237"/>
      <c r="S101" s="293">
        <f t="shared" si="13"/>
        <v>1543610.9999999995</v>
      </c>
    </row>
    <row r="102" spans="2:20" ht="18" customHeight="1">
      <c r="B102" s="353" t="s">
        <v>67</v>
      </c>
      <c r="C102" s="270"/>
      <c r="D102" s="283">
        <f>S102/S18</f>
        <v>4.3673727970349363</v>
      </c>
      <c r="E102" s="281" t="s">
        <v>73</v>
      </c>
      <c r="F102" s="271">
        <f>'Monthly-UTL'!E52</f>
        <v>27.237000000000101</v>
      </c>
      <c r="G102" s="272">
        <f>'Monthly-UTL'!F52</f>
        <v>249.792</v>
      </c>
      <c r="H102" s="272">
        <f>'Monthly-UTL'!G52</f>
        <v>1897.2</v>
      </c>
      <c r="I102" s="272">
        <f>'Monthly-UTL'!H52</f>
        <v>3073.61</v>
      </c>
      <c r="J102" s="272">
        <f>'Monthly-UTL'!I52</f>
        <v>2956.81</v>
      </c>
      <c r="K102" s="272">
        <f>'Monthly-UTL'!J52</f>
        <v>4123.34</v>
      </c>
      <c r="L102" s="272">
        <f>'Monthly-UTL'!K52</f>
        <v>151.29999999999899</v>
      </c>
      <c r="M102" s="272">
        <f>'Monthly-UTL'!L52</f>
        <v>2516.4</v>
      </c>
      <c r="N102" s="272">
        <f>'Monthly-UTL'!M52</f>
        <v>3994.5</v>
      </c>
      <c r="O102" s="272">
        <f>'Monthly-UTL'!N52</f>
        <v>2912.3</v>
      </c>
      <c r="P102" s="272">
        <f>'Monthly-UTL'!O52</f>
        <v>2927.8</v>
      </c>
      <c r="Q102" s="307">
        <f>'Monthly-UTL'!P52</f>
        <v>6070.9</v>
      </c>
      <c r="R102" s="237"/>
      <c r="S102" s="293">
        <f t="shared" si="13"/>
        <v>30901.188999999998</v>
      </c>
    </row>
    <row r="103" spans="2:20" ht="18" customHeight="1">
      <c r="B103" s="353" t="s">
        <v>57</v>
      </c>
      <c r="C103" s="270"/>
      <c r="D103" s="326">
        <f>D99-SUM(D100:D102)</f>
        <v>3.3274040279036292</v>
      </c>
      <c r="E103" s="281" t="s">
        <v>73</v>
      </c>
      <c r="F103" s="271">
        <f t="shared" ref="F103:Q103" si="15">F99-SUM(F100:F102)</f>
        <v>293051.77299999999</v>
      </c>
      <c r="G103" s="272">
        <f t="shared" si="15"/>
        <v>339091.48800000001</v>
      </c>
      <c r="H103" s="272">
        <f t="shared" si="15"/>
        <v>371229.89999999997</v>
      </c>
      <c r="I103" s="272">
        <f t="shared" si="15"/>
        <v>341161</v>
      </c>
      <c r="J103" s="272">
        <f t="shared" si="15"/>
        <v>292904.8</v>
      </c>
      <c r="K103" s="272">
        <f t="shared" si="15"/>
        <v>348260.79</v>
      </c>
      <c r="L103" s="272">
        <f t="shared" si="15"/>
        <v>297302.14000000083</v>
      </c>
      <c r="M103" s="272">
        <f t="shared" si="15"/>
        <v>246645.18000000002</v>
      </c>
      <c r="N103" s="272">
        <f t="shared" si="15"/>
        <v>290529.46000000002</v>
      </c>
      <c r="O103" s="272">
        <f t="shared" si="15"/>
        <v>205806.07999999978</v>
      </c>
      <c r="P103" s="272">
        <f t="shared" si="15"/>
        <v>269056.5799999999</v>
      </c>
      <c r="Q103" s="307">
        <f t="shared" si="15"/>
        <v>334182.48</v>
      </c>
      <c r="R103" s="237"/>
      <c r="S103" s="293">
        <f t="shared" si="13"/>
        <v>3629221.6710000006</v>
      </c>
    </row>
    <row r="104" spans="2:20" ht="18" customHeight="1" thickBot="1">
      <c r="B104" s="319"/>
      <c r="C104" s="258"/>
      <c r="D104" s="258"/>
      <c r="E104" s="320"/>
      <c r="F104" s="321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42"/>
      <c r="R104" s="237"/>
      <c r="S104" s="298"/>
    </row>
    <row r="106" spans="2:20" customFormat="1" ht="15">
      <c r="B106" s="235" t="s">
        <v>74</v>
      </c>
      <c r="C106" s="235"/>
      <c r="D106" s="220"/>
      <c r="E106" s="220"/>
      <c r="I106" s="220"/>
      <c r="J106" s="220"/>
      <c r="K106" s="220"/>
      <c r="P106" s="220"/>
      <c r="Q106" s="220"/>
      <c r="R106" s="220"/>
      <c r="S106" s="220"/>
      <c r="T106" s="421"/>
    </row>
    <row r="107" spans="2:20" customFormat="1" ht="18.95" customHeight="1">
      <c r="B107" s="220" t="s">
        <v>75</v>
      </c>
      <c r="C107" s="220"/>
      <c r="D107" s="220"/>
      <c r="E107" s="220"/>
      <c r="I107" s="220"/>
      <c r="J107" s="220"/>
      <c r="K107" s="220"/>
      <c r="P107" s="220"/>
      <c r="Q107" s="220"/>
      <c r="R107" s="220"/>
      <c r="S107" s="220"/>
      <c r="T107" s="421"/>
    </row>
    <row r="108" spans="2:20" customFormat="1" ht="15">
      <c r="B108" s="220"/>
      <c r="C108" s="220"/>
      <c r="D108" s="220"/>
      <c r="E108" s="220"/>
      <c r="I108" s="220"/>
      <c r="J108" s="220"/>
      <c r="K108" s="220"/>
      <c r="P108" s="220"/>
      <c r="Q108" s="220"/>
      <c r="R108" s="220"/>
      <c r="S108" s="220"/>
      <c r="T108" s="421"/>
    </row>
    <row r="109" spans="2:20" customFormat="1" ht="15">
      <c r="B109" s="220"/>
      <c r="C109" s="220"/>
      <c r="D109" s="220"/>
      <c r="E109" s="220"/>
      <c r="I109" s="220"/>
      <c r="J109" s="220"/>
      <c r="K109" s="220"/>
      <c r="P109" s="220"/>
      <c r="Q109" s="220"/>
      <c r="R109" s="220"/>
      <c r="S109" s="220"/>
      <c r="T109" s="421"/>
    </row>
    <row r="110" spans="2:20" customFormat="1" ht="23.1" customHeight="1">
      <c r="B110" s="438" t="s">
        <v>76</v>
      </c>
      <c r="C110" s="438"/>
      <c r="D110" s="438"/>
      <c r="E110" s="438"/>
      <c r="F110" s="438"/>
      <c r="G110" s="438"/>
      <c r="H110" s="438"/>
      <c r="I110" s="438"/>
      <c r="J110" s="438"/>
      <c r="K110" s="438"/>
      <c r="L110" s="438"/>
      <c r="M110" s="438"/>
      <c r="N110" s="438"/>
      <c r="O110" s="438"/>
      <c r="P110" s="438"/>
      <c r="Q110" s="438"/>
      <c r="R110" s="438"/>
      <c r="S110" s="438"/>
      <c r="T110" s="421"/>
    </row>
    <row r="111" spans="2:20" customFormat="1" ht="21.95" customHeight="1" thickBot="1">
      <c r="B111" s="220"/>
      <c r="C111" s="220"/>
      <c r="D111" s="220"/>
      <c r="E111" s="220"/>
      <c r="I111" s="220"/>
      <c r="J111" s="220"/>
      <c r="K111" s="220"/>
      <c r="P111" s="220"/>
      <c r="Q111" s="220"/>
      <c r="R111" s="220"/>
      <c r="S111" s="220"/>
      <c r="T111" s="421"/>
    </row>
    <row r="112" spans="2:20" ht="21.95" customHeight="1" thickBot="1">
      <c r="F112" s="439">
        <v>2020</v>
      </c>
      <c r="G112" s="440"/>
      <c r="H112" s="440"/>
      <c r="I112" s="440"/>
      <c r="J112" s="440"/>
      <c r="K112" s="440"/>
      <c r="L112" s="440"/>
      <c r="M112" s="440"/>
      <c r="N112" s="440"/>
      <c r="O112" s="440"/>
      <c r="P112" s="440"/>
      <c r="Q112" s="441"/>
      <c r="S112" s="287" t="s">
        <v>2</v>
      </c>
    </row>
    <row r="113" spans="2:20" ht="21.95" customHeight="1">
      <c r="B113" s="430" t="s">
        <v>77</v>
      </c>
      <c r="C113" s="431"/>
      <c r="D113" s="431"/>
      <c r="E113" s="431"/>
      <c r="F113" s="259">
        <v>20</v>
      </c>
      <c r="G113" s="260">
        <v>29</v>
      </c>
      <c r="H113" s="260">
        <v>31</v>
      </c>
      <c r="I113" s="260">
        <v>29</v>
      </c>
      <c r="J113" s="260">
        <v>22</v>
      </c>
      <c r="K113" s="260">
        <v>30</v>
      </c>
      <c r="L113" s="260">
        <v>23</v>
      </c>
      <c r="M113" s="260">
        <v>17</v>
      </c>
      <c r="N113" s="260">
        <v>22</v>
      </c>
      <c r="O113" s="260">
        <v>13</v>
      </c>
      <c r="P113" s="260">
        <v>17</v>
      </c>
      <c r="Q113" s="302">
        <v>31</v>
      </c>
      <c r="S113" s="428">
        <f>SUM(F113:Q113)</f>
        <v>284</v>
      </c>
    </row>
    <row r="114" spans="2:20" ht="21.95" customHeight="1" thickBot="1">
      <c r="B114" s="432"/>
      <c r="C114" s="433"/>
      <c r="D114" s="433"/>
      <c r="E114" s="433"/>
      <c r="F114" s="229" t="s">
        <v>7</v>
      </c>
      <c r="G114" s="230" t="s">
        <v>8</v>
      </c>
      <c r="H114" s="230" t="s">
        <v>9</v>
      </c>
      <c r="I114" s="230" t="s">
        <v>10</v>
      </c>
      <c r="J114" s="230" t="s">
        <v>11</v>
      </c>
      <c r="K114" s="230" t="s">
        <v>12</v>
      </c>
      <c r="L114" s="230" t="s">
        <v>13</v>
      </c>
      <c r="M114" s="230" t="s">
        <v>14</v>
      </c>
      <c r="N114" s="230" t="s">
        <v>15</v>
      </c>
      <c r="O114" s="230" t="s">
        <v>16</v>
      </c>
      <c r="P114" s="230" t="s">
        <v>17</v>
      </c>
      <c r="Q114" s="289" t="s">
        <v>18</v>
      </c>
      <c r="S114" s="429"/>
    </row>
    <row r="115" spans="2:20" s="223" customFormat="1" ht="21.95" customHeight="1">
      <c r="B115" s="231" t="s">
        <v>78</v>
      </c>
      <c r="D115" s="327"/>
      <c r="E115" s="328"/>
      <c r="F115" s="329">
        <f t="shared" ref="F115:Q115" si="16">F8</f>
        <v>31386.719000000001</v>
      </c>
      <c r="G115" s="330">
        <f t="shared" si="16"/>
        <v>47885.813000000002</v>
      </c>
      <c r="H115" s="330">
        <f t="shared" si="16"/>
        <v>45905.106</v>
      </c>
      <c r="I115" s="330">
        <f t="shared" si="16"/>
        <v>54213.038</v>
      </c>
      <c r="J115" s="330">
        <f t="shared" si="16"/>
        <v>36539.131999999998</v>
      </c>
      <c r="K115" s="330">
        <f t="shared" si="16"/>
        <v>51486.063999999998</v>
      </c>
      <c r="L115" s="330">
        <f t="shared" si="16"/>
        <v>32365.656000000003</v>
      </c>
      <c r="M115" s="330">
        <f t="shared" si="16"/>
        <v>18178.234999999997</v>
      </c>
      <c r="N115" s="330">
        <f t="shared" si="16"/>
        <v>18575.115000000002</v>
      </c>
      <c r="O115" s="330">
        <f t="shared" si="16"/>
        <v>16057.200999999999</v>
      </c>
      <c r="P115" s="330">
        <f t="shared" si="16"/>
        <v>26096.55599999995</v>
      </c>
      <c r="Q115" s="344">
        <f t="shared" si="16"/>
        <v>44557.176999999996</v>
      </c>
      <c r="R115" s="233"/>
      <c r="S115" s="345">
        <f>SUM(F115:Q115)</f>
        <v>423245.81199999992</v>
      </c>
      <c r="T115" s="414"/>
    </row>
    <row r="116" spans="2:20" ht="21.95" customHeight="1">
      <c r="B116" s="234" t="s">
        <v>79</v>
      </c>
      <c r="D116" s="331">
        <f>S116/S119*100</f>
        <v>53.154649926668682</v>
      </c>
      <c r="E116" s="232" t="s">
        <v>80</v>
      </c>
      <c r="F116" s="332">
        <v>307.8617505542</v>
      </c>
      <c r="G116" s="255">
        <v>0</v>
      </c>
      <c r="H116" s="255">
        <v>0</v>
      </c>
      <c r="I116" s="255">
        <v>0</v>
      </c>
      <c r="J116" s="255">
        <v>237</v>
      </c>
      <c r="K116" s="255">
        <v>0</v>
      </c>
      <c r="L116" s="255">
        <v>246.23777647058799</v>
      </c>
      <c r="M116" s="255">
        <v>353.14815294117602</v>
      </c>
      <c r="N116" s="255">
        <v>120</v>
      </c>
      <c r="O116" s="255">
        <v>451.54853012048198</v>
      </c>
      <c r="P116" s="255">
        <v>331.22102409638597</v>
      </c>
      <c r="Q116" s="346">
        <v>0</v>
      </c>
      <c r="R116" s="237"/>
      <c r="S116" s="311">
        <f>SUM(F116:Q116)</f>
        <v>2047.0172341828318</v>
      </c>
    </row>
    <row r="117" spans="2:20" ht="21.95" customHeight="1">
      <c r="B117" s="234" t="s">
        <v>81</v>
      </c>
      <c r="D117" s="333">
        <f>S117/S119*100</f>
        <v>10.145745403048572</v>
      </c>
      <c r="E117" s="232" t="s">
        <v>80</v>
      </c>
      <c r="F117" s="332">
        <v>0</v>
      </c>
      <c r="G117" s="255">
        <v>0</v>
      </c>
      <c r="H117" s="255">
        <v>0</v>
      </c>
      <c r="I117" s="255">
        <v>50.850892307692298</v>
      </c>
      <c r="J117" s="255">
        <v>75</v>
      </c>
      <c r="K117" s="255">
        <v>0</v>
      </c>
      <c r="L117" s="255">
        <v>0</v>
      </c>
      <c r="M117" s="255">
        <v>0</v>
      </c>
      <c r="N117" s="255">
        <v>192.758602409639</v>
      </c>
      <c r="O117" s="255">
        <v>72.109204819277096</v>
      </c>
      <c r="P117" s="255">
        <v>0</v>
      </c>
      <c r="Q117" s="346">
        <v>0</v>
      </c>
      <c r="R117" s="237"/>
      <c r="S117" s="311">
        <f>SUM(F117:Q117)</f>
        <v>390.71869953660837</v>
      </c>
      <c r="T117" s="424"/>
    </row>
    <row r="118" spans="2:20" ht="21.95" customHeight="1">
      <c r="B118" s="234" t="s">
        <v>82</v>
      </c>
      <c r="D118" s="333">
        <f>S118/S119*100</f>
        <v>36.699604670282731</v>
      </c>
      <c r="E118" s="232" t="s">
        <v>80</v>
      </c>
      <c r="F118" s="332">
        <v>95.5345480526438</v>
      </c>
      <c r="G118" s="255">
        <v>154.65799999999999</v>
      </c>
      <c r="H118" s="255">
        <v>196.2</v>
      </c>
      <c r="I118" s="255">
        <v>29.5100615384615</v>
      </c>
      <c r="J118" s="255">
        <v>0</v>
      </c>
      <c r="K118" s="255">
        <v>94</v>
      </c>
      <c r="L118" s="255">
        <v>138.520169230769</v>
      </c>
      <c r="M118" s="255">
        <v>206.54135384615401</v>
      </c>
      <c r="N118" s="255">
        <v>185.56531325301199</v>
      </c>
      <c r="O118" s="255">
        <v>26.6264457831325</v>
      </c>
      <c r="P118" s="255">
        <v>76.013253012048196</v>
      </c>
      <c r="Q118" s="346">
        <v>210.15449397590399</v>
      </c>
      <c r="R118" s="237"/>
      <c r="S118" s="311">
        <f>SUM(F118:Q118)</f>
        <v>1413.3236386921251</v>
      </c>
      <c r="T118" s="424"/>
    </row>
    <row r="119" spans="2:20" s="223" customFormat="1" ht="21.95" customHeight="1" thickBot="1">
      <c r="B119" s="251" t="s">
        <v>83</v>
      </c>
      <c r="C119" s="252"/>
      <c r="D119" s="334">
        <f>SUM(D116:D118)</f>
        <v>99.999999999999986</v>
      </c>
      <c r="E119" s="335" t="s">
        <v>80</v>
      </c>
      <c r="F119" s="336">
        <f t="shared" ref="F119:Q119" si="17">SUM(F116:F118)</f>
        <v>403.3962986068438</v>
      </c>
      <c r="G119" s="337">
        <f t="shared" si="17"/>
        <v>154.65799999999999</v>
      </c>
      <c r="H119" s="337">
        <f t="shared" si="17"/>
        <v>196.2</v>
      </c>
      <c r="I119" s="337">
        <f t="shared" si="17"/>
        <v>80.360953846153791</v>
      </c>
      <c r="J119" s="337">
        <f t="shared" si="17"/>
        <v>312</v>
      </c>
      <c r="K119" s="337">
        <f t="shared" si="17"/>
        <v>94</v>
      </c>
      <c r="L119" s="337">
        <f t="shared" si="17"/>
        <v>384.75794570135702</v>
      </c>
      <c r="M119" s="337">
        <f t="shared" si="17"/>
        <v>559.68950678733006</v>
      </c>
      <c r="N119" s="337">
        <f t="shared" si="17"/>
        <v>498.32391566265102</v>
      </c>
      <c r="O119" s="337">
        <f t="shared" si="17"/>
        <v>550.28418072289151</v>
      </c>
      <c r="P119" s="337">
        <f t="shared" si="17"/>
        <v>407.23427710843418</v>
      </c>
      <c r="Q119" s="347">
        <f t="shared" si="17"/>
        <v>210.15449397590399</v>
      </c>
      <c r="R119" s="233"/>
      <c r="S119" s="348">
        <f>SUM(F119:Q119)</f>
        <v>3851.0595724115656</v>
      </c>
      <c r="T119" s="414"/>
    </row>
    <row r="120" spans="2:20" customFormat="1" ht="21.95" customHeight="1">
      <c r="B120" s="220"/>
      <c r="C120" s="220"/>
      <c r="D120" s="220"/>
      <c r="E120" s="220"/>
      <c r="I120" s="220"/>
      <c r="J120" s="220"/>
      <c r="K120" s="220"/>
      <c r="P120" s="220"/>
      <c r="Q120" s="220"/>
      <c r="R120" s="220"/>
      <c r="S120" s="220"/>
      <c r="T120" s="421"/>
    </row>
    <row r="121" spans="2:20" customFormat="1" ht="21.95" customHeight="1" thickBot="1">
      <c r="B121" s="220"/>
      <c r="C121" s="220"/>
      <c r="D121" s="220"/>
      <c r="E121" s="220"/>
      <c r="I121" s="220"/>
      <c r="J121" s="220"/>
      <c r="K121" s="220"/>
      <c r="P121" s="220"/>
      <c r="Q121" s="220"/>
      <c r="R121" s="220"/>
      <c r="S121" s="220"/>
      <c r="T121" s="421"/>
    </row>
    <row r="122" spans="2:20" ht="21.95" customHeight="1" thickBot="1">
      <c r="B122" s="235" t="s">
        <v>84</v>
      </c>
      <c r="C122" s="235"/>
      <c r="F122" s="439">
        <v>2020</v>
      </c>
      <c r="G122" s="440"/>
      <c r="H122" s="440"/>
      <c r="I122" s="440"/>
      <c r="J122" s="440"/>
      <c r="K122" s="440"/>
      <c r="L122" s="440"/>
      <c r="M122" s="440"/>
      <c r="N122" s="440"/>
      <c r="O122" s="440"/>
      <c r="P122" s="440"/>
      <c r="Q122" s="441"/>
      <c r="S122" s="287" t="s">
        <v>2</v>
      </c>
    </row>
    <row r="123" spans="2:20" ht="21.95" customHeight="1">
      <c r="B123" s="430" t="s">
        <v>85</v>
      </c>
      <c r="C123" s="431"/>
      <c r="D123" s="431"/>
      <c r="E123" s="431"/>
      <c r="F123" s="259">
        <v>20</v>
      </c>
      <c r="G123" s="260">
        <v>29</v>
      </c>
      <c r="H123" s="260">
        <v>31</v>
      </c>
      <c r="I123" s="260">
        <v>29</v>
      </c>
      <c r="J123" s="260">
        <v>22</v>
      </c>
      <c r="K123" s="260">
        <v>30</v>
      </c>
      <c r="L123" s="260">
        <v>23</v>
      </c>
      <c r="M123" s="260">
        <v>17</v>
      </c>
      <c r="N123" s="260">
        <v>22</v>
      </c>
      <c r="O123" s="260">
        <v>13</v>
      </c>
      <c r="P123" s="260">
        <v>17</v>
      </c>
      <c r="Q123" s="302">
        <v>31</v>
      </c>
      <c r="S123" s="428">
        <f t="shared" ref="S123:S131" si="18">SUM(F123:Q123)</f>
        <v>284</v>
      </c>
    </row>
    <row r="124" spans="2:20" ht="21.95" customHeight="1" thickBot="1">
      <c r="B124" s="432"/>
      <c r="C124" s="433"/>
      <c r="D124" s="433"/>
      <c r="E124" s="433"/>
      <c r="F124" s="229" t="s">
        <v>7</v>
      </c>
      <c r="G124" s="230" t="s">
        <v>8</v>
      </c>
      <c r="H124" s="230" t="s">
        <v>9</v>
      </c>
      <c r="I124" s="230" t="s">
        <v>10</v>
      </c>
      <c r="J124" s="230" t="s">
        <v>11</v>
      </c>
      <c r="K124" s="230" t="s">
        <v>12</v>
      </c>
      <c r="L124" s="230" t="s">
        <v>13</v>
      </c>
      <c r="M124" s="230" t="s">
        <v>14</v>
      </c>
      <c r="N124" s="230" t="s">
        <v>15</v>
      </c>
      <c r="O124" s="230" t="s">
        <v>16</v>
      </c>
      <c r="P124" s="230" t="s">
        <v>17</v>
      </c>
      <c r="Q124" s="289" t="s">
        <v>18</v>
      </c>
      <c r="S124" s="429"/>
    </row>
    <row r="125" spans="2:20" ht="21.95" customHeight="1">
      <c r="B125" s="234" t="s">
        <v>86</v>
      </c>
      <c r="D125" s="331">
        <f>S125/S131*100</f>
        <v>6.5240326589117004</v>
      </c>
      <c r="E125" s="232" t="s">
        <v>80</v>
      </c>
      <c r="F125" s="332">
        <v>251.24483076923099</v>
      </c>
      <c r="G125" s="255">
        <v>0</v>
      </c>
      <c r="H125" s="255">
        <v>0</v>
      </c>
      <c r="I125" s="255">
        <v>0</v>
      </c>
      <c r="J125" s="255">
        <v>0</v>
      </c>
      <c r="K125" s="255">
        <v>0</v>
      </c>
      <c r="L125" s="255">
        <v>0</v>
      </c>
      <c r="M125" s="255">
        <v>0</v>
      </c>
      <c r="N125" s="255">
        <v>0</v>
      </c>
      <c r="O125" s="255">
        <v>0</v>
      </c>
      <c r="P125" s="255">
        <v>0</v>
      </c>
      <c r="Q125" s="346">
        <v>0</v>
      </c>
      <c r="R125" s="237"/>
      <c r="S125" s="311">
        <f t="shared" si="18"/>
        <v>251.24483076923099</v>
      </c>
    </row>
    <row r="126" spans="2:20" ht="21.95" customHeight="1">
      <c r="B126" s="234" t="s">
        <v>87</v>
      </c>
      <c r="D126" s="333">
        <f>S126/S131*100</f>
        <v>6.1541395117587827</v>
      </c>
      <c r="E126" s="232" t="s">
        <v>80</v>
      </c>
      <c r="F126" s="332">
        <v>0</v>
      </c>
      <c r="G126" s="255">
        <v>0</v>
      </c>
      <c r="H126" s="255">
        <v>0</v>
      </c>
      <c r="I126" s="255">
        <v>0</v>
      </c>
      <c r="J126" s="255">
        <v>237</v>
      </c>
      <c r="K126" s="255">
        <v>0</v>
      </c>
      <c r="L126" s="255">
        <v>0</v>
      </c>
      <c r="M126" s="255">
        <v>0</v>
      </c>
      <c r="N126" s="255">
        <v>0</v>
      </c>
      <c r="O126" s="255">
        <v>0</v>
      </c>
      <c r="P126" s="255">
        <v>0</v>
      </c>
      <c r="Q126" s="346">
        <v>0</v>
      </c>
      <c r="R126" s="237"/>
      <c r="S126" s="311">
        <f t="shared" si="18"/>
        <v>237</v>
      </c>
    </row>
    <row r="127" spans="2:20" ht="21.95" customHeight="1">
      <c r="B127" s="234" t="s">
        <v>88</v>
      </c>
      <c r="D127" s="333">
        <f>S127/S131*100</f>
        <v>9.6620222038664618</v>
      </c>
      <c r="E127" s="232" t="s">
        <v>80</v>
      </c>
      <c r="F127" s="332"/>
      <c r="G127" s="255"/>
      <c r="H127" s="255"/>
      <c r="I127" s="255">
        <v>50.850892307692298</v>
      </c>
      <c r="J127" s="255">
        <v>75</v>
      </c>
      <c r="K127" s="255">
        <v>0</v>
      </c>
      <c r="L127" s="255">
        <v>246.24</v>
      </c>
      <c r="M127" s="255">
        <v>0</v>
      </c>
      <c r="N127" s="255">
        <v>0</v>
      </c>
      <c r="O127" s="255">
        <v>0</v>
      </c>
      <c r="P127" s="255">
        <v>0</v>
      </c>
      <c r="Q127" s="346">
        <v>0</v>
      </c>
      <c r="R127" s="237"/>
      <c r="S127" s="311">
        <f t="shared" si="18"/>
        <v>372.09089230769234</v>
      </c>
      <c r="T127" s="424"/>
    </row>
    <row r="128" spans="2:20" ht="21.95" customHeight="1">
      <c r="B128" s="234" t="s">
        <v>89</v>
      </c>
      <c r="D128" s="333">
        <f>S128/S131*100</f>
        <v>2.6313773391513093</v>
      </c>
      <c r="E128" s="232" t="s">
        <v>80</v>
      </c>
      <c r="F128" s="332">
        <v>7.3360890157383301</v>
      </c>
      <c r="G128" s="255"/>
      <c r="H128" s="255"/>
      <c r="I128" s="255">
        <v>0</v>
      </c>
      <c r="J128" s="255">
        <v>0</v>
      </c>
      <c r="K128" s="255">
        <v>94</v>
      </c>
      <c r="L128" s="255">
        <v>0</v>
      </c>
      <c r="M128" s="255">
        <v>0</v>
      </c>
      <c r="N128" s="255">
        <v>0</v>
      </c>
      <c r="O128" s="255">
        <v>0</v>
      </c>
      <c r="P128" s="255">
        <v>0</v>
      </c>
      <c r="Q128" s="346">
        <v>0</v>
      </c>
      <c r="R128" s="237"/>
      <c r="S128" s="311">
        <f t="shared" si="18"/>
        <v>101.33608901573832</v>
      </c>
      <c r="T128" s="424"/>
    </row>
    <row r="129" spans="2:20" ht="21.95" customHeight="1">
      <c r="B129" s="234" t="s">
        <v>90</v>
      </c>
      <c r="D129" s="333">
        <f>S129/S131*100</f>
        <v>0.76628285108978522</v>
      </c>
      <c r="E129" s="232" t="s">
        <v>80</v>
      </c>
      <c r="F129" s="332"/>
      <c r="G129" s="255"/>
      <c r="H129" s="255"/>
      <c r="I129" s="255">
        <v>29.5100615384615</v>
      </c>
      <c r="J129" s="255">
        <v>0</v>
      </c>
      <c r="K129" s="255">
        <v>0</v>
      </c>
      <c r="L129" s="255">
        <v>0</v>
      </c>
      <c r="M129" s="255">
        <v>0</v>
      </c>
      <c r="N129" s="255">
        <v>0</v>
      </c>
      <c r="O129" s="255">
        <v>0</v>
      </c>
      <c r="P129" s="255">
        <v>0</v>
      </c>
      <c r="Q129" s="346">
        <v>0</v>
      </c>
      <c r="R129" s="237"/>
      <c r="S129" s="311">
        <f t="shared" si="18"/>
        <v>29.5100615384615</v>
      </c>
    </row>
    <row r="130" spans="2:20" ht="21.95" customHeight="1">
      <c r="B130" s="234" t="s">
        <v>91</v>
      </c>
      <c r="D130" s="333">
        <f>S130/S131*100</f>
        <v>74.262145435221953</v>
      </c>
      <c r="E130" s="232" t="s">
        <v>80</v>
      </c>
      <c r="F130" s="332">
        <v>144.82</v>
      </c>
      <c r="G130" s="255">
        <v>154.65799999999999</v>
      </c>
      <c r="H130" s="255">
        <v>196.2</v>
      </c>
      <c r="I130" s="255">
        <v>0</v>
      </c>
      <c r="J130" s="255">
        <v>0</v>
      </c>
      <c r="K130" s="255">
        <v>0</v>
      </c>
      <c r="L130" s="255">
        <v>138.520169230769</v>
      </c>
      <c r="M130" s="255">
        <v>559.68950678732995</v>
      </c>
      <c r="N130" s="255">
        <v>498.32391566265102</v>
      </c>
      <c r="O130" s="255">
        <v>550.28418072289196</v>
      </c>
      <c r="P130" s="255">
        <v>407.23427710843401</v>
      </c>
      <c r="Q130" s="346">
        <v>210.15449397590399</v>
      </c>
      <c r="R130" s="237"/>
      <c r="S130" s="311">
        <f>SUM(F130:Q130)</f>
        <v>2859.88454348798</v>
      </c>
      <c r="T130" s="420"/>
    </row>
    <row r="131" spans="2:20" s="223" customFormat="1" ht="21.95" customHeight="1" thickBot="1">
      <c r="B131" s="251" t="s">
        <v>92</v>
      </c>
      <c r="C131" s="252"/>
      <c r="D131" s="334">
        <f>SUM(D125:D130)</f>
        <v>99.999999999999986</v>
      </c>
      <c r="E131" s="335" t="s">
        <v>80</v>
      </c>
      <c r="F131" s="336">
        <f t="shared" ref="F131:Q131" si="19">SUM(F125:F130)</f>
        <v>403.40091978496929</v>
      </c>
      <c r="G131" s="337">
        <f t="shared" si="19"/>
        <v>154.65799999999999</v>
      </c>
      <c r="H131" s="337">
        <f t="shared" si="19"/>
        <v>196.2</v>
      </c>
      <c r="I131" s="337">
        <f t="shared" si="19"/>
        <v>80.360953846153791</v>
      </c>
      <c r="J131" s="337">
        <f t="shared" si="19"/>
        <v>312</v>
      </c>
      <c r="K131" s="337">
        <f t="shared" si="19"/>
        <v>94</v>
      </c>
      <c r="L131" s="337">
        <f t="shared" si="19"/>
        <v>384.76016923076901</v>
      </c>
      <c r="M131" s="337">
        <f t="shared" si="19"/>
        <v>559.68950678732995</v>
      </c>
      <c r="N131" s="337">
        <f t="shared" si="19"/>
        <v>498.32391566265102</v>
      </c>
      <c r="O131" s="337">
        <f t="shared" si="19"/>
        <v>550.28418072289196</v>
      </c>
      <c r="P131" s="337">
        <f t="shared" si="19"/>
        <v>407.23427710843401</v>
      </c>
      <c r="Q131" s="347">
        <f t="shared" si="19"/>
        <v>210.15449397590399</v>
      </c>
      <c r="R131" s="233"/>
      <c r="S131" s="348">
        <f t="shared" si="18"/>
        <v>3851.0664171191029</v>
      </c>
      <c r="T131" s="414"/>
    </row>
    <row r="132" spans="2:20" s="221" customFormat="1">
      <c r="F132" s="291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S132" s="220"/>
      <c r="T132" s="422"/>
    </row>
    <row r="133" spans="2:20" s="221" customFormat="1">
      <c r="F133" s="291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S133" s="220"/>
      <c r="T133" s="422"/>
    </row>
    <row r="134" spans="2:20">
      <c r="I134" s="349"/>
    </row>
    <row r="135" spans="2:20">
      <c r="I135" s="350"/>
    </row>
  </sheetData>
  <mergeCells count="25">
    <mergeCell ref="B69:E69"/>
    <mergeCell ref="F78:Q78"/>
    <mergeCell ref="B97:E97"/>
    <mergeCell ref="B2:S2"/>
    <mergeCell ref="F5:Q5"/>
    <mergeCell ref="B6:E6"/>
    <mergeCell ref="F26:Q26"/>
    <mergeCell ref="F36:Q36"/>
    <mergeCell ref="S6:S7"/>
    <mergeCell ref="S123:S124"/>
    <mergeCell ref="B27:E28"/>
    <mergeCell ref="B37:E38"/>
    <mergeCell ref="B51:E52"/>
    <mergeCell ref="B79:E80"/>
    <mergeCell ref="B123:E124"/>
    <mergeCell ref="B113:E114"/>
    <mergeCell ref="B110:S110"/>
    <mergeCell ref="F112:Q112"/>
    <mergeCell ref="F122:Q122"/>
    <mergeCell ref="S37:S38"/>
    <mergeCell ref="S51:S52"/>
    <mergeCell ref="S79:S80"/>
    <mergeCell ref="S113:S114"/>
    <mergeCell ref="B48:S48"/>
    <mergeCell ref="F50:Q50"/>
  </mergeCells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8"/>
  <sheetViews>
    <sheetView showGridLines="0" topLeftCell="A28" workbookViewId="0">
      <selection activeCell="F74" sqref="F74"/>
    </sheetView>
  </sheetViews>
  <sheetFormatPr defaultColWidth="9" defaultRowHeight="15"/>
  <cols>
    <col min="1" max="1" width="1.5703125" style="1" customWidth="1"/>
    <col min="2" max="2" width="4.140625" style="3" customWidth="1"/>
    <col min="3" max="3" width="26.28515625" style="1" customWidth="1"/>
    <col min="4" max="4" width="8.28515625" style="1" customWidth="1"/>
    <col min="5" max="12" width="13.85546875" style="1" customWidth="1"/>
    <col min="13" max="13" width="13.140625" style="1" customWidth="1"/>
    <col min="14" max="15" width="13.42578125" style="1" customWidth="1"/>
    <col min="16" max="16" width="14.5703125" style="1" customWidth="1"/>
    <col min="17" max="17" width="17.85546875" style="121" customWidth="1"/>
    <col min="18" max="18" width="21.7109375" style="1" customWidth="1"/>
    <col min="19" max="19" width="9.5703125" style="1"/>
    <col min="20" max="20" width="9.140625" style="1"/>
    <col min="21" max="21" width="13.28515625" style="1"/>
    <col min="22" max="16361" width="9.140625" style="1"/>
    <col min="16362" max="16384" width="9" style="1"/>
  </cols>
  <sheetData>
    <row r="1" spans="2:17">
      <c r="B1" s="4"/>
    </row>
    <row r="2" spans="2:17">
      <c r="B2" s="454" t="s">
        <v>93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2:17">
      <c r="B3" s="454" t="s">
        <v>94</v>
      </c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</row>
    <row r="4" spans="2:17" ht="15.7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87"/>
    </row>
    <row r="5" spans="2:17" ht="14.25">
      <c r="B5" s="457" t="s">
        <v>95</v>
      </c>
      <c r="C5" s="450" t="s">
        <v>96</v>
      </c>
      <c r="D5" s="452" t="s">
        <v>97</v>
      </c>
      <c r="E5" s="452" t="s">
        <v>98</v>
      </c>
      <c r="F5" s="452" t="s">
        <v>99</v>
      </c>
      <c r="G5" s="452" t="s">
        <v>100</v>
      </c>
      <c r="H5" s="452" t="s">
        <v>101</v>
      </c>
      <c r="I5" s="459" t="s">
        <v>102</v>
      </c>
      <c r="J5" s="459" t="s">
        <v>103</v>
      </c>
      <c r="K5" s="459" t="s">
        <v>104</v>
      </c>
      <c r="L5" s="459" t="s">
        <v>105</v>
      </c>
      <c r="M5" s="459" t="s">
        <v>106</v>
      </c>
      <c r="N5" s="459" t="s">
        <v>107</v>
      </c>
      <c r="O5" s="459" t="s">
        <v>108</v>
      </c>
      <c r="P5" s="461" t="s">
        <v>109</v>
      </c>
      <c r="Q5" s="446" t="s">
        <v>92</v>
      </c>
    </row>
    <row r="6" spans="2:17" ht="14.25">
      <c r="B6" s="458"/>
      <c r="C6" s="451"/>
      <c r="D6" s="453"/>
      <c r="E6" s="453"/>
      <c r="F6" s="453"/>
      <c r="G6" s="453"/>
      <c r="H6" s="453"/>
      <c r="I6" s="460"/>
      <c r="J6" s="460"/>
      <c r="K6" s="460"/>
      <c r="L6" s="460"/>
      <c r="M6" s="460"/>
      <c r="N6" s="460"/>
      <c r="O6" s="460"/>
      <c r="P6" s="462"/>
      <c r="Q6" s="447"/>
    </row>
    <row r="7" spans="2:17" s="71" customFormat="1">
      <c r="B7" s="122">
        <v>1</v>
      </c>
      <c r="C7" s="123" t="s">
        <v>110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88" t="s">
        <v>111</v>
      </c>
    </row>
    <row r="8" spans="2:17">
      <c r="B8" s="125"/>
      <c r="C8" s="126" t="s">
        <v>112</v>
      </c>
      <c r="D8" s="127"/>
      <c r="E8" s="127"/>
      <c r="F8" s="127"/>
      <c r="G8" s="127"/>
      <c r="H8" s="127"/>
      <c r="I8" s="138"/>
      <c r="J8" s="138"/>
      <c r="K8" s="138"/>
      <c r="L8" s="138"/>
      <c r="M8" s="138"/>
      <c r="N8" s="138"/>
      <c r="O8" s="138"/>
      <c r="P8" s="157"/>
      <c r="Q8" s="189"/>
    </row>
    <row r="9" spans="2:17">
      <c r="B9" s="125"/>
      <c r="C9" s="128" t="s">
        <v>113</v>
      </c>
      <c r="D9" s="20" t="s">
        <v>114</v>
      </c>
      <c r="E9" s="30">
        <v>34712190</v>
      </c>
      <c r="F9" s="30">
        <v>46794650</v>
      </c>
      <c r="G9" s="30">
        <v>48958310</v>
      </c>
      <c r="H9" s="30">
        <v>49512120</v>
      </c>
      <c r="I9" s="158">
        <v>49624840</v>
      </c>
      <c r="J9" s="158">
        <v>38554430</v>
      </c>
      <c r="K9" s="158">
        <v>24913990</v>
      </c>
      <c r="L9" s="158">
        <v>18636910</v>
      </c>
      <c r="M9" s="158">
        <v>13072230</v>
      </c>
      <c r="N9" s="158">
        <v>18425380</v>
      </c>
      <c r="O9" s="158">
        <f>[1]November!$AJ$9</f>
        <v>30775240</v>
      </c>
      <c r="P9" s="159">
        <f>[2]Desember!$AL$9</f>
        <v>40452040</v>
      </c>
      <c r="Q9" s="190">
        <f t="shared" ref="Q9:Q14" si="0">SUM(E9:P9)</f>
        <v>414432330</v>
      </c>
    </row>
    <row r="10" spans="2:17">
      <c r="B10" s="125"/>
      <c r="C10" s="128" t="s">
        <v>115</v>
      </c>
      <c r="D10" s="20" t="s">
        <v>114</v>
      </c>
      <c r="E10" s="30">
        <v>34664660</v>
      </c>
      <c r="F10" s="30">
        <v>46706440</v>
      </c>
      <c r="G10" s="30">
        <v>48874490</v>
      </c>
      <c r="H10" s="30">
        <v>49430470</v>
      </c>
      <c r="I10" s="158">
        <v>49555300</v>
      </c>
      <c r="J10" s="158">
        <v>38499030</v>
      </c>
      <c r="K10" s="158">
        <v>24874530</v>
      </c>
      <c r="L10" s="158">
        <v>18603310</v>
      </c>
      <c r="M10" s="158">
        <v>13050780</v>
      </c>
      <c r="N10" s="158">
        <v>18396300</v>
      </c>
      <c r="O10" s="158">
        <f>[1]November!$AJ$10</f>
        <v>30713520</v>
      </c>
      <c r="P10" s="159">
        <f>[2]Desember!$AL$10</f>
        <v>40375140</v>
      </c>
      <c r="Q10" s="190">
        <f t="shared" si="0"/>
        <v>413743970</v>
      </c>
    </row>
    <row r="11" spans="2:17">
      <c r="B11" s="125"/>
      <c r="C11" s="129" t="s">
        <v>116</v>
      </c>
      <c r="D11" s="130" t="s">
        <v>80</v>
      </c>
      <c r="E11" s="131">
        <f t="shared" ref="E11:Q11" si="1">((E10-E9)/E9)*100</f>
        <v>-0.13692596174427485</v>
      </c>
      <c r="F11" s="131">
        <f t="shared" si="1"/>
        <v>-0.18850445510330774</v>
      </c>
      <c r="G11" s="131">
        <f t="shared" si="1"/>
        <v>-0.1712068901071136</v>
      </c>
      <c r="H11" s="131">
        <f t="shared" si="1"/>
        <v>-0.16490911720201035</v>
      </c>
      <c r="I11" s="131">
        <f t="shared" si="1"/>
        <v>-0.14013143417691623</v>
      </c>
      <c r="J11" s="131">
        <f t="shared" si="1"/>
        <v>-0.14369295564737955</v>
      </c>
      <c r="K11" s="131">
        <f t="shared" si="1"/>
        <v>-0.15838490743554123</v>
      </c>
      <c r="L11" s="131">
        <f t="shared" si="1"/>
        <v>-0.18028739742800712</v>
      </c>
      <c r="M11" s="131">
        <f t="shared" si="1"/>
        <v>-0.1640883001599574</v>
      </c>
      <c r="N11" s="131">
        <f t="shared" si="1"/>
        <v>-0.15782578161210242</v>
      </c>
      <c r="O11" s="131">
        <f t="shared" si="1"/>
        <v>-0.20055083242242788</v>
      </c>
      <c r="P11" s="160">
        <f t="shared" si="1"/>
        <v>-0.19010166112759702</v>
      </c>
      <c r="Q11" s="191">
        <f t="shared" si="1"/>
        <v>-0.16609708031224302</v>
      </c>
    </row>
    <row r="12" spans="2:17">
      <c r="B12" s="125"/>
      <c r="C12" s="132" t="s">
        <v>117</v>
      </c>
      <c r="D12" s="26"/>
      <c r="E12" s="26"/>
      <c r="F12" s="26"/>
      <c r="G12" s="26"/>
      <c r="H12" s="26"/>
      <c r="I12" s="161"/>
      <c r="J12" s="161"/>
      <c r="K12" s="161"/>
      <c r="L12" s="161"/>
      <c r="M12" s="161"/>
      <c r="N12" s="161"/>
      <c r="O12" s="161"/>
      <c r="P12" s="162"/>
      <c r="Q12" s="192"/>
    </row>
    <row r="13" spans="2:17">
      <c r="B13" s="125"/>
      <c r="C13" s="128" t="s">
        <v>113</v>
      </c>
      <c r="D13" s="20" t="s">
        <v>114</v>
      </c>
      <c r="E13" s="30">
        <v>57050</v>
      </c>
      <c r="F13" s="30">
        <v>1120030</v>
      </c>
      <c r="G13" s="30">
        <v>2641060</v>
      </c>
      <c r="H13" s="30">
        <v>1043600</v>
      </c>
      <c r="I13" s="158">
        <v>1385440</v>
      </c>
      <c r="J13" s="158">
        <v>1279790</v>
      </c>
      <c r="K13" s="158">
        <v>1443350</v>
      </c>
      <c r="L13" s="158">
        <v>536250</v>
      </c>
      <c r="M13" s="158">
        <v>100100</v>
      </c>
      <c r="N13" s="139">
        <v>0</v>
      </c>
      <c r="O13" s="139">
        <v>0</v>
      </c>
      <c r="P13" s="159">
        <f>[2]Desember!$AL$13</f>
        <v>932560</v>
      </c>
      <c r="Q13" s="190">
        <f t="shared" si="0"/>
        <v>10539230</v>
      </c>
    </row>
    <row r="14" spans="2:17">
      <c r="B14" s="125"/>
      <c r="C14" s="128" t="s">
        <v>115</v>
      </c>
      <c r="D14" s="20" t="s">
        <v>114</v>
      </c>
      <c r="E14" s="30">
        <v>56930</v>
      </c>
      <c r="F14" s="30">
        <v>1119070</v>
      </c>
      <c r="G14" s="30">
        <v>2635410</v>
      </c>
      <c r="H14" s="30">
        <v>1039720</v>
      </c>
      <c r="I14" s="158">
        <v>1382580</v>
      </c>
      <c r="J14" s="158">
        <v>1279610</v>
      </c>
      <c r="K14" s="158">
        <v>1445080</v>
      </c>
      <c r="L14" s="158">
        <v>537300</v>
      </c>
      <c r="M14" s="158">
        <v>99820</v>
      </c>
      <c r="N14" s="139">
        <v>0</v>
      </c>
      <c r="O14" s="139">
        <v>0</v>
      </c>
      <c r="P14" s="159">
        <f>[2]Desember!$AL$14</f>
        <v>931750</v>
      </c>
      <c r="Q14" s="190">
        <f t="shared" si="0"/>
        <v>10527270</v>
      </c>
    </row>
    <row r="15" spans="2:17">
      <c r="B15" s="125"/>
      <c r="C15" s="133" t="s">
        <v>116</v>
      </c>
      <c r="D15" s="26" t="s">
        <v>80</v>
      </c>
      <c r="E15" s="134">
        <f t="shared" ref="E15:Q15" si="2">((E14-E13)/E13)*100</f>
        <v>-0.21034180543382996</v>
      </c>
      <c r="F15" s="134">
        <f t="shared" si="2"/>
        <v>-8.5711989857414531E-2</v>
      </c>
      <c r="G15" s="134">
        <f t="shared" si="2"/>
        <v>-0.21392925567764459</v>
      </c>
      <c r="H15" s="134">
        <f t="shared" si="2"/>
        <v>-0.37178995783825219</v>
      </c>
      <c r="I15" s="134">
        <f t="shared" si="2"/>
        <v>-0.20643261346575814</v>
      </c>
      <c r="J15" s="134">
        <f t="shared" si="2"/>
        <v>-1.4064807507481698E-2</v>
      </c>
      <c r="K15" s="134">
        <f t="shared" si="2"/>
        <v>0.11986004780545259</v>
      </c>
      <c r="L15" s="134">
        <f t="shared" si="2"/>
        <v>0.19580419580419581</v>
      </c>
      <c r="M15" s="134">
        <f t="shared" si="2"/>
        <v>-0.27972027972027974</v>
      </c>
      <c r="N15" s="134">
        <v>0</v>
      </c>
      <c r="O15" s="134">
        <v>0</v>
      </c>
      <c r="P15" s="163">
        <f t="shared" si="2"/>
        <v>-8.6857682079437254E-2</v>
      </c>
      <c r="Q15" s="193">
        <f t="shared" si="2"/>
        <v>-0.11348077610982966</v>
      </c>
    </row>
    <row r="16" spans="2:17">
      <c r="B16" s="125"/>
      <c r="C16" s="135" t="s">
        <v>118</v>
      </c>
      <c r="D16" s="136" t="s">
        <v>114</v>
      </c>
      <c r="E16" s="137">
        <f t="shared" ref="E16:Q16" si="3">E10+E14</f>
        <v>34721590</v>
      </c>
      <c r="F16" s="137">
        <f t="shared" si="3"/>
        <v>47825510</v>
      </c>
      <c r="G16" s="137">
        <f t="shared" si="3"/>
        <v>51509900</v>
      </c>
      <c r="H16" s="137">
        <f t="shared" si="3"/>
        <v>50470190</v>
      </c>
      <c r="I16" s="137">
        <f t="shared" si="3"/>
        <v>50937880</v>
      </c>
      <c r="J16" s="137">
        <f t="shared" si="3"/>
        <v>39778640</v>
      </c>
      <c r="K16" s="137">
        <f t="shared" si="3"/>
        <v>26319610</v>
      </c>
      <c r="L16" s="137">
        <f t="shared" si="3"/>
        <v>19140610</v>
      </c>
      <c r="M16" s="137">
        <f t="shared" si="3"/>
        <v>13150600</v>
      </c>
      <c r="N16" s="137">
        <f t="shared" si="3"/>
        <v>18396300</v>
      </c>
      <c r="O16" s="137">
        <f t="shared" si="3"/>
        <v>30713520</v>
      </c>
      <c r="P16" s="164">
        <f t="shared" si="3"/>
        <v>41306890</v>
      </c>
      <c r="Q16" s="194">
        <f t="shared" si="3"/>
        <v>424271240</v>
      </c>
    </row>
    <row r="17" spans="2:17">
      <c r="B17" s="125"/>
      <c r="C17" s="455" t="s">
        <v>119</v>
      </c>
      <c r="D17" s="456"/>
      <c r="E17" s="456"/>
      <c r="F17" s="456"/>
      <c r="G17" s="456"/>
      <c r="H17" s="456"/>
      <c r="I17" s="456"/>
      <c r="J17" s="456"/>
      <c r="K17" s="456"/>
      <c r="L17" s="456"/>
      <c r="M17" s="456"/>
      <c r="N17" s="456"/>
      <c r="O17" s="456"/>
      <c r="P17" s="456"/>
      <c r="Q17" s="195" t="s">
        <v>120</v>
      </c>
    </row>
    <row r="18" spans="2:17">
      <c r="B18" s="125"/>
      <c r="C18" s="128" t="s">
        <v>113</v>
      </c>
      <c r="D18" s="20" t="s">
        <v>114</v>
      </c>
      <c r="E18" s="138">
        <v>0</v>
      </c>
      <c r="F18" s="138">
        <v>0</v>
      </c>
      <c r="G18" s="138">
        <v>0</v>
      </c>
      <c r="H18" s="138">
        <v>0</v>
      </c>
      <c r="I18" s="138">
        <v>0</v>
      </c>
      <c r="J18" s="138">
        <v>0</v>
      </c>
      <c r="K18" s="138">
        <v>5984070</v>
      </c>
      <c r="L18" s="138">
        <v>0</v>
      </c>
      <c r="M18" s="138">
        <v>0</v>
      </c>
      <c r="N18" s="138">
        <v>0</v>
      </c>
      <c r="O18" s="138">
        <v>0</v>
      </c>
      <c r="P18" s="157">
        <v>0</v>
      </c>
      <c r="Q18" s="196">
        <f>SUM(E18:P18)</f>
        <v>5984070</v>
      </c>
    </row>
    <row r="19" spans="2:17">
      <c r="B19" s="125"/>
      <c r="C19" s="128" t="s">
        <v>115</v>
      </c>
      <c r="D19" s="20" t="s">
        <v>114</v>
      </c>
      <c r="E19" s="139">
        <v>0</v>
      </c>
      <c r="F19" s="139">
        <v>0</v>
      </c>
      <c r="G19" s="139">
        <v>0</v>
      </c>
      <c r="H19" s="139">
        <v>0</v>
      </c>
      <c r="I19" s="139">
        <v>0</v>
      </c>
      <c r="J19" s="139">
        <v>0</v>
      </c>
      <c r="K19" s="139">
        <v>5982270</v>
      </c>
      <c r="L19" s="139">
        <v>0</v>
      </c>
      <c r="M19" s="139">
        <v>0</v>
      </c>
      <c r="N19" s="139">
        <v>0</v>
      </c>
      <c r="O19" s="139">
        <v>0</v>
      </c>
      <c r="P19" s="165">
        <v>0</v>
      </c>
      <c r="Q19" s="197">
        <f>SUM(E19:P19)</f>
        <v>5982270</v>
      </c>
    </row>
    <row r="20" spans="2:17">
      <c r="B20" s="125"/>
      <c r="C20" s="133" t="s">
        <v>116</v>
      </c>
      <c r="D20" s="26" t="s">
        <v>80</v>
      </c>
      <c r="E20" s="134">
        <v>0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4">
        <f>((K19-K18)/K18)*100</f>
        <v>-3.0079862033699473E-2</v>
      </c>
      <c r="L20" s="134">
        <v>0</v>
      </c>
      <c r="M20" s="134">
        <v>0</v>
      </c>
      <c r="N20" s="134">
        <v>0</v>
      </c>
      <c r="O20" s="134">
        <v>0</v>
      </c>
      <c r="P20" s="163">
        <v>0</v>
      </c>
      <c r="Q20" s="193">
        <f>((Q19-Q18)/Q18)*100</f>
        <v>-3.0079862033699473E-2</v>
      </c>
    </row>
    <row r="21" spans="2:17">
      <c r="B21" s="125"/>
      <c r="C21" s="135" t="s">
        <v>118</v>
      </c>
      <c r="D21" s="136" t="s">
        <v>114</v>
      </c>
      <c r="E21" s="140">
        <f t="shared" ref="E21:Q21" si="4">E19</f>
        <v>0</v>
      </c>
      <c r="F21" s="140">
        <f t="shared" si="4"/>
        <v>0</v>
      </c>
      <c r="G21" s="140">
        <f t="shared" si="4"/>
        <v>0</v>
      </c>
      <c r="H21" s="140">
        <f t="shared" si="4"/>
        <v>0</v>
      </c>
      <c r="I21" s="140">
        <f t="shared" si="4"/>
        <v>0</v>
      </c>
      <c r="J21" s="140">
        <f t="shared" si="4"/>
        <v>0</v>
      </c>
      <c r="K21" s="140">
        <f t="shared" si="4"/>
        <v>5982270</v>
      </c>
      <c r="L21" s="140">
        <f t="shared" si="4"/>
        <v>0</v>
      </c>
      <c r="M21" s="140">
        <f t="shared" si="4"/>
        <v>0</v>
      </c>
      <c r="N21" s="140">
        <f t="shared" si="4"/>
        <v>0</v>
      </c>
      <c r="O21" s="140">
        <f t="shared" si="4"/>
        <v>0</v>
      </c>
      <c r="P21" s="166">
        <f t="shared" si="4"/>
        <v>0</v>
      </c>
      <c r="Q21" s="198">
        <f t="shared" si="4"/>
        <v>5982270</v>
      </c>
    </row>
    <row r="22" spans="2:17">
      <c r="B22" s="448">
        <v>2</v>
      </c>
      <c r="C22" s="141" t="s">
        <v>121</v>
      </c>
      <c r="D22" s="23"/>
      <c r="E22" s="23"/>
      <c r="F22" s="23"/>
      <c r="G22" s="23"/>
      <c r="H22" s="23"/>
      <c r="I22" s="48"/>
      <c r="J22" s="48"/>
      <c r="K22" s="48"/>
      <c r="L22" s="48"/>
      <c r="M22" s="48"/>
      <c r="N22" s="48"/>
      <c r="O22" s="48"/>
      <c r="P22" s="47"/>
      <c r="Q22" s="199" t="s">
        <v>122</v>
      </c>
    </row>
    <row r="23" spans="2:17" ht="14.25">
      <c r="B23" s="449"/>
      <c r="C23" s="143" t="s">
        <v>123</v>
      </c>
      <c r="D23" s="26"/>
      <c r="E23" s="26"/>
      <c r="F23" s="26"/>
      <c r="G23" s="26"/>
      <c r="H23" s="26"/>
      <c r="I23" s="43"/>
      <c r="J23" s="43"/>
      <c r="K23" s="43"/>
      <c r="L23" s="43"/>
      <c r="M23" s="43"/>
      <c r="N23" s="43"/>
      <c r="O23" s="43"/>
      <c r="P23" s="42"/>
      <c r="Q23" s="200"/>
    </row>
    <row r="24" spans="2:17">
      <c r="B24" s="449"/>
      <c r="C24" s="128" t="s">
        <v>124</v>
      </c>
      <c r="D24" s="20" t="s">
        <v>125</v>
      </c>
      <c r="E24" s="30">
        <v>20</v>
      </c>
      <c r="F24" s="30">
        <v>29</v>
      </c>
      <c r="G24" s="30">
        <v>31</v>
      </c>
      <c r="H24" s="30">
        <v>29</v>
      </c>
      <c r="I24" s="167">
        <v>22</v>
      </c>
      <c r="J24" s="167">
        <v>30</v>
      </c>
      <c r="K24" s="167">
        <v>23</v>
      </c>
      <c r="L24" s="167">
        <v>17</v>
      </c>
      <c r="M24" s="167">
        <v>22</v>
      </c>
      <c r="N24" s="167">
        <v>13</v>
      </c>
      <c r="O24" s="167">
        <f>[1]November!$AJ$26</f>
        <v>17</v>
      </c>
      <c r="P24" s="168">
        <f>[2]Desember!$AL$19</f>
        <v>31</v>
      </c>
      <c r="Q24" s="201">
        <f t="shared" ref="Q24:Q26" si="5">SUM(E24:P24)</f>
        <v>284</v>
      </c>
    </row>
    <row r="25" spans="2:17">
      <c r="B25" s="449"/>
      <c r="C25" s="80" t="s">
        <v>126</v>
      </c>
      <c r="D25" s="10" t="s">
        <v>114</v>
      </c>
      <c r="E25" s="11">
        <v>31386719</v>
      </c>
      <c r="F25" s="11">
        <v>47885813</v>
      </c>
      <c r="G25" s="11">
        <v>45905106</v>
      </c>
      <c r="H25" s="11">
        <f>43495130+[3]Prod!$E$35</f>
        <v>54213038</v>
      </c>
      <c r="I25" s="167">
        <v>36539132</v>
      </c>
      <c r="J25" s="167">
        <v>51486064</v>
      </c>
      <c r="K25" s="167">
        <v>31253915</v>
      </c>
      <c r="L25" s="167">
        <f>18178235-L26</f>
        <v>17543224</v>
      </c>
      <c r="M25" s="167">
        <v>18225883</v>
      </c>
      <c r="N25" s="167">
        <v>15438945</v>
      </c>
      <c r="O25" s="167">
        <f>[1]November!$AJ$27</f>
        <v>25857293.477095</v>
      </c>
      <c r="P25" s="168">
        <f>[2]Desember!$AL$20</f>
        <v>42842172</v>
      </c>
      <c r="Q25" s="201">
        <f t="shared" si="5"/>
        <v>418577304.47709501</v>
      </c>
    </row>
    <row r="26" spans="2:17">
      <c r="B26" s="449"/>
      <c r="C26" s="80" t="s">
        <v>127</v>
      </c>
      <c r="D26" s="10" t="s">
        <v>114</v>
      </c>
      <c r="E26" s="11">
        <v>0</v>
      </c>
      <c r="F26" s="11">
        <v>0</v>
      </c>
      <c r="G26" s="11">
        <v>0</v>
      </c>
      <c r="H26" s="11">
        <v>0</v>
      </c>
      <c r="I26" s="167">
        <v>0</v>
      </c>
      <c r="J26" s="167">
        <v>0</v>
      </c>
      <c r="K26" s="167">
        <v>1111741</v>
      </c>
      <c r="L26" s="167">
        <v>635011</v>
      </c>
      <c r="M26" s="167">
        <v>349232</v>
      </c>
      <c r="N26" s="167">
        <v>618256</v>
      </c>
      <c r="O26" s="167">
        <f>[1]November!$AJ$28</f>
        <v>239262.522904949</v>
      </c>
      <c r="P26" s="168">
        <f>[2]Desember!$AL$21</f>
        <v>1715005</v>
      </c>
      <c r="Q26" s="201">
        <f t="shared" si="5"/>
        <v>4668507.5229049493</v>
      </c>
    </row>
    <row r="27" spans="2:17">
      <c r="B27" s="449"/>
      <c r="C27" s="354" t="s">
        <v>128</v>
      </c>
      <c r="D27" s="10" t="s">
        <v>80</v>
      </c>
      <c r="E27" s="28">
        <v>4.3813845238095199</v>
      </c>
      <c r="F27" s="28">
        <v>4.2789655172413799</v>
      </c>
      <c r="G27" s="28">
        <v>4.2132962962963001</v>
      </c>
      <c r="H27" s="28">
        <v>4.0269051724137901</v>
      </c>
      <c r="I27" s="169">
        <v>4.0740472222222204</v>
      </c>
      <c r="J27" s="169">
        <v>4.2</v>
      </c>
      <c r="K27" s="170">
        <v>5.42</v>
      </c>
      <c r="L27" s="170">
        <v>6.58</v>
      </c>
      <c r="M27" s="170">
        <v>5.6268181818181802</v>
      </c>
      <c r="N27" s="170">
        <v>8.3557692307692299</v>
      </c>
      <c r="O27" s="170">
        <f>[1]November!$AJ$29</f>
        <v>4.9994117647058802</v>
      </c>
      <c r="P27" s="171">
        <f>[2]Desember!$AL$22</f>
        <v>7.7377419354838697</v>
      </c>
      <c r="Q27" s="202">
        <f>AVERAGE(E27:P27)</f>
        <v>5.3245283203966975</v>
      </c>
    </row>
    <row r="28" spans="2:17">
      <c r="B28" s="449"/>
      <c r="C28" s="354" t="s">
        <v>129</v>
      </c>
      <c r="D28" s="10" t="s">
        <v>80</v>
      </c>
      <c r="E28" s="28">
        <v>0.41567357142857098</v>
      </c>
      <c r="F28" s="28">
        <v>0.40482758620689702</v>
      </c>
      <c r="G28" s="28">
        <v>0.40222222222222198</v>
      </c>
      <c r="H28" s="28">
        <v>0.37993144499178999</v>
      </c>
      <c r="I28" s="169">
        <v>0.372526587301587</v>
      </c>
      <c r="J28" s="169">
        <v>0.35</v>
      </c>
      <c r="K28" s="169">
        <v>0.35</v>
      </c>
      <c r="L28" s="169">
        <v>0.36</v>
      </c>
      <c r="M28" s="169">
        <v>0.344090909090909</v>
      </c>
      <c r="N28" s="169">
        <v>0.33769230769230801</v>
      </c>
      <c r="O28" s="169">
        <f>[1]November!$AJ$30</f>
        <v>0.380117647058824</v>
      </c>
      <c r="P28" s="172">
        <f>[2]Desember!$AL$23</f>
        <v>0.37322580645161302</v>
      </c>
      <c r="Q28" s="203">
        <f>AVERAGE(E28:P28)</f>
        <v>0.37252567353706012</v>
      </c>
    </row>
    <row r="29" spans="2:17">
      <c r="B29" s="449"/>
      <c r="C29" s="354" t="s">
        <v>130</v>
      </c>
      <c r="D29" s="10" t="s">
        <v>80</v>
      </c>
      <c r="E29" s="28">
        <v>2.2051666666666701</v>
      </c>
      <c r="F29" s="28">
        <v>2.2017241379310302</v>
      </c>
      <c r="G29" s="28">
        <v>2.2944444444444398</v>
      </c>
      <c r="H29" s="28">
        <v>2.2369051724137901</v>
      </c>
      <c r="I29" s="169">
        <v>2.2607583333333299</v>
      </c>
      <c r="J29" s="169">
        <v>2.25</v>
      </c>
      <c r="K29" s="169">
        <v>2.2000000000000002</v>
      </c>
      <c r="L29" s="169">
        <v>2.17</v>
      </c>
      <c r="M29" s="169">
        <v>2.1924999999999999</v>
      </c>
      <c r="N29" s="169">
        <v>2.1938461538461498</v>
      </c>
      <c r="O29" s="169">
        <f>[1]November!$AJ$31</f>
        <v>2.1496470588235299</v>
      </c>
      <c r="P29" s="172">
        <f>[2]Desember!$AL$24</f>
        <v>2.1551612903225799</v>
      </c>
      <c r="Q29" s="203">
        <f>AVERAGE(E29:P29)</f>
        <v>2.20917943814846</v>
      </c>
    </row>
    <row r="30" spans="2:17">
      <c r="B30" s="449"/>
      <c r="C30" s="80" t="s">
        <v>4</v>
      </c>
      <c r="D30" s="10"/>
      <c r="E30" s="11"/>
      <c r="F30" s="11"/>
      <c r="G30" s="11"/>
      <c r="H30" s="11"/>
      <c r="I30" s="167"/>
      <c r="J30" s="167"/>
      <c r="K30" s="167"/>
      <c r="L30" s="167"/>
      <c r="M30" s="167"/>
      <c r="N30" s="167"/>
      <c r="O30" s="167"/>
      <c r="P30" s="168"/>
      <c r="Q30" s="201"/>
    </row>
    <row r="31" spans="2:17">
      <c r="B31" s="449"/>
      <c r="C31" s="354" t="s">
        <v>131</v>
      </c>
      <c r="D31" s="355" t="s">
        <v>114</v>
      </c>
      <c r="E31" s="11">
        <v>29721700</v>
      </c>
      <c r="F31" s="11">
        <v>45410000</v>
      </c>
      <c r="G31" s="11">
        <v>43605300</v>
      </c>
      <c r="H31" s="11">
        <f>40378300+[3]Prod!$E$36+H38</f>
        <v>51512461</v>
      </c>
      <c r="I31" s="167">
        <v>34773259</v>
      </c>
      <c r="J31" s="167">
        <v>48874800</v>
      </c>
      <c r="K31" s="167">
        <v>30439289</v>
      </c>
      <c r="L31" s="167">
        <v>17113976</v>
      </c>
      <c r="M31" s="167">
        <v>17465388</v>
      </c>
      <c r="N31" s="167">
        <v>15021516</v>
      </c>
      <c r="O31" s="167">
        <f>[1]November!$AJ$33</f>
        <v>24498500</v>
      </c>
      <c r="P31" s="168">
        <f>[2]Desember!$AL$26</f>
        <v>41854300</v>
      </c>
      <c r="Q31" s="201">
        <f>SUM(E31:P31)</f>
        <v>400290489</v>
      </c>
    </row>
    <row r="32" spans="2:17">
      <c r="B32" s="449"/>
      <c r="C32" s="356" t="s">
        <v>132</v>
      </c>
      <c r="D32" s="357" t="s">
        <v>114</v>
      </c>
      <c r="E32" s="144">
        <v>1457818</v>
      </c>
      <c r="F32" s="144">
        <v>2122264</v>
      </c>
      <c r="G32" s="144">
        <v>1980427</v>
      </c>
      <c r="H32" s="144">
        <f>1743033+[3]Prod!$E$37</f>
        <v>2269639</v>
      </c>
      <c r="I32" s="173">
        <v>1540632</v>
      </c>
      <c r="J32" s="174">
        <v>2224235</v>
      </c>
      <c r="K32" s="174">
        <v>1620897</v>
      </c>
      <c r="L32" s="174">
        <v>910729.57350000006</v>
      </c>
      <c r="M32" s="174">
        <v>981008</v>
      </c>
      <c r="N32" s="174">
        <v>928178</v>
      </c>
      <c r="O32" s="174">
        <f>[1]November!$AJ$34</f>
        <v>1394636</v>
      </c>
      <c r="P32" s="175">
        <f>[2]Desember!$AL$27</f>
        <v>2372695</v>
      </c>
      <c r="Q32" s="201">
        <f>SUM(E32:P32)</f>
        <v>19803158.5735</v>
      </c>
    </row>
    <row r="33" spans="2:17">
      <c r="B33" s="449"/>
      <c r="C33" s="145" t="s">
        <v>133</v>
      </c>
      <c r="D33" s="146"/>
      <c r="E33" s="147"/>
      <c r="F33" s="147"/>
      <c r="G33" s="147"/>
      <c r="H33" s="147"/>
      <c r="I33" s="174"/>
      <c r="J33" s="176"/>
      <c r="K33" s="176"/>
      <c r="L33" s="176"/>
      <c r="M33" s="176"/>
      <c r="N33" s="176"/>
      <c r="O33" s="176"/>
      <c r="P33" s="177"/>
      <c r="Q33" s="204"/>
    </row>
    <row r="34" spans="2:17">
      <c r="B34" s="449"/>
      <c r="C34" s="354" t="s">
        <v>134</v>
      </c>
      <c r="D34" s="355" t="s">
        <v>114</v>
      </c>
      <c r="E34" s="11">
        <v>28475438</v>
      </c>
      <c r="F34" s="11">
        <v>34911290</v>
      </c>
      <c r="G34" s="11">
        <v>42598542</v>
      </c>
      <c r="H34" s="11">
        <v>30611750</v>
      </c>
      <c r="I34" s="167">
        <v>21950703</v>
      </c>
      <c r="J34" s="167">
        <v>41356225</v>
      </c>
      <c r="K34" s="167">
        <v>24638015</v>
      </c>
      <c r="L34" s="167">
        <v>15187927</v>
      </c>
      <c r="M34" s="167">
        <v>14186771</v>
      </c>
      <c r="N34" s="167">
        <v>7292410</v>
      </c>
      <c r="O34" s="167">
        <f>[1]November!$AJ$37</f>
        <v>23697725</v>
      </c>
      <c r="P34" s="168">
        <f>[2]Desember!$AL$29</f>
        <v>37173360</v>
      </c>
      <c r="Q34" s="201">
        <f>SUM(E34:P34)</f>
        <v>322080156</v>
      </c>
    </row>
    <row r="35" spans="2:17">
      <c r="B35" s="449"/>
      <c r="C35" s="354" t="s">
        <v>135</v>
      </c>
      <c r="D35" s="355" t="s">
        <v>114</v>
      </c>
      <c r="E35" s="11">
        <v>23485058</v>
      </c>
      <c r="F35" s="11">
        <v>28896630</v>
      </c>
      <c r="G35" s="11">
        <v>35239042</v>
      </c>
      <c r="H35" s="11">
        <v>25269358</v>
      </c>
      <c r="I35" s="167">
        <v>18191369</v>
      </c>
      <c r="J35" s="167">
        <v>34175133</v>
      </c>
      <c r="K35" s="167">
        <v>20368572</v>
      </c>
      <c r="L35" s="167">
        <v>12564411</v>
      </c>
      <c r="M35" s="167">
        <v>11634596</v>
      </c>
      <c r="N35" s="167">
        <v>5921578</v>
      </c>
      <c r="O35" s="167">
        <f>[1]November!$AJ$38</f>
        <v>19801477</v>
      </c>
      <c r="P35" s="168">
        <f>[2]Desember!$AL$30</f>
        <v>30739375</v>
      </c>
      <c r="Q35" s="205">
        <f>SUM(E35:P35)</f>
        <v>266286599</v>
      </c>
    </row>
    <row r="36" spans="2:17">
      <c r="B36" s="449"/>
      <c r="C36" s="358" t="s">
        <v>30</v>
      </c>
      <c r="D36" s="359" t="s">
        <v>114</v>
      </c>
      <c r="E36" s="15">
        <v>4990380</v>
      </c>
      <c r="F36" s="15">
        <v>6014660</v>
      </c>
      <c r="G36" s="15">
        <v>7359500</v>
      </c>
      <c r="H36" s="15">
        <v>5342392</v>
      </c>
      <c r="I36" s="174">
        <v>3759334</v>
      </c>
      <c r="J36" s="173">
        <v>7181092</v>
      </c>
      <c r="K36" s="173">
        <v>4269443</v>
      </c>
      <c r="L36" s="173">
        <v>2623516</v>
      </c>
      <c r="M36" s="173">
        <v>2552175</v>
      </c>
      <c r="N36" s="173">
        <v>1370832</v>
      </c>
      <c r="O36" s="173">
        <f>[1]November!$AJ$39</f>
        <v>3896248</v>
      </c>
      <c r="P36" s="178">
        <f>[2]Desember!$AL$31</f>
        <v>6433985</v>
      </c>
      <c r="Q36" s="201">
        <f>SUM(E36:P36)</f>
        <v>55793557</v>
      </c>
    </row>
    <row r="37" spans="2:17">
      <c r="B37" s="125"/>
      <c r="C37" s="360" t="s">
        <v>136</v>
      </c>
      <c r="D37" s="148"/>
      <c r="E37" s="148"/>
      <c r="F37" s="148"/>
      <c r="G37" s="148"/>
      <c r="H37" s="148"/>
      <c r="I37" s="179"/>
      <c r="J37" s="179"/>
      <c r="K37" s="179"/>
      <c r="L37" s="179"/>
      <c r="M37" s="179"/>
      <c r="N37" s="179"/>
      <c r="O37" s="179"/>
      <c r="P37" s="180"/>
      <c r="Q37" s="206"/>
    </row>
    <row r="38" spans="2:17">
      <c r="B38" s="142"/>
      <c r="C38" s="358" t="s">
        <v>134</v>
      </c>
      <c r="D38" s="355" t="s">
        <v>114</v>
      </c>
      <c r="E38" s="11">
        <v>0</v>
      </c>
      <c r="F38" s="11">
        <f>SUM(F39:F40)</f>
        <v>102527</v>
      </c>
      <c r="G38" s="11">
        <v>654915</v>
      </c>
      <c r="H38" s="11">
        <v>1120000</v>
      </c>
      <c r="I38" s="174">
        <v>1196278</v>
      </c>
      <c r="J38" s="174">
        <v>1512300</v>
      </c>
      <c r="K38" s="174">
        <v>279588</v>
      </c>
      <c r="L38" s="174">
        <v>1282620</v>
      </c>
      <c r="M38" s="174">
        <v>2043385</v>
      </c>
      <c r="N38" s="174">
        <v>1577780</v>
      </c>
      <c r="O38" s="174">
        <f>[1]November!$AJ$41</f>
        <v>1500710</v>
      </c>
      <c r="P38" s="175">
        <f>[2]Desember!$AL$34</f>
        <v>2213720</v>
      </c>
      <c r="Q38" s="201">
        <f>SUM(E38:P38)</f>
        <v>13483823</v>
      </c>
    </row>
    <row r="39" spans="2:17">
      <c r="B39" s="125"/>
      <c r="C39" s="354" t="s">
        <v>137</v>
      </c>
      <c r="D39" s="355" t="s">
        <v>114</v>
      </c>
      <c r="E39" s="11">
        <v>0</v>
      </c>
      <c r="F39" s="11">
        <v>49027</v>
      </c>
      <c r="G39" s="11">
        <v>358865</v>
      </c>
      <c r="H39" s="11">
        <v>575812</v>
      </c>
      <c r="I39" s="167">
        <v>602223</v>
      </c>
      <c r="J39" s="167">
        <v>731845</v>
      </c>
      <c r="K39" s="167">
        <v>140988</v>
      </c>
      <c r="L39" s="167">
        <v>640320</v>
      </c>
      <c r="M39" s="167">
        <v>1001687</v>
      </c>
      <c r="N39" s="167">
        <v>834667</v>
      </c>
      <c r="O39" s="167">
        <f>[1]November!$AJ$42</f>
        <v>854300</v>
      </c>
      <c r="P39" s="168">
        <f>[2]Desember!$AL$35</f>
        <v>1285730</v>
      </c>
      <c r="Q39" s="201">
        <f>SUM(E39:P39)</f>
        <v>7075464</v>
      </c>
    </row>
    <row r="40" spans="2:17">
      <c r="B40" s="125"/>
      <c r="C40" s="354" t="s">
        <v>138</v>
      </c>
      <c r="D40" s="359" t="s">
        <v>114</v>
      </c>
      <c r="E40" s="15">
        <v>0</v>
      </c>
      <c r="F40" s="15">
        <v>53500</v>
      </c>
      <c r="G40" s="15">
        <v>296050</v>
      </c>
      <c r="H40" s="15">
        <v>544188</v>
      </c>
      <c r="I40" s="167">
        <v>594055</v>
      </c>
      <c r="J40" s="167">
        <v>780455</v>
      </c>
      <c r="K40" s="167">
        <v>138600</v>
      </c>
      <c r="L40" s="167">
        <v>642300</v>
      </c>
      <c r="M40" s="167">
        <v>1041698</v>
      </c>
      <c r="N40" s="167">
        <v>743113</v>
      </c>
      <c r="O40" s="167">
        <f>[1]November!$AJ$43</f>
        <v>646410</v>
      </c>
      <c r="P40" s="168">
        <f>[2]Desember!$AL$36</f>
        <v>927990</v>
      </c>
      <c r="Q40" s="201">
        <f>SUM(E40:P40)</f>
        <v>6408359</v>
      </c>
    </row>
    <row r="41" spans="2:17">
      <c r="B41" s="448">
        <v>3</v>
      </c>
      <c r="C41" s="361" t="s">
        <v>139</v>
      </c>
      <c r="D41" s="32"/>
      <c r="E41" s="32"/>
      <c r="F41" s="32"/>
      <c r="G41" s="32"/>
      <c r="H41" s="32"/>
      <c r="I41" s="48"/>
      <c r="J41" s="48"/>
      <c r="K41" s="48"/>
      <c r="L41" s="48"/>
      <c r="M41" s="48"/>
      <c r="N41" s="48"/>
      <c r="O41" s="48"/>
      <c r="P41" s="47"/>
      <c r="Q41" s="64"/>
    </row>
    <row r="42" spans="2:17">
      <c r="B42" s="449"/>
      <c r="C42" s="354" t="s">
        <v>140</v>
      </c>
      <c r="D42" s="355" t="s">
        <v>80</v>
      </c>
      <c r="E42" s="57">
        <f t="shared" ref="E42:J42" si="6">E31/E25*100</f>
        <v>94.695147970069755</v>
      </c>
      <c r="F42" s="57">
        <f t="shared" si="6"/>
        <v>94.829756779946493</v>
      </c>
      <c r="G42" s="57">
        <f t="shared" si="6"/>
        <v>94.990086723686034</v>
      </c>
      <c r="H42" s="57">
        <f t="shared" si="6"/>
        <v>95.018583905960043</v>
      </c>
      <c r="I42" s="57">
        <f t="shared" si="6"/>
        <v>95.167173100882636</v>
      </c>
      <c r="J42" s="57">
        <f t="shared" si="6"/>
        <v>94.928212030346685</v>
      </c>
      <c r="K42" s="57">
        <f t="shared" ref="K42:N42" si="7">K31/(K25+K26)*100</f>
        <v>94.048113840176768</v>
      </c>
      <c r="L42" s="57">
        <f t="shared" si="7"/>
        <v>94.145421708983307</v>
      </c>
      <c r="M42" s="57">
        <f t="shared" si="7"/>
        <v>94.02573281511313</v>
      </c>
      <c r="N42" s="57">
        <f t="shared" si="7"/>
        <v>93.550027803724944</v>
      </c>
      <c r="O42" s="57">
        <f>O31/O25*100</f>
        <v>94.74502821303146</v>
      </c>
      <c r="P42" s="56">
        <f>P31/P25*100</f>
        <v>97.694159857254675</v>
      </c>
      <c r="Q42" s="67">
        <f>Q31/(SUM(Q25:Q26))*100</f>
        <v>94.576361454936276</v>
      </c>
    </row>
    <row r="43" spans="2:17">
      <c r="B43" s="449"/>
      <c r="C43" s="354" t="s">
        <v>141</v>
      </c>
      <c r="D43" s="355" t="s">
        <v>80</v>
      </c>
      <c r="E43" s="52">
        <f t="shared" ref="E43:J43" si="8">E32/E25*100</f>
        <v>4.6446970134087611</v>
      </c>
      <c r="F43" s="52">
        <f t="shared" si="8"/>
        <v>4.4319264246385455</v>
      </c>
      <c r="G43" s="52">
        <f t="shared" si="8"/>
        <v>4.3141758566029669</v>
      </c>
      <c r="H43" s="52">
        <f t="shared" si="8"/>
        <v>4.1865187484973632</v>
      </c>
      <c r="I43" s="52">
        <f t="shared" si="8"/>
        <v>4.2163891577938966</v>
      </c>
      <c r="J43" s="52">
        <f t="shared" si="8"/>
        <v>4.3200719324747761</v>
      </c>
      <c r="K43" s="52">
        <f t="shared" ref="K43:N43" si="9">K32/(K25+K26)*100</f>
        <v>5.008077080223555</v>
      </c>
      <c r="L43" s="52">
        <f t="shared" si="9"/>
        <v>5.0100000000000007</v>
      </c>
      <c r="M43" s="52">
        <f t="shared" si="9"/>
        <v>5.2813024306982754</v>
      </c>
      <c r="N43" s="52">
        <f t="shared" si="9"/>
        <v>5.7804470405520867</v>
      </c>
      <c r="O43" s="52">
        <f>O32/O25*100</f>
        <v>5.3935884714129161</v>
      </c>
      <c r="P43" s="51">
        <f>P32/P25*100</f>
        <v>5.5382229453726106</v>
      </c>
      <c r="Q43" s="67">
        <f>Q32/(SUM(Q25:Q26))*100</f>
        <v>4.6788788009318809</v>
      </c>
    </row>
    <row r="44" spans="2:17">
      <c r="B44" s="449"/>
      <c r="C44" s="354" t="s">
        <v>142</v>
      </c>
      <c r="D44" s="355" t="s">
        <v>80</v>
      </c>
      <c r="E44" s="52">
        <f t="shared" ref="E44:Q44" si="10">E35/E34*100</f>
        <v>82.474791081352279</v>
      </c>
      <c r="F44" s="52">
        <f t="shared" si="10"/>
        <v>82.77159050840001</v>
      </c>
      <c r="G44" s="52">
        <f t="shared" si="10"/>
        <v>82.72358711244155</v>
      </c>
      <c r="H44" s="52">
        <f t="shared" si="10"/>
        <v>82.547903991114524</v>
      </c>
      <c r="I44" s="52">
        <f t="shared" si="10"/>
        <v>82.873742130263437</v>
      </c>
      <c r="J44" s="52">
        <f t="shared" si="10"/>
        <v>82.636007034007577</v>
      </c>
      <c r="K44" s="52">
        <f t="shared" si="10"/>
        <v>82.671319097743861</v>
      </c>
      <c r="L44" s="52">
        <f t="shared" si="10"/>
        <v>82.726306229941713</v>
      </c>
      <c r="M44" s="52">
        <f t="shared" si="10"/>
        <v>82.010176945832143</v>
      </c>
      <c r="N44" s="52">
        <f t="shared" si="10"/>
        <v>81.201934614208469</v>
      </c>
      <c r="O44" s="52">
        <f t="shared" si="10"/>
        <v>83.558556781294399</v>
      </c>
      <c r="P44" s="51">
        <f t="shared" si="10"/>
        <v>82.691946598316648</v>
      </c>
      <c r="Q44" s="67">
        <f t="shared" si="10"/>
        <v>82.677120598513369</v>
      </c>
    </row>
    <row r="45" spans="2:17">
      <c r="B45" s="449"/>
      <c r="C45" s="354" t="s">
        <v>143</v>
      </c>
      <c r="D45" s="355" t="s">
        <v>80</v>
      </c>
      <c r="E45" s="52">
        <f t="shared" ref="E45:Q45" si="11">E36/E34*100</f>
        <v>17.525208918647714</v>
      </c>
      <c r="F45" s="52">
        <f t="shared" si="11"/>
        <v>17.228409491599994</v>
      </c>
      <c r="G45" s="52">
        <f t="shared" si="11"/>
        <v>17.27641288755845</v>
      </c>
      <c r="H45" s="52">
        <f t="shared" si="11"/>
        <v>17.452096008885476</v>
      </c>
      <c r="I45" s="52">
        <f t="shared" si="11"/>
        <v>17.126257869736563</v>
      </c>
      <c r="J45" s="52">
        <f t="shared" si="11"/>
        <v>17.363992965992423</v>
      </c>
      <c r="K45" s="52">
        <f t="shared" si="11"/>
        <v>17.328680902256128</v>
      </c>
      <c r="L45" s="52">
        <f t="shared" si="11"/>
        <v>17.273693770058284</v>
      </c>
      <c r="M45" s="52">
        <f t="shared" si="11"/>
        <v>17.989823054167857</v>
      </c>
      <c r="N45" s="52">
        <f t="shared" si="11"/>
        <v>18.798065385791528</v>
      </c>
      <c r="O45" s="52">
        <f t="shared" si="11"/>
        <v>16.441443218705594</v>
      </c>
      <c r="P45" s="51">
        <f t="shared" si="11"/>
        <v>17.308053401683356</v>
      </c>
      <c r="Q45" s="67">
        <f t="shared" si="11"/>
        <v>17.322879401486631</v>
      </c>
    </row>
    <row r="46" spans="2:17">
      <c r="B46" s="125"/>
      <c r="C46" s="354" t="s">
        <v>144</v>
      </c>
      <c r="D46" s="355" t="s">
        <v>80</v>
      </c>
      <c r="E46" s="52">
        <v>0</v>
      </c>
      <c r="F46" s="52">
        <f t="shared" ref="F46:Q46" si="12">F39/F38*100</f>
        <v>47.818623387010248</v>
      </c>
      <c r="G46" s="52">
        <f t="shared" si="12"/>
        <v>54.795660505561791</v>
      </c>
      <c r="H46" s="52">
        <f t="shared" si="12"/>
        <v>51.41178571428572</v>
      </c>
      <c r="I46" s="52">
        <f t="shared" si="12"/>
        <v>50.341392218196781</v>
      </c>
      <c r="J46" s="52">
        <f t="shared" si="12"/>
        <v>48.392845334920324</v>
      </c>
      <c r="K46" s="52">
        <f t="shared" si="12"/>
        <v>50.427056955234129</v>
      </c>
      <c r="L46" s="52">
        <f t="shared" si="12"/>
        <v>49.922814239603312</v>
      </c>
      <c r="M46" s="52">
        <f t="shared" si="12"/>
        <v>49.020962765215558</v>
      </c>
      <c r="N46" s="52">
        <f t="shared" si="12"/>
        <v>52.901355068513986</v>
      </c>
      <c r="O46" s="52">
        <f t="shared" si="12"/>
        <v>56.926388176263231</v>
      </c>
      <c r="P46" s="51">
        <f t="shared" si="12"/>
        <v>58.080064326111703</v>
      </c>
      <c r="Q46" s="207">
        <f t="shared" si="12"/>
        <v>52.473723512982929</v>
      </c>
    </row>
    <row r="47" spans="2:17">
      <c r="B47" s="142"/>
      <c r="C47" s="354" t="s">
        <v>145</v>
      </c>
      <c r="D47" s="355" t="s">
        <v>80</v>
      </c>
      <c r="E47" s="52">
        <v>0</v>
      </c>
      <c r="F47" s="52">
        <f t="shared" ref="F47:Q47" si="13">F40/F38*100</f>
        <v>52.181376612989752</v>
      </c>
      <c r="G47" s="52">
        <f t="shared" si="13"/>
        <v>45.204339494438209</v>
      </c>
      <c r="H47" s="52">
        <f t="shared" si="13"/>
        <v>48.588214285714287</v>
      </c>
      <c r="I47" s="52">
        <f t="shared" si="13"/>
        <v>49.658607781803227</v>
      </c>
      <c r="J47" s="52">
        <f t="shared" si="13"/>
        <v>51.607154665079676</v>
      </c>
      <c r="K47" s="52">
        <f t="shared" si="13"/>
        <v>49.572943044765871</v>
      </c>
      <c r="L47" s="52">
        <f t="shared" si="13"/>
        <v>50.077185760396695</v>
      </c>
      <c r="M47" s="52">
        <f t="shared" si="13"/>
        <v>50.979037234784442</v>
      </c>
      <c r="N47" s="52">
        <f t="shared" si="13"/>
        <v>47.098644931486014</v>
      </c>
      <c r="O47" s="52">
        <f t="shared" si="13"/>
        <v>43.073611823736762</v>
      </c>
      <c r="P47" s="51">
        <f t="shared" si="13"/>
        <v>41.919935673888297</v>
      </c>
      <c r="Q47" s="67">
        <f t="shared" si="13"/>
        <v>47.526276487017071</v>
      </c>
    </row>
    <row r="48" spans="2:17">
      <c r="B48" s="448">
        <v>4</v>
      </c>
      <c r="C48" s="73" t="s">
        <v>146</v>
      </c>
      <c r="D48" s="32"/>
      <c r="E48" s="32"/>
      <c r="F48" s="32"/>
      <c r="G48" s="32"/>
      <c r="H48" s="32"/>
      <c r="I48" s="48"/>
      <c r="J48" s="48"/>
      <c r="K48" s="48"/>
      <c r="L48" s="48"/>
      <c r="M48" s="48"/>
      <c r="N48" s="48"/>
      <c r="O48" s="48"/>
      <c r="P48" s="47"/>
      <c r="Q48" s="106"/>
    </row>
    <row r="49" spans="2:18" ht="14.25">
      <c r="B49" s="449"/>
      <c r="C49" s="75" t="s">
        <v>35</v>
      </c>
      <c r="D49" s="76" t="s">
        <v>114</v>
      </c>
      <c r="E49" s="149">
        <v>248367</v>
      </c>
      <c r="F49" s="149">
        <v>387087</v>
      </c>
      <c r="G49" s="149">
        <v>339582</v>
      </c>
      <c r="H49" s="149">
        <v>402582</v>
      </c>
      <c r="I49" s="174">
        <v>292206</v>
      </c>
      <c r="J49" s="174">
        <v>443004</v>
      </c>
      <c r="K49" s="174">
        <v>286948</v>
      </c>
      <c r="L49" s="174">
        <v>173609</v>
      </c>
      <c r="M49" s="174">
        <v>232892</v>
      </c>
      <c r="N49" s="174">
        <v>180464</v>
      </c>
      <c r="O49" s="174">
        <v>410877</v>
      </c>
      <c r="P49" s="175">
        <f>SUM([2]Desember!$AL$45,[2]Desember!$AL$47)</f>
        <v>615500</v>
      </c>
      <c r="Q49" s="200">
        <f>SUM(E49:P49)</f>
        <v>4013118</v>
      </c>
      <c r="R49" s="208"/>
    </row>
    <row r="50" spans="2:18" ht="14.25">
      <c r="B50" s="449"/>
      <c r="C50" s="78"/>
      <c r="D50" s="355" t="s">
        <v>147</v>
      </c>
      <c r="E50" s="52">
        <f t="shared" ref="E50:P50" si="14">E49/E25*1000</f>
        <v>7.913124019111395</v>
      </c>
      <c r="F50" s="52">
        <f t="shared" si="14"/>
        <v>8.0835424053466536</v>
      </c>
      <c r="G50" s="52">
        <f t="shared" si="14"/>
        <v>7.3974777446325906</v>
      </c>
      <c r="H50" s="52">
        <f t="shared" si="14"/>
        <v>7.4259258446280025</v>
      </c>
      <c r="I50" s="52">
        <f t="shared" si="14"/>
        <v>7.9970701000779112</v>
      </c>
      <c r="J50" s="52">
        <f t="shared" si="14"/>
        <v>8.604347770689948</v>
      </c>
      <c r="K50" s="52">
        <f t="shared" si="14"/>
        <v>9.1811857810453521</v>
      </c>
      <c r="L50" s="52">
        <f t="shared" si="14"/>
        <v>9.8960715544645623</v>
      </c>
      <c r="M50" s="52">
        <f t="shared" si="14"/>
        <v>12.778091464759211</v>
      </c>
      <c r="N50" s="52">
        <f t="shared" si="14"/>
        <v>11.68888159132635</v>
      </c>
      <c r="O50" s="52">
        <f t="shared" si="14"/>
        <v>15.890178156656825</v>
      </c>
      <c r="P50" s="51">
        <f t="shared" si="14"/>
        <v>14.366685237153709</v>
      </c>
      <c r="Q50" s="109">
        <f>Q49/(Q25+Q26)*1000</f>
        <v>9.4817665909946456</v>
      </c>
    </row>
    <row r="51" spans="2:18" ht="14.25">
      <c r="B51" s="449"/>
      <c r="C51" s="354" t="s">
        <v>39</v>
      </c>
      <c r="D51" s="355" t="s">
        <v>114</v>
      </c>
      <c r="E51" s="11">
        <v>15430.7</v>
      </c>
      <c r="F51" s="11">
        <v>24848.97</v>
      </c>
      <c r="G51" s="11">
        <v>22106.41</v>
      </c>
      <c r="H51" s="11">
        <v>25638.799999999999</v>
      </c>
      <c r="I51" s="167">
        <v>18388</v>
      </c>
      <c r="J51" s="167">
        <v>26661.8</v>
      </c>
      <c r="K51" s="167">
        <v>16921.8</v>
      </c>
      <c r="L51" s="167">
        <v>9616</v>
      </c>
      <c r="M51" s="167">
        <v>11826.7</v>
      </c>
      <c r="N51" s="167">
        <v>8847.7999999999993</v>
      </c>
      <c r="O51" s="167">
        <f>[4]November!$AK$47</f>
        <v>17110.8</v>
      </c>
      <c r="P51" s="168">
        <f>[2]Desember!$AL$49</f>
        <v>29398.799999999999</v>
      </c>
      <c r="Q51" s="200">
        <f>SUM(E51:P51)</f>
        <v>226796.57999999996</v>
      </c>
    </row>
    <row r="52" spans="2:18" ht="14.25">
      <c r="B52" s="449"/>
      <c r="C52" s="75"/>
      <c r="D52" s="359" t="s">
        <v>37</v>
      </c>
      <c r="E52" s="57">
        <f t="shared" ref="E52:P52" si="15">E51/E25*1000</f>
        <v>0.49163150821849211</v>
      </c>
      <c r="F52" s="57">
        <f t="shared" si="15"/>
        <v>0.5189213348011863</v>
      </c>
      <c r="G52" s="57">
        <f t="shared" si="15"/>
        <v>0.48156756244065752</v>
      </c>
      <c r="H52" s="57">
        <f t="shared" si="15"/>
        <v>0.47292682620000004</v>
      </c>
      <c r="I52" s="57">
        <f t="shared" si="15"/>
        <v>0.50324129210294322</v>
      </c>
      <c r="J52" s="57">
        <f t="shared" si="15"/>
        <v>0.51784498422718817</v>
      </c>
      <c r="K52" s="57">
        <f t="shared" si="15"/>
        <v>0.54142976967845458</v>
      </c>
      <c r="L52" s="57">
        <f t="shared" si="15"/>
        <v>0.54813185991354829</v>
      </c>
      <c r="M52" s="57">
        <f t="shared" si="15"/>
        <v>0.64889585870819</v>
      </c>
      <c r="N52" s="57">
        <f t="shared" si="15"/>
        <v>0.57308319966163479</v>
      </c>
      <c r="O52" s="57">
        <f t="shared" si="15"/>
        <v>0.66173979172093744</v>
      </c>
      <c r="P52" s="56">
        <f t="shared" si="15"/>
        <v>0.68621170747365468</v>
      </c>
      <c r="Q52" s="109">
        <f>Q51/(Q25+Q26)*1000</f>
        <v>0.53585073630923485</v>
      </c>
      <c r="R52" s="209"/>
    </row>
    <row r="53" spans="2:18" s="71" customFormat="1">
      <c r="B53" s="72">
        <v>5</v>
      </c>
      <c r="C53" s="361" t="s">
        <v>148</v>
      </c>
      <c r="D53" s="32"/>
      <c r="E53" s="32"/>
      <c r="F53" s="32"/>
      <c r="G53" s="32"/>
      <c r="H53" s="32"/>
      <c r="I53" s="48"/>
      <c r="J53" s="48"/>
      <c r="K53" s="48"/>
      <c r="L53" s="48"/>
      <c r="M53" s="48"/>
      <c r="N53" s="48"/>
      <c r="O53" s="48"/>
      <c r="P53" s="47"/>
      <c r="Q53" s="106"/>
    </row>
    <row r="54" spans="2:18" s="71" customFormat="1" ht="14.25">
      <c r="B54" s="77"/>
      <c r="C54" s="354" t="s">
        <v>149</v>
      </c>
      <c r="D54" s="355" t="s">
        <v>80</v>
      </c>
      <c r="E54" s="150">
        <f t="shared" ref="E54:Q54" si="16">((SUM(E31:E32))-(SUM(E25:E26)))/(SUM(E25:E26))*100</f>
        <v>-0.66015501652147845</v>
      </c>
      <c r="F54" s="150">
        <f t="shared" si="16"/>
        <v>-0.73831679541495931</v>
      </c>
      <c r="G54" s="150">
        <f t="shared" si="16"/>
        <v>-0.69573741971100123</v>
      </c>
      <c r="H54" s="150">
        <f t="shared" si="16"/>
        <v>-0.79489734554259817</v>
      </c>
      <c r="I54" s="150">
        <f t="shared" si="16"/>
        <v>-0.61643774132346651</v>
      </c>
      <c r="J54" s="150">
        <f t="shared" si="16"/>
        <v>-0.75171603717852664</v>
      </c>
      <c r="K54" s="150">
        <f t="shared" si="16"/>
        <v>-0.9438090795996843</v>
      </c>
      <c r="L54" s="150">
        <f t="shared" si="16"/>
        <v>-0.84457829101670234</v>
      </c>
      <c r="M54" s="150">
        <f t="shared" si="16"/>
        <v>-0.69296475418860126</v>
      </c>
      <c r="N54" s="150">
        <f t="shared" si="16"/>
        <v>-0.66952515572296822</v>
      </c>
      <c r="O54" s="150">
        <f t="shared" si="16"/>
        <v>-0.77948982999882532</v>
      </c>
      <c r="P54" s="181">
        <f t="shared" si="16"/>
        <v>-0.74102989065038838</v>
      </c>
      <c r="Q54" s="210">
        <f t="shared" si="16"/>
        <v>-0.7447597441318482</v>
      </c>
    </row>
    <row r="55" spans="2:18" s="71" customFormat="1" ht="14.25">
      <c r="B55" s="77"/>
      <c r="C55" s="354" t="s">
        <v>150</v>
      </c>
      <c r="D55" s="355" t="s">
        <v>80</v>
      </c>
      <c r="E55" s="28">
        <v>21.72</v>
      </c>
      <c r="F55" s="28">
        <v>21.91</v>
      </c>
      <c r="G55" s="28">
        <v>22.05</v>
      </c>
      <c r="H55" s="28">
        <v>21.99</v>
      </c>
      <c r="I55" s="169">
        <f>22.07</f>
        <v>22.07</v>
      </c>
      <c r="J55" s="169">
        <v>22.02</v>
      </c>
      <c r="K55" s="169">
        <v>22.1</v>
      </c>
      <c r="L55" s="169">
        <v>22.15</v>
      </c>
      <c r="M55" s="169">
        <v>20.91</v>
      </c>
      <c r="N55" s="169">
        <v>21.411000000000001</v>
      </c>
      <c r="O55" s="169">
        <v>21.11</v>
      </c>
      <c r="P55" s="172">
        <v>21.13</v>
      </c>
      <c r="Q55" s="211">
        <f>AVERAGE(E55:P55)</f>
        <v>21.714249999999996</v>
      </c>
    </row>
    <row r="56" spans="2:18" s="71" customFormat="1" ht="14.25">
      <c r="B56" s="117"/>
      <c r="C56" s="362" t="s">
        <v>41</v>
      </c>
      <c r="D56" s="363" t="s">
        <v>114</v>
      </c>
      <c r="E56" s="36">
        <f t="shared" ref="E56:O56" si="17">E49+(E55%*E49)</f>
        <v>302312.3124</v>
      </c>
      <c r="F56" s="36">
        <f t="shared" si="17"/>
        <v>471897.76170000003</v>
      </c>
      <c r="G56" s="36">
        <f t="shared" si="17"/>
        <v>414459.83100000001</v>
      </c>
      <c r="H56" s="36">
        <f t="shared" si="17"/>
        <v>491109.7818</v>
      </c>
      <c r="I56" s="36">
        <f t="shared" si="17"/>
        <v>356695.86420000001</v>
      </c>
      <c r="J56" s="36">
        <f t="shared" si="17"/>
        <v>540553.48080000002</v>
      </c>
      <c r="K56" s="36">
        <f t="shared" si="17"/>
        <v>350363.50800000003</v>
      </c>
      <c r="L56" s="36">
        <f t="shared" si="17"/>
        <v>212063.39350000001</v>
      </c>
      <c r="M56" s="36">
        <f t="shared" si="17"/>
        <v>281589.71720000001</v>
      </c>
      <c r="N56" s="36">
        <f t="shared" si="17"/>
        <v>219103.14704000001</v>
      </c>
      <c r="O56" s="36">
        <f t="shared" si="17"/>
        <v>497613.1347</v>
      </c>
      <c r="P56" s="182">
        <f>P55%*P49</f>
        <v>130055.15</v>
      </c>
      <c r="Q56" s="212">
        <f t="shared" ref="Q56:Q61" si="18">SUM(E56:P56)</f>
        <v>4267817.0823399993</v>
      </c>
    </row>
    <row r="57" spans="2:18" hidden="1">
      <c r="B57" s="74">
        <v>6</v>
      </c>
      <c r="C57" s="83" t="s">
        <v>151</v>
      </c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83"/>
      <c r="Q57" s="213"/>
    </row>
    <row r="58" spans="2:18" ht="14.25" hidden="1">
      <c r="B58" s="93"/>
      <c r="C58" s="78" t="s">
        <v>152</v>
      </c>
      <c r="D58" s="10" t="s">
        <v>114</v>
      </c>
      <c r="E58" s="152">
        <v>0</v>
      </c>
      <c r="F58" s="152">
        <v>0</v>
      </c>
      <c r="G58" s="152">
        <v>0</v>
      </c>
      <c r="H58" s="152">
        <v>0</v>
      </c>
      <c r="I58" s="152">
        <v>0</v>
      </c>
      <c r="J58" s="152">
        <v>0</v>
      </c>
      <c r="K58" s="152">
        <v>0</v>
      </c>
      <c r="L58" s="152">
        <v>0</v>
      </c>
      <c r="M58" s="152">
        <v>0</v>
      </c>
      <c r="N58" s="152">
        <v>0</v>
      </c>
      <c r="O58" s="152">
        <f>[1]November!$AJ$174</f>
        <v>0</v>
      </c>
      <c r="P58" s="184">
        <v>2372910</v>
      </c>
      <c r="Q58" s="214">
        <f t="shared" si="18"/>
        <v>2372910</v>
      </c>
    </row>
    <row r="59" spans="2:18" ht="14.25" hidden="1">
      <c r="B59" s="93"/>
      <c r="C59" s="78" t="s">
        <v>141</v>
      </c>
      <c r="D59" s="10" t="s">
        <v>114</v>
      </c>
      <c r="E59" s="152">
        <v>328410</v>
      </c>
      <c r="F59" s="152">
        <v>297290</v>
      </c>
      <c r="G59" s="152">
        <v>0</v>
      </c>
      <c r="H59" s="152">
        <v>1921380</v>
      </c>
      <c r="I59" s="152">
        <v>591760</v>
      </c>
      <c r="J59" s="152">
        <v>2673880</v>
      </c>
      <c r="K59" s="152">
        <v>630010</v>
      </c>
      <c r="L59" s="152">
        <v>435210</v>
      </c>
      <c r="M59" s="152">
        <v>0</v>
      </c>
      <c r="N59" s="152">
        <v>325660</v>
      </c>
      <c r="O59" s="152">
        <f>[1]November!$AJ$175</f>
        <v>425360</v>
      </c>
      <c r="P59" s="184">
        <v>2996100</v>
      </c>
      <c r="Q59" s="214">
        <f t="shared" si="18"/>
        <v>10625060</v>
      </c>
    </row>
    <row r="60" spans="2:18" ht="14.25" hidden="1">
      <c r="B60" s="93"/>
      <c r="C60" s="78" t="s">
        <v>142</v>
      </c>
      <c r="D60" s="10" t="s">
        <v>114</v>
      </c>
      <c r="E60" s="152">
        <v>0</v>
      </c>
      <c r="F60" s="152">
        <v>0</v>
      </c>
      <c r="G60" s="152">
        <v>0</v>
      </c>
      <c r="H60" s="152">
        <v>0</v>
      </c>
      <c r="I60" s="152">
        <v>0</v>
      </c>
      <c r="J60" s="152">
        <v>1000070</v>
      </c>
      <c r="K60" s="152">
        <v>0</v>
      </c>
      <c r="L60" s="152">
        <v>0</v>
      </c>
      <c r="M60" s="152">
        <v>0</v>
      </c>
      <c r="N60" s="152">
        <v>0</v>
      </c>
      <c r="O60" s="152">
        <f>[1]November!$AJ$176</f>
        <v>0</v>
      </c>
      <c r="P60" s="184">
        <v>0</v>
      </c>
      <c r="Q60" s="214">
        <f t="shared" si="18"/>
        <v>1000070</v>
      </c>
    </row>
    <row r="61" spans="2:18" ht="14.25" hidden="1">
      <c r="B61" s="93"/>
      <c r="C61" s="78" t="s">
        <v>143</v>
      </c>
      <c r="D61" s="10" t="s">
        <v>114</v>
      </c>
      <c r="E61" s="152">
        <v>1670420</v>
      </c>
      <c r="F61" s="152">
        <v>5247070</v>
      </c>
      <c r="G61" s="152">
        <v>4804260</v>
      </c>
      <c r="H61" s="152">
        <v>3708020</v>
      </c>
      <c r="I61" s="152">
        <v>2659410</v>
      </c>
      <c r="J61" s="152">
        <v>4143960</v>
      </c>
      <c r="K61" s="152">
        <v>3467890</v>
      </c>
      <c r="L61" s="152">
        <v>4090640</v>
      </c>
      <c r="M61" s="152">
        <v>3179090</v>
      </c>
      <c r="N61" s="152">
        <v>2353490</v>
      </c>
      <c r="O61" s="152">
        <f>[1]November!$AJ$177</f>
        <v>4019590</v>
      </c>
      <c r="P61" s="184">
        <v>5886120</v>
      </c>
      <c r="Q61" s="214">
        <f t="shared" si="18"/>
        <v>45229960</v>
      </c>
    </row>
    <row r="62" spans="2:18" s="121" customFormat="1" hidden="1">
      <c r="B62" s="81"/>
      <c r="C62" s="153" t="s">
        <v>53</v>
      </c>
      <c r="D62" s="154" t="s">
        <v>114</v>
      </c>
      <c r="E62" s="155">
        <f t="shared" ref="E62:Q62" si="19">SUM(E58:E61)</f>
        <v>1998830</v>
      </c>
      <c r="F62" s="155">
        <f t="shared" si="19"/>
        <v>5544360</v>
      </c>
      <c r="G62" s="155">
        <f t="shared" si="19"/>
        <v>4804260</v>
      </c>
      <c r="H62" s="155">
        <f t="shared" si="19"/>
        <v>5629400</v>
      </c>
      <c r="I62" s="155">
        <f t="shared" si="19"/>
        <v>3251170</v>
      </c>
      <c r="J62" s="155">
        <f t="shared" si="19"/>
        <v>7817910</v>
      </c>
      <c r="K62" s="155">
        <f t="shared" si="19"/>
        <v>4097900</v>
      </c>
      <c r="L62" s="155">
        <f t="shared" si="19"/>
        <v>4525850</v>
      </c>
      <c r="M62" s="155">
        <f t="shared" si="19"/>
        <v>3179090</v>
      </c>
      <c r="N62" s="155">
        <f t="shared" si="19"/>
        <v>2679150</v>
      </c>
      <c r="O62" s="155">
        <f t="shared" si="19"/>
        <v>4444950</v>
      </c>
      <c r="P62" s="185">
        <f t="shared" si="19"/>
        <v>11255130</v>
      </c>
      <c r="Q62" s="215">
        <f t="shared" si="19"/>
        <v>59228000</v>
      </c>
    </row>
    <row r="63" spans="2:18" hidden="1">
      <c r="B63" s="91">
        <v>7</v>
      </c>
      <c r="C63" s="73" t="s">
        <v>153</v>
      </c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86"/>
      <c r="Q63" s="213"/>
    </row>
    <row r="64" spans="2:18" ht="14.25" hidden="1">
      <c r="B64" s="93"/>
      <c r="C64" s="78" t="s">
        <v>152</v>
      </c>
      <c r="D64" s="10" t="s">
        <v>114</v>
      </c>
      <c r="E64" s="152">
        <v>1008300</v>
      </c>
      <c r="F64" s="152">
        <v>8059030</v>
      </c>
      <c r="G64" s="152">
        <v>1120097</v>
      </c>
      <c r="H64" s="152">
        <v>19694640</v>
      </c>
      <c r="I64" s="152">
        <v>10831930</v>
      </c>
      <c r="J64" s="152">
        <v>6587510</v>
      </c>
      <c r="K64" s="152">
        <v>5164960</v>
      </c>
      <c r="L64" s="152">
        <v>21500</v>
      </c>
      <c r="M64" s="152">
        <v>1238960</v>
      </c>
      <c r="N64" s="152">
        <v>5563750</v>
      </c>
      <c r="O64" s="152">
        <f>[1]November!$AJ$180</f>
        <v>740000</v>
      </c>
      <c r="P64" s="184">
        <v>355040</v>
      </c>
      <c r="Q64" s="214">
        <f t="shared" ref="Q64:Q67" si="20">SUM(E64:P64)</f>
        <v>60385717</v>
      </c>
    </row>
    <row r="65" spans="2:17" ht="14.25" hidden="1">
      <c r="B65" s="93"/>
      <c r="C65" s="78" t="s">
        <v>141</v>
      </c>
      <c r="D65" s="10" t="s">
        <v>114</v>
      </c>
      <c r="E65" s="152">
        <v>504000</v>
      </c>
      <c r="F65" s="152">
        <v>2590420</v>
      </c>
      <c r="G65" s="152">
        <v>1350450</v>
      </c>
      <c r="H65" s="152">
        <v>502200</v>
      </c>
      <c r="I65" s="152">
        <v>630400</v>
      </c>
      <c r="J65" s="152">
        <v>860000</v>
      </c>
      <c r="K65" s="152">
        <v>1167500</v>
      </c>
      <c r="L65" s="152">
        <v>378000</v>
      </c>
      <c r="M65" s="152">
        <v>818000</v>
      </c>
      <c r="N65" s="152">
        <v>289000</v>
      </c>
      <c r="O65" s="152">
        <f>[1]November!$AJ$181</f>
        <v>422500</v>
      </c>
      <c r="P65" s="184">
        <v>0</v>
      </c>
      <c r="Q65" s="214">
        <f t="shared" si="20"/>
        <v>9512470</v>
      </c>
    </row>
    <row r="66" spans="2:17" ht="14.25" hidden="1">
      <c r="B66" s="93"/>
      <c r="C66" s="78" t="s">
        <v>142</v>
      </c>
      <c r="D66" s="10" t="s">
        <v>114</v>
      </c>
      <c r="E66" s="152">
        <f>SUM('[5]Lampiran In-Out'!$D$164,'[5]Lampiran In-Out'!$F$164,'[5]Lampiran In-Out'!$G$164)</f>
        <v>20529590</v>
      </c>
      <c r="F66" s="152">
        <f>SUM('[5]Lampiran In-Out'!$D$165,'[5]Lampiran In-Out'!$F$165,'[5]Lampiran In-Out'!$G$165)</f>
        <v>30610550</v>
      </c>
      <c r="G66" s="152">
        <f>SUM('[5]Lampiran In-Out'!$D$166,'[5]Lampiran In-Out'!$F$166,'[5]Lampiran In-Out'!$G$166)</f>
        <v>24176180</v>
      </c>
      <c r="H66" s="152">
        <f>SUM('[5]Lampiran In-Out'!$D$167,'[5]Lampiran In-Out'!$F$167,'[5]Lampiran In-Out'!$G$167)</f>
        <v>21736070</v>
      </c>
      <c r="I66" s="152">
        <f>SUM('[5]Lampiran In-Out'!$D$168,'[5]Lampiran In-Out'!$F$168,'[5]Lampiran In-Out'!$G$168)</f>
        <v>18160720</v>
      </c>
      <c r="J66" s="152">
        <f>SUM('[5]Lampiran In-Out'!$D$169,'[5]Lampiran In-Out'!$F$169,'[5]Lampiran In-Out'!$G$169)</f>
        <v>35552760</v>
      </c>
      <c r="K66" s="152">
        <f>SUM('[5]Lampiran In-Out'!$D$170,'[5]Lampiran In-Out'!$F$170,'[5]Lampiran In-Out'!$G$170)</f>
        <v>32347870</v>
      </c>
      <c r="L66" s="152">
        <v>6239130</v>
      </c>
      <c r="M66" s="152">
        <v>5401940</v>
      </c>
      <c r="N66" s="152">
        <v>13564470</v>
      </c>
      <c r="O66" s="152">
        <f>[1]November!$AJ$182</f>
        <v>16559300</v>
      </c>
      <c r="P66" s="184">
        <v>31232840</v>
      </c>
      <c r="Q66" s="214">
        <f t="shared" si="20"/>
        <v>256111420</v>
      </c>
    </row>
    <row r="67" spans="2:17" ht="14.25" hidden="1">
      <c r="B67" s="93"/>
      <c r="C67" s="78" t="s">
        <v>143</v>
      </c>
      <c r="D67" s="10" t="s">
        <v>114</v>
      </c>
      <c r="E67" s="152">
        <v>3287140</v>
      </c>
      <c r="F67" s="152">
        <v>1990650</v>
      </c>
      <c r="G67" s="152">
        <v>4477573</v>
      </c>
      <c r="H67" s="152">
        <v>3587440</v>
      </c>
      <c r="I67" s="152">
        <v>0</v>
      </c>
      <c r="J67" s="152">
        <v>1590370</v>
      </c>
      <c r="K67" s="152">
        <v>3164520</v>
      </c>
      <c r="L67" s="152">
        <v>0</v>
      </c>
      <c r="M67" s="152">
        <v>0</v>
      </c>
      <c r="N67" s="152">
        <v>0</v>
      </c>
      <c r="O67" s="152">
        <f>[1]November!$AJ$183</f>
        <v>140000</v>
      </c>
      <c r="P67" s="184">
        <v>1275000</v>
      </c>
      <c r="Q67" s="214">
        <f t="shared" si="20"/>
        <v>19512693</v>
      </c>
    </row>
    <row r="68" spans="2:17" s="121" customFormat="1" hidden="1">
      <c r="B68" s="216"/>
      <c r="C68" s="118" t="s">
        <v>53</v>
      </c>
      <c r="D68" s="119" t="s">
        <v>114</v>
      </c>
      <c r="E68" s="217">
        <f t="shared" ref="E68:Q68" si="21">SUM(E64:E67)</f>
        <v>25329030</v>
      </c>
      <c r="F68" s="217">
        <f t="shared" si="21"/>
        <v>43250650</v>
      </c>
      <c r="G68" s="217">
        <f t="shared" si="21"/>
        <v>31124300</v>
      </c>
      <c r="H68" s="217">
        <f t="shared" si="21"/>
        <v>45520350</v>
      </c>
      <c r="I68" s="217">
        <f t="shared" si="21"/>
        <v>29623050</v>
      </c>
      <c r="J68" s="217">
        <f t="shared" si="21"/>
        <v>44590640</v>
      </c>
      <c r="K68" s="217">
        <f t="shared" si="21"/>
        <v>41844850</v>
      </c>
      <c r="L68" s="217">
        <f t="shared" si="21"/>
        <v>6638630</v>
      </c>
      <c r="M68" s="217">
        <f t="shared" si="21"/>
        <v>7458900</v>
      </c>
      <c r="N68" s="217">
        <f t="shared" si="21"/>
        <v>19417220</v>
      </c>
      <c r="O68" s="217">
        <f t="shared" si="21"/>
        <v>17861800</v>
      </c>
      <c r="P68" s="218">
        <f t="shared" si="21"/>
        <v>32862880</v>
      </c>
      <c r="Q68" s="219">
        <f t="shared" si="21"/>
        <v>345522300</v>
      </c>
    </row>
  </sheetData>
  <mergeCells count="22">
    <mergeCell ref="B2:Q2"/>
    <mergeCell ref="B3:Q3"/>
    <mergeCell ref="C17:P17"/>
    <mergeCell ref="B5:B6"/>
    <mergeCell ref="B22:B3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B41:B45"/>
    <mergeCell ref="B48:B52"/>
    <mergeCell ref="C5:C6"/>
    <mergeCell ref="D5:D6"/>
    <mergeCell ref="E5:E6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66"/>
  <sheetViews>
    <sheetView showGridLines="0" topLeftCell="C1" zoomScale="80" zoomScaleNormal="80" workbookViewId="0">
      <selection activeCell="F74" sqref="F74"/>
    </sheetView>
  </sheetViews>
  <sheetFormatPr defaultColWidth="9" defaultRowHeight="14.25"/>
  <cols>
    <col min="1" max="1" width="1.5703125" style="1" customWidth="1"/>
    <col min="2" max="2" width="4.140625" style="3" customWidth="1"/>
    <col min="3" max="3" width="44.42578125" style="1" customWidth="1"/>
    <col min="4" max="4" width="8.28515625" style="1" customWidth="1"/>
    <col min="5" max="9" width="14.7109375" style="1" customWidth="1"/>
    <col min="10" max="10" width="15.140625" style="1" customWidth="1"/>
    <col min="11" max="12" width="14" style="1" customWidth="1"/>
    <col min="13" max="16" width="14.7109375" style="1" customWidth="1"/>
    <col min="17" max="17" width="16" style="1" customWidth="1"/>
    <col min="18" max="18" width="5.7109375" style="1" customWidth="1"/>
    <col min="19" max="16371" width="9.140625" style="1"/>
    <col min="16372" max="16384" width="9" style="1"/>
  </cols>
  <sheetData>
    <row r="1" spans="2:19">
      <c r="B1" s="4"/>
    </row>
    <row r="2" spans="2:19" ht="15.75">
      <c r="B2" s="463" t="s">
        <v>154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</row>
    <row r="3" spans="2:19" ht="15.75">
      <c r="B3" s="463" t="s">
        <v>94</v>
      </c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</row>
    <row r="4" spans="2:19" ht="10.5" customHeight="1"/>
    <row r="5" spans="2:19" ht="15" customHeight="1">
      <c r="B5" s="457" t="s">
        <v>155</v>
      </c>
      <c r="C5" s="450" t="s">
        <v>96</v>
      </c>
      <c r="D5" s="452" t="s">
        <v>97</v>
      </c>
      <c r="E5" s="452" t="s">
        <v>98</v>
      </c>
      <c r="F5" s="452" t="s">
        <v>99</v>
      </c>
      <c r="G5" s="452" t="s">
        <v>156</v>
      </c>
      <c r="H5" s="452" t="s">
        <v>157</v>
      </c>
      <c r="I5" s="459" t="s">
        <v>102</v>
      </c>
      <c r="J5" s="459" t="s">
        <v>103</v>
      </c>
      <c r="K5" s="459" t="s">
        <v>104</v>
      </c>
      <c r="L5" s="459" t="s">
        <v>105</v>
      </c>
      <c r="M5" s="459" t="s">
        <v>106</v>
      </c>
      <c r="N5" s="459" t="s">
        <v>107</v>
      </c>
      <c r="O5" s="459" t="s">
        <v>108</v>
      </c>
      <c r="P5" s="461" t="s">
        <v>109</v>
      </c>
      <c r="Q5" s="446" t="s">
        <v>92</v>
      </c>
    </row>
    <row r="6" spans="2:19">
      <c r="B6" s="458"/>
      <c r="C6" s="451"/>
      <c r="D6" s="453"/>
      <c r="E6" s="453"/>
      <c r="F6" s="453"/>
      <c r="G6" s="453"/>
      <c r="H6" s="453"/>
      <c r="I6" s="460"/>
      <c r="J6" s="460"/>
      <c r="K6" s="460"/>
      <c r="L6" s="460"/>
      <c r="M6" s="460"/>
      <c r="N6" s="460"/>
      <c r="O6" s="460"/>
      <c r="P6" s="462"/>
      <c r="Q6" s="447"/>
    </row>
    <row r="7" spans="2:19" ht="15">
      <c r="B7" s="72">
        <v>1</v>
      </c>
      <c r="C7" s="361" t="s">
        <v>158</v>
      </c>
      <c r="D7" s="32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7"/>
      <c r="Q7" s="106"/>
    </row>
    <row r="8" spans="2:19" ht="17.25">
      <c r="B8" s="74"/>
      <c r="C8" s="358" t="s">
        <v>159</v>
      </c>
      <c r="D8" s="76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2"/>
      <c r="Q8" s="107"/>
    </row>
    <row r="9" spans="2:19" s="71" customFormat="1" ht="15">
      <c r="B9" s="77"/>
      <c r="C9" s="354" t="s">
        <v>160</v>
      </c>
      <c r="D9" s="355" t="s">
        <v>161</v>
      </c>
      <c r="E9" s="79">
        <v>25619.4323</v>
      </c>
      <c r="F9" s="79">
        <v>35150.354099999997</v>
      </c>
      <c r="G9" s="79">
        <v>38747.2941553454</v>
      </c>
      <c r="H9" s="79">
        <v>35200.463799999998</v>
      </c>
      <c r="I9" s="79">
        <v>30010.420699999999</v>
      </c>
      <c r="J9" s="79">
        <v>42046.552900000002</v>
      </c>
      <c r="K9" s="79">
        <v>28190.714599999999</v>
      </c>
      <c r="L9" s="79">
        <v>20723.920300000002</v>
      </c>
      <c r="M9" s="79">
        <v>25451.310099999999</v>
      </c>
      <c r="N9" s="79">
        <v>16839.500700000001</v>
      </c>
      <c r="O9" s="79">
        <v>22736.119500000001</v>
      </c>
      <c r="P9" s="97">
        <v>38800.561500000003</v>
      </c>
      <c r="Q9" s="108">
        <f>SUM(E9:P9)</f>
        <v>359516.64465534542</v>
      </c>
      <c r="S9" s="71">
        <v>4</v>
      </c>
    </row>
    <row r="10" spans="2:19">
      <c r="B10" s="77"/>
      <c r="C10" s="364" t="s">
        <v>162</v>
      </c>
      <c r="D10" s="1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1"/>
      <c r="Q10" s="109"/>
    </row>
    <row r="11" spans="2:19">
      <c r="B11" s="77"/>
      <c r="C11" s="354" t="s">
        <v>163</v>
      </c>
      <c r="D11" s="355" t="s">
        <v>161</v>
      </c>
      <c r="E11" s="52">
        <v>4114.5515400000004</v>
      </c>
      <c r="F11" s="52">
        <v>5705.941605</v>
      </c>
      <c r="G11" s="52">
        <v>5609.3237550000003</v>
      </c>
      <c r="H11" s="52">
        <v>6946.3850400000001</v>
      </c>
      <c r="I11" s="52">
        <v>5046.7805200000003</v>
      </c>
      <c r="J11" s="52">
        <v>7304.2366300000003</v>
      </c>
      <c r="K11" s="52">
        <v>4555.5713523189997</v>
      </c>
      <c r="L11" s="52">
        <v>2720.6410072365102</v>
      </c>
      <c r="M11" s="52">
        <v>3105.0776000000001</v>
      </c>
      <c r="N11" s="52">
        <v>2213.3025678926101</v>
      </c>
      <c r="O11" s="52">
        <v>3483.61397160561</v>
      </c>
      <c r="P11" s="51">
        <v>5715.1623829903601</v>
      </c>
      <c r="Q11" s="109">
        <f>SUM(E11:P11)</f>
        <v>56520.587972044101</v>
      </c>
    </row>
    <row r="12" spans="2:19">
      <c r="B12" s="77"/>
      <c r="C12" s="354" t="s">
        <v>164</v>
      </c>
      <c r="D12" s="355" t="s">
        <v>161</v>
      </c>
      <c r="E12" s="52">
        <f t="shared" ref="E12:P12" si="0">E9-E11</f>
        <v>21504.88076</v>
      </c>
      <c r="F12" s="52">
        <f t="shared" si="0"/>
        <v>29444.412494999997</v>
      </c>
      <c r="G12" s="52">
        <f t="shared" si="0"/>
        <v>33137.970400345403</v>
      </c>
      <c r="H12" s="52">
        <f t="shared" si="0"/>
        <v>28254.078759999997</v>
      </c>
      <c r="I12" s="52">
        <f t="shared" si="0"/>
        <v>24963.640179999999</v>
      </c>
      <c r="J12" s="52">
        <f t="shared" si="0"/>
        <v>34742.316270000003</v>
      </c>
      <c r="K12" s="52">
        <f t="shared" si="0"/>
        <v>23635.143247681001</v>
      </c>
      <c r="L12" s="52">
        <f t="shared" si="0"/>
        <v>18003.279292763491</v>
      </c>
      <c r="M12" s="52">
        <f t="shared" si="0"/>
        <v>22346.232499999998</v>
      </c>
      <c r="N12" s="52">
        <f t="shared" si="0"/>
        <v>14626.198132107391</v>
      </c>
      <c r="O12" s="52">
        <f t="shared" si="0"/>
        <v>19252.505528394391</v>
      </c>
      <c r="P12" s="52">
        <f t="shared" si="0"/>
        <v>33085.399117009641</v>
      </c>
      <c r="Q12" s="109">
        <f>SUM(E12:P12)</f>
        <v>302996.05668330129</v>
      </c>
    </row>
    <row r="13" spans="2:19" ht="15">
      <c r="B13" s="81"/>
      <c r="C13" s="365" t="s">
        <v>53</v>
      </c>
      <c r="D13" s="366" t="s">
        <v>161</v>
      </c>
      <c r="E13" s="82">
        <f t="shared" ref="E13:Q13" si="1">SUM(E11:E12)</f>
        <v>25619.4323</v>
      </c>
      <c r="F13" s="82">
        <f t="shared" si="1"/>
        <v>35150.354099999997</v>
      </c>
      <c r="G13" s="82">
        <f t="shared" si="1"/>
        <v>38747.2941553454</v>
      </c>
      <c r="H13" s="82">
        <f t="shared" si="1"/>
        <v>35200.463799999998</v>
      </c>
      <c r="I13" s="82">
        <f t="shared" si="1"/>
        <v>30010.420699999999</v>
      </c>
      <c r="J13" s="82">
        <f t="shared" si="1"/>
        <v>42046.552900000002</v>
      </c>
      <c r="K13" s="82">
        <f t="shared" si="1"/>
        <v>28190.714599999999</v>
      </c>
      <c r="L13" s="82">
        <f t="shared" si="1"/>
        <v>20723.920300000002</v>
      </c>
      <c r="M13" s="82">
        <f t="shared" si="1"/>
        <v>25451.310099999999</v>
      </c>
      <c r="N13" s="82">
        <f t="shared" si="1"/>
        <v>16839.500700000001</v>
      </c>
      <c r="O13" s="82">
        <f t="shared" si="1"/>
        <v>22736.119500000001</v>
      </c>
      <c r="P13" s="98">
        <f t="shared" si="1"/>
        <v>38800.561500000003</v>
      </c>
      <c r="Q13" s="110">
        <f t="shared" si="1"/>
        <v>359516.64465534536</v>
      </c>
    </row>
    <row r="14" spans="2:19" ht="15">
      <c r="B14" s="74">
        <v>2</v>
      </c>
      <c r="C14" s="367" t="s">
        <v>165</v>
      </c>
      <c r="D14" s="84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99"/>
      <c r="Q14" s="111"/>
    </row>
    <row r="15" spans="2:19" ht="15">
      <c r="B15" s="86"/>
      <c r="C15" s="368" t="s">
        <v>166</v>
      </c>
      <c r="D15" s="369" t="s">
        <v>114</v>
      </c>
      <c r="E15" s="87">
        <v>5551210</v>
      </c>
      <c r="F15" s="87">
        <v>7618960</v>
      </c>
      <c r="G15" s="87">
        <v>8896320</v>
      </c>
      <c r="H15" s="87">
        <v>7678500</v>
      </c>
      <c r="I15" s="87">
        <v>5833676</v>
      </c>
      <c r="J15" s="87">
        <v>9269220.5</v>
      </c>
      <c r="K15" s="87">
        <v>6898980</v>
      </c>
      <c r="L15" s="87">
        <v>4977373</v>
      </c>
      <c r="M15" s="87">
        <v>6905420</v>
      </c>
      <c r="N15" s="87">
        <v>4557880</v>
      </c>
      <c r="O15" s="87">
        <v>6200067</v>
      </c>
      <c r="P15" s="100">
        <v>9818573</v>
      </c>
      <c r="Q15" s="112">
        <f t="shared" ref="Q15:Q19" si="2">SUM(E15:P15)</f>
        <v>84206179.5</v>
      </c>
    </row>
    <row r="16" spans="2:19" ht="15">
      <c r="B16" s="86"/>
      <c r="C16" s="370" t="s">
        <v>167</v>
      </c>
      <c r="D16" s="88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101"/>
      <c r="Q16" s="113"/>
    </row>
    <row r="17" spans="2:17" ht="15">
      <c r="B17" s="86"/>
      <c r="C17" s="368" t="s">
        <v>168</v>
      </c>
      <c r="D17" s="369" t="s">
        <v>114</v>
      </c>
      <c r="E17" s="87">
        <v>3076400</v>
      </c>
      <c r="F17" s="87">
        <v>4361800</v>
      </c>
      <c r="G17" s="87">
        <v>4496900</v>
      </c>
      <c r="H17" s="87">
        <v>4347600</v>
      </c>
      <c r="I17" s="87">
        <v>3338900</v>
      </c>
      <c r="J17" s="87">
        <v>4388100</v>
      </c>
      <c r="K17" s="87">
        <v>3412300</v>
      </c>
      <c r="L17" s="87">
        <v>2580000</v>
      </c>
      <c r="M17" s="87">
        <v>3456200</v>
      </c>
      <c r="N17" s="87">
        <v>1990700</v>
      </c>
      <c r="O17" s="87">
        <v>2630300</v>
      </c>
      <c r="P17" s="100">
        <v>5019100</v>
      </c>
      <c r="Q17" s="114">
        <f t="shared" si="2"/>
        <v>43098300</v>
      </c>
    </row>
    <row r="18" spans="2:17" ht="15">
      <c r="B18" s="86"/>
      <c r="C18" s="368" t="s">
        <v>169</v>
      </c>
      <c r="D18" s="369" t="s">
        <v>114</v>
      </c>
      <c r="E18" s="87">
        <v>1394500</v>
      </c>
      <c r="F18" s="87">
        <v>2130000</v>
      </c>
      <c r="G18" s="87">
        <v>3345500</v>
      </c>
      <c r="H18" s="87">
        <v>2123200</v>
      </c>
      <c r="I18" s="87">
        <v>1371900</v>
      </c>
      <c r="J18" s="87">
        <v>2447300</v>
      </c>
      <c r="K18" s="87">
        <v>1354700</v>
      </c>
      <c r="L18" s="87">
        <v>1123400</v>
      </c>
      <c r="M18" s="87">
        <v>1322100</v>
      </c>
      <c r="N18" s="87">
        <v>646800</v>
      </c>
      <c r="O18" s="87">
        <v>1371800</v>
      </c>
      <c r="P18" s="100">
        <v>2121300</v>
      </c>
      <c r="Q18" s="114">
        <f t="shared" si="2"/>
        <v>20752500</v>
      </c>
    </row>
    <row r="19" spans="2:17" ht="15">
      <c r="B19" s="86"/>
      <c r="C19" s="368" t="s">
        <v>170</v>
      </c>
      <c r="D19" s="369" t="s">
        <v>114</v>
      </c>
      <c r="E19" s="87">
        <v>1080310</v>
      </c>
      <c r="F19" s="87">
        <v>1127160</v>
      </c>
      <c r="G19" s="87">
        <v>1053920</v>
      </c>
      <c r="H19" s="87">
        <v>1207700</v>
      </c>
      <c r="I19" s="87">
        <v>1122876</v>
      </c>
      <c r="J19" s="87">
        <v>2433820.5</v>
      </c>
      <c r="K19" s="87">
        <v>2131980</v>
      </c>
      <c r="L19" s="87">
        <v>1273973</v>
      </c>
      <c r="M19" s="87">
        <f>M15-(SUM(M17:M18))</f>
        <v>2127120</v>
      </c>
      <c r="N19" s="87">
        <f>N15-(SUM(N17:N18))</f>
        <v>1920380</v>
      </c>
      <c r="O19" s="87">
        <v>2197967</v>
      </c>
      <c r="P19" s="100">
        <f>P15-SUM(P17:P18)</f>
        <v>2678173</v>
      </c>
      <c r="Q19" s="114">
        <f t="shared" si="2"/>
        <v>20355379.5</v>
      </c>
    </row>
    <row r="20" spans="2:17" ht="15">
      <c r="B20" s="74"/>
      <c r="C20" s="371" t="s">
        <v>53</v>
      </c>
      <c r="D20" s="372" t="s">
        <v>114</v>
      </c>
      <c r="E20" s="90">
        <f t="shared" ref="E20:Q20" si="3">SUM(E17:E19)</f>
        <v>5551210</v>
      </c>
      <c r="F20" s="90">
        <f t="shared" si="3"/>
        <v>7618960</v>
      </c>
      <c r="G20" s="90">
        <f t="shared" si="3"/>
        <v>8896320</v>
      </c>
      <c r="H20" s="90">
        <f t="shared" si="3"/>
        <v>7678500</v>
      </c>
      <c r="I20" s="90">
        <f t="shared" si="3"/>
        <v>5833676</v>
      </c>
      <c r="J20" s="90">
        <f t="shared" si="3"/>
        <v>9269220.5</v>
      </c>
      <c r="K20" s="90">
        <f t="shared" si="3"/>
        <v>6898980</v>
      </c>
      <c r="L20" s="90">
        <f t="shared" si="3"/>
        <v>4977373</v>
      </c>
      <c r="M20" s="90">
        <f t="shared" si="3"/>
        <v>6905420</v>
      </c>
      <c r="N20" s="90">
        <f t="shared" si="3"/>
        <v>4557880</v>
      </c>
      <c r="O20" s="90">
        <f t="shared" si="3"/>
        <v>6200067</v>
      </c>
      <c r="P20" s="102">
        <f t="shared" si="3"/>
        <v>9818573</v>
      </c>
      <c r="Q20" s="60">
        <f t="shared" si="3"/>
        <v>84206179.5</v>
      </c>
    </row>
    <row r="21" spans="2:17" ht="15">
      <c r="B21" s="91">
        <v>3</v>
      </c>
      <c r="C21" s="361" t="s">
        <v>171</v>
      </c>
      <c r="D21" s="32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7"/>
      <c r="Q21" s="106"/>
    </row>
    <row r="22" spans="2:17" ht="17.25">
      <c r="B22" s="77"/>
      <c r="C22" s="358" t="s">
        <v>166</v>
      </c>
      <c r="D22" s="359" t="s">
        <v>172</v>
      </c>
      <c r="E22" s="57">
        <v>13184</v>
      </c>
      <c r="F22" s="57">
        <v>17060</v>
      </c>
      <c r="G22" s="57">
        <v>20064</v>
      </c>
      <c r="H22" s="57">
        <v>17673</v>
      </c>
      <c r="I22" s="57">
        <v>13991</v>
      </c>
      <c r="J22" s="57">
        <v>18090</v>
      </c>
      <c r="K22" s="57">
        <v>15029</v>
      </c>
      <c r="L22" s="57">
        <v>11960</v>
      </c>
      <c r="M22" s="57">
        <v>14577</v>
      </c>
      <c r="N22" s="57">
        <v>10106</v>
      </c>
      <c r="O22" s="57">
        <v>12492</v>
      </c>
      <c r="P22" s="56">
        <v>19779</v>
      </c>
      <c r="Q22" s="113">
        <f t="shared" ref="Q22:Q26" si="4">SUM(E22:P22)</f>
        <v>184005</v>
      </c>
    </row>
    <row r="23" spans="2:17">
      <c r="B23" s="77"/>
      <c r="C23" s="364" t="s">
        <v>162</v>
      </c>
      <c r="D23" s="10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1"/>
      <c r="Q23" s="109"/>
    </row>
    <row r="24" spans="2:17" ht="16.5">
      <c r="B24" s="77"/>
      <c r="C24" s="354" t="s">
        <v>168</v>
      </c>
      <c r="D24" s="355" t="s">
        <v>172</v>
      </c>
      <c r="E24" s="52">
        <v>1280</v>
      </c>
      <c r="F24" s="52">
        <v>2256</v>
      </c>
      <c r="G24" s="52">
        <v>2548</v>
      </c>
      <c r="H24" s="52">
        <v>2417</v>
      </c>
      <c r="I24" s="52">
        <v>1992</v>
      </c>
      <c r="J24" s="52">
        <v>2188</v>
      </c>
      <c r="K24" s="52">
        <v>1868</v>
      </c>
      <c r="L24" s="52">
        <v>1380</v>
      </c>
      <c r="M24" s="52">
        <v>1164</v>
      </c>
      <c r="N24" s="52">
        <v>1359</v>
      </c>
      <c r="O24" s="52">
        <v>1013</v>
      </c>
      <c r="P24" s="51">
        <v>1621</v>
      </c>
      <c r="Q24" s="114">
        <f>SUM(E24:P24)</f>
        <v>21086</v>
      </c>
    </row>
    <row r="25" spans="2:17" ht="16.5">
      <c r="B25" s="77"/>
      <c r="C25" s="354" t="s">
        <v>169</v>
      </c>
      <c r="D25" s="355" t="s">
        <v>172</v>
      </c>
      <c r="E25" s="52">
        <v>1904</v>
      </c>
      <c r="F25" s="52">
        <v>2892</v>
      </c>
      <c r="G25" s="52">
        <v>4010</v>
      </c>
      <c r="H25" s="52">
        <v>2769</v>
      </c>
      <c r="I25" s="52">
        <v>2319</v>
      </c>
      <c r="J25" s="52">
        <v>3035</v>
      </c>
      <c r="K25" s="52">
        <v>1663</v>
      </c>
      <c r="L25" s="52">
        <v>1515</v>
      </c>
      <c r="M25" s="52">
        <v>1461</v>
      </c>
      <c r="N25" s="52">
        <v>719</v>
      </c>
      <c r="O25" s="52">
        <v>1542</v>
      </c>
      <c r="P25" s="51">
        <v>2665</v>
      </c>
      <c r="Q25" s="114">
        <f t="shared" si="4"/>
        <v>26494</v>
      </c>
    </row>
    <row r="26" spans="2:17" ht="16.5">
      <c r="B26" s="77"/>
      <c r="C26" s="354" t="s">
        <v>170</v>
      </c>
      <c r="D26" s="355" t="s">
        <v>172</v>
      </c>
      <c r="E26" s="52">
        <f t="shared" ref="E26:J26" si="5">E22-(SUM(E24:E25))</f>
        <v>10000</v>
      </c>
      <c r="F26" s="52">
        <f t="shared" si="5"/>
        <v>11912</v>
      </c>
      <c r="G26" s="52">
        <f t="shared" si="5"/>
        <v>13506</v>
      </c>
      <c r="H26" s="52">
        <f t="shared" si="5"/>
        <v>12487</v>
      </c>
      <c r="I26" s="52">
        <f t="shared" si="5"/>
        <v>9680</v>
      </c>
      <c r="J26" s="52">
        <f t="shared" si="5"/>
        <v>12867</v>
      </c>
      <c r="K26" s="52">
        <v>11498</v>
      </c>
      <c r="L26" s="52">
        <v>9065</v>
      </c>
      <c r="M26" s="52">
        <f t="shared" ref="M26:O26" si="6">M22-(SUM(M24:M25))</f>
        <v>11952</v>
      </c>
      <c r="N26" s="52">
        <f t="shared" si="6"/>
        <v>8028</v>
      </c>
      <c r="O26" s="52">
        <f t="shared" si="6"/>
        <v>9937</v>
      </c>
      <c r="P26" s="51">
        <f>P22-SUM(P24:P25)</f>
        <v>15493</v>
      </c>
      <c r="Q26" s="114">
        <f t="shared" si="4"/>
        <v>136425</v>
      </c>
    </row>
    <row r="27" spans="2:17" ht="17.25">
      <c r="B27" s="74"/>
      <c r="C27" s="371" t="s">
        <v>53</v>
      </c>
      <c r="D27" s="373" t="s">
        <v>173</v>
      </c>
      <c r="E27" s="92">
        <f t="shared" ref="E27:P27" si="7">E22</f>
        <v>13184</v>
      </c>
      <c r="F27" s="92">
        <f t="shared" si="7"/>
        <v>17060</v>
      </c>
      <c r="G27" s="92">
        <f t="shared" si="7"/>
        <v>20064</v>
      </c>
      <c r="H27" s="92">
        <f t="shared" si="7"/>
        <v>17673</v>
      </c>
      <c r="I27" s="92">
        <f t="shared" si="7"/>
        <v>13991</v>
      </c>
      <c r="J27" s="92">
        <f t="shared" si="7"/>
        <v>18090</v>
      </c>
      <c r="K27" s="92">
        <f t="shared" si="7"/>
        <v>15029</v>
      </c>
      <c r="L27" s="92">
        <f t="shared" si="7"/>
        <v>11960</v>
      </c>
      <c r="M27" s="92">
        <f t="shared" si="7"/>
        <v>14577</v>
      </c>
      <c r="N27" s="92">
        <f t="shared" si="7"/>
        <v>10106</v>
      </c>
      <c r="O27" s="92">
        <f t="shared" si="7"/>
        <v>12492</v>
      </c>
      <c r="P27" s="103">
        <f t="shared" si="7"/>
        <v>19779</v>
      </c>
      <c r="Q27" s="67">
        <f>SUM(Q24:Q26)</f>
        <v>184005</v>
      </c>
    </row>
    <row r="28" spans="2:17" ht="16.5">
      <c r="B28" s="93"/>
      <c r="C28" s="358" t="s">
        <v>174</v>
      </c>
      <c r="D28" s="359" t="s">
        <v>172</v>
      </c>
      <c r="E28" s="57">
        <v>1237</v>
      </c>
      <c r="F28" s="57">
        <v>1220</v>
      </c>
      <c r="G28" s="57">
        <v>1461</v>
      </c>
      <c r="H28" s="57">
        <v>1138</v>
      </c>
      <c r="I28" s="57">
        <v>1143</v>
      </c>
      <c r="J28" s="57">
        <v>1104</v>
      </c>
      <c r="K28" s="57">
        <v>1279</v>
      </c>
      <c r="L28" s="57">
        <v>663</v>
      </c>
      <c r="M28" s="57">
        <v>0</v>
      </c>
      <c r="N28" s="57">
        <v>1574</v>
      </c>
      <c r="O28" s="57">
        <v>3337</v>
      </c>
      <c r="P28" s="56">
        <v>5311</v>
      </c>
      <c r="Q28" s="109">
        <f t="shared" ref="Q28:Q36" si="8">SUM(E28:P28)</f>
        <v>19467</v>
      </c>
    </row>
    <row r="29" spans="2:17" ht="15">
      <c r="B29" s="93"/>
      <c r="C29" s="361" t="s">
        <v>175</v>
      </c>
      <c r="D29" s="32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104"/>
      <c r="Q29" s="115"/>
    </row>
    <row r="30" spans="2:17" ht="17.25">
      <c r="B30" s="93"/>
      <c r="C30" s="374" t="s">
        <v>44</v>
      </c>
      <c r="D30" s="359" t="s">
        <v>172</v>
      </c>
      <c r="E30" s="92">
        <f t="shared" ref="E30:L30" si="9">E22</f>
        <v>13184</v>
      </c>
      <c r="F30" s="92">
        <f t="shared" si="9"/>
        <v>17060</v>
      </c>
      <c r="G30" s="92">
        <f t="shared" si="9"/>
        <v>20064</v>
      </c>
      <c r="H30" s="92">
        <f t="shared" si="9"/>
        <v>17673</v>
      </c>
      <c r="I30" s="92">
        <f t="shared" si="9"/>
        <v>13991</v>
      </c>
      <c r="J30" s="92">
        <f t="shared" si="9"/>
        <v>18090</v>
      </c>
      <c r="K30" s="92">
        <f t="shared" si="9"/>
        <v>15029</v>
      </c>
      <c r="L30" s="92">
        <f t="shared" si="9"/>
        <v>11960</v>
      </c>
      <c r="M30" s="92">
        <v>14577</v>
      </c>
      <c r="N30" s="92">
        <v>10106</v>
      </c>
      <c r="O30" s="92">
        <f>O22</f>
        <v>12492</v>
      </c>
      <c r="P30" s="103">
        <f>P22</f>
        <v>19779</v>
      </c>
      <c r="Q30" s="67">
        <f t="shared" si="8"/>
        <v>184005</v>
      </c>
    </row>
    <row r="31" spans="2:17" ht="16.5">
      <c r="B31" s="93"/>
      <c r="C31" s="364" t="s">
        <v>176</v>
      </c>
      <c r="D31" s="359" t="s">
        <v>172</v>
      </c>
      <c r="E31" s="57">
        <v>1280</v>
      </c>
      <c r="F31" s="57">
        <v>2256</v>
      </c>
      <c r="G31" s="57">
        <v>2548</v>
      </c>
      <c r="H31" s="57">
        <v>2417</v>
      </c>
      <c r="I31" s="57">
        <v>1992</v>
      </c>
      <c r="J31" s="57">
        <v>2188</v>
      </c>
      <c r="K31" s="57">
        <v>1868</v>
      </c>
      <c r="L31" s="57">
        <v>1380</v>
      </c>
      <c r="M31" s="57">
        <v>1164</v>
      </c>
      <c r="N31" s="57">
        <v>1359</v>
      </c>
      <c r="O31" s="57">
        <f>O24</f>
        <v>1013</v>
      </c>
      <c r="P31" s="56">
        <f>P24</f>
        <v>1621</v>
      </c>
      <c r="Q31" s="109">
        <f t="shared" si="8"/>
        <v>21086</v>
      </c>
    </row>
    <row r="32" spans="2:17" ht="16.5">
      <c r="B32" s="93"/>
      <c r="C32" s="364" t="s">
        <v>177</v>
      </c>
      <c r="D32" s="359" t="s">
        <v>172</v>
      </c>
      <c r="E32" s="57">
        <v>1904</v>
      </c>
      <c r="F32" s="57">
        <v>2892</v>
      </c>
      <c r="G32" s="57">
        <v>4010</v>
      </c>
      <c r="H32" s="57">
        <v>2769</v>
      </c>
      <c r="I32" s="57">
        <v>2319</v>
      </c>
      <c r="J32" s="57">
        <v>3035</v>
      </c>
      <c r="K32" s="57">
        <v>1663</v>
      </c>
      <c r="L32" s="57">
        <v>1515</v>
      </c>
      <c r="M32" s="57">
        <v>1461</v>
      </c>
      <c r="N32" s="57">
        <v>719</v>
      </c>
      <c r="O32" s="57">
        <f>O25</f>
        <v>1542</v>
      </c>
      <c r="P32" s="56">
        <f>P25</f>
        <v>2665</v>
      </c>
      <c r="Q32" s="109">
        <f t="shared" si="8"/>
        <v>26494</v>
      </c>
    </row>
    <row r="33" spans="2:17" ht="16.5">
      <c r="B33" s="93"/>
      <c r="C33" s="364" t="s">
        <v>178</v>
      </c>
      <c r="D33" s="359" t="s">
        <v>172</v>
      </c>
      <c r="E33" s="57">
        <v>5595.4</v>
      </c>
      <c r="F33" s="57">
        <v>7255.8</v>
      </c>
      <c r="G33" s="57">
        <v>8063.3</v>
      </c>
      <c r="H33" s="57">
        <v>7288.2</v>
      </c>
      <c r="I33" s="57">
        <v>5761.7</v>
      </c>
      <c r="J33" s="57">
        <v>7894.4</v>
      </c>
      <c r="K33" s="57">
        <v>6863.1</v>
      </c>
      <c r="L33" s="57">
        <v>5347.1</v>
      </c>
      <c r="M33" s="57">
        <v>7068.9</v>
      </c>
      <c r="N33" s="57">
        <v>4499.3999999999996</v>
      </c>
      <c r="O33" s="57">
        <f>[4]November!$AK$102</f>
        <v>5716.4</v>
      </c>
      <c r="P33" s="56">
        <v>9337</v>
      </c>
      <c r="Q33" s="109">
        <f t="shared" si="8"/>
        <v>80690.7</v>
      </c>
    </row>
    <row r="34" spans="2:17" ht="16.5">
      <c r="B34" s="93"/>
      <c r="C34" s="364" t="s">
        <v>179</v>
      </c>
      <c r="D34" s="359" t="s">
        <v>172</v>
      </c>
      <c r="E34" s="57">
        <f t="shared" ref="E34:P34" si="10">((20/14)*E33)-E33</f>
        <v>2398.028571428571</v>
      </c>
      <c r="F34" s="57">
        <f t="shared" si="10"/>
        <v>3109.6285714285723</v>
      </c>
      <c r="G34" s="57">
        <f t="shared" si="10"/>
        <v>3455.7</v>
      </c>
      <c r="H34" s="57">
        <f t="shared" si="10"/>
        <v>3123.5142857142864</v>
      </c>
      <c r="I34" s="57">
        <f t="shared" si="10"/>
        <v>2469.3000000000002</v>
      </c>
      <c r="J34" s="57">
        <f t="shared" si="10"/>
        <v>3383.3142857142866</v>
      </c>
      <c r="K34" s="57">
        <f t="shared" si="10"/>
        <v>2941.3285714285721</v>
      </c>
      <c r="L34" s="57">
        <f t="shared" si="10"/>
        <v>2291.6142857142859</v>
      </c>
      <c r="M34" s="57">
        <f t="shared" si="10"/>
        <v>3029.528571428571</v>
      </c>
      <c r="N34" s="57">
        <f t="shared" si="10"/>
        <v>1928.3142857142857</v>
      </c>
      <c r="O34" s="57">
        <f t="shared" si="10"/>
        <v>2449.8857142857141</v>
      </c>
      <c r="P34" s="56">
        <f t="shared" si="10"/>
        <v>4001.5714285714294</v>
      </c>
      <c r="Q34" s="109">
        <f t="shared" si="8"/>
        <v>34581.728571428568</v>
      </c>
    </row>
    <row r="35" spans="2:17" ht="16.5">
      <c r="B35" s="93"/>
      <c r="C35" s="364" t="s">
        <v>180</v>
      </c>
      <c r="D35" s="359" t="s">
        <v>172</v>
      </c>
      <c r="E35" s="57">
        <f t="shared" ref="E35:L35" si="11">E30-(SUM(E31:E34))</f>
        <v>2006.5714285714294</v>
      </c>
      <c r="F35" s="57">
        <f t="shared" si="11"/>
        <v>1546.5714285714275</v>
      </c>
      <c r="G35" s="57">
        <f t="shared" si="11"/>
        <v>1987</v>
      </c>
      <c r="H35" s="57">
        <f t="shared" si="11"/>
        <v>2075.2857142857138</v>
      </c>
      <c r="I35" s="57">
        <f t="shared" si="11"/>
        <v>1449</v>
      </c>
      <c r="J35" s="57">
        <f t="shared" si="11"/>
        <v>1589.2857142857138</v>
      </c>
      <c r="K35" s="57">
        <f t="shared" si="11"/>
        <v>1693.5714285714275</v>
      </c>
      <c r="L35" s="57">
        <f t="shared" si="11"/>
        <v>1426.2857142857138</v>
      </c>
      <c r="M35" s="57">
        <v>1853.9</v>
      </c>
      <c r="N35" s="57">
        <v>1600.3</v>
      </c>
      <c r="O35" s="57">
        <f>O30-SUM(O31:O34)</f>
        <v>1770.7142857142862</v>
      </c>
      <c r="P35" s="56">
        <f>P30-SUM(P31:P34)</f>
        <v>2154.4285714285725</v>
      </c>
      <c r="Q35" s="109">
        <f t="shared" si="8"/>
        <v>21152.914285714283</v>
      </c>
    </row>
    <row r="36" spans="2:17" ht="16.5">
      <c r="B36" s="93"/>
      <c r="C36" s="354" t="s">
        <v>174</v>
      </c>
      <c r="D36" s="359" t="s">
        <v>172</v>
      </c>
      <c r="E36" s="57">
        <v>1237</v>
      </c>
      <c r="F36" s="57">
        <v>1220</v>
      </c>
      <c r="G36" s="57">
        <v>1461</v>
      </c>
      <c r="H36" s="57">
        <v>1138</v>
      </c>
      <c r="I36" s="57">
        <v>1143</v>
      </c>
      <c r="J36" s="57">
        <v>1104</v>
      </c>
      <c r="K36" s="57">
        <v>1279</v>
      </c>
      <c r="L36" s="57">
        <v>663</v>
      </c>
      <c r="M36" s="57">
        <v>0</v>
      </c>
      <c r="N36" s="57">
        <v>1574</v>
      </c>
      <c r="O36" s="57">
        <f>O28</f>
        <v>3337</v>
      </c>
      <c r="P36" s="56">
        <f>P28</f>
        <v>5311</v>
      </c>
      <c r="Q36" s="109">
        <f t="shared" si="8"/>
        <v>19467</v>
      </c>
    </row>
    <row r="37" spans="2:17" ht="15">
      <c r="B37" s="72">
        <v>4</v>
      </c>
      <c r="C37" s="361" t="s">
        <v>181</v>
      </c>
      <c r="D37" s="32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7"/>
      <c r="Q37" s="106"/>
    </row>
    <row r="38" spans="2:17" ht="15">
      <c r="B38" s="74"/>
      <c r="C38" s="371" t="s">
        <v>166</v>
      </c>
      <c r="D38" s="7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2"/>
      <c r="Q38" s="59"/>
    </row>
    <row r="39" spans="2:17" ht="15">
      <c r="B39" s="95"/>
      <c r="C39" s="354" t="s">
        <v>182</v>
      </c>
      <c r="D39" s="10" t="s">
        <v>183</v>
      </c>
      <c r="E39" s="52">
        <v>576934</v>
      </c>
      <c r="F39" s="52">
        <v>711126</v>
      </c>
      <c r="G39" s="52">
        <v>782041</v>
      </c>
      <c r="H39" s="52">
        <v>739379</v>
      </c>
      <c r="I39" s="52">
        <v>585067</v>
      </c>
      <c r="J39" s="52">
        <v>760275</v>
      </c>
      <c r="K39" s="52">
        <v>592254</v>
      </c>
      <c r="L39" s="52">
        <v>455799</v>
      </c>
      <c r="M39" s="52">
        <v>566027</v>
      </c>
      <c r="N39" s="52">
        <v>374624</v>
      </c>
      <c r="O39" s="52">
        <v>486302</v>
      </c>
      <c r="P39" s="51">
        <v>723265</v>
      </c>
      <c r="Q39" s="113">
        <f>SUM(E39:P39)</f>
        <v>7353093</v>
      </c>
    </row>
    <row r="40" spans="2:17" ht="15">
      <c r="B40" s="95"/>
      <c r="C40" s="78" t="s">
        <v>184</v>
      </c>
      <c r="D40" s="10" t="s">
        <v>183</v>
      </c>
      <c r="E40" s="52">
        <v>578100</v>
      </c>
      <c r="F40" s="52">
        <v>712799.99999999895</v>
      </c>
      <c r="G40" s="52">
        <v>781299.99999999895</v>
      </c>
      <c r="H40" s="52">
        <v>738700.00000000105</v>
      </c>
      <c r="I40" s="52">
        <v>591799.99999999895</v>
      </c>
      <c r="J40" s="52">
        <v>762400</v>
      </c>
      <c r="K40" s="52">
        <v>594199.99999999895</v>
      </c>
      <c r="L40" s="52">
        <v>460799.99999999901</v>
      </c>
      <c r="M40" s="52">
        <v>565700.00000000105</v>
      </c>
      <c r="N40" s="52">
        <v>390199.99999999901</v>
      </c>
      <c r="O40" s="52">
        <v>465600</v>
      </c>
      <c r="P40" s="51">
        <v>720500</v>
      </c>
      <c r="Q40" s="113">
        <f>SUM(E40:P40)</f>
        <v>7362099.9999999963</v>
      </c>
    </row>
    <row r="41" spans="2:17">
      <c r="B41" s="77"/>
      <c r="C41" s="375" t="s">
        <v>162</v>
      </c>
      <c r="D41" s="10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1"/>
      <c r="Q41" s="109"/>
    </row>
    <row r="42" spans="2:17">
      <c r="B42" s="77"/>
      <c r="C42" s="78" t="s">
        <v>185</v>
      </c>
      <c r="D42" s="10" t="s">
        <v>183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28662.799999999999</v>
      </c>
      <c r="K42" s="52">
        <v>22238</v>
      </c>
      <c r="L42" s="52">
        <v>16668</v>
      </c>
      <c r="M42" s="52">
        <v>20520</v>
      </c>
      <c r="N42" s="52">
        <v>14365</v>
      </c>
      <c r="O42" s="52">
        <v>17780</v>
      </c>
      <c r="P42" s="51">
        <v>30040</v>
      </c>
      <c r="Q42" s="116">
        <f>SUM(E42:P42)</f>
        <v>150273.79999999999</v>
      </c>
    </row>
    <row r="43" spans="2:17">
      <c r="B43" s="77"/>
      <c r="C43" s="78" t="s">
        <v>186</v>
      </c>
      <c r="D43" s="10" t="s">
        <v>183</v>
      </c>
      <c r="E43" s="52">
        <v>12785</v>
      </c>
      <c r="F43" s="52">
        <v>13864</v>
      </c>
      <c r="G43" s="52">
        <v>14977</v>
      </c>
      <c r="H43" s="52">
        <v>14211</v>
      </c>
      <c r="I43" s="52">
        <v>12985</v>
      </c>
      <c r="J43" s="52">
        <v>13729</v>
      </c>
      <c r="K43" s="52">
        <v>13424</v>
      </c>
      <c r="L43" s="52">
        <v>7951</v>
      </c>
      <c r="M43" s="52">
        <v>7039</v>
      </c>
      <c r="N43" s="52">
        <v>7508</v>
      </c>
      <c r="O43" s="52">
        <v>8135</v>
      </c>
      <c r="P43" s="51">
        <v>11220</v>
      </c>
      <c r="Q43" s="116">
        <f t="shared" ref="Q43:Q65" si="12">SUM(E43:P43)</f>
        <v>137828</v>
      </c>
    </row>
    <row r="44" spans="2:17">
      <c r="B44" s="77"/>
      <c r="C44" s="78" t="s">
        <v>187</v>
      </c>
      <c r="D44" s="10" t="s">
        <v>183</v>
      </c>
      <c r="E44" s="52">
        <v>60244</v>
      </c>
      <c r="F44" s="52">
        <v>62884</v>
      </c>
      <c r="G44" s="52">
        <v>59850</v>
      </c>
      <c r="H44" s="52">
        <v>52751</v>
      </c>
      <c r="I44" s="52">
        <v>47778</v>
      </c>
      <c r="J44" s="52">
        <v>52193</v>
      </c>
      <c r="K44" s="52">
        <v>56101.999999999898</v>
      </c>
      <c r="L44" s="52">
        <v>51989.999999999898</v>
      </c>
      <c r="M44" s="52">
        <v>61310</v>
      </c>
      <c r="N44" s="52">
        <v>46960</v>
      </c>
      <c r="O44" s="52">
        <v>58840</v>
      </c>
      <c r="P44" s="51">
        <v>75950</v>
      </c>
      <c r="Q44" s="116">
        <f t="shared" si="12"/>
        <v>686851.99999999977</v>
      </c>
    </row>
    <row r="45" spans="2:17">
      <c r="B45" s="77"/>
      <c r="C45" s="78" t="s">
        <v>188</v>
      </c>
      <c r="D45" s="10" t="s">
        <v>183</v>
      </c>
      <c r="E45" s="52">
        <v>397.66</v>
      </c>
      <c r="F45" s="52">
        <v>1340.6</v>
      </c>
      <c r="G45" s="52">
        <v>1881.27</v>
      </c>
      <c r="H45" s="52">
        <v>1855</v>
      </c>
      <c r="I45" s="52">
        <v>1253.8</v>
      </c>
      <c r="J45" s="52">
        <v>2198.6999999999998</v>
      </c>
      <c r="K45" s="52">
        <v>1476.1</v>
      </c>
      <c r="L45" s="52">
        <v>1016.4</v>
      </c>
      <c r="M45" s="52">
        <v>1033.7</v>
      </c>
      <c r="N45" s="52">
        <v>1187.3</v>
      </c>
      <c r="O45" s="52">
        <v>1403.8</v>
      </c>
      <c r="P45" s="51">
        <v>2050</v>
      </c>
      <c r="Q45" s="116">
        <f t="shared" si="12"/>
        <v>17094.329999999998</v>
      </c>
    </row>
    <row r="46" spans="2:17">
      <c r="B46" s="77"/>
      <c r="C46" s="78" t="s">
        <v>189</v>
      </c>
      <c r="D46" s="10" t="s">
        <v>183</v>
      </c>
      <c r="E46" s="52">
        <v>2187.1</v>
      </c>
      <c r="F46" s="52">
        <v>3300.5</v>
      </c>
      <c r="G46" s="52">
        <v>3035.9</v>
      </c>
      <c r="H46" s="52">
        <v>3207.8</v>
      </c>
      <c r="I46" s="52">
        <v>2846.1</v>
      </c>
      <c r="J46" s="52">
        <v>2916</v>
      </c>
      <c r="K46" s="52">
        <v>2741.3999999999901</v>
      </c>
      <c r="L46" s="52">
        <v>1040.8</v>
      </c>
      <c r="M46" s="52">
        <v>730.099999999999</v>
      </c>
      <c r="N46" s="52">
        <v>1627</v>
      </c>
      <c r="O46" s="52">
        <v>1911.8</v>
      </c>
      <c r="P46" s="51">
        <v>2923.9</v>
      </c>
      <c r="Q46" s="116">
        <f t="shared" si="12"/>
        <v>28468.399999999991</v>
      </c>
    </row>
    <row r="47" spans="2:17">
      <c r="B47" s="77"/>
      <c r="C47" s="78" t="s">
        <v>190</v>
      </c>
      <c r="D47" s="10" t="s">
        <v>183</v>
      </c>
      <c r="E47" s="52">
        <v>72198</v>
      </c>
      <c r="F47" s="52">
        <v>88680</v>
      </c>
      <c r="G47" s="52">
        <v>95807</v>
      </c>
      <c r="H47" s="52">
        <v>94660</v>
      </c>
      <c r="I47" s="52">
        <v>72200</v>
      </c>
      <c r="J47" s="52">
        <v>92600</v>
      </c>
      <c r="K47" s="52">
        <v>81460</v>
      </c>
      <c r="L47" s="52">
        <v>60230</v>
      </c>
      <c r="M47" s="52">
        <v>93160</v>
      </c>
      <c r="N47" s="52">
        <v>54380</v>
      </c>
      <c r="O47" s="52">
        <v>49380</v>
      </c>
      <c r="P47" s="51">
        <v>93060</v>
      </c>
      <c r="Q47" s="116">
        <f t="shared" si="12"/>
        <v>947815</v>
      </c>
    </row>
    <row r="48" spans="2:17">
      <c r="B48" s="77"/>
      <c r="C48" s="78" t="s">
        <v>191</v>
      </c>
      <c r="D48" s="10" t="s">
        <v>183</v>
      </c>
      <c r="E48" s="96">
        <v>189.99</v>
      </c>
      <c r="F48" s="96">
        <v>186.72</v>
      </c>
      <c r="G48" s="96">
        <v>212.9</v>
      </c>
      <c r="H48" s="96">
        <v>234.39</v>
      </c>
      <c r="I48" s="96">
        <v>207.39</v>
      </c>
      <c r="J48" s="96">
        <v>228.87</v>
      </c>
      <c r="K48" s="96">
        <v>312.56</v>
      </c>
      <c r="L48" s="96">
        <v>357.42</v>
      </c>
      <c r="M48" s="96">
        <v>232.04</v>
      </c>
      <c r="N48" s="96">
        <v>231.62</v>
      </c>
      <c r="O48" s="96">
        <v>168.62</v>
      </c>
      <c r="P48" s="105">
        <v>231.62</v>
      </c>
      <c r="Q48" s="116">
        <f t="shared" si="12"/>
        <v>2794.1399999999994</v>
      </c>
    </row>
    <row r="49" spans="2:17">
      <c r="B49" s="77"/>
      <c r="C49" s="78" t="s">
        <v>192</v>
      </c>
      <c r="D49" s="10" t="s">
        <v>183</v>
      </c>
      <c r="E49" s="52">
        <v>25657</v>
      </c>
      <c r="F49" s="52">
        <v>37178</v>
      </c>
      <c r="G49" s="52">
        <v>41894</v>
      </c>
      <c r="H49" s="52">
        <v>31650</v>
      </c>
      <c r="I49" s="52">
        <v>25498</v>
      </c>
      <c r="J49" s="52">
        <v>35262</v>
      </c>
      <c r="K49" s="52">
        <v>21928</v>
      </c>
      <c r="L49" s="52">
        <v>17550</v>
      </c>
      <c r="M49" s="52">
        <v>19411</v>
      </c>
      <c r="N49" s="52">
        <v>11494</v>
      </c>
      <c r="O49" s="52">
        <v>18369</v>
      </c>
      <c r="P49" s="51">
        <v>33420</v>
      </c>
      <c r="Q49" s="116">
        <f t="shared" si="12"/>
        <v>319311</v>
      </c>
    </row>
    <row r="50" spans="2:17">
      <c r="B50" s="77"/>
      <c r="C50" s="78" t="s">
        <v>193</v>
      </c>
      <c r="D50" s="10" t="s">
        <v>183</v>
      </c>
      <c r="E50" s="52">
        <v>93710</v>
      </c>
      <c r="F50" s="52">
        <v>123540</v>
      </c>
      <c r="G50" s="52">
        <v>120900</v>
      </c>
      <c r="H50" s="52">
        <v>141200</v>
      </c>
      <c r="I50" s="52">
        <v>101300</v>
      </c>
      <c r="J50" s="52">
        <v>132600</v>
      </c>
      <c r="K50" s="52">
        <v>95499.999999999505</v>
      </c>
      <c r="L50" s="52">
        <v>62800</v>
      </c>
      <c r="M50" s="52">
        <v>81700</v>
      </c>
      <c r="N50" s="52">
        <v>55400.000000000102</v>
      </c>
      <c r="O50" s="52">
        <v>66300</v>
      </c>
      <c r="P50" s="51">
        <v>123800</v>
      </c>
      <c r="Q50" s="116">
        <f t="shared" si="12"/>
        <v>1198749.9999999995</v>
      </c>
    </row>
    <row r="51" spans="2:17">
      <c r="B51" s="77"/>
      <c r="C51" s="78" t="s">
        <v>194</v>
      </c>
      <c r="D51" s="10" t="s">
        <v>183</v>
      </c>
      <c r="E51" s="52">
        <v>92100</v>
      </c>
      <c r="F51" s="52">
        <v>122200</v>
      </c>
      <c r="G51" s="52">
        <v>150100</v>
      </c>
      <c r="H51" s="52">
        <v>127400</v>
      </c>
      <c r="I51" s="52">
        <v>90000</v>
      </c>
      <c r="J51" s="52">
        <v>147200</v>
      </c>
      <c r="K51" s="52">
        <v>95599.999999999694</v>
      </c>
      <c r="L51" s="52">
        <v>65700</v>
      </c>
      <c r="M51" s="52">
        <v>77000</v>
      </c>
      <c r="N51" s="52">
        <v>44400.000000000102</v>
      </c>
      <c r="O51" s="52">
        <v>80100.000000000102</v>
      </c>
      <c r="P51" s="51">
        <v>132500</v>
      </c>
      <c r="Q51" s="116">
        <f t="shared" si="12"/>
        <v>1224299.9999999998</v>
      </c>
    </row>
    <row r="52" spans="2:17">
      <c r="B52" s="77"/>
      <c r="C52" s="78" t="s">
        <v>195</v>
      </c>
      <c r="D52" s="10" t="s">
        <v>183</v>
      </c>
      <c r="E52" s="52">
        <v>27.237000000000101</v>
      </c>
      <c r="F52" s="52">
        <v>249.792</v>
      </c>
      <c r="G52" s="52">
        <v>1897.2</v>
      </c>
      <c r="H52" s="52">
        <v>3073.61</v>
      </c>
      <c r="I52" s="52">
        <v>2956.81</v>
      </c>
      <c r="J52" s="52">
        <v>4123.34</v>
      </c>
      <c r="K52" s="52">
        <v>151.29999999999899</v>
      </c>
      <c r="L52" s="52">
        <v>2516.4</v>
      </c>
      <c r="M52" s="52">
        <v>3994.5</v>
      </c>
      <c r="N52" s="52">
        <v>2912.3</v>
      </c>
      <c r="O52" s="52">
        <v>2927.8</v>
      </c>
      <c r="P52" s="51">
        <v>6070.9</v>
      </c>
      <c r="Q52" s="116">
        <f t="shared" si="12"/>
        <v>30901.188999999998</v>
      </c>
    </row>
    <row r="53" spans="2:17">
      <c r="B53" s="77"/>
      <c r="C53" s="80" t="s">
        <v>196</v>
      </c>
      <c r="D53" s="10" t="s">
        <v>183</v>
      </c>
      <c r="E53" s="52">
        <v>69940</v>
      </c>
      <c r="F53" s="52">
        <v>71890</v>
      </c>
      <c r="G53" s="52">
        <v>79400</v>
      </c>
      <c r="H53" s="52">
        <v>78670</v>
      </c>
      <c r="I53" s="52">
        <v>80400</v>
      </c>
      <c r="J53" s="52">
        <v>79900</v>
      </c>
      <c r="K53" s="52">
        <v>73790</v>
      </c>
      <c r="L53" s="52">
        <v>73370</v>
      </c>
      <c r="M53" s="52">
        <v>75870</v>
      </c>
      <c r="N53" s="52">
        <v>71260</v>
      </c>
      <c r="O53" s="52">
        <v>67120</v>
      </c>
      <c r="P53" s="51">
        <v>78380</v>
      </c>
      <c r="Q53" s="116">
        <f t="shared" si="12"/>
        <v>899990</v>
      </c>
    </row>
    <row r="54" spans="2:17">
      <c r="B54" s="77"/>
      <c r="C54" s="78" t="s">
        <v>197</v>
      </c>
      <c r="D54" s="10" t="s">
        <v>183</v>
      </c>
      <c r="E54" s="52">
        <v>113424</v>
      </c>
      <c r="F54" s="52">
        <v>18549.900000000001</v>
      </c>
      <c r="G54" s="52">
        <v>8728.9</v>
      </c>
      <c r="H54" s="52">
        <v>8109.9</v>
      </c>
      <c r="I54" s="52">
        <v>8143.3</v>
      </c>
      <c r="J54" s="52">
        <v>8767.2999999999993</v>
      </c>
      <c r="K54" s="52">
        <v>9271.6</v>
      </c>
      <c r="L54" s="52">
        <v>8970.2999999999993</v>
      </c>
      <c r="M54" s="52">
        <v>9012.4</v>
      </c>
      <c r="N54" s="52">
        <v>9372.2999999999993</v>
      </c>
      <c r="O54" s="52">
        <v>8677.7000000000007</v>
      </c>
      <c r="P54" s="51">
        <v>9255</v>
      </c>
      <c r="Q54" s="116">
        <f t="shared" si="12"/>
        <v>220282.59999999995</v>
      </c>
    </row>
    <row r="55" spans="2:17">
      <c r="B55" s="77"/>
      <c r="C55" s="78" t="s">
        <v>198</v>
      </c>
      <c r="D55" s="10" t="s">
        <v>183</v>
      </c>
      <c r="E55" s="52">
        <v>4786.1000000000004</v>
      </c>
      <c r="F55" s="52">
        <v>4584.6000000000004</v>
      </c>
      <c r="G55" s="52">
        <v>4717.1000000000104</v>
      </c>
      <c r="H55" s="52">
        <v>4730.3999999999896</v>
      </c>
      <c r="I55" s="52">
        <v>4469.5</v>
      </c>
      <c r="J55" s="52">
        <v>4701.9000000000096</v>
      </c>
      <c r="K55" s="52">
        <v>4602.7999999999902</v>
      </c>
      <c r="L55" s="52">
        <v>4128.8999999999896</v>
      </c>
      <c r="M55" s="52">
        <v>4100.9000000000096</v>
      </c>
      <c r="N55" s="52">
        <v>4198.8999999999896</v>
      </c>
      <c r="O55" s="52">
        <v>3995.5999999999899</v>
      </c>
      <c r="P55" s="51">
        <v>4475.2000000000098</v>
      </c>
      <c r="Q55" s="116">
        <f t="shared" si="12"/>
        <v>53491.899999999987</v>
      </c>
    </row>
    <row r="56" spans="2:17">
      <c r="B56" s="77"/>
      <c r="C56" s="78" t="s">
        <v>199</v>
      </c>
      <c r="D56" s="10" t="s">
        <v>183</v>
      </c>
      <c r="E56" s="52">
        <v>6219.6000000000104</v>
      </c>
      <c r="F56" s="52">
        <v>5959.1000000000104</v>
      </c>
      <c r="G56" s="52">
        <v>6824.5</v>
      </c>
      <c r="H56" s="52">
        <v>6395.7</v>
      </c>
      <c r="I56" s="52">
        <v>6496</v>
      </c>
      <c r="J56" s="52">
        <v>6224.2999999999902</v>
      </c>
      <c r="K56" s="52">
        <v>6363.2</v>
      </c>
      <c r="L56" s="52">
        <v>6522.99999999999</v>
      </c>
      <c r="M56" s="52">
        <v>6125.8000000000202</v>
      </c>
      <c r="N56" s="52">
        <v>6053.8999999999896</v>
      </c>
      <c r="O56" s="52">
        <v>6080.8999999999896</v>
      </c>
      <c r="P56" s="51">
        <v>6460.8000000000202</v>
      </c>
      <c r="Q56" s="116">
        <f t="shared" si="12"/>
        <v>75726.800000000017</v>
      </c>
    </row>
    <row r="57" spans="2:17">
      <c r="B57" s="77"/>
      <c r="C57" s="78" t="s">
        <v>200</v>
      </c>
      <c r="D57" s="10" t="s">
        <v>183</v>
      </c>
      <c r="E57" s="52">
        <v>1823</v>
      </c>
      <c r="F57" s="52">
        <v>1646.9</v>
      </c>
      <c r="G57" s="52">
        <v>1916.8</v>
      </c>
      <c r="H57" s="52">
        <v>1836.8</v>
      </c>
      <c r="I57" s="52">
        <v>1795.9</v>
      </c>
      <c r="J57" s="52">
        <v>1646.7</v>
      </c>
      <c r="K57" s="52">
        <v>1596.1000000000099</v>
      </c>
      <c r="L57" s="52">
        <v>1630.3</v>
      </c>
      <c r="M57" s="52">
        <v>1622.1</v>
      </c>
      <c r="N57" s="52">
        <v>1892.8</v>
      </c>
      <c r="O57" s="52">
        <v>1547.2</v>
      </c>
      <c r="P57" s="51">
        <v>1728.4</v>
      </c>
      <c r="Q57" s="116">
        <f t="shared" si="12"/>
        <v>20683.000000000011</v>
      </c>
    </row>
    <row r="58" spans="2:17">
      <c r="B58" s="77"/>
      <c r="C58" s="78" t="s">
        <v>201</v>
      </c>
      <c r="D58" s="10" t="s">
        <v>183</v>
      </c>
      <c r="E58" s="52">
        <v>8971</v>
      </c>
      <c r="F58" s="52">
        <v>8782.5999999999804</v>
      </c>
      <c r="G58" s="52">
        <v>9452.2999999999902</v>
      </c>
      <c r="H58" s="52">
        <v>8734</v>
      </c>
      <c r="I58" s="52">
        <v>8911.3999999999905</v>
      </c>
      <c r="J58" s="52">
        <v>8668.1000000000095</v>
      </c>
      <c r="K58" s="52">
        <v>9003</v>
      </c>
      <c r="L58" s="52">
        <v>8963.5</v>
      </c>
      <c r="M58" s="52">
        <v>8554.5</v>
      </c>
      <c r="N58" s="52">
        <v>8800.8999999999905</v>
      </c>
      <c r="O58" s="52">
        <v>9051.6999999999807</v>
      </c>
      <c r="P58" s="51">
        <v>9287.3000000000193</v>
      </c>
      <c r="Q58" s="116">
        <f t="shared" si="12"/>
        <v>107180.29999999996</v>
      </c>
    </row>
    <row r="59" spans="2:17">
      <c r="B59" s="77"/>
      <c r="C59" s="78" t="s">
        <v>202</v>
      </c>
      <c r="D59" s="10" t="s">
        <v>183</v>
      </c>
      <c r="E59" s="52">
        <v>6559.6999999999798</v>
      </c>
      <c r="F59" s="52">
        <v>7862.5</v>
      </c>
      <c r="G59" s="52">
        <v>8378.6000000000095</v>
      </c>
      <c r="H59" s="52">
        <v>8240.3000000000193</v>
      </c>
      <c r="I59" s="52">
        <v>8949.5999999999804</v>
      </c>
      <c r="J59" s="52">
        <v>8031.7000000000098</v>
      </c>
      <c r="K59" s="52">
        <v>8348.7999999999902</v>
      </c>
      <c r="L59" s="52">
        <v>6141.5</v>
      </c>
      <c r="M59" s="52">
        <v>6235.5999999999804</v>
      </c>
      <c r="N59" s="52">
        <v>4760.6000000000104</v>
      </c>
      <c r="O59" s="52">
        <v>5029.6000000000104</v>
      </c>
      <c r="P59" s="51">
        <v>7002.5999999999804</v>
      </c>
      <c r="Q59" s="116">
        <f t="shared" si="12"/>
        <v>85541.099999999948</v>
      </c>
    </row>
    <row r="60" spans="2:17">
      <c r="B60" s="77"/>
      <c r="C60" s="78" t="s">
        <v>203</v>
      </c>
      <c r="D60" s="10" t="s">
        <v>183</v>
      </c>
      <c r="E60" s="52">
        <v>5806.7</v>
      </c>
      <c r="F60" s="52">
        <v>5883.5</v>
      </c>
      <c r="G60" s="52">
        <v>6260.2</v>
      </c>
      <c r="H60" s="52">
        <v>6290.7</v>
      </c>
      <c r="I60" s="52">
        <v>6155.1000000000104</v>
      </c>
      <c r="J60" s="52">
        <v>6226</v>
      </c>
      <c r="K60" s="52">
        <v>6321.2999999999902</v>
      </c>
      <c r="L60" s="52">
        <v>6154.2000000000098</v>
      </c>
      <c r="M60" s="52">
        <v>5977.6000000000104</v>
      </c>
      <c r="N60" s="52">
        <v>5504.5999999999804</v>
      </c>
      <c r="O60" s="52">
        <v>4851.1000000000104</v>
      </c>
      <c r="P60" s="51">
        <v>6340.3999999999896</v>
      </c>
      <c r="Q60" s="116">
        <f t="shared" si="12"/>
        <v>71771.400000000009</v>
      </c>
    </row>
    <row r="61" spans="2:17">
      <c r="B61" s="77"/>
      <c r="C61" s="78" t="s">
        <v>204</v>
      </c>
      <c r="D61" s="10" t="s">
        <v>183</v>
      </c>
      <c r="E61" s="52">
        <v>9643</v>
      </c>
      <c r="F61" s="52">
        <v>9496.5999999999804</v>
      </c>
      <c r="G61" s="52">
        <v>10077.6</v>
      </c>
      <c r="H61" s="52">
        <v>9666.7000000000098</v>
      </c>
      <c r="I61" s="52">
        <v>9138.6000000000095</v>
      </c>
      <c r="J61" s="52">
        <v>9447.2000000000098</v>
      </c>
      <c r="K61" s="52">
        <v>9613.1999999999807</v>
      </c>
      <c r="L61" s="52">
        <v>8818.3000000000193</v>
      </c>
      <c r="M61" s="52">
        <v>8802.5999999999804</v>
      </c>
      <c r="N61" s="52">
        <v>8419.8000000000193</v>
      </c>
      <c r="O61" s="52">
        <v>7924.6000000000104</v>
      </c>
      <c r="P61" s="51">
        <v>8941.6000000000095</v>
      </c>
      <c r="Q61" s="116">
        <f t="shared" si="12"/>
        <v>109989.80000000002</v>
      </c>
    </row>
    <row r="62" spans="2:17">
      <c r="B62" s="77"/>
      <c r="C62" s="78" t="s">
        <v>205</v>
      </c>
      <c r="D62" s="10" t="s">
        <v>183</v>
      </c>
      <c r="E62" s="52">
        <v>10411.6</v>
      </c>
      <c r="F62" s="52">
        <v>10065.4</v>
      </c>
      <c r="G62" s="52">
        <v>10618.8</v>
      </c>
      <c r="H62" s="52">
        <v>10080.299999999999</v>
      </c>
      <c r="I62" s="52">
        <v>9843.7999999999902</v>
      </c>
      <c r="J62" s="52">
        <v>9991.1000000000095</v>
      </c>
      <c r="K62" s="52">
        <v>9911.7999999999902</v>
      </c>
      <c r="L62" s="52">
        <v>10089.700000000001</v>
      </c>
      <c r="M62" s="52">
        <v>9413.3999999999905</v>
      </c>
      <c r="N62" s="52">
        <v>9374.6999999999807</v>
      </c>
      <c r="O62" s="52">
        <v>9254.5999999999804</v>
      </c>
      <c r="P62" s="51">
        <v>9976.4000000000196</v>
      </c>
      <c r="Q62" s="116">
        <f t="shared" si="12"/>
        <v>119031.59999999996</v>
      </c>
    </row>
    <row r="63" spans="2:17">
      <c r="B63" s="77"/>
      <c r="C63" s="78" t="s">
        <v>206</v>
      </c>
      <c r="D63" s="10" t="s">
        <v>183</v>
      </c>
      <c r="E63" s="52">
        <v>6342.5</v>
      </c>
      <c r="F63" s="52">
        <v>8045.6000000000104</v>
      </c>
      <c r="G63" s="52">
        <v>11090.5</v>
      </c>
      <c r="H63" s="52">
        <v>13638.1</v>
      </c>
      <c r="I63" s="52">
        <v>13271.1</v>
      </c>
      <c r="J63" s="52">
        <v>16038.7</v>
      </c>
      <c r="K63" s="52">
        <v>7631.8999999999896</v>
      </c>
      <c r="L63" s="52">
        <v>12108.5</v>
      </c>
      <c r="M63" s="52">
        <v>15365</v>
      </c>
      <c r="N63" s="52">
        <v>14531.4</v>
      </c>
      <c r="O63" s="52">
        <v>11836.6</v>
      </c>
      <c r="P63" s="51">
        <v>16036.6</v>
      </c>
      <c r="Q63" s="116">
        <f t="shared" si="12"/>
        <v>145936.5</v>
      </c>
    </row>
    <row r="64" spans="2:17">
      <c r="B64" s="77"/>
      <c r="C64" s="78" t="s">
        <v>207</v>
      </c>
      <c r="D64" s="10" t="s">
        <v>183</v>
      </c>
      <c r="E64" s="52">
        <v>2977.3</v>
      </c>
      <c r="F64" s="52">
        <v>3203.9</v>
      </c>
      <c r="G64" s="52">
        <v>3232.4</v>
      </c>
      <c r="H64" s="52">
        <v>2938.1</v>
      </c>
      <c r="I64" s="52">
        <v>2756.5</v>
      </c>
      <c r="J64" s="52">
        <v>2699.50000000001</v>
      </c>
      <c r="K64" s="52">
        <v>2963.4000000000101</v>
      </c>
      <c r="L64" s="52">
        <v>3027.7</v>
      </c>
      <c r="M64" s="52">
        <v>2905.7999999999902</v>
      </c>
      <c r="N64" s="52">
        <v>2832.6</v>
      </c>
      <c r="O64" s="52">
        <v>2844.6999999999898</v>
      </c>
      <c r="P64" s="51">
        <v>3159.6</v>
      </c>
      <c r="Q64" s="116">
        <f t="shared" si="12"/>
        <v>35541.5</v>
      </c>
    </row>
    <row r="65" spans="2:17">
      <c r="B65" s="77"/>
      <c r="C65" s="78" t="s">
        <v>208</v>
      </c>
      <c r="D65" s="10" t="s">
        <v>183</v>
      </c>
      <c r="E65" s="52">
        <v>341.17500000000001</v>
      </c>
      <c r="F65" s="52">
        <v>327.08</v>
      </c>
      <c r="G65" s="52">
        <v>340.08</v>
      </c>
      <c r="H65" s="52">
        <v>326.05</v>
      </c>
      <c r="I65" s="52">
        <v>331.15</v>
      </c>
      <c r="J65" s="52">
        <v>367.19</v>
      </c>
      <c r="K65" s="52">
        <v>389.099999999999</v>
      </c>
      <c r="L65" s="52">
        <v>364.15</v>
      </c>
      <c r="M65" s="52">
        <v>356.29999999999899</v>
      </c>
      <c r="N65" s="52">
        <v>372</v>
      </c>
      <c r="O65" s="52">
        <v>421.9</v>
      </c>
      <c r="P65" s="51">
        <v>432.5</v>
      </c>
      <c r="Q65" s="116">
        <f t="shared" si="12"/>
        <v>4368.6749999999975</v>
      </c>
    </row>
    <row r="66" spans="2:17" ht="15">
      <c r="B66" s="117"/>
      <c r="C66" s="376" t="s">
        <v>53</v>
      </c>
      <c r="D66" s="377" t="s">
        <v>209</v>
      </c>
      <c r="E66" s="120">
        <f>SUM(E42:E65)</f>
        <v>606741.66199999989</v>
      </c>
      <c r="F66" s="120">
        <f t="shared" ref="F66:Q66" si="13">SUM(F42:F65)</f>
        <v>609721.2919999999</v>
      </c>
      <c r="G66" s="120">
        <f t="shared" si="13"/>
        <v>651593.05000000005</v>
      </c>
      <c r="H66" s="120">
        <f t="shared" si="13"/>
        <v>629899.85000000009</v>
      </c>
      <c r="I66" s="120">
        <f t="shared" si="13"/>
        <v>517687.05000000005</v>
      </c>
      <c r="J66" s="120">
        <f t="shared" si="13"/>
        <v>674423.39999999979</v>
      </c>
      <c r="K66" s="120">
        <f t="shared" si="13"/>
        <v>540739.55999999901</v>
      </c>
      <c r="L66" s="120">
        <f t="shared" si="13"/>
        <v>438110.06999999995</v>
      </c>
      <c r="M66" s="120">
        <f t="shared" si="13"/>
        <v>520472.33999999997</v>
      </c>
      <c r="N66" s="120">
        <f t="shared" si="13"/>
        <v>387839.72000000009</v>
      </c>
      <c r="O66" s="120">
        <f t="shared" si="13"/>
        <v>443952.22000000009</v>
      </c>
      <c r="P66" s="120">
        <f t="shared" si="13"/>
        <v>672742.82000000007</v>
      </c>
      <c r="Q66" s="70">
        <f t="shared" si="13"/>
        <v>6693923.0339999981</v>
      </c>
    </row>
  </sheetData>
  <mergeCells count="18">
    <mergeCell ref="B2:Q2"/>
    <mergeCell ref="B3:Q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rintOptions horizontalCentered="1"/>
  <pageMargins left="0" right="0" top="0" bottom="0" header="0" footer="0"/>
  <pageSetup paperSize="9" scale="52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4"/>
  <sheetViews>
    <sheetView showGridLines="0" workbookViewId="0">
      <selection activeCell="F74" sqref="F74"/>
    </sheetView>
  </sheetViews>
  <sheetFormatPr defaultColWidth="9.140625" defaultRowHeight="14.25"/>
  <cols>
    <col min="1" max="1" width="1.5703125" style="1" customWidth="1"/>
    <col min="2" max="2" width="4.140625" style="3" customWidth="1"/>
    <col min="3" max="3" width="25.140625" style="1" customWidth="1"/>
    <col min="4" max="4" width="8.42578125" style="1" customWidth="1"/>
    <col min="5" max="12" width="12.85546875" style="1" customWidth="1"/>
    <col min="13" max="13" width="14.28515625" style="1" customWidth="1"/>
    <col min="14" max="14" width="13.42578125" style="1" customWidth="1"/>
    <col min="15" max="17" width="13.85546875" style="1" customWidth="1"/>
    <col min="18" max="18" width="15.28515625" style="1"/>
    <col min="19" max="16384" width="9.140625" style="1"/>
  </cols>
  <sheetData>
    <row r="1" spans="2:18">
      <c r="B1" s="4"/>
    </row>
    <row r="2" spans="2:18" s="2" customFormat="1" ht="15">
      <c r="B2" s="454" t="s">
        <v>210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2:18" s="2" customFormat="1" ht="15">
      <c r="B3" s="454" t="s">
        <v>94</v>
      </c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</row>
    <row r="4" spans="2:18" ht="1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2:18" ht="15" customHeight="1">
      <c r="B5" s="467" t="s">
        <v>95</v>
      </c>
      <c r="C5" s="457" t="s">
        <v>96</v>
      </c>
      <c r="D5" s="452" t="s">
        <v>97</v>
      </c>
      <c r="E5" s="452" t="s">
        <v>98</v>
      </c>
      <c r="F5" s="452" t="s">
        <v>99</v>
      </c>
      <c r="G5" s="452" t="s">
        <v>100</v>
      </c>
      <c r="H5" s="452" t="s">
        <v>101</v>
      </c>
      <c r="I5" s="461" t="s">
        <v>102</v>
      </c>
      <c r="J5" s="461" t="s">
        <v>103</v>
      </c>
      <c r="K5" s="459" t="s">
        <v>104</v>
      </c>
      <c r="L5" s="459" t="s">
        <v>105</v>
      </c>
      <c r="M5" s="459" t="s">
        <v>106</v>
      </c>
      <c r="N5" s="459" t="s">
        <v>107</v>
      </c>
      <c r="O5" s="459" t="s">
        <v>108</v>
      </c>
      <c r="P5" s="461" t="s">
        <v>109</v>
      </c>
      <c r="Q5" s="446" t="s">
        <v>92</v>
      </c>
    </row>
    <row r="6" spans="2:18">
      <c r="B6" s="468"/>
      <c r="C6" s="458"/>
      <c r="D6" s="453"/>
      <c r="E6" s="453"/>
      <c r="F6" s="453"/>
      <c r="G6" s="453"/>
      <c r="H6" s="453"/>
      <c r="I6" s="462"/>
      <c r="J6" s="462"/>
      <c r="K6" s="460"/>
      <c r="L6" s="460"/>
      <c r="M6" s="460"/>
      <c r="N6" s="460"/>
      <c r="O6" s="460"/>
      <c r="P6" s="462"/>
      <c r="Q6" s="447"/>
    </row>
    <row r="7" spans="2:18" ht="15">
      <c r="B7" s="6">
        <v>1</v>
      </c>
      <c r="C7" s="7" t="s">
        <v>122</v>
      </c>
      <c r="D7" s="8"/>
      <c r="E7" s="8"/>
      <c r="F7" s="8"/>
      <c r="G7" s="8"/>
      <c r="H7" s="8"/>
      <c r="I7" s="38"/>
      <c r="J7" s="38"/>
      <c r="K7" s="39"/>
      <c r="L7" s="39"/>
      <c r="M7" s="39"/>
      <c r="N7" s="39"/>
      <c r="O7" s="39"/>
      <c r="P7" s="39"/>
      <c r="Q7" s="58"/>
    </row>
    <row r="8" spans="2:18" ht="15">
      <c r="B8" s="9"/>
      <c r="C8" s="378" t="s">
        <v>136</v>
      </c>
      <c r="D8" s="10"/>
      <c r="E8" s="11"/>
      <c r="F8" s="11"/>
      <c r="G8" s="11"/>
      <c r="H8" s="11"/>
      <c r="I8" s="40"/>
      <c r="J8" s="40"/>
      <c r="K8" s="41"/>
      <c r="L8" s="41"/>
      <c r="M8" s="41"/>
      <c r="N8" s="41"/>
      <c r="O8" s="41"/>
      <c r="P8" s="41"/>
      <c r="Q8" s="59"/>
    </row>
    <row r="9" spans="2:18" ht="15">
      <c r="B9" s="12"/>
      <c r="C9" s="379" t="s">
        <v>211</v>
      </c>
      <c r="D9" s="355" t="s">
        <v>114</v>
      </c>
      <c r="E9" s="11">
        <v>0</v>
      </c>
      <c r="F9" s="11">
        <v>102527</v>
      </c>
      <c r="G9" s="11">
        <v>654915</v>
      </c>
      <c r="H9" s="11">
        <v>1120000</v>
      </c>
      <c r="I9" s="42">
        <v>1196278</v>
      </c>
      <c r="J9" s="42">
        <v>1512300</v>
      </c>
      <c r="K9" s="43">
        <v>279588</v>
      </c>
      <c r="L9" s="43">
        <v>1282620</v>
      </c>
      <c r="M9" s="43">
        <v>2043385</v>
      </c>
      <c r="N9" s="43">
        <v>1577780</v>
      </c>
      <c r="O9" s="43">
        <v>1500710</v>
      </c>
      <c r="P9" s="43">
        <f>SUM(P10:P11)</f>
        <v>2213720</v>
      </c>
      <c r="Q9" s="60">
        <f t="shared" ref="Q9:Q11" si="0">SUM(E9:P9)</f>
        <v>13483823</v>
      </c>
    </row>
    <row r="10" spans="2:18" ht="15">
      <c r="B10" s="9"/>
      <c r="C10" s="380" t="s">
        <v>212</v>
      </c>
      <c r="D10" s="355" t="s">
        <v>114</v>
      </c>
      <c r="E10" s="11">
        <v>0</v>
      </c>
      <c r="F10" s="11">
        <v>49027</v>
      </c>
      <c r="G10" s="11">
        <v>358865</v>
      </c>
      <c r="H10" s="11">
        <v>575812</v>
      </c>
      <c r="I10" s="40">
        <v>602223</v>
      </c>
      <c r="J10" s="40">
        <v>731845</v>
      </c>
      <c r="K10" s="41">
        <v>140988</v>
      </c>
      <c r="L10" s="41">
        <v>640320</v>
      </c>
      <c r="M10" s="41">
        <v>1001687</v>
      </c>
      <c r="N10" s="41">
        <v>834667</v>
      </c>
      <c r="O10" s="41">
        <v>854300</v>
      </c>
      <c r="P10" s="41">
        <v>1285730</v>
      </c>
      <c r="Q10" s="60">
        <f t="shared" si="0"/>
        <v>7075464</v>
      </c>
    </row>
    <row r="11" spans="2:18" ht="15">
      <c r="B11" s="14"/>
      <c r="C11" s="380" t="s">
        <v>145</v>
      </c>
      <c r="D11" s="359" t="s">
        <v>114</v>
      </c>
      <c r="E11" s="15">
        <v>0</v>
      </c>
      <c r="F11" s="11">
        <v>53500</v>
      </c>
      <c r="G11" s="15">
        <v>296050</v>
      </c>
      <c r="H11" s="15">
        <v>544188</v>
      </c>
      <c r="I11" s="40">
        <v>594055</v>
      </c>
      <c r="J11" s="40">
        <v>780455</v>
      </c>
      <c r="K11" s="41">
        <v>138600</v>
      </c>
      <c r="L11" s="41">
        <v>642300</v>
      </c>
      <c r="M11" s="41">
        <v>1041698</v>
      </c>
      <c r="N11" s="41">
        <v>743113</v>
      </c>
      <c r="O11" s="41">
        <v>646410</v>
      </c>
      <c r="P11" s="41">
        <v>927990</v>
      </c>
      <c r="Q11" s="60">
        <f t="shared" si="0"/>
        <v>6408359</v>
      </c>
    </row>
    <row r="12" spans="2:18" ht="15">
      <c r="B12" s="16">
        <v>2</v>
      </c>
      <c r="C12" s="17" t="s">
        <v>213</v>
      </c>
      <c r="D12" s="18"/>
      <c r="E12" s="19"/>
      <c r="F12" s="19"/>
      <c r="G12" s="19"/>
      <c r="H12" s="19"/>
      <c r="I12" s="44"/>
      <c r="J12" s="44"/>
      <c r="K12" s="45"/>
      <c r="L12" s="45"/>
      <c r="M12" s="45"/>
      <c r="N12" s="45"/>
      <c r="O12" s="45"/>
      <c r="P12" s="45"/>
      <c r="Q12" s="61"/>
    </row>
    <row r="13" spans="2:18" ht="15">
      <c r="B13" s="16"/>
      <c r="C13" s="380" t="s">
        <v>144</v>
      </c>
      <c r="D13" s="20" t="s">
        <v>80</v>
      </c>
      <c r="E13" s="21">
        <v>0</v>
      </c>
      <c r="F13" s="21">
        <v>52.232142857142897</v>
      </c>
      <c r="G13" s="21">
        <v>54.795660505561798</v>
      </c>
      <c r="H13" s="21">
        <v>51.411785714285699</v>
      </c>
      <c r="I13" s="46">
        <f t="shared" ref="I13:Q13" si="1">I10/I9*100</f>
        <v>50.341392218196781</v>
      </c>
      <c r="J13" s="46">
        <f t="shared" si="1"/>
        <v>48.392845334920324</v>
      </c>
      <c r="K13" s="46">
        <f t="shared" si="1"/>
        <v>50.427056955234129</v>
      </c>
      <c r="L13" s="46">
        <f t="shared" si="1"/>
        <v>49.922814239603312</v>
      </c>
      <c r="M13" s="46">
        <f t="shared" si="1"/>
        <v>49.020962765215558</v>
      </c>
      <c r="N13" s="46">
        <f t="shared" si="1"/>
        <v>52.901355068513986</v>
      </c>
      <c r="O13" s="46">
        <f t="shared" si="1"/>
        <v>56.926388176263231</v>
      </c>
      <c r="P13" s="46">
        <f t="shared" si="1"/>
        <v>58.080064326111703</v>
      </c>
      <c r="Q13" s="62">
        <f t="shared" si="1"/>
        <v>52.473723512982929</v>
      </c>
    </row>
    <row r="14" spans="2:18" ht="15">
      <c r="B14" s="16"/>
      <c r="C14" s="380" t="s">
        <v>145</v>
      </c>
      <c r="D14" s="20" t="s">
        <v>80</v>
      </c>
      <c r="E14" s="21">
        <v>0</v>
      </c>
      <c r="F14" s="21">
        <v>47.767857142857103</v>
      </c>
      <c r="G14" s="21">
        <v>45.204339494438202</v>
      </c>
      <c r="H14" s="21">
        <v>48.588214285714301</v>
      </c>
      <c r="I14" s="46">
        <f t="shared" ref="I14:Q14" si="2">I11/I9*100</f>
        <v>49.658607781803227</v>
      </c>
      <c r="J14" s="46">
        <f t="shared" si="2"/>
        <v>51.607154665079676</v>
      </c>
      <c r="K14" s="46">
        <f t="shared" si="2"/>
        <v>49.572943044765871</v>
      </c>
      <c r="L14" s="46">
        <f t="shared" si="2"/>
        <v>50.077185760396695</v>
      </c>
      <c r="M14" s="46">
        <f t="shared" si="2"/>
        <v>50.979037234784442</v>
      </c>
      <c r="N14" s="46">
        <f t="shared" si="2"/>
        <v>47.098644931486014</v>
      </c>
      <c r="O14" s="46">
        <f t="shared" si="2"/>
        <v>43.073611823736762</v>
      </c>
      <c r="P14" s="46">
        <f t="shared" si="2"/>
        <v>41.919935673888297</v>
      </c>
      <c r="Q14" s="62">
        <f t="shared" si="2"/>
        <v>47.526276487017071</v>
      </c>
      <c r="R14" s="63"/>
    </row>
    <row r="15" spans="2:18" ht="15">
      <c r="B15" s="464">
        <v>3</v>
      </c>
      <c r="C15" s="22" t="s">
        <v>214</v>
      </c>
      <c r="D15" s="23"/>
      <c r="E15" s="24"/>
      <c r="F15" s="24"/>
      <c r="G15" s="24"/>
      <c r="H15" s="24"/>
      <c r="I15" s="47"/>
      <c r="J15" s="47"/>
      <c r="K15" s="48"/>
      <c r="L15" s="48"/>
      <c r="M15" s="48"/>
      <c r="N15" s="48"/>
      <c r="O15" s="48"/>
      <c r="P15" s="48"/>
      <c r="Q15" s="64"/>
    </row>
    <row r="16" spans="2:18" ht="15">
      <c r="B16" s="465"/>
      <c r="C16" s="25" t="s">
        <v>215</v>
      </c>
      <c r="D16" s="26" t="s">
        <v>114</v>
      </c>
      <c r="E16" s="27"/>
      <c r="F16" s="27">
        <v>49027</v>
      </c>
      <c r="G16" s="27">
        <v>358865</v>
      </c>
      <c r="H16" s="27">
        <v>575812</v>
      </c>
      <c r="I16" s="49">
        <v>602223</v>
      </c>
      <c r="J16" s="49">
        <v>731845</v>
      </c>
      <c r="K16" s="50">
        <v>140988</v>
      </c>
      <c r="L16" s="50">
        <v>640320</v>
      </c>
      <c r="M16" s="50">
        <f>M10</f>
        <v>1001687</v>
      </c>
      <c r="N16" s="50">
        <v>834667</v>
      </c>
      <c r="O16" s="50">
        <v>854300</v>
      </c>
      <c r="P16" s="50">
        <f>P10</f>
        <v>1285730</v>
      </c>
      <c r="Q16" s="65">
        <f t="shared" ref="Q16:Q19" si="3">SUM(E16:P16)</f>
        <v>7075464</v>
      </c>
    </row>
    <row r="17" spans="2:18" ht="15">
      <c r="B17" s="465"/>
      <c r="C17" s="13" t="s">
        <v>216</v>
      </c>
      <c r="D17" s="10" t="s">
        <v>114</v>
      </c>
      <c r="E17" s="11">
        <v>0</v>
      </c>
      <c r="F17" s="28">
        <v>39410.94</v>
      </c>
      <c r="G17" s="28">
        <v>320896</v>
      </c>
      <c r="H17" s="28">
        <v>541413.68900000001</v>
      </c>
      <c r="I17" s="51">
        <v>547172.96</v>
      </c>
      <c r="J17" s="51">
        <v>853778.76</v>
      </c>
      <c r="K17" s="52">
        <v>5483.43</v>
      </c>
      <c r="L17" s="52">
        <v>665502.25</v>
      </c>
      <c r="M17" s="52">
        <v>1036853.12</v>
      </c>
      <c r="N17" s="52">
        <v>873527.76</v>
      </c>
      <c r="O17" s="52">
        <f>[1]November!$AJ$61</f>
        <v>743609.57499999995</v>
      </c>
      <c r="P17" s="52">
        <v>1323285.675</v>
      </c>
      <c r="Q17" s="65">
        <f t="shared" si="3"/>
        <v>6950934.159</v>
      </c>
    </row>
    <row r="18" spans="2:18" ht="15">
      <c r="B18" s="465"/>
      <c r="C18" s="381" t="s">
        <v>217</v>
      </c>
      <c r="D18" s="10" t="s">
        <v>114</v>
      </c>
      <c r="E18" s="11">
        <f t="shared" ref="E18:P18" si="4">(SUM(E21:E22))*10.86</f>
        <v>0</v>
      </c>
      <c r="F18" s="28">
        <f t="shared" si="4"/>
        <v>39378.36</v>
      </c>
      <c r="G18" s="28">
        <f t="shared" si="4"/>
        <v>319946.45999999996</v>
      </c>
      <c r="H18" s="28">
        <f t="shared" si="4"/>
        <v>541034.34</v>
      </c>
      <c r="I18" s="28">
        <f t="shared" si="4"/>
        <v>546920.46</v>
      </c>
      <c r="J18" s="28">
        <f t="shared" si="4"/>
        <v>853020.41999999993</v>
      </c>
      <c r="K18" s="28">
        <f t="shared" si="4"/>
        <v>5473.44</v>
      </c>
      <c r="L18" s="28">
        <f t="shared" si="4"/>
        <v>665305.31999999995</v>
      </c>
      <c r="M18" s="28">
        <f t="shared" si="4"/>
        <v>1036695.6</v>
      </c>
      <c r="N18" s="28">
        <f t="shared" si="4"/>
        <v>873328.62</v>
      </c>
      <c r="O18" s="28">
        <f t="shared" si="4"/>
        <v>743453.88</v>
      </c>
      <c r="P18" s="28">
        <f t="shared" si="4"/>
        <v>1323084.6599999999</v>
      </c>
      <c r="Q18" s="65">
        <f t="shared" si="3"/>
        <v>6947641.5599999996</v>
      </c>
    </row>
    <row r="19" spans="2:18" ht="15">
      <c r="B19" s="465"/>
      <c r="C19" s="381" t="s">
        <v>218</v>
      </c>
      <c r="D19" s="10" t="s">
        <v>114</v>
      </c>
      <c r="E19" s="11">
        <f t="shared" ref="E19:P19" si="5">E17-E18</f>
        <v>0</v>
      </c>
      <c r="F19" s="28">
        <f t="shared" si="5"/>
        <v>32.580000000001746</v>
      </c>
      <c r="G19" s="28">
        <f t="shared" si="5"/>
        <v>949.54000000003725</v>
      </c>
      <c r="H19" s="28">
        <f t="shared" si="5"/>
        <v>379.34900000004563</v>
      </c>
      <c r="I19" s="28">
        <f t="shared" si="5"/>
        <v>252.5</v>
      </c>
      <c r="J19" s="28">
        <f t="shared" si="5"/>
        <v>758.34000000008382</v>
      </c>
      <c r="K19" s="28">
        <f t="shared" si="5"/>
        <v>9.9900000000006912</v>
      </c>
      <c r="L19" s="28">
        <f t="shared" si="5"/>
        <v>196.93000000005122</v>
      </c>
      <c r="M19" s="28">
        <f t="shared" si="5"/>
        <v>157.52000000001863</v>
      </c>
      <c r="N19" s="28">
        <f t="shared" si="5"/>
        <v>199.14000000001397</v>
      </c>
      <c r="O19" s="28">
        <f t="shared" si="5"/>
        <v>155.69499999994878</v>
      </c>
      <c r="P19" s="28">
        <f t="shared" si="5"/>
        <v>201.01500000013039</v>
      </c>
      <c r="Q19" s="65">
        <f t="shared" si="3"/>
        <v>3292.5990000003321</v>
      </c>
    </row>
    <row r="20" spans="2:18" ht="15">
      <c r="B20" s="465"/>
      <c r="C20" s="29" t="s">
        <v>219</v>
      </c>
      <c r="D20" s="20"/>
      <c r="E20" s="30"/>
      <c r="F20" s="30"/>
      <c r="G20" s="30"/>
      <c r="H20" s="30"/>
      <c r="I20" s="40"/>
      <c r="J20" s="40"/>
      <c r="K20" s="41"/>
      <c r="L20" s="41"/>
      <c r="M20" s="41"/>
      <c r="N20" s="41"/>
      <c r="O20" s="41"/>
      <c r="P20" s="41"/>
      <c r="Q20" s="66"/>
    </row>
    <row r="21" spans="2:18" ht="15">
      <c r="B21" s="465"/>
      <c r="C21" s="380" t="s">
        <v>220</v>
      </c>
      <c r="D21" s="355" t="s">
        <v>221</v>
      </c>
      <c r="E21" s="11">
        <v>0</v>
      </c>
      <c r="F21" s="11">
        <v>0</v>
      </c>
      <c r="G21" s="11">
        <v>12814</v>
      </c>
      <c r="H21" s="11">
        <v>24468</v>
      </c>
      <c r="I21" s="42">
        <v>18280</v>
      </c>
      <c r="J21" s="42">
        <v>44364</v>
      </c>
      <c r="K21" s="43">
        <v>0</v>
      </c>
      <c r="L21" s="43">
        <v>24168</v>
      </c>
      <c r="M21" s="43">
        <v>45997</v>
      </c>
      <c r="N21" s="43">
        <v>33929</v>
      </c>
      <c r="O21" s="43">
        <f>[1]November!$AJ$65</f>
        <v>35562</v>
      </c>
      <c r="P21" s="43">
        <v>44768</v>
      </c>
      <c r="Q21" s="60">
        <f>SUM(E21:P21)</f>
        <v>284350</v>
      </c>
    </row>
    <row r="22" spans="2:18" ht="15">
      <c r="B22" s="465"/>
      <c r="C22" s="379" t="s">
        <v>222</v>
      </c>
      <c r="D22" s="355" t="s">
        <v>221</v>
      </c>
      <c r="E22" s="11">
        <v>0</v>
      </c>
      <c r="F22" s="11">
        <v>3626</v>
      </c>
      <c r="G22" s="11">
        <v>16647</v>
      </c>
      <c r="H22" s="11">
        <v>25351</v>
      </c>
      <c r="I22" s="40">
        <v>32081</v>
      </c>
      <c r="J22" s="40">
        <v>34183</v>
      </c>
      <c r="K22" s="41">
        <v>504</v>
      </c>
      <c r="L22" s="41">
        <v>37094</v>
      </c>
      <c r="M22" s="41">
        <v>49463</v>
      </c>
      <c r="N22" s="41">
        <v>46488</v>
      </c>
      <c r="O22" s="41">
        <f>[1]November!$AJ$66</f>
        <v>32896</v>
      </c>
      <c r="P22" s="41">
        <v>77063</v>
      </c>
      <c r="Q22" s="60">
        <f>SUM(E22:P22)</f>
        <v>355396</v>
      </c>
    </row>
    <row r="23" spans="2:18" ht="15">
      <c r="B23" s="465"/>
      <c r="C23" s="29" t="s">
        <v>223</v>
      </c>
      <c r="D23" s="10"/>
      <c r="E23" s="11"/>
      <c r="F23" s="11"/>
      <c r="G23" s="11"/>
      <c r="H23" s="11"/>
      <c r="I23" s="40"/>
      <c r="J23" s="40"/>
      <c r="K23" s="41"/>
      <c r="L23" s="41"/>
      <c r="M23" s="41"/>
      <c r="N23" s="41"/>
      <c r="O23" s="41"/>
      <c r="P23" s="41"/>
      <c r="Q23" s="60"/>
    </row>
    <row r="24" spans="2:18" ht="15">
      <c r="B24" s="465"/>
      <c r="C24" s="380" t="s">
        <v>220</v>
      </c>
      <c r="D24" s="355" t="s">
        <v>224</v>
      </c>
      <c r="E24" s="11">
        <v>0</v>
      </c>
      <c r="F24" s="11">
        <v>0</v>
      </c>
      <c r="G24" s="11">
        <v>153768</v>
      </c>
      <c r="H24" s="11">
        <v>293616</v>
      </c>
      <c r="I24" s="40">
        <f t="shared" ref="I24:P24" si="6">I21*12</f>
        <v>219360</v>
      </c>
      <c r="J24" s="40">
        <f t="shared" si="6"/>
        <v>532368</v>
      </c>
      <c r="K24" s="40">
        <f t="shared" si="6"/>
        <v>0</v>
      </c>
      <c r="L24" s="40">
        <f t="shared" si="6"/>
        <v>290016</v>
      </c>
      <c r="M24" s="40">
        <f t="shared" si="6"/>
        <v>551964</v>
      </c>
      <c r="N24" s="40">
        <f t="shared" si="6"/>
        <v>407148</v>
      </c>
      <c r="O24" s="40">
        <f t="shared" si="6"/>
        <v>426744</v>
      </c>
      <c r="P24" s="40">
        <f t="shared" si="6"/>
        <v>537216</v>
      </c>
      <c r="Q24" s="60">
        <f t="shared" ref="Q24:Q27" si="7">SUM(E24:P24)</f>
        <v>3412200</v>
      </c>
    </row>
    <row r="25" spans="2:18" ht="15">
      <c r="B25" s="465"/>
      <c r="C25" s="379" t="s">
        <v>222</v>
      </c>
      <c r="D25" s="355" t="s">
        <v>224</v>
      </c>
      <c r="E25" s="11">
        <v>0</v>
      </c>
      <c r="F25" s="11">
        <f t="shared" ref="F25:P25" si="8">F22*6</f>
        <v>21756</v>
      </c>
      <c r="G25" s="11">
        <v>99882</v>
      </c>
      <c r="H25" s="11">
        <v>152106</v>
      </c>
      <c r="I25" s="42">
        <f t="shared" si="8"/>
        <v>192486</v>
      </c>
      <c r="J25" s="42">
        <f t="shared" si="8"/>
        <v>205098</v>
      </c>
      <c r="K25" s="42">
        <f t="shared" si="8"/>
        <v>3024</v>
      </c>
      <c r="L25" s="42">
        <f t="shared" si="8"/>
        <v>222564</v>
      </c>
      <c r="M25" s="42">
        <f t="shared" si="8"/>
        <v>296778</v>
      </c>
      <c r="N25" s="42">
        <f t="shared" si="8"/>
        <v>278928</v>
      </c>
      <c r="O25" s="42">
        <f t="shared" si="8"/>
        <v>197376</v>
      </c>
      <c r="P25" s="42">
        <f t="shared" si="8"/>
        <v>462378</v>
      </c>
      <c r="Q25" s="60">
        <f t="shared" si="7"/>
        <v>2132376</v>
      </c>
    </row>
    <row r="26" spans="2:18" ht="15">
      <c r="B26" s="12"/>
      <c r="C26" s="382" t="s">
        <v>225</v>
      </c>
      <c r="D26" s="355" t="s">
        <v>114</v>
      </c>
      <c r="E26" s="28">
        <v>0</v>
      </c>
      <c r="F26" s="28">
        <v>0</v>
      </c>
      <c r="G26" s="28">
        <f>'[6]DATA PEMAKAIAN VITAMIN A'!$D$5/1000</f>
        <v>7.4169999999999998</v>
      </c>
      <c r="H26" s="28">
        <f>'[6]DATA PEMAKAIAN VITAMIN A'!$D$6/1000</f>
        <v>11.144</v>
      </c>
      <c r="I26" s="49">
        <f>'[6]DATA PEMAKAIAN VITAMIN A'!$D$7/1000</f>
        <v>11.262</v>
      </c>
      <c r="J26" s="49">
        <f>'[6]DATA PEMAKAIAN VITAMIN A'!$D$8/1000</f>
        <v>17.562000000000001</v>
      </c>
      <c r="K26" s="49">
        <f>'[6]DATA PEMAKAIAN VITAMIN A'!$D$9/1000</f>
        <v>0.112</v>
      </c>
      <c r="L26" s="49">
        <f>'[6]DATA PEMAKAIAN VITAMIN A'!$D$10/1000</f>
        <v>13.691000000000001</v>
      </c>
      <c r="M26" s="49">
        <f>'[6]DATA PEMAKAIAN VITAMIN A'!$D$11/1000</f>
        <v>21.338999999999999</v>
      </c>
      <c r="N26" s="49">
        <f>'[6]DATA PEMAKAIAN VITAMIN A'!$D$12/1000</f>
        <v>17.978999999999999</v>
      </c>
      <c r="O26" s="49">
        <f>[1]November!$AJ$70/1000</f>
        <v>12.911</v>
      </c>
      <c r="P26" s="49">
        <f>19593/1000</f>
        <v>19.593</v>
      </c>
      <c r="Q26" s="67">
        <f t="shared" si="7"/>
        <v>133.01000000000002</v>
      </c>
      <c r="R26" s="68"/>
    </row>
    <row r="27" spans="2:18" ht="15">
      <c r="B27" s="12"/>
      <c r="C27" s="382" t="s">
        <v>226</v>
      </c>
      <c r="D27" s="355" t="s">
        <v>227</v>
      </c>
      <c r="E27" s="11">
        <v>0</v>
      </c>
      <c r="F27" s="11">
        <f>'[6]PACKING TAPE'!$E$7</f>
        <v>8</v>
      </c>
      <c r="G27" s="11">
        <f>'[6]PACKING TAPE'!$E$8</f>
        <v>59</v>
      </c>
      <c r="H27" s="11">
        <f>'[6]PACKING TAPE'!$E$9</f>
        <v>100</v>
      </c>
      <c r="I27" s="53">
        <f>'[6]PACKING TAPE'!$E$10</f>
        <v>101</v>
      </c>
      <c r="J27" s="53">
        <f>'[6]PACKING TAPE'!$E$11</f>
        <v>157</v>
      </c>
      <c r="K27" s="53">
        <f>'[6]PACKING TAPE'!$E$12</f>
        <v>1</v>
      </c>
      <c r="L27" s="53">
        <f>'[6]PACKING TAPE'!$E$13</f>
        <v>122</v>
      </c>
      <c r="M27" s="53">
        <f>'[6]PACKING TAPE'!$E$14</f>
        <v>190</v>
      </c>
      <c r="N27" s="53">
        <f>'[6]PACKING TAPE'!$E$15</f>
        <v>160</v>
      </c>
      <c r="O27" s="53">
        <f>[1]November!$AJ$71</f>
        <v>122</v>
      </c>
      <c r="P27" s="53">
        <v>224</v>
      </c>
      <c r="Q27" s="60">
        <f t="shared" si="7"/>
        <v>1244</v>
      </c>
    </row>
    <row r="28" spans="2:18" ht="15">
      <c r="B28" s="464">
        <v>4</v>
      </c>
      <c r="C28" s="31" t="s">
        <v>228</v>
      </c>
      <c r="D28" s="32"/>
      <c r="E28" s="33"/>
      <c r="F28" s="33"/>
      <c r="G28" s="33"/>
      <c r="H28" s="33"/>
      <c r="I28" s="47"/>
      <c r="J28" s="47"/>
      <c r="K28" s="48"/>
      <c r="L28" s="48"/>
      <c r="M28" s="48"/>
      <c r="N28" s="48"/>
      <c r="O28" s="48"/>
      <c r="P28" s="48"/>
      <c r="Q28" s="64"/>
    </row>
    <row r="29" spans="2:18" ht="15">
      <c r="B29" s="465"/>
      <c r="C29" s="29" t="s">
        <v>219</v>
      </c>
      <c r="D29" s="10"/>
      <c r="E29" s="11"/>
      <c r="F29" s="11"/>
      <c r="G29" s="11"/>
      <c r="H29" s="11"/>
      <c r="I29" s="51"/>
      <c r="J29" s="51"/>
      <c r="K29" s="52"/>
      <c r="L29" s="52"/>
      <c r="M29" s="52"/>
      <c r="N29" s="52"/>
      <c r="O29" s="52"/>
      <c r="P29" s="52"/>
      <c r="Q29" s="67"/>
    </row>
    <row r="30" spans="2:18" ht="15">
      <c r="B30" s="465"/>
      <c r="C30" s="380" t="s">
        <v>220</v>
      </c>
      <c r="D30" s="355" t="s">
        <v>80</v>
      </c>
      <c r="E30" s="34">
        <v>0</v>
      </c>
      <c r="F30" s="34">
        <v>0</v>
      </c>
      <c r="G30" s="34">
        <v>22</v>
      </c>
      <c r="H30" s="34">
        <v>19</v>
      </c>
      <c r="I30" s="40">
        <v>6</v>
      </c>
      <c r="J30" s="40">
        <v>138</v>
      </c>
      <c r="K30" s="41">
        <v>0</v>
      </c>
      <c r="L30" s="41">
        <v>8</v>
      </c>
      <c r="M30" s="41">
        <v>19</v>
      </c>
      <c r="N30" s="41">
        <v>31</v>
      </c>
      <c r="O30" s="41">
        <v>29</v>
      </c>
      <c r="P30" s="41">
        <v>49</v>
      </c>
      <c r="Q30" s="60">
        <f>SUM(E30:P30)</f>
        <v>321</v>
      </c>
    </row>
    <row r="31" spans="2:18" ht="15">
      <c r="B31" s="465"/>
      <c r="C31" s="379" t="s">
        <v>222</v>
      </c>
      <c r="D31" s="355" t="s">
        <v>80</v>
      </c>
      <c r="E31" s="34">
        <v>0</v>
      </c>
      <c r="F31" s="34">
        <v>8</v>
      </c>
      <c r="G31" s="34">
        <v>18</v>
      </c>
      <c r="H31" s="34">
        <v>23</v>
      </c>
      <c r="I31" s="40">
        <v>17</v>
      </c>
      <c r="J31" s="40">
        <v>61</v>
      </c>
      <c r="K31" s="41">
        <v>0</v>
      </c>
      <c r="L31" s="41">
        <v>105</v>
      </c>
      <c r="M31" s="41">
        <v>44</v>
      </c>
      <c r="N31" s="41">
        <v>35</v>
      </c>
      <c r="O31" s="41">
        <v>17</v>
      </c>
      <c r="P31" s="41">
        <v>63</v>
      </c>
      <c r="Q31" s="60">
        <f>SUM(E31:P31)</f>
        <v>391</v>
      </c>
    </row>
    <row r="32" spans="2:18" ht="15">
      <c r="B32" s="465"/>
      <c r="C32" s="29" t="s">
        <v>223</v>
      </c>
      <c r="D32" s="10"/>
      <c r="E32" s="34"/>
      <c r="F32" s="34"/>
      <c r="G32" s="34"/>
      <c r="H32" s="34"/>
      <c r="I32" s="42"/>
      <c r="J32" s="42"/>
      <c r="K32" s="43"/>
      <c r="L32" s="43"/>
      <c r="M32" s="43"/>
      <c r="N32" s="43"/>
      <c r="O32" s="43"/>
      <c r="P32" s="43"/>
      <c r="Q32" s="60"/>
    </row>
    <row r="33" spans="2:17" ht="15">
      <c r="B33" s="465"/>
      <c r="C33" s="380" t="s">
        <v>220</v>
      </c>
      <c r="D33" s="355" t="s">
        <v>80</v>
      </c>
      <c r="E33" s="34">
        <v>0</v>
      </c>
      <c r="F33" s="34">
        <v>0</v>
      </c>
      <c r="G33" s="34">
        <v>325</v>
      </c>
      <c r="H33" s="34">
        <v>606</v>
      </c>
      <c r="I33" s="40">
        <v>135</v>
      </c>
      <c r="J33" s="40">
        <v>337</v>
      </c>
      <c r="K33" s="41">
        <v>0</v>
      </c>
      <c r="L33" s="41">
        <v>263</v>
      </c>
      <c r="M33" s="41">
        <v>427</v>
      </c>
      <c r="N33" s="41">
        <v>556</v>
      </c>
      <c r="O33" s="41">
        <v>445</v>
      </c>
      <c r="P33" s="41">
        <v>672</v>
      </c>
      <c r="Q33" s="60">
        <f>SUM(E33:P33)</f>
        <v>3766</v>
      </c>
    </row>
    <row r="34" spans="2:17" ht="15">
      <c r="B34" s="469"/>
      <c r="C34" s="383" t="s">
        <v>222</v>
      </c>
      <c r="D34" s="384" t="s">
        <v>80</v>
      </c>
      <c r="E34" s="35">
        <v>0</v>
      </c>
      <c r="F34" s="35">
        <v>72</v>
      </c>
      <c r="G34" s="35">
        <v>212</v>
      </c>
      <c r="H34" s="35">
        <v>138</v>
      </c>
      <c r="I34" s="54">
        <v>39</v>
      </c>
      <c r="J34" s="54">
        <v>52</v>
      </c>
      <c r="K34" s="55">
        <v>2</v>
      </c>
      <c r="L34" s="55">
        <v>87</v>
      </c>
      <c r="M34" s="55">
        <v>167</v>
      </c>
      <c r="N34" s="55">
        <v>164</v>
      </c>
      <c r="O34" s="55">
        <v>165</v>
      </c>
      <c r="P34" s="55">
        <v>402</v>
      </c>
      <c r="Q34" s="69">
        <f>SUM(E34:P34)</f>
        <v>1500</v>
      </c>
    </row>
    <row r="35" spans="2:17" ht="15">
      <c r="B35" s="464">
        <v>5</v>
      </c>
      <c r="C35" s="31" t="s">
        <v>229</v>
      </c>
      <c r="D35" s="32"/>
      <c r="E35" s="33"/>
      <c r="F35" s="33"/>
      <c r="G35" s="33"/>
      <c r="H35" s="33"/>
      <c r="I35" s="47"/>
      <c r="J35" s="47"/>
      <c r="K35" s="48"/>
      <c r="L35" s="48"/>
      <c r="M35" s="48"/>
      <c r="N35" s="48"/>
      <c r="O35" s="48"/>
      <c r="P35" s="48"/>
      <c r="Q35" s="64"/>
    </row>
    <row r="36" spans="2:17" ht="15">
      <c r="B36" s="465"/>
      <c r="C36" s="29" t="s">
        <v>219</v>
      </c>
      <c r="D36" s="10"/>
      <c r="E36" s="11"/>
      <c r="F36" s="11"/>
      <c r="G36" s="11"/>
      <c r="H36" s="11"/>
      <c r="I36" s="51"/>
      <c r="J36" s="51"/>
      <c r="K36" s="52"/>
      <c r="L36" s="52"/>
      <c r="M36" s="52"/>
      <c r="N36" s="52"/>
      <c r="O36" s="52"/>
      <c r="P36" s="52"/>
      <c r="Q36" s="67"/>
    </row>
    <row r="37" spans="2:17" ht="15">
      <c r="B37" s="465"/>
      <c r="C37" s="380" t="s">
        <v>220</v>
      </c>
      <c r="D37" s="355" t="s">
        <v>80</v>
      </c>
      <c r="E37" s="28">
        <f>0</f>
        <v>0</v>
      </c>
      <c r="F37" s="28" t="e">
        <f t="shared" ref="F37:Q37" si="9">F30/F21*100</f>
        <v>#DIV/0!</v>
      </c>
      <c r="G37" s="28">
        <f t="shared" si="9"/>
        <v>0.17168721710628998</v>
      </c>
      <c r="H37" s="28">
        <f t="shared" si="9"/>
        <v>7.7652444008500909E-2</v>
      </c>
      <c r="I37" s="28">
        <f t="shared" si="9"/>
        <v>3.2822757111597371E-2</v>
      </c>
      <c r="J37" s="28">
        <f t="shared" si="9"/>
        <v>0.31106302407357317</v>
      </c>
      <c r="K37" s="28" t="e">
        <f t="shared" si="9"/>
        <v>#DIV/0!</v>
      </c>
      <c r="L37" s="28">
        <f t="shared" si="9"/>
        <v>3.3101621979476997E-2</v>
      </c>
      <c r="M37" s="28">
        <f t="shared" si="9"/>
        <v>4.1307041763593275E-2</v>
      </c>
      <c r="N37" s="28">
        <f t="shared" si="9"/>
        <v>9.1367266939786015E-2</v>
      </c>
      <c r="O37" s="28">
        <f t="shared" si="9"/>
        <v>8.1547719475845007E-2</v>
      </c>
      <c r="P37" s="28">
        <f t="shared" si="9"/>
        <v>0.1094531808434596</v>
      </c>
      <c r="Q37" s="67">
        <f t="shared" si="9"/>
        <v>0.11288904519078601</v>
      </c>
    </row>
    <row r="38" spans="2:17" ht="15">
      <c r="B38" s="465"/>
      <c r="C38" s="379" t="s">
        <v>222</v>
      </c>
      <c r="D38" s="355" t="s">
        <v>80</v>
      </c>
      <c r="E38" s="28">
        <v>0</v>
      </c>
      <c r="F38" s="28">
        <f t="shared" ref="F38:Q38" si="10">F31/F22*100</f>
        <v>0.22062879205736349</v>
      </c>
      <c r="G38" s="28">
        <f t="shared" si="10"/>
        <v>0.10812759055685708</v>
      </c>
      <c r="H38" s="28">
        <f t="shared" si="10"/>
        <v>9.0726204094513041E-2</v>
      </c>
      <c r="I38" s="28">
        <f t="shared" si="10"/>
        <v>5.2990866868239769E-2</v>
      </c>
      <c r="J38" s="28">
        <f t="shared" si="10"/>
        <v>0.17845127695053095</v>
      </c>
      <c r="K38" s="28">
        <f t="shared" si="10"/>
        <v>0</v>
      </c>
      <c r="L38" s="28">
        <f t="shared" si="10"/>
        <v>0.28306464657356983</v>
      </c>
      <c r="M38" s="28">
        <f t="shared" si="10"/>
        <v>8.8955380789681182E-2</v>
      </c>
      <c r="N38" s="28">
        <f t="shared" si="10"/>
        <v>7.5288246429186023E-2</v>
      </c>
      <c r="O38" s="28">
        <f t="shared" si="10"/>
        <v>5.1678015564202338E-2</v>
      </c>
      <c r="P38" s="28">
        <f t="shared" si="10"/>
        <v>8.1751294395494598E-2</v>
      </c>
      <c r="Q38" s="67">
        <f t="shared" si="10"/>
        <v>0.11001812063163345</v>
      </c>
    </row>
    <row r="39" spans="2:17" ht="15">
      <c r="B39" s="465"/>
      <c r="C39" s="29" t="s">
        <v>223</v>
      </c>
      <c r="D39" s="10"/>
      <c r="E39" s="28"/>
      <c r="F39" s="28"/>
      <c r="G39" s="28"/>
      <c r="H39" s="28"/>
      <c r="I39" s="56"/>
      <c r="J39" s="56"/>
      <c r="K39" s="57"/>
      <c r="L39" s="57"/>
      <c r="M39" s="57"/>
      <c r="N39" s="57"/>
      <c r="O39" s="57"/>
      <c r="P39" s="57"/>
      <c r="Q39" s="67"/>
    </row>
    <row r="40" spans="2:17" ht="15">
      <c r="B40" s="465"/>
      <c r="C40" s="380" t="s">
        <v>220</v>
      </c>
      <c r="D40" s="355" t="s">
        <v>80</v>
      </c>
      <c r="E40" s="28">
        <v>0</v>
      </c>
      <c r="F40" s="28">
        <v>0</v>
      </c>
      <c r="G40" s="28">
        <f t="shared" ref="G40:Q40" si="11">G33/G24*100</f>
        <v>0.21135736954372822</v>
      </c>
      <c r="H40" s="28">
        <f t="shared" si="11"/>
        <v>0.20639202223312081</v>
      </c>
      <c r="I40" s="28">
        <f t="shared" si="11"/>
        <v>6.1542669584245077E-2</v>
      </c>
      <c r="J40" s="28">
        <f t="shared" si="11"/>
        <v>6.3302076758933665E-2</v>
      </c>
      <c r="K40" s="28" t="e">
        <f t="shared" si="11"/>
        <v>#DIV/0!</v>
      </c>
      <c r="L40" s="28">
        <f t="shared" si="11"/>
        <v>9.0684651881275516E-2</v>
      </c>
      <c r="M40" s="28">
        <f t="shared" si="11"/>
        <v>7.7360117688834773E-2</v>
      </c>
      <c r="N40" s="28">
        <f t="shared" si="11"/>
        <v>0.13655967854441137</v>
      </c>
      <c r="O40" s="28">
        <f t="shared" si="11"/>
        <v>0.10427797461710064</v>
      </c>
      <c r="P40" s="28">
        <f t="shared" si="11"/>
        <v>0.12508934953538242</v>
      </c>
      <c r="Q40" s="67">
        <f t="shared" si="11"/>
        <v>0.1103686770998183</v>
      </c>
    </row>
    <row r="41" spans="2:17" ht="15">
      <c r="B41" s="466"/>
      <c r="C41" s="385" t="s">
        <v>222</v>
      </c>
      <c r="D41" s="363" t="s">
        <v>80</v>
      </c>
      <c r="E41" s="36">
        <v>0</v>
      </c>
      <c r="F41" s="36">
        <f t="shared" ref="F41:Q41" si="12">F34/F25*100</f>
        <v>0.33094318808604523</v>
      </c>
      <c r="G41" s="36">
        <f t="shared" si="12"/>
        <v>0.21225045553753427</v>
      </c>
      <c r="H41" s="36">
        <f t="shared" si="12"/>
        <v>9.0726204094513041E-2</v>
      </c>
      <c r="I41" s="36">
        <f t="shared" si="12"/>
        <v>2.0261213802562263E-2</v>
      </c>
      <c r="J41" s="36">
        <f t="shared" si="12"/>
        <v>2.5353733337233907E-2</v>
      </c>
      <c r="K41" s="36">
        <f t="shared" si="12"/>
        <v>6.6137566137566134E-2</v>
      </c>
      <c r="L41" s="36">
        <f t="shared" si="12"/>
        <v>3.9089879764921551E-2</v>
      </c>
      <c r="M41" s="36">
        <f t="shared" si="12"/>
        <v>5.627101739347256E-2</v>
      </c>
      <c r="N41" s="36">
        <f t="shared" si="12"/>
        <v>5.8796535306602421E-2</v>
      </c>
      <c r="O41" s="36">
        <f t="shared" si="12"/>
        <v>8.3596789883268477E-2</v>
      </c>
      <c r="P41" s="36">
        <f t="shared" si="12"/>
        <v>8.6941852769811714E-2</v>
      </c>
      <c r="Q41" s="70">
        <f t="shared" si="12"/>
        <v>7.0344066900021388E-2</v>
      </c>
    </row>
    <row r="43" spans="2:17">
      <c r="B43" s="37" t="s">
        <v>74</v>
      </c>
    </row>
    <row r="44" spans="2:17">
      <c r="B44" s="4" t="s">
        <v>230</v>
      </c>
    </row>
  </sheetData>
  <mergeCells count="21">
    <mergeCell ref="B2:Q2"/>
    <mergeCell ref="B3:Q3"/>
    <mergeCell ref="B5:B6"/>
    <mergeCell ref="B15:B25"/>
    <mergeCell ref="B28:B34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B35:B41"/>
    <mergeCell ref="C5:C6"/>
    <mergeCell ref="D5:D6"/>
    <mergeCell ref="E5:E6"/>
    <mergeCell ref="F5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2</vt:i4>
      </vt:variant>
    </vt:vector>
  </HeadingPairs>
  <TitlesOfParts>
    <vt:vector size="6" baseType="lpstr">
      <vt:lpstr>2020</vt:lpstr>
      <vt:lpstr>Monthly-Prod</vt:lpstr>
      <vt:lpstr>Monthly-UTL</vt:lpstr>
      <vt:lpstr>Monthly-Pack</vt:lpstr>
      <vt:lpstr>'2020'!Print_Area</vt:lpstr>
      <vt:lpstr>'Monthly-UTL'!Print_Area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YL01AP9N@outlook.com</cp:lastModifiedBy>
  <cp:lastPrinted>2020-10-05T03:07:00Z</cp:lastPrinted>
  <dcterms:created xsi:type="dcterms:W3CDTF">2019-05-08T06:22:00Z</dcterms:created>
  <dcterms:modified xsi:type="dcterms:W3CDTF">2024-08-06T03:09:41Z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1033-11.2.0.10296</vt:lpwstr>
  </property>
  <property fmtid="{D5CDD505-2E9C-101B-9397-08002B2CF9AE}" pid="3" name="ICV">
    <vt:lpwstr>EC25B815B9A24E85953E93C1B87291B2</vt:lpwstr>
  </property>
</Properties>
</file>